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executive_summary" sheetId="2" r:id="rId6"/>
    <sheet state="visible" name="crm_orders" sheetId="3" r:id="rId7"/>
    <sheet state="visible" name="erp_invoices" sheetId="4" r:id="rId8"/>
    <sheet state="visible" name="reconciliation_summary" sheetId="5" r:id="rId9"/>
    <sheet state="visible" name="sla_metrics" sheetId="6" r:id="rId10"/>
    <sheet state="visible" name="warehouse_shipments" sheetId="7" r:id="rId11"/>
    <sheet state="visible" name="accounts_receivable" sheetId="8" r:id="rId12"/>
    <sheet state="visible" name="order_compliance_review" sheetId="9" r:id="rId13"/>
    <sheet state="visible" name="customer_support_cases" sheetId="10" r:id="rId14"/>
    <sheet state="visible" name="returns_credit_memos" sheetId="11" r:id="rId15"/>
    <sheet state="visible" name="inventory_snapshot" sheetId="12" r:id="rId16"/>
    <sheet state="visible" name="sales_forecast" sheetId="13" r:id="rId17"/>
    <sheet state="visible" name="source_file_manifest" sheetId="14" r:id="rId18"/>
    <sheet state="visible" name="customer_crosswalk" sheetId="15" r:id="rId19"/>
    <sheet state="visible" name="field_mapping_crm_to_erp" sheetId="16" r:id="rId20"/>
    <sheet state="visible" name="compliance_rules" sheetId="17" r:id="rId21"/>
    <sheet state="visible" name="SOP" sheetId="18" r:id="rId22"/>
    <sheet state="visible" name="exception_log" sheetId="19" r:id="rId23"/>
    <sheet state="visible" name="product_lookup" sheetId="20" r:id="rId24"/>
    <sheet state="visible" name="customer_lookup" sheetId="21" r:id="rId25"/>
    <sheet state="visible" name="pivot_practice" sheetId="22" r:id="rId26"/>
    <sheet state="visible" name="interview_tasks" sheetId="23" r:id="rId27"/>
    <sheet state="visible" name="formulas" sheetId="24" r:id="rId28"/>
    <sheet state="visible" name="project_goals" sheetId="25" r:id="rId29"/>
    <sheet state="visible" name="TODO" sheetId="26" r:id="rId30"/>
    <sheet state="visible" name="README" sheetId="27" r:id="rId31"/>
  </sheets>
  <definedNames>
    <definedName hidden="1" localSheetId="2" name="_xlnm._FilterDatabase">crm_orders!$A$1:$S$1001</definedName>
    <definedName hidden="1" localSheetId="3" name="_xlnm._FilterDatabase">erp_invoices!$A$1:$K$935</definedName>
    <definedName hidden="1" localSheetId="6" name="_xlnm._FilterDatabase">warehouse_shipments!$A$1:$N$787</definedName>
    <definedName hidden="1" localSheetId="7" name="_xlnm._FilterDatabase">accounts_receivable!$A$1:$M$935</definedName>
    <definedName hidden="1" localSheetId="8" name="_xlnm._FilterDatabase">order_compliance_review!$A$1:$L$1001</definedName>
    <definedName hidden="1" localSheetId="9" name="_xlnm._FilterDatabase">customer_support_cases!$A$1:$M$341</definedName>
    <definedName hidden="1" localSheetId="10" name="_xlnm._FilterDatabase">returns_credit_memos!$A$1:$G$120</definedName>
    <definedName hidden="1" localSheetId="11" name="_xlnm._FilterDatabase">inventory_snapshot!$A$1:$F$101</definedName>
    <definedName hidden="1" localSheetId="12" name="_xlnm._FilterDatabase">sales_forecast!$A$1:$J$1441</definedName>
    <definedName hidden="1" localSheetId="13" name="_xlnm._FilterDatabase">source_file_manifest!$A$1:$H$9</definedName>
    <definedName hidden="1" localSheetId="14" name="_xlnm._FilterDatabase">customer_crosswalk!$A$1:$H$121</definedName>
    <definedName hidden="1" localSheetId="15" name="_xlnm._FilterDatabase">field_mapping_crm_to_erp!$A$1:$G$12</definedName>
    <definedName hidden="1" localSheetId="16" name="_xlnm._FilterDatabase">compliance_rules!$A$1:$F$61</definedName>
    <definedName hidden="1" localSheetId="18" name="_xlnm._FilterDatabase">exception_log!$A$1:$I$250</definedName>
    <definedName hidden="1" localSheetId="19" name="_xlnm._FilterDatabase">product_lookup!$A$1:$D$21</definedName>
    <definedName hidden="1" localSheetId="20" name="_xlnm._FilterDatabase">customer_lookup!$A$1:$E$121</definedName>
    <definedName hidden="1" localSheetId="22" name="_xlnm._FilterDatabase">interview_tasks!$A$1:$D$11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Formula sums available inventory by SKU from inventory_snapshot.</t>
      </text>
    </comment>
    <comment authorId="0" ref="P1">
      <text>
        <t xml:space="preserve">Flags orders where available inventory is below ordered quantity.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CRM total should reconcile to ERP invoice total, allowing timing, partial shipments, and credits.</t>
      </text>
    </comment>
    <comment authorId="0" ref="A29">
      <text>
        <t xml:space="preserve">invoice_coverage_rate = erp_invoice_count / crm_order_count</t>
      </text>
    </comment>
    <comment authorId="0" ref="A30">
      <text>
        <t xml:space="preserve">exception_rate = open_exceptions / crm_order_count</t>
      </text>
    </comment>
    <comment authorId="0" ref="A31">
      <text>
        <t xml:space="preserve">critical_exception_rate = critical_exceptions / open_exceptions</t>
      </text>
    </comment>
    <comment authorId="0" ref="A32">
      <text>
        <t xml:space="preserve">credit_memo_pct_of_crm = credit_memo_total / crm_gross_sales</t>
      </text>
    </comment>
    <comment authorId="0" ref="A33">
      <text>
        <t xml:space="preserve">ar_outstanding_pct_of_invoice_amount = ar_outstanding_balance / erp_invoice_amount</t>
      </text>
    </comment>
    <comment authorId="0" ref="A34">
      <text>
        <t xml:space="preserve">otif_failure_rate = otif_failures / shipment_rows
</t>
      </text>
    </comment>
    <comment authorId="0" ref="A35">
      <text>
        <t xml:space="preserve">sla_breach_rate = sla_breach_count / support_case_count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OTIF = On Time In Full. This is a common fulfillment KPI.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Aging buckets are calculated from due date and outstanding balance.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Compliance hold combines license, manifest, and SKU approval checks.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Review rows simulate master-data-management issues across CRM, ERP, and WMS.</t>
      </text>
    </comment>
  </commentList>
</comments>
</file>

<file path=xl/sharedStrings.xml><?xml version="1.0" encoding="utf-8"?>
<sst xmlns="http://schemas.openxmlformats.org/spreadsheetml/2006/main" count="42857" uniqueCount="6214">
  <si>
    <t>Sales Ops KPI Dashboard</t>
  </si>
  <si>
    <t>Use this tab to explain the operational story in an interview.</t>
  </si>
  <si>
    <t>KPI</t>
  </si>
  <si>
    <t>Value</t>
  </si>
  <si>
    <t>Interpretation</t>
  </si>
  <si>
    <t>CRM Gross Sales</t>
  </si>
  <si>
    <t>CRM order demand</t>
  </si>
  <si>
    <t>ERP Invoice Amount</t>
  </si>
  <si>
    <t>Invoiced revenue</t>
  </si>
  <si>
    <t>Variance</t>
  </si>
  <si>
    <t>Difference needing review</t>
  </si>
  <si>
    <t>Open Exceptions</t>
  </si>
  <si>
    <t>Backlog count</t>
  </si>
  <si>
    <t>Critical Exceptions</t>
  </si>
  <si>
    <t>Highest-risk items</t>
  </si>
  <si>
    <t>Inventory Short Orders</t>
  </si>
  <si>
    <t>Fulfillment risk</t>
  </si>
  <si>
    <t>Orphan ERP Invoices</t>
  </si>
  <si>
    <t>ERP/data integrity risk</t>
  </si>
  <si>
    <t>Enterprise Realism Add-ons</t>
  </si>
  <si>
    <t>OTIF %</t>
  </si>
  <si>
    <t>Shipment performance</t>
  </si>
  <si>
    <t>Open Compliance Holds</t>
  </si>
  <si>
    <t>Regulatory / fulfillment blockers</t>
  </si>
  <si>
    <t>Credit Hold Recommendations</t>
  </si>
  <si>
    <t>AR risk</t>
  </si>
  <si>
    <t>Support SLA Breaches</t>
  </si>
  <si>
    <t>Customer support backlog</t>
  </si>
  <si>
    <t>Executive Summary</t>
  </si>
  <si>
    <t>Plain-English narrative layer for an interview or portfolio walkthrough.</t>
  </si>
  <si>
    <t>Section</t>
  </si>
  <si>
    <t>Narrative</t>
  </si>
  <si>
    <t>Revenue readiness</t>
  </si>
  <si>
    <t>CRM demand, ERP invoices, credit memos, and AR aging should be reviewed together before publishing revenue-facing reporting. The workbook intentionally includes partial invoices, orphan invoices, credits, and timing gaps.</t>
  </si>
  <si>
    <t>Warehouse shipments now allow OTIF, short-ship, and hours-to-ship analysis. Use these to explain whether missed sales are demand issues or execution constraints.</t>
  </si>
  <si>
    <t>Compliance risk</t>
  </si>
  <si>
    <t>State-specific compliance review flags expired licenses, missing manifests, and restricted SKUs. This is especially relevant in regulated CPG/cannabis-style operations.</t>
  </si>
  <si>
    <t>Customer impact</t>
  </si>
  <si>
    <t>Support cases connect operational failures to customer-facing issues like invoice mismatches, late shipments, and damaged/refused deliveries.</t>
  </si>
  <si>
    <t>Cash impact</t>
  </si>
  <si>
    <t>Accounts receivable aging highlights invoices that are not just operationally complete but financially unresolved. Credit-hold recommendations help connect Sales Ops to Finance.</t>
  </si>
  <si>
    <t>Recommended next action</t>
  </si>
  <si>
    <t>Prioritize Critical compliance holds, orphan invoices, SLA-breached support cases, and AR balances in 61-90 or 90+ aging buckets before treating the period as clean.</t>
  </si>
  <si>
    <t>order_id</t>
  </si>
  <si>
    <t>order_date</t>
  </si>
  <si>
    <t>customer_id</t>
  </si>
  <si>
    <t>customer_name</t>
  </si>
  <si>
    <t>state</t>
  </si>
  <si>
    <t>sales_rep</t>
  </si>
  <si>
    <t>channel</t>
  </si>
  <si>
    <t>sku</t>
  </si>
  <si>
    <t>product_name</t>
  </si>
  <si>
    <t>qty_ordered</t>
  </si>
  <si>
    <t>unit_price</t>
  </si>
  <si>
    <t>gross_sales</t>
  </si>
  <si>
    <t>crm_status</t>
  </si>
  <si>
    <t>requested_ship_date</t>
  </si>
  <si>
    <t>available_inventory</t>
  </si>
  <si>
    <t>inventory_flag</t>
  </si>
  <si>
    <t>duplicate_order_flag</t>
  </si>
  <si>
    <t>missing_key_flag</t>
  </si>
  <si>
    <t>order_value_band</t>
  </si>
  <si>
    <t>ORD000372</t>
  </si>
  <si>
    <t>Wholesale</t>
  </si>
  <si>
    <t>SKU0019</t>
  </si>
  <si>
    <t>Fulfilled</t>
  </si>
  <si>
    <t>ORD000730</t>
  </si>
  <si>
    <t>Retail</t>
  </si>
  <si>
    <t>SKU0012</t>
  </si>
  <si>
    <t>ORD000028</t>
  </si>
  <si>
    <t>DSP0078</t>
  </si>
  <si>
    <t>SKU0020</t>
  </si>
  <si>
    <t>ORD000034</t>
  </si>
  <si>
    <t>DSP0064</t>
  </si>
  <si>
    <t>SKU0015</t>
  </si>
  <si>
    <t>Pending</t>
  </si>
  <si>
    <t>ORD000042</t>
  </si>
  <si>
    <t>DSP0060</t>
  </si>
  <si>
    <t>SKU0004</t>
  </si>
  <si>
    <t>ORD000076</t>
  </si>
  <si>
    <t>DSP0075</t>
  </si>
  <si>
    <t>SKU0018</t>
  </si>
  <si>
    <t>ORD000087</t>
  </si>
  <si>
    <t>DSP0063</t>
  </si>
  <si>
    <t>ORD000103</t>
  </si>
  <si>
    <t>SKU0005</t>
  </si>
  <si>
    <t>ORD000104</t>
  </si>
  <si>
    <t>DSP0040</t>
  </si>
  <si>
    <t>ORD000156</t>
  </si>
  <si>
    <t>Distributor</t>
  </si>
  <si>
    <t>SKU0016</t>
  </si>
  <si>
    <t>ORD000161</t>
  </si>
  <si>
    <t>SKU0011</t>
  </si>
  <si>
    <t>Partial</t>
  </si>
  <si>
    <t>ORD000189</t>
  </si>
  <si>
    <t>SKU0002</t>
  </si>
  <si>
    <t>ORD000196</t>
  </si>
  <si>
    <t>Approved</t>
  </si>
  <si>
    <t>ORD000211</t>
  </si>
  <si>
    <t>ORD000214</t>
  </si>
  <si>
    <t>Submitted</t>
  </si>
  <si>
    <t>ORD000259</t>
  </si>
  <si>
    <t>SKU0010</t>
  </si>
  <si>
    <t>ORD000275</t>
  </si>
  <si>
    <t>DSP0094</t>
  </si>
  <si>
    <t>ORD000305</t>
  </si>
  <si>
    <t>SKU0013</t>
  </si>
  <si>
    <t>ORD000308</t>
  </si>
  <si>
    <t>SKU0014</t>
  </si>
  <si>
    <t>ORD000357</t>
  </si>
  <si>
    <t>SKU0003</t>
  </si>
  <si>
    <t>ORD000360</t>
  </si>
  <si>
    <t>ORD000364</t>
  </si>
  <si>
    <t>ORD000383</t>
  </si>
  <si>
    <t>DSP0096</t>
  </si>
  <si>
    <t>SKU0009</t>
  </si>
  <si>
    <t>ORD000386</t>
  </si>
  <si>
    <t>ORD000401</t>
  </si>
  <si>
    <t>ORD000407</t>
  </si>
  <si>
    <t>ORD000408</t>
  </si>
  <si>
    <t>ORD000421</t>
  </si>
  <si>
    <t>ORD000425</t>
  </si>
  <si>
    <t>ORD000432</t>
  </si>
  <si>
    <t>SKU0008</t>
  </si>
  <si>
    <t>ORD000454</t>
  </si>
  <si>
    <t>ORD000457</t>
  </si>
  <si>
    <t>ORD000473</t>
  </si>
  <si>
    <t>ORD000492</t>
  </si>
  <si>
    <t>ORD000595</t>
  </si>
  <si>
    <t>ORD000605</t>
  </si>
  <si>
    <t>ORD000610</t>
  </si>
  <si>
    <t>ORD000617</t>
  </si>
  <si>
    <t>ORD000625</t>
  </si>
  <si>
    <t>ORD000663</t>
  </si>
  <si>
    <t>ORD000680</t>
  </si>
  <si>
    <t>ORD000682</t>
  </si>
  <si>
    <t>ORD000691</t>
  </si>
  <si>
    <t>Rejected</t>
  </si>
  <si>
    <t>ORD000695</t>
  </si>
  <si>
    <t>ORD000697</t>
  </si>
  <si>
    <t>ORD000706</t>
  </si>
  <si>
    <t>ORD000732</t>
  </si>
  <si>
    <t>ORD000750</t>
  </si>
  <si>
    <t>ORD000770</t>
  </si>
  <si>
    <t>ORD000786</t>
  </si>
  <si>
    <t>ORD000793</t>
  </si>
  <si>
    <t>ORD000795</t>
  </si>
  <si>
    <t>ORD000834</t>
  </si>
  <si>
    <t>ORD000843</t>
  </si>
  <si>
    <t>ORD000845</t>
  </si>
  <si>
    <t>ORD000848</t>
  </si>
  <si>
    <t>ORD000860</t>
  </si>
  <si>
    <t>ORD000870</t>
  </si>
  <si>
    <t>ORD000893</t>
  </si>
  <si>
    <t>SKU0006</t>
  </si>
  <si>
    <t>ORD000903</t>
  </si>
  <si>
    <t>SKU0001</t>
  </si>
  <si>
    <t>ORD000913</t>
  </si>
  <si>
    <t>ORD000942</t>
  </si>
  <si>
    <t>ORD000954</t>
  </si>
  <si>
    <t>ORD000955</t>
  </si>
  <si>
    <t>ORD000962</t>
  </si>
  <si>
    <t>SKU0007</t>
  </si>
  <si>
    <t>ORD000001</t>
  </si>
  <si>
    <t>DSP0072</t>
  </si>
  <si>
    <t>ORD000007</t>
  </si>
  <si>
    <t>DSP0044</t>
  </si>
  <si>
    <t>ORD000014</t>
  </si>
  <si>
    <t>DSP0081</t>
  </si>
  <si>
    <t>ORD000015</t>
  </si>
  <si>
    <t>DSP0055</t>
  </si>
  <si>
    <t>ORD000027</t>
  </si>
  <si>
    <t>ORD000029</t>
  </si>
  <si>
    <t>ORD000030</t>
  </si>
  <si>
    <t>DSP0011</t>
  </si>
  <si>
    <t>ORD000032</t>
  </si>
  <si>
    <t>ORD000041</t>
  </si>
  <si>
    <t>DSP0103</t>
  </si>
  <si>
    <t>ORD000050</t>
  </si>
  <si>
    <t>DSP0114</t>
  </si>
  <si>
    <t>ORD000059</t>
  </si>
  <si>
    <t>DSP0099</t>
  </si>
  <si>
    <t>ORD000075</t>
  </si>
  <si>
    <t>ORD000099</t>
  </si>
  <si>
    <t>DSP0084</t>
  </si>
  <si>
    <t>ORD000107</t>
  </si>
  <si>
    <t>ORD000121</t>
  </si>
  <si>
    <t>ORD000126</t>
  </si>
  <si>
    <t>ORD000140</t>
  </si>
  <si>
    <t>DSP0012</t>
  </si>
  <si>
    <t>SKU0017</t>
  </si>
  <si>
    <t>ORD000166</t>
  </si>
  <si>
    <t>ORD000171</t>
  </si>
  <si>
    <t>ORD000172</t>
  </si>
  <si>
    <t>ORD000176</t>
  </si>
  <si>
    <t>DSP0117</t>
  </si>
  <si>
    <t>ORD000192</t>
  </si>
  <si>
    <t>ORD000199</t>
  </si>
  <si>
    <t>DSP0093</t>
  </si>
  <si>
    <t>ORD000202</t>
  </si>
  <si>
    <t>ORD000213</t>
  </si>
  <si>
    <t>ORD000232</t>
  </si>
  <si>
    <t>ORD000253</t>
  </si>
  <si>
    <t>ORD000283</t>
  </si>
  <si>
    <t>ORD000288</t>
  </si>
  <si>
    <t>ORD000290</t>
  </si>
  <si>
    <t>ORD000296</t>
  </si>
  <si>
    <t>DSP0005</t>
  </si>
  <si>
    <t>ORD000300</t>
  </si>
  <si>
    <t>ORD000310</t>
  </si>
  <si>
    <t>ORD000311</t>
  </si>
  <si>
    <t>ORD000342</t>
  </si>
  <si>
    <t>ORD000354</t>
  </si>
  <si>
    <t>ORD000367</t>
  </si>
  <si>
    <t>ORD000376</t>
  </si>
  <si>
    <t>ORD000387</t>
  </si>
  <si>
    <t>ORD000390</t>
  </si>
  <si>
    <t>ORD000391</t>
  </si>
  <si>
    <t>ORD000392</t>
  </si>
  <si>
    <t>ORD000393</t>
  </si>
  <si>
    <t>ORD000395</t>
  </si>
  <si>
    <t>ORD000410</t>
  </si>
  <si>
    <t>ORD000431</t>
  </si>
  <si>
    <t>ORD000438</t>
  </si>
  <si>
    <t>ORD000440</t>
  </si>
  <si>
    <t>ORD000441</t>
  </si>
  <si>
    <t>DSP0097</t>
  </si>
  <si>
    <t>ORD000446</t>
  </si>
  <si>
    <t>ORD000451</t>
  </si>
  <si>
    <t>ORD000461</t>
  </si>
  <si>
    <t>ORD000465</t>
  </si>
  <si>
    <t>ORD000469</t>
  </si>
  <si>
    <t>ORD000481</t>
  </si>
  <si>
    <t>ORD000491</t>
  </si>
  <si>
    <t>ORD000496</t>
  </si>
  <si>
    <t>ORD000516</t>
  </si>
  <si>
    <t>ORD000521</t>
  </si>
  <si>
    <t>ORD000536</t>
  </si>
  <si>
    <t>ORD000554</t>
  </si>
  <si>
    <t>ORD000556</t>
  </si>
  <si>
    <t>ORD000579</t>
  </si>
  <si>
    <t>ORD000581</t>
  </si>
  <si>
    <t>ORD000590</t>
  </si>
  <si>
    <t>ORD000597</t>
  </si>
  <si>
    <t>ORD000607</t>
  </si>
  <si>
    <t>ORD000632</t>
  </si>
  <si>
    <t>ORD000636</t>
  </si>
  <si>
    <t>ORD000652</t>
  </si>
  <si>
    <t>ORD000677</t>
  </si>
  <si>
    <t>ORD000684</t>
  </si>
  <si>
    <t>ORD000714</t>
  </si>
  <si>
    <t>ORD000716</t>
  </si>
  <si>
    <t>ORD000718</t>
  </si>
  <si>
    <t>ORD000721</t>
  </si>
  <si>
    <t>ORD000739</t>
  </si>
  <si>
    <t>ORD000742</t>
  </si>
  <si>
    <t>ORD000743</t>
  </si>
  <si>
    <t>ORD000746</t>
  </si>
  <si>
    <t>ORD000767</t>
  </si>
  <si>
    <t>ORD000771</t>
  </si>
  <si>
    <t>ORD000772</t>
  </si>
  <si>
    <t>ORD000776</t>
  </si>
  <si>
    <t>ORD000788</t>
  </si>
  <si>
    <t>ORD000803</t>
  </si>
  <si>
    <t>ORD000806</t>
  </si>
  <si>
    <t>ORD000825</t>
  </si>
  <si>
    <t>ORD000828</t>
  </si>
  <si>
    <t>ORD000837</t>
  </si>
  <si>
    <t>ORD000847</t>
  </si>
  <si>
    <t>ORD000851</t>
  </si>
  <si>
    <t>ORD000853</t>
  </si>
  <si>
    <t>ORD000858</t>
  </si>
  <si>
    <t>ORD000869</t>
  </si>
  <si>
    <t>ORD000884</t>
  </si>
  <si>
    <t>ORD000890</t>
  </si>
  <si>
    <t>ORD000891</t>
  </si>
  <si>
    <t>ORD000900</t>
  </si>
  <si>
    <t>ORD000901</t>
  </si>
  <si>
    <t>ORD000902</t>
  </si>
  <si>
    <t>ORD000909</t>
  </si>
  <si>
    <t>ORD000919</t>
  </si>
  <si>
    <t>ORD000932</t>
  </si>
  <si>
    <t>ORD000934</t>
  </si>
  <si>
    <t>ORD000935</t>
  </si>
  <si>
    <t>ORD000938</t>
  </si>
  <si>
    <t>ORD000940</t>
  </si>
  <si>
    <t>ORD000967</t>
  </si>
  <si>
    <t>ORD000973</t>
  </si>
  <si>
    <t>ORD000974</t>
  </si>
  <si>
    <t>ORD000980</t>
  </si>
  <si>
    <t>ORD000012</t>
  </si>
  <si>
    <t>DSP0048</t>
  </si>
  <si>
    <t>ORD000021</t>
  </si>
  <si>
    <t>DSP0038</t>
  </si>
  <si>
    <t>ORD000033</t>
  </si>
  <si>
    <t>DSP0077</t>
  </si>
  <si>
    <t>ORD000037</t>
  </si>
  <si>
    <t>DSP0053</t>
  </si>
  <si>
    <t>ORD000040</t>
  </si>
  <si>
    <t>DSP0027</t>
  </si>
  <si>
    <t>ORD000049</t>
  </si>
  <si>
    <t>DSP0080</t>
  </si>
  <si>
    <t>ORD000051</t>
  </si>
  <si>
    <t>DSP0056</t>
  </si>
  <si>
    <t>ORD000060</t>
  </si>
  <si>
    <t>DSP0017</t>
  </si>
  <si>
    <t>ORD000064</t>
  </si>
  <si>
    <t>ORD000070</t>
  </si>
  <si>
    <t>ORD000078</t>
  </si>
  <si>
    <t>ORD000120</t>
  </si>
  <si>
    <t>DSP0101</t>
  </si>
  <si>
    <t>ORD000130</t>
  </si>
  <si>
    <t>DSP0074</t>
  </si>
  <si>
    <t>ORD000139</t>
  </si>
  <si>
    <t>DSP0115</t>
  </si>
  <si>
    <t>ORD000157</t>
  </si>
  <si>
    <t>ORD000165</t>
  </si>
  <si>
    <t>ORD000167</t>
  </si>
  <si>
    <t>ORD000175</t>
  </si>
  <si>
    <t>ORD000178</t>
  </si>
  <si>
    <t>DSP0069</t>
  </si>
  <si>
    <t>ORD000184</t>
  </si>
  <si>
    <t>ORD000187</t>
  </si>
  <si>
    <t>ORD000188</t>
  </si>
  <si>
    <t>ORD000204</t>
  </si>
  <si>
    <t>ORD000219</t>
  </si>
  <si>
    <t>DSP0043</t>
  </si>
  <si>
    <t>ORD000228</t>
  </si>
  <si>
    <t>ORD000231</t>
  </si>
  <si>
    <t>ORD000238</t>
  </si>
  <si>
    <t>DSP0002</t>
  </si>
  <si>
    <t>ORD000244</t>
  </si>
  <si>
    <t>ORD000245</t>
  </si>
  <si>
    <t>ORD000252</t>
  </si>
  <si>
    <t>ORD000261</t>
  </si>
  <si>
    <t>ORD000270</t>
  </si>
  <si>
    <t>ORD000287</t>
  </si>
  <si>
    <t>ORD000297</t>
  </si>
  <si>
    <t>ORD000309</t>
  </si>
  <si>
    <t>DSP0034</t>
  </si>
  <si>
    <t>ORD000336</t>
  </si>
  <si>
    <t>ORD000339</t>
  </si>
  <si>
    <t>ORD000343</t>
  </si>
  <si>
    <t>ORD000346</t>
  </si>
  <si>
    <t>ORD000353</t>
  </si>
  <si>
    <t>ORD000362</t>
  </si>
  <si>
    <t>ORD000363</t>
  </si>
  <si>
    <t>ORD000368</t>
  </si>
  <si>
    <t>ORD000370</t>
  </si>
  <si>
    <t>ORD000377</t>
  </si>
  <si>
    <t>ORD000379</t>
  </si>
  <si>
    <t>ORD000399</t>
  </si>
  <si>
    <t>ORD000403</t>
  </si>
  <si>
    <t>ORD000413</t>
  </si>
  <si>
    <t>ORD000419</t>
  </si>
  <si>
    <t>ORD000423</t>
  </si>
  <si>
    <t>ORD000428</t>
  </si>
  <si>
    <t>ORD000429</t>
  </si>
  <si>
    <t>ORD000435</t>
  </si>
  <si>
    <t>ORD000436</t>
  </si>
  <si>
    <t>ORD000444</t>
  </si>
  <si>
    <t>ORD000447</t>
  </si>
  <si>
    <t>ORD000448</t>
  </si>
  <si>
    <t>ORD000467</t>
  </si>
  <si>
    <t>ORD000468</t>
  </si>
  <si>
    <t>ORD000471</t>
  </si>
  <si>
    <t>ORD000472</t>
  </si>
  <si>
    <t>ORD000478</t>
  </si>
  <si>
    <t>ORD000503</t>
  </si>
  <si>
    <t>ORD000509</t>
  </si>
  <si>
    <t>ORD000512</t>
  </si>
  <si>
    <t>ORD000519</t>
  </si>
  <si>
    <t>ORD000522</t>
  </si>
  <si>
    <t>ORD000523</t>
  </si>
  <si>
    <t>ORD000528</t>
  </si>
  <si>
    <t>ORD000532</t>
  </si>
  <si>
    <t>ORD000539</t>
  </si>
  <si>
    <t>ORD000540</t>
  </si>
  <si>
    <t>ORD000542</t>
  </si>
  <si>
    <t>ORD000545</t>
  </si>
  <si>
    <t>ORD000552</t>
  </si>
  <si>
    <t>ORD000555</t>
  </si>
  <si>
    <t>ORD000588</t>
  </si>
  <si>
    <t>ORD000593</t>
  </si>
  <si>
    <t>ORD000596</t>
  </si>
  <si>
    <t>ORD000603</t>
  </si>
  <si>
    <t>ORD000613</t>
  </si>
  <si>
    <t>ORD000616</t>
  </si>
  <si>
    <t>ORD000621</t>
  </si>
  <si>
    <t>ORD000623</t>
  </si>
  <si>
    <t>ORD000624</t>
  </si>
  <si>
    <t>ORD000633</t>
  </si>
  <si>
    <t>ORD000638</t>
  </si>
  <si>
    <t>ORD000647</t>
  </si>
  <si>
    <t>ORD000649</t>
  </si>
  <si>
    <t>ORD000658</t>
  </si>
  <si>
    <t>ORD000664</t>
  </si>
  <si>
    <t>ORD000672</t>
  </si>
  <si>
    <t>ORD000674</t>
  </si>
  <si>
    <t>ORD000689</t>
  </si>
  <si>
    <t>ORD000694</t>
  </si>
  <si>
    <t>ORD000698</t>
  </si>
  <si>
    <t>ORD000707</t>
  </si>
  <si>
    <t>ORD000708</t>
  </si>
  <si>
    <t>ORD000715</t>
  </si>
  <si>
    <t>ORD000717</t>
  </si>
  <si>
    <t>ORD000733</t>
  </si>
  <si>
    <t>ORD000734</t>
  </si>
  <si>
    <t>ORD000766</t>
  </si>
  <si>
    <t>ORD000778</t>
  </si>
  <si>
    <t>ORD000779</t>
  </si>
  <si>
    <t>ORD000781</t>
  </si>
  <si>
    <t>ORD000787</t>
  </si>
  <si>
    <t>ORD000789</t>
  </si>
  <si>
    <t>ORD000797</t>
  </si>
  <si>
    <t>ORD000801</t>
  </si>
  <si>
    <t>ORD000805</t>
  </si>
  <si>
    <t>ORD000810</t>
  </si>
  <si>
    <t>ORD000811</t>
  </si>
  <si>
    <t>ORD000821</t>
  </si>
  <si>
    <t>ORD000832</t>
  </si>
  <si>
    <t>ORD000840</t>
  </si>
  <si>
    <t>ORD000841</t>
  </si>
  <si>
    <t>ORD000854</t>
  </si>
  <si>
    <t>ORD000859</t>
  </si>
  <si>
    <t>ORD000862</t>
  </si>
  <si>
    <t>ORD000863</t>
  </si>
  <si>
    <t>ORD000865</t>
  </si>
  <si>
    <t>ORD000874</t>
  </si>
  <si>
    <t>ORD000878</t>
  </si>
  <si>
    <t>ORD000879</t>
  </si>
  <si>
    <t>ORD000881</t>
  </si>
  <si>
    <t>ORD000904</t>
  </si>
  <si>
    <t>ORD000916</t>
  </si>
  <si>
    <t>ORD000933</t>
  </si>
  <si>
    <t>ORD000944</t>
  </si>
  <si>
    <t>ORD000945</t>
  </si>
  <si>
    <t>ORD000950</t>
  </si>
  <si>
    <t>ORD000964</t>
  </si>
  <si>
    <t>ORD000152</t>
  </si>
  <si>
    <t>ORD000984</t>
  </si>
  <si>
    <t>ORD000985</t>
  </si>
  <si>
    <t>ORD001000</t>
  </si>
  <si>
    <t>ORD000003</t>
  </si>
  <si>
    <t>DSP0057</t>
  </si>
  <si>
    <t>ORD000019</t>
  </si>
  <si>
    <t>DSP0028</t>
  </si>
  <si>
    <t>ORD000024</t>
  </si>
  <si>
    <t>DSP0107</t>
  </si>
  <si>
    <t>ORD000026</t>
  </si>
  <si>
    <t>ORD000068</t>
  </si>
  <si>
    <t>ORD000074</t>
  </si>
  <si>
    <t>DSP0029</t>
  </si>
  <si>
    <t>ORD000084</t>
  </si>
  <si>
    <t>DSP0118</t>
  </si>
  <si>
    <t>ORD000089</t>
  </si>
  <si>
    <t>ORD000091</t>
  </si>
  <si>
    <t>DSP0010</t>
  </si>
  <si>
    <t>ORD000092</t>
  </si>
  <si>
    <t>DSP0022</t>
  </si>
  <si>
    <t>ORD000108</t>
  </si>
  <si>
    <t>ORD000110</t>
  </si>
  <si>
    <t>ORD000132</t>
  </si>
  <si>
    <t>ORD000145</t>
  </si>
  <si>
    <t>DSP0014</t>
  </si>
  <si>
    <t>ORD000149</t>
  </si>
  <si>
    <t>DSP0006</t>
  </si>
  <si>
    <t>ORD000158</t>
  </si>
  <si>
    <t>ORD000173</t>
  </si>
  <si>
    <t>DSP0058</t>
  </si>
  <si>
    <t>ORD000177</t>
  </si>
  <si>
    <t>ORD000179</t>
  </si>
  <si>
    <t>ORD000182</t>
  </si>
  <si>
    <t>ORD000186</t>
  </si>
  <si>
    <t>ORD000194</t>
  </si>
  <si>
    <t>ORD000197</t>
  </si>
  <si>
    <t>ORD000208</t>
  </si>
  <si>
    <t>ORD000225</t>
  </si>
  <si>
    <t>ORD000227</t>
  </si>
  <si>
    <t>ORD000237</t>
  </si>
  <si>
    <t>ORD000242</t>
  </si>
  <si>
    <t>ORD000269</t>
  </si>
  <si>
    <t>ORD000272</t>
  </si>
  <si>
    <t>ORD000273</t>
  </si>
  <si>
    <t>ORD000279</t>
  </si>
  <si>
    <t>ORD000281</t>
  </si>
  <si>
    <t>ORD000284</t>
  </si>
  <si>
    <t>ORD000303</t>
  </si>
  <si>
    <t>ORD000316</t>
  </si>
  <si>
    <t>ORD000348</t>
  </si>
  <si>
    <t>ORD000369</t>
  </si>
  <si>
    <t>ORD000388</t>
  </si>
  <si>
    <t>ORD000389</t>
  </si>
  <si>
    <t>ORD000394</t>
  </si>
  <si>
    <t>ORD000396</t>
  </si>
  <si>
    <t>ORD000397</t>
  </si>
  <si>
    <t>ORD000409</t>
  </si>
  <si>
    <t>ORD000417</t>
  </si>
  <si>
    <t>ORD000434</t>
  </si>
  <si>
    <t>ORD000460</t>
  </si>
  <si>
    <t>ORD000466</t>
  </si>
  <si>
    <t>ORD000487</t>
  </si>
  <si>
    <t>ORD000489</t>
  </si>
  <si>
    <t>ORD000495</t>
  </si>
  <si>
    <t>ORD000499</t>
  </si>
  <si>
    <t>ORD000515</t>
  </si>
  <si>
    <t>ORD000529</t>
  </si>
  <si>
    <t>ORD000538</t>
  </si>
  <si>
    <t>ORD000573</t>
  </si>
  <si>
    <t>ORD000657</t>
  </si>
  <si>
    <t>ORD000661</t>
  </si>
  <si>
    <t>ORD000673</t>
  </si>
  <si>
    <t>ORD000678</t>
  </si>
  <si>
    <t>ORD000683</t>
  </si>
  <si>
    <t>ORD000723</t>
  </si>
  <si>
    <t>ORD000729</t>
  </si>
  <si>
    <t>ORD000740</t>
  </si>
  <si>
    <t>ORD000745</t>
  </si>
  <si>
    <t>ORD000749</t>
  </si>
  <si>
    <t>ORD000768</t>
  </si>
  <si>
    <t>ORD000769</t>
  </si>
  <si>
    <t>ORD000807</t>
  </si>
  <si>
    <t>ORD000829</t>
  </si>
  <si>
    <t>ORD000846</t>
  </si>
  <si>
    <t>ORD000849</t>
  </si>
  <si>
    <t>ORD000873</t>
  </si>
  <si>
    <t>ORD000877</t>
  </si>
  <si>
    <t>ORD000880</t>
  </si>
  <si>
    <t>ORD000906</t>
  </si>
  <si>
    <t>ORD000923</t>
  </si>
  <si>
    <t>ORD000930</t>
  </si>
  <si>
    <t>ORD000939</t>
  </si>
  <si>
    <t>ORD000943</t>
  </si>
  <si>
    <t>ORD000947</t>
  </si>
  <si>
    <t>ORD000959</t>
  </si>
  <si>
    <t>ORD000960</t>
  </si>
  <si>
    <t>ORD000986</t>
  </si>
  <si>
    <t>ORD000990</t>
  </si>
  <si>
    <t>ORD000997</t>
  </si>
  <si>
    <t>ORD000013</t>
  </si>
  <si>
    <t>DSP0004</t>
  </si>
  <si>
    <t>ORD000020</t>
  </si>
  <si>
    <t>DSP0025</t>
  </si>
  <si>
    <t>ORD000022</t>
  </si>
  <si>
    <t>DSP0071</t>
  </si>
  <si>
    <t>ORD000025</t>
  </si>
  <si>
    <t>ORD000039</t>
  </si>
  <si>
    <t>DSP0001</t>
  </si>
  <si>
    <t>ORD000046</t>
  </si>
  <si>
    <t>ORD000083</t>
  </si>
  <si>
    <t>DSP0079</t>
  </si>
  <si>
    <t>ORD000085</t>
  </si>
  <si>
    <t>ORD000090</t>
  </si>
  <si>
    <t>DSP0091</t>
  </si>
  <si>
    <t>ORD000093</t>
  </si>
  <si>
    <t>DSP0112</t>
  </si>
  <si>
    <t>ORD000098</t>
  </si>
  <si>
    <t>DSP0110</t>
  </si>
  <si>
    <t>ORD000105</t>
  </si>
  <si>
    <t>DSP0066</t>
  </si>
  <si>
    <t>ORD000109</t>
  </si>
  <si>
    <t>DSP0030</t>
  </si>
  <si>
    <t>ORD000115</t>
  </si>
  <si>
    <t>ORD000127</t>
  </si>
  <si>
    <t>ORD000128</t>
  </si>
  <si>
    <t>ORD000144</t>
  </si>
  <si>
    <t>DSP0019</t>
  </si>
  <si>
    <t>ORD000146</t>
  </si>
  <si>
    <t>ORD000147</t>
  </si>
  <si>
    <t>ORD000154</t>
  </si>
  <si>
    <t>DSP0039</t>
  </si>
  <si>
    <t>ORD000155</t>
  </si>
  <si>
    <t>ORD000160</t>
  </si>
  <si>
    <t>DSP0032</t>
  </si>
  <si>
    <t>ORD000181</t>
  </si>
  <si>
    <t>DSP0008</t>
  </si>
  <si>
    <t>ORD000185</t>
  </si>
  <si>
    <t>ORD000206</t>
  </si>
  <si>
    <t>ORD000207</t>
  </si>
  <si>
    <t>ORD000209</t>
  </si>
  <si>
    <t>ORD000215</t>
  </si>
  <si>
    <t>ORD000218</t>
  </si>
  <si>
    <t>DSP0033</t>
  </si>
  <si>
    <t>ORD000222</t>
  </si>
  <si>
    <t>ORD000223</t>
  </si>
  <si>
    <t>ORD000235</t>
  </si>
  <si>
    <t>ORD000239</t>
  </si>
  <si>
    <t>ORD000243</t>
  </si>
  <si>
    <t>DSP0104</t>
  </si>
  <si>
    <t>ORD000255</t>
  </si>
  <si>
    <t>ORD000264</t>
  </si>
  <si>
    <t>ORD000266</t>
  </si>
  <si>
    <t>ORD000274</t>
  </si>
  <si>
    <t>DSP0026</t>
  </si>
  <si>
    <t>ORD000289</t>
  </si>
  <si>
    <t>ORD000292</t>
  </si>
  <si>
    <t>ORD000298</t>
  </si>
  <si>
    <t>ORD000302</t>
  </si>
  <si>
    <t>ORD000314</t>
  </si>
  <si>
    <t>ORD000315</t>
  </si>
  <si>
    <t>ORD000317</t>
  </si>
  <si>
    <t>ORD000318</t>
  </si>
  <si>
    <t>ORD000325</t>
  </si>
  <si>
    <t>ORD000326</t>
  </si>
  <si>
    <t>ORD000341</t>
  </si>
  <si>
    <t>ORD000344</t>
  </si>
  <si>
    <t>ORD000361</t>
  </si>
  <si>
    <t>ORD000373</t>
  </si>
  <si>
    <t>ORD000400</t>
  </si>
  <si>
    <t>ORD000402</t>
  </si>
  <si>
    <t>ORD000412</t>
  </si>
  <si>
    <t>ORD000414</t>
  </si>
  <si>
    <t>ORD000443</t>
  </si>
  <si>
    <t>ORD000452</t>
  </si>
  <si>
    <t>ORD000470</t>
  </si>
  <si>
    <t>ORD000475</t>
  </si>
  <si>
    <t>ORD000482</t>
  </si>
  <si>
    <t>ORD000488</t>
  </si>
  <si>
    <t>ORD000490</t>
  </si>
  <si>
    <t>ORD000494</t>
  </si>
  <si>
    <t>ORD000505</t>
  </si>
  <si>
    <t>ORD000517</t>
  </si>
  <si>
    <t>ORD000520</t>
  </si>
  <si>
    <t>ORD000530</t>
  </si>
  <si>
    <t>ORD000535</t>
  </si>
  <si>
    <t>ORD000537</t>
  </si>
  <si>
    <t>ORD000546</t>
  </si>
  <si>
    <t>ORD000547</t>
  </si>
  <si>
    <t>ORD000548</t>
  </si>
  <si>
    <t>ORD000549</t>
  </si>
  <si>
    <t>ORD000561</t>
  </si>
  <si>
    <t>ORD000565</t>
  </si>
  <si>
    <t>ORD000572</t>
  </si>
  <si>
    <t>ORD000583</t>
  </si>
  <si>
    <t>ORD000598</t>
  </si>
  <si>
    <t>ORD000602</t>
  </si>
  <si>
    <t>ORD000608</t>
  </si>
  <si>
    <t>ORD000609</t>
  </si>
  <si>
    <t>ORD000618</t>
  </si>
  <si>
    <t>ORD000620</t>
  </si>
  <si>
    <t>ORD000628</t>
  </si>
  <si>
    <t>ORD000629</t>
  </si>
  <si>
    <t>ORD000634</t>
  </si>
  <si>
    <t>ORD000645</t>
  </si>
  <si>
    <t>ORD000654</t>
  </si>
  <si>
    <t>ORD000656</t>
  </si>
  <si>
    <t>ORD000660</t>
  </si>
  <si>
    <t>ORD000669</t>
  </si>
  <si>
    <t>ORD000675</t>
  </si>
  <si>
    <t>ORD000681</t>
  </si>
  <si>
    <t>ORD000699</t>
  </si>
  <si>
    <t>ORD000702</t>
  </si>
  <si>
    <t>ORD000703</t>
  </si>
  <si>
    <t>ORD000710</t>
  </si>
  <si>
    <t>ORD000711</t>
  </si>
  <si>
    <t>ORD000724</t>
  </si>
  <si>
    <t>ORD000726</t>
  </si>
  <si>
    <t>ORD000728</t>
  </si>
  <si>
    <t>ORD000737</t>
  </si>
  <si>
    <t>ORD000752</t>
  </si>
  <si>
    <t>ORD000759</t>
  </si>
  <si>
    <t>ORD000773</t>
  </si>
  <si>
    <t>ORD000777</t>
  </si>
  <si>
    <t>ORD000780</t>
  </si>
  <si>
    <t>ORD000782</t>
  </si>
  <si>
    <t>ORD000783</t>
  </si>
  <si>
    <t>ORD000784</t>
  </si>
  <si>
    <t>ORD000790</t>
  </si>
  <si>
    <t>ORD000800</t>
  </si>
  <si>
    <t>ORD000813</t>
  </si>
  <si>
    <t>ORD000814</t>
  </si>
  <si>
    <t>ORD000823</t>
  </si>
  <si>
    <t>ORD000826</t>
  </si>
  <si>
    <t>ORD000831</t>
  </si>
  <si>
    <t>ORD000833</t>
  </si>
  <si>
    <t>ORD000852</t>
  </si>
  <si>
    <t>ORD000857</t>
  </si>
  <si>
    <t>ORD000864</t>
  </si>
  <si>
    <t>ORD000888</t>
  </si>
  <si>
    <t>ORD000905</t>
  </si>
  <si>
    <t>ORD000908</t>
  </si>
  <si>
    <t>ORD000912</t>
  </si>
  <si>
    <t>ORD000917</t>
  </si>
  <si>
    <t>ORD000920</t>
  </si>
  <si>
    <t>ORD000921</t>
  </si>
  <si>
    <t>ORD000922</t>
  </si>
  <si>
    <t>ORD000927</t>
  </si>
  <si>
    <t>ORD000929</t>
  </si>
  <si>
    <t>ORD000946</t>
  </si>
  <si>
    <t>ORD000952</t>
  </si>
  <si>
    <t>ORD000957</t>
  </si>
  <si>
    <t>ORD000961</t>
  </si>
  <si>
    <t>ORD000963</t>
  </si>
  <si>
    <t>ORD000977</t>
  </si>
  <si>
    <t>ORD000987</t>
  </si>
  <si>
    <t>ORD000992</t>
  </si>
  <si>
    <t>ORD000996</t>
  </si>
  <si>
    <t>ORD000004</t>
  </si>
  <si>
    <t>DSP0089</t>
  </si>
  <si>
    <t>ORD000011</t>
  </si>
  <si>
    <t>DSP0003</t>
  </si>
  <si>
    <t>ORD000016</t>
  </si>
  <si>
    <t>DSP0082</t>
  </si>
  <si>
    <t>ORD000017</t>
  </si>
  <si>
    <t>DSP0100</t>
  </si>
  <si>
    <t>ORD000031</t>
  </si>
  <si>
    <t>DSP0037</t>
  </si>
  <si>
    <t>ORD000038</t>
  </si>
  <si>
    <t>DSP0105</t>
  </si>
  <si>
    <t>ORD000065</t>
  </si>
  <si>
    <t>DSP0009</t>
  </si>
  <si>
    <t>ORD000066</t>
  </si>
  <si>
    <t>DSP0013</t>
  </si>
  <si>
    <t>ORD000077</t>
  </si>
  <si>
    <t>DSP0090</t>
  </si>
  <si>
    <t>ORD000081</t>
  </si>
  <si>
    <t>ORD000082</t>
  </si>
  <si>
    <t>DSP0109</t>
  </si>
  <si>
    <t>ORD000094</t>
  </si>
  <si>
    <t>ORD000097</t>
  </si>
  <si>
    <t>DSP0046</t>
  </si>
  <si>
    <t>ORD000102</t>
  </si>
  <si>
    <t>ORD000111</t>
  </si>
  <si>
    <t>DSP0018</t>
  </si>
  <si>
    <t>ORD000118</t>
  </si>
  <si>
    <t>ORD000133</t>
  </si>
  <si>
    <t>ORD000141</t>
  </si>
  <si>
    <t>DSP0108</t>
  </si>
  <si>
    <t>ORD000142</t>
  </si>
  <si>
    <t>DSP0054</t>
  </si>
  <si>
    <t>ORD000148</t>
  </si>
  <si>
    <t>ORD000151</t>
  </si>
  <si>
    <t>ORD000153</t>
  </si>
  <si>
    <t>DSP0041</t>
  </si>
  <si>
    <t>ORD000162</t>
  </si>
  <si>
    <t>DSP0049</t>
  </si>
  <si>
    <t>ORD000164</t>
  </si>
  <si>
    <t>ORD000168</t>
  </si>
  <si>
    <t>ORD000180</t>
  </si>
  <si>
    <t>ORD000191</t>
  </si>
  <si>
    <t>ORD000195</t>
  </si>
  <si>
    <t>DSP0031</t>
  </si>
  <si>
    <t>ORD000198</t>
  </si>
  <si>
    <t>ORD000201</t>
  </si>
  <si>
    <t>ORD000203</t>
  </si>
  <si>
    <t>ORD000205</t>
  </si>
  <si>
    <t>ORD000212</t>
  </si>
  <si>
    <t>ORD000216</t>
  </si>
  <si>
    <t>ORD000220</t>
  </si>
  <si>
    <t>ORD000233</t>
  </si>
  <si>
    <t>ORD000234</t>
  </si>
  <si>
    <t>ORD000236</t>
  </si>
  <si>
    <t>ORD000240</t>
  </si>
  <si>
    <t>ORD000241</t>
  </si>
  <si>
    <t>ORD000250</t>
  </si>
  <si>
    <t>ORD000251</t>
  </si>
  <si>
    <t>ORD000256</t>
  </si>
  <si>
    <t>ORD000265</t>
  </si>
  <si>
    <t>ORD000277</t>
  </si>
  <si>
    <t>ORD000285</t>
  </si>
  <si>
    <t>ORD000286</t>
  </si>
  <si>
    <t>ORD000294</t>
  </si>
  <si>
    <t>ORD000319</t>
  </si>
  <si>
    <t>ORD000320</t>
  </si>
  <si>
    <t>ORD000333</t>
  </si>
  <si>
    <t>ORD000335</t>
  </si>
  <si>
    <t>ORD000337</t>
  </si>
  <si>
    <t>ORD000345</t>
  </si>
  <si>
    <t>ORD000347</t>
  </si>
  <si>
    <t>ORD000351</t>
  </si>
  <si>
    <t>ORD000352</t>
  </si>
  <si>
    <t>ORD000355</t>
  </si>
  <si>
    <t>ORD000366</t>
  </si>
  <si>
    <t>ORD000374</t>
  </si>
  <si>
    <t>ORD000375</t>
  </si>
  <si>
    <t>ORD000381</t>
  </si>
  <si>
    <t>ORD000398</t>
  </si>
  <si>
    <t>ORD000404</t>
  </si>
  <si>
    <t>ORD000411</t>
  </si>
  <si>
    <t>ORD000426</t>
  </si>
  <si>
    <t>ORD000442</t>
  </si>
  <si>
    <t>ORD000445</t>
  </si>
  <si>
    <t>ORD000459</t>
  </si>
  <si>
    <t>ORD000463</t>
  </si>
  <si>
    <t>ORD000477</t>
  </si>
  <si>
    <t>ORD000479</t>
  </si>
  <si>
    <t>ORD000484</t>
  </si>
  <si>
    <t>ORD000497</t>
  </si>
  <si>
    <t>ORD000498</t>
  </si>
  <si>
    <t>ORD000501</t>
  </si>
  <si>
    <t>ORD000502</t>
  </si>
  <si>
    <t>ORD000506</t>
  </si>
  <si>
    <t>ORD000511</t>
  </si>
  <si>
    <t>ORD000524</t>
  </si>
  <si>
    <t>ORD000558</t>
  </si>
  <si>
    <t>ORD000559</t>
  </si>
  <si>
    <t>ORD000563</t>
  </si>
  <si>
    <t>ORD000566</t>
  </si>
  <si>
    <t>ORD000567</t>
  </si>
  <si>
    <t>ORD000569</t>
  </si>
  <si>
    <t>ORD000576</t>
  </si>
  <si>
    <t>ORD000578</t>
  </si>
  <si>
    <t>ORD000580</t>
  </si>
  <si>
    <t>ORD000591</t>
  </si>
  <si>
    <t>ORD000594</t>
  </si>
  <si>
    <t>ORD000601</t>
  </si>
  <si>
    <t>ORD000606</t>
  </si>
  <si>
    <t>ORD000614</t>
  </si>
  <si>
    <t>ORD000619</t>
  </si>
  <si>
    <t>ORD000642</t>
  </si>
  <si>
    <t>ORD000643</t>
  </si>
  <si>
    <t>ORD000648</t>
  </si>
  <si>
    <t>ORD000655</t>
  </si>
  <si>
    <t>ORD000662</t>
  </si>
  <si>
    <t>ORD000665</t>
  </si>
  <si>
    <t>ORD000666</t>
  </si>
  <si>
    <t>ORD000676</t>
  </si>
  <si>
    <t>ORD000686</t>
  </si>
  <si>
    <t>ORD000690</t>
  </si>
  <si>
    <t>ORD000700</t>
  </si>
  <si>
    <t>ORD000705</t>
  </si>
  <si>
    <t>ORD000731</t>
  </si>
  <si>
    <t>ORD000735</t>
  </si>
  <si>
    <t>ORD000751</t>
  </si>
  <si>
    <t>ORD000754</t>
  </si>
  <si>
    <t>ORD000760</t>
  </si>
  <si>
    <t>ORD000763</t>
  </si>
  <si>
    <t>ORD000774</t>
  </si>
  <si>
    <t>ORD000792</t>
  </si>
  <si>
    <t>ORD000799</t>
  </si>
  <si>
    <t>ORD000812</t>
  </si>
  <si>
    <t>ORD000822</t>
  </si>
  <si>
    <t>ORD000827</t>
  </si>
  <si>
    <t>ORD000830</t>
  </si>
  <si>
    <t>ORD000835</t>
  </si>
  <si>
    <t>ORD000850</t>
  </si>
  <si>
    <t>ORD000855</t>
  </si>
  <si>
    <t>ORD000861</t>
  </si>
  <si>
    <t>ORD000866</t>
  </si>
  <si>
    <t>ORD000868</t>
  </si>
  <si>
    <t>ORD000871</t>
  </si>
  <si>
    <t>ORD000876</t>
  </si>
  <si>
    <t>ORD000882</t>
  </si>
  <si>
    <t>ORD000885</t>
  </si>
  <si>
    <t>ORD000897</t>
  </si>
  <si>
    <t>ORD000910</t>
  </si>
  <si>
    <t>ORD000925</t>
  </si>
  <si>
    <t>ORD000937</t>
  </si>
  <si>
    <t>ORD000971</t>
  </si>
  <si>
    <t>ORD000976</t>
  </si>
  <si>
    <t>ORD000978</t>
  </si>
  <si>
    <t>ORD000230</t>
  </si>
  <si>
    <t>ORD000009</t>
  </si>
  <si>
    <t>DSP0042</t>
  </si>
  <si>
    <t>ORD000043</t>
  </si>
  <si>
    <t>DSP0061</t>
  </si>
  <si>
    <t>ORD000048</t>
  </si>
  <si>
    <t>DSP0068</t>
  </si>
  <si>
    <t>ORD000057</t>
  </si>
  <si>
    <t>DSP0051</t>
  </si>
  <si>
    <t>ORD000058</t>
  </si>
  <si>
    <t>DSP0116</t>
  </si>
  <si>
    <t>ORD000071</t>
  </si>
  <si>
    <t>ORD000073</t>
  </si>
  <si>
    <t>DSP0095</t>
  </si>
  <si>
    <t>ORD000100</t>
  </si>
  <si>
    <t>DSP0092</t>
  </si>
  <si>
    <t>ORD000113</t>
  </si>
  <si>
    <t>DSP0120</t>
  </si>
  <si>
    <t>ORD000114</t>
  </si>
  <si>
    <t>ORD000116</t>
  </si>
  <si>
    <t>ORD000117</t>
  </si>
  <si>
    <t>ORD000125</t>
  </si>
  <si>
    <t>DSP0119</t>
  </si>
  <si>
    <t>ORD000134</t>
  </si>
  <si>
    <t>ORD000136</t>
  </si>
  <si>
    <t>ORD000163</t>
  </si>
  <si>
    <t>ORD000183</t>
  </si>
  <si>
    <t>ORD000190</t>
  </si>
  <si>
    <t>DSP0024</t>
  </si>
  <si>
    <t>ORD000221</t>
  </si>
  <si>
    <t>ORD000224</t>
  </si>
  <si>
    <t>DSP0052</t>
  </si>
  <si>
    <t>ORD000248</t>
  </si>
  <si>
    <t>ORD000260</t>
  </si>
  <si>
    <t>ORD000263</t>
  </si>
  <si>
    <t>ORD000280</t>
  </si>
  <si>
    <t>ORD000299</t>
  </si>
  <si>
    <t>ORD000312</t>
  </si>
  <si>
    <t>ORD000322</t>
  </si>
  <si>
    <t>ORD000331</t>
  </si>
  <si>
    <t>ORD000332</t>
  </si>
  <si>
    <t>ORD000334</t>
  </si>
  <si>
    <t>ORD000340</t>
  </si>
  <si>
    <t>ORD000371</t>
  </si>
  <si>
    <t>ORD000378</t>
  </si>
  <si>
    <t>ORD000406</t>
  </si>
  <si>
    <t>ORD000424</t>
  </si>
  <si>
    <t>ORD000439</t>
  </si>
  <si>
    <t>ORD000455</t>
  </si>
  <si>
    <t>ORD000458</t>
  </si>
  <si>
    <t>ORD000462</t>
  </si>
  <si>
    <t>ORD000464</t>
  </si>
  <si>
    <t>ORD000476</t>
  </si>
  <si>
    <t>ORD000493</t>
  </si>
  <si>
    <t>ORD000508</t>
  </si>
  <si>
    <t>ORD000510</t>
  </si>
  <si>
    <t>ORD000514</t>
  </si>
  <si>
    <t>ORD000525</t>
  </si>
  <si>
    <t>ORD000544</t>
  </si>
  <si>
    <t>ORD000551</t>
  </si>
  <si>
    <t>ORD000562</t>
  </si>
  <si>
    <t>ORD000575</t>
  </si>
  <si>
    <t>ORD000577</t>
  </si>
  <si>
    <t>ORD000586</t>
  </si>
  <si>
    <t>ORD000592</t>
  </si>
  <si>
    <t>ORD000612</t>
  </si>
  <si>
    <t>ORD000615</t>
  </si>
  <si>
    <t>ORD000626</t>
  </si>
  <si>
    <t>ORD000630</t>
  </si>
  <si>
    <t>ORD000631</t>
  </si>
  <si>
    <t>ORD000640</t>
  </si>
  <si>
    <t>ORD000641</t>
  </si>
  <si>
    <t>ORD000644</t>
  </si>
  <si>
    <t>ORD000646</t>
  </si>
  <si>
    <t>ORD000653</t>
  </si>
  <si>
    <t>ORD000659</t>
  </si>
  <si>
    <t>ORD000685</t>
  </si>
  <si>
    <t>ORD000709</t>
  </si>
  <si>
    <t>ORD000719</t>
  </si>
  <si>
    <t>ORD000720</t>
  </si>
  <si>
    <t>ORD000753</t>
  </si>
  <si>
    <t>ORD000757</t>
  </si>
  <si>
    <t>ORD000785</t>
  </si>
  <si>
    <t>ORD000798</t>
  </si>
  <si>
    <t>ORD000836</t>
  </si>
  <si>
    <t>ORD000856</t>
  </si>
  <si>
    <t>ORD000872</t>
  </si>
  <si>
    <t>ORD000883</t>
  </si>
  <si>
    <t>ORD000894</t>
  </si>
  <si>
    <t>ORD000895</t>
  </si>
  <si>
    <t>ORD000896</t>
  </si>
  <si>
    <t>ORD000911</t>
  </si>
  <si>
    <t>ORD000914</t>
  </si>
  <si>
    <t>ORD000915</t>
  </si>
  <si>
    <t>ORD000928</t>
  </si>
  <si>
    <t>ORD000949</t>
  </si>
  <si>
    <t>ORD000989</t>
  </si>
  <si>
    <t>ORD000991</t>
  </si>
  <si>
    <t>ORD000005</t>
  </si>
  <si>
    <t>DSP0050</t>
  </si>
  <si>
    <t>ORD000006</t>
  </si>
  <si>
    <t>ORD000008</t>
  </si>
  <si>
    <t>DSP0073</t>
  </si>
  <si>
    <t>ORD000018</t>
  </si>
  <si>
    <t>DSP0113</t>
  </si>
  <si>
    <t>ORD000044</t>
  </si>
  <si>
    <t>DSP0102</t>
  </si>
  <si>
    <t>ORD000047</t>
  </si>
  <si>
    <t>ORD000052</t>
  </si>
  <si>
    <t>ORD000054</t>
  </si>
  <si>
    <t>DSP0059</t>
  </si>
  <si>
    <t>ORD000055</t>
  </si>
  <si>
    <t>DSP0045</t>
  </si>
  <si>
    <t>ORD000063</t>
  </si>
  <si>
    <t>DSP0047</t>
  </si>
  <si>
    <t>ORD000086</t>
  </si>
  <si>
    <t>ORD000096</t>
  </si>
  <si>
    <t>DSP0083</t>
  </si>
  <si>
    <t>ORD000101</t>
  </si>
  <si>
    <t>ORD000122</t>
  </si>
  <si>
    <t>ORD000129</t>
  </si>
  <si>
    <t>ORD000135</t>
  </si>
  <si>
    <t>ORD000137</t>
  </si>
  <si>
    <t>DSP0088</t>
  </si>
  <si>
    <t>ORD000143</t>
  </si>
  <si>
    <t>ORD000150</t>
  </si>
  <si>
    <t>ORD000169</t>
  </si>
  <si>
    <t>ORD000210</t>
  </si>
  <si>
    <t>ORD000217</t>
  </si>
  <si>
    <t>DSP0035</t>
  </si>
  <si>
    <t>ORD000226</t>
  </si>
  <si>
    <t>ORD000247</t>
  </si>
  <si>
    <t>ORD000249</t>
  </si>
  <si>
    <t>DSP0086</t>
  </si>
  <si>
    <t>ORD000254</t>
  </si>
  <si>
    <t>ORD000258</t>
  </si>
  <si>
    <t>ORD000267</t>
  </si>
  <si>
    <t>DSP0021</t>
  </si>
  <si>
    <t>ORD000268</t>
  </si>
  <si>
    <t>ORD000271</t>
  </si>
  <si>
    <t>ORD000276</t>
  </si>
  <si>
    <t>ORD000293</t>
  </si>
  <si>
    <t>ORD000295</t>
  </si>
  <si>
    <t>ORD000304</t>
  </si>
  <si>
    <t>ORD000306</t>
  </si>
  <si>
    <t>ORD000307</t>
  </si>
  <si>
    <t>ORD000313</t>
  </si>
  <si>
    <t>ORD000321</t>
  </si>
  <si>
    <t>DSP0036</t>
  </si>
  <si>
    <t>ORD000323</t>
  </si>
  <si>
    <t>ORD000324</t>
  </si>
  <si>
    <t>ORD000329</t>
  </si>
  <si>
    <t>ORD000338</t>
  </si>
  <si>
    <t>ORD000365</t>
  </si>
  <si>
    <t>ORD000380</t>
  </si>
  <si>
    <t>ORD000382</t>
  </si>
  <si>
    <t>ORD000384</t>
  </si>
  <si>
    <t>ORD000385</t>
  </si>
  <si>
    <t>ORD000416</t>
  </si>
  <si>
    <t>ORD000430</t>
  </si>
  <si>
    <t>ORD000437</t>
  </si>
  <si>
    <t>ORD000449</t>
  </si>
  <si>
    <t>ORD000450</t>
  </si>
  <si>
    <t>ORD000456</t>
  </si>
  <si>
    <t>ORD000483</t>
  </si>
  <si>
    <t>ORD000486</t>
  </si>
  <si>
    <t>ORD000500</t>
  </si>
  <si>
    <t>ORD000507</t>
  </si>
  <si>
    <t>ORD000513</t>
  </si>
  <si>
    <t>ORD000526</t>
  </si>
  <si>
    <t>ORD000527</t>
  </si>
  <si>
    <t>ORD000533</t>
  </si>
  <si>
    <t>ORD000543</t>
  </si>
  <si>
    <t>ORD000550</t>
  </si>
  <si>
    <t>ORD000553</t>
  </si>
  <si>
    <t>ORD000560</t>
  </si>
  <si>
    <t>ORD000568</t>
  </si>
  <si>
    <t>ORD000582</t>
  </si>
  <si>
    <t>ORD000584</t>
  </si>
  <si>
    <t>ORD000585</t>
  </si>
  <si>
    <t>ORD000600</t>
  </si>
  <si>
    <t>ORD000604</t>
  </si>
  <si>
    <t>ORD000622</t>
  </si>
  <si>
    <t>ORD000627</t>
  </si>
  <si>
    <t>ORD000635</t>
  </si>
  <si>
    <t>ORD000637</t>
  </si>
  <si>
    <t>ORD000650</t>
  </si>
  <si>
    <t>ORD000667</t>
  </si>
  <si>
    <t>DSP0106</t>
  </si>
  <si>
    <t>ORD000693</t>
  </si>
  <si>
    <t>ORD000696</t>
  </si>
  <si>
    <t>ORD000713</t>
  </si>
  <si>
    <t>ORD000725</t>
  </si>
  <si>
    <t>ORD000747</t>
  </si>
  <si>
    <t>ORD000756</t>
  </si>
  <si>
    <t>ORD000761</t>
  </si>
  <si>
    <t>ORD000775</t>
  </si>
  <si>
    <t>ORD000794</t>
  </si>
  <si>
    <t>ORD000796</t>
  </si>
  <si>
    <t>ORD000802</t>
  </si>
  <si>
    <t>ORD000804</t>
  </si>
  <si>
    <t>ORD000809</t>
  </si>
  <si>
    <t>ORD000815</t>
  </si>
  <si>
    <t>ORD000818</t>
  </si>
  <si>
    <t>ORD000819</t>
  </si>
  <si>
    <t>ORD000820</t>
  </si>
  <si>
    <t>ORD000844</t>
  </si>
  <si>
    <t>ORD000867</t>
  </si>
  <si>
    <t>ORD000886</t>
  </si>
  <si>
    <t>ORD000887</t>
  </si>
  <si>
    <t>ORD000892</t>
  </si>
  <si>
    <t>ORD000898</t>
  </si>
  <si>
    <t>ORD000918</t>
  </si>
  <si>
    <t>ORD000924</t>
  </si>
  <si>
    <t>ORD000948</t>
  </si>
  <si>
    <t>ORD000953</t>
  </si>
  <si>
    <t>ORD000958</t>
  </si>
  <si>
    <t>ORD000965</t>
  </si>
  <si>
    <t>ORD000966</t>
  </si>
  <si>
    <t>ORD000969</t>
  </si>
  <si>
    <t>ORD000972</t>
  </si>
  <si>
    <t>ORD000979</t>
  </si>
  <si>
    <t>ORD000981</t>
  </si>
  <si>
    <t>ORD000023</t>
  </si>
  <si>
    <t>DSP0098</t>
  </si>
  <si>
    <t>ORD000036</t>
  </si>
  <si>
    <t>DSP0067</t>
  </si>
  <si>
    <t>ORD000061</t>
  </si>
  <si>
    <t>DSP0065</t>
  </si>
  <si>
    <t>ORD000067</t>
  </si>
  <si>
    <t>DSP0020</t>
  </si>
  <si>
    <t>ORD000069</t>
  </si>
  <si>
    <t>DSP0016</t>
  </si>
  <si>
    <t>ORD000079</t>
  </si>
  <si>
    <t>ORD000095</t>
  </si>
  <si>
    <t>ORD000106</t>
  </si>
  <si>
    <t>ORD000112</t>
  </si>
  <si>
    <t>ORD000119</t>
  </si>
  <si>
    <t>ORD000124</t>
  </si>
  <si>
    <t>ORD000131</t>
  </si>
  <si>
    <t>ORD000138</t>
  </si>
  <si>
    <t>ORD000170</t>
  </si>
  <si>
    <t>ORD000174</t>
  </si>
  <si>
    <t>ORD000193</t>
  </si>
  <si>
    <t>ORD000229</t>
  </si>
  <si>
    <t>ORD000257</t>
  </si>
  <si>
    <t>ORD000278</t>
  </si>
  <si>
    <t>ORD000282</t>
  </si>
  <si>
    <t>ORD000327</t>
  </si>
  <si>
    <t>ORD000350</t>
  </si>
  <si>
    <t>ORD000356</t>
  </si>
  <si>
    <t>ORD000405</t>
  </si>
  <si>
    <t>ORD000420</t>
  </si>
  <si>
    <t>ORD000427</t>
  </si>
  <si>
    <t>ORD000453</t>
  </si>
  <si>
    <t>ORD000480</t>
  </si>
  <si>
    <t>ORD000564</t>
  </si>
  <si>
    <t>ORD000611</t>
  </si>
  <si>
    <t>ORD000651</t>
  </si>
  <si>
    <t>ORD000668</t>
  </si>
  <si>
    <t>ORD000671</t>
  </si>
  <si>
    <t>ORD000679</t>
  </si>
  <si>
    <t>ORD000687</t>
  </si>
  <si>
    <t>ORD000704</t>
  </si>
  <si>
    <t>ORD000744</t>
  </si>
  <si>
    <t>ORD000791</t>
  </si>
  <si>
    <t>ORD000808</t>
  </si>
  <si>
    <t>ORD000926</t>
  </si>
  <si>
    <t>ORD000941</t>
  </si>
  <si>
    <t>ORD000968</t>
  </si>
  <si>
    <t>ORD000002</t>
  </si>
  <si>
    <t>DSP0111</t>
  </si>
  <si>
    <t>ORD000010</t>
  </si>
  <si>
    <t>DSP0007</t>
  </si>
  <si>
    <t>ORD000035</t>
  </si>
  <si>
    <t>DSP0087</t>
  </si>
  <si>
    <t>ORD000045</t>
  </si>
  <si>
    <t>ORD000053</t>
  </si>
  <si>
    <t>DSP0023</t>
  </si>
  <si>
    <t>ORD000056</t>
  </si>
  <si>
    <t>DSP0062</t>
  </si>
  <si>
    <t>ORD000062</t>
  </si>
  <si>
    <t>DSP0015</t>
  </si>
  <si>
    <t>ORD000072</t>
  </si>
  <si>
    <t>ORD000080</t>
  </si>
  <si>
    <t>DSP0076</t>
  </si>
  <si>
    <t>ORD000088</t>
  </si>
  <si>
    <t>ORD000123</t>
  </si>
  <si>
    <t>DSP0070</t>
  </si>
  <si>
    <t>ORD000159</t>
  </si>
  <si>
    <t>ORD000200</t>
  </si>
  <si>
    <t>ORD000246</t>
  </si>
  <si>
    <t>ORD000262</t>
  </si>
  <si>
    <t>ORD000291</t>
  </si>
  <si>
    <t>ORD000301</t>
  </si>
  <si>
    <t>ORD000328</t>
  </si>
  <si>
    <t>ORD000330</t>
  </si>
  <si>
    <t>ORD000349</t>
  </si>
  <si>
    <t>ORD000358</t>
  </si>
  <si>
    <t>ORD000359</t>
  </si>
  <si>
    <t>ORD000415</t>
  </si>
  <si>
    <t>ORD000418</t>
  </si>
  <si>
    <t>ORD000422</t>
  </si>
  <si>
    <t>DSP0085</t>
  </si>
  <si>
    <t>ORD000433</t>
  </si>
  <si>
    <t>ORD000474</t>
  </si>
  <si>
    <t>ORD000485</t>
  </si>
  <si>
    <t>ORD000504</t>
  </si>
  <si>
    <t>ORD000518</t>
  </si>
  <si>
    <t>ORD000531</t>
  </si>
  <si>
    <t>ORD000534</t>
  </si>
  <si>
    <t>ORD000541</t>
  </si>
  <si>
    <t>ORD000557</t>
  </si>
  <si>
    <t>ORD000570</t>
  </si>
  <si>
    <t>ORD000571</t>
  </si>
  <si>
    <t>ORD000574</t>
  </si>
  <si>
    <t>ORD000587</t>
  </si>
  <si>
    <t>ORD000589</t>
  </si>
  <si>
    <t>ORD000599</t>
  </si>
  <si>
    <t>ORD000639</t>
  </si>
  <si>
    <t>ORD000670</t>
  </si>
  <si>
    <t>ORD000688</t>
  </si>
  <si>
    <t>ORD000692</t>
  </si>
  <si>
    <t>ORD000701</t>
  </si>
  <si>
    <t>ORD000712</t>
  </si>
  <si>
    <t>ORD000722</t>
  </si>
  <si>
    <t>ORD000727</t>
  </si>
  <si>
    <t>ORD000736</t>
  </si>
  <si>
    <t>ORD000738</t>
  </si>
  <si>
    <t>ORD000741</t>
  </si>
  <si>
    <t>ORD000748</t>
  </si>
  <si>
    <t>ORD000755</t>
  </si>
  <si>
    <t>ORD000758</t>
  </si>
  <si>
    <t>ORD000762</t>
  </si>
  <si>
    <t>ORD000764</t>
  </si>
  <si>
    <t>ORD000765</t>
  </si>
  <si>
    <t>ORD000816</t>
  </si>
  <si>
    <t>ORD000817</t>
  </si>
  <si>
    <t>ORD000824</t>
  </si>
  <si>
    <t>ORD000838</t>
  </si>
  <si>
    <t>ORD000839</t>
  </si>
  <si>
    <t>ORD000842</t>
  </si>
  <si>
    <t>ORD000875</t>
  </si>
  <si>
    <t>ORD000889</t>
  </si>
  <si>
    <t>ORD000899</t>
  </si>
  <si>
    <t>ORD000907</t>
  </si>
  <si>
    <t>ORD000931</t>
  </si>
  <si>
    <t>ORD000936</t>
  </si>
  <si>
    <t>ORD000951</t>
  </si>
  <si>
    <t>ORD000983</t>
  </si>
  <si>
    <t>ORD000998</t>
  </si>
  <si>
    <t>ORD000999</t>
  </si>
  <si>
    <t>invoice_id</t>
  </si>
  <si>
    <t>invoice_date</t>
  </si>
  <si>
    <t>qty_invoiced</t>
  </si>
  <si>
    <t>invoice_amount</t>
  </si>
  <si>
    <t>invoice_status</t>
  </si>
  <si>
    <t>qty_variance_vs_order</t>
  </si>
  <si>
    <t>amount_variance_vs_order</t>
  </si>
  <si>
    <t>orphan_invoice_flag</t>
  </si>
  <si>
    <t>INV000001</t>
  </si>
  <si>
    <t>Review</t>
  </si>
  <si>
    <t>INV000002</t>
  </si>
  <si>
    <t>Posted</t>
  </si>
  <si>
    <t>INV000003</t>
  </si>
  <si>
    <t>INV000004</t>
  </si>
  <si>
    <t>INV000005</t>
  </si>
  <si>
    <t>INV000006</t>
  </si>
  <si>
    <t>INV000007</t>
  </si>
  <si>
    <t>INV000008</t>
  </si>
  <si>
    <t>INV000009</t>
  </si>
  <si>
    <t>INV000010</t>
  </si>
  <si>
    <t>INV000011</t>
  </si>
  <si>
    <t>INV000012</t>
  </si>
  <si>
    <t>INV000013</t>
  </si>
  <si>
    <t>INV000014</t>
  </si>
  <si>
    <t>INV000015</t>
  </si>
  <si>
    <t>INV000016</t>
  </si>
  <si>
    <t>INV000017</t>
  </si>
  <si>
    <t>INV000018</t>
  </si>
  <si>
    <t>INV000019</t>
  </si>
  <si>
    <t>INV000020</t>
  </si>
  <si>
    <t>INV000021</t>
  </si>
  <si>
    <t>INV000022</t>
  </si>
  <si>
    <t>INV000023</t>
  </si>
  <si>
    <t>INV000024</t>
  </si>
  <si>
    <t>INV000025</t>
  </si>
  <si>
    <t>INV000026</t>
  </si>
  <si>
    <t>INV000027</t>
  </si>
  <si>
    <t>INV000028</t>
  </si>
  <si>
    <t>INV000029</t>
  </si>
  <si>
    <t>INV000030</t>
  </si>
  <si>
    <t>INV000031</t>
  </si>
  <si>
    <t>INV000032</t>
  </si>
  <si>
    <t>INV000033</t>
  </si>
  <si>
    <t>INV000034</t>
  </si>
  <si>
    <t>INV000035</t>
  </si>
  <si>
    <t>INV000036</t>
  </si>
  <si>
    <t>INV000037</t>
  </si>
  <si>
    <t>INV000038</t>
  </si>
  <si>
    <t>INV000039</t>
  </si>
  <si>
    <t>INV000040</t>
  </si>
  <si>
    <t>INV000041</t>
  </si>
  <si>
    <t>INV000042</t>
  </si>
  <si>
    <t>INV000043</t>
  </si>
  <si>
    <t>INV000044</t>
  </si>
  <si>
    <t>INV000045</t>
  </si>
  <si>
    <t>INV000046</t>
  </si>
  <si>
    <t>INV000047</t>
  </si>
  <si>
    <t>INV000048</t>
  </si>
  <si>
    <t>INV000049</t>
  </si>
  <si>
    <t>INV000050</t>
  </si>
  <si>
    <t>INV000051</t>
  </si>
  <si>
    <t>INV000052</t>
  </si>
  <si>
    <t>INV000053</t>
  </si>
  <si>
    <t>INV000054</t>
  </si>
  <si>
    <t>INV000055</t>
  </si>
  <si>
    <t>INV000056</t>
  </si>
  <si>
    <t>INV000057</t>
  </si>
  <si>
    <t>INV000058</t>
  </si>
  <si>
    <t>INV000059</t>
  </si>
  <si>
    <t>INV000060</t>
  </si>
  <si>
    <t>INV000061</t>
  </si>
  <si>
    <t>INV000062</t>
  </si>
  <si>
    <t>INV000063</t>
  </si>
  <si>
    <t>INV000064</t>
  </si>
  <si>
    <t>INV000065</t>
  </si>
  <si>
    <t>INV000066</t>
  </si>
  <si>
    <t>INV000067</t>
  </si>
  <si>
    <t>INV000068</t>
  </si>
  <si>
    <t>INV000069</t>
  </si>
  <si>
    <t>INV000070</t>
  </si>
  <si>
    <t>INV000071</t>
  </si>
  <si>
    <t>INV000072</t>
  </si>
  <si>
    <t>INV000073</t>
  </si>
  <si>
    <t>INV000074</t>
  </si>
  <si>
    <t>INV000075</t>
  </si>
  <si>
    <t>INV000076</t>
  </si>
  <si>
    <t>INV000077</t>
  </si>
  <si>
    <t>INV000078</t>
  </si>
  <si>
    <t>INV000079</t>
  </si>
  <si>
    <t>INV000080</t>
  </si>
  <si>
    <t>INV000081</t>
  </si>
  <si>
    <t>INV000082</t>
  </si>
  <si>
    <t>INV000083</t>
  </si>
  <si>
    <t>INV000084</t>
  </si>
  <si>
    <t>INV000085</t>
  </si>
  <si>
    <t>INV000086</t>
  </si>
  <si>
    <t>INV000087</t>
  </si>
  <si>
    <t>INV000088</t>
  </si>
  <si>
    <t>INV000089</t>
  </si>
  <si>
    <t>INV000090</t>
  </si>
  <si>
    <t>INV000091</t>
  </si>
  <si>
    <t>INV000092</t>
  </si>
  <si>
    <t>INV000093</t>
  </si>
  <si>
    <t>INV000094</t>
  </si>
  <si>
    <t>INV000095</t>
  </si>
  <si>
    <t>INV000096</t>
  </si>
  <si>
    <t>INV000097</t>
  </si>
  <si>
    <t>INV000098</t>
  </si>
  <si>
    <t>INV000099</t>
  </si>
  <si>
    <t>INV000100</t>
  </si>
  <si>
    <t>INV000101</t>
  </si>
  <si>
    <t>INV000102</t>
  </si>
  <si>
    <t>INV000103</t>
  </si>
  <si>
    <t>INV000104</t>
  </si>
  <si>
    <t>INV000105</t>
  </si>
  <si>
    <t>INV000106</t>
  </si>
  <si>
    <t>INV000107</t>
  </si>
  <si>
    <t>INV000108</t>
  </si>
  <si>
    <t>INV000109</t>
  </si>
  <si>
    <t>INV000110</t>
  </si>
  <si>
    <t>INV000111</t>
  </si>
  <si>
    <t>INV000112</t>
  </si>
  <si>
    <t>INV000113</t>
  </si>
  <si>
    <t>INV000114</t>
  </si>
  <si>
    <t>INV000115</t>
  </si>
  <si>
    <t>INV000116</t>
  </si>
  <si>
    <t>INV000117</t>
  </si>
  <si>
    <t>INV000118</t>
  </si>
  <si>
    <t>INV000119</t>
  </si>
  <si>
    <t>INV000120</t>
  </si>
  <si>
    <t>INV000121</t>
  </si>
  <si>
    <t>INV000122</t>
  </si>
  <si>
    <t>INV000123</t>
  </si>
  <si>
    <t>INV000124</t>
  </si>
  <si>
    <t>INV000125</t>
  </si>
  <si>
    <t>INV000126</t>
  </si>
  <si>
    <t>INV000127</t>
  </si>
  <si>
    <t>INV000128</t>
  </si>
  <si>
    <t>INV000129</t>
  </si>
  <si>
    <t>INV000130</t>
  </si>
  <si>
    <t>INV000131</t>
  </si>
  <si>
    <t>INV000132</t>
  </si>
  <si>
    <t>INV000133</t>
  </si>
  <si>
    <t>INV000134</t>
  </si>
  <si>
    <t>INV000135</t>
  </si>
  <si>
    <t>INV000136</t>
  </si>
  <si>
    <t>INV000137</t>
  </si>
  <si>
    <t>INV000138</t>
  </si>
  <si>
    <t>INV000139</t>
  </si>
  <si>
    <t>INV000140</t>
  </si>
  <si>
    <t>INV000141</t>
  </si>
  <si>
    <t>INV000142</t>
  </si>
  <si>
    <t>INV000143</t>
  </si>
  <si>
    <t>INV000144</t>
  </si>
  <si>
    <t>INV000145</t>
  </si>
  <si>
    <t>INV000146</t>
  </si>
  <si>
    <t>INV000147</t>
  </si>
  <si>
    <t>INV000148</t>
  </si>
  <si>
    <t>INV000149</t>
  </si>
  <si>
    <t>INV000150</t>
  </si>
  <si>
    <t>INV000151</t>
  </si>
  <si>
    <t>INV000152</t>
  </si>
  <si>
    <t>INV000153</t>
  </si>
  <si>
    <t>INV000154</t>
  </si>
  <si>
    <t>INV000155</t>
  </si>
  <si>
    <t>INV000156</t>
  </si>
  <si>
    <t>INV000157</t>
  </si>
  <si>
    <t>INV000158</t>
  </si>
  <si>
    <t>INV000159</t>
  </si>
  <si>
    <t>INV000160</t>
  </si>
  <si>
    <t>INV000161</t>
  </si>
  <si>
    <t>INV000162</t>
  </si>
  <si>
    <t>INV000163</t>
  </si>
  <si>
    <t>INV000164</t>
  </si>
  <si>
    <t>INV000165</t>
  </si>
  <si>
    <t>INV000166</t>
  </si>
  <si>
    <t>INV000167</t>
  </si>
  <si>
    <t>INV000168</t>
  </si>
  <si>
    <t>INV000169</t>
  </si>
  <si>
    <t>INV000170</t>
  </si>
  <si>
    <t>INV000171</t>
  </si>
  <si>
    <t>INV000172</t>
  </si>
  <si>
    <t>INV000173</t>
  </si>
  <si>
    <t>INV000174</t>
  </si>
  <si>
    <t>INV000175</t>
  </si>
  <si>
    <t>INV000176</t>
  </si>
  <si>
    <t>INV000177</t>
  </si>
  <si>
    <t>INV000178</t>
  </si>
  <si>
    <t>INV000179</t>
  </si>
  <si>
    <t>INV000180</t>
  </si>
  <si>
    <t>INV000181</t>
  </si>
  <si>
    <t>INV000182</t>
  </si>
  <si>
    <t>INV000183</t>
  </si>
  <si>
    <t>INV000184</t>
  </si>
  <si>
    <t>INV000185</t>
  </si>
  <si>
    <t>INV000186</t>
  </si>
  <si>
    <t>INV000187</t>
  </si>
  <si>
    <t>INV000188</t>
  </si>
  <si>
    <t>INV000189</t>
  </si>
  <si>
    <t>INV000190</t>
  </si>
  <si>
    <t>INV000191</t>
  </si>
  <si>
    <t>INV000192</t>
  </si>
  <si>
    <t>INV000193</t>
  </si>
  <si>
    <t>INV000194</t>
  </si>
  <si>
    <t>INV000195</t>
  </si>
  <si>
    <t>INV000196</t>
  </si>
  <si>
    <t>INV000197</t>
  </si>
  <si>
    <t>INV000198</t>
  </si>
  <si>
    <t>INV000199</t>
  </si>
  <si>
    <t>INV000200</t>
  </si>
  <si>
    <t>INV000201</t>
  </si>
  <si>
    <t>INV000202</t>
  </si>
  <si>
    <t>INV000203</t>
  </si>
  <si>
    <t>INV000204</t>
  </si>
  <si>
    <t>INV000205</t>
  </si>
  <si>
    <t>INV000206</t>
  </si>
  <si>
    <t>INV000207</t>
  </si>
  <si>
    <t>INV000208</t>
  </si>
  <si>
    <t>INV000209</t>
  </si>
  <si>
    <t>INV000210</t>
  </si>
  <si>
    <t>INV000211</t>
  </si>
  <si>
    <t>INV000212</t>
  </si>
  <si>
    <t>INV000213</t>
  </si>
  <si>
    <t>INV000214</t>
  </si>
  <si>
    <t>INV000215</t>
  </si>
  <si>
    <t>INV000216</t>
  </si>
  <si>
    <t>INV000217</t>
  </si>
  <si>
    <t>INV000218</t>
  </si>
  <si>
    <t>INV000219</t>
  </si>
  <si>
    <t>INV000220</t>
  </si>
  <si>
    <t>INV000221</t>
  </si>
  <si>
    <t>INV000222</t>
  </si>
  <si>
    <t>INV000223</t>
  </si>
  <si>
    <t>INV000224</t>
  </si>
  <si>
    <t>INV000225</t>
  </si>
  <si>
    <t>INV000226</t>
  </si>
  <si>
    <t>INV000227</t>
  </si>
  <si>
    <t>INV000228</t>
  </si>
  <si>
    <t>INV000229</t>
  </si>
  <si>
    <t>INV000230</t>
  </si>
  <si>
    <t>INV000231</t>
  </si>
  <si>
    <t>INV000232</t>
  </si>
  <si>
    <t>INV000233</t>
  </si>
  <si>
    <t>INV000234</t>
  </si>
  <si>
    <t>INV000235</t>
  </si>
  <si>
    <t>INV000236</t>
  </si>
  <si>
    <t>INV000237</t>
  </si>
  <si>
    <t>INV000238</t>
  </si>
  <si>
    <t>INV000239</t>
  </si>
  <si>
    <t>INV000240</t>
  </si>
  <si>
    <t>INV000241</t>
  </si>
  <si>
    <t>INV000242</t>
  </si>
  <si>
    <t>INV000243</t>
  </si>
  <si>
    <t>INV000244</t>
  </si>
  <si>
    <t>INV000245</t>
  </si>
  <si>
    <t>INV000246</t>
  </si>
  <si>
    <t>INV000247</t>
  </si>
  <si>
    <t>INV000248</t>
  </si>
  <si>
    <t>INV000249</t>
  </si>
  <si>
    <t>INV000250</t>
  </si>
  <si>
    <t>INV000251</t>
  </si>
  <si>
    <t>INV000252</t>
  </si>
  <si>
    <t>INV000253</t>
  </si>
  <si>
    <t>INV000254</t>
  </si>
  <si>
    <t>INV000255</t>
  </si>
  <si>
    <t>INV000256</t>
  </si>
  <si>
    <t>INV000257</t>
  </si>
  <si>
    <t>INV000258</t>
  </si>
  <si>
    <t>INV000259</t>
  </si>
  <si>
    <t>INV000260</t>
  </si>
  <si>
    <t>INV000261</t>
  </si>
  <si>
    <t>INV000262</t>
  </si>
  <si>
    <t>INV000263</t>
  </si>
  <si>
    <t>INV000264</t>
  </si>
  <si>
    <t>INV000265</t>
  </si>
  <si>
    <t>INV000266</t>
  </si>
  <si>
    <t>INV000267</t>
  </si>
  <si>
    <t>INV000268</t>
  </si>
  <si>
    <t>INV000269</t>
  </si>
  <si>
    <t>INV000270</t>
  </si>
  <si>
    <t>INV000271</t>
  </si>
  <si>
    <t>INV000272</t>
  </si>
  <si>
    <t>INV000273</t>
  </si>
  <si>
    <t>INV000274</t>
  </si>
  <si>
    <t>INV000275</t>
  </si>
  <si>
    <t>INV000276</t>
  </si>
  <si>
    <t>INV000277</t>
  </si>
  <si>
    <t>INV000278</t>
  </si>
  <si>
    <t>INV000279</t>
  </si>
  <si>
    <t>INV000280</t>
  </si>
  <si>
    <t>INV000281</t>
  </si>
  <si>
    <t>INV000282</t>
  </si>
  <si>
    <t>INV000283</t>
  </si>
  <si>
    <t>INV000284</t>
  </si>
  <si>
    <t>INV000285</t>
  </si>
  <si>
    <t>INV000286</t>
  </si>
  <si>
    <t>INV000287</t>
  </si>
  <si>
    <t>INV000288</t>
  </si>
  <si>
    <t>INV000289</t>
  </si>
  <si>
    <t>INV000290</t>
  </si>
  <si>
    <t>INV000291</t>
  </si>
  <si>
    <t>INV000292</t>
  </si>
  <si>
    <t>INV000293</t>
  </si>
  <si>
    <t>INV000294</t>
  </si>
  <si>
    <t>INV000295</t>
  </si>
  <si>
    <t>INV000296</t>
  </si>
  <si>
    <t>INV000297</t>
  </si>
  <si>
    <t>INV000298</t>
  </si>
  <si>
    <t>INV000299</t>
  </si>
  <si>
    <t>INV000300</t>
  </si>
  <si>
    <t>INV000301</t>
  </si>
  <si>
    <t>INV000302</t>
  </si>
  <si>
    <t>INV000303</t>
  </si>
  <si>
    <t>INV000304</t>
  </si>
  <si>
    <t>INV000305</t>
  </si>
  <si>
    <t>INV000306</t>
  </si>
  <si>
    <t>INV000307</t>
  </si>
  <si>
    <t>INV000308</t>
  </si>
  <si>
    <t>INV000309</t>
  </si>
  <si>
    <t>INV000310</t>
  </si>
  <si>
    <t>INV000311</t>
  </si>
  <si>
    <t>INV000312</t>
  </si>
  <si>
    <t>INV000313</t>
  </si>
  <si>
    <t>INV000314</t>
  </si>
  <si>
    <t>INV000315</t>
  </si>
  <si>
    <t>INV000316</t>
  </si>
  <si>
    <t>INV000317</t>
  </si>
  <si>
    <t>INV000318</t>
  </si>
  <si>
    <t>INV000319</t>
  </si>
  <si>
    <t>INV000320</t>
  </si>
  <si>
    <t>INV000321</t>
  </si>
  <si>
    <t>INV000322</t>
  </si>
  <si>
    <t>INV000323</t>
  </si>
  <si>
    <t>INV000324</t>
  </si>
  <si>
    <t>INV000325</t>
  </si>
  <si>
    <t>INV000326</t>
  </si>
  <si>
    <t>INV000327</t>
  </si>
  <si>
    <t>INV000328</t>
  </si>
  <si>
    <t>INV000329</t>
  </si>
  <si>
    <t>INV000330</t>
  </si>
  <si>
    <t>INV000331</t>
  </si>
  <si>
    <t>INV000332</t>
  </si>
  <si>
    <t>INV000333</t>
  </si>
  <si>
    <t>INV000334</t>
  </si>
  <si>
    <t>INV000335</t>
  </si>
  <si>
    <t>INV000336</t>
  </si>
  <si>
    <t>INV000337</t>
  </si>
  <si>
    <t>INV000338</t>
  </si>
  <si>
    <t>INV000339</t>
  </si>
  <si>
    <t>INV000340</t>
  </si>
  <si>
    <t>INV000341</t>
  </si>
  <si>
    <t>INV000342</t>
  </si>
  <si>
    <t>INV000343</t>
  </si>
  <si>
    <t>INV000344</t>
  </si>
  <si>
    <t>INV000345</t>
  </si>
  <si>
    <t>INV000346</t>
  </si>
  <si>
    <t>INV000347</t>
  </si>
  <si>
    <t>INV000348</t>
  </si>
  <si>
    <t>INV000349</t>
  </si>
  <si>
    <t>INV000350</t>
  </si>
  <si>
    <t>INV000351</t>
  </si>
  <si>
    <t>INV000352</t>
  </si>
  <si>
    <t>INV000353</t>
  </si>
  <si>
    <t>INV000354</t>
  </si>
  <si>
    <t>INV000355</t>
  </si>
  <si>
    <t>INV000356</t>
  </si>
  <si>
    <t>INV000357</t>
  </si>
  <si>
    <t>INV000358</t>
  </si>
  <si>
    <t>INV000359</t>
  </si>
  <si>
    <t>INV000360</t>
  </si>
  <si>
    <t>INV000361</t>
  </si>
  <si>
    <t>INV000362</t>
  </si>
  <si>
    <t>INV000363</t>
  </si>
  <si>
    <t>INV000364</t>
  </si>
  <si>
    <t>INV000365</t>
  </si>
  <si>
    <t>INV000366</t>
  </si>
  <si>
    <t>INV000367</t>
  </si>
  <si>
    <t>INV000368</t>
  </si>
  <si>
    <t>INV000369</t>
  </si>
  <si>
    <t>INV000370</t>
  </si>
  <si>
    <t>INV000371</t>
  </si>
  <si>
    <t>INV000372</t>
  </si>
  <si>
    <t>INV000373</t>
  </si>
  <si>
    <t>INV000374</t>
  </si>
  <si>
    <t>INV000375</t>
  </si>
  <si>
    <t>INV000376</t>
  </si>
  <si>
    <t>INV000377</t>
  </si>
  <si>
    <t>INV000378</t>
  </si>
  <si>
    <t>INV000379</t>
  </si>
  <si>
    <t>INV000380</t>
  </si>
  <si>
    <t>INV000381</t>
  </si>
  <si>
    <t>INV000382</t>
  </si>
  <si>
    <t>INV000383</t>
  </si>
  <si>
    <t>INV000384</t>
  </si>
  <si>
    <t>INV000385</t>
  </si>
  <si>
    <t>INV000386</t>
  </si>
  <si>
    <t>INV000387</t>
  </si>
  <si>
    <t>INV000388</t>
  </si>
  <si>
    <t>INV000389</t>
  </si>
  <si>
    <t>INV000390</t>
  </si>
  <si>
    <t>INV000391</t>
  </si>
  <si>
    <t>INV000392</t>
  </si>
  <si>
    <t>INV000393</t>
  </si>
  <si>
    <t>INV000394</t>
  </si>
  <si>
    <t>INV000395</t>
  </si>
  <si>
    <t>INV000396</t>
  </si>
  <si>
    <t>INV000397</t>
  </si>
  <si>
    <t>INV000398</t>
  </si>
  <si>
    <t>INV000399</t>
  </si>
  <si>
    <t>INV000400</t>
  </si>
  <si>
    <t>INV000401</t>
  </si>
  <si>
    <t>INV000402</t>
  </si>
  <si>
    <t>INV000403</t>
  </si>
  <si>
    <t>INV000404</t>
  </si>
  <si>
    <t>INV000405</t>
  </si>
  <si>
    <t>INV000406</t>
  </si>
  <si>
    <t>INV000407</t>
  </si>
  <si>
    <t>INV000408</t>
  </si>
  <si>
    <t>INV000409</t>
  </si>
  <si>
    <t>INV000410</t>
  </si>
  <si>
    <t>INV000411</t>
  </si>
  <si>
    <t>INV000412</t>
  </si>
  <si>
    <t>INV000413</t>
  </si>
  <si>
    <t>INV000414</t>
  </si>
  <si>
    <t>INV000415</t>
  </si>
  <si>
    <t>INV000416</t>
  </si>
  <si>
    <t>INV000417</t>
  </si>
  <si>
    <t>INV000418</t>
  </si>
  <si>
    <t>INV000419</t>
  </si>
  <si>
    <t>INV000420</t>
  </si>
  <si>
    <t>INV000421</t>
  </si>
  <si>
    <t>INV000422</t>
  </si>
  <si>
    <t>INV000423</t>
  </si>
  <si>
    <t>INV000424</t>
  </si>
  <si>
    <t>INV000425</t>
  </si>
  <si>
    <t>INV000426</t>
  </si>
  <si>
    <t>INV000427</t>
  </si>
  <si>
    <t>INV000428</t>
  </si>
  <si>
    <t>INV000429</t>
  </si>
  <si>
    <t>INV000430</t>
  </si>
  <si>
    <t>INV000431</t>
  </si>
  <si>
    <t>INV000432</t>
  </si>
  <si>
    <t>INV000433</t>
  </si>
  <si>
    <t>INV000434</t>
  </si>
  <si>
    <t>INV000435</t>
  </si>
  <si>
    <t>INV000436</t>
  </si>
  <si>
    <t>INV000437</t>
  </si>
  <si>
    <t>INV000438</t>
  </si>
  <si>
    <t>INV000439</t>
  </si>
  <si>
    <t>INV000440</t>
  </si>
  <si>
    <t>INV000441</t>
  </si>
  <si>
    <t>INV000442</t>
  </si>
  <si>
    <t>INV000443</t>
  </si>
  <si>
    <t>INV000444</t>
  </si>
  <si>
    <t>INV000445</t>
  </si>
  <si>
    <t>INV000446</t>
  </si>
  <si>
    <t>INV000447</t>
  </si>
  <si>
    <t>INV000448</t>
  </si>
  <si>
    <t>INV000449</t>
  </si>
  <si>
    <t>INV000450</t>
  </si>
  <si>
    <t>INV000451</t>
  </si>
  <si>
    <t>INV000452</t>
  </si>
  <si>
    <t>INV000453</t>
  </si>
  <si>
    <t>INV000454</t>
  </si>
  <si>
    <t>INV000455</t>
  </si>
  <si>
    <t>INV000456</t>
  </si>
  <si>
    <t>INV000457</t>
  </si>
  <si>
    <t>INV000458</t>
  </si>
  <si>
    <t>INV000459</t>
  </si>
  <si>
    <t>INV000460</t>
  </si>
  <si>
    <t>INV000461</t>
  </si>
  <si>
    <t>INV000462</t>
  </si>
  <si>
    <t>INV000463</t>
  </si>
  <si>
    <t>INV000464</t>
  </si>
  <si>
    <t>INV000465</t>
  </si>
  <si>
    <t>INV000466</t>
  </si>
  <si>
    <t>INV000467</t>
  </si>
  <si>
    <t>INV000468</t>
  </si>
  <si>
    <t>INV000469</t>
  </si>
  <si>
    <t>INV000470</t>
  </si>
  <si>
    <t>INV000471</t>
  </si>
  <si>
    <t>INV000472</t>
  </si>
  <si>
    <t>INV000473</t>
  </si>
  <si>
    <t>INV000474</t>
  </si>
  <si>
    <t>INV000475</t>
  </si>
  <si>
    <t>INV000476</t>
  </si>
  <si>
    <t>INV000477</t>
  </si>
  <si>
    <t>INV000478</t>
  </si>
  <si>
    <t>INV000479</t>
  </si>
  <si>
    <t>INV000480</t>
  </si>
  <si>
    <t>INV000481</t>
  </si>
  <si>
    <t>INV000482</t>
  </si>
  <si>
    <t>INV000483</t>
  </si>
  <si>
    <t>INV000484</t>
  </si>
  <si>
    <t>INV000485</t>
  </si>
  <si>
    <t>INV000486</t>
  </si>
  <si>
    <t>INV000487</t>
  </si>
  <si>
    <t>INV000488</t>
  </si>
  <si>
    <t>INV000489</t>
  </si>
  <si>
    <t>INV000490</t>
  </si>
  <si>
    <t>INV000491</t>
  </si>
  <si>
    <t>INV000492</t>
  </si>
  <si>
    <t>INV000493</t>
  </si>
  <si>
    <t>INV000494</t>
  </si>
  <si>
    <t>INV000495</t>
  </si>
  <si>
    <t>INV000496</t>
  </si>
  <si>
    <t>INV000497</t>
  </si>
  <si>
    <t>INV000498</t>
  </si>
  <si>
    <t>INV000499</t>
  </si>
  <si>
    <t>INV000500</t>
  </si>
  <si>
    <t>INV000501</t>
  </si>
  <si>
    <t>INV000502</t>
  </si>
  <si>
    <t>INV000503</t>
  </si>
  <si>
    <t>INV000504</t>
  </si>
  <si>
    <t>INV000505</t>
  </si>
  <si>
    <t>INV000506</t>
  </si>
  <si>
    <t>INV000507</t>
  </si>
  <si>
    <t>INV000508</t>
  </si>
  <si>
    <t>INV000509</t>
  </si>
  <si>
    <t>INV000510</t>
  </si>
  <si>
    <t>INV000511</t>
  </si>
  <si>
    <t>INV000512</t>
  </si>
  <si>
    <t>INV000513</t>
  </si>
  <si>
    <t>INV000514</t>
  </si>
  <si>
    <t>INV000515</t>
  </si>
  <si>
    <t>INV000516</t>
  </si>
  <si>
    <t>INV000517</t>
  </si>
  <si>
    <t>INV000518</t>
  </si>
  <si>
    <t>INV000519</t>
  </si>
  <si>
    <t>INV000520</t>
  </si>
  <si>
    <t>INV000521</t>
  </si>
  <si>
    <t>INV000522</t>
  </si>
  <si>
    <t>INV000523</t>
  </si>
  <si>
    <t>INV000524</t>
  </si>
  <si>
    <t>INV000525</t>
  </si>
  <si>
    <t>INV000526</t>
  </si>
  <si>
    <t>INV000527</t>
  </si>
  <si>
    <t>INV000528</t>
  </si>
  <si>
    <t>INV000529</t>
  </si>
  <si>
    <t>INV000530</t>
  </si>
  <si>
    <t>INV000531</t>
  </si>
  <si>
    <t>INV000532</t>
  </si>
  <si>
    <t>INV000533</t>
  </si>
  <si>
    <t>INV000534</t>
  </si>
  <si>
    <t>INV000535</t>
  </si>
  <si>
    <t>INV000536</t>
  </si>
  <si>
    <t>INV000537</t>
  </si>
  <si>
    <t>INV000538</t>
  </si>
  <si>
    <t>INV000539</t>
  </si>
  <si>
    <t>INV000540</t>
  </si>
  <si>
    <t>INV000541</t>
  </si>
  <si>
    <t>INV000542</t>
  </si>
  <si>
    <t>INV000543</t>
  </si>
  <si>
    <t>INV000544</t>
  </si>
  <si>
    <t>INV000545</t>
  </si>
  <si>
    <t>INV000546</t>
  </si>
  <si>
    <t>INV000547</t>
  </si>
  <si>
    <t>INV000548</t>
  </si>
  <si>
    <t>INV000549</t>
  </si>
  <si>
    <t>INV000550</t>
  </si>
  <si>
    <t>INV000551</t>
  </si>
  <si>
    <t>INV000552</t>
  </si>
  <si>
    <t>INV000553</t>
  </si>
  <si>
    <t>INV000554</t>
  </si>
  <si>
    <t>INV000555</t>
  </si>
  <si>
    <t>INV000556</t>
  </si>
  <si>
    <t>INV000557</t>
  </si>
  <si>
    <t>INV000558</t>
  </si>
  <si>
    <t>INV000559</t>
  </si>
  <si>
    <t>INV000560</t>
  </si>
  <si>
    <t>INV000561</t>
  </si>
  <si>
    <t>INV000562</t>
  </si>
  <si>
    <t>INV000563</t>
  </si>
  <si>
    <t>INV000564</t>
  </si>
  <si>
    <t>INV000565</t>
  </si>
  <si>
    <t>INV000566</t>
  </si>
  <si>
    <t>INV000567</t>
  </si>
  <si>
    <t>INV000568</t>
  </si>
  <si>
    <t>INV000569</t>
  </si>
  <si>
    <t>INV000570</t>
  </si>
  <si>
    <t>INV000571</t>
  </si>
  <si>
    <t>INV000572</t>
  </si>
  <si>
    <t>INV000573</t>
  </si>
  <si>
    <t>INV000574</t>
  </si>
  <si>
    <t>INV000575</t>
  </si>
  <si>
    <t>INV000576</t>
  </si>
  <si>
    <t>INV000577</t>
  </si>
  <si>
    <t>INV000578</t>
  </si>
  <si>
    <t>INV000579</t>
  </si>
  <si>
    <t>INV000580</t>
  </si>
  <si>
    <t>INV000581</t>
  </si>
  <si>
    <t>INV000582</t>
  </si>
  <si>
    <t>INV000583</t>
  </si>
  <si>
    <t>INV000584</t>
  </si>
  <si>
    <t>INV000585</t>
  </si>
  <si>
    <t>INV000586</t>
  </si>
  <si>
    <t>INV000587</t>
  </si>
  <si>
    <t>INV000588</t>
  </si>
  <si>
    <t>INV000589</t>
  </si>
  <si>
    <t>INV000590</t>
  </si>
  <si>
    <t>INV000591</t>
  </si>
  <si>
    <t>INV000592</t>
  </si>
  <si>
    <t>INV000593</t>
  </si>
  <si>
    <t>INV000594</t>
  </si>
  <si>
    <t>INV000595</t>
  </si>
  <si>
    <t>INV000596</t>
  </si>
  <si>
    <t>INV000597</t>
  </si>
  <si>
    <t>INV000598</t>
  </si>
  <si>
    <t>INV000599</t>
  </si>
  <si>
    <t>INV000600</t>
  </si>
  <si>
    <t>INV000601</t>
  </si>
  <si>
    <t>INV000602</t>
  </si>
  <si>
    <t>INV000603</t>
  </si>
  <si>
    <t>INV000604</t>
  </si>
  <si>
    <t>INV000605</t>
  </si>
  <si>
    <t>INV000606</t>
  </si>
  <si>
    <t>INV000607</t>
  </si>
  <si>
    <t>INV000608</t>
  </si>
  <si>
    <t>INV000609</t>
  </si>
  <si>
    <t>INV000610</t>
  </si>
  <si>
    <t>INV000611</t>
  </si>
  <si>
    <t>INV000612</t>
  </si>
  <si>
    <t>INV000613</t>
  </si>
  <si>
    <t>INV000614</t>
  </si>
  <si>
    <t>INV000615</t>
  </si>
  <si>
    <t>INV000616</t>
  </si>
  <si>
    <t>INV000617</t>
  </si>
  <si>
    <t>INV000618</t>
  </si>
  <si>
    <t>INV000619</t>
  </si>
  <si>
    <t>INV000620</t>
  </si>
  <si>
    <t>INV000621</t>
  </si>
  <si>
    <t>INV000622</t>
  </si>
  <si>
    <t>INV000623</t>
  </si>
  <si>
    <t>INV000624</t>
  </si>
  <si>
    <t>INV000625</t>
  </si>
  <si>
    <t>INV000626</t>
  </si>
  <si>
    <t>INV000627</t>
  </si>
  <si>
    <t>INV000628</t>
  </si>
  <si>
    <t>INV000629</t>
  </si>
  <si>
    <t>INV000630</t>
  </si>
  <si>
    <t>INV000631</t>
  </si>
  <si>
    <t>INV000632</t>
  </si>
  <si>
    <t>INV000633</t>
  </si>
  <si>
    <t>INV000634</t>
  </si>
  <si>
    <t>INV000635</t>
  </si>
  <si>
    <t>INV000636</t>
  </si>
  <si>
    <t>INV000637</t>
  </si>
  <si>
    <t>INV000638</t>
  </si>
  <si>
    <t>INV000639</t>
  </si>
  <si>
    <t>INV000640</t>
  </si>
  <si>
    <t>INV000641</t>
  </si>
  <si>
    <t>INV000642</t>
  </si>
  <si>
    <t>INV000643</t>
  </si>
  <si>
    <t>INV000644</t>
  </si>
  <si>
    <t>INV000645</t>
  </si>
  <si>
    <t>INV000646</t>
  </si>
  <si>
    <t>INV000647</t>
  </si>
  <si>
    <t>INV000648</t>
  </si>
  <si>
    <t>INV000649</t>
  </si>
  <si>
    <t>INV000650</t>
  </si>
  <si>
    <t>INV000651</t>
  </si>
  <si>
    <t>INV000652</t>
  </si>
  <si>
    <t>INV000653</t>
  </si>
  <si>
    <t>INV000654</t>
  </si>
  <si>
    <t>INV000655</t>
  </si>
  <si>
    <t>INV000656</t>
  </si>
  <si>
    <t>INV000657</t>
  </si>
  <si>
    <t>INV000658</t>
  </si>
  <si>
    <t>INV000659</t>
  </si>
  <si>
    <t>INV000660</t>
  </si>
  <si>
    <t>INV000661</t>
  </si>
  <si>
    <t>INV000662</t>
  </si>
  <si>
    <t>INV000663</t>
  </si>
  <si>
    <t>INV000664</t>
  </si>
  <si>
    <t>INV000665</t>
  </si>
  <si>
    <t>INV000666</t>
  </si>
  <si>
    <t>INV000667</t>
  </si>
  <si>
    <t>INV000668</t>
  </si>
  <si>
    <t>INV000669</t>
  </si>
  <si>
    <t>INV000670</t>
  </si>
  <si>
    <t>INV000671</t>
  </si>
  <si>
    <t>INV000672</t>
  </si>
  <si>
    <t>INV000673</t>
  </si>
  <si>
    <t>INV000674</t>
  </si>
  <si>
    <t>INV000675</t>
  </si>
  <si>
    <t>INV000676</t>
  </si>
  <si>
    <t>INV000677</t>
  </si>
  <si>
    <t>INV000678</t>
  </si>
  <si>
    <t>INV000679</t>
  </si>
  <si>
    <t>INV000680</t>
  </si>
  <si>
    <t>INV000681</t>
  </si>
  <si>
    <t>INV000682</t>
  </si>
  <si>
    <t>INV000683</t>
  </si>
  <si>
    <t>INV000684</t>
  </si>
  <si>
    <t>INV000685</t>
  </si>
  <si>
    <t>INV000686</t>
  </si>
  <si>
    <t>INV000687</t>
  </si>
  <si>
    <t>INV000688</t>
  </si>
  <si>
    <t>INV000689</t>
  </si>
  <si>
    <t>INV000690</t>
  </si>
  <si>
    <t>INV000691</t>
  </si>
  <si>
    <t>INV000692</t>
  </si>
  <si>
    <t>INV000693</t>
  </si>
  <si>
    <t>INV000694</t>
  </si>
  <si>
    <t>INV000695</t>
  </si>
  <si>
    <t>INV000696</t>
  </si>
  <si>
    <t>INV000697</t>
  </si>
  <si>
    <t>INV000698</t>
  </si>
  <si>
    <t>INV000699</t>
  </si>
  <si>
    <t>INV000700</t>
  </si>
  <si>
    <t>INV000701</t>
  </si>
  <si>
    <t>INV000702</t>
  </si>
  <si>
    <t>INV000703</t>
  </si>
  <si>
    <t>INV000704</t>
  </si>
  <si>
    <t>INV000705</t>
  </si>
  <si>
    <t>INV000706</t>
  </si>
  <si>
    <t>INV000707</t>
  </si>
  <si>
    <t>INV000708</t>
  </si>
  <si>
    <t>INV000709</t>
  </si>
  <si>
    <t>INV000710</t>
  </si>
  <si>
    <t>INV000711</t>
  </si>
  <si>
    <t>INV000712</t>
  </si>
  <si>
    <t>INV000713</t>
  </si>
  <si>
    <t>INV000714</t>
  </si>
  <si>
    <t>INV000715</t>
  </si>
  <si>
    <t>INV000716</t>
  </si>
  <si>
    <t>INV000717</t>
  </si>
  <si>
    <t>INV000718</t>
  </si>
  <si>
    <t>INV000719</t>
  </si>
  <si>
    <t>INV000720</t>
  </si>
  <si>
    <t>INV000721</t>
  </si>
  <si>
    <t>INV000722</t>
  </si>
  <si>
    <t>INV000723</t>
  </si>
  <si>
    <t>INV000724</t>
  </si>
  <si>
    <t>INV000725</t>
  </si>
  <si>
    <t>INV000726</t>
  </si>
  <si>
    <t>INV000727</t>
  </si>
  <si>
    <t>INV000728</t>
  </si>
  <si>
    <t>INV000729</t>
  </si>
  <si>
    <t>INV000730</t>
  </si>
  <si>
    <t>INV000731</t>
  </si>
  <si>
    <t>INV000732</t>
  </si>
  <si>
    <t>INV000733</t>
  </si>
  <si>
    <t>INV000734</t>
  </si>
  <si>
    <t>INV000735</t>
  </si>
  <si>
    <t>INV000736</t>
  </si>
  <si>
    <t>INV000737</t>
  </si>
  <si>
    <t>INV000738</t>
  </si>
  <si>
    <t>INV000739</t>
  </si>
  <si>
    <t>INV000740</t>
  </si>
  <si>
    <t>INV000741</t>
  </si>
  <si>
    <t>INV000742</t>
  </si>
  <si>
    <t>INV000743</t>
  </si>
  <si>
    <t>INV000744</t>
  </si>
  <si>
    <t>INV000745</t>
  </si>
  <si>
    <t>INV000746</t>
  </si>
  <si>
    <t>INV000747</t>
  </si>
  <si>
    <t>INV000748</t>
  </si>
  <si>
    <t>INV000749</t>
  </si>
  <si>
    <t>INV000750</t>
  </si>
  <si>
    <t>INV000751</t>
  </si>
  <si>
    <t>INV000752</t>
  </si>
  <si>
    <t>INV000753</t>
  </si>
  <si>
    <t>INV000754</t>
  </si>
  <si>
    <t>INV000755</t>
  </si>
  <si>
    <t>INV000756</t>
  </si>
  <si>
    <t>INV000757</t>
  </si>
  <si>
    <t>INV000758</t>
  </si>
  <si>
    <t>INV000759</t>
  </si>
  <si>
    <t>INV000760</t>
  </si>
  <si>
    <t>INV000761</t>
  </si>
  <si>
    <t>INV000762</t>
  </si>
  <si>
    <t>INV000763</t>
  </si>
  <si>
    <t>INV000764</t>
  </si>
  <si>
    <t>INV000765</t>
  </si>
  <si>
    <t>INV000766</t>
  </si>
  <si>
    <t>INV000767</t>
  </si>
  <si>
    <t>INV000768</t>
  </si>
  <si>
    <t>INV000769</t>
  </si>
  <si>
    <t>INV000770</t>
  </si>
  <si>
    <t>INV000771</t>
  </si>
  <si>
    <t>INV000772</t>
  </si>
  <si>
    <t>INV000773</t>
  </si>
  <si>
    <t>INV000774</t>
  </si>
  <si>
    <t>INV000775</t>
  </si>
  <si>
    <t>INV000776</t>
  </si>
  <si>
    <t>INV000777</t>
  </si>
  <si>
    <t>INV000778</t>
  </si>
  <si>
    <t>INV000779</t>
  </si>
  <si>
    <t>INV000780</t>
  </si>
  <si>
    <t>INV000781</t>
  </si>
  <si>
    <t>INV000782</t>
  </si>
  <si>
    <t>INV000783</t>
  </si>
  <si>
    <t>INV000784</t>
  </si>
  <si>
    <t>INV000785</t>
  </si>
  <si>
    <t>INV000786</t>
  </si>
  <si>
    <t>INV000787</t>
  </si>
  <si>
    <t>INV000788</t>
  </si>
  <si>
    <t>INV000789</t>
  </si>
  <si>
    <t>INV000790</t>
  </si>
  <si>
    <t>INV000791</t>
  </si>
  <si>
    <t>INV000792</t>
  </si>
  <si>
    <t>INV000793</t>
  </si>
  <si>
    <t>INV000794</t>
  </si>
  <si>
    <t>INV000795</t>
  </si>
  <si>
    <t>INV000796</t>
  </si>
  <si>
    <t>INV000797</t>
  </si>
  <si>
    <t>INV000798</t>
  </si>
  <si>
    <t>INV000799</t>
  </si>
  <si>
    <t>INV000800</t>
  </si>
  <si>
    <t>INV000801</t>
  </si>
  <si>
    <t>INV000802</t>
  </si>
  <si>
    <t>INV000803</t>
  </si>
  <si>
    <t>INV000804</t>
  </si>
  <si>
    <t>INV000805</t>
  </si>
  <si>
    <t>INV000806</t>
  </si>
  <si>
    <t>INV000807</t>
  </si>
  <si>
    <t>INV000808</t>
  </si>
  <si>
    <t>INV000809</t>
  </si>
  <si>
    <t>INV000810</t>
  </si>
  <si>
    <t>INV000811</t>
  </si>
  <si>
    <t>INV000812</t>
  </si>
  <si>
    <t>INV000813</t>
  </si>
  <si>
    <t>INV000814</t>
  </si>
  <si>
    <t>INV000815</t>
  </si>
  <si>
    <t>INV000816</t>
  </si>
  <si>
    <t>INV000817</t>
  </si>
  <si>
    <t>INV000818</t>
  </si>
  <si>
    <t>INV000819</t>
  </si>
  <si>
    <t>INV000820</t>
  </si>
  <si>
    <t>INV000821</t>
  </si>
  <si>
    <t>INV000822</t>
  </si>
  <si>
    <t>INV000823</t>
  </si>
  <si>
    <t>INV000824</t>
  </si>
  <si>
    <t>INV000825</t>
  </si>
  <si>
    <t>INV000826</t>
  </si>
  <si>
    <t>INV000827</t>
  </si>
  <si>
    <t>INV000828</t>
  </si>
  <si>
    <t>INV000829</t>
  </si>
  <si>
    <t>INV000830</t>
  </si>
  <si>
    <t>INV000831</t>
  </si>
  <si>
    <t>INV000832</t>
  </si>
  <si>
    <t>INV000833</t>
  </si>
  <si>
    <t>INV000834</t>
  </si>
  <si>
    <t>INV000835</t>
  </si>
  <si>
    <t>INV000836</t>
  </si>
  <si>
    <t>INV000837</t>
  </si>
  <si>
    <t>INV000838</t>
  </si>
  <si>
    <t>INV000839</t>
  </si>
  <si>
    <t>INV000840</t>
  </si>
  <si>
    <t>INV000841</t>
  </si>
  <si>
    <t>INV000842</t>
  </si>
  <si>
    <t>INV000843</t>
  </si>
  <si>
    <t>INV000844</t>
  </si>
  <si>
    <t>INV000845</t>
  </si>
  <si>
    <t>INV000846</t>
  </si>
  <si>
    <t>INV000847</t>
  </si>
  <si>
    <t>INV000848</t>
  </si>
  <si>
    <t>INV000849</t>
  </si>
  <si>
    <t>INV000850</t>
  </si>
  <si>
    <t>INV000851</t>
  </si>
  <si>
    <t>INV000852</t>
  </si>
  <si>
    <t>INV000853</t>
  </si>
  <si>
    <t>INV000854</t>
  </si>
  <si>
    <t>INV000855</t>
  </si>
  <si>
    <t>INV000856</t>
  </si>
  <si>
    <t>INV000857</t>
  </si>
  <si>
    <t>INV000858</t>
  </si>
  <si>
    <t>INV000859</t>
  </si>
  <si>
    <t>INV000860</t>
  </si>
  <si>
    <t>INV000861</t>
  </si>
  <si>
    <t>INV000862</t>
  </si>
  <si>
    <t>INV000863</t>
  </si>
  <si>
    <t>INV000864</t>
  </si>
  <si>
    <t>INV000865</t>
  </si>
  <si>
    <t>INV000866</t>
  </si>
  <si>
    <t>INV000867</t>
  </si>
  <si>
    <t>INV000868</t>
  </si>
  <si>
    <t>INV000869</t>
  </si>
  <si>
    <t>INV000870</t>
  </si>
  <si>
    <t>INV000871</t>
  </si>
  <si>
    <t>INV000872</t>
  </si>
  <si>
    <t>INV000873</t>
  </si>
  <si>
    <t>INV000874</t>
  </si>
  <si>
    <t>INV000875</t>
  </si>
  <si>
    <t>INV000876</t>
  </si>
  <si>
    <t>INV000877</t>
  </si>
  <si>
    <t>INV000878</t>
  </si>
  <si>
    <t>INV000879</t>
  </si>
  <si>
    <t>INV000880</t>
  </si>
  <si>
    <t>INV000881</t>
  </si>
  <si>
    <t>INV000882</t>
  </si>
  <si>
    <t>INV000883</t>
  </si>
  <si>
    <t>INV000884</t>
  </si>
  <si>
    <t>INV000885</t>
  </si>
  <si>
    <t>INV000886</t>
  </si>
  <si>
    <t>INV000887</t>
  </si>
  <si>
    <t>INV000888</t>
  </si>
  <si>
    <t>INV000889</t>
  </si>
  <si>
    <t>INV000890</t>
  </si>
  <si>
    <t>INV000891</t>
  </si>
  <si>
    <t>INV000892</t>
  </si>
  <si>
    <t>INV000893</t>
  </si>
  <si>
    <t>INV000894</t>
  </si>
  <si>
    <t>INV000895</t>
  </si>
  <si>
    <t>INV000896</t>
  </si>
  <si>
    <t>INV000897</t>
  </si>
  <si>
    <t>INV000898</t>
  </si>
  <si>
    <t>INV000899</t>
  </si>
  <si>
    <t>INV000900</t>
  </si>
  <si>
    <t>INV000901</t>
  </si>
  <si>
    <t>INV000902</t>
  </si>
  <si>
    <t>INV000903</t>
  </si>
  <si>
    <t>INV000904</t>
  </si>
  <si>
    <t>INV000905</t>
  </si>
  <si>
    <t>INV000906</t>
  </si>
  <si>
    <t>INV000907</t>
  </si>
  <si>
    <t>INV000908</t>
  </si>
  <si>
    <t>INV000909</t>
  </si>
  <si>
    <t>INV000910</t>
  </si>
  <si>
    <t>INV000911</t>
  </si>
  <si>
    <t>INV000912</t>
  </si>
  <si>
    <t>INV000913</t>
  </si>
  <si>
    <t>INV000914</t>
  </si>
  <si>
    <t>INV000915</t>
  </si>
  <si>
    <t>INV000916</t>
  </si>
  <si>
    <t>INV000917</t>
  </si>
  <si>
    <t>INV000918</t>
  </si>
  <si>
    <t>INV000919</t>
  </si>
  <si>
    <t>INV000920</t>
  </si>
  <si>
    <t>ORDX0000</t>
  </si>
  <si>
    <t>INV000921</t>
  </si>
  <si>
    <t>ORDX0001</t>
  </si>
  <si>
    <t>INV000922</t>
  </si>
  <si>
    <t>ORDX0002</t>
  </si>
  <si>
    <t>INV000923</t>
  </si>
  <si>
    <t>ORDX0003</t>
  </si>
  <si>
    <t>INV000924</t>
  </si>
  <si>
    <t>ORDX0004</t>
  </si>
  <si>
    <t>INV000925</t>
  </si>
  <si>
    <t>ORDX0005</t>
  </si>
  <si>
    <t>INV000926</t>
  </si>
  <si>
    <t>ORDX0006</t>
  </si>
  <si>
    <t>INV000927</t>
  </si>
  <si>
    <t>ORDX0007</t>
  </si>
  <si>
    <t>INV000928</t>
  </si>
  <si>
    <t>ORDX0008</t>
  </si>
  <si>
    <t>INV000929</t>
  </si>
  <si>
    <t>ORDX0009</t>
  </si>
  <si>
    <t>INV000930</t>
  </si>
  <si>
    <t>ORDX0010</t>
  </si>
  <si>
    <t>INV000931</t>
  </si>
  <si>
    <t>ORDX0011</t>
  </si>
  <si>
    <t>INV000932</t>
  </si>
  <si>
    <t>ORDX0012</t>
  </si>
  <si>
    <t>INV000933</t>
  </si>
  <si>
    <t>ORDX0013</t>
  </si>
  <si>
    <t>INV000934</t>
  </si>
  <si>
    <t>ORDX0014</t>
  </si>
  <si>
    <t>Sales Ops Reconciliation Summary</t>
  </si>
  <si>
    <t>Compare CRM orders, ERP invoices, inventory flags, returns, and exception counts.</t>
  </si>
  <si>
    <t>Metric</t>
  </si>
  <si>
    <t>Formula / Value</t>
  </si>
  <si>
    <t>Status / Notes</t>
  </si>
  <si>
    <t>Total submitted CRM order value</t>
  </si>
  <si>
    <t>Total posted / reviewed invoice value</t>
  </si>
  <si>
    <t>Gross Sales Variance</t>
  </si>
  <si>
    <t>ERP minus CRM</t>
  </si>
  <si>
    <t>Variance % of CRM</t>
  </si>
  <si>
    <t>Should be investigated when material</t>
  </si>
  <si>
    <t>CRM Order Count</t>
  </si>
  <si>
    <t>Expected: 1,000 rows</t>
  </si>
  <si>
    <t>ERP Invoice Count</t>
  </si>
  <si>
    <t>Some orders intentionally not invoiced</t>
  </si>
  <si>
    <t>Operational backlog</t>
  </si>
  <si>
    <t>Highest priority</t>
  </si>
  <si>
    <t>Orders where available inventory &lt; qty ordered</t>
  </si>
  <si>
    <t>Duplicate CRM Orders</t>
  </si>
  <si>
    <t>Duplicate order IDs</t>
  </si>
  <si>
    <t>Missing Key Orders</t>
  </si>
  <si>
    <t>Missing customer_id or sku</t>
  </si>
  <si>
    <t>Orphan ERP Invoice Count</t>
  </si>
  <si>
    <t>Invoices without matching CRM order</t>
  </si>
  <si>
    <t>Credit Memo Total</t>
  </si>
  <si>
    <t>Credits / returns reduce revenue</t>
  </si>
  <si>
    <t>Expanded Operational Controls</t>
  </si>
  <si>
    <t>Shipment Rows</t>
  </si>
  <si>
    <t>Shipment layer completeness</t>
  </si>
  <si>
    <t>OTIF Failures</t>
  </si>
  <si>
    <t>Orders not on time and in full</t>
  </si>
  <si>
    <t>Compliance Holds</t>
  </si>
  <si>
    <t>Orders blocked by license/manifest/SKU rules</t>
  </si>
  <si>
    <t>AR Outstanding Balance</t>
  </si>
  <si>
    <t>Uncollected invoice balance</t>
  </si>
  <si>
    <t>AR 90+ Count</t>
  </si>
  <si>
    <t>Highest-risk receivables bucket</t>
  </si>
  <si>
    <t>Support Case Count</t>
  </si>
  <si>
    <t>Customer-facing issue volume</t>
  </si>
  <si>
    <t>SLA Breach Count</t>
  </si>
  <si>
    <t>Open/closed cases outside SLA</t>
  </si>
  <si>
    <t>Crosswalk Review Count</t>
  </si>
  <si>
    <t>Customer master data mapping risk</t>
  </si>
  <si>
    <t>Rates</t>
  </si>
  <si>
    <t>Invoice Coverage Rate</t>
  </si>
  <si>
    <t>Exception Rate of CRM Order Count</t>
  </si>
  <si>
    <t>Critical Exception Rate</t>
  </si>
  <si>
    <t>Credit Memo % of CRM</t>
  </si>
  <si>
    <t>AR Outstanding % of Invoice Amount</t>
  </si>
  <si>
    <t>OTIF Failure Rate</t>
  </si>
  <si>
    <t>SLA Breach Rate</t>
  </si>
  <si>
    <t>SLA Metrics</t>
  </si>
  <si>
    <t>Operational speed and backlog health across order lifecycle.</t>
  </si>
  <si>
    <t>Target</t>
  </si>
  <si>
    <t>Status</t>
  </si>
  <si>
    <t>Notes</t>
  </si>
  <si>
    <t>Avg hours to ship</t>
  </si>
  <si>
    <t>Order date to ship date</t>
  </si>
  <si>
    <t>On-time and in-full rate</t>
  </si>
  <si>
    <t>Avg support hours to resolve</t>
  </si>
  <si>
    <t>Open cases age against SLA too</t>
  </si>
  <si>
    <t>Support SLA breach count</t>
  </si>
  <si>
    <t>Number of cases past SLA</t>
  </si>
  <si>
    <t>Open compliance holds</t>
  </si>
  <si>
    <t>Orders blocked by compliance</t>
  </si>
  <si>
    <t>Credit hold recommendations</t>
  </si>
  <si>
    <t>AR aging based credit risk</t>
  </si>
  <si>
    <t>shipment_id</t>
  </si>
  <si>
    <t>ship_date</t>
  </si>
  <si>
    <t>warehouse</t>
  </si>
  <si>
    <t>carrier</t>
  </si>
  <si>
    <t>tracking_number</t>
  </si>
  <si>
    <t>requested_units</t>
  </si>
  <si>
    <t>shipped_units</t>
  </si>
  <si>
    <t>short_ship_units</t>
  </si>
  <si>
    <t>on_time_flag</t>
  </si>
  <si>
    <t>in_full_flag</t>
  </si>
  <si>
    <t>otif_flag</t>
  </si>
  <si>
    <t>fulfillment_status</t>
  </si>
  <si>
    <t>hours_to_ship</t>
  </si>
  <si>
    <t>SHP000001</t>
  </si>
  <si>
    <t>WHSE_OR</t>
  </si>
  <si>
    <t>FedEx</t>
  </si>
  <si>
    <t>TRK103295517</t>
  </si>
  <si>
    <t>No</t>
  </si>
  <si>
    <t>Yes</t>
  </si>
  <si>
    <t>Shipped</t>
  </si>
  <si>
    <t>SHP000002</t>
  </si>
  <si>
    <t>WHSE_CA</t>
  </si>
  <si>
    <t>USPS</t>
  </si>
  <si>
    <t>TRK938275454</t>
  </si>
  <si>
    <t>SHP000003</t>
  </si>
  <si>
    <t>WHSE_MW</t>
  </si>
  <si>
    <t>UPS</t>
  </si>
  <si>
    <t>TRK517409720</t>
  </si>
  <si>
    <t>SHP000004</t>
  </si>
  <si>
    <t>TRK381941642</t>
  </si>
  <si>
    <t>SHP000005</t>
  </si>
  <si>
    <t>WHSE_CO</t>
  </si>
  <si>
    <t>OnTrac</t>
  </si>
  <si>
    <t>TRK834504404</t>
  </si>
  <si>
    <t>SHP000006</t>
  </si>
  <si>
    <t>TRK456854813</t>
  </si>
  <si>
    <t>SHP000007</t>
  </si>
  <si>
    <t>TRK592115082</t>
  </si>
  <si>
    <t>Short Shipped</t>
  </si>
  <si>
    <t>SHP000008</t>
  </si>
  <si>
    <t>WHSE_WA</t>
  </si>
  <si>
    <t>TRK155479649</t>
  </si>
  <si>
    <t>SHP000009</t>
  </si>
  <si>
    <t>TRK969495682</t>
  </si>
  <si>
    <t>SHP000010</t>
  </si>
  <si>
    <t>TRK147692456</t>
  </si>
  <si>
    <t>SHP000011</t>
  </si>
  <si>
    <t>TRK702198472</t>
  </si>
  <si>
    <t>SHP000012</t>
  </si>
  <si>
    <t>TRK806139531</t>
  </si>
  <si>
    <t>SHP000013</t>
  </si>
  <si>
    <t>TRK750269739</t>
  </si>
  <si>
    <t>SHP000014</t>
  </si>
  <si>
    <t>TRK378868926</t>
  </si>
  <si>
    <t>SHP000015</t>
  </si>
  <si>
    <t>TRK102210084</t>
  </si>
  <si>
    <t>SHP000016</t>
  </si>
  <si>
    <t>Regional Courier</t>
  </si>
  <si>
    <t>TRK331048473</t>
  </si>
  <si>
    <t>SHP000017</t>
  </si>
  <si>
    <t>TRK402111606</t>
  </si>
  <si>
    <t>SHP000018</t>
  </si>
  <si>
    <t>TRK632225425</t>
  </si>
  <si>
    <t>SHP000019</t>
  </si>
  <si>
    <t>TRK192267741</t>
  </si>
  <si>
    <t>SHP000020</t>
  </si>
  <si>
    <t>TRK921035563</t>
  </si>
  <si>
    <t>SHP000021</t>
  </si>
  <si>
    <t>TRK354750799</t>
  </si>
  <si>
    <t>SHP000022</t>
  </si>
  <si>
    <t>TRK845848166</t>
  </si>
  <si>
    <t>SHP000023</t>
  </si>
  <si>
    <t>TRK431682902</t>
  </si>
  <si>
    <t>SHP000024</t>
  </si>
  <si>
    <t>TRK618047705</t>
  </si>
  <si>
    <t>SHP000025</t>
  </si>
  <si>
    <t>TRK839176289</t>
  </si>
  <si>
    <t>SHP000026</t>
  </si>
  <si>
    <t>TRK924335163</t>
  </si>
  <si>
    <t>SHP000027</t>
  </si>
  <si>
    <t>TRK821188749</t>
  </si>
  <si>
    <t>SHP000028</t>
  </si>
  <si>
    <t>TRK480323113</t>
  </si>
  <si>
    <t>Held</t>
  </si>
  <si>
    <t>SHP000029</t>
  </si>
  <si>
    <t>TRK119870681</t>
  </si>
  <si>
    <t>SHP000030</t>
  </si>
  <si>
    <t>TRK712400800</t>
  </si>
  <si>
    <t>SHP000031</t>
  </si>
  <si>
    <t>TRK359578343</t>
  </si>
  <si>
    <t>SHP000032</t>
  </si>
  <si>
    <t>TRK372968515</t>
  </si>
  <si>
    <t>SHP000033</t>
  </si>
  <si>
    <t>TRK439896429</t>
  </si>
  <si>
    <t>SHP000034</t>
  </si>
  <si>
    <t>TRK541316978</t>
  </si>
  <si>
    <t>SHP000035</t>
  </si>
  <si>
    <t>TRK394863980</t>
  </si>
  <si>
    <t>SHP000036</t>
  </si>
  <si>
    <t>TRK792608673</t>
  </si>
  <si>
    <t>SHP000037</t>
  </si>
  <si>
    <t>TRK258844391</t>
  </si>
  <si>
    <t>SHP000038</t>
  </si>
  <si>
    <t>TRK695597670</t>
  </si>
  <si>
    <t>SHP000039</t>
  </si>
  <si>
    <t>TRK541971957</t>
  </si>
  <si>
    <t>SHP000040</t>
  </si>
  <si>
    <t>TRK710177131</t>
  </si>
  <si>
    <t>SHP000041</t>
  </si>
  <si>
    <t>TRK623827849</t>
  </si>
  <si>
    <t>SHP000042</t>
  </si>
  <si>
    <t>TRK248663167</t>
  </si>
  <si>
    <t>SHP000043</t>
  </si>
  <si>
    <t>TRK343771772</t>
  </si>
  <si>
    <t>SHP000044</t>
  </si>
  <si>
    <t>TRK454924542</t>
  </si>
  <si>
    <t>SHP000045</t>
  </si>
  <si>
    <t>TRK948296436</t>
  </si>
  <si>
    <t>SHP000046</t>
  </si>
  <si>
    <t>TRK638742814</t>
  </si>
  <si>
    <t>SHP000047</t>
  </si>
  <si>
    <t>TRK545806439</t>
  </si>
  <si>
    <t>SHP000048</t>
  </si>
  <si>
    <t>TRK754048324</t>
  </si>
  <si>
    <t>SHP000049</t>
  </si>
  <si>
    <t>TRK779843897</t>
  </si>
  <si>
    <t>SHP000050</t>
  </si>
  <si>
    <t>TRK536487251</t>
  </si>
  <si>
    <t>SHP000051</t>
  </si>
  <si>
    <t>TRK712730771</t>
  </si>
  <si>
    <t>SHP000052</t>
  </si>
  <si>
    <t>TRK257981724</t>
  </si>
  <si>
    <t>SHP000053</t>
  </si>
  <si>
    <t>TRK395316639</t>
  </si>
  <si>
    <t>SHP000054</t>
  </si>
  <si>
    <t>TRK142657294</t>
  </si>
  <si>
    <t>SHP000055</t>
  </si>
  <si>
    <t>TRK738817392</t>
  </si>
  <si>
    <t>SHP000056</t>
  </si>
  <si>
    <t>TRK667707203</t>
  </si>
  <si>
    <t>SHP000057</t>
  </si>
  <si>
    <t>TRK268888685</t>
  </si>
  <si>
    <t>SHP000058</t>
  </si>
  <si>
    <t>TRK949515483</t>
  </si>
  <si>
    <t>SHP000059</t>
  </si>
  <si>
    <t>TRK736443689</t>
  </si>
  <si>
    <t>SHP000060</t>
  </si>
  <si>
    <t>TRK410867291</t>
  </si>
  <si>
    <t>SHP000061</t>
  </si>
  <si>
    <t>TRK878938335</t>
  </si>
  <si>
    <t>SHP000062</t>
  </si>
  <si>
    <t>TRK975015381</t>
  </si>
  <si>
    <t>SHP000063</t>
  </si>
  <si>
    <t>TRK429958120</t>
  </si>
  <si>
    <t>SHP000064</t>
  </si>
  <si>
    <t>TRK137528597</t>
  </si>
  <si>
    <t>SHP000065</t>
  </si>
  <si>
    <t>TRK692025971</t>
  </si>
  <si>
    <t>SHP000066</t>
  </si>
  <si>
    <t>TRK657196116</t>
  </si>
  <si>
    <t>SHP000067</t>
  </si>
  <si>
    <t>TRK746589734</t>
  </si>
  <si>
    <t>SHP000068</t>
  </si>
  <si>
    <t>TRK395095045</t>
  </si>
  <si>
    <t>SHP000069</t>
  </si>
  <si>
    <t>TRK260399182</t>
  </si>
  <si>
    <t>SHP000070</t>
  </si>
  <si>
    <t>TRK623957720</t>
  </si>
  <si>
    <t>SHP000071</t>
  </si>
  <si>
    <t>TRK681555759</t>
  </si>
  <si>
    <t>SHP000072</t>
  </si>
  <si>
    <t>TRK942285903</t>
  </si>
  <si>
    <t>SHP000073</t>
  </si>
  <si>
    <t>TRK916365682</t>
  </si>
  <si>
    <t>SHP000074</t>
  </si>
  <si>
    <t>TRK644631604</t>
  </si>
  <si>
    <t>SHP000075</t>
  </si>
  <si>
    <t>TRK259489447</t>
  </si>
  <si>
    <t>SHP000076</t>
  </si>
  <si>
    <t>TRK431758801</t>
  </si>
  <si>
    <t>SHP000077</t>
  </si>
  <si>
    <t>TRK136027191</t>
  </si>
  <si>
    <t>SHP000078</t>
  </si>
  <si>
    <t>TRK843015384</t>
  </si>
  <si>
    <t>SHP000079</t>
  </si>
  <si>
    <t>TRK374156262</t>
  </si>
  <si>
    <t>SHP000080</t>
  </si>
  <si>
    <t>TRK427672421</t>
  </si>
  <si>
    <t>SHP000081</t>
  </si>
  <si>
    <t>TRK844697502</t>
  </si>
  <si>
    <t>SHP000082</t>
  </si>
  <si>
    <t>TRK857396634</t>
  </si>
  <si>
    <t>SHP000083</t>
  </si>
  <si>
    <t>TRK976116756</t>
  </si>
  <si>
    <t>SHP000084</t>
  </si>
  <si>
    <t>TRK408399341</t>
  </si>
  <si>
    <t>SHP000085</t>
  </si>
  <si>
    <t>TRK627088625</t>
  </si>
  <si>
    <t>SHP000086</t>
  </si>
  <si>
    <t>TRK920856728</t>
  </si>
  <si>
    <t>SHP000087</t>
  </si>
  <si>
    <t>TRK208316766</t>
  </si>
  <si>
    <t>SHP000088</t>
  </si>
  <si>
    <t>TRK968002259</t>
  </si>
  <si>
    <t>SHP000089</t>
  </si>
  <si>
    <t>TRK204842139</t>
  </si>
  <si>
    <t>SHP000090</t>
  </si>
  <si>
    <t>TRK629860969</t>
  </si>
  <si>
    <t>SHP000091</t>
  </si>
  <si>
    <t>TRK877083676</t>
  </si>
  <si>
    <t>SHP000092</t>
  </si>
  <si>
    <t>TRK461013818</t>
  </si>
  <si>
    <t>SHP000093</t>
  </si>
  <si>
    <t>TRK666928083</t>
  </si>
  <si>
    <t>SHP000094</t>
  </si>
  <si>
    <t>TRK336894303</t>
  </si>
  <si>
    <t>SHP000095</t>
  </si>
  <si>
    <t>TRK764386162</t>
  </si>
  <si>
    <t>SHP000096</t>
  </si>
  <si>
    <t>TRK630865649</t>
  </si>
  <si>
    <t>SHP000097</t>
  </si>
  <si>
    <t>TRK953376304</t>
  </si>
  <si>
    <t>SHP000098</t>
  </si>
  <si>
    <t>TRK797252097</t>
  </si>
  <si>
    <t>SHP000099</t>
  </si>
  <si>
    <t>TRK680162560</t>
  </si>
  <si>
    <t>SHP000100</t>
  </si>
  <si>
    <t>TRK785899930</t>
  </si>
  <si>
    <t>SHP000101</t>
  </si>
  <si>
    <t>TRK580158626</t>
  </si>
  <si>
    <t>SHP000102</t>
  </si>
  <si>
    <t>TRK455611952</t>
  </si>
  <si>
    <t>SHP000103</t>
  </si>
  <si>
    <t>TRK709496414</t>
  </si>
  <si>
    <t>SHP000104</t>
  </si>
  <si>
    <t>TRK575236271</t>
  </si>
  <si>
    <t>SHP000105</t>
  </si>
  <si>
    <t>TRK740888217</t>
  </si>
  <si>
    <t>SHP000106</t>
  </si>
  <si>
    <t>TRK947813351</t>
  </si>
  <si>
    <t>SHP000107</t>
  </si>
  <si>
    <t>TRK233025533</t>
  </si>
  <si>
    <t>SHP000108</t>
  </si>
  <si>
    <t>TRK637598158</t>
  </si>
  <si>
    <t>SHP000109</t>
  </si>
  <si>
    <t>TRK960704394</t>
  </si>
  <si>
    <t>SHP000110</t>
  </si>
  <si>
    <t>TRK786205438</t>
  </si>
  <si>
    <t>SHP000111</t>
  </si>
  <si>
    <t>TRK626586796</t>
  </si>
  <si>
    <t>SHP000112</t>
  </si>
  <si>
    <t>TRK871772226</t>
  </si>
  <si>
    <t>SHP000113</t>
  </si>
  <si>
    <t>TRK305619633</t>
  </si>
  <si>
    <t>SHP000114</t>
  </si>
  <si>
    <t>TRK256953033</t>
  </si>
  <si>
    <t>SHP000115</t>
  </si>
  <si>
    <t>TRK335996997</t>
  </si>
  <si>
    <t>SHP000116</t>
  </si>
  <si>
    <t>TRK340488040</t>
  </si>
  <si>
    <t>SHP000117</t>
  </si>
  <si>
    <t>TRK559728214</t>
  </si>
  <si>
    <t>SHP000118</t>
  </si>
  <si>
    <t>TRK296733055</t>
  </si>
  <si>
    <t>SHP000119</t>
  </si>
  <si>
    <t>TRK514614280</t>
  </si>
  <si>
    <t>SHP000120</t>
  </si>
  <si>
    <t>TRK732616212</t>
  </si>
  <si>
    <t>SHP000121</t>
  </si>
  <si>
    <t>TRK482931218</t>
  </si>
  <si>
    <t>SHP000122</t>
  </si>
  <si>
    <t>TRK152406366</t>
  </si>
  <si>
    <t>SHP000123</t>
  </si>
  <si>
    <t>TRK816080852</t>
  </si>
  <si>
    <t>SHP000124</t>
  </si>
  <si>
    <t>TRK287147721</t>
  </si>
  <si>
    <t>SHP000125</t>
  </si>
  <si>
    <t>TRK457265324</t>
  </si>
  <si>
    <t>SHP000126</t>
  </si>
  <si>
    <t>TRK725841938</t>
  </si>
  <si>
    <t>SHP000127</t>
  </si>
  <si>
    <t>TRK251287367</t>
  </si>
  <si>
    <t>SHP000128</t>
  </si>
  <si>
    <t>TRK830155521</t>
  </si>
  <si>
    <t>SHP000129</t>
  </si>
  <si>
    <t>TRK856350185</t>
  </si>
  <si>
    <t>SHP000130</t>
  </si>
  <si>
    <t>TRK804319285</t>
  </si>
  <si>
    <t>SHP000131</t>
  </si>
  <si>
    <t>TRK461166144</t>
  </si>
  <si>
    <t>SHP000132</t>
  </si>
  <si>
    <t>TRK491700216</t>
  </si>
  <si>
    <t>SHP000133</t>
  </si>
  <si>
    <t>TRK767218932</t>
  </si>
  <si>
    <t>SHP000134</t>
  </si>
  <si>
    <t>TRK741661344</t>
  </si>
  <si>
    <t>SHP000135</t>
  </si>
  <si>
    <t>TRK137969490</t>
  </si>
  <si>
    <t>SHP000136</t>
  </si>
  <si>
    <t>TRK629989295</t>
  </si>
  <si>
    <t>SHP000137</t>
  </si>
  <si>
    <t>TRK808683151</t>
  </si>
  <si>
    <t>SHP000138</t>
  </si>
  <si>
    <t>TRK102776276</t>
  </si>
  <si>
    <t>SHP000139</t>
  </si>
  <si>
    <t>TRK391965155</t>
  </si>
  <si>
    <t>SHP000140</t>
  </si>
  <si>
    <t>TRK570840287</t>
  </si>
  <si>
    <t>SHP000141</t>
  </si>
  <si>
    <t>TRK945589912</t>
  </si>
  <si>
    <t>SHP000142</t>
  </si>
  <si>
    <t>TRK966635971</t>
  </si>
  <si>
    <t>SHP000143</t>
  </si>
  <si>
    <t>TRK643586527</t>
  </si>
  <si>
    <t>SHP000144</t>
  </si>
  <si>
    <t>TRK133039041</t>
  </si>
  <si>
    <t>SHP000145</t>
  </si>
  <si>
    <t>TRK405719023</t>
  </si>
  <si>
    <t>SHP000146</t>
  </si>
  <si>
    <t>TRK411317717</t>
  </si>
  <si>
    <t>SHP000147</t>
  </si>
  <si>
    <t>TRK803129971</t>
  </si>
  <si>
    <t>SHP000148</t>
  </si>
  <si>
    <t>TRK710210437</t>
  </si>
  <si>
    <t>SHP000149</t>
  </si>
  <si>
    <t>TRK477626056</t>
  </si>
  <si>
    <t>SHP000150</t>
  </si>
  <si>
    <t>TRK558471899</t>
  </si>
  <si>
    <t>SHP000151</t>
  </si>
  <si>
    <t>TRK335138395</t>
  </si>
  <si>
    <t>SHP000152</t>
  </si>
  <si>
    <t>TRK516356554</t>
  </si>
  <si>
    <t>SHP000153</t>
  </si>
  <si>
    <t>TRK531660442</t>
  </si>
  <si>
    <t>SHP000154</t>
  </si>
  <si>
    <t>TRK671770617</t>
  </si>
  <si>
    <t>SHP000155</t>
  </si>
  <si>
    <t>TRK548562415</t>
  </si>
  <si>
    <t>SHP000156</t>
  </si>
  <si>
    <t>TRK709151716</t>
  </si>
  <si>
    <t>SHP000157</t>
  </si>
  <si>
    <t>TRK858498620</t>
  </si>
  <si>
    <t>SHP000158</t>
  </si>
  <si>
    <t>TRK147766906</t>
  </si>
  <si>
    <t>SHP000159</t>
  </si>
  <si>
    <t>TRK261104171</t>
  </si>
  <si>
    <t>SHP000160</t>
  </si>
  <si>
    <t>TRK146071954</t>
  </si>
  <si>
    <t>SHP000161</t>
  </si>
  <si>
    <t>TRK907887186</t>
  </si>
  <si>
    <t>SHP000162</t>
  </si>
  <si>
    <t>TRK846296618</t>
  </si>
  <si>
    <t>SHP000163</t>
  </si>
  <si>
    <t>TRK579456074</t>
  </si>
  <si>
    <t>SHP000164</t>
  </si>
  <si>
    <t>TRK389532872</t>
  </si>
  <si>
    <t>SHP000165</t>
  </si>
  <si>
    <t>TRK667337907</t>
  </si>
  <si>
    <t>SHP000166</t>
  </si>
  <si>
    <t>TRK296732640</t>
  </si>
  <si>
    <t>SHP000167</t>
  </si>
  <si>
    <t>TRK753543832</t>
  </si>
  <si>
    <t>SHP000168</t>
  </si>
  <si>
    <t>TRK352444715</t>
  </si>
  <si>
    <t>SHP000169</t>
  </si>
  <si>
    <t>TRK865853038</t>
  </si>
  <si>
    <t>SHP000170</t>
  </si>
  <si>
    <t>TRK480927345</t>
  </si>
  <si>
    <t>SHP000171</t>
  </si>
  <si>
    <t>TRK984833783</t>
  </si>
  <si>
    <t>SHP000172</t>
  </si>
  <si>
    <t>TRK465704505</t>
  </si>
  <si>
    <t>SHP000173</t>
  </si>
  <si>
    <t>TRK127165608</t>
  </si>
  <si>
    <t>SHP000174</t>
  </si>
  <si>
    <t>TRK661382523</t>
  </si>
  <si>
    <t>SHP000175</t>
  </si>
  <si>
    <t>TRK764782195</t>
  </si>
  <si>
    <t>SHP000176</t>
  </si>
  <si>
    <t>TRK428097596</t>
  </si>
  <si>
    <t>SHP000177</t>
  </si>
  <si>
    <t>TRK465345148</t>
  </si>
  <si>
    <t>SHP000178</t>
  </si>
  <si>
    <t>TRK255055942</t>
  </si>
  <si>
    <t>SHP000179</t>
  </si>
  <si>
    <t>TRK890582569</t>
  </si>
  <si>
    <t>SHP000180</t>
  </si>
  <si>
    <t>TRK468551911</t>
  </si>
  <si>
    <t>SHP000181</t>
  </si>
  <si>
    <t>TRK747761289</t>
  </si>
  <si>
    <t>SHP000182</t>
  </si>
  <si>
    <t>TRK441324950</t>
  </si>
  <si>
    <t>SHP000183</t>
  </si>
  <si>
    <t>TRK423630173</t>
  </si>
  <si>
    <t>SHP000184</t>
  </si>
  <si>
    <t>TRK731176714</t>
  </si>
  <si>
    <t>SHP000185</t>
  </si>
  <si>
    <t>TRK276664609</t>
  </si>
  <si>
    <t>SHP000186</t>
  </si>
  <si>
    <t>TRK331203884</t>
  </si>
  <si>
    <t>SHP000187</t>
  </si>
  <si>
    <t>TRK263839922</t>
  </si>
  <si>
    <t>SHP000188</t>
  </si>
  <si>
    <t>TRK847662738</t>
  </si>
  <si>
    <t>SHP000189</t>
  </si>
  <si>
    <t>TRK609668461</t>
  </si>
  <si>
    <t>SHP000190</t>
  </si>
  <si>
    <t>TRK640245022</t>
  </si>
  <si>
    <t>SHP000191</t>
  </si>
  <si>
    <t>TRK714197244</t>
  </si>
  <si>
    <t>SHP000192</t>
  </si>
  <si>
    <t>TRK652163061</t>
  </si>
  <si>
    <t>SHP000193</t>
  </si>
  <si>
    <t>TRK943762148</t>
  </si>
  <si>
    <t>SHP000194</t>
  </si>
  <si>
    <t>TRK186837849</t>
  </si>
  <si>
    <t>SHP000195</t>
  </si>
  <si>
    <t>TRK208444253</t>
  </si>
  <si>
    <t>SHP000196</t>
  </si>
  <si>
    <t>TRK985183015</t>
  </si>
  <si>
    <t>SHP000197</t>
  </si>
  <si>
    <t>TRK449613028</t>
  </si>
  <si>
    <t>SHP000198</t>
  </si>
  <si>
    <t>TRK751124781</t>
  </si>
  <si>
    <t>SHP000199</t>
  </si>
  <si>
    <t>TRK649551785</t>
  </si>
  <si>
    <t>SHP000200</t>
  </si>
  <si>
    <t>TRK824245035</t>
  </si>
  <si>
    <t>SHP000201</t>
  </si>
  <si>
    <t>TRK871755925</t>
  </si>
  <si>
    <t>SHP000202</t>
  </si>
  <si>
    <t>TRK305390232</t>
  </si>
  <si>
    <t>SHP000203</t>
  </si>
  <si>
    <t>TRK273983750</t>
  </si>
  <si>
    <t>SHP000204</t>
  </si>
  <si>
    <t>TRK672920461</t>
  </si>
  <si>
    <t>SHP000205</t>
  </si>
  <si>
    <t>TRK147034331</t>
  </si>
  <si>
    <t>SHP000206</t>
  </si>
  <si>
    <t>TRK533129883</t>
  </si>
  <si>
    <t>SHP000207</t>
  </si>
  <si>
    <t>TRK134920552</t>
  </si>
  <si>
    <t>SHP000208</t>
  </si>
  <si>
    <t>TRK971497830</t>
  </si>
  <si>
    <t>SHP000209</t>
  </si>
  <si>
    <t>TRK576161667</t>
  </si>
  <si>
    <t>SHP000210</t>
  </si>
  <si>
    <t>TRK523229321</t>
  </si>
  <si>
    <t>SHP000211</t>
  </si>
  <si>
    <t>TRK385248230</t>
  </si>
  <si>
    <t>SHP000212</t>
  </si>
  <si>
    <t>TRK600943727</t>
  </si>
  <si>
    <t>SHP000213</t>
  </si>
  <si>
    <t>TRK331312592</t>
  </si>
  <si>
    <t>SHP000214</t>
  </si>
  <si>
    <t>TRK565889655</t>
  </si>
  <si>
    <t>SHP000215</t>
  </si>
  <si>
    <t>TRK832352457</t>
  </si>
  <si>
    <t>SHP000216</t>
  </si>
  <si>
    <t>TRK242375332</t>
  </si>
  <si>
    <t>SHP000217</t>
  </si>
  <si>
    <t>TRK578452103</t>
  </si>
  <si>
    <t>SHP000218</t>
  </si>
  <si>
    <t>TRK410814526</t>
  </si>
  <si>
    <t>SHP000219</t>
  </si>
  <si>
    <t>TRK178075332</t>
  </si>
  <si>
    <t>SHP000220</t>
  </si>
  <si>
    <t>TRK607720045</t>
  </si>
  <si>
    <t>SHP000221</t>
  </si>
  <si>
    <t>TRK196653153</t>
  </si>
  <si>
    <t>SHP000222</t>
  </si>
  <si>
    <t>TRK297310569</t>
  </si>
  <si>
    <t>SHP000223</t>
  </si>
  <si>
    <t>TRK818058840</t>
  </si>
  <si>
    <t>SHP000224</t>
  </si>
  <si>
    <t>TRK977324375</t>
  </si>
  <si>
    <t>SHP000225</t>
  </si>
  <si>
    <t>TRK209656299</t>
  </si>
  <si>
    <t>SHP000226</t>
  </si>
  <si>
    <t>TRK892716536</t>
  </si>
  <si>
    <t>SHP000227</t>
  </si>
  <si>
    <t>TRK488385278</t>
  </si>
  <si>
    <t>SHP000228</t>
  </si>
  <si>
    <t>TRK742127452</t>
  </si>
  <si>
    <t>SHP000229</t>
  </si>
  <si>
    <t>TRK866238127</t>
  </si>
  <si>
    <t>SHP000230</t>
  </si>
  <si>
    <t>TRK451228138</t>
  </si>
  <si>
    <t>SHP000231</t>
  </si>
  <si>
    <t>TRK328436950</t>
  </si>
  <si>
    <t>SHP000232</t>
  </si>
  <si>
    <t>TRK172039357</t>
  </si>
  <si>
    <t>SHP000233</t>
  </si>
  <si>
    <t>TRK274860011</t>
  </si>
  <si>
    <t>SHP000234</t>
  </si>
  <si>
    <t>TRK258909439</t>
  </si>
  <si>
    <t>SHP000235</t>
  </si>
  <si>
    <t>TRK873237845</t>
  </si>
  <si>
    <t>SHP000236</t>
  </si>
  <si>
    <t>TRK871479411</t>
  </si>
  <si>
    <t>SHP000237</t>
  </si>
  <si>
    <t>TRK862080150</t>
  </si>
  <si>
    <t>SHP000238</t>
  </si>
  <si>
    <t>TRK682212060</t>
  </si>
  <si>
    <t>SHP000239</t>
  </si>
  <si>
    <t>TRK739547101</t>
  </si>
  <si>
    <t>SHP000240</t>
  </si>
  <si>
    <t>TRK169008079</t>
  </si>
  <si>
    <t>SHP000241</t>
  </si>
  <si>
    <t>TRK120681007</t>
  </si>
  <si>
    <t>SHP000242</t>
  </si>
  <si>
    <t>TRK960263033</t>
  </si>
  <si>
    <t>SHP000243</t>
  </si>
  <si>
    <t>TRK954136803</t>
  </si>
  <si>
    <t>SHP000244</t>
  </si>
  <si>
    <t>TRK369598907</t>
  </si>
  <si>
    <t>SHP000245</t>
  </si>
  <si>
    <t>TRK486310959</t>
  </si>
  <si>
    <t>SHP000246</t>
  </si>
  <si>
    <t>TRK377845709</t>
  </si>
  <si>
    <t>SHP000247</t>
  </si>
  <si>
    <t>TRK230948001</t>
  </si>
  <si>
    <t>SHP000248</t>
  </si>
  <si>
    <t>TRK359884664</t>
  </si>
  <si>
    <t>SHP000249</t>
  </si>
  <si>
    <t>TRK560455556</t>
  </si>
  <si>
    <t>SHP000250</t>
  </si>
  <si>
    <t>TRK634474670</t>
  </si>
  <si>
    <t>SHP000251</t>
  </si>
  <si>
    <t>TRK106691057</t>
  </si>
  <si>
    <t>SHP000252</t>
  </si>
  <si>
    <t>TRK150758583</t>
  </si>
  <si>
    <t>SHP000253</t>
  </si>
  <si>
    <t>TRK319056153</t>
  </si>
  <si>
    <t>SHP000254</t>
  </si>
  <si>
    <t>TRK165560848</t>
  </si>
  <si>
    <t>SHP000255</t>
  </si>
  <si>
    <t>TRK619323925</t>
  </si>
  <si>
    <t>SHP000256</t>
  </si>
  <si>
    <t>TRK257161786</t>
  </si>
  <si>
    <t>SHP000257</t>
  </si>
  <si>
    <t>TRK272971649</t>
  </si>
  <si>
    <t>SHP000258</t>
  </si>
  <si>
    <t>TRK764999820</t>
  </si>
  <si>
    <t>SHP000259</t>
  </si>
  <si>
    <t>TRK477682677</t>
  </si>
  <si>
    <t>SHP000260</t>
  </si>
  <si>
    <t>TRK835140654</t>
  </si>
  <si>
    <t>SHP000261</t>
  </si>
  <si>
    <t>TRK505585720</t>
  </si>
  <si>
    <t>SHP000262</t>
  </si>
  <si>
    <t>TRK177111628</t>
  </si>
  <si>
    <t>SHP000263</t>
  </si>
  <si>
    <t>TRK198110489</t>
  </si>
  <si>
    <t>SHP000264</t>
  </si>
  <si>
    <t>TRK437454596</t>
  </si>
  <si>
    <t>SHP000265</t>
  </si>
  <si>
    <t>TRK888018735</t>
  </si>
  <si>
    <t>SHP000266</t>
  </si>
  <si>
    <t>TRK350808724</t>
  </si>
  <si>
    <t>SHP000267</t>
  </si>
  <si>
    <t>TRK109437761</t>
  </si>
  <si>
    <t>SHP000268</t>
  </si>
  <si>
    <t>TRK828171325</t>
  </si>
  <si>
    <t>SHP000269</t>
  </si>
  <si>
    <t>TRK970006191</t>
  </si>
  <si>
    <t>SHP000270</t>
  </si>
  <si>
    <t>TRK599956241</t>
  </si>
  <si>
    <t>SHP000271</t>
  </si>
  <si>
    <t>TRK493686044</t>
  </si>
  <si>
    <t>SHP000272</t>
  </si>
  <si>
    <t>TRK955778667</t>
  </si>
  <si>
    <t>SHP000273</t>
  </si>
  <si>
    <t>TRK670723098</t>
  </si>
  <si>
    <t>SHP000274</t>
  </si>
  <si>
    <t>TRK559747739</t>
  </si>
  <si>
    <t>SHP000275</t>
  </si>
  <si>
    <t>TRK689560728</t>
  </si>
  <si>
    <t>SHP000276</t>
  </si>
  <si>
    <t>TRK233044348</t>
  </si>
  <si>
    <t>SHP000277</t>
  </si>
  <si>
    <t>TRK238096835</t>
  </si>
  <si>
    <t>SHP000278</t>
  </si>
  <si>
    <t>TRK979728621</t>
  </si>
  <si>
    <t>SHP000279</t>
  </si>
  <si>
    <t>TRK501892053</t>
  </si>
  <si>
    <t>SHP000280</t>
  </si>
  <si>
    <t>TRK471532374</t>
  </si>
  <si>
    <t>SHP000281</t>
  </si>
  <si>
    <t>TRK284383722</t>
  </si>
  <si>
    <t>SHP000282</t>
  </si>
  <si>
    <t>TRK508042569</t>
  </si>
  <si>
    <t>SHP000283</t>
  </si>
  <si>
    <t>TRK103842314</t>
  </si>
  <si>
    <t>SHP000284</t>
  </si>
  <si>
    <t>TRK884017992</t>
  </si>
  <si>
    <t>SHP000285</t>
  </si>
  <si>
    <t>TRK583792806</t>
  </si>
  <si>
    <t>SHP000286</t>
  </si>
  <si>
    <t>TRK584321754</t>
  </si>
  <si>
    <t>SHP000287</t>
  </si>
  <si>
    <t>TRK655691653</t>
  </si>
  <si>
    <t>SHP000288</t>
  </si>
  <si>
    <t>TRK925615356</t>
  </si>
  <si>
    <t>SHP000289</t>
  </si>
  <si>
    <t>TRK151029696</t>
  </si>
  <si>
    <t>SHP000290</t>
  </si>
  <si>
    <t>TRK490129050</t>
  </si>
  <si>
    <t>SHP000291</t>
  </si>
  <si>
    <t>TRK851956556</t>
  </si>
  <si>
    <t>SHP000292</t>
  </si>
  <si>
    <t>TRK499717194</t>
  </si>
  <si>
    <t>SHP000293</t>
  </si>
  <si>
    <t>TRK526225353</t>
  </si>
  <si>
    <t>SHP000294</t>
  </si>
  <si>
    <t>TRK399167886</t>
  </si>
  <si>
    <t>SHP000295</t>
  </si>
  <si>
    <t>TRK174132344</t>
  </si>
  <si>
    <t>SHP000296</t>
  </si>
  <si>
    <t>TRK968023986</t>
  </si>
  <si>
    <t>SHP000297</t>
  </si>
  <si>
    <t>TRK694194638</t>
  </si>
  <si>
    <t>SHP000298</t>
  </si>
  <si>
    <t>TRK980439291</t>
  </si>
  <si>
    <t>SHP000299</t>
  </si>
  <si>
    <t>TRK278274677</t>
  </si>
  <si>
    <t>SHP000300</t>
  </si>
  <si>
    <t>TRK251014411</t>
  </si>
  <si>
    <t>SHP000301</t>
  </si>
  <si>
    <t>TRK389282593</t>
  </si>
  <si>
    <t>SHP000302</t>
  </si>
  <si>
    <t>TRK777643815</t>
  </si>
  <si>
    <t>SHP000303</t>
  </si>
  <si>
    <t>TRK510656942</t>
  </si>
  <si>
    <t>SHP000304</t>
  </si>
  <si>
    <t>TRK799604870</t>
  </si>
  <si>
    <t>SHP000305</t>
  </si>
  <si>
    <t>TRK239180157</t>
  </si>
  <si>
    <t>SHP000306</t>
  </si>
  <si>
    <t>TRK400742106</t>
  </si>
  <si>
    <t>SHP000307</t>
  </si>
  <si>
    <t>TRK831273084</t>
  </si>
  <si>
    <t>SHP000308</t>
  </si>
  <si>
    <t>TRK124899881</t>
  </si>
  <si>
    <t>SHP000309</t>
  </si>
  <si>
    <t>TRK507962975</t>
  </si>
  <si>
    <t>SHP000310</t>
  </si>
  <si>
    <t>TRK762049827</t>
  </si>
  <si>
    <t>SHP000311</t>
  </si>
  <si>
    <t>TRK154469270</t>
  </si>
  <si>
    <t>SHP000312</t>
  </si>
  <si>
    <t>TRK311194108</t>
  </si>
  <si>
    <t>SHP000313</t>
  </si>
  <si>
    <t>TRK693433121</t>
  </si>
  <si>
    <t>SHP000314</t>
  </si>
  <si>
    <t>TRK913374623</t>
  </si>
  <si>
    <t>SHP000315</t>
  </si>
  <si>
    <t>TRK278162428</t>
  </si>
  <si>
    <t>SHP000316</t>
  </si>
  <si>
    <t>TRK553537743</t>
  </si>
  <si>
    <t>SHP000317</t>
  </si>
  <si>
    <t>TRK980391781</t>
  </si>
  <si>
    <t>SHP000318</t>
  </si>
  <si>
    <t>TRK290155641</t>
  </si>
  <si>
    <t>SHP000319</t>
  </si>
  <si>
    <t>TRK306845232</t>
  </si>
  <si>
    <t>SHP000320</t>
  </si>
  <si>
    <t>TRK822023310</t>
  </si>
  <si>
    <t>SHP000321</t>
  </si>
  <si>
    <t>TRK872210753</t>
  </si>
  <si>
    <t>SHP000322</t>
  </si>
  <si>
    <t>TRK673704347</t>
  </si>
  <si>
    <t>SHP000323</t>
  </si>
  <si>
    <t>TRK107938762</t>
  </si>
  <si>
    <t>SHP000324</t>
  </si>
  <si>
    <t>TRK180333824</t>
  </si>
  <si>
    <t>SHP000325</t>
  </si>
  <si>
    <t>TRK719215533</t>
  </si>
  <si>
    <t>SHP000326</t>
  </si>
  <si>
    <t>TRK246106560</t>
  </si>
  <si>
    <t>SHP000327</t>
  </si>
  <si>
    <t>TRK747131070</t>
  </si>
  <si>
    <t>SHP000328</t>
  </si>
  <si>
    <t>TRK140376261</t>
  </si>
  <si>
    <t>SHP000329</t>
  </si>
  <si>
    <t>TRK692635976</t>
  </si>
  <si>
    <t>SHP000330</t>
  </si>
  <si>
    <t>TRK936627338</t>
  </si>
  <si>
    <t>SHP000331</t>
  </si>
  <si>
    <t>TRK367801050</t>
  </si>
  <si>
    <t>SHP000332</t>
  </si>
  <si>
    <t>TRK338286980</t>
  </si>
  <si>
    <t>SHP000333</t>
  </si>
  <si>
    <t>TRK484490026</t>
  </si>
  <si>
    <t>SHP000334</t>
  </si>
  <si>
    <t>TRK391307294</t>
  </si>
  <si>
    <t>SHP000335</t>
  </si>
  <si>
    <t>TRK580318316</t>
  </si>
  <si>
    <t>SHP000336</t>
  </si>
  <si>
    <t>TRK574513695</t>
  </si>
  <si>
    <t>SHP000337</t>
  </si>
  <si>
    <t>TRK613335541</t>
  </si>
  <si>
    <t>SHP000338</t>
  </si>
  <si>
    <t>TRK482790947</t>
  </si>
  <si>
    <t>SHP000339</t>
  </si>
  <si>
    <t>TRK117628364</t>
  </si>
  <si>
    <t>SHP000340</t>
  </si>
  <si>
    <t>TRK944600766</t>
  </si>
  <si>
    <t>SHP000341</t>
  </si>
  <si>
    <t>TRK686461788</t>
  </si>
  <si>
    <t>SHP000342</t>
  </si>
  <si>
    <t>TRK147685159</t>
  </si>
  <si>
    <t>SHP000343</t>
  </si>
  <si>
    <t>TRK439041648</t>
  </si>
  <si>
    <t>SHP000344</t>
  </si>
  <si>
    <t>TRK190711387</t>
  </si>
  <si>
    <t>SHP000345</t>
  </si>
  <si>
    <t>TRK382438138</t>
  </si>
  <si>
    <t>SHP000346</t>
  </si>
  <si>
    <t>TRK846176906</t>
  </si>
  <si>
    <t>SHP000347</t>
  </si>
  <si>
    <t>TRK651770133</t>
  </si>
  <si>
    <t>SHP000348</t>
  </si>
  <si>
    <t>TRK180834737</t>
  </si>
  <si>
    <t>SHP000349</t>
  </si>
  <si>
    <t>TRK153687643</t>
  </si>
  <si>
    <t>SHP000350</t>
  </si>
  <si>
    <t>TRK303744777</t>
  </si>
  <si>
    <t>SHP000351</t>
  </si>
  <si>
    <t>TRK791478845</t>
  </si>
  <si>
    <t>SHP000352</t>
  </si>
  <si>
    <t>TRK603544069</t>
  </si>
  <si>
    <t>SHP000353</t>
  </si>
  <si>
    <t>TRK159670681</t>
  </si>
  <si>
    <t>SHP000354</t>
  </si>
  <si>
    <t>TRK915177249</t>
  </si>
  <si>
    <t>SHP000355</t>
  </si>
  <si>
    <t>TRK191869383</t>
  </si>
  <si>
    <t>SHP000356</t>
  </si>
  <si>
    <t>TRK751929538</t>
  </si>
  <si>
    <t>SHP000357</t>
  </si>
  <si>
    <t>TRK652022208</t>
  </si>
  <si>
    <t>SHP000358</t>
  </si>
  <si>
    <t>TRK117926549</t>
  </si>
  <si>
    <t>SHP000359</t>
  </si>
  <si>
    <t>TRK219688363</t>
  </si>
  <si>
    <t>SHP000360</t>
  </si>
  <si>
    <t>TRK444469031</t>
  </si>
  <si>
    <t>SHP000361</t>
  </si>
  <si>
    <t>TRK737461873</t>
  </si>
  <si>
    <t>SHP000362</t>
  </si>
  <si>
    <t>TRK667080072</t>
  </si>
  <si>
    <t>SHP000363</t>
  </si>
  <si>
    <t>TRK521231763</t>
  </si>
  <si>
    <t>SHP000364</t>
  </si>
  <si>
    <t>TRK400211597</t>
  </si>
  <si>
    <t>SHP000365</t>
  </si>
  <si>
    <t>TRK457823129</t>
  </si>
  <si>
    <t>SHP000366</t>
  </si>
  <si>
    <t>TRK914274672</t>
  </si>
  <si>
    <t>SHP000367</t>
  </si>
  <si>
    <t>TRK923648715</t>
  </si>
  <si>
    <t>SHP000368</t>
  </si>
  <si>
    <t>TRK426053219</t>
  </si>
  <si>
    <t>SHP000369</t>
  </si>
  <si>
    <t>TRK906230171</t>
  </si>
  <si>
    <t>SHP000370</t>
  </si>
  <si>
    <t>TRK859758866</t>
  </si>
  <si>
    <t>SHP000371</t>
  </si>
  <si>
    <t>TRK463273341</t>
  </si>
  <si>
    <t>SHP000372</t>
  </si>
  <si>
    <t>TRK910066804</t>
  </si>
  <si>
    <t>SHP000373</t>
  </si>
  <si>
    <t>TRK507118672</t>
  </si>
  <si>
    <t>SHP000374</t>
  </si>
  <si>
    <t>TRK588185827</t>
  </si>
  <si>
    <t>SHP000375</t>
  </si>
  <si>
    <t>TRK325014742</t>
  </si>
  <si>
    <t>SHP000376</t>
  </si>
  <si>
    <t>TRK277196416</t>
  </si>
  <si>
    <t>SHP000377</t>
  </si>
  <si>
    <t>TRK947064973</t>
  </si>
  <si>
    <t>SHP000378</t>
  </si>
  <si>
    <t>TRK879479296</t>
  </si>
  <si>
    <t>SHP000379</t>
  </si>
  <si>
    <t>TRK240447492</t>
  </si>
  <si>
    <t>SHP000380</t>
  </si>
  <si>
    <t>TRK642539237</t>
  </si>
  <si>
    <t>SHP000381</t>
  </si>
  <si>
    <t>TRK471298140</t>
  </si>
  <si>
    <t>SHP000382</t>
  </si>
  <si>
    <t>TRK393446287</t>
  </si>
  <si>
    <t>SHP000383</t>
  </si>
  <si>
    <t>TRK313188174</t>
  </si>
  <si>
    <t>SHP000384</t>
  </si>
  <si>
    <t>TRK600854701</t>
  </si>
  <si>
    <t>SHP000385</t>
  </si>
  <si>
    <t>TRK674889003</t>
  </si>
  <si>
    <t>SHP000386</t>
  </si>
  <si>
    <t>TRK450977318</t>
  </si>
  <si>
    <t>SHP000387</t>
  </si>
  <si>
    <t>TRK454356700</t>
  </si>
  <si>
    <t>SHP000388</t>
  </si>
  <si>
    <t>TRK136399426</t>
  </si>
  <si>
    <t>SHP000389</t>
  </si>
  <si>
    <t>TRK914174235</t>
  </si>
  <si>
    <t>SHP000390</t>
  </si>
  <si>
    <t>TRK949704642</t>
  </si>
  <si>
    <t>SHP000391</t>
  </si>
  <si>
    <t>TRK102140568</t>
  </si>
  <si>
    <t>SHP000392</t>
  </si>
  <si>
    <t>TRK380505190</t>
  </si>
  <si>
    <t>SHP000393</t>
  </si>
  <si>
    <t>TRK435560534</t>
  </si>
  <si>
    <t>SHP000394</t>
  </si>
  <si>
    <t>TRK189463870</t>
  </si>
  <si>
    <t>SHP000395</t>
  </si>
  <si>
    <t>TRK426305959</t>
  </si>
  <si>
    <t>SHP000396</t>
  </si>
  <si>
    <t>TRK822869748</t>
  </si>
  <si>
    <t>SHP000397</t>
  </si>
  <si>
    <t>TRK474861328</t>
  </si>
  <si>
    <t>SHP000398</t>
  </si>
  <si>
    <t>TRK402015243</t>
  </si>
  <si>
    <t>SHP000399</t>
  </si>
  <si>
    <t>TRK610197749</t>
  </si>
  <si>
    <t>SHP000400</t>
  </si>
  <si>
    <t>TRK967006039</t>
  </si>
  <si>
    <t>SHP000401</t>
  </si>
  <si>
    <t>TRK697907019</t>
  </si>
  <si>
    <t>SHP000402</t>
  </si>
  <si>
    <t>TRK161097536</t>
  </si>
  <si>
    <t>SHP000403</t>
  </si>
  <si>
    <t>TRK930301472</t>
  </si>
  <si>
    <t>SHP000404</t>
  </si>
  <si>
    <t>TRK546657083</t>
  </si>
  <si>
    <t>SHP000405</t>
  </si>
  <si>
    <t>TRK168217389</t>
  </si>
  <si>
    <t>SHP000406</t>
  </si>
  <si>
    <t>TRK106172281</t>
  </si>
  <si>
    <t>SHP000407</t>
  </si>
  <si>
    <t>TRK613287329</t>
  </si>
  <si>
    <t>SHP000408</t>
  </si>
  <si>
    <t>TRK348307025</t>
  </si>
  <si>
    <t>SHP000409</t>
  </si>
  <si>
    <t>TRK685579103</t>
  </si>
  <si>
    <t>SHP000410</t>
  </si>
  <si>
    <t>TRK888652750</t>
  </si>
  <si>
    <t>SHP000411</t>
  </si>
  <si>
    <t>TRK195816074</t>
  </si>
  <si>
    <t>SHP000412</t>
  </si>
  <si>
    <t>TRK555360663</t>
  </si>
  <si>
    <t>SHP000413</t>
  </si>
  <si>
    <t>TRK480058672</t>
  </si>
  <si>
    <t>SHP000414</t>
  </si>
  <si>
    <t>TRK845327273</t>
  </si>
  <si>
    <t>SHP000415</t>
  </si>
  <si>
    <t>TRK148769205</t>
  </si>
  <si>
    <t>SHP000416</t>
  </si>
  <si>
    <t>TRK238245397</t>
  </si>
  <si>
    <t>SHP000417</t>
  </si>
  <si>
    <t>TRK159760781</t>
  </si>
  <si>
    <t>SHP000418</t>
  </si>
  <si>
    <t>TRK634275513</t>
  </si>
  <si>
    <t>SHP000419</t>
  </si>
  <si>
    <t>TRK368506863</t>
  </si>
  <si>
    <t>SHP000420</t>
  </si>
  <si>
    <t>TRK584399577</t>
  </si>
  <si>
    <t>SHP000421</t>
  </si>
  <si>
    <t>TRK410957531</t>
  </si>
  <si>
    <t>SHP000422</t>
  </si>
  <si>
    <t>TRK474281656</t>
  </si>
  <si>
    <t>SHP000423</t>
  </si>
  <si>
    <t>TRK804449039</t>
  </si>
  <si>
    <t>SHP000424</t>
  </si>
  <si>
    <t>TRK215973338</t>
  </si>
  <si>
    <t>SHP000425</t>
  </si>
  <si>
    <t>TRK531128762</t>
  </si>
  <si>
    <t>SHP000426</t>
  </si>
  <si>
    <t>TRK909094379</t>
  </si>
  <si>
    <t>SHP000427</t>
  </si>
  <si>
    <t>TRK482983780</t>
  </si>
  <si>
    <t>SHP000428</t>
  </si>
  <si>
    <t>TRK619253029</t>
  </si>
  <si>
    <t>SHP000429</t>
  </si>
  <si>
    <t>TRK276405918</t>
  </si>
  <si>
    <t>SHP000430</t>
  </si>
  <si>
    <t>TRK289214138</t>
  </si>
  <si>
    <t>SHP000431</t>
  </si>
  <si>
    <t>TRK387216512</t>
  </si>
  <si>
    <t>SHP000432</t>
  </si>
  <si>
    <t>TRK212712473</t>
  </si>
  <si>
    <t>SHP000433</t>
  </si>
  <si>
    <t>TRK715092228</t>
  </si>
  <si>
    <t>SHP000434</t>
  </si>
  <si>
    <t>TRK134372945</t>
  </si>
  <si>
    <t>SHP000435</t>
  </si>
  <si>
    <t>TRK450511321</t>
  </si>
  <si>
    <t>SHP000436</t>
  </si>
  <si>
    <t>TRK696946889</t>
  </si>
  <si>
    <t>SHP000437</t>
  </si>
  <si>
    <t>TRK311905727</t>
  </si>
  <si>
    <t>SHP000438</t>
  </si>
  <si>
    <t>TRK145936885</t>
  </si>
  <si>
    <t>SHP000439</t>
  </si>
  <si>
    <t>TRK217735034</t>
  </si>
  <si>
    <t>SHP000440</t>
  </si>
  <si>
    <t>TRK283662806</t>
  </si>
  <si>
    <t>SHP000441</t>
  </si>
  <si>
    <t>TRK224805726</t>
  </si>
  <si>
    <t>SHP000442</t>
  </si>
  <si>
    <t>TRK604869163</t>
  </si>
  <si>
    <t>SHP000443</t>
  </si>
  <si>
    <t>TRK632402766</t>
  </si>
  <si>
    <t>SHP000444</t>
  </si>
  <si>
    <t>TRK396496247</t>
  </si>
  <si>
    <t>SHP000445</t>
  </si>
  <si>
    <t>TRK413768339</t>
  </si>
  <si>
    <t>SHP000446</t>
  </si>
  <si>
    <t>TRK539843471</t>
  </si>
  <si>
    <t>SHP000447</t>
  </si>
  <si>
    <t>TRK270705349</t>
  </si>
  <si>
    <t>SHP000448</t>
  </si>
  <si>
    <t>TRK939036359</t>
  </si>
  <si>
    <t>SHP000449</t>
  </si>
  <si>
    <t>TRK525152228</t>
  </si>
  <si>
    <t>SHP000450</t>
  </si>
  <si>
    <t>TRK721738299</t>
  </si>
  <si>
    <t>SHP000451</t>
  </si>
  <si>
    <t>TRK525780924</t>
  </si>
  <si>
    <t>SHP000452</t>
  </si>
  <si>
    <t>TRK203694672</t>
  </si>
  <si>
    <t>SHP000453</t>
  </si>
  <si>
    <t>TRK187276330</t>
  </si>
  <si>
    <t>SHP000454</t>
  </si>
  <si>
    <t>TRK377559806</t>
  </si>
  <si>
    <t>SHP000455</t>
  </si>
  <si>
    <t>TRK173635303</t>
  </si>
  <si>
    <t>SHP000456</t>
  </si>
  <si>
    <t>TRK868341910</t>
  </si>
  <si>
    <t>SHP000457</t>
  </si>
  <si>
    <t>TRK723369144</t>
  </si>
  <si>
    <t>SHP000458</t>
  </si>
  <si>
    <t>TRK996039283</t>
  </si>
  <si>
    <t>SHP000459</t>
  </si>
  <si>
    <t>TRK467035913</t>
  </si>
  <si>
    <t>SHP000460</t>
  </si>
  <si>
    <t>TRK755771552</t>
  </si>
  <si>
    <t>SHP000461</t>
  </si>
  <si>
    <t>TRK563173622</t>
  </si>
  <si>
    <t>SHP000462</t>
  </si>
  <si>
    <t>TRK961406720</t>
  </si>
  <si>
    <t>SHP000463</t>
  </si>
  <si>
    <t>TRK252846112</t>
  </si>
  <si>
    <t>SHP000464</t>
  </si>
  <si>
    <t>TRK184601915</t>
  </si>
  <si>
    <t>SHP000465</t>
  </si>
  <si>
    <t>TRK850338126</t>
  </si>
  <si>
    <t>SHP000466</t>
  </si>
  <si>
    <t>TRK784371128</t>
  </si>
  <si>
    <t>SHP000467</t>
  </si>
  <si>
    <t>TRK410370642</t>
  </si>
  <si>
    <t>SHP000468</t>
  </si>
  <si>
    <t>TRK339497490</t>
  </si>
  <si>
    <t>SHP000469</t>
  </si>
  <si>
    <t>TRK956345760</t>
  </si>
  <si>
    <t>SHP000470</t>
  </si>
  <si>
    <t>TRK602726222</t>
  </si>
  <si>
    <t>SHP000471</t>
  </si>
  <si>
    <t>TRK497467201</t>
  </si>
  <si>
    <t>SHP000472</t>
  </si>
  <si>
    <t>TRK779483066</t>
  </si>
  <si>
    <t>SHP000473</t>
  </si>
  <si>
    <t>TRK296291604</t>
  </si>
  <si>
    <t>SHP000474</t>
  </si>
  <si>
    <t>TRK268796195</t>
  </si>
  <si>
    <t>SHP000475</t>
  </si>
  <si>
    <t>TRK927121125</t>
  </si>
  <si>
    <t>SHP000476</t>
  </si>
  <si>
    <t>TRK373709188</t>
  </si>
  <si>
    <t>SHP000477</t>
  </si>
  <si>
    <t>TRK576562265</t>
  </si>
  <si>
    <t>SHP000478</t>
  </si>
  <si>
    <t>TRK415519265</t>
  </si>
  <si>
    <t>SHP000479</t>
  </si>
  <si>
    <t>TRK360371477</t>
  </si>
  <si>
    <t>SHP000480</t>
  </si>
  <si>
    <t>TRK490232506</t>
  </si>
  <si>
    <t>SHP000481</t>
  </si>
  <si>
    <t>TRK686890030</t>
  </si>
  <si>
    <t>SHP000482</t>
  </si>
  <si>
    <t>TRK478762648</t>
  </si>
  <si>
    <t>SHP000483</t>
  </si>
  <si>
    <t>TRK108211314</t>
  </si>
  <si>
    <t>SHP000484</t>
  </si>
  <si>
    <t>TRK832100928</t>
  </si>
  <si>
    <t>SHP000485</t>
  </si>
  <si>
    <t>TRK312523268</t>
  </si>
  <si>
    <t>SHP000486</t>
  </si>
  <si>
    <t>TRK171194336</t>
  </si>
  <si>
    <t>SHP000487</t>
  </si>
  <si>
    <t>TRK487045933</t>
  </si>
  <si>
    <t>SHP000488</t>
  </si>
  <si>
    <t>TRK934569053</t>
  </si>
  <si>
    <t>SHP000489</t>
  </si>
  <si>
    <t>TRK930127262</t>
  </si>
  <si>
    <t>SHP000490</t>
  </si>
  <si>
    <t>TRK582091235</t>
  </si>
  <si>
    <t>SHP000491</t>
  </si>
  <si>
    <t>TRK259213340</t>
  </si>
  <si>
    <t>SHP000492</t>
  </si>
  <si>
    <t>TRK250388056</t>
  </si>
  <si>
    <t>SHP000493</t>
  </si>
  <si>
    <t>TRK454187947</t>
  </si>
  <si>
    <t>SHP000494</t>
  </si>
  <si>
    <t>TRK185485089</t>
  </si>
  <si>
    <t>SHP000495</t>
  </si>
  <si>
    <t>TRK193678126</t>
  </si>
  <si>
    <t>SHP000496</t>
  </si>
  <si>
    <t>TRK122134720</t>
  </si>
  <si>
    <t>SHP000497</t>
  </si>
  <si>
    <t>TRK268365650</t>
  </si>
  <si>
    <t>SHP000498</t>
  </si>
  <si>
    <t>TRK216368889</t>
  </si>
  <si>
    <t>SHP000499</t>
  </si>
  <si>
    <t>TRK750726607</t>
  </si>
  <si>
    <t>SHP000500</t>
  </si>
  <si>
    <t>TRK218942515</t>
  </si>
  <si>
    <t>SHP000501</t>
  </si>
  <si>
    <t>TRK490904440</t>
  </si>
  <si>
    <t>SHP000502</t>
  </si>
  <si>
    <t>TRK622284636</t>
  </si>
  <si>
    <t>SHP000503</t>
  </si>
  <si>
    <t>TRK470055511</t>
  </si>
  <si>
    <t>SHP000504</t>
  </si>
  <si>
    <t>TRK284194086</t>
  </si>
  <si>
    <t>SHP000505</t>
  </si>
  <si>
    <t>TRK818272869</t>
  </si>
  <si>
    <t>SHP000506</t>
  </si>
  <si>
    <t>TRK460743386</t>
  </si>
  <si>
    <t>SHP000507</t>
  </si>
  <si>
    <t>TRK637738797</t>
  </si>
  <si>
    <t>SHP000508</t>
  </si>
  <si>
    <t>TRK565962985</t>
  </si>
  <si>
    <t>SHP000509</t>
  </si>
  <si>
    <t>TRK742972454</t>
  </si>
  <si>
    <t>SHP000510</t>
  </si>
  <si>
    <t>TRK276121888</t>
  </si>
  <si>
    <t>SHP000511</t>
  </si>
  <si>
    <t>TRK419313643</t>
  </si>
  <si>
    <t>SHP000512</t>
  </si>
  <si>
    <t>TRK212244795</t>
  </si>
  <si>
    <t>SHP000513</t>
  </si>
  <si>
    <t>TRK534699889</t>
  </si>
  <si>
    <t>SHP000514</t>
  </si>
  <si>
    <t>TRK665415486</t>
  </si>
  <si>
    <t>SHP000515</t>
  </si>
  <si>
    <t>TRK157005895</t>
  </si>
  <si>
    <t>SHP000516</t>
  </si>
  <si>
    <t>TRK896717231</t>
  </si>
  <si>
    <t>SHP000517</t>
  </si>
  <si>
    <t>TRK919933835</t>
  </si>
  <si>
    <t>SHP000518</t>
  </si>
  <si>
    <t>TRK108632471</t>
  </si>
  <si>
    <t>SHP000519</t>
  </si>
  <si>
    <t>TRK973271310</t>
  </si>
  <si>
    <t>SHP000520</t>
  </si>
  <si>
    <t>TRK876449711</t>
  </si>
  <si>
    <t>SHP000521</t>
  </si>
  <si>
    <t>TRK372622102</t>
  </si>
  <si>
    <t>SHP000522</t>
  </si>
  <si>
    <t>TRK905272957</t>
  </si>
  <si>
    <t>SHP000523</t>
  </si>
  <si>
    <t>TRK202838380</t>
  </si>
  <si>
    <t>SHP000524</t>
  </si>
  <si>
    <t>TRK442519958</t>
  </si>
  <si>
    <t>SHP000525</t>
  </si>
  <si>
    <t>TRK946622772</t>
  </si>
  <si>
    <t>SHP000526</t>
  </si>
  <si>
    <t>TRK456541006</t>
  </si>
  <si>
    <t>SHP000527</t>
  </si>
  <si>
    <t>TRK365236900</t>
  </si>
  <si>
    <t>SHP000528</t>
  </si>
  <si>
    <t>TRK376388739</t>
  </si>
  <si>
    <t>SHP000529</t>
  </si>
  <si>
    <t>TRK194926889</t>
  </si>
  <si>
    <t>SHP000530</t>
  </si>
  <si>
    <t>TRK608108849</t>
  </si>
  <si>
    <t>SHP000531</t>
  </si>
  <si>
    <t>TRK302510549</t>
  </si>
  <si>
    <t>SHP000532</t>
  </si>
  <si>
    <t>TRK108723764</t>
  </si>
  <si>
    <t>SHP000533</t>
  </si>
  <si>
    <t>TRK974749516</t>
  </si>
  <si>
    <t>SHP000534</t>
  </si>
  <si>
    <t>TRK252102620</t>
  </si>
  <si>
    <t>SHP000535</t>
  </si>
  <si>
    <t>TRK773197738</t>
  </si>
  <si>
    <t>SHP000536</t>
  </si>
  <si>
    <t>TRK486870151</t>
  </si>
  <si>
    <t>SHP000537</t>
  </si>
  <si>
    <t>TRK662112269</t>
  </si>
  <si>
    <t>SHP000538</t>
  </si>
  <si>
    <t>TRK342243260</t>
  </si>
  <si>
    <t>SHP000539</t>
  </si>
  <si>
    <t>TRK708819152</t>
  </si>
  <si>
    <t>SHP000540</t>
  </si>
  <si>
    <t>TRK966753986</t>
  </si>
  <si>
    <t>SHP000541</t>
  </si>
  <si>
    <t>TRK359489330</t>
  </si>
  <si>
    <t>SHP000542</t>
  </si>
  <si>
    <t>TRK147495187</t>
  </si>
  <si>
    <t>SHP000543</t>
  </si>
  <si>
    <t>TRK407322067</t>
  </si>
  <si>
    <t>SHP000544</t>
  </si>
  <si>
    <t>TRK861128997</t>
  </si>
  <si>
    <t>SHP000545</t>
  </si>
  <si>
    <t>TRK183621399</t>
  </si>
  <si>
    <t>SHP000546</t>
  </si>
  <si>
    <t>TRK379509516</t>
  </si>
  <si>
    <t>SHP000547</t>
  </si>
  <si>
    <t>TRK417813545</t>
  </si>
  <si>
    <t>SHP000548</t>
  </si>
  <si>
    <t>TRK971133029</t>
  </si>
  <si>
    <t>SHP000549</t>
  </si>
  <si>
    <t>TRK834384109</t>
  </si>
  <si>
    <t>SHP000550</t>
  </si>
  <si>
    <t>TRK268601078</t>
  </si>
  <si>
    <t>SHP000551</t>
  </si>
  <si>
    <t>TRK625868847</t>
  </si>
  <si>
    <t>SHP000552</t>
  </si>
  <si>
    <t>TRK546053681</t>
  </si>
  <si>
    <t>SHP000553</t>
  </si>
  <si>
    <t>TRK371360675</t>
  </si>
  <si>
    <t>SHP000554</t>
  </si>
  <si>
    <t>TRK498664341</t>
  </si>
  <si>
    <t>SHP000555</t>
  </si>
  <si>
    <t>TRK890943892</t>
  </si>
  <si>
    <t>SHP000556</t>
  </si>
  <si>
    <t>TRK472404194</t>
  </si>
  <si>
    <t>SHP000557</t>
  </si>
  <si>
    <t>TRK318541113</t>
  </si>
  <si>
    <t>SHP000558</t>
  </si>
  <si>
    <t>TRK771945717</t>
  </si>
  <si>
    <t>SHP000559</t>
  </si>
  <si>
    <t>TRK793560832</t>
  </si>
  <si>
    <t>SHP000560</t>
  </si>
  <si>
    <t>TRK142610565</t>
  </si>
  <si>
    <t>SHP000561</t>
  </si>
  <si>
    <t>TRK490193626</t>
  </si>
  <si>
    <t>SHP000562</t>
  </si>
  <si>
    <t>TRK477224475</t>
  </si>
  <si>
    <t>SHP000563</t>
  </si>
  <si>
    <t>TRK936043922</t>
  </si>
  <si>
    <t>SHP000564</t>
  </si>
  <si>
    <t>TRK656940662</t>
  </si>
  <si>
    <t>SHP000565</t>
  </si>
  <si>
    <t>TRK690279566</t>
  </si>
  <si>
    <t>SHP000566</t>
  </si>
  <si>
    <t>TRK620792400</t>
  </si>
  <si>
    <t>SHP000567</t>
  </si>
  <si>
    <t>TRK990013491</t>
  </si>
  <si>
    <t>SHP000568</t>
  </si>
  <si>
    <t>TRK959496547</t>
  </si>
  <si>
    <t>SHP000569</t>
  </si>
  <si>
    <t>TRK984707064</t>
  </si>
  <si>
    <t>SHP000570</t>
  </si>
  <si>
    <t>TRK361068349</t>
  </si>
  <si>
    <t>SHP000571</t>
  </si>
  <si>
    <t>TRK501660395</t>
  </si>
  <si>
    <t>SHP000572</t>
  </si>
  <si>
    <t>TRK306584339</t>
  </si>
  <si>
    <t>SHP000573</t>
  </si>
  <si>
    <t>TRK838186938</t>
  </si>
  <si>
    <t>SHP000574</t>
  </si>
  <si>
    <t>TRK502866828</t>
  </si>
  <si>
    <t>SHP000575</t>
  </si>
  <si>
    <t>TRK901797047</t>
  </si>
  <si>
    <t>SHP000576</t>
  </si>
  <si>
    <t>TRK854100378</t>
  </si>
  <si>
    <t>SHP000577</t>
  </si>
  <si>
    <t>TRK966822383</t>
  </si>
  <si>
    <t>SHP000578</t>
  </si>
  <si>
    <t>TRK926427505</t>
  </si>
  <si>
    <t>SHP000579</t>
  </si>
  <si>
    <t>TRK560239883</t>
  </si>
  <si>
    <t>SHP000580</t>
  </si>
  <si>
    <t>TRK686807903</t>
  </si>
  <si>
    <t>SHP000581</t>
  </si>
  <si>
    <t>TRK572384359</t>
  </si>
  <si>
    <t>SHP000582</t>
  </si>
  <si>
    <t>TRK897335128</t>
  </si>
  <si>
    <t>SHP000583</t>
  </si>
  <si>
    <t>TRK366018637</t>
  </si>
  <si>
    <t>SHP000584</t>
  </si>
  <si>
    <t>TRK247223975</t>
  </si>
  <si>
    <t>SHP000585</t>
  </si>
  <si>
    <t>TRK140177346</t>
  </si>
  <si>
    <t>SHP000586</t>
  </si>
  <si>
    <t>TRK149521564</t>
  </si>
  <si>
    <t>SHP000587</t>
  </si>
  <si>
    <t>TRK489954851</t>
  </si>
  <si>
    <t>SHP000588</t>
  </si>
  <si>
    <t>TRK235311148</t>
  </si>
  <si>
    <t>SHP000589</t>
  </si>
  <si>
    <t>TRK292832956</t>
  </si>
  <si>
    <t>SHP000590</t>
  </si>
  <si>
    <t>TRK404596233</t>
  </si>
  <si>
    <t>SHP000591</t>
  </si>
  <si>
    <t>TRK650455774</t>
  </si>
  <si>
    <t>SHP000592</t>
  </si>
  <si>
    <t>TRK714356617</t>
  </si>
  <si>
    <t>SHP000593</t>
  </si>
  <si>
    <t>TRK392489876</t>
  </si>
  <si>
    <t>SHP000594</t>
  </si>
  <si>
    <t>TRK362923334</t>
  </si>
  <si>
    <t>SHP000595</t>
  </si>
  <si>
    <t>TRK880648121</t>
  </si>
  <si>
    <t>SHP000596</t>
  </si>
  <si>
    <t>TRK984859778</t>
  </si>
  <si>
    <t>SHP000597</t>
  </si>
  <si>
    <t>TRK113069572</t>
  </si>
  <si>
    <t>SHP000598</t>
  </si>
  <si>
    <t>TRK538063583</t>
  </si>
  <si>
    <t>SHP000599</t>
  </si>
  <si>
    <t>TRK846682715</t>
  </si>
  <si>
    <t>SHP000600</t>
  </si>
  <si>
    <t>TRK135608121</t>
  </si>
  <si>
    <t>SHP000601</t>
  </si>
  <si>
    <t>TRK363561648</t>
  </si>
  <si>
    <t>SHP000602</t>
  </si>
  <si>
    <t>TRK162788319</t>
  </si>
  <si>
    <t>SHP000603</t>
  </si>
  <si>
    <t>TRK145489407</t>
  </si>
  <si>
    <t>SHP000604</t>
  </si>
  <si>
    <t>TRK955342846</t>
  </si>
  <si>
    <t>SHP000605</t>
  </si>
  <si>
    <t>TRK319928707</t>
  </si>
  <si>
    <t>SHP000606</t>
  </si>
  <si>
    <t>TRK290611763</t>
  </si>
  <si>
    <t>SHP000607</t>
  </si>
  <si>
    <t>TRK527693212</t>
  </si>
  <si>
    <t>SHP000608</t>
  </si>
  <si>
    <t>TRK627209696</t>
  </si>
  <si>
    <t>SHP000609</t>
  </si>
  <si>
    <t>TRK380437866</t>
  </si>
  <si>
    <t>SHP000610</t>
  </si>
  <si>
    <t>TRK158169783</t>
  </si>
  <si>
    <t>SHP000611</t>
  </si>
  <si>
    <t>TRK200869783</t>
  </si>
  <si>
    <t>SHP000612</t>
  </si>
  <si>
    <t>TRK550290037</t>
  </si>
  <si>
    <t>SHP000613</t>
  </si>
  <si>
    <t>TRK355414624</t>
  </si>
  <si>
    <t>SHP000614</t>
  </si>
  <si>
    <t>TRK962952790</t>
  </si>
  <si>
    <t>SHP000615</t>
  </si>
  <si>
    <t>TRK205524658</t>
  </si>
  <si>
    <t>SHP000616</t>
  </si>
  <si>
    <t>TRK588684627</t>
  </si>
  <si>
    <t>SHP000617</t>
  </si>
  <si>
    <t>TRK527682688</t>
  </si>
  <si>
    <t>SHP000618</t>
  </si>
  <si>
    <t>TRK131834021</t>
  </si>
  <si>
    <t>SHP000619</t>
  </si>
  <si>
    <t>TRK296705763</t>
  </si>
  <si>
    <t>SHP000620</t>
  </si>
  <si>
    <t>TRK777517170</t>
  </si>
  <si>
    <t>SHP000621</t>
  </si>
  <si>
    <t>TRK126443669</t>
  </si>
  <si>
    <t>SHP000622</t>
  </si>
  <si>
    <t>TRK948424390</t>
  </si>
  <si>
    <t>SHP000623</t>
  </si>
  <si>
    <t>TRK595835631</t>
  </si>
  <si>
    <t>SHP000624</t>
  </si>
  <si>
    <t>TRK931201920</t>
  </si>
  <si>
    <t>SHP000625</t>
  </si>
  <si>
    <t>TRK455910911</t>
  </si>
  <si>
    <t>SHP000626</t>
  </si>
  <si>
    <t>TRK958413683</t>
  </si>
  <si>
    <t>SHP000627</t>
  </si>
  <si>
    <t>TRK301413407</t>
  </si>
  <si>
    <t>SHP000628</t>
  </si>
  <si>
    <t>TRK902004389</t>
  </si>
  <si>
    <t>SHP000629</t>
  </si>
  <si>
    <t>TRK906470324</t>
  </si>
  <si>
    <t>SHP000630</t>
  </si>
  <si>
    <t>TRK591445399</t>
  </si>
  <si>
    <t>SHP000631</t>
  </si>
  <si>
    <t>TRK292849197</t>
  </si>
  <si>
    <t>SHP000632</t>
  </si>
  <si>
    <t>TRK219016247</t>
  </si>
  <si>
    <t>SHP000633</t>
  </si>
  <si>
    <t>TRK398291884</t>
  </si>
  <si>
    <t>SHP000634</t>
  </si>
  <si>
    <t>TRK355159830</t>
  </si>
  <si>
    <t>SHP000635</t>
  </si>
  <si>
    <t>TRK622757237</t>
  </si>
  <si>
    <t>SHP000636</t>
  </si>
  <si>
    <t>TRK893790220</t>
  </si>
  <si>
    <t>SHP000637</t>
  </si>
  <si>
    <t>TRK276089965</t>
  </si>
  <si>
    <t>SHP000638</t>
  </si>
  <si>
    <t>TRK357653906</t>
  </si>
  <si>
    <t>SHP000639</t>
  </si>
  <si>
    <t>TRK726984872</t>
  </si>
  <si>
    <t>SHP000640</t>
  </si>
  <si>
    <t>TRK714462822</t>
  </si>
  <si>
    <t>SHP000641</t>
  </si>
  <si>
    <t>TRK627392829</t>
  </si>
  <si>
    <t>SHP000642</t>
  </si>
  <si>
    <t>TRK249712824</t>
  </si>
  <si>
    <t>SHP000643</t>
  </si>
  <si>
    <t>TRK341051107</t>
  </si>
  <si>
    <t>SHP000644</t>
  </si>
  <si>
    <t>TRK437083061</t>
  </si>
  <si>
    <t>SHP000645</t>
  </si>
  <si>
    <t>TRK470785414</t>
  </si>
  <si>
    <t>SHP000646</t>
  </si>
  <si>
    <t>TRK399273530</t>
  </si>
  <si>
    <t>SHP000647</t>
  </si>
  <si>
    <t>TRK723708066</t>
  </si>
  <si>
    <t>SHP000648</t>
  </si>
  <si>
    <t>TRK965432328</t>
  </si>
  <si>
    <t>SHP000649</t>
  </si>
  <si>
    <t>TRK481527534</t>
  </si>
  <si>
    <t>SHP000650</t>
  </si>
  <si>
    <t>TRK922445311</t>
  </si>
  <si>
    <t>SHP000651</t>
  </si>
  <si>
    <t>TRK124490734</t>
  </si>
  <si>
    <t>SHP000652</t>
  </si>
  <si>
    <t>TRK900329224</t>
  </si>
  <si>
    <t>SHP000653</t>
  </si>
  <si>
    <t>TRK440274418</t>
  </si>
  <si>
    <t>SHP000654</t>
  </si>
  <si>
    <t>TRK472023921</t>
  </si>
  <si>
    <t>SHP000655</t>
  </si>
  <si>
    <t>TRK653233320</t>
  </si>
  <si>
    <t>SHP000656</t>
  </si>
  <si>
    <t>TRK373978818</t>
  </si>
  <si>
    <t>SHP000657</t>
  </si>
  <si>
    <t>TRK107557249</t>
  </si>
  <si>
    <t>SHP000658</t>
  </si>
  <si>
    <t>TRK516684987</t>
  </si>
  <si>
    <t>SHP000659</t>
  </si>
  <si>
    <t>TRK890425640</t>
  </si>
  <si>
    <t>SHP000660</t>
  </si>
  <si>
    <t>TRK232425760</t>
  </si>
  <si>
    <t>SHP000661</t>
  </si>
  <si>
    <t>TRK841677811</t>
  </si>
  <si>
    <t>SHP000662</t>
  </si>
  <si>
    <t>TRK534084797</t>
  </si>
  <si>
    <t>SHP000663</t>
  </si>
  <si>
    <t>TRK768032006</t>
  </si>
  <si>
    <t>SHP000664</t>
  </si>
  <si>
    <t>TRK876087800</t>
  </si>
  <si>
    <t>SHP000665</t>
  </si>
  <si>
    <t>TRK633344865</t>
  </si>
  <si>
    <t>SHP000666</t>
  </si>
  <si>
    <t>TRK944920438</t>
  </si>
  <si>
    <t>SHP000667</t>
  </si>
  <si>
    <t>TRK522682195</t>
  </si>
  <si>
    <t>SHP000668</t>
  </si>
  <si>
    <t>TRK819841353</t>
  </si>
  <si>
    <t>SHP000669</t>
  </si>
  <si>
    <t>TRK555669054</t>
  </si>
  <si>
    <t>SHP000670</t>
  </si>
  <si>
    <t>TRK490645396</t>
  </si>
  <si>
    <t>SHP000671</t>
  </si>
  <si>
    <t>TRK562726526</t>
  </si>
  <si>
    <t>SHP000672</t>
  </si>
  <si>
    <t>TRK559970384</t>
  </si>
  <si>
    <t>SHP000673</t>
  </si>
  <si>
    <t>TRK618915224</t>
  </si>
  <si>
    <t>SHP000674</t>
  </si>
  <si>
    <t>TRK173922243</t>
  </si>
  <si>
    <t>SHP000675</t>
  </si>
  <si>
    <t>TRK799413039</t>
  </si>
  <si>
    <t>SHP000676</t>
  </si>
  <si>
    <t>TRK764678331</t>
  </si>
  <si>
    <t>SHP000677</t>
  </si>
  <si>
    <t>TRK311769599</t>
  </si>
  <si>
    <t>SHP000678</t>
  </si>
  <si>
    <t>TRK824692223</t>
  </si>
  <si>
    <t>SHP000679</t>
  </si>
  <si>
    <t>TRK330937050</t>
  </si>
  <si>
    <t>SHP000680</t>
  </si>
  <si>
    <t>TRK440334591</t>
  </si>
  <si>
    <t>SHP000681</t>
  </si>
  <si>
    <t>TRK375295607</t>
  </si>
  <si>
    <t>SHP000682</t>
  </si>
  <si>
    <t>TRK681320266</t>
  </si>
  <si>
    <t>SHP000683</t>
  </si>
  <si>
    <t>TRK281489944</t>
  </si>
  <si>
    <t>SHP000684</t>
  </si>
  <si>
    <t>TRK723976628</t>
  </si>
  <si>
    <t>SHP000685</t>
  </si>
  <si>
    <t>TRK166825879</t>
  </si>
  <si>
    <t>SHP000686</t>
  </si>
  <si>
    <t>TRK742971611</t>
  </si>
  <si>
    <t>SHP000687</t>
  </si>
  <si>
    <t>TRK449635756</t>
  </si>
  <si>
    <t>SHP000688</t>
  </si>
  <si>
    <t>TRK495624633</t>
  </si>
  <si>
    <t>SHP000689</t>
  </si>
  <si>
    <t>TRK217878814</t>
  </si>
  <si>
    <t>SHP000690</t>
  </si>
  <si>
    <t>TRK185458238</t>
  </si>
  <si>
    <t>SHP000691</t>
  </si>
  <si>
    <t>TRK330574235</t>
  </si>
  <si>
    <t>SHP000692</t>
  </si>
  <si>
    <t>TRK753177402</t>
  </si>
  <si>
    <t>SHP000693</t>
  </si>
  <si>
    <t>TRK156882633</t>
  </si>
  <si>
    <t>SHP000694</t>
  </si>
  <si>
    <t>TRK891041350</t>
  </si>
  <si>
    <t>SHP000695</t>
  </si>
  <si>
    <t>TRK641015894</t>
  </si>
  <si>
    <t>SHP000696</t>
  </si>
  <si>
    <t>TRK328648866</t>
  </si>
  <si>
    <t>SHP000697</t>
  </si>
  <si>
    <t>TRK928068570</t>
  </si>
  <si>
    <t>SHP000698</t>
  </si>
  <si>
    <t>TRK846721465</t>
  </si>
  <si>
    <t>SHP000699</t>
  </si>
  <si>
    <t>TRK472840452</t>
  </si>
  <si>
    <t>SHP000700</t>
  </si>
  <si>
    <t>TRK635618672</t>
  </si>
  <si>
    <t>SHP000701</t>
  </si>
  <si>
    <t>TRK165045838</t>
  </si>
  <si>
    <t>SHP000702</t>
  </si>
  <si>
    <t>TRK719450587</t>
  </si>
  <si>
    <t>SHP000703</t>
  </si>
  <si>
    <t>TRK983857173</t>
  </si>
  <si>
    <t>SHP000704</t>
  </si>
  <si>
    <t>TRK213861293</t>
  </si>
  <si>
    <t>SHP000705</t>
  </si>
  <si>
    <t>TRK157068640</t>
  </si>
  <si>
    <t>SHP000706</t>
  </si>
  <si>
    <t>TRK345881721</t>
  </si>
  <si>
    <t>SHP000707</t>
  </si>
  <si>
    <t>TRK656155916</t>
  </si>
  <si>
    <t>SHP000708</t>
  </si>
  <si>
    <t>TRK509955729</t>
  </si>
  <si>
    <t>SHP000709</t>
  </si>
  <si>
    <t>TRK400896045</t>
  </si>
  <si>
    <t>SHP000710</t>
  </si>
  <si>
    <t>TRK232545825</t>
  </si>
  <si>
    <t>SHP000711</t>
  </si>
  <si>
    <t>TRK341649440</t>
  </si>
  <si>
    <t>SHP000712</t>
  </si>
  <si>
    <t>TRK876549092</t>
  </si>
  <si>
    <t>SHP000713</t>
  </si>
  <si>
    <t>TRK270997367</t>
  </si>
  <si>
    <t>SHP000714</t>
  </si>
  <si>
    <t>TRK234715122</t>
  </si>
  <si>
    <t>SHP000715</t>
  </si>
  <si>
    <t>TRK545597152</t>
  </si>
  <si>
    <t>SHP000716</t>
  </si>
  <si>
    <t>TRK940193316</t>
  </si>
  <si>
    <t>SHP000717</t>
  </si>
  <si>
    <t>TRK856919783</t>
  </si>
  <si>
    <t>SHP000718</t>
  </si>
  <si>
    <t>TRK595391522</t>
  </si>
  <si>
    <t>SHP000719</t>
  </si>
  <si>
    <t>TRK225359323</t>
  </si>
  <si>
    <t>SHP000720</t>
  </si>
  <si>
    <t>TRK875661131</t>
  </si>
  <si>
    <t>SHP000721</t>
  </si>
  <si>
    <t>TRK784009853</t>
  </si>
  <si>
    <t>SHP000722</t>
  </si>
  <si>
    <t>TRK856425431</t>
  </si>
  <si>
    <t>SHP000723</t>
  </si>
  <si>
    <t>TRK293113720</t>
  </si>
  <si>
    <t>SHP000724</t>
  </si>
  <si>
    <t>TRK453861911</t>
  </si>
  <si>
    <t>SHP000725</t>
  </si>
  <si>
    <t>TRK939835192</t>
  </si>
  <si>
    <t>SHP000726</t>
  </si>
  <si>
    <t>TRK635987914</t>
  </si>
  <si>
    <t>SHP000727</t>
  </si>
  <si>
    <t>TRK393295410</t>
  </si>
  <si>
    <t>SHP000728</t>
  </si>
  <si>
    <t>TRK804700960</t>
  </si>
  <si>
    <t>SHP000729</t>
  </si>
  <si>
    <t>TRK191820589</t>
  </si>
  <si>
    <t>SHP000730</t>
  </si>
  <si>
    <t>TRK281382578</t>
  </si>
  <si>
    <t>SHP000731</t>
  </si>
  <si>
    <t>TRK108951054</t>
  </si>
  <si>
    <t>SHP000732</t>
  </si>
  <si>
    <t>TRK845927297</t>
  </si>
  <si>
    <t>SHP000733</t>
  </si>
  <si>
    <t>TRK814224708</t>
  </si>
  <si>
    <t>SHP000734</t>
  </si>
  <si>
    <t>TRK887852469</t>
  </si>
  <si>
    <t>SHP000735</t>
  </si>
  <si>
    <t>TRK316856910</t>
  </si>
  <si>
    <t>SHP000736</t>
  </si>
  <si>
    <t>TRK449020464</t>
  </si>
  <si>
    <t>SHP000737</t>
  </si>
  <si>
    <t>TRK680475239</t>
  </si>
  <si>
    <t>SHP000738</t>
  </si>
  <si>
    <t>TRK703126461</t>
  </si>
  <si>
    <t>SHP000739</t>
  </si>
  <si>
    <t>TRK372206641</t>
  </si>
  <si>
    <t>SHP000740</t>
  </si>
  <si>
    <t>TRK244036462</t>
  </si>
  <si>
    <t>SHP000741</t>
  </si>
  <si>
    <t>TRK538526586</t>
  </si>
  <si>
    <t>SHP000742</t>
  </si>
  <si>
    <t>TRK371488058</t>
  </si>
  <si>
    <t>SHP000743</t>
  </si>
  <si>
    <t>TRK879862225</t>
  </si>
  <si>
    <t>SHP000744</t>
  </si>
  <si>
    <t>TRK362350425</t>
  </si>
  <si>
    <t>SHP000745</t>
  </si>
  <si>
    <t>TRK629920237</t>
  </si>
  <si>
    <t>SHP000746</t>
  </si>
  <si>
    <t>TRK203990360</t>
  </si>
  <si>
    <t>SHP000747</t>
  </si>
  <si>
    <t>TRK205112413</t>
  </si>
  <si>
    <t>SHP000748</t>
  </si>
  <si>
    <t>TRK387551936</t>
  </si>
  <si>
    <t>SHP000749</t>
  </si>
  <si>
    <t>TRK828050954</t>
  </si>
  <si>
    <t>SHP000750</t>
  </si>
  <si>
    <t>TRK511624617</t>
  </si>
  <si>
    <t>SHP000751</t>
  </si>
  <si>
    <t>TRK973953698</t>
  </si>
  <si>
    <t>SHP000752</t>
  </si>
  <si>
    <t>TRK448893763</t>
  </si>
  <si>
    <t>SHP000753</t>
  </si>
  <si>
    <t>TRK314421382</t>
  </si>
  <si>
    <t>SHP000754</t>
  </si>
  <si>
    <t>TRK401244253</t>
  </si>
  <si>
    <t>SHP000755</t>
  </si>
  <si>
    <t>TRK814845522</t>
  </si>
  <si>
    <t>SHP000756</t>
  </si>
  <si>
    <t>TRK666487302</t>
  </si>
  <si>
    <t>SHP000757</t>
  </si>
  <si>
    <t>TRK707042436</t>
  </si>
  <si>
    <t>SHP000758</t>
  </si>
  <si>
    <t>TRK536321564</t>
  </si>
  <si>
    <t>SHP000759</t>
  </si>
  <si>
    <t>TRK880500339</t>
  </si>
  <si>
    <t>SHP000760</t>
  </si>
  <si>
    <t>TRK284406506</t>
  </si>
  <si>
    <t>SHP000761</t>
  </si>
  <si>
    <t>TRK505641348</t>
  </si>
  <si>
    <t>SHP000762</t>
  </si>
  <si>
    <t>TRK679294830</t>
  </si>
  <si>
    <t>SHP000763</t>
  </si>
  <si>
    <t>TRK216346611</t>
  </si>
  <si>
    <t>SHP000764</t>
  </si>
  <si>
    <t>TRK817531612</t>
  </si>
  <si>
    <t>SHP000765</t>
  </si>
  <si>
    <t>TRK889235563</t>
  </si>
  <si>
    <t>SHP000766</t>
  </si>
  <si>
    <t>TRK798831490</t>
  </si>
  <si>
    <t>SHP000767</t>
  </si>
  <si>
    <t>TRK467822643</t>
  </si>
  <si>
    <t>SHP000768</t>
  </si>
  <si>
    <t>TRK939051403</t>
  </si>
  <si>
    <t>SHP000769</t>
  </si>
  <si>
    <t>TRK763005972</t>
  </si>
  <si>
    <t>SHP000770</t>
  </si>
  <si>
    <t>TRK274823151</t>
  </si>
  <si>
    <t>SHP000771</t>
  </si>
  <si>
    <t>TRK528468649</t>
  </si>
  <si>
    <t>SHP000772</t>
  </si>
  <si>
    <t>TRK840890096</t>
  </si>
  <si>
    <t>SHP000773</t>
  </si>
  <si>
    <t>TRK283808598</t>
  </si>
  <si>
    <t>SHP000774</t>
  </si>
  <si>
    <t>TRK469319498</t>
  </si>
  <si>
    <t>SHP000775</t>
  </si>
  <si>
    <t>TRK440929443</t>
  </si>
  <si>
    <t>SHP000776</t>
  </si>
  <si>
    <t>TRK903328919</t>
  </si>
  <si>
    <t>SHP000777</t>
  </si>
  <si>
    <t>TRK154820813</t>
  </si>
  <si>
    <t>SHP000778</t>
  </si>
  <si>
    <t>TRK149101592</t>
  </si>
  <si>
    <t>SHP000779</t>
  </si>
  <si>
    <t>TRK185407293</t>
  </si>
  <si>
    <t>SHP000780</t>
  </si>
  <si>
    <t>TRK935764588</t>
  </si>
  <si>
    <t>SHP000781</t>
  </si>
  <si>
    <t>TRK502394847</t>
  </si>
  <si>
    <t>SHP000782</t>
  </si>
  <si>
    <t>TRK916119284</t>
  </si>
  <si>
    <t>SHP000783</t>
  </si>
  <si>
    <t>TRK914353802</t>
  </si>
  <si>
    <t>SHP000784</t>
  </si>
  <si>
    <t>TRK720128764</t>
  </si>
  <si>
    <t>SHP000785</t>
  </si>
  <si>
    <t>TRK249931803</t>
  </si>
  <si>
    <t>SHP000786</t>
  </si>
  <si>
    <t>TRK828456114</t>
  </si>
  <si>
    <t>due_date</t>
  </si>
  <si>
    <t>paid_date</t>
  </si>
  <si>
    <t>payment_amount</t>
  </si>
  <si>
    <t>outstanding_balance</t>
  </si>
  <si>
    <t>days_past_due</t>
  </si>
  <si>
    <t>aging_bucket</t>
  </si>
  <si>
    <t>collections_status</t>
  </si>
  <si>
    <t>credit_hold_recommendation</t>
  </si>
  <si>
    <t>customer_license_status</t>
  </si>
  <si>
    <t>license_expiration_date</t>
  </si>
  <si>
    <t>metrc_manifest_id</t>
  </si>
  <si>
    <t>sku_approval_status</t>
  </si>
  <si>
    <t>compliance_hold_flag</t>
  </si>
  <si>
    <t>hold_reason</t>
  </si>
  <si>
    <t>release_owner</t>
  </si>
  <si>
    <t>Valid</t>
  </si>
  <si>
    <t>METRC-5829108</t>
  </si>
  <si>
    <t>Clear</t>
  </si>
  <si>
    <t>Compliance</t>
  </si>
  <si>
    <t>missing manifest</t>
  </si>
  <si>
    <t>AZ</t>
  </si>
  <si>
    <t>METRC-5309257</t>
  </si>
  <si>
    <t>Distribution</t>
  </si>
  <si>
    <t>METRC-1233839</t>
  </si>
  <si>
    <t>Restricted</t>
  </si>
  <si>
    <t>sku approval</t>
  </si>
  <si>
    <t>Sales Ops</t>
  </si>
  <si>
    <t>METRC-8719270</t>
  </si>
  <si>
    <t>Expiring Soon</t>
  </si>
  <si>
    <t>METRC-1089175</t>
  </si>
  <si>
    <t>METRC-7604999</t>
  </si>
  <si>
    <t>METRC-6206514</t>
  </si>
  <si>
    <t>METRC-3280671</t>
  </si>
  <si>
    <t>METRC-5132079</t>
  </si>
  <si>
    <t>METRC-2222008</t>
  </si>
  <si>
    <t>METRC-4976984</t>
  </si>
  <si>
    <t>METRC-3865996</t>
  </si>
  <si>
    <t>METRC-8965446</t>
  </si>
  <si>
    <t>METRC-6021634</t>
  </si>
  <si>
    <t>METRC-4808567</t>
  </si>
  <si>
    <t>METRC-2842785</t>
  </si>
  <si>
    <t>METRC-9411805</t>
  </si>
  <si>
    <t>METRC-5158785</t>
  </si>
  <si>
    <t>METRC-7317913</t>
  </si>
  <si>
    <t>METRC-3255241</t>
  </si>
  <si>
    <t>missing manifest, sku approval</t>
  </si>
  <si>
    <t>METRC-7303916</t>
  </si>
  <si>
    <t>METRC-5487558</t>
  </si>
  <si>
    <t>METRC-7396879</t>
  </si>
  <si>
    <t>METRC-9274446</t>
  </si>
  <si>
    <t>Expired</t>
  </si>
  <si>
    <t>METRC-8146807</t>
  </si>
  <si>
    <t>license issue</t>
  </si>
  <si>
    <t>METRC-7898660</t>
  </si>
  <si>
    <t>METRC-1125708</t>
  </si>
  <si>
    <t>METRC-9067295</t>
  </si>
  <si>
    <t>METRC-1975520</t>
  </si>
  <si>
    <t>METRC-7733607</t>
  </si>
  <si>
    <t>METRC-7497626</t>
  </si>
  <si>
    <t>METRC-5738586</t>
  </si>
  <si>
    <t>METRC-8814822</t>
  </si>
  <si>
    <t>METRC-8067258</t>
  </si>
  <si>
    <t>METRC-1129567</t>
  </si>
  <si>
    <t>METRC-5491174</t>
  </si>
  <si>
    <t>METRC-4360506</t>
  </si>
  <si>
    <t>METRC-5906866</t>
  </si>
  <si>
    <t>METRC-2524825</t>
  </si>
  <si>
    <t>METRC-2766537</t>
  </si>
  <si>
    <t>METRC-8948849</t>
  </si>
  <si>
    <t>METRC-3049546</t>
  </si>
  <si>
    <t>METRC-7842970</t>
  </si>
  <si>
    <t>METRC-6056410</t>
  </si>
  <si>
    <t>METRC-7416215</t>
  </si>
  <si>
    <t>METRC-8788577</t>
  </si>
  <si>
    <t>METRC-2830686</t>
  </si>
  <si>
    <t>METRC-2131947</t>
  </si>
  <si>
    <t>METRC-9825383</t>
  </si>
  <si>
    <t>Pending Review</t>
  </si>
  <si>
    <t>METRC-1030515</t>
  </si>
  <si>
    <t>METRC-6284342</t>
  </si>
  <si>
    <t>METRC-4110577</t>
  </si>
  <si>
    <t>METRC-8762522</t>
  </si>
  <si>
    <t>METRC-5083490</t>
  </si>
  <si>
    <t>METRC-2352414</t>
  </si>
  <si>
    <t>Missing</t>
  </si>
  <si>
    <t>METRC-6119695</t>
  </si>
  <si>
    <t>METRC-2913665</t>
  </si>
  <si>
    <t>METRC-3194630</t>
  </si>
  <si>
    <t>METRC-2978235</t>
  </si>
  <si>
    <t>METRC-5312055</t>
  </si>
  <si>
    <t>METRC-7233344</t>
  </si>
  <si>
    <t>METRC-3871140</t>
  </si>
  <si>
    <t>METRC-4004485</t>
  </si>
  <si>
    <t>METRC-4959151</t>
  </si>
  <si>
    <t>METRC-2223849</t>
  </si>
  <si>
    <t>METRC-7104627</t>
  </si>
  <si>
    <t>METRC-8835259</t>
  </si>
  <si>
    <t>METRC-8320038</t>
  </si>
  <si>
    <t>METRC-4841214</t>
  </si>
  <si>
    <t>METRC-6779169</t>
  </si>
  <si>
    <t>METRC-7077021</t>
  </si>
  <si>
    <t>METRC-3019715</t>
  </si>
  <si>
    <t>METRC-4487112</t>
  </si>
  <si>
    <t>METRC-3021544</t>
  </si>
  <si>
    <t>METRC-2878425</t>
  </si>
  <si>
    <t>CA</t>
  </si>
  <si>
    <t>METRC-4874329</t>
  </si>
  <si>
    <t>METRC-6406189</t>
  </si>
  <si>
    <t>METRC-2591432</t>
  </si>
  <si>
    <t>METRC-7993854</t>
  </si>
  <si>
    <t>METRC-3219696</t>
  </si>
  <si>
    <t>METRC-7545337</t>
  </si>
  <si>
    <t>METRC-3437167</t>
  </si>
  <si>
    <t>METRC-2537198</t>
  </si>
  <si>
    <t>METRC-6681178</t>
  </si>
  <si>
    <t>METRC-1793240</t>
  </si>
  <si>
    <t>METRC-5816096</t>
  </si>
  <si>
    <t>METRC-5524377</t>
  </si>
  <si>
    <t>METRC-6381255</t>
  </si>
  <si>
    <t>METRC-1703209</t>
  </si>
  <si>
    <t>METRC-1830167</t>
  </si>
  <si>
    <t>METRC-6231182</t>
  </si>
  <si>
    <t>license issue, sku approval</t>
  </si>
  <si>
    <t>METRC-9145302</t>
  </si>
  <si>
    <t>METRC-2373574</t>
  </si>
  <si>
    <t>METRC-6994376</t>
  </si>
  <si>
    <t>METRC-8241732</t>
  </si>
  <si>
    <t>METRC-2277593</t>
  </si>
  <si>
    <t>METRC-2353133</t>
  </si>
  <si>
    <t>METRC-9659281</t>
  </si>
  <si>
    <t>METRC-9622906</t>
  </si>
  <si>
    <t>METRC-7505305</t>
  </si>
  <si>
    <t>METRC-8528059</t>
  </si>
  <si>
    <t>METRC-4470099</t>
  </si>
  <si>
    <t>METRC-9577903</t>
  </si>
  <si>
    <t>METRC-4772134</t>
  </si>
  <si>
    <t>METRC-1198504</t>
  </si>
  <si>
    <t>METRC-8886694</t>
  </si>
  <si>
    <t>METRC-5523602</t>
  </si>
  <si>
    <t>METRC-3100895</t>
  </si>
  <si>
    <t>METRC-1623482</t>
  </si>
  <si>
    <t>METRC-6045988</t>
  </si>
  <si>
    <t>METRC-4385728</t>
  </si>
  <si>
    <t>METRC-8117427</t>
  </si>
  <si>
    <t>METRC-9892103</t>
  </si>
  <si>
    <t>METRC-7981781</t>
  </si>
  <si>
    <t>METRC-6168882</t>
  </si>
  <si>
    <t>METRC-4195132</t>
  </si>
  <si>
    <t>METRC-4495653</t>
  </si>
  <si>
    <t>METRC-3777030</t>
  </si>
  <si>
    <t>METRC-1557636</t>
  </si>
  <si>
    <t>METRC-1478171</t>
  </si>
  <si>
    <t>METRC-5945954</t>
  </si>
  <si>
    <t>METRC-8210083</t>
  </si>
  <si>
    <t>METRC-9004799</t>
  </si>
  <si>
    <t>METRC-1302651</t>
  </si>
  <si>
    <t>METRC-6976919</t>
  </si>
  <si>
    <t>METRC-3183153</t>
  </si>
  <si>
    <t>METRC-6813328</t>
  </si>
  <si>
    <t>METRC-7038575</t>
  </si>
  <si>
    <t>METRC-4424802</t>
  </si>
  <si>
    <t>METRC-5710481</t>
  </si>
  <si>
    <t>METRC-4360522</t>
  </si>
  <si>
    <t>METRC-4287651</t>
  </si>
  <si>
    <t>METRC-2348130</t>
  </si>
  <si>
    <t>METRC-8794881</t>
  </si>
  <si>
    <t>METRC-7270382</t>
  </si>
  <si>
    <t>METRC-9117617</t>
  </si>
  <si>
    <t>METRC-7650446</t>
  </si>
  <si>
    <t>METRC-1512699</t>
  </si>
  <si>
    <t>METRC-5021505</t>
  </si>
  <si>
    <t>METRC-8589607</t>
  </si>
  <si>
    <t>METRC-1700659</t>
  </si>
  <si>
    <t>METRC-6350160</t>
  </si>
  <si>
    <t>METRC-3191447</t>
  </si>
  <si>
    <t>METRC-5879761</t>
  </si>
  <si>
    <t>METRC-9972386</t>
  </si>
  <si>
    <t>METRC-6127237</t>
  </si>
  <si>
    <t>METRC-2270554</t>
  </si>
  <si>
    <t>METRC-9414897</t>
  </si>
  <si>
    <t>METRC-3015192</t>
  </si>
  <si>
    <t>METRC-6605941</t>
  </si>
  <si>
    <t>METRC-9757413</t>
  </si>
  <si>
    <t>METRC-3800448</t>
  </si>
  <si>
    <t>METRC-4591295</t>
  </si>
  <si>
    <t>METRC-2864879</t>
  </si>
  <si>
    <t>METRC-4917691</t>
  </si>
  <si>
    <t>METRC-7802573</t>
  </si>
  <si>
    <t>METRC-8533198</t>
  </si>
  <si>
    <t>METRC-2772933</t>
  </si>
  <si>
    <t>METRC-3331382</t>
  </si>
  <si>
    <t>CO</t>
  </si>
  <si>
    <t>METRC-8368916</t>
  </si>
  <si>
    <t>METRC-1539450</t>
  </si>
  <si>
    <t>METRC-2050851</t>
  </si>
  <si>
    <t>METRC-6922459</t>
  </si>
  <si>
    <t>METRC-8191299</t>
  </si>
  <si>
    <t>METRC-9811668</t>
  </si>
  <si>
    <t>METRC-9152110</t>
  </si>
  <si>
    <t>METRC-1242729</t>
  </si>
  <si>
    <t>METRC-4998259</t>
  </si>
  <si>
    <t>METRC-1168654</t>
  </si>
  <si>
    <t>METRC-1578136</t>
  </si>
  <si>
    <t>METRC-3973202</t>
  </si>
  <si>
    <t>METRC-3541256</t>
  </si>
  <si>
    <t>METRC-8261516</t>
  </si>
  <si>
    <t>METRC-8036041</t>
  </si>
  <si>
    <t>METRC-7119806</t>
  </si>
  <si>
    <t>METRC-3764520</t>
  </si>
  <si>
    <t>METRC-8770100</t>
  </si>
  <si>
    <t>METRC-5716006</t>
  </si>
  <si>
    <t>METRC-7751647</t>
  </si>
  <si>
    <t>METRC-5744370</t>
  </si>
  <si>
    <t>METRC-4139342</t>
  </si>
  <si>
    <t>METRC-6833813</t>
  </si>
  <si>
    <t>METRC-8120035</t>
  </si>
  <si>
    <t>METRC-3788347</t>
  </si>
  <si>
    <t>METRC-7610825</t>
  </si>
  <si>
    <t>METRC-6505591</t>
  </si>
  <si>
    <t>METRC-7638428</t>
  </si>
  <si>
    <t>METRC-1967364</t>
  </si>
  <si>
    <t>METRC-1015604</t>
  </si>
  <si>
    <t>METRC-5864856</t>
  </si>
  <si>
    <t>METRC-8463688</t>
  </si>
  <si>
    <t>METRC-6448538</t>
  </si>
  <si>
    <t>METRC-7753864</t>
  </si>
  <si>
    <t>METRC-5679163</t>
  </si>
  <si>
    <t>METRC-4284943</t>
  </si>
  <si>
    <t>METRC-4924677</t>
  </si>
  <si>
    <t>METRC-2721683</t>
  </si>
  <si>
    <t>METRC-8626283</t>
  </si>
  <si>
    <t>METRC-4224686</t>
  </si>
  <si>
    <t>METRC-6165344</t>
  </si>
  <si>
    <t>METRC-9511547</t>
  </si>
  <si>
    <t>METRC-2368347</t>
  </si>
  <si>
    <t>METRC-2216846</t>
  </si>
  <si>
    <t>METRC-9604169</t>
  </si>
  <si>
    <t>METRC-5249688</t>
  </si>
  <si>
    <t>METRC-1547164</t>
  </si>
  <si>
    <t>METRC-4524470</t>
  </si>
  <si>
    <t>METRC-9658081</t>
  </si>
  <si>
    <t>METRC-9180646</t>
  </si>
  <si>
    <t>METRC-1396928</t>
  </si>
  <si>
    <t>METRC-3777276</t>
  </si>
  <si>
    <t>METRC-9207206</t>
  </si>
  <si>
    <t>METRC-3750601</t>
  </si>
  <si>
    <t>METRC-4313256</t>
  </si>
  <si>
    <t>METRC-3422110</t>
  </si>
  <si>
    <t>METRC-8313535</t>
  </si>
  <si>
    <t>METRC-3176863</t>
  </si>
  <si>
    <t>METRC-1879504</t>
  </si>
  <si>
    <t>METRC-9491382</t>
  </si>
  <si>
    <t>METRC-1049035</t>
  </si>
  <si>
    <t>METRC-9218518</t>
  </si>
  <si>
    <t>METRC-4708177</t>
  </si>
  <si>
    <t>METRC-1597121</t>
  </si>
  <si>
    <t>METRC-5726933</t>
  </si>
  <si>
    <t>METRC-6152681</t>
  </si>
  <si>
    <t>METRC-8087525</t>
  </si>
  <si>
    <t>METRC-5314650</t>
  </si>
  <si>
    <t>METRC-6632761</t>
  </si>
  <si>
    <t>METRC-1117052</t>
  </si>
  <si>
    <t>METRC-9019408</t>
  </si>
  <si>
    <t>METRC-4862671</t>
  </si>
  <si>
    <t>METRC-9099512</t>
  </si>
  <si>
    <t>METRC-5178274</t>
  </si>
  <si>
    <t>METRC-6252894</t>
  </si>
  <si>
    <t>METRC-6547724</t>
  </si>
  <si>
    <t>IL</t>
  </si>
  <si>
    <t>METRC-7315016</t>
  </si>
  <si>
    <t>METRC-9329186</t>
  </si>
  <si>
    <t>METRC-4119353</t>
  </si>
  <si>
    <t>METRC-5811467</t>
  </si>
  <si>
    <t>METRC-7447206</t>
  </si>
  <si>
    <t>METRC-6728703</t>
  </si>
  <si>
    <t>METRC-8808099</t>
  </si>
  <si>
    <t>METRC-3353896</t>
  </si>
  <si>
    <t>METRC-6723597</t>
  </si>
  <si>
    <t>METRC-4291440</t>
  </si>
  <si>
    <t>METRC-2952127</t>
  </si>
  <si>
    <t>METRC-6374111</t>
  </si>
  <si>
    <t>METRC-8671833</t>
  </si>
  <si>
    <t>METRC-4416901</t>
  </si>
  <si>
    <t>METRC-2804110</t>
  </si>
  <si>
    <t>METRC-3479096</t>
  </si>
  <si>
    <t>METRC-9017699</t>
  </si>
  <si>
    <t>METRC-1661710</t>
  </si>
  <si>
    <t>METRC-2212250</t>
  </si>
  <si>
    <t>METRC-9378778</t>
  </si>
  <si>
    <t>METRC-5193769</t>
  </si>
  <si>
    <t>METRC-6726699</t>
  </si>
  <si>
    <t>METRC-4566415</t>
  </si>
  <si>
    <t>METRC-3213589</t>
  </si>
  <si>
    <t>METRC-2569440</t>
  </si>
  <si>
    <t>METRC-1628990</t>
  </si>
  <si>
    <t>METRC-9001210</t>
  </si>
  <si>
    <t>METRC-7296110</t>
  </si>
  <si>
    <t>METRC-6182732</t>
  </si>
  <si>
    <t>METRC-7682443</t>
  </si>
  <si>
    <t>METRC-6510075</t>
  </si>
  <si>
    <t>METRC-1746503</t>
  </si>
  <si>
    <t>METRC-3619993</t>
  </si>
  <si>
    <t>METRC-3448097</t>
  </si>
  <si>
    <t>METRC-9683174</t>
  </si>
  <si>
    <t>METRC-7676329</t>
  </si>
  <si>
    <t>METRC-7330570</t>
  </si>
  <si>
    <t>METRC-2572189</t>
  </si>
  <si>
    <t>METRC-7413769</t>
  </si>
  <si>
    <t>METRC-3866898</t>
  </si>
  <si>
    <t>METRC-8732295</t>
  </si>
  <si>
    <t>METRC-5683679</t>
  </si>
  <si>
    <t>METRC-7083809</t>
  </si>
  <si>
    <t>METRC-4525172</t>
  </si>
  <si>
    <t>METRC-9853230</t>
  </si>
  <si>
    <t>METRC-8493760</t>
  </si>
  <si>
    <t>METRC-7350308</t>
  </si>
  <si>
    <t>METRC-7006899</t>
  </si>
  <si>
    <t>METRC-7941200</t>
  </si>
  <si>
    <t>METRC-4449275</t>
  </si>
  <si>
    <t>METRC-7058027</t>
  </si>
  <si>
    <t>METRC-3005723</t>
  </si>
  <si>
    <t>METRC-7561201</t>
  </si>
  <si>
    <t>METRC-1452503</t>
  </si>
  <si>
    <t>METRC-3442964</t>
  </si>
  <si>
    <t>METRC-4627702</t>
  </si>
  <si>
    <t>METRC-9213865</t>
  </si>
  <si>
    <t>METRC-6722865</t>
  </si>
  <si>
    <t>METRC-3662252</t>
  </si>
  <si>
    <t>METRC-7635621</t>
  </si>
  <si>
    <t>METRC-8400464</t>
  </si>
  <si>
    <t>METRC-6660991</t>
  </si>
  <si>
    <t>METRC-7214865</t>
  </si>
  <si>
    <t>METRC-2842212</t>
  </si>
  <si>
    <t>METRC-2184262</t>
  </si>
  <si>
    <t>METRC-1974007</t>
  </si>
  <si>
    <t>METRC-7915191</t>
  </si>
  <si>
    <t>METRC-4484968</t>
  </si>
  <si>
    <t>METRC-3389984</t>
  </si>
  <si>
    <t>METRC-5542335</t>
  </si>
  <si>
    <t>METRC-2832352</t>
  </si>
  <si>
    <t>METRC-3282019</t>
  </si>
  <si>
    <t>METRC-5933163</t>
  </si>
  <si>
    <t>METRC-6789141</t>
  </si>
  <si>
    <t>METRC-4581382</t>
  </si>
  <si>
    <t>METRC-3329986</t>
  </si>
  <si>
    <t>METRC-2524060</t>
  </si>
  <si>
    <t>METRC-8324316</t>
  </si>
  <si>
    <t>METRC-5236562</t>
  </si>
  <si>
    <t>METRC-4874865</t>
  </si>
  <si>
    <t>METRC-9469160</t>
  </si>
  <si>
    <t>METRC-3794777</t>
  </si>
  <si>
    <t>METRC-1115132</t>
  </si>
  <si>
    <t>METRC-1022868</t>
  </si>
  <si>
    <t>METRC-7458433</t>
  </si>
  <si>
    <t>METRC-2031843</t>
  </si>
  <si>
    <t>METRC-7723524</t>
  </si>
  <si>
    <t>METRC-4057419</t>
  </si>
  <si>
    <t>MI</t>
  </si>
  <si>
    <t>METRC-8730295</t>
  </si>
  <si>
    <t>METRC-9959833</t>
  </si>
  <si>
    <t>METRC-7010725</t>
  </si>
  <si>
    <t>METRC-4232557</t>
  </si>
  <si>
    <t>METRC-3175037</t>
  </si>
  <si>
    <t>METRC-9813509</t>
  </si>
  <si>
    <t>METRC-5415658</t>
  </si>
  <si>
    <t>METRC-2668217</t>
  </si>
  <si>
    <t>METRC-6018480</t>
  </si>
  <si>
    <t>METRC-9091793</t>
  </si>
  <si>
    <t>METRC-4218032</t>
  </si>
  <si>
    <t>METRC-3705711</t>
  </si>
  <si>
    <t>METRC-9178715</t>
  </si>
  <si>
    <t>METRC-3700897</t>
  </si>
  <si>
    <t>METRC-8671575</t>
  </si>
  <si>
    <t>METRC-1956656</t>
  </si>
  <si>
    <t>METRC-9282003</t>
  </si>
  <si>
    <t>METRC-4934270</t>
  </si>
  <si>
    <t>METRC-9087021</t>
  </si>
  <si>
    <t>METRC-8448831</t>
  </si>
  <si>
    <t>METRC-5572947</t>
  </si>
  <si>
    <t>METRC-6715569</t>
  </si>
  <si>
    <t>METRC-4945143</t>
  </si>
  <si>
    <t>METRC-7073822</t>
  </si>
  <si>
    <t>METRC-3650877</t>
  </si>
  <si>
    <t>METRC-6225742</t>
  </si>
  <si>
    <t>METRC-2364557</t>
  </si>
  <si>
    <t>METRC-7911605</t>
  </si>
  <si>
    <t>METRC-4104091</t>
  </si>
  <si>
    <t>METRC-8031724</t>
  </si>
  <si>
    <t>METRC-6931793</t>
  </si>
  <si>
    <t>METRC-6206860</t>
  </si>
  <si>
    <t>METRC-8452470</t>
  </si>
  <si>
    <t>METRC-4057680</t>
  </si>
  <si>
    <t>METRC-8004177</t>
  </si>
  <si>
    <t>METRC-3221008</t>
  </si>
  <si>
    <t>METRC-8728412</t>
  </si>
  <si>
    <t>METRC-2378340</t>
  </si>
  <si>
    <t>METRC-6917121</t>
  </si>
  <si>
    <t>METRC-5341070</t>
  </si>
  <si>
    <t>METRC-6691760</t>
  </si>
  <si>
    <t>METRC-4940913</t>
  </si>
  <si>
    <t>METRC-3630846</t>
  </si>
  <si>
    <t>license issue, missing manifest</t>
  </si>
  <si>
    <t>METRC-3597508</t>
  </si>
  <si>
    <t>license issue, missing manifest, sku approval</t>
  </si>
  <si>
    <t>METRC-6426621</t>
  </si>
  <si>
    <t>METRC-2984628</t>
  </si>
  <si>
    <t>METRC-1075731</t>
  </si>
  <si>
    <t>METRC-4812316</t>
  </si>
  <si>
    <t>METRC-1402142</t>
  </si>
  <si>
    <t>METRC-2109934</t>
  </si>
  <si>
    <t>METRC-7318361</t>
  </si>
  <si>
    <t>METRC-3211117</t>
  </si>
  <si>
    <t>METRC-6407080</t>
  </si>
  <si>
    <t>METRC-1204988</t>
  </si>
  <si>
    <t>METRC-7776313</t>
  </si>
  <si>
    <t>METRC-8025579</t>
  </si>
  <si>
    <t>METRC-9512816</t>
  </si>
  <si>
    <t>METRC-7647918</t>
  </si>
  <si>
    <t>METRC-3512643</t>
  </si>
  <si>
    <t>METRC-2216406</t>
  </si>
  <si>
    <t>METRC-5011097</t>
  </si>
  <si>
    <t>METRC-1035751</t>
  </si>
  <si>
    <t>METRC-9798014</t>
  </si>
  <si>
    <t>METRC-1650639</t>
  </si>
  <si>
    <t>METRC-7682576</t>
  </si>
  <si>
    <t>METRC-6605546</t>
  </si>
  <si>
    <t>METRC-5200557</t>
  </si>
  <si>
    <t>METRC-1190582</t>
  </si>
  <si>
    <t>METRC-1780981</t>
  </si>
  <si>
    <t>METRC-5782897</t>
  </si>
  <si>
    <t>METRC-8963245</t>
  </si>
  <si>
    <t>METRC-5933948</t>
  </si>
  <si>
    <t>MO</t>
  </si>
  <si>
    <t>METRC-9962110</t>
  </si>
  <si>
    <t>METRC-5614091</t>
  </si>
  <si>
    <t>METRC-4262495</t>
  </si>
  <si>
    <t>METRC-4492593</t>
  </si>
  <si>
    <t>METRC-8677359</t>
  </si>
  <si>
    <t>METRC-6174297</t>
  </si>
  <si>
    <t>METRC-7125824</t>
  </si>
  <si>
    <t>METRC-8927201</t>
  </si>
  <si>
    <t>METRC-6391362</t>
  </si>
  <si>
    <t>METRC-2653290</t>
  </si>
  <si>
    <t>METRC-7983389</t>
  </si>
  <si>
    <t>METRC-2212491</t>
  </si>
  <si>
    <t>METRC-5458762</t>
  </si>
  <si>
    <t>METRC-7555698</t>
  </si>
  <si>
    <t>METRC-3748955</t>
  </si>
  <si>
    <t>METRC-1905848</t>
  </si>
  <si>
    <t>METRC-6043106</t>
  </si>
  <si>
    <t>METRC-9387623</t>
  </si>
  <si>
    <t>METRC-5570333</t>
  </si>
  <si>
    <t>METRC-8366961</t>
  </si>
  <si>
    <t>METRC-5695859</t>
  </si>
  <si>
    <t>METRC-1601640</t>
  </si>
  <si>
    <t>METRC-2858967</t>
  </si>
  <si>
    <t>METRC-4842485</t>
  </si>
  <si>
    <t>METRC-5598215</t>
  </si>
  <si>
    <t>METRC-5337345</t>
  </si>
  <si>
    <t>METRC-1229900</t>
  </si>
  <si>
    <t>METRC-9209028</t>
  </si>
  <si>
    <t>METRC-4983872</t>
  </si>
  <si>
    <t>METRC-7348359</t>
  </si>
  <si>
    <t>METRC-1456377</t>
  </si>
  <si>
    <t>METRC-9129766</t>
  </si>
  <si>
    <t>METRC-2873097</t>
  </si>
  <si>
    <t>METRC-7352407</t>
  </si>
  <si>
    <t>METRC-5028260</t>
  </si>
  <si>
    <t>METRC-4374162</t>
  </si>
  <si>
    <t>METRC-3661124</t>
  </si>
  <si>
    <t>METRC-8697136</t>
  </si>
  <si>
    <t>METRC-3408478</t>
  </si>
  <si>
    <t>METRC-1552294</t>
  </si>
  <si>
    <t>METRC-2594534</t>
  </si>
  <si>
    <t>METRC-7575355</t>
  </si>
  <si>
    <t>METRC-5707966</t>
  </si>
  <si>
    <t>METRC-8911823</t>
  </si>
  <si>
    <t>METRC-2631784</t>
  </si>
  <si>
    <t>METRC-1700596</t>
  </si>
  <si>
    <t>METRC-7586222</t>
  </si>
  <si>
    <t>METRC-1433799</t>
  </si>
  <si>
    <t>METRC-8949007</t>
  </si>
  <si>
    <t>METRC-1432883</t>
  </si>
  <si>
    <t>METRC-2132894</t>
  </si>
  <si>
    <t>METRC-5313981</t>
  </si>
  <si>
    <t>METRC-5112326</t>
  </si>
  <si>
    <t>METRC-6270053</t>
  </si>
  <si>
    <t>METRC-6939226</t>
  </si>
  <si>
    <t>METRC-2078734</t>
  </si>
  <si>
    <t>METRC-3662112</t>
  </si>
  <si>
    <t>METRC-2435366</t>
  </si>
  <si>
    <t>METRC-5977744</t>
  </si>
  <si>
    <t>METRC-7709103</t>
  </si>
  <si>
    <t>METRC-1327617</t>
  </si>
  <si>
    <t>NM</t>
  </si>
  <si>
    <t>METRC-3374844</t>
  </si>
  <si>
    <t>METRC-4000233</t>
  </si>
  <si>
    <t>METRC-8866769</t>
  </si>
  <si>
    <t>METRC-5515889</t>
  </si>
  <si>
    <t>METRC-5314421</t>
  </si>
  <si>
    <t>METRC-3931873</t>
  </si>
  <si>
    <t>METRC-4310845</t>
  </si>
  <si>
    <t>METRC-4871926</t>
  </si>
  <si>
    <t>METRC-6205189</t>
  </si>
  <si>
    <t>METRC-1608149</t>
  </si>
  <si>
    <t>METRC-3347106</t>
  </si>
  <si>
    <t>METRC-5313689</t>
  </si>
  <si>
    <t>METRC-7169612</t>
  </si>
  <si>
    <t>METRC-2077874</t>
  </si>
  <si>
    <t>METRC-3914096</t>
  </si>
  <si>
    <t>METRC-8694281</t>
  </si>
  <si>
    <t>METRC-7108712</t>
  </si>
  <si>
    <t>METRC-9011940</t>
  </si>
  <si>
    <t>METRC-4219961</t>
  </si>
  <si>
    <t>METRC-8783671</t>
  </si>
  <si>
    <t>METRC-5560669</t>
  </si>
  <si>
    <t>METRC-7935872</t>
  </si>
  <si>
    <t>METRC-7278160</t>
  </si>
  <si>
    <t>METRC-7161267</t>
  </si>
  <si>
    <t>METRC-6999007</t>
  </si>
  <si>
    <t>METRC-9215534</t>
  </si>
  <si>
    <t>METRC-5655205</t>
  </si>
  <si>
    <t>METRC-2135219</t>
  </si>
  <si>
    <t>METRC-5253464</t>
  </si>
  <si>
    <t>METRC-6159143</t>
  </si>
  <si>
    <t>METRC-6912357</t>
  </si>
  <si>
    <t>METRC-7119516</t>
  </si>
  <si>
    <t>METRC-8749875</t>
  </si>
  <si>
    <t>METRC-8116291</t>
  </si>
  <si>
    <t>METRC-4207515</t>
  </si>
  <si>
    <t>METRC-7322211</t>
  </si>
  <si>
    <t>METRC-8350612</t>
  </si>
  <si>
    <t>METRC-3050869</t>
  </si>
  <si>
    <t>METRC-3098451</t>
  </si>
  <si>
    <t>METRC-1857893</t>
  </si>
  <si>
    <t>METRC-3962876</t>
  </si>
  <si>
    <t>METRC-6823546</t>
  </si>
  <si>
    <t>METRC-4036964</t>
  </si>
  <si>
    <t>METRC-4096654</t>
  </si>
  <si>
    <t>METRC-3846833</t>
  </si>
  <si>
    <t>METRC-4440011</t>
  </si>
  <si>
    <t>METRC-2338459</t>
  </si>
  <si>
    <t>METRC-8370747</t>
  </si>
  <si>
    <t>METRC-1215450</t>
  </si>
  <si>
    <t>METRC-6351441</t>
  </si>
  <si>
    <t>METRC-5637286</t>
  </si>
  <si>
    <t>METRC-1681777</t>
  </si>
  <si>
    <t>METRC-6164013</t>
  </si>
  <si>
    <t>METRC-7434621</t>
  </si>
  <si>
    <t>METRC-6675343</t>
  </si>
  <si>
    <t>METRC-9790029</t>
  </si>
  <si>
    <t>METRC-4957015</t>
  </si>
  <si>
    <t>METRC-6552344</t>
  </si>
  <si>
    <t>METRC-7912976</t>
  </si>
  <si>
    <t>METRC-1625003</t>
  </si>
  <si>
    <t>METRC-8004052</t>
  </si>
  <si>
    <t>METRC-2702035</t>
  </si>
  <si>
    <t>METRC-7223855</t>
  </si>
  <si>
    <t>METRC-8664931</t>
  </si>
  <si>
    <t>METRC-5172713</t>
  </si>
  <si>
    <t>METRC-6305430</t>
  </si>
  <si>
    <t>NV</t>
  </si>
  <si>
    <t>METRC-2047606</t>
  </si>
  <si>
    <t>METRC-1502475</t>
  </si>
  <si>
    <t>METRC-5416813</t>
  </si>
  <si>
    <t>METRC-3740653</t>
  </si>
  <si>
    <t>METRC-3034331</t>
  </si>
  <si>
    <t>METRC-7248703</t>
  </si>
  <si>
    <t>METRC-4718456</t>
  </si>
  <si>
    <t>METRC-9898507</t>
  </si>
  <si>
    <t>METRC-5874944</t>
  </si>
  <si>
    <t>METRC-6075002</t>
  </si>
  <si>
    <t>METRC-3903770</t>
  </si>
  <si>
    <t>METRC-8789724</t>
  </si>
  <si>
    <t>METRC-4582467</t>
  </si>
  <si>
    <t>METRC-1091920</t>
  </si>
  <si>
    <t>METRC-5846007</t>
  </si>
  <si>
    <t>METRC-3869551</t>
  </si>
  <si>
    <t>METRC-9038577</t>
  </si>
  <si>
    <t>METRC-9907342</t>
  </si>
  <si>
    <t>METRC-4471806</t>
  </si>
  <si>
    <t>METRC-8711726</t>
  </si>
  <si>
    <t>METRC-2377993</t>
  </si>
  <si>
    <t>METRC-8708247</t>
  </si>
  <si>
    <t>METRC-8825355</t>
  </si>
  <si>
    <t>METRC-2089429</t>
  </si>
  <si>
    <t>METRC-7408628</t>
  </si>
  <si>
    <t>METRC-3660120</t>
  </si>
  <si>
    <t>METRC-2080188</t>
  </si>
  <si>
    <t>METRC-2650392</t>
  </si>
  <si>
    <t>METRC-6376393</t>
  </si>
  <si>
    <t>METRC-2246089</t>
  </si>
  <si>
    <t>METRC-3334400</t>
  </si>
  <si>
    <t>METRC-1523695</t>
  </si>
  <si>
    <t>METRC-4682374</t>
  </si>
  <si>
    <t>METRC-9724662</t>
  </si>
  <si>
    <t>METRC-9262171</t>
  </si>
  <si>
    <t>METRC-9795835</t>
  </si>
  <si>
    <t>METRC-5586546</t>
  </si>
  <si>
    <t>METRC-2668516</t>
  </si>
  <si>
    <t>METRC-4779240</t>
  </si>
  <si>
    <t>METRC-1344667</t>
  </si>
  <si>
    <t>METRC-8691647</t>
  </si>
  <si>
    <t>METRC-3117724</t>
  </si>
  <si>
    <t>METRC-1304241</t>
  </si>
  <si>
    <t>METRC-5409003</t>
  </si>
  <si>
    <t>METRC-1735675</t>
  </si>
  <si>
    <t>METRC-4651513</t>
  </si>
  <si>
    <t>METRC-9821226</t>
  </si>
  <si>
    <t>METRC-5265347</t>
  </si>
  <si>
    <t>METRC-9361539</t>
  </si>
  <si>
    <t>METRC-9031874</t>
  </si>
  <si>
    <t>METRC-6519782</t>
  </si>
  <si>
    <t>METRC-6743490</t>
  </si>
  <si>
    <t>METRC-7162397</t>
  </si>
  <si>
    <t>METRC-5768648</t>
  </si>
  <si>
    <t>METRC-5565345</t>
  </si>
  <si>
    <t>METRC-6108807</t>
  </si>
  <si>
    <t>METRC-7218992</t>
  </si>
  <si>
    <t>METRC-4676058</t>
  </si>
  <si>
    <t>METRC-9353206</t>
  </si>
  <si>
    <t>METRC-7359702</t>
  </si>
  <si>
    <t>METRC-3684674</t>
  </si>
  <si>
    <t>METRC-9306678</t>
  </si>
  <si>
    <t>METRC-4484888</t>
  </si>
  <si>
    <t>METRC-1164914</t>
  </si>
  <si>
    <t>METRC-9226745</t>
  </si>
  <si>
    <t>METRC-2230406</t>
  </si>
  <si>
    <t>METRC-5547247</t>
  </si>
  <si>
    <t>METRC-8514479</t>
  </si>
  <si>
    <t>METRC-6706684</t>
  </si>
  <si>
    <t>METRC-2188058</t>
  </si>
  <si>
    <t>METRC-8519911</t>
  </si>
  <si>
    <t>METRC-9089940</t>
  </si>
  <si>
    <t>METRC-3346633</t>
  </si>
  <si>
    <t>METRC-1061242</t>
  </si>
  <si>
    <t>NY</t>
  </si>
  <si>
    <t>METRC-6079349</t>
  </si>
  <si>
    <t>METRC-2137074</t>
  </si>
  <si>
    <t>METRC-8258816</t>
  </si>
  <si>
    <t>METRC-1435642</t>
  </si>
  <si>
    <t>METRC-5229062</t>
  </si>
  <si>
    <t>METRC-9974715</t>
  </si>
  <si>
    <t>METRC-9719865</t>
  </si>
  <si>
    <t>METRC-2962340</t>
  </si>
  <si>
    <t>METRC-2058768</t>
  </si>
  <si>
    <t>METRC-3411048</t>
  </si>
  <si>
    <t>METRC-7797494</t>
  </si>
  <si>
    <t>METRC-2308551</t>
  </si>
  <si>
    <t>METRC-8315932</t>
  </si>
  <si>
    <t>METRC-3526332</t>
  </si>
  <si>
    <t>METRC-8602035</t>
  </si>
  <si>
    <t>METRC-5268915</t>
  </si>
  <si>
    <t>METRC-5152779</t>
  </si>
  <si>
    <t>METRC-4960717</t>
  </si>
  <si>
    <t>METRC-7437478</t>
  </si>
  <si>
    <t>METRC-6457877</t>
  </si>
  <si>
    <t>METRC-5007893</t>
  </si>
  <si>
    <t>METRC-9544763</t>
  </si>
  <si>
    <t>METRC-3553518</t>
  </si>
  <si>
    <t>METRC-3765107</t>
  </si>
  <si>
    <t>METRC-1660416</t>
  </si>
  <si>
    <t>METRC-2183986</t>
  </si>
  <si>
    <t>METRC-9435909</t>
  </si>
  <si>
    <t>METRC-5964350</t>
  </si>
  <si>
    <t>METRC-2894969</t>
  </si>
  <si>
    <t>METRC-5780793</t>
  </si>
  <si>
    <t>METRC-4076365</t>
  </si>
  <si>
    <t>METRC-7247216</t>
  </si>
  <si>
    <t>METRC-1748909</t>
  </si>
  <si>
    <t>METRC-1246139</t>
  </si>
  <si>
    <t>METRC-3523683</t>
  </si>
  <si>
    <t>METRC-3373252</t>
  </si>
  <si>
    <t>METRC-6404227</t>
  </si>
  <si>
    <t>METRC-5853008</t>
  </si>
  <si>
    <t>METRC-2250443</t>
  </si>
  <si>
    <t>METRC-1053981</t>
  </si>
  <si>
    <t>METRC-2104786</t>
  </si>
  <si>
    <t>METRC-8368199</t>
  </si>
  <si>
    <t>METRC-9492274</t>
  </si>
  <si>
    <t>METRC-7290680</t>
  </si>
  <si>
    <t>METRC-8916305</t>
  </si>
  <si>
    <t>METRC-7533201</t>
  </si>
  <si>
    <t>METRC-3649850</t>
  </si>
  <si>
    <t>METRC-4971407</t>
  </si>
  <si>
    <t>METRC-7721398</t>
  </si>
  <si>
    <t>METRC-4483324</t>
  </si>
  <si>
    <t>METRC-1918105</t>
  </si>
  <si>
    <t>METRC-3996245</t>
  </si>
  <si>
    <t>METRC-7302385</t>
  </si>
  <si>
    <t>METRC-5297931</t>
  </si>
  <si>
    <t>METRC-4953236</t>
  </si>
  <si>
    <t>METRC-3877804</t>
  </si>
  <si>
    <t>METRC-3088578</t>
  </si>
  <si>
    <t>METRC-2271934</t>
  </si>
  <si>
    <t>METRC-4004173</t>
  </si>
  <si>
    <t>METRC-5369812</t>
  </si>
  <si>
    <t>METRC-8830630</t>
  </si>
  <si>
    <t>METRC-2482424</t>
  </si>
  <si>
    <t>METRC-1420225</t>
  </si>
  <si>
    <t>METRC-8679519</t>
  </si>
  <si>
    <t>METRC-9184365</t>
  </si>
  <si>
    <t>METRC-9263140</t>
  </si>
  <si>
    <t>METRC-4856292</t>
  </si>
  <si>
    <t>METRC-5932492</t>
  </si>
  <si>
    <t>METRC-2076527</t>
  </si>
  <si>
    <t>METRC-5234226</t>
  </si>
  <si>
    <t>METRC-4661205</t>
  </si>
  <si>
    <t>METRC-3247672</t>
  </si>
  <si>
    <t>METRC-7038619</t>
  </si>
  <si>
    <t>METRC-5411639</t>
  </si>
  <si>
    <t>METRC-3568311</t>
  </si>
  <si>
    <t>METRC-9925249</t>
  </si>
  <si>
    <t>METRC-1544902</t>
  </si>
  <si>
    <t>METRC-4834787</t>
  </si>
  <si>
    <t>METRC-8605859</t>
  </si>
  <si>
    <t>METRC-9412824</t>
  </si>
  <si>
    <t>METRC-4475468</t>
  </si>
  <si>
    <t>METRC-1047929</t>
  </si>
  <si>
    <t>METRC-3920900</t>
  </si>
  <si>
    <t>METRC-3750863</t>
  </si>
  <si>
    <t>METRC-3045852</t>
  </si>
  <si>
    <t>METRC-4175218</t>
  </si>
  <si>
    <t>METRC-2945261</t>
  </si>
  <si>
    <t>METRC-6893039</t>
  </si>
  <si>
    <t>METRC-4153325</t>
  </si>
  <si>
    <t>METRC-8433319</t>
  </si>
  <si>
    <t>METRC-2477430</t>
  </si>
  <si>
    <t>METRC-2417387</t>
  </si>
  <si>
    <t>METRC-7437660</t>
  </si>
  <si>
    <t>OK</t>
  </si>
  <si>
    <t>METRC-9397791</t>
  </si>
  <si>
    <t>METRC-8810601</t>
  </si>
  <si>
    <t>METRC-7722824</t>
  </si>
  <si>
    <t>METRC-2052451</t>
  </si>
  <si>
    <t>METRC-8327798</t>
  </si>
  <si>
    <t>METRC-3262777</t>
  </si>
  <si>
    <t>METRC-6105470</t>
  </si>
  <si>
    <t>METRC-1908598</t>
  </si>
  <si>
    <t>METRC-4058523</t>
  </si>
  <si>
    <t>METRC-6726262</t>
  </si>
  <si>
    <t>METRC-4038798</t>
  </si>
  <si>
    <t>METRC-4194196</t>
  </si>
  <si>
    <t>METRC-6190193</t>
  </si>
  <si>
    <t>METRC-8629402</t>
  </si>
  <si>
    <t>METRC-8735550</t>
  </si>
  <si>
    <t>METRC-8667277</t>
  </si>
  <si>
    <t>METRC-5574382</t>
  </si>
  <si>
    <t>METRC-8630776</t>
  </si>
  <si>
    <t>METRC-9289377</t>
  </si>
  <si>
    <t>METRC-1088866</t>
  </si>
  <si>
    <t>METRC-5304563</t>
  </si>
  <si>
    <t>METRC-1559422</t>
  </si>
  <si>
    <t>METRC-5936850</t>
  </si>
  <si>
    <t>METRC-2641314</t>
  </si>
  <si>
    <t>METRC-1947577</t>
  </si>
  <si>
    <t>METRC-2696903</t>
  </si>
  <si>
    <t>METRC-3019210</t>
  </si>
  <si>
    <t>METRC-3975437</t>
  </si>
  <si>
    <t>METRC-4509051</t>
  </si>
  <si>
    <t>METRC-8038694</t>
  </si>
  <si>
    <t>METRC-5971555</t>
  </si>
  <si>
    <t>METRC-5812136</t>
  </si>
  <si>
    <t>METRC-3564906</t>
  </si>
  <si>
    <t>METRC-4423675</t>
  </si>
  <si>
    <t>METRC-2696545</t>
  </si>
  <si>
    <t>METRC-5536891</t>
  </si>
  <si>
    <t>METRC-3461878</t>
  </si>
  <si>
    <t>METRC-2174407</t>
  </si>
  <si>
    <t>METRC-1968376</t>
  </si>
  <si>
    <t>METRC-3558883</t>
  </si>
  <si>
    <t>METRC-1637435</t>
  </si>
  <si>
    <t>METRC-1512305</t>
  </si>
  <si>
    <t>METRC-2361226</t>
  </si>
  <si>
    <t>METRC-4466829</t>
  </si>
  <si>
    <t>METRC-2675627</t>
  </si>
  <si>
    <t>METRC-7307834</t>
  </si>
  <si>
    <t>METRC-5776700</t>
  </si>
  <si>
    <t>METRC-1881939</t>
  </si>
  <si>
    <t>METRC-7432850</t>
  </si>
  <si>
    <t>METRC-9423193</t>
  </si>
  <si>
    <t>METRC-1808662</t>
  </si>
  <si>
    <t>METRC-1330906</t>
  </si>
  <si>
    <t>METRC-8848332</t>
  </si>
  <si>
    <t>METRC-7988533</t>
  </si>
  <si>
    <t>METRC-7280240</t>
  </si>
  <si>
    <t>METRC-6645254</t>
  </si>
  <si>
    <t>METRC-7521177</t>
  </si>
  <si>
    <t>METRC-8298748</t>
  </si>
  <si>
    <t>OR</t>
  </si>
  <si>
    <t>METRC-8533755</t>
  </si>
  <si>
    <t>METRC-1728237</t>
  </si>
  <si>
    <t>METRC-8291431</t>
  </si>
  <si>
    <t>METRC-2851000</t>
  </si>
  <si>
    <t>METRC-1055138</t>
  </si>
  <si>
    <t>METRC-6225412</t>
  </si>
  <si>
    <t>METRC-5486540</t>
  </si>
  <si>
    <t>METRC-1884787</t>
  </si>
  <si>
    <t>METRC-9471298</t>
  </si>
  <si>
    <t>METRC-2736390</t>
  </si>
  <si>
    <t>METRC-4216458</t>
  </si>
  <si>
    <t>METRC-6511973</t>
  </si>
  <si>
    <t>METRC-1627600</t>
  </si>
  <si>
    <t>METRC-6668482</t>
  </si>
  <si>
    <t>METRC-4949229</t>
  </si>
  <si>
    <t>METRC-9166439</t>
  </si>
  <si>
    <t>METRC-4770696</t>
  </si>
  <si>
    <t>METRC-6399296</t>
  </si>
  <si>
    <t>METRC-8963237</t>
  </si>
  <si>
    <t>METRC-5933783</t>
  </si>
  <si>
    <t>METRC-2246039</t>
  </si>
  <si>
    <t>METRC-2267421</t>
  </si>
  <si>
    <t>METRC-2562999</t>
  </si>
  <si>
    <t>METRC-3517538</t>
  </si>
  <si>
    <t>METRC-2752964</t>
  </si>
  <si>
    <t>METRC-8141903</t>
  </si>
  <si>
    <t>METRC-9608350</t>
  </si>
  <si>
    <t>METRC-7883229</t>
  </si>
  <si>
    <t>METRC-8515556</t>
  </si>
  <si>
    <t>METRC-6226259</t>
  </si>
  <si>
    <t>METRC-2104776</t>
  </si>
  <si>
    <t>METRC-2808036</t>
  </si>
  <si>
    <t>METRC-9443537</t>
  </si>
  <si>
    <t>METRC-2244013</t>
  </si>
  <si>
    <t>METRC-4959133</t>
  </si>
  <si>
    <t>METRC-6548733</t>
  </si>
  <si>
    <t>METRC-5777188</t>
  </si>
  <si>
    <t>METRC-8033304</t>
  </si>
  <si>
    <t>METRC-8707590</t>
  </si>
  <si>
    <t>METRC-5032504</t>
  </si>
  <si>
    <t>METRC-9937062</t>
  </si>
  <si>
    <t>METRC-5766042</t>
  </si>
  <si>
    <t>METRC-1334094</t>
  </si>
  <si>
    <t>METRC-7511125</t>
  </si>
  <si>
    <t>METRC-8508306</t>
  </si>
  <si>
    <t>METRC-5208567</t>
  </si>
  <si>
    <t>METRC-7782460</t>
  </si>
  <si>
    <t>METRC-2866967</t>
  </si>
  <si>
    <t>METRC-2012051</t>
  </si>
  <si>
    <t>METRC-6049103</t>
  </si>
  <si>
    <t>METRC-5916611</t>
  </si>
  <si>
    <t>METRC-1251929</t>
  </si>
  <si>
    <t>METRC-7579237</t>
  </si>
  <si>
    <t>METRC-5248884</t>
  </si>
  <si>
    <t>METRC-4764305</t>
  </si>
  <si>
    <t>METRC-1700619</t>
  </si>
  <si>
    <t>METRC-5210381</t>
  </si>
  <si>
    <t>METRC-5552221</t>
  </si>
  <si>
    <t>METRC-6006962</t>
  </si>
  <si>
    <t>METRC-4279620</t>
  </si>
  <si>
    <t>METRC-5859114</t>
  </si>
  <si>
    <t>METRC-2809624</t>
  </si>
  <si>
    <t>METRC-6490081</t>
  </si>
  <si>
    <t>METRC-2174966</t>
  </si>
  <si>
    <t>METRC-8968383</t>
  </si>
  <si>
    <t>METRC-8824337</t>
  </si>
  <si>
    <t>METRC-9103779</t>
  </si>
  <si>
    <t>METRC-6444296</t>
  </si>
  <si>
    <t>METRC-8176119</t>
  </si>
  <si>
    <t>METRC-8450345</t>
  </si>
  <si>
    <t>METRC-2526406</t>
  </si>
  <si>
    <t>METRC-5988163</t>
  </si>
  <si>
    <t>METRC-7428656</t>
  </si>
  <si>
    <t>METRC-3785389</t>
  </si>
  <si>
    <t>METRC-7572381</t>
  </si>
  <si>
    <t>METRC-2747318</t>
  </si>
  <si>
    <t>METRC-2333054</t>
  </si>
  <si>
    <t>METRC-5311737</t>
  </si>
  <si>
    <t>METRC-2665694</t>
  </si>
  <si>
    <t>METRC-9718889</t>
  </si>
  <si>
    <t>METRC-6563060</t>
  </si>
  <si>
    <t>METRC-2420377</t>
  </si>
  <si>
    <t>METRC-5752831</t>
  </si>
  <si>
    <t>METRC-9357077</t>
  </si>
  <si>
    <t>METRC-9299895</t>
  </si>
  <si>
    <t>METRC-5996219</t>
  </si>
  <si>
    <t>WA</t>
  </si>
  <si>
    <t>METRC-4760609</t>
  </si>
  <si>
    <t>METRC-9295904</t>
  </si>
  <si>
    <t>METRC-8427481</t>
  </si>
  <si>
    <t>METRC-7350552</t>
  </si>
  <si>
    <t>METRC-8397805</t>
  </si>
  <si>
    <t>METRC-4161428</t>
  </si>
  <si>
    <t>METRC-2382487</t>
  </si>
  <si>
    <t>METRC-2390777</t>
  </si>
  <si>
    <t>METRC-2548207</t>
  </si>
  <si>
    <t>METRC-3202233</t>
  </si>
  <si>
    <t>METRC-3873633</t>
  </si>
  <si>
    <t>METRC-2082282</t>
  </si>
  <si>
    <t>METRC-4990722</t>
  </si>
  <si>
    <t>METRC-2056441</t>
  </si>
  <si>
    <t>METRC-4936528</t>
  </si>
  <si>
    <t>METRC-3389307</t>
  </si>
  <si>
    <t>METRC-9962410</t>
  </si>
  <si>
    <t>METRC-4037482</t>
  </si>
  <si>
    <t>METRC-5460455</t>
  </si>
  <si>
    <t>METRC-3990396</t>
  </si>
  <si>
    <t>METRC-2699120</t>
  </si>
  <si>
    <t>METRC-1606514</t>
  </si>
  <si>
    <t>METRC-6909521</t>
  </si>
  <si>
    <t>METRC-7297693</t>
  </si>
  <si>
    <t>METRC-9455986</t>
  </si>
  <si>
    <t>METRC-8555691</t>
  </si>
  <si>
    <t>METRC-5123514</t>
  </si>
  <si>
    <t>METRC-3203888</t>
  </si>
  <si>
    <t>METRC-5126315</t>
  </si>
  <si>
    <t>METRC-4779302</t>
  </si>
  <si>
    <t>METRC-5351697</t>
  </si>
  <si>
    <t>METRC-4438729</t>
  </si>
  <si>
    <t>METRC-8695861</t>
  </si>
  <si>
    <t>METRC-9206803</t>
  </si>
  <si>
    <t>METRC-1071950</t>
  </si>
  <si>
    <t>METRC-4724308</t>
  </si>
  <si>
    <t>METRC-7377225</t>
  </si>
  <si>
    <t>METRC-1638693</t>
  </si>
  <si>
    <t>METRC-5232068</t>
  </si>
  <si>
    <t>METRC-2190817</t>
  </si>
  <si>
    <t>METRC-6656367</t>
  </si>
  <si>
    <t>METRC-1197929</t>
  </si>
  <si>
    <t>METRC-3875972</t>
  </si>
  <si>
    <t>METRC-3117843</t>
  </si>
  <si>
    <t>METRC-2635772</t>
  </si>
  <si>
    <t>METRC-5639106</t>
  </si>
  <si>
    <t>METRC-7847618</t>
  </si>
  <si>
    <t>METRC-3237361</t>
  </si>
  <si>
    <t>METRC-8250147</t>
  </si>
  <si>
    <t>METRC-8294109</t>
  </si>
  <si>
    <t>METRC-7393682</t>
  </si>
  <si>
    <t>METRC-3125563</t>
  </si>
  <si>
    <t>METRC-6429862</t>
  </si>
  <si>
    <t>METRC-3720578</t>
  </si>
  <si>
    <t>METRC-6641231</t>
  </si>
  <si>
    <t>METRC-5174625</t>
  </si>
  <si>
    <t>METRC-1180450</t>
  </si>
  <si>
    <t>METRC-6151051</t>
  </si>
  <si>
    <t>METRC-7201770</t>
  </si>
  <si>
    <t>METRC-4706414</t>
  </si>
  <si>
    <t>METRC-6882156</t>
  </si>
  <si>
    <t>METRC-9589736</t>
  </si>
  <si>
    <t>METRC-6145342</t>
  </si>
  <si>
    <t>METRC-4316636</t>
  </si>
  <si>
    <t>METRC-5444664</t>
  </si>
  <si>
    <t>METRC-8269799</t>
  </si>
  <si>
    <t>METRC-3013669</t>
  </si>
  <si>
    <t>METRC-5111470</t>
  </si>
  <si>
    <t>METRC-9284789</t>
  </si>
  <si>
    <t>METRC-1335099</t>
  </si>
  <si>
    <t>METRC-4443887</t>
  </si>
  <si>
    <t>METRC-7023448</t>
  </si>
  <si>
    <t>METRC-7101063</t>
  </si>
  <si>
    <t>METRC-3510036</t>
  </si>
  <si>
    <t>METRC-3886058</t>
  </si>
  <si>
    <t>METRC-5521142</t>
  </si>
  <si>
    <t>METRC-8646860</t>
  </si>
  <si>
    <t>METRC-9126833</t>
  </si>
  <si>
    <t>METRC-1689075</t>
  </si>
  <si>
    <t>METRC-2145293</t>
  </si>
  <si>
    <t>METRC-6662237</t>
  </si>
  <si>
    <t>METRC-5752680</t>
  </si>
  <si>
    <t>METRC-8518079</t>
  </si>
  <si>
    <t>METRC-3969229</t>
  </si>
  <si>
    <t>METRC-9420914</t>
  </si>
  <si>
    <t>case_id</t>
  </si>
  <si>
    <t>issue_type</t>
  </si>
  <si>
    <t>opened_date</t>
  </si>
  <si>
    <t>resolved_date</t>
  </si>
  <si>
    <t>owner_team</t>
  </si>
  <si>
    <t>escalation_flag</t>
  </si>
  <si>
    <t>resolution_status</t>
  </si>
  <si>
    <t>sla_hours</t>
  </si>
  <si>
    <t>hours_to_resolve</t>
  </si>
  <si>
    <t>sla_status</t>
  </si>
  <si>
    <t>case_notes</t>
  </si>
  <si>
    <t>CASE000001</t>
  </si>
  <si>
    <t>Missing Product</t>
  </si>
  <si>
    <t>Resolved</t>
  </si>
  <si>
    <t>Missing Product routed for owner follow-up</t>
  </si>
  <si>
    <t>CASE000002</t>
  </si>
  <si>
    <t>Credit Memo Request</t>
  </si>
  <si>
    <t>Credit Memo Request routed for owner follow-up</t>
  </si>
  <si>
    <t>CASE000003</t>
  </si>
  <si>
    <t>Refused Delivery</t>
  </si>
  <si>
    <t>Customer Success</t>
  </si>
  <si>
    <t>Closed</t>
  </si>
  <si>
    <t>Refused Delivery routed for owner follow-up</t>
  </si>
  <si>
    <t>CASE000004</t>
  </si>
  <si>
    <t>Pricing Discrepancy</t>
  </si>
  <si>
    <t>In Progress</t>
  </si>
  <si>
    <t>Pricing Discrepancy routed for owner follow-up</t>
  </si>
  <si>
    <t>CASE000005</t>
  </si>
  <si>
    <t>CASE000006</t>
  </si>
  <si>
    <t>Compliance Hold</t>
  </si>
  <si>
    <t>Open</t>
  </si>
  <si>
    <t>Compliance Hold routed for owner follow-up</t>
  </si>
  <si>
    <t>CASE000007</t>
  </si>
  <si>
    <t>CASE000008</t>
  </si>
  <si>
    <t>Damaged Shipment</t>
  </si>
  <si>
    <t>Finance</t>
  </si>
  <si>
    <t>Damaged Shipment routed for owner follow-up</t>
  </si>
  <si>
    <t>CASE000009</t>
  </si>
  <si>
    <t>CASE000010</t>
  </si>
  <si>
    <t>CASE000011</t>
  </si>
  <si>
    <t>Invoice Mismatch</t>
  </si>
  <si>
    <t>Invoice Mismatch routed for owner follow-up</t>
  </si>
  <si>
    <t>CASE000012</t>
  </si>
  <si>
    <t>CASE000013</t>
  </si>
  <si>
    <t>CASE000014</t>
  </si>
  <si>
    <t>CASE000015</t>
  </si>
  <si>
    <t>CASE000016</t>
  </si>
  <si>
    <t>CASE000017</t>
  </si>
  <si>
    <t>CASE000018</t>
  </si>
  <si>
    <t>CASE000019</t>
  </si>
  <si>
    <t>CASE000020</t>
  </si>
  <si>
    <t>CASE000021</t>
  </si>
  <si>
    <t>CASE000022</t>
  </si>
  <si>
    <t>CASE000023</t>
  </si>
  <si>
    <t>CASE000024</t>
  </si>
  <si>
    <t>CASE000025</t>
  </si>
  <si>
    <t>CASE000026</t>
  </si>
  <si>
    <t>CASE000027</t>
  </si>
  <si>
    <t>CASE000028</t>
  </si>
  <si>
    <t>CASE000029</t>
  </si>
  <si>
    <t>CASE000030</t>
  </si>
  <si>
    <t>CASE000031</t>
  </si>
  <si>
    <t>CASE000032</t>
  </si>
  <si>
    <t>CASE000033</t>
  </si>
  <si>
    <t>CASE000034</t>
  </si>
  <si>
    <t>CASE000035</t>
  </si>
  <si>
    <t>CASE000036</t>
  </si>
  <si>
    <t>CASE000037</t>
  </si>
  <si>
    <t>CASE000038</t>
  </si>
  <si>
    <t>CASE000039</t>
  </si>
  <si>
    <t>CASE000040</t>
  </si>
  <si>
    <t>CASE000041</t>
  </si>
  <si>
    <t>CASE000042</t>
  </si>
  <si>
    <t>CASE000043</t>
  </si>
  <si>
    <t>CASE000044</t>
  </si>
  <si>
    <t>CASE000045</t>
  </si>
  <si>
    <t>CASE000046</t>
  </si>
  <si>
    <t>CASE000047</t>
  </si>
  <si>
    <t>CASE000048</t>
  </si>
  <si>
    <t>CASE000049</t>
  </si>
  <si>
    <t>CASE000050</t>
  </si>
  <si>
    <t>CASE000051</t>
  </si>
  <si>
    <t>CASE000052</t>
  </si>
  <si>
    <t>CASE000053</t>
  </si>
  <si>
    <t>CASE000054</t>
  </si>
  <si>
    <t>CASE000055</t>
  </si>
  <si>
    <t>CASE000056</t>
  </si>
  <si>
    <t>CASE000057</t>
  </si>
  <si>
    <t>CASE000058</t>
  </si>
  <si>
    <t>CASE000059</t>
  </si>
  <si>
    <t>Late Shipment</t>
  </si>
  <si>
    <t>Late Shipment routed for owner follow-up</t>
  </si>
  <si>
    <t>CASE000060</t>
  </si>
  <si>
    <t>CASE000061</t>
  </si>
  <si>
    <t>CASE000062</t>
  </si>
  <si>
    <t>CASE000063</t>
  </si>
  <si>
    <t>CASE000064</t>
  </si>
  <si>
    <t>CASE000065</t>
  </si>
  <si>
    <t>CASE000066</t>
  </si>
  <si>
    <t>CASE000067</t>
  </si>
  <si>
    <t>CASE000068</t>
  </si>
  <si>
    <t>CASE000069</t>
  </si>
  <si>
    <t>CASE000070</t>
  </si>
  <si>
    <t>CASE000071</t>
  </si>
  <si>
    <t>CASE000072</t>
  </si>
  <si>
    <t>CASE000073</t>
  </si>
  <si>
    <t>CASE000074</t>
  </si>
  <si>
    <t>CASE000075</t>
  </si>
  <si>
    <t>CASE000076</t>
  </si>
  <si>
    <t>CASE000077</t>
  </si>
  <si>
    <t>CASE000078</t>
  </si>
  <si>
    <t>CASE000079</t>
  </si>
  <si>
    <t>CASE000080</t>
  </si>
  <si>
    <t>CASE000081</t>
  </si>
  <si>
    <t>CASE000082</t>
  </si>
  <si>
    <t>CASE000083</t>
  </si>
  <si>
    <t>CASE000084</t>
  </si>
  <si>
    <t>CASE000085</t>
  </si>
  <si>
    <t>CASE000086</t>
  </si>
  <si>
    <t>CASE000087</t>
  </si>
  <si>
    <t>CASE000088</t>
  </si>
  <si>
    <t>CASE000089</t>
  </si>
  <si>
    <t>CASE000090</t>
  </si>
  <si>
    <t>CASE000091</t>
  </si>
  <si>
    <t>CASE000092</t>
  </si>
  <si>
    <t>CASE000093</t>
  </si>
  <si>
    <t>CASE000094</t>
  </si>
  <si>
    <t>CASE000095</t>
  </si>
  <si>
    <t>CASE000096</t>
  </si>
  <si>
    <t>CASE000097</t>
  </si>
  <si>
    <t>CASE000098</t>
  </si>
  <si>
    <t>CASE000099</t>
  </si>
  <si>
    <t>CASE000100</t>
  </si>
  <si>
    <t>CASE000101</t>
  </si>
  <si>
    <t>CASE000102</t>
  </si>
  <si>
    <t>CASE000103</t>
  </si>
  <si>
    <t>CASE000104</t>
  </si>
  <si>
    <t>CASE000105</t>
  </si>
  <si>
    <t>CASE000106</t>
  </si>
  <si>
    <t>CASE000107</t>
  </si>
  <si>
    <t>CASE000108</t>
  </si>
  <si>
    <t>CASE000109</t>
  </si>
  <si>
    <t>CASE000110</t>
  </si>
  <si>
    <t>CASE000111</t>
  </si>
  <si>
    <t>CASE000112</t>
  </si>
  <si>
    <t>CASE000113</t>
  </si>
  <si>
    <t>CASE000114</t>
  </si>
  <si>
    <t>CASE000115</t>
  </si>
  <si>
    <t>CASE000116</t>
  </si>
  <si>
    <t>CASE000117</t>
  </si>
  <si>
    <t>CASE000118</t>
  </si>
  <si>
    <t>CASE000119</t>
  </si>
  <si>
    <t>CASE000120</t>
  </si>
  <si>
    <t>CASE000121</t>
  </si>
  <si>
    <t>CASE000122</t>
  </si>
  <si>
    <t>CASE000123</t>
  </si>
  <si>
    <t>CASE000124</t>
  </si>
  <si>
    <t>CASE000125</t>
  </si>
  <si>
    <t>CASE000126</t>
  </si>
  <si>
    <t>CASE000127</t>
  </si>
  <si>
    <t>CASE000128</t>
  </si>
  <si>
    <t>CASE000129</t>
  </si>
  <si>
    <t>CASE000130</t>
  </si>
  <si>
    <t>CASE000131</t>
  </si>
  <si>
    <t>CASE000132</t>
  </si>
  <si>
    <t>CASE000133</t>
  </si>
  <si>
    <t>CASE000134</t>
  </si>
  <si>
    <t>CASE000135</t>
  </si>
  <si>
    <t>CASE000136</t>
  </si>
  <si>
    <t>CASE000137</t>
  </si>
  <si>
    <t>CASE000138</t>
  </si>
  <si>
    <t>CASE000139</t>
  </si>
  <si>
    <t>CASE000140</t>
  </si>
  <si>
    <t>CASE000141</t>
  </si>
  <si>
    <t>CASE000142</t>
  </si>
  <si>
    <t>CASE000143</t>
  </si>
  <si>
    <t>CASE000144</t>
  </si>
  <si>
    <t>CASE000145</t>
  </si>
  <si>
    <t>CASE000146</t>
  </si>
  <si>
    <t>CASE000147</t>
  </si>
  <si>
    <t>CASE000148</t>
  </si>
  <si>
    <t>CASE000149</t>
  </si>
  <si>
    <t>CASE000150</t>
  </si>
  <si>
    <t>CASE000151</t>
  </si>
  <si>
    <t>CASE000152</t>
  </si>
  <si>
    <t>CASE000153</t>
  </si>
  <si>
    <t>CASE000154</t>
  </si>
  <si>
    <t>CASE000155</t>
  </si>
  <si>
    <t>CASE000156</t>
  </si>
  <si>
    <t>CASE000157</t>
  </si>
  <si>
    <t>CASE000158</t>
  </si>
  <si>
    <t>CASE000159</t>
  </si>
  <si>
    <t>CASE000160</t>
  </si>
  <si>
    <t>CASE000161</t>
  </si>
  <si>
    <t>CASE000162</t>
  </si>
  <si>
    <t>CASE000163</t>
  </si>
  <si>
    <t>CASE000164</t>
  </si>
  <si>
    <t>CASE000165</t>
  </si>
  <si>
    <t>CASE000166</t>
  </si>
  <si>
    <t>CASE000167</t>
  </si>
  <si>
    <t>CASE000168</t>
  </si>
  <si>
    <t>CASE000169</t>
  </si>
  <si>
    <t>CASE000170</t>
  </si>
  <si>
    <t>CASE000171</t>
  </si>
  <si>
    <t>CASE000172</t>
  </si>
  <si>
    <t>CASE000173</t>
  </si>
  <si>
    <t>CASE000174</t>
  </si>
  <si>
    <t>CASE000175</t>
  </si>
  <si>
    <t>CASE000176</t>
  </si>
  <si>
    <t>CASE000177</t>
  </si>
  <si>
    <t>CASE000178</t>
  </si>
  <si>
    <t>CASE000179</t>
  </si>
  <si>
    <t>CASE000180</t>
  </si>
  <si>
    <t>CASE000181</t>
  </si>
  <si>
    <t>CASE000182</t>
  </si>
  <si>
    <t>CASE000183</t>
  </si>
  <si>
    <t>CASE000184</t>
  </si>
  <si>
    <t>CASE000185</t>
  </si>
  <si>
    <t>CASE000186</t>
  </si>
  <si>
    <t>CASE000187</t>
  </si>
  <si>
    <t>CASE000188</t>
  </si>
  <si>
    <t>CASE000189</t>
  </si>
  <si>
    <t>CASE000190</t>
  </si>
  <si>
    <t>CASE000191</t>
  </si>
  <si>
    <t>CASE000192</t>
  </si>
  <si>
    <t>CASE000193</t>
  </si>
  <si>
    <t>CASE000194</t>
  </si>
  <si>
    <t>CASE000195</t>
  </si>
  <si>
    <t>CASE000196</t>
  </si>
  <si>
    <t>CASE000197</t>
  </si>
  <si>
    <t>CASE000198</t>
  </si>
  <si>
    <t>CASE000199</t>
  </si>
  <si>
    <t>CASE000200</t>
  </si>
  <si>
    <t>CASE000201</t>
  </si>
  <si>
    <t>CASE000202</t>
  </si>
  <si>
    <t>CASE000203</t>
  </si>
  <si>
    <t>CASE000204</t>
  </si>
  <si>
    <t>CASE000205</t>
  </si>
  <si>
    <t>CASE000206</t>
  </si>
  <si>
    <t>CASE000207</t>
  </si>
  <si>
    <t>CASE000208</t>
  </si>
  <si>
    <t>CASE000209</t>
  </si>
  <si>
    <t>CASE000210</t>
  </si>
  <si>
    <t>CASE000211</t>
  </si>
  <si>
    <t>CASE000212</t>
  </si>
  <si>
    <t>CASE000213</t>
  </si>
  <si>
    <t>CASE000214</t>
  </si>
  <si>
    <t>CASE000215</t>
  </si>
  <si>
    <t>CASE000216</t>
  </si>
  <si>
    <t>CASE000217</t>
  </si>
  <si>
    <t>CASE000218</t>
  </si>
  <si>
    <t>CASE000219</t>
  </si>
  <si>
    <t>CASE000220</t>
  </si>
  <si>
    <t>CASE000221</t>
  </si>
  <si>
    <t>CASE000222</t>
  </si>
  <si>
    <t>CASE000223</t>
  </si>
  <si>
    <t>CASE000224</t>
  </si>
  <si>
    <t>CASE000225</t>
  </si>
  <si>
    <t>CASE000226</t>
  </si>
  <si>
    <t>CASE000227</t>
  </si>
  <si>
    <t>CASE000228</t>
  </si>
  <si>
    <t>CASE000229</t>
  </si>
  <si>
    <t>CASE000230</t>
  </si>
  <si>
    <t>CASE000231</t>
  </si>
  <si>
    <t>CASE000232</t>
  </si>
  <si>
    <t>CASE000233</t>
  </si>
  <si>
    <t>CASE000234</t>
  </si>
  <si>
    <t>CASE000235</t>
  </si>
  <si>
    <t>CASE000236</t>
  </si>
  <si>
    <t>CASE000237</t>
  </si>
  <si>
    <t>CASE000238</t>
  </si>
  <si>
    <t>CASE000239</t>
  </si>
  <si>
    <t>CASE000240</t>
  </si>
  <si>
    <t>CASE000241</t>
  </si>
  <si>
    <t>CASE000242</t>
  </si>
  <si>
    <t>CASE000243</t>
  </si>
  <si>
    <t>CASE000244</t>
  </si>
  <si>
    <t>CASE000245</t>
  </si>
  <si>
    <t>CASE000246</t>
  </si>
  <si>
    <t>CASE000247</t>
  </si>
  <si>
    <t>CASE000248</t>
  </si>
  <si>
    <t>CASE000249</t>
  </si>
  <si>
    <t>CASE000250</t>
  </si>
  <si>
    <t>CASE000251</t>
  </si>
  <si>
    <t>CASE000252</t>
  </si>
  <si>
    <t>CASE000253</t>
  </si>
  <si>
    <t>CASE000254</t>
  </si>
  <si>
    <t>CASE000255</t>
  </si>
  <si>
    <t>CASE000256</t>
  </si>
  <si>
    <t>CASE000257</t>
  </si>
  <si>
    <t>CASE000258</t>
  </si>
  <si>
    <t>CASE000259</t>
  </si>
  <si>
    <t>CASE000260</t>
  </si>
  <si>
    <t>CASE000261</t>
  </si>
  <si>
    <t>CASE000262</t>
  </si>
  <si>
    <t>CASE000263</t>
  </si>
  <si>
    <t>CASE000264</t>
  </si>
  <si>
    <t>CASE000265</t>
  </si>
  <si>
    <t>CASE000266</t>
  </si>
  <si>
    <t>CASE000267</t>
  </si>
  <si>
    <t>CASE000268</t>
  </si>
  <si>
    <t>CASE000269</t>
  </si>
  <si>
    <t>CASE000270</t>
  </si>
  <si>
    <t>CASE000271</t>
  </si>
  <si>
    <t>CASE000272</t>
  </si>
  <si>
    <t>CASE000273</t>
  </si>
  <si>
    <t>CASE000274</t>
  </si>
  <si>
    <t>CASE000275</t>
  </si>
  <si>
    <t>CASE000276</t>
  </si>
  <si>
    <t>CASE000277</t>
  </si>
  <si>
    <t>CASE000278</t>
  </si>
  <si>
    <t>CASE000279</t>
  </si>
  <si>
    <t>CASE000280</t>
  </si>
  <si>
    <t>CASE000281</t>
  </si>
  <si>
    <t>CASE000282</t>
  </si>
  <si>
    <t>CASE000283</t>
  </si>
  <si>
    <t>CASE000284</t>
  </si>
  <si>
    <t>CASE000285</t>
  </si>
  <si>
    <t>CASE000286</t>
  </si>
  <si>
    <t>CASE000287</t>
  </si>
  <si>
    <t>CASE000288</t>
  </si>
  <si>
    <t>CASE000289</t>
  </si>
  <si>
    <t>CASE000290</t>
  </si>
  <si>
    <t>CASE000291</t>
  </si>
  <si>
    <t>CASE000292</t>
  </si>
  <si>
    <t>CASE000293</t>
  </si>
  <si>
    <t>CASE000294</t>
  </si>
  <si>
    <t>CASE000295</t>
  </si>
  <si>
    <t>CASE000296</t>
  </si>
  <si>
    <t>CASE000297</t>
  </si>
  <si>
    <t>CASE000298</t>
  </si>
  <si>
    <t>CASE000299</t>
  </si>
  <si>
    <t>CASE000300</t>
  </si>
  <si>
    <t>CASE000301</t>
  </si>
  <si>
    <t>CASE000302</t>
  </si>
  <si>
    <t>CASE000303</t>
  </si>
  <si>
    <t>CASE000304</t>
  </si>
  <si>
    <t>CASE000305</t>
  </si>
  <si>
    <t>CASE000306</t>
  </si>
  <si>
    <t>CASE000307</t>
  </si>
  <si>
    <t>CASE000308</t>
  </si>
  <si>
    <t>CASE000309</t>
  </si>
  <si>
    <t>CASE000310</t>
  </si>
  <si>
    <t>CASE000311</t>
  </si>
  <si>
    <t>CASE000312</t>
  </si>
  <si>
    <t>CASE000313</t>
  </si>
  <si>
    <t>CASE000314</t>
  </si>
  <si>
    <t>CASE000315</t>
  </si>
  <si>
    <t>CASE000316</t>
  </si>
  <si>
    <t>CASE000317</t>
  </si>
  <si>
    <t>CASE000318</t>
  </si>
  <si>
    <t>CASE000319</t>
  </si>
  <si>
    <t>CASE000320</t>
  </si>
  <si>
    <t>CASE000321</t>
  </si>
  <si>
    <t>CASE000322</t>
  </si>
  <si>
    <t>CASE000323</t>
  </si>
  <si>
    <t>CASE000324</t>
  </si>
  <si>
    <t>CASE000325</t>
  </si>
  <si>
    <t>CASE000326</t>
  </si>
  <si>
    <t>CASE000327</t>
  </si>
  <si>
    <t>CASE000328</t>
  </si>
  <si>
    <t>CASE000329</t>
  </si>
  <si>
    <t>CASE000330</t>
  </si>
  <si>
    <t>CASE000331</t>
  </si>
  <si>
    <t>CASE000332</t>
  </si>
  <si>
    <t>CASE000333</t>
  </si>
  <si>
    <t>CASE000334</t>
  </si>
  <si>
    <t>CASE000335</t>
  </si>
  <si>
    <t>CASE000336</t>
  </si>
  <si>
    <t>CASE000337</t>
  </si>
  <si>
    <t>CASE000338</t>
  </si>
  <si>
    <t>CASE000339</t>
  </si>
  <si>
    <t>CASE000340</t>
  </si>
  <si>
    <t>credit_memo_id</t>
  </si>
  <si>
    <t>original_order_id</t>
  </si>
  <si>
    <t>credit_date</t>
  </si>
  <si>
    <t>reason_code</t>
  </si>
  <si>
    <t>credit_amount</t>
  </si>
  <si>
    <t>status</t>
  </si>
  <si>
    <t>linked_invoice_exists</t>
  </si>
  <si>
    <t>CM000001</t>
  </si>
  <si>
    <t>Return</t>
  </si>
  <si>
    <t>CM000002</t>
  </si>
  <si>
    <t>Compliance Rejection</t>
  </si>
  <si>
    <t>CM000003</t>
  </si>
  <si>
    <t>CM000004</t>
  </si>
  <si>
    <t>CM000005</t>
  </si>
  <si>
    <t>Pricing Adjustment</t>
  </si>
  <si>
    <t>CM000006</t>
  </si>
  <si>
    <t>CM000007</t>
  </si>
  <si>
    <t>CM000008</t>
  </si>
  <si>
    <t>CM000009</t>
  </si>
  <si>
    <t>Short Ship</t>
  </si>
  <si>
    <t>CM000010</t>
  </si>
  <si>
    <t>Refusal</t>
  </si>
  <si>
    <t>CM000011</t>
  </si>
  <si>
    <t>CM000012</t>
  </si>
  <si>
    <t>CM000013</t>
  </si>
  <si>
    <t>CM000014</t>
  </si>
  <si>
    <t>CM000015</t>
  </si>
  <si>
    <t>CM000016</t>
  </si>
  <si>
    <t>CM000017</t>
  </si>
  <si>
    <t>CM000018</t>
  </si>
  <si>
    <t>CM000019</t>
  </si>
  <si>
    <t>CM000020</t>
  </si>
  <si>
    <t>CM000021</t>
  </si>
  <si>
    <t>CM000022</t>
  </si>
  <si>
    <t>CM000023</t>
  </si>
  <si>
    <t>CM000024</t>
  </si>
  <si>
    <t>CM000025</t>
  </si>
  <si>
    <t>CM000026</t>
  </si>
  <si>
    <t>CM000027</t>
  </si>
  <si>
    <t>CM000028</t>
  </si>
  <si>
    <t>CM000029</t>
  </si>
  <si>
    <t>CM000030</t>
  </si>
  <si>
    <t>CM000031</t>
  </si>
  <si>
    <t>CM000032</t>
  </si>
  <si>
    <t>CM000033</t>
  </si>
  <si>
    <t>CM000034</t>
  </si>
  <si>
    <t>CM000035</t>
  </si>
  <si>
    <t>CM000036</t>
  </si>
  <si>
    <t>CM000037</t>
  </si>
  <si>
    <t>CM000038</t>
  </si>
  <si>
    <t>CM000039</t>
  </si>
  <si>
    <t>CM000040</t>
  </si>
  <si>
    <t>CM000041</t>
  </si>
  <si>
    <t>CM000042</t>
  </si>
  <si>
    <t>CM000043</t>
  </si>
  <si>
    <t>CM000044</t>
  </si>
  <si>
    <t>CM000045</t>
  </si>
  <si>
    <t>CM000046</t>
  </si>
  <si>
    <t>CM000047</t>
  </si>
  <si>
    <t>CM000048</t>
  </si>
  <si>
    <t>CM000049</t>
  </si>
  <si>
    <t>CM000050</t>
  </si>
  <si>
    <t>CM000051</t>
  </si>
  <si>
    <t>CM000052</t>
  </si>
  <si>
    <t>CM000053</t>
  </si>
  <si>
    <t>CM000054</t>
  </si>
  <si>
    <t>CM000055</t>
  </si>
  <si>
    <t>CM000056</t>
  </si>
  <si>
    <t>CM000057</t>
  </si>
  <si>
    <t>CM000058</t>
  </si>
  <si>
    <t>CM000059</t>
  </si>
  <si>
    <t>CM000060</t>
  </si>
  <si>
    <t>CM000061</t>
  </si>
  <si>
    <t>CM000062</t>
  </si>
  <si>
    <t>CM000063</t>
  </si>
  <si>
    <t>CM000064</t>
  </si>
  <si>
    <t>CM000065</t>
  </si>
  <si>
    <t>CM000066</t>
  </si>
  <si>
    <t>CM000067</t>
  </si>
  <si>
    <t>CM000068</t>
  </si>
  <si>
    <t>CM000069</t>
  </si>
  <si>
    <t>CM000070</t>
  </si>
  <si>
    <t>CM000071</t>
  </si>
  <si>
    <t>CM000072</t>
  </si>
  <si>
    <t>CM000073</t>
  </si>
  <si>
    <t>CM000074</t>
  </si>
  <si>
    <t>CM000075</t>
  </si>
  <si>
    <t>CM000076</t>
  </si>
  <si>
    <t>CM000077</t>
  </si>
  <si>
    <t>CM000078</t>
  </si>
  <si>
    <t>CM000079</t>
  </si>
  <si>
    <t>CM000080</t>
  </si>
  <si>
    <t>CM000081</t>
  </si>
  <si>
    <t>CM000082</t>
  </si>
  <si>
    <t>CM000083</t>
  </si>
  <si>
    <t>CM000084</t>
  </si>
  <si>
    <t>CM000085</t>
  </si>
  <si>
    <t>CM000086</t>
  </si>
  <si>
    <t>CM000087</t>
  </si>
  <si>
    <t>CM000088</t>
  </si>
  <si>
    <t>CM000089</t>
  </si>
  <si>
    <t>CM000090</t>
  </si>
  <si>
    <t>CM000091</t>
  </si>
  <si>
    <t>CM000092</t>
  </si>
  <si>
    <t>CM000093</t>
  </si>
  <si>
    <t>CM000094</t>
  </si>
  <si>
    <t>CM000095</t>
  </si>
  <si>
    <t>CM000096</t>
  </si>
  <si>
    <t>CM000097</t>
  </si>
  <si>
    <t>CM000098</t>
  </si>
  <si>
    <t>CM000099</t>
  </si>
  <si>
    <t>CM000100</t>
  </si>
  <si>
    <t>CM000101</t>
  </si>
  <si>
    <t>CM000102</t>
  </si>
  <si>
    <t>CM000103</t>
  </si>
  <si>
    <t>CM000104</t>
  </si>
  <si>
    <t>CM000105</t>
  </si>
  <si>
    <t>CM000106</t>
  </si>
  <si>
    <t>CM000107</t>
  </si>
  <si>
    <t>CM000108</t>
  </si>
  <si>
    <t>CM000109</t>
  </si>
  <si>
    <t>CM000110</t>
  </si>
  <si>
    <t>CM000111</t>
  </si>
  <si>
    <t>CM000112</t>
  </si>
  <si>
    <t>CM000113</t>
  </si>
  <si>
    <t>CM000114</t>
  </si>
  <si>
    <t>CM000115</t>
  </si>
  <si>
    <t>CM000116</t>
  </si>
  <si>
    <t>CM000117</t>
  </si>
  <si>
    <t>CM000118</t>
  </si>
  <si>
    <t>CM000119</t>
  </si>
  <si>
    <t>snapshot_date</t>
  </si>
  <si>
    <t>on_hand_qty</t>
  </si>
  <si>
    <t>available_qty</t>
  </si>
  <si>
    <t>allocated_qty</t>
  </si>
  <si>
    <t>month_start</t>
  </si>
  <si>
    <t>forecast_units</t>
  </si>
  <si>
    <t>actual_ordered_units</t>
  </si>
  <si>
    <t>actual_shipped_units</t>
  </si>
  <si>
    <t>forecast_variance_units</t>
  </si>
  <si>
    <t>forecast_accuracy_pct</t>
  </si>
  <si>
    <t>variance_reason</t>
  </si>
  <si>
    <t>Inventory constraint</t>
  </si>
  <si>
    <t>Promotion lift</t>
  </si>
  <si>
    <t>Distributor bulk order</t>
  </si>
  <si>
    <t>Demand timing</t>
  </si>
  <si>
    <t>Forecast miss</t>
  </si>
  <si>
    <t>Normal variance</t>
  </si>
  <si>
    <t>source_system</t>
  </si>
  <si>
    <t>file_name</t>
  </si>
  <si>
    <t>received_timestamp</t>
  </si>
  <si>
    <t>expected_row_count</t>
  </si>
  <si>
    <t>actual_row_count</t>
  </si>
  <si>
    <t>load_status</t>
  </si>
  <si>
    <t>refresh_owner</t>
  </si>
  <si>
    <t>control_notes</t>
  </si>
  <si>
    <t>Salesforce CRM</t>
  </si>
  <si>
    <t>crm_orders_2026_05.csv</t>
  </si>
  <si>
    <t>Loaded</t>
  </si>
  <si>
    <t>Primary CRM order extract</t>
  </si>
  <si>
    <t>Business Central ERP</t>
  </si>
  <si>
    <t>erp_invoices_2026_05.csv</t>
  </si>
  <si>
    <t>Invoice extract from ERP</t>
  </si>
  <si>
    <t>WMS</t>
  </si>
  <si>
    <t>warehouse_shipments_2026_05.csv</t>
  </si>
  <si>
    <t>Shipment confirm extract</t>
  </si>
  <si>
    <t>Inventory ERP</t>
  </si>
  <si>
    <t>inventory_snapshot_2026_05.csv</t>
  </si>
  <si>
    <t>Supply Chain</t>
  </si>
  <si>
    <t>Inventory position snapshot</t>
  </si>
  <si>
    <t>compliance_rules_2026_05.csv</t>
  </si>
  <si>
    <t>State-specific rule file</t>
  </si>
  <si>
    <t>AR Subledger</t>
  </si>
  <si>
    <t>ar_aging_2026_05.csv</t>
  </si>
  <si>
    <t>AR aging extract</t>
  </si>
  <si>
    <t>Customer Support</t>
  </si>
  <si>
    <t>support_cases_2026_05.csv</t>
  </si>
  <si>
    <t>Ticket export</t>
  </si>
  <si>
    <t>Forecasting</t>
  </si>
  <si>
    <t>sales_forecast_2026_05.csv</t>
  </si>
  <si>
    <t>FP&amp;A</t>
  </si>
  <si>
    <t>Forecast baseline file</t>
  </si>
  <si>
    <t>crm_customer_id</t>
  </si>
  <si>
    <t>erp_customer_no</t>
  </si>
  <si>
    <t>wms_customer_id</t>
  </si>
  <si>
    <t>account_status</t>
  </si>
  <si>
    <t>match_status</t>
  </si>
  <si>
    <t>notes</t>
  </si>
  <si>
    <t>CUST-0001</t>
  </si>
  <si>
    <t>WMS100001</t>
  </si>
  <si>
    <t>OR Account 0001</t>
  </si>
  <si>
    <t>Inactive</t>
  </si>
  <si>
    <t>Name punctuation differs</t>
  </si>
  <si>
    <t>CUST-0002</t>
  </si>
  <si>
    <t>WMS100002</t>
  </si>
  <si>
    <t>WA Account 0002</t>
  </si>
  <si>
    <t>Active</t>
  </si>
  <si>
    <t>Matched</t>
  </si>
  <si>
    <t>Standard cross-system mapping</t>
  </si>
  <si>
    <t>CUST-0003</t>
  </si>
  <si>
    <t>WMS100003</t>
  </si>
  <si>
    <t>CA Account 0003</t>
  </si>
  <si>
    <t>CUST-0004</t>
  </si>
  <si>
    <t>WMS100004</t>
  </si>
  <si>
    <t>CO Account 0004</t>
  </si>
  <si>
    <t>CUST-0005</t>
  </si>
  <si>
    <t>WMS100005</t>
  </si>
  <si>
    <t>AZ Account 0005</t>
  </si>
  <si>
    <t>CUST-0006</t>
  </si>
  <si>
    <t>WMS100006</t>
  </si>
  <si>
    <t>NV Account 0006</t>
  </si>
  <si>
    <t>CUST-0007</t>
  </si>
  <si>
    <t>WMS100007</t>
  </si>
  <si>
    <t>IL Account 0007</t>
  </si>
  <si>
    <t>Credit Hold</t>
  </si>
  <si>
    <t>CUST-0008</t>
  </si>
  <si>
    <t>WMS100008</t>
  </si>
  <si>
    <t>MI Account 0008</t>
  </si>
  <si>
    <t>CUST-0009</t>
  </si>
  <si>
    <t>WMS100009</t>
  </si>
  <si>
    <t>MO Account 0009</t>
  </si>
  <si>
    <t>ERP record inactive</t>
  </si>
  <si>
    <t>CUST-0010</t>
  </si>
  <si>
    <t>WMS100010</t>
  </si>
  <si>
    <t>NM Account 0010</t>
  </si>
  <si>
    <t>CUST-0011</t>
  </si>
  <si>
    <t>WMS100011</t>
  </si>
  <si>
    <t>NY Account 0011</t>
  </si>
  <si>
    <t>CUST-0012</t>
  </si>
  <si>
    <t>WMS100012</t>
  </si>
  <si>
    <t>OK Account 0012</t>
  </si>
  <si>
    <t>CUST-0013</t>
  </si>
  <si>
    <t>WMS100013</t>
  </si>
  <si>
    <t>OR Account 0013</t>
  </si>
  <si>
    <t>Duplicate customer candidate</t>
  </si>
  <si>
    <t>CUST-0014</t>
  </si>
  <si>
    <t>WMS100014</t>
  </si>
  <si>
    <t>WA Account 0014</t>
  </si>
  <si>
    <t>CUST-0015</t>
  </si>
  <si>
    <t>WMS100015</t>
  </si>
  <si>
    <t>CA Account 0015</t>
  </si>
  <si>
    <t>CUST-0016</t>
  </si>
  <si>
    <t>WMS100016</t>
  </si>
  <si>
    <t>CO Account 0016</t>
  </si>
  <si>
    <t>CUST-0017</t>
  </si>
  <si>
    <t>WMS100017</t>
  </si>
  <si>
    <t>AZ Account 0017</t>
  </si>
  <si>
    <t>CUST-0018</t>
  </si>
  <si>
    <t>WMS100018</t>
  </si>
  <si>
    <t>NV Account 0018</t>
  </si>
  <si>
    <t>CUST-0019</t>
  </si>
  <si>
    <t>WMS100019</t>
  </si>
  <si>
    <t>IL Account 0019</t>
  </si>
  <si>
    <t>CUST-0020</t>
  </si>
  <si>
    <t>WMS100020</t>
  </si>
  <si>
    <t>MI Account 0020</t>
  </si>
  <si>
    <t>CUST-0021</t>
  </si>
  <si>
    <t>WMS100021</t>
  </si>
  <si>
    <t>MO Account 0021</t>
  </si>
  <si>
    <t>CUST-0022</t>
  </si>
  <si>
    <t>WMS100022</t>
  </si>
  <si>
    <t>NM Account 0022</t>
  </si>
  <si>
    <t>CUST-0023</t>
  </si>
  <si>
    <t>WMS100023</t>
  </si>
  <si>
    <t>NY Account 0023</t>
  </si>
  <si>
    <t>CUST-0024</t>
  </si>
  <si>
    <t>WMS100024</t>
  </si>
  <si>
    <t>OK Account 0024</t>
  </si>
  <si>
    <t>CUST-0025</t>
  </si>
  <si>
    <t>WMS100025</t>
  </si>
  <si>
    <t>OR Account 0025</t>
  </si>
  <si>
    <t>CUST-0026</t>
  </si>
  <si>
    <t>WMS100026</t>
  </si>
  <si>
    <t>WA Account 0026</t>
  </si>
  <si>
    <t>WMS account missing recent shipment</t>
  </si>
  <si>
    <t>CUST-0027</t>
  </si>
  <si>
    <t>WMS100027</t>
  </si>
  <si>
    <t>CA Account 0027</t>
  </si>
  <si>
    <t>CUST-0028</t>
  </si>
  <si>
    <t>WMS100028</t>
  </si>
  <si>
    <t>CO Account 0028</t>
  </si>
  <si>
    <t>CUST-0029</t>
  </si>
  <si>
    <t>WMS100029</t>
  </si>
  <si>
    <t>AZ Account 0029</t>
  </si>
  <si>
    <t>CUST-0030</t>
  </si>
  <si>
    <t>WMS100030</t>
  </si>
  <si>
    <t>NV Account 0030</t>
  </si>
  <si>
    <t>CUST-0031</t>
  </si>
  <si>
    <t>WMS100031</t>
  </si>
  <si>
    <t>IL Account 0031</t>
  </si>
  <si>
    <t>CUST-0032</t>
  </si>
  <si>
    <t>WMS100032</t>
  </si>
  <si>
    <t>MI Account 0032</t>
  </si>
  <si>
    <t>CUST-0033</t>
  </si>
  <si>
    <t>WMS100033</t>
  </si>
  <si>
    <t>MO Account 0033</t>
  </si>
  <si>
    <t>CUST-0034</t>
  </si>
  <si>
    <t>WMS100034</t>
  </si>
  <si>
    <t>NM Account 0034</t>
  </si>
  <si>
    <t>CUST-0035</t>
  </si>
  <si>
    <t>WMS100035</t>
  </si>
  <si>
    <t>NY Account 0035</t>
  </si>
  <si>
    <t>CUST-0036</t>
  </si>
  <si>
    <t>WMS100036</t>
  </si>
  <si>
    <t>OK Account 0036</t>
  </si>
  <si>
    <t>CUST-0037</t>
  </si>
  <si>
    <t>WMS100037</t>
  </si>
  <si>
    <t>OR Account 0037</t>
  </si>
  <si>
    <t>CUST-0038</t>
  </si>
  <si>
    <t>WMS100038</t>
  </si>
  <si>
    <t>WA Account 0038</t>
  </si>
  <si>
    <t>CUST-0039</t>
  </si>
  <si>
    <t>WMS100039</t>
  </si>
  <si>
    <t>CA Account 0039</t>
  </si>
  <si>
    <t>CUST-0040</t>
  </si>
  <si>
    <t>WMS100040</t>
  </si>
  <si>
    <t>CO Account 0040</t>
  </si>
  <si>
    <t>CUST-0041</t>
  </si>
  <si>
    <t>WMS100041</t>
  </si>
  <si>
    <t>AZ Account 0041</t>
  </si>
  <si>
    <t>CUST-0042</t>
  </si>
  <si>
    <t>WMS100042</t>
  </si>
  <si>
    <t>NV Account 0042</t>
  </si>
  <si>
    <t>CUST-0043</t>
  </si>
  <si>
    <t>WMS100043</t>
  </si>
  <si>
    <t>IL Account 0043</t>
  </si>
  <si>
    <t>CUST-0044</t>
  </si>
  <si>
    <t>WMS100044</t>
  </si>
  <si>
    <t>MI Account 0044</t>
  </si>
  <si>
    <t>CUST-0045</t>
  </si>
  <si>
    <t>WMS100045</t>
  </si>
  <si>
    <t>MO Account 0045</t>
  </si>
  <si>
    <t>CUST-0046</t>
  </si>
  <si>
    <t>WMS100046</t>
  </si>
  <si>
    <t>NM Account 0046</t>
  </si>
  <si>
    <t>CUST-0047</t>
  </si>
  <si>
    <t>WMS100047</t>
  </si>
  <si>
    <t>NY Account 0047</t>
  </si>
  <si>
    <t>CUST-0048</t>
  </si>
  <si>
    <t>WMS100048</t>
  </si>
  <si>
    <t>OK Account 0048</t>
  </si>
  <si>
    <t>CUST-0049</t>
  </si>
  <si>
    <t>WMS100049</t>
  </si>
  <si>
    <t>OR Account 0049</t>
  </si>
  <si>
    <t>CUST-0050</t>
  </si>
  <si>
    <t>WMS100050</t>
  </si>
  <si>
    <t>WA Account 0050</t>
  </si>
  <si>
    <t>CUST-0051</t>
  </si>
  <si>
    <t>WMS100051</t>
  </si>
  <si>
    <t>CA Account 0051</t>
  </si>
  <si>
    <t>CUST-0052</t>
  </si>
  <si>
    <t>WMS100052</t>
  </si>
  <si>
    <t>CO Account 0052</t>
  </si>
  <si>
    <t>CUST-0053</t>
  </si>
  <si>
    <t>WMS100053</t>
  </si>
  <si>
    <t>AZ Account 0053</t>
  </si>
  <si>
    <t>CUST-0054</t>
  </si>
  <si>
    <t>WMS100054</t>
  </si>
  <si>
    <t>NV Account 0054</t>
  </si>
  <si>
    <t>CUST-0055</t>
  </si>
  <si>
    <t>WMS100055</t>
  </si>
  <si>
    <t>IL Account 0055</t>
  </si>
  <si>
    <t>CUST-0056</t>
  </si>
  <si>
    <t>WMS100056</t>
  </si>
  <si>
    <t>MI Account 0056</t>
  </si>
  <si>
    <t>CUST-0057</t>
  </si>
  <si>
    <t>WMS100057</t>
  </si>
  <si>
    <t>MO Account 0057</t>
  </si>
  <si>
    <t>CUST-0058</t>
  </si>
  <si>
    <t>WMS100058</t>
  </si>
  <si>
    <t>NM Account 0058</t>
  </si>
  <si>
    <t>CUST-0059</t>
  </si>
  <si>
    <t>WMS100059</t>
  </si>
  <si>
    <t>NY Account 0059</t>
  </si>
  <si>
    <t>CUST-0060</t>
  </si>
  <si>
    <t>WMS100060</t>
  </si>
  <si>
    <t>OK Account 0060</t>
  </si>
  <si>
    <t>CUST-0061</t>
  </si>
  <si>
    <t>WMS100061</t>
  </si>
  <si>
    <t>OR Account 0061</t>
  </si>
  <si>
    <t>CUST-0062</t>
  </si>
  <si>
    <t>WMS100062</t>
  </si>
  <si>
    <t>WA Account 0062</t>
  </si>
  <si>
    <t>CUST-0063</t>
  </si>
  <si>
    <t>WMS100063</t>
  </si>
  <si>
    <t>CA Account 0063</t>
  </si>
  <si>
    <t>CUST-0064</t>
  </si>
  <si>
    <t>WMS100064</t>
  </si>
  <si>
    <t>CO Account 0064</t>
  </si>
  <si>
    <t>CUST-0065</t>
  </si>
  <si>
    <t>WMS100065</t>
  </si>
  <si>
    <t>AZ Account 0065</t>
  </si>
  <si>
    <t>CUST-0066</t>
  </si>
  <si>
    <t>WMS100066</t>
  </si>
  <si>
    <t>NV Account 0066</t>
  </si>
  <si>
    <t>CUST-0067</t>
  </si>
  <si>
    <t>WMS100067</t>
  </si>
  <si>
    <t>IL Account 0067</t>
  </si>
  <si>
    <t>CUST-0068</t>
  </si>
  <si>
    <t>WMS100068</t>
  </si>
  <si>
    <t>MI Account 0068</t>
  </si>
  <si>
    <t>CUST-0069</t>
  </si>
  <si>
    <t>WMS100069</t>
  </si>
  <si>
    <t>MO Account 0069</t>
  </si>
  <si>
    <t>CUST-0070</t>
  </si>
  <si>
    <t>WMS100070</t>
  </si>
  <si>
    <t>NM Account 0070</t>
  </si>
  <si>
    <t>CUST-0071</t>
  </si>
  <si>
    <t>WMS100071</t>
  </si>
  <si>
    <t>NY Account 0071</t>
  </si>
  <si>
    <t>CUST-0072</t>
  </si>
  <si>
    <t>WMS100072</t>
  </si>
  <si>
    <t>OK Account 0072</t>
  </si>
  <si>
    <t>CUST-0073</t>
  </si>
  <si>
    <t>WMS100073</t>
  </si>
  <si>
    <t>OR Account 0073</t>
  </si>
  <si>
    <t>CUST-0074</t>
  </si>
  <si>
    <t>WMS100074</t>
  </si>
  <si>
    <t>WA Account 0074</t>
  </si>
  <si>
    <t>CUST-0075</t>
  </si>
  <si>
    <t>WMS100075</t>
  </si>
  <si>
    <t>CA Account 0075</t>
  </si>
  <si>
    <t>CUST-0076</t>
  </si>
  <si>
    <t>WMS100076</t>
  </si>
  <si>
    <t>CO Account 0076</t>
  </si>
  <si>
    <t>CUST-0077</t>
  </si>
  <si>
    <t>WMS100077</t>
  </si>
  <si>
    <t>AZ Account 0077</t>
  </si>
  <si>
    <t>CUST-0078</t>
  </si>
  <si>
    <t>WMS100078</t>
  </si>
  <si>
    <t>NV Account 0078</t>
  </si>
  <si>
    <t>CUST-0079</t>
  </si>
  <si>
    <t>WMS100079</t>
  </si>
  <si>
    <t>IL Account 0079</t>
  </si>
  <si>
    <t>CUST-0080</t>
  </si>
  <si>
    <t>WMS100080</t>
  </si>
  <si>
    <t>MI Account 0080</t>
  </si>
  <si>
    <t>CUST-0081</t>
  </si>
  <si>
    <t>WMS100081</t>
  </si>
  <si>
    <t>MO Account 0081</t>
  </si>
  <si>
    <t>CUST-0082</t>
  </si>
  <si>
    <t>WMS100082</t>
  </si>
  <si>
    <t>NM Account 0082</t>
  </si>
  <si>
    <t>CUST-0083</t>
  </si>
  <si>
    <t>WMS100083</t>
  </si>
  <si>
    <t>NY Account 0083</t>
  </si>
  <si>
    <t>CUST-0084</t>
  </si>
  <si>
    <t>WMS100084</t>
  </si>
  <si>
    <t>OK Account 0084</t>
  </si>
  <si>
    <t>CUST-0085</t>
  </si>
  <si>
    <t>WMS100085</t>
  </si>
  <si>
    <t>OR Account 0085</t>
  </si>
  <si>
    <t>CUST-0086</t>
  </si>
  <si>
    <t>WMS100086</t>
  </si>
  <si>
    <t>WA Account 0086</t>
  </si>
  <si>
    <t>CUST-0087</t>
  </si>
  <si>
    <t>WMS100087</t>
  </si>
  <si>
    <t>CA Account 0087</t>
  </si>
  <si>
    <t>CUST-0088</t>
  </si>
  <si>
    <t>WMS100088</t>
  </si>
  <si>
    <t>CO Account 0088</t>
  </si>
  <si>
    <t>CUST-0089</t>
  </si>
  <si>
    <t>WMS100089</t>
  </si>
  <si>
    <t>AZ Account 0089</t>
  </si>
  <si>
    <t>CUST-0090</t>
  </si>
  <si>
    <t>WMS100090</t>
  </si>
  <si>
    <t>NV Account 0090</t>
  </si>
  <si>
    <t>CUST-0091</t>
  </si>
  <si>
    <t>WMS100091</t>
  </si>
  <si>
    <t>IL Account 0091</t>
  </si>
  <si>
    <t>CUST-0092</t>
  </si>
  <si>
    <t>WMS100092</t>
  </si>
  <si>
    <t>MI Account 0092</t>
  </si>
  <si>
    <t>CUST-0093</t>
  </si>
  <si>
    <t>WMS100093</t>
  </si>
  <si>
    <t>MO Account 0093</t>
  </si>
  <si>
    <t>CUST-0094</t>
  </si>
  <si>
    <t>WMS100094</t>
  </si>
  <si>
    <t>NM Account 0094</t>
  </si>
  <si>
    <t>CUST-0095</t>
  </si>
  <si>
    <t>WMS100095</t>
  </si>
  <si>
    <t>NY Account 0095</t>
  </si>
  <si>
    <t>CUST-0096</t>
  </si>
  <si>
    <t>WMS100096</t>
  </si>
  <si>
    <t>OK Account 0096</t>
  </si>
  <si>
    <t>CUST-0097</t>
  </si>
  <si>
    <t>WMS100097</t>
  </si>
  <si>
    <t>OR Account 0097</t>
  </si>
  <si>
    <t>CUST-0098</t>
  </si>
  <si>
    <t>WMS100098</t>
  </si>
  <si>
    <t>WA Account 0098</t>
  </si>
  <si>
    <t>CUST-0099</t>
  </si>
  <si>
    <t>WMS100099</t>
  </si>
  <si>
    <t>CA Account 0099</t>
  </si>
  <si>
    <t>CUST-0100</t>
  </si>
  <si>
    <t>WMS100100</t>
  </si>
  <si>
    <t>CO Account 0100</t>
  </si>
  <si>
    <t>CUST-0101</t>
  </si>
  <si>
    <t>WMS100101</t>
  </si>
  <si>
    <t>AZ Account 0101</t>
  </si>
  <si>
    <t>CUST-0102</t>
  </si>
  <si>
    <t>WMS100102</t>
  </si>
  <si>
    <t>NV Account 0102</t>
  </si>
  <si>
    <t>CUST-0103</t>
  </si>
  <si>
    <t>WMS100103</t>
  </si>
  <si>
    <t>IL Account 0103</t>
  </si>
  <si>
    <t>CUST-0104</t>
  </si>
  <si>
    <t>WMS100104</t>
  </si>
  <si>
    <t>MI Account 0104</t>
  </si>
  <si>
    <t>CUST-0105</t>
  </si>
  <si>
    <t>WMS100105</t>
  </si>
  <si>
    <t>MO Account 0105</t>
  </si>
  <si>
    <t>CUST-0106</t>
  </si>
  <si>
    <t>WMS100106</t>
  </si>
  <si>
    <t>NM Account 0106</t>
  </si>
  <si>
    <t>CUST-0107</t>
  </si>
  <si>
    <t>WMS100107</t>
  </si>
  <si>
    <t>NY Account 0107</t>
  </si>
  <si>
    <t>CUST-0108</t>
  </si>
  <si>
    <t>WMS100108</t>
  </si>
  <si>
    <t>OK Account 0108</t>
  </si>
  <si>
    <t>CUST-0109</t>
  </si>
  <si>
    <t>WMS100109</t>
  </si>
  <si>
    <t>OR Account 0109</t>
  </si>
  <si>
    <t>CUST-0110</t>
  </si>
  <si>
    <t>WMS100110</t>
  </si>
  <si>
    <t>WA Account 0110</t>
  </si>
  <si>
    <t>CUST-0111</t>
  </si>
  <si>
    <t>WMS100111</t>
  </si>
  <si>
    <t>CA Account 0111</t>
  </si>
  <si>
    <t>CUST-0112</t>
  </si>
  <si>
    <t>WMS100112</t>
  </si>
  <si>
    <t>CO Account 0112</t>
  </si>
  <si>
    <t>CUST-0113</t>
  </si>
  <si>
    <t>WMS100113</t>
  </si>
  <si>
    <t>AZ Account 0113</t>
  </si>
  <si>
    <t>CUST-0114</t>
  </si>
  <si>
    <t>WMS100114</t>
  </si>
  <si>
    <t>NV Account 0114</t>
  </si>
  <si>
    <t>CUST-0115</t>
  </si>
  <si>
    <t>WMS100115</t>
  </si>
  <si>
    <t>IL Account 0115</t>
  </si>
  <si>
    <t>CUST-0116</t>
  </si>
  <si>
    <t>WMS100116</t>
  </si>
  <si>
    <t>MI Account 0116</t>
  </si>
  <si>
    <t>CUST-0117</t>
  </si>
  <si>
    <t>WMS100117</t>
  </si>
  <si>
    <t>MO Account 0117</t>
  </si>
  <si>
    <t>CUST-0118</t>
  </si>
  <si>
    <t>WMS100118</t>
  </si>
  <si>
    <t>NM Account 0118</t>
  </si>
  <si>
    <t>CUST-0119</t>
  </si>
  <si>
    <t>WMS100119</t>
  </si>
  <si>
    <t>NY Account 0119</t>
  </si>
  <si>
    <t>CUST-0120</t>
  </si>
  <si>
    <t>WMS100120</t>
  </si>
  <si>
    <t>OK Account 0120</t>
  </si>
  <si>
    <t>source_field</t>
  </si>
  <si>
    <t>target_system</t>
  </si>
  <si>
    <t>target_field</t>
  </si>
  <si>
    <t>required</t>
  </si>
  <si>
    <t>transformation_rule</t>
  </si>
  <si>
    <t>qa_check</t>
  </si>
  <si>
    <t>sales_order_no</t>
  </si>
  <si>
    <t>Trim, uppercase, preserve original ID</t>
  </si>
  <si>
    <t>No blank values; no duplicate active order IDs</t>
  </si>
  <si>
    <t>document_date</t>
  </si>
  <si>
    <t>Parse to yyyy-mm-dd</t>
  </si>
  <si>
    <t>Must be valid date</t>
  </si>
  <si>
    <t>customer_no</t>
  </si>
  <si>
    <t>Trim, uppercase, match customer master</t>
  </si>
  <si>
    <t>Must exist in customer_lookup</t>
  </si>
  <si>
    <t>item_no</t>
  </si>
  <si>
    <t>Trim, uppercase, match item master</t>
  </si>
  <si>
    <t>Must exist in product_lookup</t>
  </si>
  <si>
    <t>quantity</t>
  </si>
  <si>
    <t>Cast to whole number</t>
  </si>
  <si>
    <t>Must be &gt; 0</t>
  </si>
  <si>
    <t>Currency, 2 decimals</t>
  </si>
  <si>
    <t>Must be &gt;= 0</t>
  </si>
  <si>
    <t>line_amount</t>
  </si>
  <si>
    <t>qty_ordered * unit_price</t>
  </si>
  <si>
    <t>Recompute and compare</t>
  </si>
  <si>
    <t>Reporting</t>
  </si>
  <si>
    <t>invoice_key</t>
  </si>
  <si>
    <t>Direct map</t>
  </si>
  <si>
    <t>No duplicate invoice_id</t>
  </si>
  <si>
    <t>invoice_revenue</t>
  </si>
  <si>
    <t>Compare to CRM gross_sales</t>
  </si>
  <si>
    <t>WMS / Inventory</t>
  </si>
  <si>
    <t>SUM available by sku</t>
  </si>
  <si>
    <t>Flag orders where inventory &lt; order qty</t>
  </si>
  <si>
    <t>Returns/Credit Memo</t>
  </si>
  <si>
    <t>Finance Reporting</t>
  </si>
  <si>
    <t>Negative amount for approved credits</t>
  </si>
  <si>
    <t>Amount should be &lt;= 0</t>
  </si>
  <si>
    <t>rule_type</t>
  </si>
  <si>
    <t>rule_value</t>
  </si>
  <si>
    <t>severity</t>
  </si>
  <si>
    <t>business_meaning</t>
  </si>
  <si>
    <t>customer_license_required</t>
  </si>
  <si>
    <t>Critical</t>
  </si>
  <si>
    <t>Customer must have a valid state license before order ships</t>
  </si>
  <si>
    <t>manifest_required</t>
  </si>
  <si>
    <t>Manifest ID required before shipment leaves warehouse</t>
  </si>
  <si>
    <t>approved_sku_list_required</t>
  </si>
  <si>
    <t>High</t>
  </si>
  <si>
    <t>SKU must be approved for sale in the destination state</t>
  </si>
  <si>
    <t>restricted_sku</t>
  </si>
  <si>
    <t>SKU0015 requires review or is not approved in AZ</t>
  </si>
  <si>
    <t>SKU0010 requires review or is not approved in AZ</t>
  </si>
  <si>
    <t>SKU0014 requires review or is not approved in CA</t>
  </si>
  <si>
    <t>SKU0001 requires review or is not approved in CA</t>
  </si>
  <si>
    <t>SKU0006 requires review or is not approved in CO</t>
  </si>
  <si>
    <t>SKU0017 requires review or is not approved in CO</t>
  </si>
  <si>
    <t>SKU0011 requires review or is not approved in IL</t>
  </si>
  <si>
    <t>SKU0017 requires review or is not approved in IL</t>
  </si>
  <si>
    <t>SKU0017 requires review or is not approved in MI</t>
  </si>
  <si>
    <t>SKU0018 requires review or is not approved in MI</t>
  </si>
  <si>
    <t>SKU0005 requires review or is not approved in MO</t>
  </si>
  <si>
    <t>SKU0011 requires review or is not approved in MO</t>
  </si>
  <si>
    <t>SKU0017 requires review or is not approved in NM</t>
  </si>
  <si>
    <t>SKU0004 requires review or is not approved in NM</t>
  </si>
  <si>
    <t>SKU0018 requires review or is not approved in NV</t>
  </si>
  <si>
    <t>SKU0012 requires review or is not approved in NV</t>
  </si>
  <si>
    <t>SKU0008 requires review or is not approved in NY</t>
  </si>
  <si>
    <t>SKU0019 requires review or is not approved in NY</t>
  </si>
  <si>
    <t>SKU0011 requires review or is not approved in OK</t>
  </si>
  <si>
    <t>SKU0003 requires review or is not approved in OK</t>
  </si>
  <si>
    <t>SKU0009 requires review or is not approved in OR</t>
  </si>
  <si>
    <t>SKU0017 requires review or is not approved in OR</t>
  </si>
  <si>
    <t>SKU0008 requires review or is not approved in WA</t>
  </si>
  <si>
    <t>SKU0007 requires review or is not approved in WA</t>
  </si>
  <si>
    <t>Rule ID</t>
  </si>
  <si>
    <t>Rule Category</t>
  </si>
  <si>
    <t>Rule Description</t>
  </si>
  <si>
    <t>Pass/Fail Conditions</t>
  </si>
  <si>
    <t>R01</t>
  </si>
  <si>
    <t>License</t>
  </si>
  <si>
    <t>Customer must have a valid state-issued cannabis license</t>
  </si>
  <si>
    <t>License number format must be 10-15 characters, alphanumeric</t>
  </si>
  <si>
    <t>R02</t>
  </si>
  <si>
    <t>Age Restriction</t>
  </si>
  <si>
    <t>Customer must be 21+ for adult-use products</t>
  </si>
  <si>
    <t>Birth year ≤ 2005 (for current year)</t>
  </si>
  <si>
    <t>R03</t>
  </si>
  <si>
    <t>Product Category</t>
  </si>
  <si>
    <t>Medical-only products cannot go to adult-use customers</t>
  </si>
  <si>
    <t>If Product Type = "Medical Only" AND Channel = "Adult-Use" → FAIL</t>
  </si>
  <si>
    <t>R04</t>
  </si>
  <si>
    <t>COA</t>
  </si>
  <si>
    <t>Certificate of Analysis must be attached and valid</t>
  </si>
  <si>
    <t>COA number must be present AND not expired (&gt;30 days old)</t>
  </si>
  <si>
    <t>R05</t>
  </si>
  <si>
    <t>Quantity Limit</t>
  </si>
  <si>
    <t>Adult-use purchase cannot exceed state daily limit</t>
  </si>
  <si>
    <t>Quantity &gt; 28g (1oz) → FAIL for adult-use</t>
  </si>
  <si>
    <t>R06</t>
  </si>
  <si>
    <t>METRC Tag</t>
  </si>
  <si>
    <t>Each product must have a valid METRC tag ID</t>
  </si>
  <si>
    <t>Tag ID format: 1-4 letters + 6-8 digits (e.g., ABCD123456)</t>
  </si>
  <si>
    <t>R07</t>
  </si>
  <si>
    <t>Return Window</t>
  </si>
  <si>
    <t>Returns must be within state allowed days</t>
  </si>
  <si>
    <t>If Return = Yes AND Days Since Original Order &gt; 14 → FAIL</t>
  </si>
  <si>
    <t>R08</t>
  </si>
  <si>
    <t>License Status</t>
  </si>
  <si>
    <t>Customer license must be active, not suspended</t>
  </si>
  <si>
    <t>License Status must = "Active"</t>
  </si>
  <si>
    <t>exception_id</t>
  </si>
  <si>
    <t>exception_type</t>
  </si>
  <si>
    <t>reference_id</t>
  </si>
  <si>
    <t>owner</t>
  </si>
  <si>
    <t>created_date</t>
  </si>
  <si>
    <t>age_days</t>
  </si>
  <si>
    <t>EX000012</t>
  </si>
  <si>
    <t>Missing Key</t>
  </si>
  <si>
    <t>EX000041</t>
  </si>
  <si>
    <t>EX000049</t>
  </si>
  <si>
    <t>EX000066</t>
  </si>
  <si>
    <t>EX000077</t>
  </si>
  <si>
    <t>EX000231</t>
  </si>
  <si>
    <t>Orphan Invoice</t>
  </si>
  <si>
    <t>Invoice exists without matching CRM order</t>
  </si>
  <si>
    <t>EX000232</t>
  </si>
  <si>
    <t>EX000233</t>
  </si>
  <si>
    <t>EX000234</t>
  </si>
  <si>
    <t>EX000235</t>
  </si>
  <si>
    <t>EX000236</t>
  </si>
  <si>
    <t>EX000237</t>
  </si>
  <si>
    <t>EX000238</t>
  </si>
  <si>
    <t>EX000239</t>
  </si>
  <si>
    <t>EX000240</t>
  </si>
  <si>
    <t>EX000241</t>
  </si>
  <si>
    <t>EX000242</t>
  </si>
  <si>
    <t>EX000243</t>
  </si>
  <si>
    <t>EX000244</t>
  </si>
  <si>
    <t>EX000245</t>
  </si>
  <si>
    <t>EX000246</t>
  </si>
  <si>
    <t>Negative Inventory</t>
  </si>
  <si>
    <t>WHSE_MW has negative on-hand units</t>
  </si>
  <si>
    <t>EX000247</t>
  </si>
  <si>
    <t>WHSE_WA has negative on-hand units</t>
  </si>
  <si>
    <t>EX000248</t>
  </si>
  <si>
    <t>WHSE_CA has negative on-hand units</t>
  </si>
  <si>
    <t>EX000249</t>
  </si>
  <si>
    <t>WHSE_OR has negative on-hand units</t>
  </si>
  <si>
    <t>EX000001</t>
  </si>
  <si>
    <t>Inventory Short</t>
  </si>
  <si>
    <t>Available inventory may not cover ordered units</t>
  </si>
  <si>
    <t>EX000002</t>
  </si>
  <si>
    <t>EX000003</t>
  </si>
  <si>
    <t>EX000004</t>
  </si>
  <si>
    <t>EX000005</t>
  </si>
  <si>
    <t>EX000006</t>
  </si>
  <si>
    <t>EX000007</t>
  </si>
  <si>
    <t>EX000008</t>
  </si>
  <si>
    <t>EX000009</t>
  </si>
  <si>
    <t>EX000010</t>
  </si>
  <si>
    <t>EX000011</t>
  </si>
  <si>
    <t>EX000013</t>
  </si>
  <si>
    <t>EX000014</t>
  </si>
  <si>
    <t>EX000015</t>
  </si>
  <si>
    <t>EX000016</t>
  </si>
  <si>
    <t>EX000017</t>
  </si>
  <si>
    <t>EX000018</t>
  </si>
  <si>
    <t>EX000019</t>
  </si>
  <si>
    <t>EX000020</t>
  </si>
  <si>
    <t>EX000021</t>
  </si>
  <si>
    <t>EX000022</t>
  </si>
  <si>
    <t>EX000023</t>
  </si>
  <si>
    <t>EX000024</t>
  </si>
  <si>
    <t>EX000025</t>
  </si>
  <si>
    <t>EX000026</t>
  </si>
  <si>
    <t>EX000027</t>
  </si>
  <si>
    <t>EX000028</t>
  </si>
  <si>
    <t>EX000029</t>
  </si>
  <si>
    <t>EX000030</t>
  </si>
  <si>
    <t>EX000031</t>
  </si>
  <si>
    <t>EX000032</t>
  </si>
  <si>
    <t>EX000033</t>
  </si>
  <si>
    <t>EX000034</t>
  </si>
  <si>
    <t>EX000035</t>
  </si>
  <si>
    <t>EX000036</t>
  </si>
  <si>
    <t>EX000037</t>
  </si>
  <si>
    <t>EX000038</t>
  </si>
  <si>
    <t>EX000039</t>
  </si>
  <si>
    <t>EX000040</t>
  </si>
  <si>
    <t>EX000042</t>
  </si>
  <si>
    <t>EX000043</t>
  </si>
  <si>
    <t>EX000044</t>
  </si>
  <si>
    <t>EX000045</t>
  </si>
  <si>
    <t>EX000046</t>
  </si>
  <si>
    <t>EX000047</t>
  </si>
  <si>
    <t>EX000048</t>
  </si>
  <si>
    <t>EX000050</t>
  </si>
  <si>
    <t>EX000051</t>
  </si>
  <si>
    <t>EX000052</t>
  </si>
  <si>
    <t>EX000053</t>
  </si>
  <si>
    <t>EX000054</t>
  </si>
  <si>
    <t>EX000055</t>
  </si>
  <si>
    <t>EX000056</t>
  </si>
  <si>
    <t>EX000057</t>
  </si>
  <si>
    <t>EX000058</t>
  </si>
  <si>
    <t>EX000059</t>
  </si>
  <si>
    <t>EX000060</t>
  </si>
  <si>
    <t>EX000061</t>
  </si>
  <si>
    <t>EX000062</t>
  </si>
  <si>
    <t>EX000063</t>
  </si>
  <si>
    <t>EX000064</t>
  </si>
  <si>
    <t>EX000065</t>
  </si>
  <si>
    <t>EX000067</t>
  </si>
  <si>
    <t>EX000068</t>
  </si>
  <si>
    <t>EX000069</t>
  </si>
  <si>
    <t>EX000070</t>
  </si>
  <si>
    <t>EX000071</t>
  </si>
  <si>
    <t>EX000072</t>
  </si>
  <si>
    <t>EX000073</t>
  </si>
  <si>
    <t>EX000074</t>
  </si>
  <si>
    <t>EX000075</t>
  </si>
  <si>
    <t>EX000076</t>
  </si>
  <si>
    <t>EX000078</t>
  </si>
  <si>
    <t>EX000079</t>
  </si>
  <si>
    <t>EX000080</t>
  </si>
  <si>
    <t>EX000081</t>
  </si>
  <si>
    <t>EX000082</t>
  </si>
  <si>
    <t>EX000083</t>
  </si>
  <si>
    <t>EX000084</t>
  </si>
  <si>
    <t>Qty or amount does not match CRM order</t>
  </si>
  <si>
    <t>EX000085</t>
  </si>
  <si>
    <t>EX000086</t>
  </si>
  <si>
    <t>EX000087</t>
  </si>
  <si>
    <t>EX000088</t>
  </si>
  <si>
    <t>EX000089</t>
  </si>
  <si>
    <t>EX000090</t>
  </si>
  <si>
    <t>EX000091</t>
  </si>
  <si>
    <t>EX000092</t>
  </si>
  <si>
    <t>EX000093</t>
  </si>
  <si>
    <t>EX000094</t>
  </si>
  <si>
    <t>EX000095</t>
  </si>
  <si>
    <t>EX000096</t>
  </si>
  <si>
    <t>EX000097</t>
  </si>
  <si>
    <t>EX000098</t>
  </si>
  <si>
    <t>EX000099</t>
  </si>
  <si>
    <t>EX000100</t>
  </si>
  <si>
    <t>EX000101</t>
  </si>
  <si>
    <t>EX000102</t>
  </si>
  <si>
    <t>EX000103</t>
  </si>
  <si>
    <t>EX000104</t>
  </si>
  <si>
    <t>EX000105</t>
  </si>
  <si>
    <t>EX000106</t>
  </si>
  <si>
    <t>EX000107</t>
  </si>
  <si>
    <t>EX000108</t>
  </si>
  <si>
    <t>EX000109</t>
  </si>
  <si>
    <t>EX000110</t>
  </si>
  <si>
    <t>EX000111</t>
  </si>
  <si>
    <t>EX000112</t>
  </si>
  <si>
    <t>EX000113</t>
  </si>
  <si>
    <t>EX000114</t>
  </si>
  <si>
    <t>EX000115</t>
  </si>
  <si>
    <t>EX000116</t>
  </si>
  <si>
    <t>EX000117</t>
  </si>
  <si>
    <t>EX000118</t>
  </si>
  <si>
    <t>EX000119</t>
  </si>
  <si>
    <t>EX000120</t>
  </si>
  <si>
    <t>EX000121</t>
  </si>
  <si>
    <t>EX000122</t>
  </si>
  <si>
    <t>EX000123</t>
  </si>
  <si>
    <t>EX000124</t>
  </si>
  <si>
    <t>EX000125</t>
  </si>
  <si>
    <t>EX000126</t>
  </si>
  <si>
    <t>EX000127</t>
  </si>
  <si>
    <t>EX000128</t>
  </si>
  <si>
    <t>EX000129</t>
  </si>
  <si>
    <t>EX000130</t>
  </si>
  <si>
    <t>EX000131</t>
  </si>
  <si>
    <t>EX000132</t>
  </si>
  <si>
    <t>EX000133</t>
  </si>
  <si>
    <t>EX000134</t>
  </si>
  <si>
    <t>EX000135</t>
  </si>
  <si>
    <t>EX000136</t>
  </si>
  <si>
    <t>EX000137</t>
  </si>
  <si>
    <t>EX000138</t>
  </si>
  <si>
    <t>EX000139</t>
  </si>
  <si>
    <t>EX000140</t>
  </si>
  <si>
    <t>EX000141</t>
  </si>
  <si>
    <t>EX000142</t>
  </si>
  <si>
    <t>EX000143</t>
  </si>
  <si>
    <t>EX000144</t>
  </si>
  <si>
    <t>EX000145</t>
  </si>
  <si>
    <t>EX000146</t>
  </si>
  <si>
    <t>EX000147</t>
  </si>
  <si>
    <t>EX000148</t>
  </si>
  <si>
    <t>EX000149</t>
  </si>
  <si>
    <t>EX000150</t>
  </si>
  <si>
    <t>EX000151</t>
  </si>
  <si>
    <t>EX000152</t>
  </si>
  <si>
    <t>EX000153</t>
  </si>
  <si>
    <t>EX000154</t>
  </si>
  <si>
    <t>EX000155</t>
  </si>
  <si>
    <t>EX000156</t>
  </si>
  <si>
    <t>EX000157</t>
  </si>
  <si>
    <t>EX000158</t>
  </si>
  <si>
    <t>EX000159</t>
  </si>
  <si>
    <t>EX000160</t>
  </si>
  <si>
    <t>EX000161</t>
  </si>
  <si>
    <t>EX000162</t>
  </si>
  <si>
    <t>EX000163</t>
  </si>
  <si>
    <t>EX000164</t>
  </si>
  <si>
    <t>EX000165</t>
  </si>
  <si>
    <t>EX000166</t>
  </si>
  <si>
    <t>EX000167</t>
  </si>
  <si>
    <t>EX000168</t>
  </si>
  <si>
    <t>EX000169</t>
  </si>
  <si>
    <t>EX000170</t>
  </si>
  <si>
    <t>EX000171</t>
  </si>
  <si>
    <t>EX000172</t>
  </si>
  <si>
    <t>EX000173</t>
  </si>
  <si>
    <t>EX000174</t>
  </si>
  <si>
    <t>EX000175</t>
  </si>
  <si>
    <t>EX000176</t>
  </si>
  <si>
    <t>EX000177</t>
  </si>
  <si>
    <t>EX000178</t>
  </si>
  <si>
    <t>EX000179</t>
  </si>
  <si>
    <t>EX000180</t>
  </si>
  <si>
    <t>EX000181</t>
  </si>
  <si>
    <t>EX000182</t>
  </si>
  <si>
    <t>EX000183</t>
  </si>
  <si>
    <t>EX000184</t>
  </si>
  <si>
    <t>EX000185</t>
  </si>
  <si>
    <t>EX000186</t>
  </si>
  <si>
    <t>EX000187</t>
  </si>
  <si>
    <t>EX000188</t>
  </si>
  <si>
    <t>EX000189</t>
  </si>
  <si>
    <t>EX000190</t>
  </si>
  <si>
    <t>EX000191</t>
  </si>
  <si>
    <t>EX000192</t>
  </si>
  <si>
    <t>EX000193</t>
  </si>
  <si>
    <t>EX000194</t>
  </si>
  <si>
    <t>EX000195</t>
  </si>
  <si>
    <t>EX000196</t>
  </si>
  <si>
    <t>EX000197</t>
  </si>
  <si>
    <t>EX000198</t>
  </si>
  <si>
    <t>EX000199</t>
  </si>
  <si>
    <t>EX000200</t>
  </si>
  <si>
    <t>EX000201</t>
  </si>
  <si>
    <t>EX000202</t>
  </si>
  <si>
    <t>EX000203</t>
  </si>
  <si>
    <t>EX000204</t>
  </si>
  <si>
    <t>EX000205</t>
  </si>
  <si>
    <t>EX000206</t>
  </si>
  <si>
    <t>EX000207</t>
  </si>
  <si>
    <t>EX000208</t>
  </si>
  <si>
    <t>EX000209</t>
  </si>
  <si>
    <t>EX000210</t>
  </si>
  <si>
    <t>EX000211</t>
  </si>
  <si>
    <t>EX000212</t>
  </si>
  <si>
    <t>EX000213</t>
  </si>
  <si>
    <t>EX000214</t>
  </si>
  <si>
    <t>EX000215</t>
  </si>
  <si>
    <t>EX000216</t>
  </si>
  <si>
    <t>EX000217</t>
  </si>
  <si>
    <t>EX000218</t>
  </si>
  <si>
    <t>EX000219</t>
  </si>
  <si>
    <t>EX000220</t>
  </si>
  <si>
    <t>EX000221</t>
  </si>
  <si>
    <t>EX000222</t>
  </si>
  <si>
    <t>EX000223</t>
  </si>
  <si>
    <t>EX000224</t>
  </si>
  <si>
    <t>EX000225</t>
  </si>
  <si>
    <t>EX000226</t>
  </si>
  <si>
    <t>EX000227</t>
  </si>
  <si>
    <t>EX000228</t>
  </si>
  <si>
    <t>EX000229</t>
  </si>
  <si>
    <t>EX000230</t>
  </si>
  <si>
    <t>category</t>
  </si>
  <si>
    <t>standard_unit_price</t>
  </si>
  <si>
    <t>Blood Orange 1:1 Gummies</t>
  </si>
  <si>
    <t>Gummies</t>
  </si>
  <si>
    <t>Boysenberry 1:1:1 Gummies</t>
  </si>
  <si>
    <t>Elderberry 2:1 Gummies</t>
  </si>
  <si>
    <t>Grapefruit 1:1:1 Gummies</t>
  </si>
  <si>
    <t>Huckleberry THC Gummies</t>
  </si>
  <si>
    <t>Kiwi 1:1 Gummies</t>
  </si>
  <si>
    <t>Marionberry THC Gummies</t>
  </si>
  <si>
    <t>Peach 2:1 Gummies</t>
  </si>
  <si>
    <t>Pear 1:1 Gummies</t>
  </si>
  <si>
    <t>Pomegranate 1:1 Gummies</t>
  </si>
  <si>
    <t>Raspberry THC Gummies</t>
  </si>
  <si>
    <t>Sour Apple THC Gummies</t>
  </si>
  <si>
    <t>Sour Cherry THC Gummies</t>
  </si>
  <si>
    <t>Sour Tangerine THC Gummies</t>
  </si>
  <si>
    <t>Strawberry 20:1 Gummies</t>
  </si>
  <si>
    <t>Blackberry Sparkling Beverage</t>
  </si>
  <si>
    <t>Beverage</t>
  </si>
  <si>
    <t>Mango Sparkling Beverage</t>
  </si>
  <si>
    <t>Lemon Sparkling Beverage</t>
  </si>
  <si>
    <t>Cranberry Sparkling Beverage</t>
  </si>
  <si>
    <t>Pineapple Sparkling Beverage</t>
  </si>
  <si>
    <t>default_sales_rep</t>
  </si>
  <si>
    <t>Alex</t>
  </si>
  <si>
    <t>Avery</t>
  </si>
  <si>
    <t>Casey</t>
  </si>
  <si>
    <t>Drew</t>
  </si>
  <si>
    <t>Jordan</t>
  </si>
  <si>
    <t>Morgan</t>
  </si>
  <si>
    <t>Quinn</t>
  </si>
  <si>
    <t>Riley</t>
  </si>
  <si>
    <t>Sam</t>
  </si>
  <si>
    <t>Taylor</t>
  </si>
  <si>
    <t>Pivot Practice / Interview Drills</t>
  </si>
  <si>
    <t>Practice recreating summaries with PivotTables, VLOOKUP/INDEX-MATCH, conditional formatting, reconciliation checks, SUMIFS, COUNTIFS, and filters.</t>
  </si>
  <si>
    <t>Sales by State</t>
  </si>
  <si>
    <t>State</t>
  </si>
  <si>
    <t>Order Count</t>
  </si>
  <si>
    <t>Sales by Channel</t>
  </si>
  <si>
    <t>Channel</t>
  </si>
  <si>
    <t>Exceptions by Severity</t>
  </si>
  <si>
    <t>Severity</t>
  </si>
  <si>
    <t>Count</t>
  </si>
  <si>
    <t>Medium</t>
  </si>
  <si>
    <t>Low</t>
  </si>
  <si>
    <t>Task #</t>
  </si>
  <si>
    <t>Skill</t>
  </si>
  <si>
    <t>Instruction</t>
  </si>
  <si>
    <t>Expected Output</t>
  </si>
  <si>
    <t>Pivot Table</t>
  </si>
  <si>
    <t>Create a pivot showing CRM Gross Sales by state and channel.</t>
  </si>
  <si>
    <t>State/channel revenue summary</t>
  </si>
  <si>
    <t>Reconciliation</t>
  </si>
  <si>
    <t>Filter erp_invoices for non-zero qty or amount variance.</t>
  </si>
  <si>
    <t>List of mismatched orders</t>
  </si>
  <si>
    <t>Data Quality</t>
  </si>
  <si>
    <t>Find duplicate CRM order IDs.</t>
  </si>
  <si>
    <t>Duplicate order exception list</t>
  </si>
  <si>
    <t>Find orders missing customer_id or sku.</t>
  </si>
  <si>
    <t>Missing-key exception list</t>
  </si>
  <si>
    <t>Inventory</t>
  </si>
  <si>
    <t>Filter crm_orders where inventory_flag = Short.</t>
  </si>
  <si>
    <t>Fulfillment risk list</t>
  </si>
  <si>
    <t>Returns</t>
  </si>
  <si>
    <t>Summarize credit memo amount by reason_code and status.</t>
  </si>
  <si>
    <t>Credit memo impact table</t>
  </si>
  <si>
    <t>SLA</t>
  </si>
  <si>
    <t>Use exception age_days to prioritize open issues.</t>
  </si>
  <si>
    <t>Aging backlog report</t>
  </si>
  <si>
    <t>Lookup</t>
  </si>
  <si>
    <t>Use VLOOKUP or INDEX/MATCH to map customer state and sales rep.</t>
  </si>
  <si>
    <t>Customer attributes joined to CRM orders</t>
  </si>
  <si>
    <t>Power Query</t>
  </si>
  <si>
    <t>Describe how you would clean CRM and ERP exports before reporting.</t>
  </si>
  <si>
    <t>Plain-English data prep workflow</t>
  </si>
  <si>
    <t>Business Story</t>
  </si>
  <si>
    <t>Explain whether revenue is ready to publish or needs review.</t>
  </si>
  <si>
    <t>Recommendation based on controls</t>
  </si>
  <si>
    <t>### 1. What is the stack used for this role?
The "stack" for this role is not a software engineering stack (e.g., Python/React). Instead, it is an **enterprise operational technology stack** focused on data entry, order management, and cross-system integrity.
The core components mentioned are:
- **ERP System:** **Microsoft Dynamics 365 Business Central** (listed as "strongly preferred").
- **CRM System:** **Salesforce** (mentioned as a familiar example).
- **Productivity &amp; Collaboration Tools:**
    - Microsoft Office (specifically Excel for reporting/data checks)
    - Google Apps (Gmail, Google Sheets, Docs)
- **Other systems implied:** External business systems for distribution, inventory, and compliance tracking (though not named).
**Key takeaway:** This is a **data coordination and ERP/CRM power-user** role, not a coding or IT role.
---
### 2. What project would demonstrate my ability to work this role the best?
Since this role emphasizes **accuracy, compliance, cross-functional coordination, and ERP data integrity** (not coding), the best project would be a **process documentation + error correction case study**.
Here is a specific project you could build (or describe from past work):
#### Project Title: **End-to-End Sales Order Audit &amp; Correction Simulation**
**Scenario:**  
A beverage or consumer goods company has 50 sales orders where the shipping addresses, product quantities, or tax statuses are inconsistent between the CRM (Salesforce) and the ERP (Business Central). Some orders were rejected due to state compliance errors.
**What you would produce to demonstrate ability:**
1. **Data Discrepancy Log** (Excel/Google Sheets)  
   - Columns: Order ID, CRM field, ERP field, discrepancy type, root cause (e.g., “missing state permit number”), priority (High/Med/Low).
2. **Correction Tracker**  
   - Show before/after for 5 sample orders.  
   - Example: Order #101 → added missing compliance code → re-ran through order lifecycle → generated correct invoice.
3. **SOP Document (1 page)**  
   - Title: *“Order Modification Process for State Compliance”*  
   - Step-by-step: How to handle a return, a refusal, or a credit memo in Business Central.
4. **Cross-functional Communication Sample**  
   - A mock email to Sales: *“Order #205 rejected due to missing license. Please provide X before EOD so Inventory can release.”*  
   - A mock Slack/Teams message to Accounting: *“Credit memo CM-303 approved. Please apply to invoice INV-404.”*
5. **Dashboard mockup** (optional but strong)  
   - Simple weekly order health report: # orders entered, # modified, # rejected, avg time to invoice.
**Why this works:**  
It directly mirrors the **essential duties** — order lifecycle management, data integrity, compliance, cross-functional support, and SOP documentation — without requiring coding. It proves you can live in ERP/CRM, catch errors, and communicate clearly under operational pressure.</t>
  </si>
  <si>
    <t>1. create cheat sheets (GL, finance, excel formulas)</t>
  </si>
  <si>
    <t>2. SOP</t>
  </si>
  <si>
    <t>Sales Ops CRM → ERP Practice Workbook</t>
  </si>
  <si>
    <t>1,000-row interview-practice workbook with CRM, ERP, inventory, exceptions, and reconciliation.</t>
  </si>
  <si>
    <t>Purpose</t>
  </si>
  <si>
    <t>Practice Excel skills for Sales Operations, Business Analyst, and Sales Data Coordinator interviews.</t>
  </si>
  <si>
    <t>Core workflow</t>
  </si>
  <si>
    <t>CRM orders → ERP invoices → inventory check → credit memos → exceptions → reconciliation summary → dashboard.</t>
  </si>
  <si>
    <t>Rows to work with</t>
  </si>
  <si>
    <t>crm_orders has 1,000 rows; ERP invoices and exception logs are intentionally imperfect.</t>
  </si>
  <si>
    <t>Color conventions</t>
  </si>
  <si>
    <t>Green text</t>
  </si>
  <si>
    <t>Linked / imported formulas from other worksheets</t>
  </si>
  <si>
    <t>Teal fill</t>
  </si>
  <si>
    <t>Dashboard KPI cells</t>
  </si>
  <si>
    <t>Orange fill</t>
  </si>
  <si>
    <t>Review / caution</t>
  </si>
  <si>
    <t>Red fill</t>
  </si>
  <si>
    <t>Error / critical flag</t>
  </si>
  <si>
    <t>Synthetic-data disclaimer</t>
  </si>
  <si>
    <t>All data is fictional and built only for practice/portfolio demonstration.</t>
  </si>
  <si>
    <t>Enterprise realism added</t>
  </si>
  <si>
    <t>Tabs include shipments, AR aging, compliance, source manifest, customer support cases, forecast vs actual, SLA metrics, customer crosswalk, and executive summary.</t>
  </si>
  <si>
    <t>How to use it</t>
  </si>
  <si>
    <t>Practice pivots, lookups, formulas, filters, exception triage, and plain-English business storytelling.</t>
  </si>
  <si>
    <t>Interview angle</t>
  </si>
  <si>
    <t>Explain how CRM, ERP, WMS, Compliance, Finance, and Customer Support data must reconcile before leadership can trust the report.</t>
  </si>
  <si>
    <t>To: Wyld Hiring Manager (Lyman)</t>
  </si>
  <si>
    <t>From: Brandon Hardison</t>
  </si>
  <si>
    <t>Subject: Sales Data Coordinator Project - METRC Compliance Tracker</t>
  </si>
  <si>
    <t>This project simulates the daily compliance review process for a Sales Data Coordinator at Wyld. Using 1,000 mock orders, I applied METRC-aligned rules to validate customer licenses, product categories, COA status, METRC tags, age restrictions, and return windows. Orders failing compliance were logged and escalated to Sales with clear action items. The dashboard provides at-a-glance metrics on compliance rates and failure trends.</t>
  </si>
  <si>
    <t>This exercise directly maps to the job's essential duties: maintaining data integrity, managing order modifications based on state compliance, and serving as a cross-functional partner to Sales and Inventory. I am confident I can perform these tasks daily in Wyld's Business Central environment.</t>
  </si>
  <si>
    <t>I welcome the opportunity to discuss this project and the Sales Data Coordinator role further.</t>
  </si>
  <si>
    <t>This is an order-to-cash role (orders, invoicing, credit memos, inventory). That is the ERP's job, not the CRM's. CRM is just where the lead came from.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</si>
</sst>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Red]($#,##0.00);-"/>
    <numFmt numFmtId="165" formatCode="yyyy-mm-dd"/>
    <numFmt numFmtId="166" formatCode="&quot;$&quot;#,##0.00"/>
    <numFmt numFmtId="167" formatCode="0.0"/>
    <numFmt numFmtId="168" formatCode="0.0%"/>
  </numFmts>
  <fonts count="21">
    <font>
      <sz val="11.0"/>
      <color theme="1"/>
      <name val="Calibri"/>
      <scheme val="minor"/>
    </font>
    <font>
      <b/>
      <sz val="16.0"/>
      <color rgb="FFFFFFFF"/>
      <name val="Calibri"/>
      <scheme val="minor"/>
    </font>
    <font/>
    <font>
      <i/>
      <color rgb="FF666666"/>
      <name val="Calibri"/>
      <scheme val="minor"/>
    </font>
    <font>
      <b/>
      <color rgb="FFFFFFFF"/>
      <name val="Calibri"/>
      <scheme val="minor"/>
    </font>
    <font>
      <b/>
      <color theme="1"/>
      <name val="Calibri"/>
      <scheme val="minor"/>
    </font>
    <font>
      <color theme="1"/>
      <name val="Calibri"/>
      <scheme val="minor"/>
    </font>
    <font>
      <b/>
      <color rgb="FF7030A0"/>
      <name val="Calibri"/>
      <scheme val="minor"/>
    </font>
    <font>
      <sz val="11.0"/>
      <color theme="1"/>
      <name val="Calibri"/>
    </font>
    <font>
      <color rgb="FF008000"/>
      <name val="Calibri"/>
      <scheme val="minor"/>
    </font>
    <font>
      <color rgb="FF000000"/>
      <name val="Calibri"/>
      <scheme val="minor"/>
    </font>
    <font>
      <b/>
      <sz val="14.0"/>
      <color rgb="FFFFFFFF"/>
      <name val="Calibri"/>
      <scheme val="minor"/>
    </font>
    <font>
      <b/>
      <sz val="14.0"/>
      <color theme="1"/>
      <name val="Calibri"/>
      <scheme val="minor"/>
    </font>
    <font>
      <sz val="14.0"/>
      <color theme="1"/>
      <name val="Calibri"/>
    </font>
    <font>
      <sz val="14.0"/>
      <color theme="1"/>
      <name val="Calibri"/>
      <scheme val="minor"/>
    </font>
    <font>
      <b/>
      <sz val="12.0"/>
      <color theme="1"/>
      <name val="Arial"/>
    </font>
    <font>
      <color theme="1"/>
      <name val="Arial"/>
    </font>
    <font>
      <sz val="12.0"/>
      <color rgb="FF0F1115"/>
      <name val="Arial"/>
    </font>
    <font>
      <sz val="12.0"/>
      <color rgb="FF0F1115"/>
      <name val="Quote-cjk-patch"/>
    </font>
    <font>
      <b/>
      <sz val="11.0"/>
      <color theme="1"/>
      <name val="Calibri"/>
    </font>
    <font>
      <sz val="11.0"/>
      <color rgb="FF0F1115"/>
      <name val="Quote-cjk-patch"/>
    </font>
  </fonts>
  <fills count="19">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EADCF8"/>
        <bgColor rgb="FFEADCF8"/>
      </patternFill>
    </fill>
    <fill>
      <patternFill patternType="solid">
        <fgColor theme="6"/>
        <bgColor theme="6"/>
      </patternFill>
    </fill>
    <fill>
      <patternFill patternType="solid">
        <fgColor rgb="FFEAF1DD"/>
        <bgColor rgb="FFEAF1DD"/>
      </patternFill>
    </fill>
    <fill>
      <patternFill patternType="solid">
        <fgColor theme="5"/>
        <bgColor theme="5"/>
      </patternFill>
    </fill>
    <fill>
      <patternFill patternType="solid">
        <fgColor rgb="FFF2DBDB"/>
        <bgColor rgb="FFF2DBDB"/>
      </patternFill>
    </fill>
    <fill>
      <patternFill patternType="solid">
        <fgColor theme="8"/>
        <bgColor theme="8"/>
      </patternFill>
    </fill>
    <fill>
      <patternFill patternType="solid">
        <fgColor rgb="FFDAEEF3"/>
        <bgColor rgb="FFDAEEF3"/>
      </patternFill>
    </fill>
    <fill>
      <patternFill patternType="solid">
        <fgColor theme="7"/>
        <bgColor theme="7"/>
      </patternFill>
    </fill>
    <fill>
      <patternFill patternType="solid">
        <fgColor rgb="FFE5DFEC"/>
        <bgColor rgb="FFE5DFEC"/>
      </patternFill>
    </fill>
    <fill>
      <patternFill patternType="solid">
        <fgColor rgb="FF38761D"/>
        <bgColor rgb="FF38761D"/>
      </patternFill>
    </fill>
    <fill>
      <patternFill patternType="solid">
        <fgColor rgb="FFFFFFFF"/>
        <bgColor rgb="FFFFFFFF"/>
      </patternFill>
    </fill>
    <fill>
      <patternFill patternType="solid">
        <fgColor rgb="FF5B9BD5"/>
        <bgColor rgb="FF5B9BD5"/>
      </patternFill>
    </fill>
  </fills>
  <borders count="13">
    <border/>
    <border>
      <left/>
      <top/>
      <bottom/>
    </border>
    <border>
      <top/>
      <bottom/>
    </border>
    <border>
      <right/>
      <top/>
      <bottom/>
    </border>
    <border>
      <left/>
      <right/>
      <top/>
      <bottom/>
    </border>
    <border>
      <left/>
      <right/>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0" fontId="2" numFmtId="0" xfId="0" applyBorder="1" applyFont="1"/>
    <xf borderId="0" fillId="0" fontId="3" numFmtId="0" xfId="0" applyFont="1"/>
    <xf borderId="4" fillId="2" fontId="4" numFmtId="0" xfId="0" applyAlignment="1" applyBorder="1" applyFont="1">
      <alignment horizontal="center" shrinkToFit="0" vertical="center" wrapText="1"/>
    </xf>
    <xf borderId="0" fillId="0" fontId="5" numFmtId="0" xfId="0" applyFont="1"/>
    <xf borderId="4" fillId="3" fontId="5" numFmtId="164" xfId="0" applyBorder="1" applyFill="1" applyFont="1" applyNumberFormat="1"/>
    <xf borderId="0" fillId="0" fontId="6" numFmtId="0" xfId="0" applyFont="1"/>
    <xf borderId="4" fillId="3" fontId="5" numFmtId="3" xfId="0" applyBorder="1" applyFont="1" applyNumberFormat="1"/>
    <xf borderId="1" fillId="2" fontId="4" numFmtId="0" xfId="0" applyBorder="1" applyFont="1"/>
    <xf borderId="4" fillId="3" fontId="5" numFmtId="10" xfId="0" applyBorder="1" applyFont="1" applyNumberFormat="1"/>
    <xf borderId="4" fillId="3" fontId="5" numFmtId="0" xfId="0" applyBorder="1" applyFont="1"/>
    <xf borderId="1" fillId="2" fontId="1" numFmtId="0" xfId="0" applyBorder="1" applyFont="1"/>
    <xf borderId="0" fillId="0" fontId="7" numFmtId="0" xfId="0" applyFont="1"/>
    <xf borderId="0" fillId="0" fontId="8" numFmtId="0" xfId="0" applyAlignment="1" applyFont="1">
      <alignment shrinkToFit="0" vertical="top" wrapText="1"/>
    </xf>
    <xf borderId="4" fillId="4" fontId="4" numFmtId="0" xfId="0" applyAlignment="1" applyBorder="1" applyFill="1" applyFont="1">
      <alignment horizontal="center" shrinkToFit="0" vertical="center" wrapText="1"/>
    </xf>
    <xf borderId="0" fillId="5" fontId="6" numFmtId="0" xfId="0" applyFill="1" applyFont="1"/>
    <xf borderId="0" fillId="5" fontId="8" numFmtId="165" xfId="0" applyFont="1" applyNumberFormat="1"/>
    <xf borderId="0" fillId="5" fontId="9" numFmtId="0" xfId="0" applyFont="1"/>
    <xf borderId="0" fillId="5" fontId="9" numFmtId="164" xfId="0" applyFont="1" applyNumberFormat="1"/>
    <xf borderId="0" fillId="5" fontId="8" numFmtId="3" xfId="0" applyFont="1" applyNumberFormat="1"/>
    <xf borderId="0" fillId="5" fontId="8" numFmtId="164" xfId="0" applyFont="1" applyNumberFormat="1"/>
    <xf borderId="0" fillId="5" fontId="10" numFmtId="164" xfId="0" applyFont="1" applyNumberFormat="1"/>
    <xf borderId="0" fillId="5" fontId="10" numFmtId="0" xfId="0" applyFont="1"/>
    <xf borderId="0" fillId="6" fontId="6" numFmtId="0" xfId="0" applyFill="1" applyFont="1"/>
    <xf borderId="0" fillId="6" fontId="8" numFmtId="165" xfId="0" applyFont="1" applyNumberFormat="1"/>
    <xf borderId="0" fillId="6" fontId="9" numFmtId="0" xfId="0" applyFont="1"/>
    <xf borderId="0" fillId="6" fontId="9" numFmtId="164" xfId="0" applyFont="1" applyNumberFormat="1"/>
    <xf borderId="0" fillId="6" fontId="8" numFmtId="3" xfId="0" applyFont="1" applyNumberFormat="1"/>
    <xf borderId="0" fillId="6" fontId="8" numFmtId="164" xfId="0" applyFont="1" applyNumberFormat="1"/>
    <xf borderId="0" fillId="6" fontId="10" numFmtId="164" xfId="0" applyFont="1" applyNumberFormat="1"/>
    <xf borderId="0" fillId="6" fontId="10" numFmtId="0" xfId="0" applyFont="1"/>
    <xf borderId="0" fillId="0" fontId="3" numFmtId="0" xfId="0" applyAlignment="1" applyFont="1">
      <alignment readingOrder="0"/>
    </xf>
    <xf borderId="4" fillId="2" fontId="11" numFmtId="0" xfId="0" applyAlignment="1" applyBorder="1" applyFont="1">
      <alignment horizontal="center" shrinkToFit="0" vertical="center" wrapText="1"/>
    </xf>
    <xf borderId="0" fillId="0" fontId="12" numFmtId="0" xfId="0" applyFont="1"/>
    <xf borderId="0" fillId="0" fontId="13" numFmtId="164" xfId="0" applyFont="1" applyNumberFormat="1"/>
    <xf borderId="0" fillId="0" fontId="14" numFmtId="0" xfId="0" applyFont="1"/>
    <xf borderId="0" fillId="0" fontId="14" numFmtId="0" xfId="0" applyAlignment="1" applyFont="1">
      <alignment readingOrder="0"/>
    </xf>
    <xf borderId="0" fillId="0" fontId="13" numFmtId="166" xfId="0" applyFont="1" applyNumberFormat="1"/>
    <xf borderId="0" fillId="0" fontId="13" numFmtId="10" xfId="0" applyFont="1" applyNumberFormat="1"/>
    <xf borderId="0" fillId="0" fontId="13" numFmtId="3" xfId="0" applyFont="1" applyNumberFormat="1"/>
    <xf borderId="0" fillId="0" fontId="12" numFmtId="0" xfId="0" applyAlignment="1" applyFont="1">
      <alignment readingOrder="0"/>
    </xf>
    <xf borderId="0" fillId="0" fontId="13" numFmtId="3" xfId="0" applyAlignment="1" applyFont="1" applyNumberFormat="1">
      <alignment horizontal="right"/>
    </xf>
    <xf borderId="1" fillId="2" fontId="4" numFmtId="0" xfId="0" applyAlignment="1" applyBorder="1" applyFont="1">
      <alignment readingOrder="0"/>
    </xf>
    <xf borderId="0" fillId="0" fontId="14" numFmtId="10" xfId="0" applyFont="1" applyNumberFormat="1"/>
    <xf borderId="4" fillId="3" fontId="8" numFmtId="0" xfId="0" applyBorder="1" applyFont="1"/>
    <xf borderId="4" fillId="7" fontId="8" numFmtId="0" xfId="0" applyBorder="1" applyFill="1" applyFont="1"/>
    <xf borderId="4" fillId="3" fontId="8" numFmtId="10" xfId="0" applyBorder="1" applyFont="1" applyNumberFormat="1"/>
    <xf borderId="0" fillId="0" fontId="6" numFmtId="9" xfId="0" applyFont="1" applyNumberFormat="1"/>
    <xf borderId="4" fillId="3" fontId="8" numFmtId="167" xfId="0" applyBorder="1" applyFont="1" applyNumberFormat="1"/>
    <xf borderId="4" fillId="4" fontId="4" numFmtId="0" xfId="0" applyAlignment="1" applyBorder="1" applyFont="1">
      <alignment horizontal="center" shrinkToFit="0" wrapText="1"/>
    </xf>
    <xf borderId="4" fillId="8" fontId="4" numFmtId="0" xfId="0" applyAlignment="1" applyBorder="1" applyFill="1" applyFont="1">
      <alignment horizontal="center" shrinkToFit="0" vertical="center" wrapText="1"/>
    </xf>
    <xf borderId="0" fillId="9" fontId="6" numFmtId="0" xfId="0" applyFill="1" applyFont="1"/>
    <xf borderId="0" fillId="9" fontId="8" numFmtId="165" xfId="0" applyFont="1" applyNumberFormat="1"/>
    <xf borderId="0" fillId="9" fontId="8" numFmtId="164" xfId="0" applyFont="1" applyNumberFormat="1"/>
    <xf borderId="0" fillId="9" fontId="8" numFmtId="3" xfId="0" applyFont="1" applyNumberFormat="1"/>
    <xf borderId="4" fillId="10" fontId="4" numFmtId="0" xfId="0" applyAlignment="1" applyBorder="1" applyFill="1" applyFont="1">
      <alignment horizontal="center" shrinkToFit="0" vertical="center" wrapText="1"/>
    </xf>
    <xf borderId="0" fillId="11" fontId="6" numFmtId="0" xfId="0" applyFill="1" applyFont="1"/>
    <xf borderId="0" fillId="11" fontId="8" numFmtId="165" xfId="0" applyFont="1" applyNumberFormat="1"/>
    <xf borderId="4" fillId="12" fontId="4" numFmtId="0" xfId="0" applyAlignment="1" applyBorder="1" applyFill="1" applyFont="1">
      <alignment horizontal="center" shrinkToFit="0" vertical="center" wrapText="1"/>
    </xf>
    <xf borderId="0" fillId="13" fontId="6" numFmtId="0" xfId="0" applyFill="1" applyFont="1"/>
    <xf borderId="0" fillId="13" fontId="8" numFmtId="165" xfId="0" applyFont="1" applyNumberFormat="1"/>
    <xf borderId="0" fillId="13" fontId="8" numFmtId="3" xfId="0" applyFont="1" applyNumberFormat="1"/>
    <xf borderId="0" fillId="5" fontId="8" numFmtId="168" xfId="0" applyFont="1" applyNumberFormat="1"/>
    <xf borderId="0" fillId="6" fontId="8" numFmtId="168" xfId="0" applyFont="1" applyNumberFormat="1"/>
    <xf borderId="4" fillId="14" fontId="4" numFmtId="0" xfId="0" applyAlignment="1" applyBorder="1" applyFill="1" applyFont="1">
      <alignment horizontal="center" shrinkToFit="0" vertical="center" wrapText="1"/>
    </xf>
    <xf borderId="0" fillId="15" fontId="6" numFmtId="0" xfId="0" applyFill="1" applyFont="1"/>
    <xf borderId="5" fillId="14" fontId="4" numFmtId="0" xfId="0" applyAlignment="1" applyBorder="1" applyFont="1">
      <alignment horizontal="center" shrinkToFit="0" vertical="center" wrapText="1"/>
    </xf>
    <xf borderId="6" fillId="15" fontId="6" numFmtId="0" xfId="0" applyBorder="1" applyFont="1"/>
    <xf borderId="7" fillId="15" fontId="6" numFmtId="0" xfId="0" applyBorder="1" applyFont="1"/>
    <xf borderId="8" fillId="6" fontId="6" numFmtId="0" xfId="0" applyBorder="1" applyFont="1"/>
    <xf borderId="9" fillId="6" fontId="6" numFmtId="0" xfId="0" applyBorder="1" applyFont="1"/>
    <xf borderId="8" fillId="15" fontId="6" numFmtId="0" xfId="0" applyBorder="1" applyFont="1"/>
    <xf borderId="9" fillId="15" fontId="6" numFmtId="0" xfId="0" applyBorder="1" applyFont="1"/>
    <xf borderId="10" fillId="15" fontId="6" numFmtId="0" xfId="0" applyBorder="1" applyFont="1"/>
    <xf borderId="11" fillId="15" fontId="6" numFmtId="0" xfId="0" applyBorder="1" applyFont="1"/>
    <xf borderId="0" fillId="16" fontId="15" numFmtId="0" xfId="0" applyAlignment="1" applyFill="1" applyFont="1">
      <alignment vertical="bottom"/>
    </xf>
    <xf borderId="9" fillId="16" fontId="15" numFmtId="0" xfId="0" applyAlignment="1" applyBorder="1" applyFont="1">
      <alignment vertical="bottom"/>
    </xf>
    <xf borderId="12" fillId="0" fontId="16" numFmtId="0" xfId="0" applyAlignment="1" applyBorder="1" applyFont="1">
      <alignment readingOrder="0" vertical="bottom"/>
    </xf>
    <xf borderId="12" fillId="0" fontId="16" numFmtId="0" xfId="0" applyAlignment="1" applyBorder="1" applyFont="1">
      <alignment vertical="bottom"/>
    </xf>
    <xf borderId="12" fillId="0" fontId="16" numFmtId="0" xfId="0" applyAlignment="1" applyBorder="1" applyFont="1">
      <alignment shrinkToFit="0" vertical="bottom" wrapText="1"/>
    </xf>
    <xf borderId="0" fillId="17" fontId="17" numFmtId="0" xfId="0" applyAlignment="1" applyFill="1" applyFont="1">
      <alignment readingOrder="0"/>
    </xf>
    <xf borderId="0" fillId="17" fontId="18" numFmtId="0" xfId="0" applyFont="1"/>
    <xf borderId="0" fillId="17" fontId="18" numFmtId="0" xfId="0" applyAlignment="1" applyFont="1">
      <alignment readingOrder="0"/>
    </xf>
    <xf borderId="0" fillId="11" fontId="8" numFmtId="3" xfId="0" applyFont="1" applyNumberFormat="1"/>
    <xf borderId="0" fillId="0" fontId="19" numFmtId="0" xfId="0" applyAlignment="1" applyFont="1">
      <alignment vertical="bottom"/>
    </xf>
    <xf borderId="0" fillId="0" fontId="8" numFmtId="0" xfId="0" applyAlignment="1" applyFont="1">
      <alignment vertical="bottom"/>
    </xf>
    <xf borderId="4" fillId="2" fontId="4" numFmtId="0" xfId="0" applyBorder="1" applyFont="1"/>
    <xf borderId="4" fillId="18" fontId="4" numFmtId="0" xfId="0" applyAlignment="1" applyBorder="1" applyFill="1" applyFont="1">
      <alignment horizontal="center" shrinkToFit="0" vertical="center" wrapText="1"/>
    </xf>
    <xf borderId="0" fillId="0" fontId="6" numFmtId="0" xfId="0" applyAlignment="1" applyFont="1">
      <alignment readingOrder="0"/>
    </xf>
    <xf borderId="0" fillId="0" fontId="3" numFmtId="0" xfId="0" applyAlignment="1" applyFont="1">
      <alignment shrinkToFit="0" wrapText="1"/>
    </xf>
    <xf borderId="0" fillId="17" fontId="17" numFmtId="0" xfId="0" applyAlignment="1" applyFont="1">
      <alignment readingOrder="0" vertical="bottom"/>
    </xf>
    <xf borderId="0" fillId="17" fontId="17" numFmtId="0" xfId="0" applyAlignment="1" applyFont="1">
      <alignment vertical="bottom"/>
    </xf>
    <xf borderId="0" fillId="17" fontId="18" numFmtId="0" xfId="0" applyAlignment="1" applyFont="1">
      <alignment vertical="bottom"/>
    </xf>
    <xf borderId="0" fillId="17" fontId="16" numFmtId="0" xfId="0" applyAlignment="1" applyFont="1">
      <alignment vertical="bottom"/>
    </xf>
    <xf borderId="0" fillId="17" fontId="17" numFmtId="0" xfId="0" applyAlignment="1" applyFont="1">
      <alignment readingOrder="0" shrinkToFit="0" vertical="bottom" wrapText="1"/>
    </xf>
    <xf borderId="0" fillId="17" fontId="18" numFmtId="0" xfId="0" applyAlignment="1" applyFont="1">
      <alignment shrinkToFit="0" vertical="bottom" wrapText="1"/>
    </xf>
    <xf borderId="0" fillId="17" fontId="20" numFmtId="0" xfId="0" applyAlignment="1" applyFont="1">
      <alignment readingOrder="0"/>
    </xf>
  </cellXfs>
  <cellStyles count="1">
    <cellStyle xfId="0" name="Normal" builtinId="0"/>
  </cellStyles>
  <dxfs count="8">
    <dxf>
      <font/>
      <fill>
        <patternFill patternType="none"/>
      </fill>
      <border/>
    </dxf>
    <dxf>
      <font/>
      <fill>
        <patternFill patternType="solid">
          <fgColor rgb="FFF4CCCC"/>
          <bgColor rgb="FFF4CCCC"/>
        </patternFill>
      </fill>
      <border/>
    </dxf>
    <dxf>
      <font/>
      <fill>
        <patternFill patternType="solid">
          <fgColor rgb="FFFCE4D6"/>
          <bgColor rgb="FFFCE4D6"/>
        </patternFill>
      </fill>
      <border/>
    </dxf>
    <dxf>
      <font/>
      <fill>
        <patternFill patternType="solid">
          <fgColor rgb="FF00FF00"/>
          <bgColor rgb="FF00FF00"/>
        </patternFill>
      </fill>
      <border/>
    </dxf>
    <dxf>
      <font/>
      <fill>
        <patternFill patternType="solid">
          <fgColor rgb="FFB7E1CD"/>
          <bgColor rgb="FFB7E1CD"/>
        </patternFill>
      </fill>
      <border/>
    </dxf>
    <dxf>
      <font/>
      <fill>
        <patternFill patternType="solid">
          <fgColor rgb="FFFFFF00"/>
          <bgColor rgb="FFFFFF00"/>
        </patternFill>
      </fill>
      <border/>
    </dxf>
    <dxf>
      <font/>
      <fill>
        <patternFill patternType="solid">
          <fgColor rgb="FFE06666"/>
          <bgColor rgb="FFE06666"/>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29.0"/>
    <col customWidth="1" min="3" max="3" width="35.0"/>
    <col customWidth="1" min="4" max="6" width="10.0"/>
    <col customWidth="1" min="7" max="26" width="8.71"/>
  </cols>
  <sheetData>
    <row r="1">
      <c r="A1" s="1" t="s">
        <v>0</v>
      </c>
      <c r="B1" s="2"/>
      <c r="C1" s="2"/>
      <c r="D1" s="2"/>
      <c r="E1" s="2"/>
      <c r="F1" s="3"/>
    </row>
    <row r="2">
      <c r="A2" s="4" t="s">
        <v>1</v>
      </c>
    </row>
    <row r="3">
      <c r="A3" s="5" t="s">
        <v>2</v>
      </c>
      <c r="B3" s="5" t="s">
        <v>3</v>
      </c>
      <c r="C3" s="5" t="s">
        <v>4</v>
      </c>
      <c r="D3" s="5"/>
      <c r="E3" s="5"/>
      <c r="F3" s="5"/>
    </row>
    <row r="4">
      <c r="A4" s="6" t="s">
        <v>5</v>
      </c>
      <c r="B4" s="7">
        <f>reconciliation_summary!B4</f>
        <v>472328.52</v>
      </c>
      <c r="C4" s="8" t="s">
        <v>6</v>
      </c>
    </row>
    <row r="5">
      <c r="A5" s="6" t="s">
        <v>7</v>
      </c>
      <c r="B5" s="7">
        <f>reconciliation_summary!B5</f>
        <v>429804.52</v>
      </c>
      <c r="C5" s="8" t="s">
        <v>8</v>
      </c>
    </row>
    <row r="6">
      <c r="A6" s="6" t="s">
        <v>9</v>
      </c>
      <c r="B6" s="7">
        <f>reconciliation_summary!B6</f>
        <v>-42524</v>
      </c>
      <c r="C6" s="8" t="s">
        <v>10</v>
      </c>
    </row>
    <row r="7">
      <c r="A7" s="6" t="s">
        <v>11</v>
      </c>
      <c r="B7" s="9">
        <f>reconciliation_summary!B9</f>
        <v>934</v>
      </c>
      <c r="C7" s="8" t="s">
        <v>12</v>
      </c>
    </row>
    <row r="8">
      <c r="A8" s="6" t="s">
        <v>13</v>
      </c>
      <c r="B8" s="9">
        <f>reconciliation_summary!B10</f>
        <v>116</v>
      </c>
      <c r="C8" s="8" t="s">
        <v>14</v>
      </c>
    </row>
    <row r="9">
      <c r="A9" s="6" t="s">
        <v>15</v>
      </c>
      <c r="B9" s="9">
        <f>reconciliation_summary!B11</f>
        <v>24</v>
      </c>
      <c r="C9" s="8" t="s">
        <v>16</v>
      </c>
    </row>
    <row r="10">
      <c r="A10" s="6" t="s">
        <v>17</v>
      </c>
      <c r="B10" s="9">
        <f>reconciliation_summary!B14</f>
        <v>5</v>
      </c>
      <c r="C10" s="8" t="s">
        <v>18</v>
      </c>
    </row>
    <row r="13">
      <c r="A13" s="10" t="s">
        <v>19</v>
      </c>
      <c r="B13" s="2"/>
      <c r="C13" s="3"/>
    </row>
    <row r="14">
      <c r="A14" s="6" t="s">
        <v>20</v>
      </c>
      <c r="B14" s="11">
        <f>sla_metrics!B5</f>
        <v>0.2175572519</v>
      </c>
      <c r="C14" s="8" t="s">
        <v>21</v>
      </c>
    </row>
    <row r="15">
      <c r="A15" s="6" t="s">
        <v>22</v>
      </c>
      <c r="B15" s="12">
        <f>sla_metrics!B8</f>
        <v>238</v>
      </c>
      <c r="C15" s="8" t="s">
        <v>23</v>
      </c>
    </row>
    <row r="16">
      <c r="A16" s="6" t="s">
        <v>24</v>
      </c>
      <c r="B16" s="12">
        <f>sla_metrics!B9</f>
        <v>93</v>
      </c>
      <c r="C16" s="8" t="s">
        <v>25</v>
      </c>
    </row>
    <row r="17">
      <c r="A17" s="6" t="s">
        <v>26</v>
      </c>
      <c r="B17" s="12">
        <f>sla_metrics!B7</f>
        <v>268</v>
      </c>
      <c r="C17" s="8" t="s">
        <v>27</v>
      </c>
    </row>
    <row r="18">
      <c r="A18" s="6" t="s">
        <v>17</v>
      </c>
      <c r="B18" s="9">
        <f>reconciliation_summary!B14</f>
        <v>5</v>
      </c>
      <c r="C18" s="8"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3:C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74.0"/>
    <col customWidth="1" min="2" max="2" width="90.0"/>
    <col customWidth="1" min="3" max="8" width="10.0"/>
    <col customWidth="1" min="9" max="26" width="8.71"/>
  </cols>
  <sheetData>
    <row r="1">
      <c r="A1" s="13" t="s">
        <v>28</v>
      </c>
      <c r="B1" s="2"/>
      <c r="C1" s="2"/>
      <c r="D1" s="2"/>
      <c r="E1" s="2"/>
      <c r="F1" s="2"/>
      <c r="G1" s="2"/>
      <c r="H1" s="3"/>
    </row>
    <row r="2">
      <c r="A2" s="4" t="s">
        <v>29</v>
      </c>
    </row>
    <row r="3">
      <c r="A3" s="5" t="s">
        <v>30</v>
      </c>
      <c r="B3" s="5" t="s">
        <v>31</v>
      </c>
      <c r="C3" s="5"/>
      <c r="D3" s="5"/>
      <c r="E3" s="5"/>
      <c r="F3" s="5"/>
      <c r="G3" s="5"/>
      <c r="H3" s="5"/>
    </row>
    <row r="4" ht="45.0" customHeight="1">
      <c r="A4" s="14" t="s">
        <v>32</v>
      </c>
      <c r="B4" s="15" t="s">
        <v>33</v>
      </c>
    </row>
    <row r="5" ht="45.0" customHeight="1">
      <c r="A5" s="14" t="s">
        <v>16</v>
      </c>
      <c r="B5" s="15" t="s">
        <v>34</v>
      </c>
    </row>
    <row r="6" ht="45.0" customHeight="1">
      <c r="A6" s="14" t="s">
        <v>35</v>
      </c>
      <c r="B6" s="15" t="s">
        <v>36</v>
      </c>
    </row>
    <row r="7" ht="45.0" customHeight="1">
      <c r="A7" s="14" t="s">
        <v>37</v>
      </c>
      <c r="B7" s="15" t="s">
        <v>38</v>
      </c>
    </row>
    <row r="8" ht="45.0" customHeight="1">
      <c r="A8" s="14" t="s">
        <v>39</v>
      </c>
      <c r="B8" s="15" t="s">
        <v>40</v>
      </c>
    </row>
    <row r="9" ht="45.0" customHeight="1">
      <c r="A9" s="14" t="s">
        <v>41</v>
      </c>
      <c r="B9" s="1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2.0"/>
    <col customWidth="1" min="3" max="3" width="13.0"/>
    <col customWidth="1" min="4" max="6" width="30.0"/>
    <col customWidth="1" min="7" max="7" width="13.0"/>
    <col customWidth="1" min="8" max="8" width="10.0"/>
    <col customWidth="1" min="9" max="9" width="30.0"/>
    <col customWidth="1" min="10" max="10" width="13.0"/>
    <col customWidth="1" min="11" max="11" width="12.0"/>
    <col customWidth="1" min="12" max="12" width="14.0"/>
    <col customWidth="1" min="13" max="13" width="12.0"/>
    <col customWidth="1" min="14" max="14" width="21.0"/>
    <col customWidth="1" min="15" max="19" width="30.0"/>
    <col customWidth="1" min="20" max="26" width="8.71"/>
  </cols>
  <sheetData>
    <row r="1">
      <c r="A1" s="16" t="s">
        <v>43</v>
      </c>
      <c r="B1" s="16" t="s">
        <v>44</v>
      </c>
      <c r="C1" s="16" t="s">
        <v>45</v>
      </c>
      <c r="D1" s="16" t="s">
        <v>46</v>
      </c>
      <c r="E1" s="16" t="s">
        <v>47</v>
      </c>
      <c r="F1" s="16" t="s">
        <v>48</v>
      </c>
      <c r="G1" s="16" t="s">
        <v>49</v>
      </c>
      <c r="H1" s="16" t="s">
        <v>50</v>
      </c>
      <c r="I1" s="16" t="s">
        <v>51</v>
      </c>
      <c r="J1" s="16" t="s">
        <v>52</v>
      </c>
      <c r="K1" s="16" t="s">
        <v>53</v>
      </c>
      <c r="L1" s="16" t="s">
        <v>54</v>
      </c>
      <c r="M1" s="16" t="s">
        <v>55</v>
      </c>
      <c r="N1" s="16" t="s">
        <v>56</v>
      </c>
      <c r="O1" s="16" t="s">
        <v>57</v>
      </c>
      <c r="P1" s="16" t="s">
        <v>58</v>
      </c>
      <c r="Q1" s="16" t="s">
        <v>59</v>
      </c>
      <c r="R1" s="16" t="s">
        <v>60</v>
      </c>
      <c r="S1" s="16" t="s">
        <v>61</v>
      </c>
    </row>
    <row r="2">
      <c r="A2" s="17" t="s">
        <v>62</v>
      </c>
      <c r="B2" s="18">
        <v>46038.0</v>
      </c>
      <c r="C2" s="17"/>
      <c r="D2" s="19" t="str">
        <f>IFERROR(VLOOKUP(C2,customer_lookup!$A:$E,2,FALSE),"")</f>
        <v/>
      </c>
      <c r="E2" s="19" t="str">
        <f>IFERROR(VLOOKUP(C2,customer_lookup!$A:$E,3,FALSE),"")</f>
        <v/>
      </c>
      <c r="F2" s="20" t="str">
        <f>IFERROR(VLOOKUP(C2,customer_lookup!$A:$E,5,FALSE),"")</f>
        <v/>
      </c>
      <c r="G2" s="17" t="s">
        <v>63</v>
      </c>
      <c r="H2" s="17" t="s">
        <v>64</v>
      </c>
      <c r="I2" s="19" t="str">
        <f>IFERROR(VLOOKUP(H2,product_lookup!$A:$D,2,FALSE),"")</f>
        <v>Cranberry Sparkling Beverage</v>
      </c>
      <c r="J2" s="21">
        <v>60.0</v>
      </c>
      <c r="K2" s="22">
        <v>7.68</v>
      </c>
      <c r="L2" s="23">
        <f t="shared" ref="L2:L1001" si="1">J2*K2</f>
        <v>460.8</v>
      </c>
      <c r="M2" s="17" t="s">
        <v>65</v>
      </c>
      <c r="N2" s="18">
        <v>46046.0</v>
      </c>
      <c r="O2" s="19">
        <f>SUMIF(inventory_snapshot!$B:$B,H2,inventory_snapshot!$E:$E)</f>
        <v>1152</v>
      </c>
      <c r="P2" s="24" t="str">
        <f t="shared" ref="P2:P1001" si="2">IF(O2&lt;J2,"Short","OK")</f>
        <v>OK</v>
      </c>
      <c r="Q2" s="24" t="str">
        <f t="shared" ref="Q2:Q1001" si="3">IF(COUNTIF($A:$A,A2)&gt;1,"Duplicate","OK")</f>
        <v>OK</v>
      </c>
      <c r="R2" s="24" t="str">
        <f t="shared" ref="R2:R1001" si="4">IF(OR(C2="",H2=""),"Missing Key","OK")</f>
        <v>Missing Key</v>
      </c>
      <c r="S2" s="24" t="str">
        <f t="shared" ref="S2:S1001" si="5">IF(L2&gt;=1000,"Large",IF(L2&gt;=500,"Medium","Small"))</f>
        <v>Small</v>
      </c>
    </row>
    <row r="3">
      <c r="A3" s="25" t="s">
        <v>66</v>
      </c>
      <c r="B3" s="26">
        <v>46100.0</v>
      </c>
      <c r="C3" s="25"/>
      <c r="D3" s="27" t="str">
        <f>IFERROR(VLOOKUP(C3,customer_lookup!$A:$E,2,FALSE),"")</f>
        <v/>
      </c>
      <c r="E3" s="27" t="str">
        <f>IFERROR(VLOOKUP(C3,customer_lookup!$A:$E,3,FALSE),"")</f>
        <v/>
      </c>
      <c r="F3" s="28" t="str">
        <f>IFERROR(VLOOKUP(C3,customer_lookup!$A:$E,5,FALSE),"")</f>
        <v/>
      </c>
      <c r="G3" s="25" t="s">
        <v>67</v>
      </c>
      <c r="H3" s="25" t="s">
        <v>68</v>
      </c>
      <c r="I3" s="27" t="str">
        <f>IFERROR(VLOOKUP(H3,product_lookup!$A:$D,2,FALSE),"")</f>
        <v>Sour Apple THC Gummies</v>
      </c>
      <c r="J3" s="29">
        <v>120.0</v>
      </c>
      <c r="K3" s="30">
        <v>11.48</v>
      </c>
      <c r="L3" s="31">
        <f t="shared" si="1"/>
        <v>1377.6</v>
      </c>
      <c r="M3" s="25" t="s">
        <v>65</v>
      </c>
      <c r="N3" s="26">
        <v>46101.0</v>
      </c>
      <c r="O3" s="27">
        <f>SUMIF(inventory_snapshot!$B:$B,H3,inventory_snapshot!$E:$E)</f>
        <v>775</v>
      </c>
      <c r="P3" s="32" t="str">
        <f t="shared" si="2"/>
        <v>OK</v>
      </c>
      <c r="Q3" s="32" t="str">
        <f t="shared" si="3"/>
        <v>OK</v>
      </c>
      <c r="R3" s="32" t="str">
        <f t="shared" si="4"/>
        <v>Missing Key</v>
      </c>
      <c r="S3" s="32" t="str">
        <f t="shared" si="5"/>
        <v>Large</v>
      </c>
    </row>
    <row r="4">
      <c r="A4" s="17" t="s">
        <v>69</v>
      </c>
      <c r="B4" s="18">
        <v>46124.0</v>
      </c>
      <c r="C4" s="17" t="s">
        <v>70</v>
      </c>
      <c r="D4" s="19" t="str">
        <f>IFERROR(VLOOKUP(C4,customer_lookup!$A:$E,2,FALSE),"")</f>
        <v>NV Account 0078</v>
      </c>
      <c r="E4" s="19" t="str">
        <f>IFERROR(VLOOKUP(C4,customer_lookup!$A:$E,3,FALSE),"")</f>
        <v>NV</v>
      </c>
      <c r="F4" s="20" t="str">
        <f>IFERROR(VLOOKUP(C4,customer_lookup!$A:$E,5,FALSE),"")</f>
        <v>Alex</v>
      </c>
      <c r="G4" s="17" t="s">
        <v>63</v>
      </c>
      <c r="H4" s="17" t="s">
        <v>71</v>
      </c>
      <c r="I4" s="19" t="str">
        <f>IFERROR(VLOOKUP(H4,product_lookup!$A:$D,2,FALSE),"")</f>
        <v>Pineapple Sparkling Beverage</v>
      </c>
      <c r="J4" s="21">
        <v>96.0</v>
      </c>
      <c r="K4" s="22">
        <v>7.32</v>
      </c>
      <c r="L4" s="23">
        <f t="shared" si="1"/>
        <v>702.72</v>
      </c>
      <c r="M4" s="17" t="s">
        <v>65</v>
      </c>
      <c r="N4" s="18">
        <v>46132.0</v>
      </c>
      <c r="O4" s="19">
        <f>SUMIF(inventory_snapshot!$B:$B,H4,inventory_snapshot!$E:$E)</f>
        <v>1145</v>
      </c>
      <c r="P4" s="24" t="str">
        <f t="shared" si="2"/>
        <v>OK</v>
      </c>
      <c r="Q4" s="24" t="str">
        <f t="shared" si="3"/>
        <v>OK</v>
      </c>
      <c r="R4" s="24" t="str">
        <f t="shared" si="4"/>
        <v>OK</v>
      </c>
      <c r="S4" s="24" t="str">
        <f t="shared" si="5"/>
        <v>Medium</v>
      </c>
    </row>
    <row r="5">
      <c r="A5" s="25" t="s">
        <v>72</v>
      </c>
      <c r="B5" s="26">
        <v>46033.0</v>
      </c>
      <c r="C5" s="25" t="s">
        <v>73</v>
      </c>
      <c r="D5" s="27" t="str">
        <f>IFERROR(VLOOKUP(C5,customer_lookup!$A:$E,2,FALSE),"")</f>
        <v>CO Account 0064</v>
      </c>
      <c r="E5" s="27" t="str">
        <f>IFERROR(VLOOKUP(C5,customer_lookup!$A:$E,3,FALSE),"")</f>
        <v>CO</v>
      </c>
      <c r="F5" s="28" t="str">
        <f>IFERROR(VLOOKUP(C5,customer_lookup!$A:$E,5,FALSE),"")</f>
        <v>Alex</v>
      </c>
      <c r="G5" s="25" t="s">
        <v>63</v>
      </c>
      <c r="H5" s="25" t="s">
        <v>74</v>
      </c>
      <c r="I5" s="27" t="str">
        <f>IFERROR(VLOOKUP(H5,product_lookup!$A:$D,2,FALSE),"")</f>
        <v>Strawberry 20:1 Gummies</v>
      </c>
      <c r="J5" s="29">
        <v>96.0</v>
      </c>
      <c r="K5" s="30">
        <v>10.44</v>
      </c>
      <c r="L5" s="31">
        <f t="shared" si="1"/>
        <v>1002.24</v>
      </c>
      <c r="M5" s="25" t="s">
        <v>75</v>
      </c>
      <c r="N5" s="26">
        <v>46038.0</v>
      </c>
      <c r="O5" s="27">
        <f>SUMIF(inventory_snapshot!$B:$B,H5,inventory_snapshot!$E:$E)</f>
        <v>2294</v>
      </c>
      <c r="P5" s="32" t="str">
        <f t="shared" si="2"/>
        <v>OK</v>
      </c>
      <c r="Q5" s="32" t="str">
        <f t="shared" si="3"/>
        <v>OK</v>
      </c>
      <c r="R5" s="32" t="str">
        <f t="shared" si="4"/>
        <v>OK</v>
      </c>
      <c r="S5" s="32" t="str">
        <f t="shared" si="5"/>
        <v>Large</v>
      </c>
    </row>
    <row r="6">
      <c r="A6" s="17" t="s">
        <v>76</v>
      </c>
      <c r="B6" s="18">
        <v>46105.0</v>
      </c>
      <c r="C6" s="17" t="s">
        <v>77</v>
      </c>
      <c r="D6" s="19" t="str">
        <f>IFERROR(VLOOKUP(C6,customer_lookup!$A:$E,2,FALSE),"")</f>
        <v>OK Account 0060</v>
      </c>
      <c r="E6" s="19" t="str">
        <f>IFERROR(VLOOKUP(C6,customer_lookup!$A:$E,3,FALSE),"")</f>
        <v>OK</v>
      </c>
      <c r="F6" s="20" t="str">
        <f>IFERROR(VLOOKUP(C6,customer_lookup!$A:$E,5,FALSE),"")</f>
        <v>Alex</v>
      </c>
      <c r="G6" s="17" t="s">
        <v>63</v>
      </c>
      <c r="H6" s="17" t="s">
        <v>78</v>
      </c>
      <c r="I6" s="19" t="str">
        <f>IFERROR(VLOOKUP(H6,product_lookup!$A:$D,2,FALSE),"")</f>
        <v>Grapefruit 1:1:1 Gummies</v>
      </c>
      <c r="J6" s="21">
        <v>18.0</v>
      </c>
      <c r="K6" s="22">
        <v>10.75</v>
      </c>
      <c r="L6" s="23">
        <f t="shared" si="1"/>
        <v>193.5</v>
      </c>
      <c r="M6" s="17" t="s">
        <v>65</v>
      </c>
      <c r="N6" s="18">
        <v>46110.0</v>
      </c>
      <c r="O6" s="19">
        <f>SUMIF(inventory_snapshot!$B:$B,H6,inventory_snapshot!$E:$E)</f>
        <v>1751</v>
      </c>
      <c r="P6" s="24" t="str">
        <f t="shared" si="2"/>
        <v>OK</v>
      </c>
      <c r="Q6" s="24" t="str">
        <f t="shared" si="3"/>
        <v>OK</v>
      </c>
      <c r="R6" s="24" t="str">
        <f t="shared" si="4"/>
        <v>OK</v>
      </c>
      <c r="S6" s="24" t="str">
        <f t="shared" si="5"/>
        <v>Small</v>
      </c>
    </row>
    <row r="7">
      <c r="A7" s="25" t="s">
        <v>79</v>
      </c>
      <c r="B7" s="26">
        <v>46114.0</v>
      </c>
      <c r="C7" s="25" t="s">
        <v>80</v>
      </c>
      <c r="D7" s="27" t="str">
        <f>IFERROR(VLOOKUP(C7,customer_lookup!$A:$E,2,FALSE),"")</f>
        <v>CA Account 0075</v>
      </c>
      <c r="E7" s="27" t="str">
        <f>IFERROR(VLOOKUP(C7,customer_lookup!$A:$E,3,FALSE),"")</f>
        <v>CA</v>
      </c>
      <c r="F7" s="28" t="str">
        <f>IFERROR(VLOOKUP(C7,customer_lookup!$A:$E,5,FALSE),"")</f>
        <v>Alex</v>
      </c>
      <c r="G7" s="25" t="s">
        <v>63</v>
      </c>
      <c r="H7" s="25" t="s">
        <v>81</v>
      </c>
      <c r="I7" s="27" t="str">
        <f>IFERROR(VLOOKUP(H7,product_lookup!$A:$D,2,FALSE),"")</f>
        <v>Lemon Sparkling Beverage</v>
      </c>
      <c r="J7" s="29">
        <v>36.0</v>
      </c>
      <c r="K7" s="30">
        <v>7.08</v>
      </c>
      <c r="L7" s="31">
        <f t="shared" si="1"/>
        <v>254.88</v>
      </c>
      <c r="M7" s="25" t="s">
        <v>65</v>
      </c>
      <c r="N7" s="26">
        <v>46123.0</v>
      </c>
      <c r="O7" s="27">
        <f>SUMIF(inventory_snapshot!$B:$B,H7,inventory_snapshot!$E:$E)</f>
        <v>1360</v>
      </c>
      <c r="P7" s="32" t="str">
        <f t="shared" si="2"/>
        <v>OK</v>
      </c>
      <c r="Q7" s="32" t="str">
        <f t="shared" si="3"/>
        <v>OK</v>
      </c>
      <c r="R7" s="32" t="str">
        <f t="shared" si="4"/>
        <v>OK</v>
      </c>
      <c r="S7" s="32" t="str">
        <f t="shared" si="5"/>
        <v>Small</v>
      </c>
    </row>
    <row r="8">
      <c r="A8" s="17" t="s">
        <v>82</v>
      </c>
      <c r="B8" s="18">
        <v>46079.0</v>
      </c>
      <c r="C8" s="17" t="s">
        <v>83</v>
      </c>
      <c r="D8" s="19" t="str">
        <f>IFERROR(VLOOKUP(C8,customer_lookup!$A:$E,2,FALSE),"")</f>
        <v>CA Account 0063</v>
      </c>
      <c r="E8" s="19" t="str">
        <f>IFERROR(VLOOKUP(C8,customer_lookup!$A:$E,3,FALSE),"")</f>
        <v>CA</v>
      </c>
      <c r="F8" s="20" t="str">
        <f>IFERROR(VLOOKUP(C8,customer_lookup!$A:$E,5,FALSE),"")</f>
        <v>Alex</v>
      </c>
      <c r="G8" s="17" t="s">
        <v>63</v>
      </c>
      <c r="H8" s="17" t="s">
        <v>71</v>
      </c>
      <c r="I8" s="19" t="str">
        <f>IFERROR(VLOOKUP(H8,product_lookup!$A:$D,2,FALSE),"")</f>
        <v>Pineapple Sparkling Beverage</v>
      </c>
      <c r="J8" s="21">
        <v>48.0</v>
      </c>
      <c r="K8" s="22">
        <v>7.4</v>
      </c>
      <c r="L8" s="23">
        <f t="shared" si="1"/>
        <v>355.2</v>
      </c>
      <c r="M8" s="17" t="s">
        <v>65</v>
      </c>
      <c r="N8" s="18">
        <v>46086.0</v>
      </c>
      <c r="O8" s="19">
        <f>SUMIF(inventory_snapshot!$B:$B,H8,inventory_snapshot!$E:$E)</f>
        <v>1145</v>
      </c>
      <c r="P8" s="24" t="str">
        <f t="shared" si="2"/>
        <v>OK</v>
      </c>
      <c r="Q8" s="24" t="str">
        <f t="shared" si="3"/>
        <v>OK</v>
      </c>
      <c r="R8" s="24" t="str">
        <f t="shared" si="4"/>
        <v>OK</v>
      </c>
      <c r="S8" s="24" t="str">
        <f t="shared" si="5"/>
        <v>Small</v>
      </c>
    </row>
    <row r="9">
      <c r="A9" s="25" t="s">
        <v>84</v>
      </c>
      <c r="B9" s="26">
        <v>46140.0</v>
      </c>
      <c r="C9" s="25" t="s">
        <v>80</v>
      </c>
      <c r="D9" s="27" t="str">
        <f>IFERROR(VLOOKUP(C9,customer_lookup!$A:$E,2,FALSE),"")</f>
        <v>CA Account 0075</v>
      </c>
      <c r="E9" s="27" t="str">
        <f>IFERROR(VLOOKUP(C9,customer_lookup!$A:$E,3,FALSE),"")</f>
        <v>CA</v>
      </c>
      <c r="F9" s="28" t="str">
        <f>IFERROR(VLOOKUP(C9,customer_lookup!$A:$E,5,FALSE),"")</f>
        <v>Alex</v>
      </c>
      <c r="G9" s="25" t="s">
        <v>67</v>
      </c>
      <c r="H9" s="25" t="s">
        <v>85</v>
      </c>
      <c r="I9" s="27" t="str">
        <f>IFERROR(VLOOKUP(H9,product_lookup!$A:$D,2,FALSE),"")</f>
        <v>Huckleberry THC Gummies</v>
      </c>
      <c r="J9" s="29">
        <v>36.0</v>
      </c>
      <c r="K9" s="30">
        <v>9.86</v>
      </c>
      <c r="L9" s="31">
        <f t="shared" si="1"/>
        <v>354.96</v>
      </c>
      <c r="M9" s="25" t="s">
        <v>65</v>
      </c>
      <c r="N9" s="26">
        <v>46143.0</v>
      </c>
      <c r="O9" s="27">
        <f>SUMIF(inventory_snapshot!$B:$B,H9,inventory_snapshot!$E:$E)</f>
        <v>1841</v>
      </c>
      <c r="P9" s="32" t="str">
        <f t="shared" si="2"/>
        <v>OK</v>
      </c>
      <c r="Q9" s="32" t="str">
        <f t="shared" si="3"/>
        <v>OK</v>
      </c>
      <c r="R9" s="32" t="str">
        <f t="shared" si="4"/>
        <v>OK</v>
      </c>
      <c r="S9" s="32" t="str">
        <f t="shared" si="5"/>
        <v>Small</v>
      </c>
    </row>
    <row r="10">
      <c r="A10" s="17" t="s">
        <v>86</v>
      </c>
      <c r="B10" s="18">
        <v>46071.0</v>
      </c>
      <c r="C10" s="17" t="s">
        <v>87</v>
      </c>
      <c r="D10" s="19" t="str">
        <f>IFERROR(VLOOKUP(C10,customer_lookup!$A:$E,2,FALSE),"")</f>
        <v>CO Account 0040</v>
      </c>
      <c r="E10" s="19" t="str">
        <f>IFERROR(VLOOKUP(C10,customer_lookup!$A:$E,3,FALSE),"")</f>
        <v>CO</v>
      </c>
      <c r="F10" s="20" t="str">
        <f>IFERROR(VLOOKUP(C10,customer_lookup!$A:$E,5,FALSE),"")</f>
        <v>Alex</v>
      </c>
      <c r="G10" s="17" t="s">
        <v>67</v>
      </c>
      <c r="H10" s="17" t="s">
        <v>81</v>
      </c>
      <c r="I10" s="19" t="str">
        <f>IFERROR(VLOOKUP(H10,product_lookup!$A:$D,2,FALSE),"")</f>
        <v>Lemon Sparkling Beverage</v>
      </c>
      <c r="J10" s="21">
        <v>120.0</v>
      </c>
      <c r="K10" s="22">
        <v>7.67</v>
      </c>
      <c r="L10" s="23">
        <f t="shared" si="1"/>
        <v>920.4</v>
      </c>
      <c r="M10" s="17" t="s">
        <v>65</v>
      </c>
      <c r="N10" s="18">
        <v>46080.0</v>
      </c>
      <c r="O10" s="19">
        <f>SUMIF(inventory_snapshot!$B:$B,H10,inventory_snapshot!$E:$E)</f>
        <v>1360</v>
      </c>
      <c r="P10" s="24" t="str">
        <f t="shared" si="2"/>
        <v>OK</v>
      </c>
      <c r="Q10" s="24" t="str">
        <f t="shared" si="3"/>
        <v>OK</v>
      </c>
      <c r="R10" s="24" t="str">
        <f t="shared" si="4"/>
        <v>OK</v>
      </c>
      <c r="S10" s="24" t="str">
        <f t="shared" si="5"/>
        <v>Medium</v>
      </c>
    </row>
    <row r="11">
      <c r="A11" s="25" t="s">
        <v>88</v>
      </c>
      <c r="B11" s="26">
        <v>46044.0</v>
      </c>
      <c r="C11" s="25" t="s">
        <v>80</v>
      </c>
      <c r="D11" s="27" t="str">
        <f>IFERROR(VLOOKUP(C11,customer_lookup!$A:$E,2,FALSE),"")</f>
        <v>CA Account 0075</v>
      </c>
      <c r="E11" s="27" t="str">
        <f>IFERROR(VLOOKUP(C11,customer_lookup!$A:$E,3,FALSE),"")</f>
        <v>CA</v>
      </c>
      <c r="F11" s="28" t="str">
        <f>IFERROR(VLOOKUP(C11,customer_lookup!$A:$E,5,FALSE),"")</f>
        <v>Alex</v>
      </c>
      <c r="G11" s="25" t="s">
        <v>89</v>
      </c>
      <c r="H11" s="25" t="s">
        <v>90</v>
      </c>
      <c r="I11" s="27" t="str">
        <f>IFERROR(VLOOKUP(H11,product_lookup!$A:$D,2,FALSE),"")</f>
        <v>Blackberry Sparkling Beverage</v>
      </c>
      <c r="J11" s="29">
        <v>72.0</v>
      </c>
      <c r="K11" s="30">
        <v>7.69</v>
      </c>
      <c r="L11" s="31">
        <f t="shared" si="1"/>
        <v>553.68</v>
      </c>
      <c r="M11" s="25" t="s">
        <v>65</v>
      </c>
      <c r="N11" s="26">
        <v>46047.0</v>
      </c>
      <c r="O11" s="27">
        <f>SUMIF(inventory_snapshot!$B:$B,H11,inventory_snapshot!$E:$E)</f>
        <v>1292</v>
      </c>
      <c r="P11" s="32" t="str">
        <f t="shared" si="2"/>
        <v>OK</v>
      </c>
      <c r="Q11" s="32" t="str">
        <f t="shared" si="3"/>
        <v>OK</v>
      </c>
      <c r="R11" s="32" t="str">
        <f t="shared" si="4"/>
        <v>OK</v>
      </c>
      <c r="S11" s="32" t="str">
        <f t="shared" si="5"/>
        <v>Medium</v>
      </c>
    </row>
    <row r="12">
      <c r="A12" s="17" t="s">
        <v>91</v>
      </c>
      <c r="B12" s="18">
        <v>46084.0</v>
      </c>
      <c r="C12" s="17" t="s">
        <v>83</v>
      </c>
      <c r="D12" s="19" t="str">
        <f>IFERROR(VLOOKUP(C12,customer_lookup!$A:$E,2,FALSE),"")</f>
        <v>CA Account 0063</v>
      </c>
      <c r="E12" s="19" t="str">
        <f>IFERROR(VLOOKUP(C12,customer_lookup!$A:$E,3,FALSE),"")</f>
        <v>CA</v>
      </c>
      <c r="F12" s="20" t="str">
        <f>IFERROR(VLOOKUP(C12,customer_lookup!$A:$E,5,FALSE),"")</f>
        <v>Alex</v>
      </c>
      <c r="G12" s="17" t="s">
        <v>67</v>
      </c>
      <c r="H12" s="17" t="s">
        <v>92</v>
      </c>
      <c r="I12" s="19" t="str">
        <f>IFERROR(VLOOKUP(H12,product_lookup!$A:$D,2,FALSE),"")</f>
        <v>Raspberry THC Gummies</v>
      </c>
      <c r="J12" s="21">
        <v>36.0</v>
      </c>
      <c r="K12" s="22">
        <v>10.63</v>
      </c>
      <c r="L12" s="23">
        <f t="shared" si="1"/>
        <v>382.68</v>
      </c>
      <c r="M12" s="17" t="s">
        <v>93</v>
      </c>
      <c r="N12" s="18">
        <v>46089.0</v>
      </c>
      <c r="O12" s="19">
        <f>SUMIF(inventory_snapshot!$B:$B,H12,inventory_snapshot!$E:$E)</f>
        <v>1417</v>
      </c>
      <c r="P12" s="24" t="str">
        <f t="shared" si="2"/>
        <v>OK</v>
      </c>
      <c r="Q12" s="24" t="str">
        <f t="shared" si="3"/>
        <v>OK</v>
      </c>
      <c r="R12" s="24" t="str">
        <f t="shared" si="4"/>
        <v>OK</v>
      </c>
      <c r="S12" s="24" t="str">
        <f t="shared" si="5"/>
        <v>Small</v>
      </c>
    </row>
    <row r="13">
      <c r="A13" s="25" t="s">
        <v>94</v>
      </c>
      <c r="B13" s="26">
        <v>46067.0</v>
      </c>
      <c r="C13" s="25" t="s">
        <v>73</v>
      </c>
      <c r="D13" s="27" t="str">
        <f>IFERROR(VLOOKUP(C13,customer_lookup!$A:$E,2,FALSE),"")</f>
        <v>CO Account 0064</v>
      </c>
      <c r="E13" s="27" t="str">
        <f>IFERROR(VLOOKUP(C13,customer_lookup!$A:$E,3,FALSE),"")</f>
        <v>CO</v>
      </c>
      <c r="F13" s="28" t="str">
        <f>IFERROR(VLOOKUP(C13,customer_lookup!$A:$E,5,FALSE),"")</f>
        <v>Alex</v>
      </c>
      <c r="G13" s="25" t="s">
        <v>63</v>
      </c>
      <c r="H13" s="25" t="s">
        <v>95</v>
      </c>
      <c r="I13" s="27" t="str">
        <f>IFERROR(VLOOKUP(H13,product_lookup!$A:$D,2,FALSE),"")</f>
        <v>Boysenberry 1:1:1 Gummies</v>
      </c>
      <c r="J13" s="29">
        <v>120.0</v>
      </c>
      <c r="K13" s="30">
        <v>10.86</v>
      </c>
      <c r="L13" s="31">
        <f t="shared" si="1"/>
        <v>1303.2</v>
      </c>
      <c r="M13" s="25" t="s">
        <v>65</v>
      </c>
      <c r="N13" s="26">
        <v>46074.0</v>
      </c>
      <c r="O13" s="27">
        <f>SUMIF(inventory_snapshot!$B:$B,H13,inventory_snapshot!$E:$E)</f>
        <v>2007</v>
      </c>
      <c r="P13" s="32" t="str">
        <f t="shared" si="2"/>
        <v>OK</v>
      </c>
      <c r="Q13" s="32" t="str">
        <f t="shared" si="3"/>
        <v>OK</v>
      </c>
      <c r="R13" s="32" t="str">
        <f t="shared" si="4"/>
        <v>OK</v>
      </c>
      <c r="S13" s="32" t="str">
        <f t="shared" si="5"/>
        <v>Large</v>
      </c>
    </row>
    <row r="14">
      <c r="A14" s="17" t="s">
        <v>96</v>
      </c>
      <c r="B14" s="18">
        <v>46125.0</v>
      </c>
      <c r="C14" s="17" t="s">
        <v>77</v>
      </c>
      <c r="D14" s="19" t="str">
        <f>IFERROR(VLOOKUP(C14,customer_lookup!$A:$E,2,FALSE),"")</f>
        <v>OK Account 0060</v>
      </c>
      <c r="E14" s="19" t="str">
        <f>IFERROR(VLOOKUP(C14,customer_lookup!$A:$E,3,FALSE),"")</f>
        <v>OK</v>
      </c>
      <c r="F14" s="20" t="str">
        <f>IFERROR(VLOOKUP(C14,customer_lookup!$A:$E,5,FALSE),"")</f>
        <v>Alex</v>
      </c>
      <c r="G14" s="17" t="s">
        <v>63</v>
      </c>
      <c r="H14" s="17" t="s">
        <v>78</v>
      </c>
      <c r="I14" s="19" t="str">
        <f>IFERROR(VLOOKUP(H14,product_lookup!$A:$D,2,FALSE),"")</f>
        <v>Grapefruit 1:1:1 Gummies</v>
      </c>
      <c r="J14" s="21">
        <v>60.0</v>
      </c>
      <c r="K14" s="22">
        <v>11.31</v>
      </c>
      <c r="L14" s="23">
        <f t="shared" si="1"/>
        <v>678.6</v>
      </c>
      <c r="M14" s="17" t="s">
        <v>97</v>
      </c>
      <c r="N14" s="18">
        <v>46131.0</v>
      </c>
      <c r="O14" s="19">
        <f>SUMIF(inventory_snapshot!$B:$B,H14,inventory_snapshot!$E:$E)</f>
        <v>1751</v>
      </c>
      <c r="P14" s="24" t="str">
        <f t="shared" si="2"/>
        <v>OK</v>
      </c>
      <c r="Q14" s="24" t="str">
        <f t="shared" si="3"/>
        <v>OK</v>
      </c>
      <c r="R14" s="24" t="str">
        <f t="shared" si="4"/>
        <v>OK</v>
      </c>
      <c r="S14" s="24" t="str">
        <f t="shared" si="5"/>
        <v>Medium</v>
      </c>
    </row>
    <row r="15">
      <c r="A15" s="25" t="s">
        <v>98</v>
      </c>
      <c r="B15" s="26">
        <v>46099.0</v>
      </c>
      <c r="C15" s="25" t="s">
        <v>70</v>
      </c>
      <c r="D15" s="27" t="str">
        <f>IFERROR(VLOOKUP(C15,customer_lookup!$A:$E,2,FALSE),"")</f>
        <v>NV Account 0078</v>
      </c>
      <c r="E15" s="27" t="str">
        <f>IFERROR(VLOOKUP(C15,customer_lookup!$A:$E,3,FALSE),"")</f>
        <v>NV</v>
      </c>
      <c r="F15" s="28" t="str">
        <f>IFERROR(VLOOKUP(C15,customer_lookup!$A:$E,5,FALSE),"")</f>
        <v>Alex</v>
      </c>
      <c r="G15" s="25" t="s">
        <v>63</v>
      </c>
      <c r="H15" s="25" t="s">
        <v>71</v>
      </c>
      <c r="I15" s="27" t="str">
        <f>IFERROR(VLOOKUP(H15,product_lookup!$A:$D,2,FALSE),"")</f>
        <v>Pineapple Sparkling Beverage</v>
      </c>
      <c r="J15" s="29">
        <v>48.0</v>
      </c>
      <c r="K15" s="30">
        <v>8.48</v>
      </c>
      <c r="L15" s="31">
        <f t="shared" si="1"/>
        <v>407.04</v>
      </c>
      <c r="M15" s="25" t="s">
        <v>97</v>
      </c>
      <c r="N15" s="26">
        <v>46107.0</v>
      </c>
      <c r="O15" s="27">
        <f>SUMIF(inventory_snapshot!$B:$B,H15,inventory_snapshot!$E:$E)</f>
        <v>1145</v>
      </c>
      <c r="P15" s="32" t="str">
        <f t="shared" si="2"/>
        <v>OK</v>
      </c>
      <c r="Q15" s="32" t="str">
        <f t="shared" si="3"/>
        <v>OK</v>
      </c>
      <c r="R15" s="32" t="str">
        <f t="shared" si="4"/>
        <v>OK</v>
      </c>
      <c r="S15" s="32" t="str">
        <f t="shared" si="5"/>
        <v>Small</v>
      </c>
    </row>
    <row r="16">
      <c r="A16" s="17" t="s">
        <v>99</v>
      </c>
      <c r="B16" s="18">
        <v>46069.0</v>
      </c>
      <c r="C16" s="17" t="s">
        <v>87</v>
      </c>
      <c r="D16" s="19" t="str">
        <f>IFERROR(VLOOKUP(C16,customer_lookup!$A:$E,2,FALSE),"")</f>
        <v>CO Account 0040</v>
      </c>
      <c r="E16" s="19" t="str">
        <f>IFERROR(VLOOKUP(C16,customer_lookup!$A:$E,3,FALSE),"")</f>
        <v>CO</v>
      </c>
      <c r="F16" s="20" t="str">
        <f>IFERROR(VLOOKUP(C16,customer_lookup!$A:$E,5,FALSE),"")</f>
        <v>Alex</v>
      </c>
      <c r="G16" s="17" t="s">
        <v>63</v>
      </c>
      <c r="H16" s="17" t="s">
        <v>74</v>
      </c>
      <c r="I16" s="19" t="str">
        <f>IFERROR(VLOOKUP(H16,product_lookup!$A:$D,2,FALSE),"")</f>
        <v>Strawberry 20:1 Gummies</v>
      </c>
      <c r="J16" s="21">
        <v>30.0</v>
      </c>
      <c r="K16" s="22">
        <v>10.59</v>
      </c>
      <c r="L16" s="23">
        <f t="shared" si="1"/>
        <v>317.7</v>
      </c>
      <c r="M16" s="17" t="s">
        <v>100</v>
      </c>
      <c r="N16" s="18">
        <v>46078.0</v>
      </c>
      <c r="O16" s="19">
        <f>SUMIF(inventory_snapshot!$B:$B,H16,inventory_snapshot!$E:$E)</f>
        <v>2294</v>
      </c>
      <c r="P16" s="24" t="str">
        <f t="shared" si="2"/>
        <v>OK</v>
      </c>
      <c r="Q16" s="24" t="str">
        <f t="shared" si="3"/>
        <v>OK</v>
      </c>
      <c r="R16" s="24" t="str">
        <f t="shared" si="4"/>
        <v>OK</v>
      </c>
      <c r="S16" s="24" t="str">
        <f t="shared" si="5"/>
        <v>Small</v>
      </c>
    </row>
    <row r="17">
      <c r="A17" s="25" t="s">
        <v>101</v>
      </c>
      <c r="B17" s="26">
        <v>46122.0</v>
      </c>
      <c r="C17" s="25" t="s">
        <v>70</v>
      </c>
      <c r="D17" s="27" t="str">
        <f>IFERROR(VLOOKUP(C17,customer_lookup!$A:$E,2,FALSE),"")</f>
        <v>NV Account 0078</v>
      </c>
      <c r="E17" s="27" t="str">
        <f>IFERROR(VLOOKUP(C17,customer_lookup!$A:$E,3,FALSE),"")</f>
        <v>NV</v>
      </c>
      <c r="F17" s="28" t="str">
        <f>IFERROR(VLOOKUP(C17,customer_lookup!$A:$E,5,FALSE),"")</f>
        <v>Alex</v>
      </c>
      <c r="G17" s="25" t="s">
        <v>63</v>
      </c>
      <c r="H17" s="25" t="s">
        <v>102</v>
      </c>
      <c r="I17" s="27" t="str">
        <f>IFERROR(VLOOKUP(H17,product_lookup!$A:$D,2,FALSE),"")</f>
        <v>Pomegranate 1:1 Gummies</v>
      </c>
      <c r="J17" s="29">
        <v>6.0</v>
      </c>
      <c r="K17" s="30">
        <v>11.77</v>
      </c>
      <c r="L17" s="31">
        <f t="shared" si="1"/>
        <v>70.62</v>
      </c>
      <c r="M17" s="25" t="s">
        <v>65</v>
      </c>
      <c r="N17" s="26">
        <v>46131.0</v>
      </c>
      <c r="O17" s="27">
        <f>SUMIF(inventory_snapshot!$B:$B,H17,inventory_snapshot!$E:$E)</f>
        <v>1493</v>
      </c>
      <c r="P17" s="32" t="str">
        <f t="shared" si="2"/>
        <v>OK</v>
      </c>
      <c r="Q17" s="32" t="str">
        <f t="shared" si="3"/>
        <v>OK</v>
      </c>
      <c r="R17" s="32" t="str">
        <f t="shared" si="4"/>
        <v>OK</v>
      </c>
      <c r="S17" s="32" t="str">
        <f t="shared" si="5"/>
        <v>Small</v>
      </c>
    </row>
    <row r="18">
      <c r="A18" s="17" t="s">
        <v>103</v>
      </c>
      <c r="B18" s="18">
        <v>46120.0</v>
      </c>
      <c r="C18" s="17" t="s">
        <v>104</v>
      </c>
      <c r="D18" s="19" t="str">
        <f>IFERROR(VLOOKUP(C18,customer_lookup!$A:$E,2,FALSE),"")</f>
        <v>NM Account 0094</v>
      </c>
      <c r="E18" s="19" t="str">
        <f>IFERROR(VLOOKUP(C18,customer_lookup!$A:$E,3,FALSE),"")</f>
        <v>NM</v>
      </c>
      <c r="F18" s="20" t="str">
        <f>IFERROR(VLOOKUP(C18,customer_lookup!$A:$E,5,FALSE),"")</f>
        <v>Alex</v>
      </c>
      <c r="G18" s="17" t="s">
        <v>63</v>
      </c>
      <c r="H18" s="17" t="s">
        <v>81</v>
      </c>
      <c r="I18" s="19" t="str">
        <f>IFERROR(VLOOKUP(H18,product_lookup!$A:$D,2,FALSE),"")</f>
        <v>Lemon Sparkling Beverage</v>
      </c>
      <c r="J18" s="21">
        <v>24.0</v>
      </c>
      <c r="K18" s="22">
        <v>6.74</v>
      </c>
      <c r="L18" s="23">
        <f t="shared" si="1"/>
        <v>161.76</v>
      </c>
      <c r="M18" s="17" t="s">
        <v>93</v>
      </c>
      <c r="N18" s="18">
        <v>46129.0</v>
      </c>
      <c r="O18" s="19">
        <f>SUMIF(inventory_snapshot!$B:$B,H18,inventory_snapshot!$E:$E)</f>
        <v>1360</v>
      </c>
      <c r="P18" s="24" t="str">
        <f t="shared" si="2"/>
        <v>OK</v>
      </c>
      <c r="Q18" s="24" t="str">
        <f t="shared" si="3"/>
        <v>OK</v>
      </c>
      <c r="R18" s="24" t="str">
        <f t="shared" si="4"/>
        <v>OK</v>
      </c>
      <c r="S18" s="24" t="str">
        <f t="shared" si="5"/>
        <v>Small</v>
      </c>
    </row>
    <row r="19">
      <c r="A19" s="25" t="s">
        <v>105</v>
      </c>
      <c r="B19" s="26">
        <v>46067.0</v>
      </c>
      <c r="C19" s="25" t="s">
        <v>73</v>
      </c>
      <c r="D19" s="27" t="str">
        <f>IFERROR(VLOOKUP(C19,customer_lookup!$A:$E,2,FALSE),"")</f>
        <v>CO Account 0064</v>
      </c>
      <c r="E19" s="27" t="str">
        <f>IFERROR(VLOOKUP(C19,customer_lookup!$A:$E,3,FALSE),"")</f>
        <v>CO</v>
      </c>
      <c r="F19" s="28" t="str">
        <f>IFERROR(VLOOKUP(C19,customer_lookup!$A:$E,5,FALSE),"")</f>
        <v>Alex</v>
      </c>
      <c r="G19" s="25" t="s">
        <v>67</v>
      </c>
      <c r="H19" s="25" t="s">
        <v>106</v>
      </c>
      <c r="I19" s="27" t="str">
        <f>IFERROR(VLOOKUP(H19,product_lookup!$A:$D,2,FALSE),"")</f>
        <v>Sour Cherry THC Gummies</v>
      </c>
      <c r="J19" s="29">
        <v>72.0</v>
      </c>
      <c r="K19" s="30">
        <v>10.48</v>
      </c>
      <c r="L19" s="31">
        <f t="shared" si="1"/>
        <v>754.56</v>
      </c>
      <c r="M19" s="25" t="s">
        <v>65</v>
      </c>
      <c r="N19" s="26">
        <v>46077.0</v>
      </c>
      <c r="O19" s="27">
        <f>SUMIF(inventory_snapshot!$B:$B,H19,inventory_snapshot!$E:$E)</f>
        <v>1313</v>
      </c>
      <c r="P19" s="32" t="str">
        <f t="shared" si="2"/>
        <v>OK</v>
      </c>
      <c r="Q19" s="32" t="str">
        <f t="shared" si="3"/>
        <v>OK</v>
      </c>
      <c r="R19" s="32" t="str">
        <f t="shared" si="4"/>
        <v>OK</v>
      </c>
      <c r="S19" s="32" t="str">
        <f t="shared" si="5"/>
        <v>Medium</v>
      </c>
    </row>
    <row r="20">
      <c r="A20" s="17" t="s">
        <v>107</v>
      </c>
      <c r="B20" s="18">
        <v>46043.0</v>
      </c>
      <c r="C20" s="17" t="s">
        <v>70</v>
      </c>
      <c r="D20" s="19" t="str">
        <f>IFERROR(VLOOKUP(C20,customer_lookup!$A:$E,2,FALSE),"")</f>
        <v>NV Account 0078</v>
      </c>
      <c r="E20" s="19" t="str">
        <f>IFERROR(VLOOKUP(C20,customer_lookup!$A:$E,3,FALSE),"")</f>
        <v>NV</v>
      </c>
      <c r="F20" s="20" t="str">
        <f>IFERROR(VLOOKUP(C20,customer_lookup!$A:$E,5,FALSE),"")</f>
        <v>Alex</v>
      </c>
      <c r="G20" s="17" t="s">
        <v>63</v>
      </c>
      <c r="H20" s="17" t="s">
        <v>108</v>
      </c>
      <c r="I20" s="19" t="str">
        <f>IFERROR(VLOOKUP(H20,product_lookup!$A:$D,2,FALSE),"")</f>
        <v>Sour Tangerine THC Gummies</v>
      </c>
      <c r="J20" s="21">
        <v>6.0</v>
      </c>
      <c r="K20" s="22">
        <v>9.89</v>
      </c>
      <c r="L20" s="23">
        <f t="shared" si="1"/>
        <v>59.34</v>
      </c>
      <c r="M20" s="17" t="s">
        <v>97</v>
      </c>
      <c r="N20" s="18">
        <v>46052.0</v>
      </c>
      <c r="O20" s="19">
        <f>SUMIF(inventory_snapshot!$B:$B,H20,inventory_snapshot!$E:$E)</f>
        <v>1679</v>
      </c>
      <c r="P20" s="24" t="str">
        <f t="shared" si="2"/>
        <v>OK</v>
      </c>
      <c r="Q20" s="24" t="str">
        <f t="shared" si="3"/>
        <v>OK</v>
      </c>
      <c r="R20" s="24" t="str">
        <f t="shared" si="4"/>
        <v>OK</v>
      </c>
      <c r="S20" s="24" t="str">
        <f t="shared" si="5"/>
        <v>Small</v>
      </c>
    </row>
    <row r="21" ht="15.75" customHeight="1">
      <c r="A21" s="25" t="s">
        <v>109</v>
      </c>
      <c r="B21" s="26">
        <v>46070.0</v>
      </c>
      <c r="C21" s="25" t="s">
        <v>104</v>
      </c>
      <c r="D21" s="27" t="str">
        <f>IFERROR(VLOOKUP(C21,customer_lookup!$A:$E,2,FALSE),"")</f>
        <v>NM Account 0094</v>
      </c>
      <c r="E21" s="27" t="str">
        <f>IFERROR(VLOOKUP(C21,customer_lookup!$A:$E,3,FALSE),"")</f>
        <v>NM</v>
      </c>
      <c r="F21" s="28" t="str">
        <f>IFERROR(VLOOKUP(C21,customer_lookup!$A:$E,5,FALSE),"")</f>
        <v>Alex</v>
      </c>
      <c r="G21" s="25" t="s">
        <v>89</v>
      </c>
      <c r="H21" s="25" t="s">
        <v>110</v>
      </c>
      <c r="I21" s="27" t="str">
        <f>IFERROR(VLOOKUP(H21,product_lookup!$A:$D,2,FALSE),"")</f>
        <v>Elderberry 2:1 Gummies</v>
      </c>
      <c r="J21" s="29">
        <v>36.0</v>
      </c>
      <c r="K21" s="30">
        <v>10.3</v>
      </c>
      <c r="L21" s="31">
        <f t="shared" si="1"/>
        <v>370.8</v>
      </c>
      <c r="M21" s="25" t="s">
        <v>75</v>
      </c>
      <c r="N21" s="26">
        <v>46075.0</v>
      </c>
      <c r="O21" s="27">
        <f>SUMIF(inventory_snapshot!$B:$B,H21,inventory_snapshot!$E:$E)</f>
        <v>1633</v>
      </c>
      <c r="P21" s="32" t="str">
        <f t="shared" si="2"/>
        <v>OK</v>
      </c>
      <c r="Q21" s="32" t="str">
        <f t="shared" si="3"/>
        <v>OK</v>
      </c>
      <c r="R21" s="32" t="str">
        <f t="shared" si="4"/>
        <v>OK</v>
      </c>
      <c r="S21" s="32" t="str">
        <f t="shared" si="5"/>
        <v>Small</v>
      </c>
    </row>
    <row r="22" ht="15.75" customHeight="1">
      <c r="A22" s="17" t="s">
        <v>111</v>
      </c>
      <c r="B22" s="18">
        <v>46084.0</v>
      </c>
      <c r="C22" s="17" t="s">
        <v>104</v>
      </c>
      <c r="D22" s="19" t="str">
        <f>IFERROR(VLOOKUP(C22,customer_lookup!$A:$E,2,FALSE),"")</f>
        <v>NM Account 0094</v>
      </c>
      <c r="E22" s="19" t="str">
        <f>IFERROR(VLOOKUP(C22,customer_lookup!$A:$E,3,FALSE),"")</f>
        <v>NM</v>
      </c>
      <c r="F22" s="20" t="str">
        <f>IFERROR(VLOOKUP(C22,customer_lookup!$A:$E,5,FALSE),"")</f>
        <v>Alex</v>
      </c>
      <c r="G22" s="17" t="s">
        <v>63</v>
      </c>
      <c r="H22" s="17" t="s">
        <v>85</v>
      </c>
      <c r="I22" s="19" t="str">
        <f>IFERROR(VLOOKUP(H22,product_lookup!$A:$D,2,FALSE),"")</f>
        <v>Huckleberry THC Gummies</v>
      </c>
      <c r="J22" s="21">
        <v>60.0</v>
      </c>
      <c r="K22" s="22">
        <v>9.46</v>
      </c>
      <c r="L22" s="23">
        <f t="shared" si="1"/>
        <v>567.6</v>
      </c>
      <c r="M22" s="17" t="s">
        <v>75</v>
      </c>
      <c r="N22" s="18">
        <v>46089.0</v>
      </c>
      <c r="O22" s="19">
        <f>SUMIF(inventory_snapshot!$B:$B,H22,inventory_snapshot!$E:$E)</f>
        <v>1841</v>
      </c>
      <c r="P22" s="24" t="str">
        <f t="shared" si="2"/>
        <v>OK</v>
      </c>
      <c r="Q22" s="24" t="str">
        <f t="shared" si="3"/>
        <v>OK</v>
      </c>
      <c r="R22" s="24" t="str">
        <f t="shared" si="4"/>
        <v>OK</v>
      </c>
      <c r="S22" s="24" t="str">
        <f t="shared" si="5"/>
        <v>Medium</v>
      </c>
    </row>
    <row r="23" ht="15.75" customHeight="1">
      <c r="A23" s="25" t="s">
        <v>112</v>
      </c>
      <c r="B23" s="26">
        <v>46053.0</v>
      </c>
      <c r="C23" s="25" t="s">
        <v>83</v>
      </c>
      <c r="D23" s="27" t="str">
        <f>IFERROR(VLOOKUP(C23,customer_lookup!$A:$E,2,FALSE),"")</f>
        <v>CA Account 0063</v>
      </c>
      <c r="E23" s="27" t="str">
        <f>IFERROR(VLOOKUP(C23,customer_lookup!$A:$E,3,FALSE),"")</f>
        <v>CA</v>
      </c>
      <c r="F23" s="28" t="str">
        <f>IFERROR(VLOOKUP(C23,customer_lookup!$A:$E,5,FALSE),"")</f>
        <v>Alex</v>
      </c>
      <c r="G23" s="25" t="s">
        <v>63</v>
      </c>
      <c r="H23" s="25" t="s">
        <v>92</v>
      </c>
      <c r="I23" s="27" t="str">
        <f>IFERROR(VLOOKUP(H23,product_lookup!$A:$D,2,FALSE),"")</f>
        <v>Raspberry THC Gummies</v>
      </c>
      <c r="J23" s="29">
        <v>36.0</v>
      </c>
      <c r="K23" s="30">
        <v>11.49</v>
      </c>
      <c r="L23" s="31">
        <f t="shared" si="1"/>
        <v>413.64</v>
      </c>
      <c r="M23" s="25" t="s">
        <v>100</v>
      </c>
      <c r="N23" s="26">
        <v>46060.0</v>
      </c>
      <c r="O23" s="27">
        <f>SUMIF(inventory_snapshot!$B:$B,H23,inventory_snapshot!$E:$E)</f>
        <v>1417</v>
      </c>
      <c r="P23" s="32" t="str">
        <f t="shared" si="2"/>
        <v>OK</v>
      </c>
      <c r="Q23" s="32" t="str">
        <f t="shared" si="3"/>
        <v>OK</v>
      </c>
      <c r="R23" s="32" t="str">
        <f t="shared" si="4"/>
        <v>OK</v>
      </c>
      <c r="S23" s="32" t="str">
        <f t="shared" si="5"/>
        <v>Small</v>
      </c>
    </row>
    <row r="24" ht="15.75" customHeight="1">
      <c r="A24" s="17" t="s">
        <v>113</v>
      </c>
      <c r="B24" s="18">
        <v>46048.0</v>
      </c>
      <c r="C24" s="17" t="s">
        <v>114</v>
      </c>
      <c r="D24" s="19" t="str">
        <f>IFERROR(VLOOKUP(C24,customer_lookup!$A:$E,2,FALSE),"")</f>
        <v>OK Account 0096</v>
      </c>
      <c r="E24" s="19" t="str">
        <f>IFERROR(VLOOKUP(C24,customer_lookup!$A:$E,3,FALSE),"")</f>
        <v>OK</v>
      </c>
      <c r="F24" s="20" t="str">
        <f>IFERROR(VLOOKUP(C24,customer_lookup!$A:$E,5,FALSE),"")</f>
        <v>Alex</v>
      </c>
      <c r="G24" s="17" t="s">
        <v>63</v>
      </c>
      <c r="H24" s="17" t="s">
        <v>115</v>
      </c>
      <c r="I24" s="19" t="str">
        <f>IFERROR(VLOOKUP(H24,product_lookup!$A:$D,2,FALSE),"")</f>
        <v>Pear 1:1 Gummies</v>
      </c>
      <c r="J24" s="21">
        <v>96.0</v>
      </c>
      <c r="K24" s="22">
        <v>12.08</v>
      </c>
      <c r="L24" s="23">
        <f t="shared" si="1"/>
        <v>1159.68</v>
      </c>
      <c r="M24" s="17" t="s">
        <v>65</v>
      </c>
      <c r="N24" s="18">
        <v>46052.0</v>
      </c>
      <c r="O24" s="19">
        <f>SUMIF(inventory_snapshot!$B:$B,H24,inventory_snapshot!$E:$E)</f>
        <v>981</v>
      </c>
      <c r="P24" s="24" t="str">
        <f t="shared" si="2"/>
        <v>OK</v>
      </c>
      <c r="Q24" s="24" t="str">
        <f t="shared" si="3"/>
        <v>OK</v>
      </c>
      <c r="R24" s="24" t="str">
        <f t="shared" si="4"/>
        <v>OK</v>
      </c>
      <c r="S24" s="24" t="str">
        <f t="shared" si="5"/>
        <v>Large</v>
      </c>
    </row>
    <row r="25" ht="15.75" customHeight="1">
      <c r="A25" s="25" t="s">
        <v>116</v>
      </c>
      <c r="B25" s="26">
        <v>46023.0</v>
      </c>
      <c r="C25" s="25" t="s">
        <v>80</v>
      </c>
      <c r="D25" s="27" t="str">
        <f>IFERROR(VLOOKUP(C25,customer_lookup!$A:$E,2,FALSE),"")</f>
        <v>CA Account 0075</v>
      </c>
      <c r="E25" s="27" t="str">
        <f>IFERROR(VLOOKUP(C25,customer_lookup!$A:$E,3,FALSE),"")</f>
        <v>CA</v>
      </c>
      <c r="F25" s="28" t="str">
        <f>IFERROR(VLOOKUP(C25,customer_lookup!$A:$E,5,FALSE),"")</f>
        <v>Alex</v>
      </c>
      <c r="G25" s="25" t="s">
        <v>63</v>
      </c>
      <c r="H25" s="25" t="s">
        <v>115</v>
      </c>
      <c r="I25" s="27" t="str">
        <f>IFERROR(VLOOKUP(H25,product_lookup!$A:$D,2,FALSE),"")</f>
        <v>Pear 1:1 Gummies</v>
      </c>
      <c r="J25" s="29">
        <v>36.0</v>
      </c>
      <c r="K25" s="30">
        <v>11.17</v>
      </c>
      <c r="L25" s="31">
        <f t="shared" si="1"/>
        <v>402.12</v>
      </c>
      <c r="M25" s="25" t="s">
        <v>93</v>
      </c>
      <c r="N25" s="26">
        <v>46029.0</v>
      </c>
      <c r="O25" s="27">
        <f>SUMIF(inventory_snapshot!$B:$B,H25,inventory_snapshot!$E:$E)</f>
        <v>981</v>
      </c>
      <c r="P25" s="32" t="str">
        <f t="shared" si="2"/>
        <v>OK</v>
      </c>
      <c r="Q25" s="32" t="str">
        <f t="shared" si="3"/>
        <v>OK</v>
      </c>
      <c r="R25" s="32" t="str">
        <f t="shared" si="4"/>
        <v>OK</v>
      </c>
      <c r="S25" s="32" t="str">
        <f t="shared" si="5"/>
        <v>Small</v>
      </c>
    </row>
    <row r="26" ht="15.75" customHeight="1">
      <c r="A26" s="17" t="s">
        <v>117</v>
      </c>
      <c r="B26" s="18">
        <v>46050.0</v>
      </c>
      <c r="C26" s="17" t="s">
        <v>114</v>
      </c>
      <c r="D26" s="19" t="str">
        <f>IFERROR(VLOOKUP(C26,customer_lookup!$A:$E,2,FALSE),"")</f>
        <v>OK Account 0096</v>
      </c>
      <c r="E26" s="19" t="str">
        <f>IFERROR(VLOOKUP(C26,customer_lookup!$A:$E,3,FALSE),"")</f>
        <v>OK</v>
      </c>
      <c r="F26" s="20" t="str">
        <f>IFERROR(VLOOKUP(C26,customer_lookup!$A:$E,5,FALSE),"")</f>
        <v>Alex</v>
      </c>
      <c r="G26" s="17" t="s">
        <v>63</v>
      </c>
      <c r="H26" s="17" t="s">
        <v>68</v>
      </c>
      <c r="I26" s="19" t="str">
        <f>IFERROR(VLOOKUP(H26,product_lookup!$A:$D,2,FALSE),"")</f>
        <v>Sour Apple THC Gummies</v>
      </c>
      <c r="J26" s="21">
        <v>48.0</v>
      </c>
      <c r="K26" s="22">
        <v>11.35</v>
      </c>
      <c r="L26" s="23">
        <f t="shared" si="1"/>
        <v>544.8</v>
      </c>
      <c r="M26" s="17" t="s">
        <v>65</v>
      </c>
      <c r="N26" s="18">
        <v>46053.0</v>
      </c>
      <c r="O26" s="19">
        <f>SUMIF(inventory_snapshot!$B:$B,H26,inventory_snapshot!$E:$E)</f>
        <v>775</v>
      </c>
      <c r="P26" s="24" t="str">
        <f t="shared" si="2"/>
        <v>OK</v>
      </c>
      <c r="Q26" s="24" t="str">
        <f t="shared" si="3"/>
        <v>OK</v>
      </c>
      <c r="R26" s="24" t="str">
        <f t="shared" si="4"/>
        <v>OK</v>
      </c>
      <c r="S26" s="24" t="str">
        <f t="shared" si="5"/>
        <v>Medium</v>
      </c>
    </row>
    <row r="27" ht="15.75" customHeight="1">
      <c r="A27" s="25" t="s">
        <v>118</v>
      </c>
      <c r="B27" s="26">
        <v>46036.0</v>
      </c>
      <c r="C27" s="25" t="s">
        <v>83</v>
      </c>
      <c r="D27" s="27" t="str">
        <f>IFERROR(VLOOKUP(C27,customer_lookup!$A:$E,2,FALSE),"")</f>
        <v>CA Account 0063</v>
      </c>
      <c r="E27" s="27" t="str">
        <f>IFERROR(VLOOKUP(C27,customer_lookup!$A:$E,3,FALSE),"")</f>
        <v>CA</v>
      </c>
      <c r="F27" s="28" t="str">
        <f>IFERROR(VLOOKUP(C27,customer_lookup!$A:$E,5,FALSE),"")</f>
        <v>Alex</v>
      </c>
      <c r="G27" s="25" t="s">
        <v>63</v>
      </c>
      <c r="H27" s="25" t="s">
        <v>81</v>
      </c>
      <c r="I27" s="27" t="str">
        <f>IFERROR(VLOOKUP(H27,product_lookup!$A:$D,2,FALSE),"")</f>
        <v>Lemon Sparkling Beverage</v>
      </c>
      <c r="J27" s="29">
        <v>18.0</v>
      </c>
      <c r="K27" s="30">
        <v>7.46</v>
      </c>
      <c r="L27" s="31">
        <f t="shared" si="1"/>
        <v>134.28</v>
      </c>
      <c r="M27" s="25" t="s">
        <v>100</v>
      </c>
      <c r="N27" s="26">
        <v>46039.0</v>
      </c>
      <c r="O27" s="27">
        <f>SUMIF(inventory_snapshot!$B:$B,H27,inventory_snapshot!$E:$E)</f>
        <v>1360</v>
      </c>
      <c r="P27" s="32" t="str">
        <f t="shared" si="2"/>
        <v>OK</v>
      </c>
      <c r="Q27" s="32" t="str">
        <f t="shared" si="3"/>
        <v>OK</v>
      </c>
      <c r="R27" s="32" t="str">
        <f t="shared" si="4"/>
        <v>OK</v>
      </c>
      <c r="S27" s="32" t="str">
        <f t="shared" si="5"/>
        <v>Small</v>
      </c>
    </row>
    <row r="28" ht="15.75" customHeight="1">
      <c r="A28" s="17" t="s">
        <v>119</v>
      </c>
      <c r="B28" s="18">
        <v>46116.0</v>
      </c>
      <c r="C28" s="17" t="s">
        <v>104</v>
      </c>
      <c r="D28" s="19" t="str">
        <f>IFERROR(VLOOKUP(C28,customer_lookup!$A:$E,2,FALSE),"")</f>
        <v>NM Account 0094</v>
      </c>
      <c r="E28" s="19" t="str">
        <f>IFERROR(VLOOKUP(C28,customer_lookup!$A:$E,3,FALSE),"")</f>
        <v>NM</v>
      </c>
      <c r="F28" s="20" t="str">
        <f>IFERROR(VLOOKUP(C28,customer_lookup!$A:$E,5,FALSE),"")</f>
        <v>Alex</v>
      </c>
      <c r="G28" s="17" t="s">
        <v>63</v>
      </c>
      <c r="H28" s="17" t="s">
        <v>110</v>
      </c>
      <c r="I28" s="19" t="str">
        <f>IFERROR(VLOOKUP(H28,product_lookup!$A:$D,2,FALSE),"")</f>
        <v>Elderberry 2:1 Gummies</v>
      </c>
      <c r="J28" s="21">
        <v>12.0</v>
      </c>
      <c r="K28" s="22">
        <v>11.86</v>
      </c>
      <c r="L28" s="23">
        <f t="shared" si="1"/>
        <v>142.32</v>
      </c>
      <c r="M28" s="17" t="s">
        <v>65</v>
      </c>
      <c r="N28" s="18">
        <v>46126.0</v>
      </c>
      <c r="O28" s="19">
        <f>SUMIF(inventory_snapshot!$B:$B,H28,inventory_snapshot!$E:$E)</f>
        <v>1633</v>
      </c>
      <c r="P28" s="24" t="str">
        <f t="shared" si="2"/>
        <v>OK</v>
      </c>
      <c r="Q28" s="24" t="str">
        <f t="shared" si="3"/>
        <v>OK</v>
      </c>
      <c r="R28" s="24" t="str">
        <f t="shared" si="4"/>
        <v>OK</v>
      </c>
      <c r="S28" s="24" t="str">
        <f t="shared" si="5"/>
        <v>Small</v>
      </c>
    </row>
    <row r="29" ht="15.75" customHeight="1">
      <c r="A29" s="25" t="s">
        <v>120</v>
      </c>
      <c r="B29" s="26">
        <v>46134.0</v>
      </c>
      <c r="C29" s="25" t="s">
        <v>70</v>
      </c>
      <c r="D29" s="27" t="str">
        <f>IFERROR(VLOOKUP(C29,customer_lookup!$A:$E,2,FALSE),"")</f>
        <v>NV Account 0078</v>
      </c>
      <c r="E29" s="27" t="str">
        <f>IFERROR(VLOOKUP(C29,customer_lookup!$A:$E,3,FALSE),"")</f>
        <v>NV</v>
      </c>
      <c r="F29" s="28" t="str">
        <f>IFERROR(VLOOKUP(C29,customer_lookup!$A:$E,5,FALSE),"")</f>
        <v>Alex</v>
      </c>
      <c r="G29" s="25" t="s">
        <v>63</v>
      </c>
      <c r="H29" s="25" t="s">
        <v>90</v>
      </c>
      <c r="I29" s="27" t="str">
        <f>IFERROR(VLOOKUP(H29,product_lookup!$A:$D,2,FALSE),"")</f>
        <v>Blackberry Sparkling Beverage</v>
      </c>
      <c r="J29" s="29">
        <v>60.0</v>
      </c>
      <c r="K29" s="30">
        <v>7.01</v>
      </c>
      <c r="L29" s="31">
        <f t="shared" si="1"/>
        <v>420.6</v>
      </c>
      <c r="M29" s="25" t="s">
        <v>65</v>
      </c>
      <c r="N29" s="26">
        <v>46144.0</v>
      </c>
      <c r="O29" s="27">
        <f>SUMIF(inventory_snapshot!$B:$B,H29,inventory_snapshot!$E:$E)</f>
        <v>1292</v>
      </c>
      <c r="P29" s="32" t="str">
        <f t="shared" si="2"/>
        <v>OK</v>
      </c>
      <c r="Q29" s="32" t="str">
        <f t="shared" si="3"/>
        <v>OK</v>
      </c>
      <c r="R29" s="32" t="str">
        <f t="shared" si="4"/>
        <v>OK</v>
      </c>
      <c r="S29" s="32" t="str">
        <f t="shared" si="5"/>
        <v>Small</v>
      </c>
    </row>
    <row r="30" ht="15.75" customHeight="1">
      <c r="A30" s="17" t="s">
        <v>121</v>
      </c>
      <c r="B30" s="18">
        <v>46128.0</v>
      </c>
      <c r="C30" s="17" t="s">
        <v>70</v>
      </c>
      <c r="D30" s="19" t="str">
        <f>IFERROR(VLOOKUP(C30,customer_lookup!$A:$E,2,FALSE),"")</f>
        <v>NV Account 0078</v>
      </c>
      <c r="E30" s="19" t="str">
        <f>IFERROR(VLOOKUP(C30,customer_lookup!$A:$E,3,FALSE),"")</f>
        <v>NV</v>
      </c>
      <c r="F30" s="20" t="str">
        <f>IFERROR(VLOOKUP(C30,customer_lookup!$A:$E,5,FALSE),"")</f>
        <v>Alex</v>
      </c>
      <c r="G30" s="17" t="s">
        <v>63</v>
      </c>
      <c r="H30" s="17" t="s">
        <v>81</v>
      </c>
      <c r="I30" s="19" t="str">
        <f>IFERROR(VLOOKUP(H30,product_lookup!$A:$D,2,FALSE),"")</f>
        <v>Lemon Sparkling Beverage</v>
      </c>
      <c r="J30" s="21">
        <v>6.0</v>
      </c>
      <c r="K30" s="22">
        <v>7.83</v>
      </c>
      <c r="L30" s="23">
        <f t="shared" si="1"/>
        <v>46.98</v>
      </c>
      <c r="M30" s="17" t="s">
        <v>65</v>
      </c>
      <c r="N30" s="18">
        <v>46137.0</v>
      </c>
      <c r="O30" s="19">
        <f>SUMIF(inventory_snapshot!$B:$B,H30,inventory_snapshot!$E:$E)</f>
        <v>1360</v>
      </c>
      <c r="P30" s="24" t="str">
        <f t="shared" si="2"/>
        <v>OK</v>
      </c>
      <c r="Q30" s="24" t="str">
        <f t="shared" si="3"/>
        <v>OK</v>
      </c>
      <c r="R30" s="24" t="str">
        <f t="shared" si="4"/>
        <v>OK</v>
      </c>
      <c r="S30" s="24" t="str">
        <f t="shared" si="5"/>
        <v>Small</v>
      </c>
    </row>
    <row r="31" ht="15.75" customHeight="1">
      <c r="A31" s="25" t="s">
        <v>122</v>
      </c>
      <c r="B31" s="26">
        <v>46080.0</v>
      </c>
      <c r="C31" s="25" t="s">
        <v>114</v>
      </c>
      <c r="D31" s="27" t="str">
        <f>IFERROR(VLOOKUP(C31,customer_lookup!$A:$E,2,FALSE),"")</f>
        <v>OK Account 0096</v>
      </c>
      <c r="E31" s="27" t="str">
        <f>IFERROR(VLOOKUP(C31,customer_lookup!$A:$E,3,FALSE),"")</f>
        <v>OK</v>
      </c>
      <c r="F31" s="28" t="str">
        <f>IFERROR(VLOOKUP(C31,customer_lookup!$A:$E,5,FALSE),"")</f>
        <v>Alex</v>
      </c>
      <c r="G31" s="25" t="s">
        <v>67</v>
      </c>
      <c r="H31" s="25" t="s">
        <v>123</v>
      </c>
      <c r="I31" s="27" t="str">
        <f>IFERROR(VLOOKUP(H31,product_lookup!$A:$D,2,FALSE),"")</f>
        <v>Peach 2:1 Gummies</v>
      </c>
      <c r="J31" s="29">
        <v>18.0</v>
      </c>
      <c r="K31" s="30">
        <v>9.89</v>
      </c>
      <c r="L31" s="31">
        <f t="shared" si="1"/>
        <v>178.02</v>
      </c>
      <c r="M31" s="25" t="s">
        <v>65</v>
      </c>
      <c r="N31" s="26">
        <v>46089.0</v>
      </c>
      <c r="O31" s="27">
        <f>SUMIF(inventory_snapshot!$B:$B,H31,inventory_snapshot!$E:$E)</f>
        <v>1732</v>
      </c>
      <c r="P31" s="32" t="str">
        <f t="shared" si="2"/>
        <v>OK</v>
      </c>
      <c r="Q31" s="32" t="str">
        <f t="shared" si="3"/>
        <v>OK</v>
      </c>
      <c r="R31" s="32" t="str">
        <f t="shared" si="4"/>
        <v>OK</v>
      </c>
      <c r="S31" s="32" t="str">
        <f t="shared" si="5"/>
        <v>Small</v>
      </c>
    </row>
    <row r="32" ht="15.75" customHeight="1">
      <c r="A32" s="17" t="s">
        <v>124</v>
      </c>
      <c r="B32" s="18">
        <v>46055.0</v>
      </c>
      <c r="C32" s="17" t="s">
        <v>83</v>
      </c>
      <c r="D32" s="19" t="str">
        <f>IFERROR(VLOOKUP(C32,customer_lookup!$A:$E,2,FALSE),"")</f>
        <v>CA Account 0063</v>
      </c>
      <c r="E32" s="19" t="str">
        <f>IFERROR(VLOOKUP(C32,customer_lookup!$A:$E,3,FALSE),"")</f>
        <v>CA</v>
      </c>
      <c r="F32" s="20" t="str">
        <f>IFERROR(VLOOKUP(C32,customer_lookup!$A:$E,5,FALSE),"")</f>
        <v>Alex</v>
      </c>
      <c r="G32" s="17" t="s">
        <v>63</v>
      </c>
      <c r="H32" s="17" t="s">
        <v>102</v>
      </c>
      <c r="I32" s="19" t="str">
        <f>IFERROR(VLOOKUP(H32,product_lookup!$A:$D,2,FALSE),"")</f>
        <v>Pomegranate 1:1 Gummies</v>
      </c>
      <c r="J32" s="21">
        <v>72.0</v>
      </c>
      <c r="K32" s="22">
        <v>11.79</v>
      </c>
      <c r="L32" s="23">
        <f t="shared" si="1"/>
        <v>848.88</v>
      </c>
      <c r="M32" s="17" t="s">
        <v>100</v>
      </c>
      <c r="N32" s="18">
        <v>46058.0</v>
      </c>
      <c r="O32" s="19">
        <f>SUMIF(inventory_snapshot!$B:$B,H32,inventory_snapshot!$E:$E)</f>
        <v>1493</v>
      </c>
      <c r="P32" s="24" t="str">
        <f t="shared" si="2"/>
        <v>OK</v>
      </c>
      <c r="Q32" s="24" t="str">
        <f t="shared" si="3"/>
        <v>OK</v>
      </c>
      <c r="R32" s="24" t="str">
        <f t="shared" si="4"/>
        <v>OK</v>
      </c>
      <c r="S32" s="24" t="str">
        <f t="shared" si="5"/>
        <v>Medium</v>
      </c>
    </row>
    <row r="33" ht="15.75" customHeight="1">
      <c r="A33" s="25" t="s">
        <v>125</v>
      </c>
      <c r="B33" s="26">
        <v>46136.0</v>
      </c>
      <c r="C33" s="25" t="s">
        <v>83</v>
      </c>
      <c r="D33" s="27" t="str">
        <f>IFERROR(VLOOKUP(C33,customer_lookup!$A:$E,2,FALSE),"")</f>
        <v>CA Account 0063</v>
      </c>
      <c r="E33" s="27" t="str">
        <f>IFERROR(VLOOKUP(C33,customer_lookup!$A:$E,3,FALSE),"")</f>
        <v>CA</v>
      </c>
      <c r="F33" s="28" t="str">
        <f>IFERROR(VLOOKUP(C33,customer_lookup!$A:$E,5,FALSE),"")</f>
        <v>Alex</v>
      </c>
      <c r="G33" s="25" t="s">
        <v>63</v>
      </c>
      <c r="H33" s="25" t="s">
        <v>74</v>
      </c>
      <c r="I33" s="27" t="str">
        <f>IFERROR(VLOOKUP(H33,product_lookup!$A:$D,2,FALSE),"")</f>
        <v>Strawberry 20:1 Gummies</v>
      </c>
      <c r="J33" s="29">
        <v>12.0</v>
      </c>
      <c r="K33" s="30">
        <v>11.23</v>
      </c>
      <c r="L33" s="31">
        <f t="shared" si="1"/>
        <v>134.76</v>
      </c>
      <c r="M33" s="25" t="s">
        <v>97</v>
      </c>
      <c r="N33" s="26">
        <v>46139.0</v>
      </c>
      <c r="O33" s="27">
        <f>SUMIF(inventory_snapshot!$B:$B,H33,inventory_snapshot!$E:$E)</f>
        <v>2294</v>
      </c>
      <c r="P33" s="32" t="str">
        <f t="shared" si="2"/>
        <v>OK</v>
      </c>
      <c r="Q33" s="32" t="str">
        <f t="shared" si="3"/>
        <v>OK</v>
      </c>
      <c r="R33" s="32" t="str">
        <f t="shared" si="4"/>
        <v>OK</v>
      </c>
      <c r="S33" s="32" t="str">
        <f t="shared" si="5"/>
        <v>Small</v>
      </c>
    </row>
    <row r="34" ht="15.75" customHeight="1">
      <c r="A34" s="17" t="s">
        <v>126</v>
      </c>
      <c r="B34" s="18">
        <v>46082.0</v>
      </c>
      <c r="C34" s="17" t="s">
        <v>73</v>
      </c>
      <c r="D34" s="19" t="str">
        <f>IFERROR(VLOOKUP(C34,customer_lookup!$A:$E,2,FALSE),"")</f>
        <v>CO Account 0064</v>
      </c>
      <c r="E34" s="19" t="str">
        <f>IFERROR(VLOOKUP(C34,customer_lookup!$A:$E,3,FALSE),"")</f>
        <v>CO</v>
      </c>
      <c r="F34" s="20" t="str">
        <f>IFERROR(VLOOKUP(C34,customer_lookup!$A:$E,5,FALSE),"")</f>
        <v>Alex</v>
      </c>
      <c r="G34" s="17" t="s">
        <v>89</v>
      </c>
      <c r="H34" s="17" t="s">
        <v>68</v>
      </c>
      <c r="I34" s="19" t="str">
        <f>IFERROR(VLOOKUP(H34,product_lookup!$A:$D,2,FALSE),"")</f>
        <v>Sour Apple THC Gummies</v>
      </c>
      <c r="J34" s="21">
        <v>6.0</v>
      </c>
      <c r="K34" s="22">
        <v>10.14</v>
      </c>
      <c r="L34" s="23">
        <f t="shared" si="1"/>
        <v>60.84</v>
      </c>
      <c r="M34" s="17" t="s">
        <v>65</v>
      </c>
      <c r="N34" s="18">
        <v>46083.0</v>
      </c>
      <c r="O34" s="19">
        <f>SUMIF(inventory_snapshot!$B:$B,H34,inventory_snapshot!$E:$E)</f>
        <v>775</v>
      </c>
      <c r="P34" s="24" t="str">
        <f t="shared" si="2"/>
        <v>OK</v>
      </c>
      <c r="Q34" s="24" t="str">
        <f t="shared" si="3"/>
        <v>OK</v>
      </c>
      <c r="R34" s="24" t="str">
        <f t="shared" si="4"/>
        <v>OK</v>
      </c>
      <c r="S34" s="24" t="str">
        <f t="shared" si="5"/>
        <v>Small</v>
      </c>
    </row>
    <row r="35" ht="15.75" customHeight="1">
      <c r="A35" s="25" t="s">
        <v>127</v>
      </c>
      <c r="B35" s="26">
        <v>46121.0</v>
      </c>
      <c r="C35" s="25" t="s">
        <v>114</v>
      </c>
      <c r="D35" s="27" t="str">
        <f>IFERROR(VLOOKUP(C35,customer_lookup!$A:$E,2,FALSE),"")</f>
        <v>OK Account 0096</v>
      </c>
      <c r="E35" s="27" t="str">
        <f>IFERROR(VLOOKUP(C35,customer_lookup!$A:$E,3,FALSE),"")</f>
        <v>OK</v>
      </c>
      <c r="F35" s="28" t="str">
        <f>IFERROR(VLOOKUP(C35,customer_lookup!$A:$E,5,FALSE),"")</f>
        <v>Alex</v>
      </c>
      <c r="G35" s="25" t="s">
        <v>67</v>
      </c>
      <c r="H35" s="25" t="s">
        <v>78</v>
      </c>
      <c r="I35" s="27" t="str">
        <f>IFERROR(VLOOKUP(H35,product_lookup!$A:$D,2,FALSE),"")</f>
        <v>Grapefruit 1:1:1 Gummies</v>
      </c>
      <c r="J35" s="29">
        <v>120.0</v>
      </c>
      <c r="K35" s="30">
        <v>10.91</v>
      </c>
      <c r="L35" s="31">
        <f t="shared" si="1"/>
        <v>1309.2</v>
      </c>
      <c r="M35" s="25" t="s">
        <v>65</v>
      </c>
      <c r="N35" s="26">
        <v>46128.0</v>
      </c>
      <c r="O35" s="27">
        <f>SUMIF(inventory_snapshot!$B:$B,H35,inventory_snapshot!$E:$E)</f>
        <v>1751</v>
      </c>
      <c r="P35" s="32" t="str">
        <f t="shared" si="2"/>
        <v>OK</v>
      </c>
      <c r="Q35" s="32" t="str">
        <f t="shared" si="3"/>
        <v>OK</v>
      </c>
      <c r="R35" s="32" t="str">
        <f t="shared" si="4"/>
        <v>OK</v>
      </c>
      <c r="S35" s="32" t="str">
        <f t="shared" si="5"/>
        <v>Large</v>
      </c>
    </row>
    <row r="36" ht="15.75" customHeight="1">
      <c r="A36" s="17" t="s">
        <v>128</v>
      </c>
      <c r="B36" s="18">
        <v>46116.0</v>
      </c>
      <c r="C36" s="17" t="s">
        <v>77</v>
      </c>
      <c r="D36" s="19" t="str">
        <f>IFERROR(VLOOKUP(C36,customer_lookup!$A:$E,2,FALSE),"")</f>
        <v>OK Account 0060</v>
      </c>
      <c r="E36" s="19" t="str">
        <f>IFERROR(VLOOKUP(C36,customer_lookup!$A:$E,3,FALSE),"")</f>
        <v>OK</v>
      </c>
      <c r="F36" s="20" t="str">
        <f>IFERROR(VLOOKUP(C36,customer_lookup!$A:$E,5,FALSE),"")</f>
        <v>Alex</v>
      </c>
      <c r="G36" s="17" t="s">
        <v>63</v>
      </c>
      <c r="H36" s="17" t="s">
        <v>123</v>
      </c>
      <c r="I36" s="19" t="str">
        <f>IFERROR(VLOOKUP(H36,product_lookup!$A:$D,2,FALSE),"")</f>
        <v>Peach 2:1 Gummies</v>
      </c>
      <c r="J36" s="21">
        <v>120.0</v>
      </c>
      <c r="K36" s="22">
        <v>10.94</v>
      </c>
      <c r="L36" s="23">
        <f t="shared" si="1"/>
        <v>1312.8</v>
      </c>
      <c r="M36" s="17" t="s">
        <v>97</v>
      </c>
      <c r="N36" s="18">
        <v>46119.0</v>
      </c>
      <c r="O36" s="19">
        <f>SUMIF(inventory_snapshot!$B:$B,H36,inventory_snapshot!$E:$E)</f>
        <v>1732</v>
      </c>
      <c r="P36" s="24" t="str">
        <f t="shared" si="2"/>
        <v>OK</v>
      </c>
      <c r="Q36" s="24" t="str">
        <f t="shared" si="3"/>
        <v>OK</v>
      </c>
      <c r="R36" s="24" t="str">
        <f t="shared" si="4"/>
        <v>OK</v>
      </c>
      <c r="S36" s="24" t="str">
        <f t="shared" si="5"/>
        <v>Large</v>
      </c>
    </row>
    <row r="37" ht="15.75" customHeight="1">
      <c r="A37" s="25" t="s">
        <v>129</v>
      </c>
      <c r="B37" s="26">
        <v>46092.0</v>
      </c>
      <c r="C37" s="25" t="s">
        <v>104</v>
      </c>
      <c r="D37" s="27" t="str">
        <f>IFERROR(VLOOKUP(C37,customer_lookup!$A:$E,2,FALSE),"")</f>
        <v>NM Account 0094</v>
      </c>
      <c r="E37" s="27" t="str">
        <f>IFERROR(VLOOKUP(C37,customer_lookup!$A:$E,3,FALSE),"")</f>
        <v>NM</v>
      </c>
      <c r="F37" s="28" t="str">
        <f>IFERROR(VLOOKUP(C37,customer_lookup!$A:$E,5,FALSE),"")</f>
        <v>Alex</v>
      </c>
      <c r="G37" s="25" t="s">
        <v>89</v>
      </c>
      <c r="H37" s="25" t="s">
        <v>110</v>
      </c>
      <c r="I37" s="27" t="str">
        <f>IFERROR(VLOOKUP(H37,product_lookup!$A:$D,2,FALSE),"")</f>
        <v>Elderberry 2:1 Gummies</v>
      </c>
      <c r="J37" s="29">
        <v>24.0</v>
      </c>
      <c r="K37" s="30">
        <v>9.91</v>
      </c>
      <c r="L37" s="31">
        <f t="shared" si="1"/>
        <v>237.84</v>
      </c>
      <c r="M37" s="25" t="s">
        <v>93</v>
      </c>
      <c r="N37" s="26">
        <v>46100.0</v>
      </c>
      <c r="O37" s="27">
        <f>SUMIF(inventory_snapshot!$B:$B,H37,inventory_snapshot!$E:$E)</f>
        <v>1633</v>
      </c>
      <c r="P37" s="32" t="str">
        <f t="shared" si="2"/>
        <v>OK</v>
      </c>
      <c r="Q37" s="32" t="str">
        <f t="shared" si="3"/>
        <v>OK</v>
      </c>
      <c r="R37" s="32" t="str">
        <f t="shared" si="4"/>
        <v>OK</v>
      </c>
      <c r="S37" s="32" t="str">
        <f t="shared" si="5"/>
        <v>Small</v>
      </c>
    </row>
    <row r="38" ht="15.75" customHeight="1">
      <c r="A38" s="17" t="s">
        <v>130</v>
      </c>
      <c r="B38" s="18">
        <v>46091.0</v>
      </c>
      <c r="C38" s="17" t="s">
        <v>87</v>
      </c>
      <c r="D38" s="19" t="str">
        <f>IFERROR(VLOOKUP(C38,customer_lookup!$A:$E,2,FALSE),"")</f>
        <v>CO Account 0040</v>
      </c>
      <c r="E38" s="19" t="str">
        <f>IFERROR(VLOOKUP(C38,customer_lookup!$A:$E,3,FALSE),"")</f>
        <v>CO</v>
      </c>
      <c r="F38" s="20" t="str">
        <f>IFERROR(VLOOKUP(C38,customer_lookup!$A:$E,5,FALSE),"")</f>
        <v>Alex</v>
      </c>
      <c r="G38" s="17" t="s">
        <v>63</v>
      </c>
      <c r="H38" s="17" t="s">
        <v>90</v>
      </c>
      <c r="I38" s="19" t="str">
        <f>IFERROR(VLOOKUP(H38,product_lookup!$A:$D,2,FALSE),"")</f>
        <v>Blackberry Sparkling Beverage</v>
      </c>
      <c r="J38" s="21">
        <v>60.0</v>
      </c>
      <c r="K38" s="22">
        <v>8.2</v>
      </c>
      <c r="L38" s="23">
        <f t="shared" si="1"/>
        <v>492</v>
      </c>
      <c r="M38" s="17" t="s">
        <v>100</v>
      </c>
      <c r="N38" s="18">
        <v>46097.0</v>
      </c>
      <c r="O38" s="19">
        <f>SUMIF(inventory_snapshot!$B:$B,H38,inventory_snapshot!$E:$E)</f>
        <v>1292</v>
      </c>
      <c r="P38" s="24" t="str">
        <f t="shared" si="2"/>
        <v>OK</v>
      </c>
      <c r="Q38" s="24" t="str">
        <f t="shared" si="3"/>
        <v>OK</v>
      </c>
      <c r="R38" s="24" t="str">
        <f t="shared" si="4"/>
        <v>OK</v>
      </c>
      <c r="S38" s="24" t="str">
        <f t="shared" si="5"/>
        <v>Small</v>
      </c>
    </row>
    <row r="39" ht="15.75" customHeight="1">
      <c r="A39" s="25" t="s">
        <v>131</v>
      </c>
      <c r="B39" s="26">
        <v>46040.0</v>
      </c>
      <c r="C39" s="25" t="s">
        <v>80</v>
      </c>
      <c r="D39" s="27" t="str">
        <f>IFERROR(VLOOKUP(C39,customer_lookup!$A:$E,2,FALSE),"")</f>
        <v>CA Account 0075</v>
      </c>
      <c r="E39" s="27" t="str">
        <f>IFERROR(VLOOKUP(C39,customer_lookup!$A:$E,3,FALSE),"")</f>
        <v>CA</v>
      </c>
      <c r="F39" s="28" t="str">
        <f>IFERROR(VLOOKUP(C39,customer_lookup!$A:$E,5,FALSE),"")</f>
        <v>Alex</v>
      </c>
      <c r="G39" s="25" t="s">
        <v>63</v>
      </c>
      <c r="H39" s="25" t="s">
        <v>95</v>
      </c>
      <c r="I39" s="27" t="str">
        <f>IFERROR(VLOOKUP(H39,product_lookup!$A:$D,2,FALSE),"")</f>
        <v>Boysenberry 1:1:1 Gummies</v>
      </c>
      <c r="J39" s="29">
        <v>12.0</v>
      </c>
      <c r="K39" s="30">
        <v>11.11</v>
      </c>
      <c r="L39" s="31">
        <f t="shared" si="1"/>
        <v>133.32</v>
      </c>
      <c r="M39" s="25" t="s">
        <v>65</v>
      </c>
      <c r="N39" s="26">
        <v>46043.0</v>
      </c>
      <c r="O39" s="27">
        <f>SUMIF(inventory_snapshot!$B:$B,H39,inventory_snapshot!$E:$E)</f>
        <v>2007</v>
      </c>
      <c r="P39" s="32" t="str">
        <f t="shared" si="2"/>
        <v>OK</v>
      </c>
      <c r="Q39" s="32" t="str">
        <f t="shared" si="3"/>
        <v>OK</v>
      </c>
      <c r="R39" s="32" t="str">
        <f t="shared" si="4"/>
        <v>OK</v>
      </c>
      <c r="S39" s="32" t="str">
        <f t="shared" si="5"/>
        <v>Small</v>
      </c>
    </row>
    <row r="40" ht="15.75" customHeight="1">
      <c r="A40" s="17" t="s">
        <v>132</v>
      </c>
      <c r="B40" s="18">
        <v>46052.0</v>
      </c>
      <c r="C40" s="17" t="s">
        <v>114</v>
      </c>
      <c r="D40" s="19" t="str">
        <f>IFERROR(VLOOKUP(C40,customer_lookup!$A:$E,2,FALSE),"")</f>
        <v>OK Account 0096</v>
      </c>
      <c r="E40" s="19" t="str">
        <f>IFERROR(VLOOKUP(C40,customer_lookup!$A:$E,3,FALSE),"")</f>
        <v>OK</v>
      </c>
      <c r="F40" s="20" t="str">
        <f>IFERROR(VLOOKUP(C40,customer_lookup!$A:$E,5,FALSE),"")</f>
        <v>Alex</v>
      </c>
      <c r="G40" s="17" t="s">
        <v>67</v>
      </c>
      <c r="H40" s="17" t="s">
        <v>92</v>
      </c>
      <c r="I40" s="19" t="str">
        <f>IFERROR(VLOOKUP(H40,product_lookup!$A:$D,2,FALSE),"")</f>
        <v>Raspberry THC Gummies</v>
      </c>
      <c r="J40" s="21">
        <v>12.0</v>
      </c>
      <c r="K40" s="22">
        <v>10.13</v>
      </c>
      <c r="L40" s="23">
        <f t="shared" si="1"/>
        <v>121.56</v>
      </c>
      <c r="M40" s="17" t="s">
        <v>100</v>
      </c>
      <c r="N40" s="18">
        <v>46056.0</v>
      </c>
      <c r="O40" s="19">
        <f>SUMIF(inventory_snapshot!$B:$B,H40,inventory_snapshot!$E:$E)</f>
        <v>1417</v>
      </c>
      <c r="P40" s="24" t="str">
        <f t="shared" si="2"/>
        <v>OK</v>
      </c>
      <c r="Q40" s="24" t="str">
        <f t="shared" si="3"/>
        <v>OK</v>
      </c>
      <c r="R40" s="24" t="str">
        <f t="shared" si="4"/>
        <v>OK</v>
      </c>
      <c r="S40" s="24" t="str">
        <f t="shared" si="5"/>
        <v>Small</v>
      </c>
    </row>
    <row r="41" ht="15.75" customHeight="1">
      <c r="A41" s="25" t="s">
        <v>133</v>
      </c>
      <c r="B41" s="26">
        <v>46099.0</v>
      </c>
      <c r="C41" s="25" t="s">
        <v>73</v>
      </c>
      <c r="D41" s="27" t="str">
        <f>IFERROR(VLOOKUP(C41,customer_lookup!$A:$E,2,FALSE),"")</f>
        <v>CO Account 0064</v>
      </c>
      <c r="E41" s="27" t="str">
        <f>IFERROR(VLOOKUP(C41,customer_lookup!$A:$E,3,FALSE),"")</f>
        <v>CO</v>
      </c>
      <c r="F41" s="28" t="str">
        <f>IFERROR(VLOOKUP(C41,customer_lookup!$A:$E,5,FALSE),"")</f>
        <v>Alex</v>
      </c>
      <c r="G41" s="25" t="s">
        <v>89</v>
      </c>
      <c r="H41" s="25" t="s">
        <v>110</v>
      </c>
      <c r="I41" s="27" t="str">
        <f>IFERROR(VLOOKUP(H41,product_lookup!$A:$D,2,FALSE),"")</f>
        <v>Elderberry 2:1 Gummies</v>
      </c>
      <c r="J41" s="29">
        <v>36.0</v>
      </c>
      <c r="K41" s="30">
        <v>11.18</v>
      </c>
      <c r="L41" s="31">
        <f t="shared" si="1"/>
        <v>402.48</v>
      </c>
      <c r="M41" s="25" t="s">
        <v>65</v>
      </c>
      <c r="N41" s="26">
        <v>46107.0</v>
      </c>
      <c r="O41" s="27">
        <f>SUMIF(inventory_snapshot!$B:$B,H41,inventory_snapshot!$E:$E)</f>
        <v>1633</v>
      </c>
      <c r="P41" s="32" t="str">
        <f t="shared" si="2"/>
        <v>OK</v>
      </c>
      <c r="Q41" s="32" t="str">
        <f t="shared" si="3"/>
        <v>OK</v>
      </c>
      <c r="R41" s="32" t="str">
        <f t="shared" si="4"/>
        <v>OK</v>
      </c>
      <c r="S41" s="32" t="str">
        <f t="shared" si="5"/>
        <v>Small</v>
      </c>
    </row>
    <row r="42" ht="15.75" customHeight="1">
      <c r="A42" s="17" t="s">
        <v>134</v>
      </c>
      <c r="B42" s="18">
        <v>46072.0</v>
      </c>
      <c r="C42" s="17" t="s">
        <v>73</v>
      </c>
      <c r="D42" s="19" t="str">
        <f>IFERROR(VLOOKUP(C42,customer_lookup!$A:$E,2,FALSE),"")</f>
        <v>CO Account 0064</v>
      </c>
      <c r="E42" s="19" t="str">
        <f>IFERROR(VLOOKUP(C42,customer_lookup!$A:$E,3,FALSE),"")</f>
        <v>CO</v>
      </c>
      <c r="F42" s="20" t="str">
        <f>IFERROR(VLOOKUP(C42,customer_lookup!$A:$E,5,FALSE),"")</f>
        <v>Alex</v>
      </c>
      <c r="G42" s="17" t="s">
        <v>67</v>
      </c>
      <c r="H42" s="17" t="s">
        <v>78</v>
      </c>
      <c r="I42" s="19" t="str">
        <f>IFERROR(VLOOKUP(H42,product_lookup!$A:$D,2,FALSE),"")</f>
        <v>Grapefruit 1:1:1 Gummies</v>
      </c>
      <c r="J42" s="21">
        <v>30.0</v>
      </c>
      <c r="K42" s="22">
        <v>10.66</v>
      </c>
      <c r="L42" s="23">
        <f t="shared" si="1"/>
        <v>319.8</v>
      </c>
      <c r="M42" s="17" t="s">
        <v>65</v>
      </c>
      <c r="N42" s="18">
        <v>46080.0</v>
      </c>
      <c r="O42" s="19">
        <f>SUMIF(inventory_snapshot!$B:$B,H42,inventory_snapshot!$E:$E)</f>
        <v>1751</v>
      </c>
      <c r="P42" s="24" t="str">
        <f t="shared" si="2"/>
        <v>OK</v>
      </c>
      <c r="Q42" s="24" t="str">
        <f t="shared" si="3"/>
        <v>OK</v>
      </c>
      <c r="R42" s="24" t="str">
        <f t="shared" si="4"/>
        <v>OK</v>
      </c>
      <c r="S42" s="24" t="str">
        <f t="shared" si="5"/>
        <v>Small</v>
      </c>
    </row>
    <row r="43" ht="15.75" customHeight="1">
      <c r="A43" s="25" t="s">
        <v>135</v>
      </c>
      <c r="B43" s="26">
        <v>46073.0</v>
      </c>
      <c r="C43" s="25" t="s">
        <v>83</v>
      </c>
      <c r="D43" s="27" t="str">
        <f>IFERROR(VLOOKUP(C43,customer_lookup!$A:$E,2,FALSE),"")</f>
        <v>CA Account 0063</v>
      </c>
      <c r="E43" s="27" t="str">
        <f>IFERROR(VLOOKUP(C43,customer_lookup!$A:$E,3,FALSE),"")</f>
        <v>CA</v>
      </c>
      <c r="F43" s="28" t="str">
        <f>IFERROR(VLOOKUP(C43,customer_lookup!$A:$E,5,FALSE),"")</f>
        <v>Alex</v>
      </c>
      <c r="G43" s="25" t="s">
        <v>63</v>
      </c>
      <c r="H43" s="25" t="s">
        <v>78</v>
      </c>
      <c r="I43" s="27" t="str">
        <f>IFERROR(VLOOKUP(H43,product_lookup!$A:$D,2,FALSE),"")</f>
        <v>Grapefruit 1:1:1 Gummies</v>
      </c>
      <c r="J43" s="29">
        <v>60.0</v>
      </c>
      <c r="K43" s="30">
        <v>10.8</v>
      </c>
      <c r="L43" s="31">
        <f t="shared" si="1"/>
        <v>648</v>
      </c>
      <c r="M43" s="25" t="s">
        <v>65</v>
      </c>
      <c r="N43" s="26">
        <v>46080.0</v>
      </c>
      <c r="O43" s="27">
        <f>SUMIF(inventory_snapshot!$B:$B,H43,inventory_snapshot!$E:$E)</f>
        <v>1751</v>
      </c>
      <c r="P43" s="32" t="str">
        <f t="shared" si="2"/>
        <v>OK</v>
      </c>
      <c r="Q43" s="32" t="str">
        <f t="shared" si="3"/>
        <v>OK</v>
      </c>
      <c r="R43" s="32" t="str">
        <f t="shared" si="4"/>
        <v>OK</v>
      </c>
      <c r="S43" s="32" t="str">
        <f t="shared" si="5"/>
        <v>Medium</v>
      </c>
    </row>
    <row r="44" ht="15.75" customHeight="1">
      <c r="A44" s="17" t="s">
        <v>136</v>
      </c>
      <c r="B44" s="18">
        <v>46110.0</v>
      </c>
      <c r="C44" s="17" t="s">
        <v>83</v>
      </c>
      <c r="D44" s="19" t="str">
        <f>IFERROR(VLOOKUP(C44,customer_lookup!$A:$E,2,FALSE),"")</f>
        <v>CA Account 0063</v>
      </c>
      <c r="E44" s="19" t="str">
        <f>IFERROR(VLOOKUP(C44,customer_lookup!$A:$E,3,FALSE),"")</f>
        <v>CA</v>
      </c>
      <c r="F44" s="20" t="str">
        <f>IFERROR(VLOOKUP(C44,customer_lookup!$A:$E,5,FALSE),"")</f>
        <v>Alex</v>
      </c>
      <c r="G44" s="17" t="s">
        <v>89</v>
      </c>
      <c r="H44" s="17" t="s">
        <v>81</v>
      </c>
      <c r="I44" s="19" t="str">
        <f>IFERROR(VLOOKUP(H44,product_lookup!$A:$D,2,FALSE),"")</f>
        <v>Lemon Sparkling Beverage</v>
      </c>
      <c r="J44" s="21">
        <v>72.0</v>
      </c>
      <c r="K44" s="22">
        <v>7.35</v>
      </c>
      <c r="L44" s="23">
        <f t="shared" si="1"/>
        <v>529.2</v>
      </c>
      <c r="M44" s="17" t="s">
        <v>137</v>
      </c>
      <c r="N44" s="18">
        <v>46119.0</v>
      </c>
      <c r="O44" s="19">
        <f>SUMIF(inventory_snapshot!$B:$B,H44,inventory_snapshot!$E:$E)</f>
        <v>1360</v>
      </c>
      <c r="P44" s="24" t="str">
        <f t="shared" si="2"/>
        <v>OK</v>
      </c>
      <c r="Q44" s="24" t="str">
        <f t="shared" si="3"/>
        <v>OK</v>
      </c>
      <c r="R44" s="24" t="str">
        <f t="shared" si="4"/>
        <v>OK</v>
      </c>
      <c r="S44" s="24" t="str">
        <f t="shared" si="5"/>
        <v>Medium</v>
      </c>
    </row>
    <row r="45" ht="15.75" customHeight="1">
      <c r="A45" s="25" t="s">
        <v>138</v>
      </c>
      <c r="B45" s="26">
        <v>46066.0</v>
      </c>
      <c r="C45" s="25" t="s">
        <v>87</v>
      </c>
      <c r="D45" s="27" t="str">
        <f>IFERROR(VLOOKUP(C45,customer_lookup!$A:$E,2,FALSE),"")</f>
        <v>CO Account 0040</v>
      </c>
      <c r="E45" s="27" t="str">
        <f>IFERROR(VLOOKUP(C45,customer_lookup!$A:$E,3,FALSE),"")</f>
        <v>CO</v>
      </c>
      <c r="F45" s="28" t="str">
        <f>IFERROR(VLOOKUP(C45,customer_lookup!$A:$E,5,FALSE),"")</f>
        <v>Alex</v>
      </c>
      <c r="G45" s="25" t="s">
        <v>63</v>
      </c>
      <c r="H45" s="25" t="s">
        <v>78</v>
      </c>
      <c r="I45" s="27" t="str">
        <f>IFERROR(VLOOKUP(H45,product_lookup!$A:$D,2,FALSE),"")</f>
        <v>Grapefruit 1:1:1 Gummies</v>
      </c>
      <c r="J45" s="29">
        <v>18.0</v>
      </c>
      <c r="K45" s="30">
        <v>9.72</v>
      </c>
      <c r="L45" s="31">
        <f t="shared" si="1"/>
        <v>174.96</v>
      </c>
      <c r="M45" s="25" t="s">
        <v>97</v>
      </c>
      <c r="N45" s="26">
        <v>46073.0</v>
      </c>
      <c r="O45" s="27">
        <f>SUMIF(inventory_snapshot!$B:$B,H45,inventory_snapshot!$E:$E)</f>
        <v>1751</v>
      </c>
      <c r="P45" s="32" t="str">
        <f t="shared" si="2"/>
        <v>OK</v>
      </c>
      <c r="Q45" s="32" t="str">
        <f t="shared" si="3"/>
        <v>OK</v>
      </c>
      <c r="R45" s="32" t="str">
        <f t="shared" si="4"/>
        <v>OK</v>
      </c>
      <c r="S45" s="32" t="str">
        <f t="shared" si="5"/>
        <v>Small</v>
      </c>
    </row>
    <row r="46" ht="15.75" customHeight="1">
      <c r="A46" s="17" t="s">
        <v>139</v>
      </c>
      <c r="B46" s="18">
        <v>46111.0</v>
      </c>
      <c r="C46" s="17" t="s">
        <v>83</v>
      </c>
      <c r="D46" s="19" t="str">
        <f>IFERROR(VLOOKUP(C46,customer_lookup!$A:$E,2,FALSE),"")</f>
        <v>CA Account 0063</v>
      </c>
      <c r="E46" s="19" t="str">
        <f>IFERROR(VLOOKUP(C46,customer_lookup!$A:$E,3,FALSE),"")</f>
        <v>CA</v>
      </c>
      <c r="F46" s="20" t="str">
        <f>IFERROR(VLOOKUP(C46,customer_lookup!$A:$E,5,FALSE),"")</f>
        <v>Alex</v>
      </c>
      <c r="G46" s="17" t="s">
        <v>89</v>
      </c>
      <c r="H46" s="17" t="s">
        <v>78</v>
      </c>
      <c r="I46" s="19" t="str">
        <f>IFERROR(VLOOKUP(H46,product_lookup!$A:$D,2,FALSE),"")</f>
        <v>Grapefruit 1:1:1 Gummies</v>
      </c>
      <c r="J46" s="21">
        <v>120.0</v>
      </c>
      <c r="K46" s="22">
        <v>10.12</v>
      </c>
      <c r="L46" s="23">
        <f t="shared" si="1"/>
        <v>1214.4</v>
      </c>
      <c r="M46" s="17" t="s">
        <v>65</v>
      </c>
      <c r="N46" s="18">
        <v>46117.0</v>
      </c>
      <c r="O46" s="19">
        <f>SUMIF(inventory_snapshot!$B:$B,H46,inventory_snapshot!$E:$E)</f>
        <v>1751</v>
      </c>
      <c r="P46" s="24" t="str">
        <f t="shared" si="2"/>
        <v>OK</v>
      </c>
      <c r="Q46" s="24" t="str">
        <f t="shared" si="3"/>
        <v>OK</v>
      </c>
      <c r="R46" s="24" t="str">
        <f t="shared" si="4"/>
        <v>OK</v>
      </c>
      <c r="S46" s="24" t="str">
        <f t="shared" si="5"/>
        <v>Large</v>
      </c>
    </row>
    <row r="47" ht="15.75" customHeight="1">
      <c r="A47" s="25" t="s">
        <v>140</v>
      </c>
      <c r="B47" s="26">
        <v>46085.0</v>
      </c>
      <c r="C47" s="25" t="s">
        <v>87</v>
      </c>
      <c r="D47" s="27" t="str">
        <f>IFERROR(VLOOKUP(C47,customer_lookup!$A:$E,2,FALSE),"")</f>
        <v>CO Account 0040</v>
      </c>
      <c r="E47" s="27" t="str">
        <f>IFERROR(VLOOKUP(C47,customer_lookup!$A:$E,3,FALSE),"")</f>
        <v>CO</v>
      </c>
      <c r="F47" s="28" t="str">
        <f>IFERROR(VLOOKUP(C47,customer_lookup!$A:$E,5,FALSE),"")</f>
        <v>Alex</v>
      </c>
      <c r="G47" s="25" t="s">
        <v>89</v>
      </c>
      <c r="H47" s="25" t="s">
        <v>74</v>
      </c>
      <c r="I47" s="27" t="str">
        <f>IFERROR(VLOOKUP(H47,product_lookup!$A:$D,2,FALSE),"")</f>
        <v>Strawberry 20:1 Gummies</v>
      </c>
      <c r="J47" s="29">
        <v>72.0</v>
      </c>
      <c r="K47" s="30">
        <v>12.63</v>
      </c>
      <c r="L47" s="31">
        <f t="shared" si="1"/>
        <v>909.36</v>
      </c>
      <c r="M47" s="25" t="s">
        <v>75</v>
      </c>
      <c r="N47" s="26">
        <v>46089.0</v>
      </c>
      <c r="O47" s="27">
        <f>SUMIF(inventory_snapshot!$B:$B,H47,inventory_snapshot!$E:$E)</f>
        <v>2294</v>
      </c>
      <c r="P47" s="32" t="str">
        <f t="shared" si="2"/>
        <v>OK</v>
      </c>
      <c r="Q47" s="32" t="str">
        <f t="shared" si="3"/>
        <v>OK</v>
      </c>
      <c r="R47" s="32" t="str">
        <f t="shared" si="4"/>
        <v>OK</v>
      </c>
      <c r="S47" s="32" t="str">
        <f t="shared" si="5"/>
        <v>Medium</v>
      </c>
    </row>
    <row r="48" ht="15.75" customHeight="1">
      <c r="A48" s="17" t="s">
        <v>141</v>
      </c>
      <c r="B48" s="18">
        <v>46135.0</v>
      </c>
      <c r="C48" s="17" t="s">
        <v>73</v>
      </c>
      <c r="D48" s="19" t="str">
        <f>IFERROR(VLOOKUP(C48,customer_lookup!$A:$E,2,FALSE),"")</f>
        <v>CO Account 0064</v>
      </c>
      <c r="E48" s="19" t="str">
        <f>IFERROR(VLOOKUP(C48,customer_lookup!$A:$E,3,FALSE),"")</f>
        <v>CO</v>
      </c>
      <c r="F48" s="20" t="str">
        <f>IFERROR(VLOOKUP(C48,customer_lookup!$A:$E,5,FALSE),"")</f>
        <v>Alex</v>
      </c>
      <c r="G48" s="17" t="s">
        <v>63</v>
      </c>
      <c r="H48" s="17" t="s">
        <v>92</v>
      </c>
      <c r="I48" s="19" t="str">
        <f>IFERROR(VLOOKUP(H48,product_lookup!$A:$D,2,FALSE),"")</f>
        <v>Raspberry THC Gummies</v>
      </c>
      <c r="J48" s="21">
        <v>60.0</v>
      </c>
      <c r="K48" s="22">
        <v>9.73</v>
      </c>
      <c r="L48" s="23">
        <f t="shared" si="1"/>
        <v>583.8</v>
      </c>
      <c r="M48" s="17" t="s">
        <v>97</v>
      </c>
      <c r="N48" s="18">
        <v>46138.0</v>
      </c>
      <c r="O48" s="19">
        <f>SUMIF(inventory_snapshot!$B:$B,H48,inventory_snapshot!$E:$E)</f>
        <v>1417</v>
      </c>
      <c r="P48" s="24" t="str">
        <f t="shared" si="2"/>
        <v>OK</v>
      </c>
      <c r="Q48" s="24" t="str">
        <f t="shared" si="3"/>
        <v>OK</v>
      </c>
      <c r="R48" s="24" t="str">
        <f t="shared" si="4"/>
        <v>OK</v>
      </c>
      <c r="S48" s="24" t="str">
        <f t="shared" si="5"/>
        <v>Medium</v>
      </c>
    </row>
    <row r="49" ht="15.75" customHeight="1">
      <c r="A49" s="25" t="s">
        <v>142</v>
      </c>
      <c r="B49" s="26">
        <v>46121.0</v>
      </c>
      <c r="C49" s="25" t="s">
        <v>80</v>
      </c>
      <c r="D49" s="27" t="str">
        <f>IFERROR(VLOOKUP(C49,customer_lookup!$A:$E,2,FALSE),"")</f>
        <v>CA Account 0075</v>
      </c>
      <c r="E49" s="27" t="str">
        <f>IFERROR(VLOOKUP(C49,customer_lookup!$A:$E,3,FALSE),"")</f>
        <v>CA</v>
      </c>
      <c r="F49" s="28" t="str">
        <f>IFERROR(VLOOKUP(C49,customer_lookup!$A:$E,5,FALSE),"")</f>
        <v>Alex</v>
      </c>
      <c r="G49" s="25" t="s">
        <v>63</v>
      </c>
      <c r="H49" s="25" t="s">
        <v>110</v>
      </c>
      <c r="I49" s="27" t="str">
        <f>IFERROR(VLOOKUP(H49,product_lookup!$A:$D,2,FALSE),"")</f>
        <v>Elderberry 2:1 Gummies</v>
      </c>
      <c r="J49" s="29">
        <v>72.0</v>
      </c>
      <c r="K49" s="30">
        <v>9.94</v>
      </c>
      <c r="L49" s="31">
        <f t="shared" si="1"/>
        <v>715.68</v>
      </c>
      <c r="M49" s="25" t="s">
        <v>65</v>
      </c>
      <c r="N49" s="26">
        <v>46124.0</v>
      </c>
      <c r="O49" s="27">
        <f>SUMIF(inventory_snapshot!$B:$B,H49,inventory_snapshot!$E:$E)</f>
        <v>1633</v>
      </c>
      <c r="P49" s="32" t="str">
        <f t="shared" si="2"/>
        <v>OK</v>
      </c>
      <c r="Q49" s="32" t="str">
        <f t="shared" si="3"/>
        <v>OK</v>
      </c>
      <c r="R49" s="32" t="str">
        <f t="shared" si="4"/>
        <v>OK</v>
      </c>
      <c r="S49" s="32" t="str">
        <f t="shared" si="5"/>
        <v>Medium</v>
      </c>
    </row>
    <row r="50" ht="15.75" customHeight="1">
      <c r="A50" s="17" t="s">
        <v>143</v>
      </c>
      <c r="B50" s="18">
        <v>46042.0</v>
      </c>
      <c r="C50" s="17" t="s">
        <v>73</v>
      </c>
      <c r="D50" s="19" t="str">
        <f>IFERROR(VLOOKUP(C50,customer_lookup!$A:$E,2,FALSE),"")</f>
        <v>CO Account 0064</v>
      </c>
      <c r="E50" s="19" t="str">
        <f>IFERROR(VLOOKUP(C50,customer_lookup!$A:$E,3,FALSE),"")</f>
        <v>CO</v>
      </c>
      <c r="F50" s="20" t="str">
        <f>IFERROR(VLOOKUP(C50,customer_lookup!$A:$E,5,FALSE),"")</f>
        <v>Alex</v>
      </c>
      <c r="G50" s="17" t="s">
        <v>63</v>
      </c>
      <c r="H50" s="17" t="s">
        <v>78</v>
      </c>
      <c r="I50" s="19" t="str">
        <f>IFERROR(VLOOKUP(H50,product_lookup!$A:$D,2,FALSE),"")</f>
        <v>Grapefruit 1:1:1 Gummies</v>
      </c>
      <c r="J50" s="21">
        <v>120.0</v>
      </c>
      <c r="K50" s="22">
        <v>10.46</v>
      </c>
      <c r="L50" s="23">
        <f t="shared" si="1"/>
        <v>1255.2</v>
      </c>
      <c r="M50" s="17" t="s">
        <v>65</v>
      </c>
      <c r="N50" s="18">
        <v>46046.0</v>
      </c>
      <c r="O50" s="19">
        <f>SUMIF(inventory_snapshot!$B:$B,H50,inventory_snapshot!$E:$E)</f>
        <v>1751</v>
      </c>
      <c r="P50" s="24" t="str">
        <f t="shared" si="2"/>
        <v>OK</v>
      </c>
      <c r="Q50" s="24" t="str">
        <f t="shared" si="3"/>
        <v>OK</v>
      </c>
      <c r="R50" s="24" t="str">
        <f t="shared" si="4"/>
        <v>OK</v>
      </c>
      <c r="S50" s="24" t="str">
        <f t="shared" si="5"/>
        <v>Large</v>
      </c>
    </row>
    <row r="51" ht="15.75" customHeight="1">
      <c r="A51" s="25" t="s">
        <v>144</v>
      </c>
      <c r="B51" s="26">
        <v>46104.0</v>
      </c>
      <c r="C51" s="25" t="s">
        <v>80</v>
      </c>
      <c r="D51" s="27" t="str">
        <f>IFERROR(VLOOKUP(C51,customer_lookup!$A:$E,2,FALSE),"")</f>
        <v>CA Account 0075</v>
      </c>
      <c r="E51" s="27" t="str">
        <f>IFERROR(VLOOKUP(C51,customer_lookup!$A:$E,3,FALSE),"")</f>
        <v>CA</v>
      </c>
      <c r="F51" s="28" t="str">
        <f>IFERROR(VLOOKUP(C51,customer_lookup!$A:$E,5,FALSE),"")</f>
        <v>Alex</v>
      </c>
      <c r="G51" s="25" t="s">
        <v>89</v>
      </c>
      <c r="H51" s="25" t="s">
        <v>90</v>
      </c>
      <c r="I51" s="27" t="str">
        <f>IFERROR(VLOOKUP(H51,product_lookup!$A:$D,2,FALSE),"")</f>
        <v>Blackberry Sparkling Beverage</v>
      </c>
      <c r="J51" s="29">
        <v>48.0</v>
      </c>
      <c r="K51" s="30">
        <v>8.24</v>
      </c>
      <c r="L51" s="31">
        <f t="shared" si="1"/>
        <v>395.52</v>
      </c>
      <c r="M51" s="25" t="s">
        <v>65</v>
      </c>
      <c r="N51" s="26">
        <v>46111.0</v>
      </c>
      <c r="O51" s="27">
        <f>SUMIF(inventory_snapshot!$B:$B,H51,inventory_snapshot!$E:$E)</f>
        <v>1292</v>
      </c>
      <c r="P51" s="32" t="str">
        <f t="shared" si="2"/>
        <v>OK</v>
      </c>
      <c r="Q51" s="32" t="str">
        <f t="shared" si="3"/>
        <v>OK</v>
      </c>
      <c r="R51" s="32" t="str">
        <f t="shared" si="4"/>
        <v>OK</v>
      </c>
      <c r="S51" s="32" t="str">
        <f t="shared" si="5"/>
        <v>Small</v>
      </c>
    </row>
    <row r="52" ht="15.75" customHeight="1">
      <c r="A52" s="17" t="s">
        <v>145</v>
      </c>
      <c r="B52" s="18">
        <v>46034.0</v>
      </c>
      <c r="C52" s="17" t="s">
        <v>104</v>
      </c>
      <c r="D52" s="19" t="str">
        <f>IFERROR(VLOOKUP(C52,customer_lookup!$A:$E,2,FALSE),"")</f>
        <v>NM Account 0094</v>
      </c>
      <c r="E52" s="19" t="str">
        <f>IFERROR(VLOOKUP(C52,customer_lookup!$A:$E,3,FALSE),"")</f>
        <v>NM</v>
      </c>
      <c r="F52" s="20" t="str">
        <f>IFERROR(VLOOKUP(C52,customer_lookup!$A:$E,5,FALSE),"")</f>
        <v>Alex</v>
      </c>
      <c r="G52" s="17" t="s">
        <v>63</v>
      </c>
      <c r="H52" s="17" t="s">
        <v>92</v>
      </c>
      <c r="I52" s="19" t="str">
        <f>IFERROR(VLOOKUP(H52,product_lookup!$A:$D,2,FALSE),"")</f>
        <v>Raspberry THC Gummies</v>
      </c>
      <c r="J52" s="21">
        <v>96.0</v>
      </c>
      <c r="K52" s="22">
        <v>10.85</v>
      </c>
      <c r="L52" s="23">
        <f t="shared" si="1"/>
        <v>1041.6</v>
      </c>
      <c r="M52" s="17" t="s">
        <v>75</v>
      </c>
      <c r="N52" s="18">
        <v>46041.0</v>
      </c>
      <c r="O52" s="19">
        <f>SUMIF(inventory_snapshot!$B:$B,H52,inventory_snapshot!$E:$E)</f>
        <v>1417</v>
      </c>
      <c r="P52" s="24" t="str">
        <f t="shared" si="2"/>
        <v>OK</v>
      </c>
      <c r="Q52" s="24" t="str">
        <f t="shared" si="3"/>
        <v>OK</v>
      </c>
      <c r="R52" s="24" t="str">
        <f t="shared" si="4"/>
        <v>OK</v>
      </c>
      <c r="S52" s="24" t="str">
        <f t="shared" si="5"/>
        <v>Large</v>
      </c>
    </row>
    <row r="53" ht="15.75" customHeight="1">
      <c r="A53" s="25" t="s">
        <v>146</v>
      </c>
      <c r="B53" s="26">
        <v>46105.0</v>
      </c>
      <c r="C53" s="25" t="s">
        <v>87</v>
      </c>
      <c r="D53" s="27" t="str">
        <f>IFERROR(VLOOKUP(C53,customer_lookup!$A:$E,2,FALSE),"")</f>
        <v>CO Account 0040</v>
      </c>
      <c r="E53" s="27" t="str">
        <f>IFERROR(VLOOKUP(C53,customer_lookup!$A:$E,3,FALSE),"")</f>
        <v>CO</v>
      </c>
      <c r="F53" s="28" t="str">
        <f>IFERROR(VLOOKUP(C53,customer_lookup!$A:$E,5,FALSE),"")</f>
        <v>Alex</v>
      </c>
      <c r="G53" s="25" t="s">
        <v>89</v>
      </c>
      <c r="H53" s="25" t="s">
        <v>81</v>
      </c>
      <c r="I53" s="27" t="str">
        <f>IFERROR(VLOOKUP(H53,product_lookup!$A:$D,2,FALSE),"")</f>
        <v>Lemon Sparkling Beverage</v>
      </c>
      <c r="J53" s="29">
        <v>12.0</v>
      </c>
      <c r="K53" s="30">
        <v>7.46</v>
      </c>
      <c r="L53" s="31">
        <f t="shared" si="1"/>
        <v>89.52</v>
      </c>
      <c r="M53" s="25" t="s">
        <v>100</v>
      </c>
      <c r="N53" s="26">
        <v>46114.0</v>
      </c>
      <c r="O53" s="27">
        <f>SUMIF(inventory_snapshot!$B:$B,H53,inventory_snapshot!$E:$E)</f>
        <v>1360</v>
      </c>
      <c r="P53" s="32" t="str">
        <f t="shared" si="2"/>
        <v>OK</v>
      </c>
      <c r="Q53" s="32" t="str">
        <f t="shared" si="3"/>
        <v>OK</v>
      </c>
      <c r="R53" s="32" t="str">
        <f t="shared" si="4"/>
        <v>OK</v>
      </c>
      <c r="S53" s="32" t="str">
        <f t="shared" si="5"/>
        <v>Small</v>
      </c>
    </row>
    <row r="54" ht="15.75" customHeight="1">
      <c r="A54" s="17" t="s">
        <v>147</v>
      </c>
      <c r="B54" s="18">
        <v>46065.0</v>
      </c>
      <c r="C54" s="17" t="s">
        <v>80</v>
      </c>
      <c r="D54" s="19" t="str">
        <f>IFERROR(VLOOKUP(C54,customer_lookup!$A:$E,2,FALSE),"")</f>
        <v>CA Account 0075</v>
      </c>
      <c r="E54" s="19" t="str">
        <f>IFERROR(VLOOKUP(C54,customer_lookup!$A:$E,3,FALSE),"")</f>
        <v>CA</v>
      </c>
      <c r="F54" s="20" t="str">
        <f>IFERROR(VLOOKUP(C54,customer_lookup!$A:$E,5,FALSE),"")</f>
        <v>Alex</v>
      </c>
      <c r="G54" s="17" t="s">
        <v>63</v>
      </c>
      <c r="H54" s="17" t="s">
        <v>64</v>
      </c>
      <c r="I54" s="19" t="str">
        <f>IFERROR(VLOOKUP(H54,product_lookup!$A:$D,2,FALSE),"")</f>
        <v>Cranberry Sparkling Beverage</v>
      </c>
      <c r="J54" s="21">
        <v>96.0</v>
      </c>
      <c r="K54" s="22">
        <v>7.44</v>
      </c>
      <c r="L54" s="23">
        <f t="shared" si="1"/>
        <v>714.24</v>
      </c>
      <c r="M54" s="17" t="s">
        <v>97</v>
      </c>
      <c r="N54" s="18">
        <v>46066.0</v>
      </c>
      <c r="O54" s="19">
        <f>SUMIF(inventory_snapshot!$B:$B,H54,inventory_snapshot!$E:$E)</f>
        <v>1152</v>
      </c>
      <c r="P54" s="24" t="str">
        <f t="shared" si="2"/>
        <v>OK</v>
      </c>
      <c r="Q54" s="24" t="str">
        <f t="shared" si="3"/>
        <v>OK</v>
      </c>
      <c r="R54" s="24" t="str">
        <f t="shared" si="4"/>
        <v>OK</v>
      </c>
      <c r="S54" s="24" t="str">
        <f t="shared" si="5"/>
        <v>Medium</v>
      </c>
    </row>
    <row r="55" ht="15.75" customHeight="1">
      <c r="A55" s="25" t="s">
        <v>148</v>
      </c>
      <c r="B55" s="26">
        <v>46049.0</v>
      </c>
      <c r="C55" s="25" t="s">
        <v>80</v>
      </c>
      <c r="D55" s="27" t="str">
        <f>IFERROR(VLOOKUP(C55,customer_lookup!$A:$E,2,FALSE),"")</f>
        <v>CA Account 0075</v>
      </c>
      <c r="E55" s="27" t="str">
        <f>IFERROR(VLOOKUP(C55,customer_lookup!$A:$E,3,FALSE),"")</f>
        <v>CA</v>
      </c>
      <c r="F55" s="28" t="str">
        <f>IFERROR(VLOOKUP(C55,customer_lookup!$A:$E,5,FALSE),"")</f>
        <v>Alex</v>
      </c>
      <c r="G55" s="25" t="s">
        <v>63</v>
      </c>
      <c r="H55" s="25" t="s">
        <v>90</v>
      </c>
      <c r="I55" s="27" t="str">
        <f>IFERROR(VLOOKUP(H55,product_lookup!$A:$D,2,FALSE),"")</f>
        <v>Blackberry Sparkling Beverage</v>
      </c>
      <c r="J55" s="29">
        <v>12.0</v>
      </c>
      <c r="K55" s="30">
        <v>7.93</v>
      </c>
      <c r="L55" s="31">
        <f t="shared" si="1"/>
        <v>95.16</v>
      </c>
      <c r="M55" s="25" t="s">
        <v>65</v>
      </c>
      <c r="N55" s="26">
        <v>46052.0</v>
      </c>
      <c r="O55" s="27">
        <f>SUMIF(inventory_snapshot!$B:$B,H55,inventory_snapshot!$E:$E)</f>
        <v>1292</v>
      </c>
      <c r="P55" s="32" t="str">
        <f t="shared" si="2"/>
        <v>OK</v>
      </c>
      <c r="Q55" s="32" t="str">
        <f t="shared" si="3"/>
        <v>OK</v>
      </c>
      <c r="R55" s="32" t="str">
        <f t="shared" si="4"/>
        <v>OK</v>
      </c>
      <c r="S55" s="32" t="str">
        <f t="shared" si="5"/>
        <v>Small</v>
      </c>
    </row>
    <row r="56" ht="15.75" customHeight="1">
      <c r="A56" s="17" t="s">
        <v>149</v>
      </c>
      <c r="B56" s="18">
        <v>46057.0</v>
      </c>
      <c r="C56" s="17" t="s">
        <v>73</v>
      </c>
      <c r="D56" s="19" t="str">
        <f>IFERROR(VLOOKUP(C56,customer_lookup!$A:$E,2,FALSE),"")</f>
        <v>CO Account 0064</v>
      </c>
      <c r="E56" s="19" t="str">
        <f>IFERROR(VLOOKUP(C56,customer_lookup!$A:$E,3,FALSE),"")</f>
        <v>CO</v>
      </c>
      <c r="F56" s="20" t="str">
        <f>IFERROR(VLOOKUP(C56,customer_lookup!$A:$E,5,FALSE),"")</f>
        <v>Alex</v>
      </c>
      <c r="G56" s="17" t="s">
        <v>63</v>
      </c>
      <c r="H56" s="17" t="s">
        <v>90</v>
      </c>
      <c r="I56" s="19" t="str">
        <f>IFERROR(VLOOKUP(H56,product_lookup!$A:$D,2,FALSE),"")</f>
        <v>Blackberry Sparkling Beverage</v>
      </c>
      <c r="J56" s="21">
        <v>96.0</v>
      </c>
      <c r="K56" s="22">
        <v>7.35</v>
      </c>
      <c r="L56" s="23">
        <f t="shared" si="1"/>
        <v>705.6</v>
      </c>
      <c r="M56" s="17" t="s">
        <v>93</v>
      </c>
      <c r="N56" s="18">
        <v>46058.0</v>
      </c>
      <c r="O56" s="19">
        <f>SUMIF(inventory_snapshot!$B:$B,H56,inventory_snapshot!$E:$E)</f>
        <v>1292</v>
      </c>
      <c r="P56" s="24" t="str">
        <f t="shared" si="2"/>
        <v>OK</v>
      </c>
      <c r="Q56" s="24" t="str">
        <f t="shared" si="3"/>
        <v>OK</v>
      </c>
      <c r="R56" s="24" t="str">
        <f t="shared" si="4"/>
        <v>OK</v>
      </c>
      <c r="S56" s="24" t="str">
        <f t="shared" si="5"/>
        <v>Medium</v>
      </c>
    </row>
    <row r="57" ht="15.75" customHeight="1">
      <c r="A57" s="25" t="s">
        <v>150</v>
      </c>
      <c r="B57" s="26">
        <v>46075.0</v>
      </c>
      <c r="C57" s="25" t="s">
        <v>77</v>
      </c>
      <c r="D57" s="27" t="str">
        <f>IFERROR(VLOOKUP(C57,customer_lookup!$A:$E,2,FALSE),"")</f>
        <v>OK Account 0060</v>
      </c>
      <c r="E57" s="27" t="str">
        <f>IFERROR(VLOOKUP(C57,customer_lookup!$A:$E,3,FALSE),"")</f>
        <v>OK</v>
      </c>
      <c r="F57" s="28" t="str">
        <f>IFERROR(VLOOKUP(C57,customer_lookup!$A:$E,5,FALSE),"")</f>
        <v>Alex</v>
      </c>
      <c r="G57" s="25" t="s">
        <v>63</v>
      </c>
      <c r="H57" s="25" t="s">
        <v>108</v>
      </c>
      <c r="I57" s="27" t="str">
        <f>IFERROR(VLOOKUP(H57,product_lookup!$A:$D,2,FALSE),"")</f>
        <v>Sour Tangerine THC Gummies</v>
      </c>
      <c r="J57" s="29">
        <v>36.0</v>
      </c>
      <c r="K57" s="30">
        <v>11.4</v>
      </c>
      <c r="L57" s="31">
        <f t="shared" si="1"/>
        <v>410.4</v>
      </c>
      <c r="M57" s="25" t="s">
        <v>97</v>
      </c>
      <c r="N57" s="26">
        <v>46078.0</v>
      </c>
      <c r="O57" s="27">
        <f>SUMIF(inventory_snapshot!$B:$B,H57,inventory_snapshot!$E:$E)</f>
        <v>1679</v>
      </c>
      <c r="P57" s="32" t="str">
        <f t="shared" si="2"/>
        <v>OK</v>
      </c>
      <c r="Q57" s="32" t="str">
        <f t="shared" si="3"/>
        <v>OK</v>
      </c>
      <c r="R57" s="32" t="str">
        <f t="shared" si="4"/>
        <v>OK</v>
      </c>
      <c r="S57" s="32" t="str">
        <f t="shared" si="5"/>
        <v>Small</v>
      </c>
    </row>
    <row r="58" ht="15.75" customHeight="1">
      <c r="A58" s="17" t="s">
        <v>151</v>
      </c>
      <c r="B58" s="18">
        <v>46026.0</v>
      </c>
      <c r="C58" s="17" t="s">
        <v>70</v>
      </c>
      <c r="D58" s="19" t="str">
        <f>IFERROR(VLOOKUP(C58,customer_lookup!$A:$E,2,FALSE),"")</f>
        <v>NV Account 0078</v>
      </c>
      <c r="E58" s="19" t="str">
        <f>IFERROR(VLOOKUP(C58,customer_lookup!$A:$E,3,FALSE),"")</f>
        <v>NV</v>
      </c>
      <c r="F58" s="20" t="str">
        <f>IFERROR(VLOOKUP(C58,customer_lookup!$A:$E,5,FALSE),"")</f>
        <v>Alex</v>
      </c>
      <c r="G58" s="17" t="s">
        <v>63</v>
      </c>
      <c r="H58" s="17" t="s">
        <v>90</v>
      </c>
      <c r="I58" s="19" t="str">
        <f>IFERROR(VLOOKUP(H58,product_lookup!$A:$D,2,FALSE),"")</f>
        <v>Blackberry Sparkling Beverage</v>
      </c>
      <c r="J58" s="21">
        <v>18.0</v>
      </c>
      <c r="K58" s="22">
        <v>7.05</v>
      </c>
      <c r="L58" s="23">
        <f t="shared" si="1"/>
        <v>126.9</v>
      </c>
      <c r="M58" s="17" t="s">
        <v>93</v>
      </c>
      <c r="N58" s="18">
        <v>46030.0</v>
      </c>
      <c r="O58" s="19">
        <f>SUMIF(inventory_snapshot!$B:$B,H58,inventory_snapshot!$E:$E)</f>
        <v>1292</v>
      </c>
      <c r="P58" s="24" t="str">
        <f t="shared" si="2"/>
        <v>OK</v>
      </c>
      <c r="Q58" s="24" t="str">
        <f t="shared" si="3"/>
        <v>OK</v>
      </c>
      <c r="R58" s="24" t="str">
        <f t="shared" si="4"/>
        <v>OK</v>
      </c>
      <c r="S58" s="24" t="str">
        <f t="shared" si="5"/>
        <v>Small</v>
      </c>
    </row>
    <row r="59" ht="15.75" customHeight="1">
      <c r="A59" s="25" t="s">
        <v>152</v>
      </c>
      <c r="B59" s="26">
        <v>46071.0</v>
      </c>
      <c r="C59" s="25" t="s">
        <v>114</v>
      </c>
      <c r="D59" s="27" t="str">
        <f>IFERROR(VLOOKUP(C59,customer_lookup!$A:$E,2,FALSE),"")</f>
        <v>OK Account 0096</v>
      </c>
      <c r="E59" s="27" t="str">
        <f>IFERROR(VLOOKUP(C59,customer_lookup!$A:$E,3,FALSE),"")</f>
        <v>OK</v>
      </c>
      <c r="F59" s="28" t="str">
        <f>IFERROR(VLOOKUP(C59,customer_lookup!$A:$E,5,FALSE),"")</f>
        <v>Alex</v>
      </c>
      <c r="G59" s="25" t="s">
        <v>63</v>
      </c>
      <c r="H59" s="25" t="s">
        <v>74</v>
      </c>
      <c r="I59" s="27" t="str">
        <f>IFERROR(VLOOKUP(H59,product_lookup!$A:$D,2,FALSE),"")</f>
        <v>Strawberry 20:1 Gummies</v>
      </c>
      <c r="J59" s="29">
        <v>36.0</v>
      </c>
      <c r="K59" s="30">
        <v>12.07</v>
      </c>
      <c r="L59" s="31">
        <f t="shared" si="1"/>
        <v>434.52</v>
      </c>
      <c r="M59" s="25" t="s">
        <v>65</v>
      </c>
      <c r="N59" s="26">
        <v>46072.0</v>
      </c>
      <c r="O59" s="27">
        <f>SUMIF(inventory_snapshot!$B:$B,H59,inventory_snapshot!$E:$E)</f>
        <v>2294</v>
      </c>
      <c r="P59" s="32" t="str">
        <f t="shared" si="2"/>
        <v>OK</v>
      </c>
      <c r="Q59" s="32" t="str">
        <f t="shared" si="3"/>
        <v>OK</v>
      </c>
      <c r="R59" s="32" t="str">
        <f t="shared" si="4"/>
        <v>OK</v>
      </c>
      <c r="S59" s="32" t="str">
        <f t="shared" si="5"/>
        <v>Small</v>
      </c>
    </row>
    <row r="60" ht="15.75" customHeight="1">
      <c r="A60" s="17" t="s">
        <v>153</v>
      </c>
      <c r="B60" s="18">
        <v>46055.0</v>
      </c>
      <c r="C60" s="17" t="s">
        <v>104</v>
      </c>
      <c r="D60" s="19" t="str">
        <f>IFERROR(VLOOKUP(C60,customer_lookup!$A:$E,2,FALSE),"")</f>
        <v>NM Account 0094</v>
      </c>
      <c r="E60" s="19" t="str">
        <f>IFERROR(VLOOKUP(C60,customer_lookup!$A:$E,3,FALSE),"")</f>
        <v>NM</v>
      </c>
      <c r="F60" s="20" t="str">
        <f>IFERROR(VLOOKUP(C60,customer_lookup!$A:$E,5,FALSE),"")</f>
        <v>Alex</v>
      </c>
      <c r="G60" s="17" t="s">
        <v>63</v>
      </c>
      <c r="H60" s="17" t="s">
        <v>154</v>
      </c>
      <c r="I60" s="19" t="str">
        <f>IFERROR(VLOOKUP(H60,product_lookup!$A:$D,2,FALSE),"")</f>
        <v>Kiwi 1:1 Gummies</v>
      </c>
      <c r="J60" s="21">
        <v>48.0</v>
      </c>
      <c r="K60" s="22">
        <v>10.67</v>
      </c>
      <c r="L60" s="23">
        <f t="shared" si="1"/>
        <v>512.16</v>
      </c>
      <c r="M60" s="17" t="s">
        <v>137</v>
      </c>
      <c r="N60" s="18">
        <v>46065.0</v>
      </c>
      <c r="O60" s="19">
        <f>SUMIF(inventory_snapshot!$B:$B,H60,inventory_snapshot!$E:$E)</f>
        <v>1136</v>
      </c>
      <c r="P60" s="24" t="str">
        <f t="shared" si="2"/>
        <v>OK</v>
      </c>
      <c r="Q60" s="24" t="str">
        <f t="shared" si="3"/>
        <v>OK</v>
      </c>
      <c r="R60" s="24" t="str">
        <f t="shared" si="4"/>
        <v>OK</v>
      </c>
      <c r="S60" s="24" t="str">
        <f t="shared" si="5"/>
        <v>Medium</v>
      </c>
    </row>
    <row r="61" ht="15.75" customHeight="1">
      <c r="A61" s="25" t="s">
        <v>155</v>
      </c>
      <c r="B61" s="26">
        <v>46035.0</v>
      </c>
      <c r="C61" s="25" t="s">
        <v>83</v>
      </c>
      <c r="D61" s="27" t="str">
        <f>IFERROR(VLOOKUP(C61,customer_lookup!$A:$E,2,FALSE),"")</f>
        <v>CA Account 0063</v>
      </c>
      <c r="E61" s="27" t="str">
        <f>IFERROR(VLOOKUP(C61,customer_lookup!$A:$E,3,FALSE),"")</f>
        <v>CA</v>
      </c>
      <c r="F61" s="28" t="str">
        <f>IFERROR(VLOOKUP(C61,customer_lookup!$A:$E,5,FALSE),"")</f>
        <v>Alex</v>
      </c>
      <c r="G61" s="25" t="s">
        <v>63</v>
      </c>
      <c r="H61" s="25" t="s">
        <v>156</v>
      </c>
      <c r="I61" s="27" t="str">
        <f>IFERROR(VLOOKUP(H61,product_lookup!$A:$D,2,FALSE),"")</f>
        <v>Blood Orange 1:1 Gummies</v>
      </c>
      <c r="J61" s="29">
        <v>12.0</v>
      </c>
      <c r="K61" s="30">
        <v>10.55</v>
      </c>
      <c r="L61" s="31">
        <f t="shared" si="1"/>
        <v>126.6</v>
      </c>
      <c r="M61" s="25" t="s">
        <v>75</v>
      </c>
      <c r="N61" s="26">
        <v>46040.0</v>
      </c>
      <c r="O61" s="27">
        <f>SUMIF(inventory_snapshot!$B:$B,H61,inventory_snapshot!$E:$E)</f>
        <v>1589</v>
      </c>
      <c r="P61" s="32" t="str">
        <f t="shared" si="2"/>
        <v>OK</v>
      </c>
      <c r="Q61" s="32" t="str">
        <f t="shared" si="3"/>
        <v>OK</v>
      </c>
      <c r="R61" s="32" t="str">
        <f t="shared" si="4"/>
        <v>OK</v>
      </c>
      <c r="S61" s="32" t="str">
        <f t="shared" si="5"/>
        <v>Small</v>
      </c>
    </row>
    <row r="62" ht="15.75" customHeight="1">
      <c r="A62" s="17" t="s">
        <v>157</v>
      </c>
      <c r="B62" s="18">
        <v>46117.0</v>
      </c>
      <c r="C62" s="17" t="s">
        <v>83</v>
      </c>
      <c r="D62" s="19" t="str">
        <f>IFERROR(VLOOKUP(C62,customer_lookup!$A:$E,2,FALSE),"")</f>
        <v>CA Account 0063</v>
      </c>
      <c r="E62" s="19" t="str">
        <f>IFERROR(VLOOKUP(C62,customer_lookup!$A:$E,3,FALSE),"")</f>
        <v>CA</v>
      </c>
      <c r="F62" s="20" t="str">
        <f>IFERROR(VLOOKUP(C62,customer_lookup!$A:$E,5,FALSE),"")</f>
        <v>Alex</v>
      </c>
      <c r="G62" s="17" t="s">
        <v>89</v>
      </c>
      <c r="H62" s="17" t="s">
        <v>106</v>
      </c>
      <c r="I62" s="19" t="str">
        <f>IFERROR(VLOOKUP(H62,product_lookup!$A:$D,2,FALSE),"")</f>
        <v>Sour Cherry THC Gummies</v>
      </c>
      <c r="J62" s="21">
        <v>96.0</v>
      </c>
      <c r="K62" s="22">
        <v>11.38</v>
      </c>
      <c r="L62" s="23">
        <f t="shared" si="1"/>
        <v>1092.48</v>
      </c>
      <c r="M62" s="17" t="s">
        <v>97</v>
      </c>
      <c r="N62" s="18">
        <v>46125.0</v>
      </c>
      <c r="O62" s="19">
        <f>SUMIF(inventory_snapshot!$B:$B,H62,inventory_snapshot!$E:$E)</f>
        <v>1313</v>
      </c>
      <c r="P62" s="24" t="str">
        <f t="shared" si="2"/>
        <v>OK</v>
      </c>
      <c r="Q62" s="24" t="str">
        <f t="shared" si="3"/>
        <v>OK</v>
      </c>
      <c r="R62" s="24" t="str">
        <f t="shared" si="4"/>
        <v>OK</v>
      </c>
      <c r="S62" s="24" t="str">
        <f t="shared" si="5"/>
        <v>Large</v>
      </c>
    </row>
    <row r="63" ht="15.75" customHeight="1">
      <c r="A63" s="25" t="s">
        <v>158</v>
      </c>
      <c r="B63" s="26">
        <v>46088.0</v>
      </c>
      <c r="C63" s="25" t="s">
        <v>70</v>
      </c>
      <c r="D63" s="27" t="str">
        <f>IFERROR(VLOOKUP(C63,customer_lookup!$A:$E,2,FALSE),"")</f>
        <v>NV Account 0078</v>
      </c>
      <c r="E63" s="27" t="str">
        <f>IFERROR(VLOOKUP(C63,customer_lookup!$A:$E,3,FALSE),"")</f>
        <v>NV</v>
      </c>
      <c r="F63" s="28" t="str">
        <f>IFERROR(VLOOKUP(C63,customer_lookup!$A:$E,5,FALSE),"")</f>
        <v>Alex</v>
      </c>
      <c r="G63" s="25" t="s">
        <v>63</v>
      </c>
      <c r="H63" s="25" t="s">
        <v>81</v>
      </c>
      <c r="I63" s="27" t="str">
        <f>IFERROR(VLOOKUP(H63,product_lookup!$A:$D,2,FALSE),"")</f>
        <v>Lemon Sparkling Beverage</v>
      </c>
      <c r="J63" s="29">
        <v>24.0</v>
      </c>
      <c r="K63" s="30">
        <v>7.52</v>
      </c>
      <c r="L63" s="31">
        <f t="shared" si="1"/>
        <v>180.48</v>
      </c>
      <c r="M63" s="25" t="s">
        <v>65</v>
      </c>
      <c r="N63" s="26">
        <v>46089.0</v>
      </c>
      <c r="O63" s="27">
        <f>SUMIF(inventory_snapshot!$B:$B,H63,inventory_snapshot!$E:$E)</f>
        <v>1360</v>
      </c>
      <c r="P63" s="32" t="str">
        <f t="shared" si="2"/>
        <v>OK</v>
      </c>
      <c r="Q63" s="32" t="str">
        <f t="shared" si="3"/>
        <v>OK</v>
      </c>
      <c r="R63" s="32" t="str">
        <f t="shared" si="4"/>
        <v>OK</v>
      </c>
      <c r="S63" s="32" t="str">
        <f t="shared" si="5"/>
        <v>Small</v>
      </c>
    </row>
    <row r="64" ht="15.75" customHeight="1">
      <c r="A64" s="17" t="s">
        <v>159</v>
      </c>
      <c r="B64" s="18">
        <v>46121.0</v>
      </c>
      <c r="C64" s="17" t="s">
        <v>87</v>
      </c>
      <c r="D64" s="19" t="str">
        <f>IFERROR(VLOOKUP(C64,customer_lookup!$A:$E,2,FALSE),"")</f>
        <v>CO Account 0040</v>
      </c>
      <c r="E64" s="19" t="str">
        <f>IFERROR(VLOOKUP(C64,customer_lookup!$A:$E,3,FALSE),"")</f>
        <v>CO</v>
      </c>
      <c r="F64" s="20" t="str">
        <f>IFERROR(VLOOKUP(C64,customer_lookup!$A:$E,5,FALSE),"")</f>
        <v>Alex</v>
      </c>
      <c r="G64" s="17" t="s">
        <v>63</v>
      </c>
      <c r="H64" s="17" t="s">
        <v>108</v>
      </c>
      <c r="I64" s="19" t="str">
        <f>IFERROR(VLOOKUP(H64,product_lookup!$A:$D,2,FALSE),"")</f>
        <v>Sour Tangerine THC Gummies</v>
      </c>
      <c r="J64" s="21">
        <v>12.0</v>
      </c>
      <c r="K64" s="22">
        <v>11.04</v>
      </c>
      <c r="L64" s="23">
        <f t="shared" si="1"/>
        <v>132.48</v>
      </c>
      <c r="M64" s="17" t="s">
        <v>100</v>
      </c>
      <c r="N64" s="18">
        <v>46123.0</v>
      </c>
      <c r="O64" s="19">
        <f>SUMIF(inventory_snapshot!$B:$B,H64,inventory_snapshot!$E:$E)</f>
        <v>1679</v>
      </c>
      <c r="P64" s="24" t="str">
        <f t="shared" si="2"/>
        <v>OK</v>
      </c>
      <c r="Q64" s="24" t="str">
        <f t="shared" si="3"/>
        <v>OK</v>
      </c>
      <c r="R64" s="24" t="str">
        <f t="shared" si="4"/>
        <v>OK</v>
      </c>
      <c r="S64" s="24" t="str">
        <f t="shared" si="5"/>
        <v>Small</v>
      </c>
    </row>
    <row r="65" ht="15.75" customHeight="1">
      <c r="A65" s="25" t="s">
        <v>160</v>
      </c>
      <c r="B65" s="26">
        <v>46093.0</v>
      </c>
      <c r="C65" s="25" t="s">
        <v>114</v>
      </c>
      <c r="D65" s="27" t="str">
        <f>IFERROR(VLOOKUP(C65,customer_lookup!$A:$E,2,FALSE),"")</f>
        <v>OK Account 0096</v>
      </c>
      <c r="E65" s="27" t="str">
        <f>IFERROR(VLOOKUP(C65,customer_lookup!$A:$E,3,FALSE),"")</f>
        <v>OK</v>
      </c>
      <c r="F65" s="28" t="str">
        <f>IFERROR(VLOOKUP(C65,customer_lookup!$A:$E,5,FALSE),"")</f>
        <v>Alex</v>
      </c>
      <c r="G65" s="25" t="s">
        <v>63</v>
      </c>
      <c r="H65" s="25" t="s">
        <v>102</v>
      </c>
      <c r="I65" s="27" t="str">
        <f>IFERROR(VLOOKUP(H65,product_lookup!$A:$D,2,FALSE),"")</f>
        <v>Pomegranate 1:1 Gummies</v>
      </c>
      <c r="J65" s="29">
        <v>6.0</v>
      </c>
      <c r="K65" s="30">
        <v>12.02</v>
      </c>
      <c r="L65" s="31">
        <f t="shared" si="1"/>
        <v>72.12</v>
      </c>
      <c r="M65" s="25" t="s">
        <v>75</v>
      </c>
      <c r="N65" s="26">
        <v>46096.0</v>
      </c>
      <c r="O65" s="27">
        <f>SUMIF(inventory_snapshot!$B:$B,H65,inventory_snapshot!$E:$E)</f>
        <v>1493</v>
      </c>
      <c r="P65" s="32" t="str">
        <f t="shared" si="2"/>
        <v>OK</v>
      </c>
      <c r="Q65" s="32" t="str">
        <f t="shared" si="3"/>
        <v>OK</v>
      </c>
      <c r="R65" s="32" t="str">
        <f t="shared" si="4"/>
        <v>OK</v>
      </c>
      <c r="S65" s="32" t="str">
        <f t="shared" si="5"/>
        <v>Small</v>
      </c>
    </row>
    <row r="66" ht="15.75" customHeight="1">
      <c r="A66" s="17" t="s">
        <v>161</v>
      </c>
      <c r="B66" s="18">
        <v>46033.0</v>
      </c>
      <c r="C66" s="17" t="s">
        <v>83</v>
      </c>
      <c r="D66" s="19" t="str">
        <f>IFERROR(VLOOKUP(C66,customer_lookup!$A:$E,2,FALSE),"")</f>
        <v>CA Account 0063</v>
      </c>
      <c r="E66" s="19" t="str">
        <f>IFERROR(VLOOKUP(C66,customer_lookup!$A:$E,3,FALSE),"")</f>
        <v>CA</v>
      </c>
      <c r="F66" s="20" t="str">
        <f>IFERROR(VLOOKUP(C66,customer_lookup!$A:$E,5,FALSE),"")</f>
        <v>Alex</v>
      </c>
      <c r="G66" s="17" t="s">
        <v>63</v>
      </c>
      <c r="H66" s="17" t="s">
        <v>162</v>
      </c>
      <c r="I66" s="19" t="str">
        <f>IFERROR(VLOOKUP(H66,product_lookup!$A:$D,2,FALSE),"")</f>
        <v>Marionberry THC Gummies</v>
      </c>
      <c r="J66" s="21">
        <v>18.0</v>
      </c>
      <c r="K66" s="22">
        <v>10.07</v>
      </c>
      <c r="L66" s="23">
        <f t="shared" si="1"/>
        <v>181.26</v>
      </c>
      <c r="M66" s="17" t="s">
        <v>93</v>
      </c>
      <c r="N66" s="18">
        <v>46038.0</v>
      </c>
      <c r="O66" s="19">
        <f>SUMIF(inventory_snapshot!$B:$B,H66,inventory_snapshot!$E:$E)</f>
        <v>1599</v>
      </c>
      <c r="P66" s="24" t="str">
        <f t="shared" si="2"/>
        <v>OK</v>
      </c>
      <c r="Q66" s="24" t="str">
        <f t="shared" si="3"/>
        <v>OK</v>
      </c>
      <c r="R66" s="24" t="str">
        <f t="shared" si="4"/>
        <v>OK</v>
      </c>
      <c r="S66" s="24" t="str">
        <f t="shared" si="5"/>
        <v>Small</v>
      </c>
    </row>
    <row r="67" ht="15.75" customHeight="1">
      <c r="A67" s="25" t="s">
        <v>163</v>
      </c>
      <c r="B67" s="26">
        <v>46063.0</v>
      </c>
      <c r="C67" s="25" t="s">
        <v>164</v>
      </c>
      <c r="D67" s="27" t="str">
        <f>IFERROR(VLOOKUP(C67,customer_lookup!$A:$E,2,FALSE),"")</f>
        <v>OK Account 0072</v>
      </c>
      <c r="E67" s="27" t="str">
        <f>IFERROR(VLOOKUP(C67,customer_lookup!$A:$E,3,FALSE),"")</f>
        <v>OK</v>
      </c>
      <c r="F67" s="28" t="str">
        <f>IFERROR(VLOOKUP(C67,customer_lookup!$A:$E,5,FALSE),"")</f>
        <v>Avery</v>
      </c>
      <c r="G67" s="25" t="s">
        <v>63</v>
      </c>
      <c r="H67" s="25" t="s">
        <v>71</v>
      </c>
      <c r="I67" s="27" t="str">
        <f>IFERROR(VLOOKUP(H67,product_lookup!$A:$D,2,FALSE),"")</f>
        <v>Pineapple Sparkling Beverage</v>
      </c>
      <c r="J67" s="29">
        <v>60.0</v>
      </c>
      <c r="K67" s="30">
        <v>7.92</v>
      </c>
      <c r="L67" s="31">
        <f t="shared" si="1"/>
        <v>475.2</v>
      </c>
      <c r="M67" s="25" t="s">
        <v>65</v>
      </c>
      <c r="N67" s="26">
        <v>46072.0</v>
      </c>
      <c r="O67" s="27">
        <f>SUMIF(inventory_snapshot!$B:$B,H67,inventory_snapshot!$E:$E)</f>
        <v>1145</v>
      </c>
      <c r="P67" s="32" t="str">
        <f t="shared" si="2"/>
        <v>OK</v>
      </c>
      <c r="Q67" s="32" t="str">
        <f t="shared" si="3"/>
        <v>OK</v>
      </c>
      <c r="R67" s="32" t="str">
        <f t="shared" si="4"/>
        <v>OK</v>
      </c>
      <c r="S67" s="32" t="str">
        <f t="shared" si="5"/>
        <v>Small</v>
      </c>
    </row>
    <row r="68" ht="15.75" customHeight="1">
      <c r="A68" s="17" t="s">
        <v>165</v>
      </c>
      <c r="B68" s="18">
        <v>46115.0</v>
      </c>
      <c r="C68" s="17" t="s">
        <v>166</v>
      </c>
      <c r="D68" s="19" t="str">
        <f>IFERROR(VLOOKUP(C68,customer_lookup!$A:$E,2,FALSE),"")</f>
        <v>MI Account 0044</v>
      </c>
      <c r="E68" s="19" t="str">
        <f>IFERROR(VLOOKUP(C68,customer_lookup!$A:$E,3,FALSE),"")</f>
        <v>MI</v>
      </c>
      <c r="F68" s="20" t="str">
        <f>IFERROR(VLOOKUP(C68,customer_lookup!$A:$E,5,FALSE),"")</f>
        <v>Avery</v>
      </c>
      <c r="G68" s="17" t="s">
        <v>89</v>
      </c>
      <c r="H68" s="17" t="s">
        <v>106</v>
      </c>
      <c r="I68" s="19" t="str">
        <f>IFERROR(VLOOKUP(H68,product_lookup!$A:$D,2,FALSE),"")</f>
        <v>Sour Cherry THC Gummies</v>
      </c>
      <c r="J68" s="21">
        <v>18.0</v>
      </c>
      <c r="K68" s="22">
        <v>11.48</v>
      </c>
      <c r="L68" s="23">
        <f t="shared" si="1"/>
        <v>206.64</v>
      </c>
      <c r="M68" s="17" t="s">
        <v>93</v>
      </c>
      <c r="N68" s="18">
        <v>46124.0</v>
      </c>
      <c r="O68" s="19">
        <f>SUMIF(inventory_snapshot!$B:$B,H68,inventory_snapshot!$E:$E)</f>
        <v>1313</v>
      </c>
      <c r="P68" s="24" t="str">
        <f t="shared" si="2"/>
        <v>OK</v>
      </c>
      <c r="Q68" s="24" t="str">
        <f t="shared" si="3"/>
        <v>OK</v>
      </c>
      <c r="R68" s="24" t="str">
        <f t="shared" si="4"/>
        <v>OK</v>
      </c>
      <c r="S68" s="24" t="str">
        <f t="shared" si="5"/>
        <v>Small</v>
      </c>
    </row>
    <row r="69" ht="15.75" customHeight="1">
      <c r="A69" s="25" t="s">
        <v>167</v>
      </c>
      <c r="B69" s="26">
        <v>46036.0</v>
      </c>
      <c r="C69" s="25" t="s">
        <v>168</v>
      </c>
      <c r="D69" s="27" t="str">
        <f>IFERROR(VLOOKUP(C69,customer_lookup!$A:$E,2,FALSE),"")</f>
        <v>MO Account 0081</v>
      </c>
      <c r="E69" s="27" t="str">
        <f>IFERROR(VLOOKUP(C69,customer_lookup!$A:$E,3,FALSE),"")</f>
        <v>MO</v>
      </c>
      <c r="F69" s="28" t="str">
        <f>IFERROR(VLOOKUP(C69,customer_lookup!$A:$E,5,FALSE),"")</f>
        <v>Avery</v>
      </c>
      <c r="G69" s="25" t="s">
        <v>63</v>
      </c>
      <c r="H69" s="25" t="s">
        <v>123</v>
      </c>
      <c r="I69" s="27" t="str">
        <f>IFERROR(VLOOKUP(H69,product_lookup!$A:$D,2,FALSE),"")</f>
        <v>Peach 2:1 Gummies</v>
      </c>
      <c r="J69" s="29">
        <v>30.0</v>
      </c>
      <c r="K69" s="30">
        <v>11.5</v>
      </c>
      <c r="L69" s="31">
        <f t="shared" si="1"/>
        <v>345</v>
      </c>
      <c r="M69" s="25" t="s">
        <v>65</v>
      </c>
      <c r="N69" s="26">
        <v>46046.0</v>
      </c>
      <c r="O69" s="27">
        <f>SUMIF(inventory_snapshot!$B:$B,H69,inventory_snapshot!$E:$E)</f>
        <v>1732</v>
      </c>
      <c r="P69" s="32" t="str">
        <f t="shared" si="2"/>
        <v>OK</v>
      </c>
      <c r="Q69" s="32" t="str">
        <f t="shared" si="3"/>
        <v>OK</v>
      </c>
      <c r="R69" s="32" t="str">
        <f t="shared" si="4"/>
        <v>OK</v>
      </c>
      <c r="S69" s="32" t="str">
        <f t="shared" si="5"/>
        <v>Small</v>
      </c>
    </row>
    <row r="70" ht="15.75" customHeight="1">
      <c r="A70" s="17" t="s">
        <v>169</v>
      </c>
      <c r="B70" s="18">
        <v>46031.0</v>
      </c>
      <c r="C70" s="17" t="s">
        <v>170</v>
      </c>
      <c r="D70" s="19" t="str">
        <f>IFERROR(VLOOKUP(C70,customer_lookup!$A:$E,2,FALSE),"")</f>
        <v>IL Account 0055</v>
      </c>
      <c r="E70" s="19" t="str">
        <f>IFERROR(VLOOKUP(C70,customer_lookup!$A:$E,3,FALSE),"")</f>
        <v>IL</v>
      </c>
      <c r="F70" s="20" t="str">
        <f>IFERROR(VLOOKUP(C70,customer_lookup!$A:$E,5,FALSE),"")</f>
        <v>Avery</v>
      </c>
      <c r="G70" s="17" t="s">
        <v>63</v>
      </c>
      <c r="H70" s="17" t="s">
        <v>68</v>
      </c>
      <c r="I70" s="19" t="str">
        <f>IFERROR(VLOOKUP(H70,product_lookup!$A:$D,2,FALSE),"")</f>
        <v>Sour Apple THC Gummies</v>
      </c>
      <c r="J70" s="21">
        <v>72.0</v>
      </c>
      <c r="K70" s="22">
        <v>10.81</v>
      </c>
      <c r="L70" s="23">
        <f t="shared" si="1"/>
        <v>778.32</v>
      </c>
      <c r="M70" s="17" t="s">
        <v>100</v>
      </c>
      <c r="N70" s="18">
        <v>46039.0</v>
      </c>
      <c r="O70" s="19">
        <f>SUMIF(inventory_snapshot!$B:$B,H70,inventory_snapshot!$E:$E)</f>
        <v>775</v>
      </c>
      <c r="P70" s="24" t="str">
        <f t="shared" si="2"/>
        <v>OK</v>
      </c>
      <c r="Q70" s="24" t="str">
        <f t="shared" si="3"/>
        <v>Duplicate</v>
      </c>
      <c r="R70" s="24" t="str">
        <f t="shared" si="4"/>
        <v>OK</v>
      </c>
      <c r="S70" s="24" t="str">
        <f t="shared" si="5"/>
        <v>Medium</v>
      </c>
    </row>
    <row r="71" ht="15.75" customHeight="1">
      <c r="A71" s="25" t="s">
        <v>171</v>
      </c>
      <c r="B71" s="26">
        <v>46042.0</v>
      </c>
      <c r="C71" s="25" t="s">
        <v>168</v>
      </c>
      <c r="D71" s="27" t="str">
        <f>IFERROR(VLOOKUP(C71,customer_lookup!$A:$E,2,FALSE),"")</f>
        <v>MO Account 0081</v>
      </c>
      <c r="E71" s="27" t="str">
        <f>IFERROR(VLOOKUP(C71,customer_lookup!$A:$E,3,FALSE),"")</f>
        <v>MO</v>
      </c>
      <c r="F71" s="28" t="str">
        <f>IFERROR(VLOOKUP(C71,customer_lookup!$A:$E,5,FALSE),"")</f>
        <v>Avery</v>
      </c>
      <c r="G71" s="25" t="s">
        <v>63</v>
      </c>
      <c r="H71" s="25" t="s">
        <v>95</v>
      </c>
      <c r="I71" s="27" t="str">
        <f>IFERROR(VLOOKUP(H71,product_lookup!$A:$D,2,FALSE),"")</f>
        <v>Boysenberry 1:1:1 Gummies</v>
      </c>
      <c r="J71" s="29">
        <v>18.0</v>
      </c>
      <c r="K71" s="30">
        <v>11.15</v>
      </c>
      <c r="L71" s="31">
        <f t="shared" si="1"/>
        <v>200.7</v>
      </c>
      <c r="M71" s="25" t="s">
        <v>93</v>
      </c>
      <c r="N71" s="26">
        <v>46046.0</v>
      </c>
      <c r="O71" s="27">
        <f>SUMIF(inventory_snapshot!$B:$B,H71,inventory_snapshot!$E:$E)</f>
        <v>2007</v>
      </c>
      <c r="P71" s="32" t="str">
        <f t="shared" si="2"/>
        <v>OK</v>
      </c>
      <c r="Q71" s="32" t="str">
        <f t="shared" si="3"/>
        <v>OK</v>
      </c>
      <c r="R71" s="32" t="str">
        <f t="shared" si="4"/>
        <v>OK</v>
      </c>
      <c r="S71" s="32" t="str">
        <f t="shared" si="5"/>
        <v>Small</v>
      </c>
    </row>
    <row r="72" ht="15.75" customHeight="1">
      <c r="A72" s="17" t="s">
        <v>172</v>
      </c>
      <c r="B72" s="18">
        <v>46095.0</v>
      </c>
      <c r="C72" s="17" t="s">
        <v>170</v>
      </c>
      <c r="D72" s="19" t="str">
        <f>IFERROR(VLOOKUP(C72,customer_lookup!$A:$E,2,FALSE),"")</f>
        <v>IL Account 0055</v>
      </c>
      <c r="E72" s="19" t="str">
        <f>IFERROR(VLOOKUP(C72,customer_lookup!$A:$E,3,FALSE),"")</f>
        <v>IL</v>
      </c>
      <c r="F72" s="20" t="str">
        <f>IFERROR(VLOOKUP(C72,customer_lookup!$A:$E,5,FALSE),"")</f>
        <v>Avery</v>
      </c>
      <c r="G72" s="17" t="s">
        <v>63</v>
      </c>
      <c r="H72" s="17" t="s">
        <v>102</v>
      </c>
      <c r="I72" s="19" t="str">
        <f>IFERROR(VLOOKUP(H72,product_lookup!$A:$D,2,FALSE),"")</f>
        <v>Pomegranate 1:1 Gummies</v>
      </c>
      <c r="J72" s="21">
        <v>96.0</v>
      </c>
      <c r="K72" s="22">
        <v>10.03</v>
      </c>
      <c r="L72" s="23">
        <f t="shared" si="1"/>
        <v>962.88</v>
      </c>
      <c r="M72" s="17" t="s">
        <v>93</v>
      </c>
      <c r="N72" s="18">
        <v>46099.0</v>
      </c>
      <c r="O72" s="19">
        <f>SUMIF(inventory_snapshot!$B:$B,H72,inventory_snapshot!$E:$E)</f>
        <v>1493</v>
      </c>
      <c r="P72" s="24" t="str">
        <f t="shared" si="2"/>
        <v>OK</v>
      </c>
      <c r="Q72" s="24" t="str">
        <f t="shared" si="3"/>
        <v>OK</v>
      </c>
      <c r="R72" s="24" t="str">
        <f t="shared" si="4"/>
        <v>OK</v>
      </c>
      <c r="S72" s="24" t="str">
        <f t="shared" si="5"/>
        <v>Medium</v>
      </c>
    </row>
    <row r="73" ht="15.75" customHeight="1">
      <c r="A73" s="25" t="s">
        <v>173</v>
      </c>
      <c r="B73" s="26">
        <v>46053.0</v>
      </c>
      <c r="C73" s="25" t="s">
        <v>174</v>
      </c>
      <c r="D73" s="27" t="str">
        <f>IFERROR(VLOOKUP(C73,customer_lookup!$A:$E,2,FALSE),"")</f>
        <v>NY Account 0011</v>
      </c>
      <c r="E73" s="27" t="str">
        <f>IFERROR(VLOOKUP(C73,customer_lookup!$A:$E,3,FALSE),"")</f>
        <v>NY</v>
      </c>
      <c r="F73" s="28" t="str">
        <f>IFERROR(VLOOKUP(C73,customer_lookup!$A:$E,5,FALSE),"")</f>
        <v>Avery</v>
      </c>
      <c r="G73" s="25" t="s">
        <v>63</v>
      </c>
      <c r="H73" s="25" t="s">
        <v>154</v>
      </c>
      <c r="I73" s="27" t="str">
        <f>IFERROR(VLOOKUP(H73,product_lookup!$A:$D,2,FALSE),"")</f>
        <v>Kiwi 1:1 Gummies</v>
      </c>
      <c r="J73" s="29">
        <v>18.0</v>
      </c>
      <c r="K73" s="30">
        <v>10.86</v>
      </c>
      <c r="L73" s="31">
        <f t="shared" si="1"/>
        <v>195.48</v>
      </c>
      <c r="M73" s="25" t="s">
        <v>97</v>
      </c>
      <c r="N73" s="26">
        <v>46063.0</v>
      </c>
      <c r="O73" s="27">
        <f>SUMIF(inventory_snapshot!$B:$B,H73,inventory_snapshot!$E:$E)</f>
        <v>1136</v>
      </c>
      <c r="P73" s="32" t="str">
        <f t="shared" si="2"/>
        <v>OK</v>
      </c>
      <c r="Q73" s="32" t="str">
        <f t="shared" si="3"/>
        <v>OK</v>
      </c>
      <c r="R73" s="32" t="str">
        <f t="shared" si="4"/>
        <v>OK</v>
      </c>
      <c r="S73" s="32" t="str">
        <f t="shared" si="5"/>
        <v>Small</v>
      </c>
    </row>
    <row r="74" ht="15.75" customHeight="1">
      <c r="A74" s="17" t="s">
        <v>175</v>
      </c>
      <c r="B74" s="18">
        <v>46092.0</v>
      </c>
      <c r="C74" s="17" t="s">
        <v>170</v>
      </c>
      <c r="D74" s="19" t="str">
        <f>IFERROR(VLOOKUP(C74,customer_lookup!$A:$E,2,FALSE),"")</f>
        <v>IL Account 0055</v>
      </c>
      <c r="E74" s="19" t="str">
        <f>IFERROR(VLOOKUP(C74,customer_lookup!$A:$E,3,FALSE),"")</f>
        <v>IL</v>
      </c>
      <c r="F74" s="20" t="str">
        <f>IFERROR(VLOOKUP(C74,customer_lookup!$A:$E,5,FALSE),"")</f>
        <v>Avery</v>
      </c>
      <c r="G74" s="17" t="s">
        <v>89</v>
      </c>
      <c r="H74" s="17" t="s">
        <v>78</v>
      </c>
      <c r="I74" s="19" t="str">
        <f>IFERROR(VLOOKUP(H74,product_lookup!$A:$D,2,FALSE),"")</f>
        <v>Grapefruit 1:1:1 Gummies</v>
      </c>
      <c r="J74" s="21">
        <v>24.0</v>
      </c>
      <c r="K74" s="22">
        <v>11.07</v>
      </c>
      <c r="L74" s="23">
        <f t="shared" si="1"/>
        <v>265.68</v>
      </c>
      <c r="M74" s="17" t="s">
        <v>93</v>
      </c>
      <c r="N74" s="18">
        <v>46094.0</v>
      </c>
      <c r="O74" s="19">
        <f>SUMIF(inventory_snapshot!$B:$B,H74,inventory_snapshot!$E:$E)</f>
        <v>1751</v>
      </c>
      <c r="P74" s="24" t="str">
        <f t="shared" si="2"/>
        <v>OK</v>
      </c>
      <c r="Q74" s="24" t="str">
        <f t="shared" si="3"/>
        <v>OK</v>
      </c>
      <c r="R74" s="24" t="str">
        <f t="shared" si="4"/>
        <v>OK</v>
      </c>
      <c r="S74" s="24" t="str">
        <f t="shared" si="5"/>
        <v>Small</v>
      </c>
    </row>
    <row r="75" ht="15.75" customHeight="1">
      <c r="A75" s="25" t="s">
        <v>176</v>
      </c>
      <c r="B75" s="26">
        <v>46113.0</v>
      </c>
      <c r="C75" s="25" t="s">
        <v>177</v>
      </c>
      <c r="D75" s="27" t="str">
        <f>IFERROR(VLOOKUP(C75,customer_lookup!$A:$E,2,FALSE),"")</f>
        <v>IL Account 0103</v>
      </c>
      <c r="E75" s="27" t="str">
        <f>IFERROR(VLOOKUP(C75,customer_lookup!$A:$E,3,FALSE),"")</f>
        <v>IL</v>
      </c>
      <c r="F75" s="28" t="str">
        <f>IFERROR(VLOOKUP(C75,customer_lookup!$A:$E,5,FALSE),"")</f>
        <v>Avery</v>
      </c>
      <c r="G75" s="25" t="s">
        <v>63</v>
      </c>
      <c r="H75" s="25" t="s">
        <v>123</v>
      </c>
      <c r="I75" s="27" t="str">
        <f>IFERROR(VLOOKUP(H75,product_lookup!$A:$D,2,FALSE),"")</f>
        <v>Peach 2:1 Gummies</v>
      </c>
      <c r="J75" s="29">
        <v>18.0</v>
      </c>
      <c r="K75" s="30">
        <v>10.34</v>
      </c>
      <c r="L75" s="31">
        <f t="shared" si="1"/>
        <v>186.12</v>
      </c>
      <c r="M75" s="25" t="s">
        <v>100</v>
      </c>
      <c r="N75" s="26">
        <v>46117.0</v>
      </c>
      <c r="O75" s="27">
        <f>SUMIF(inventory_snapshot!$B:$B,H75,inventory_snapshot!$E:$E)</f>
        <v>1732</v>
      </c>
      <c r="P75" s="32" t="str">
        <f t="shared" si="2"/>
        <v>OK</v>
      </c>
      <c r="Q75" s="32" t="str">
        <f t="shared" si="3"/>
        <v>OK</v>
      </c>
      <c r="R75" s="32" t="str">
        <f t="shared" si="4"/>
        <v>OK</v>
      </c>
      <c r="S75" s="32" t="str">
        <f t="shared" si="5"/>
        <v>Small</v>
      </c>
    </row>
    <row r="76" ht="15.75" customHeight="1">
      <c r="A76" s="17" t="s">
        <v>178</v>
      </c>
      <c r="B76" s="18">
        <v>46134.0</v>
      </c>
      <c r="C76" s="17" t="s">
        <v>179</v>
      </c>
      <c r="D76" s="19" t="str">
        <f>IFERROR(VLOOKUP(C76,customer_lookup!$A:$E,2,FALSE),"")</f>
        <v>NV Account 0114</v>
      </c>
      <c r="E76" s="19" t="str">
        <f>IFERROR(VLOOKUP(C76,customer_lookup!$A:$E,3,FALSE),"")</f>
        <v>NV</v>
      </c>
      <c r="F76" s="20" t="str">
        <f>IFERROR(VLOOKUP(C76,customer_lookup!$A:$E,5,FALSE),"")</f>
        <v>Avery</v>
      </c>
      <c r="G76" s="17" t="s">
        <v>63</v>
      </c>
      <c r="H76" s="17" t="s">
        <v>90</v>
      </c>
      <c r="I76" s="19" t="str">
        <f>IFERROR(VLOOKUP(H76,product_lookup!$A:$D,2,FALSE),"")</f>
        <v>Blackberry Sparkling Beverage</v>
      </c>
      <c r="J76" s="21">
        <v>72.0</v>
      </c>
      <c r="K76" s="22">
        <v>6.8</v>
      </c>
      <c r="L76" s="23">
        <f t="shared" si="1"/>
        <v>489.6</v>
      </c>
      <c r="M76" s="17" t="s">
        <v>100</v>
      </c>
      <c r="N76" s="18">
        <v>46139.0</v>
      </c>
      <c r="O76" s="19">
        <f>SUMIF(inventory_snapshot!$B:$B,H76,inventory_snapshot!$E:$E)</f>
        <v>1292</v>
      </c>
      <c r="P76" s="24" t="str">
        <f t="shared" si="2"/>
        <v>OK</v>
      </c>
      <c r="Q76" s="24" t="str">
        <f t="shared" si="3"/>
        <v>OK</v>
      </c>
      <c r="R76" s="24" t="str">
        <f t="shared" si="4"/>
        <v>OK</v>
      </c>
      <c r="S76" s="24" t="str">
        <f t="shared" si="5"/>
        <v>Small</v>
      </c>
    </row>
    <row r="77" ht="15.75" customHeight="1">
      <c r="A77" s="25" t="s">
        <v>180</v>
      </c>
      <c r="B77" s="26">
        <v>46103.0</v>
      </c>
      <c r="C77" s="25" t="s">
        <v>181</v>
      </c>
      <c r="D77" s="27" t="str">
        <f>IFERROR(VLOOKUP(C77,customer_lookup!$A:$E,2,FALSE),"")</f>
        <v>CA Account 0099</v>
      </c>
      <c r="E77" s="27" t="str">
        <f>IFERROR(VLOOKUP(C77,customer_lookup!$A:$E,3,FALSE),"")</f>
        <v>CA</v>
      </c>
      <c r="F77" s="28" t="str">
        <f>IFERROR(VLOOKUP(C77,customer_lookup!$A:$E,5,FALSE),"")</f>
        <v>Avery</v>
      </c>
      <c r="G77" s="25" t="s">
        <v>63</v>
      </c>
      <c r="H77" s="25" t="s">
        <v>85</v>
      </c>
      <c r="I77" s="27" t="str">
        <f>IFERROR(VLOOKUP(H77,product_lookup!$A:$D,2,FALSE),"")</f>
        <v>Huckleberry THC Gummies</v>
      </c>
      <c r="J77" s="29">
        <v>12.0</v>
      </c>
      <c r="K77" s="30">
        <v>11.08</v>
      </c>
      <c r="L77" s="31">
        <f t="shared" si="1"/>
        <v>132.96</v>
      </c>
      <c r="M77" s="25" t="s">
        <v>65</v>
      </c>
      <c r="N77" s="26">
        <v>46111.0</v>
      </c>
      <c r="O77" s="27">
        <f>SUMIF(inventory_snapshot!$B:$B,H77,inventory_snapshot!$E:$E)</f>
        <v>1841</v>
      </c>
      <c r="P77" s="32" t="str">
        <f t="shared" si="2"/>
        <v>OK</v>
      </c>
      <c r="Q77" s="32" t="str">
        <f t="shared" si="3"/>
        <v>OK</v>
      </c>
      <c r="R77" s="32" t="str">
        <f t="shared" si="4"/>
        <v>OK</v>
      </c>
      <c r="S77" s="32" t="str">
        <f t="shared" si="5"/>
        <v>Small</v>
      </c>
    </row>
    <row r="78" ht="15.75" customHeight="1">
      <c r="A78" s="17" t="s">
        <v>182</v>
      </c>
      <c r="B78" s="18">
        <v>46085.0</v>
      </c>
      <c r="C78" s="17" t="s">
        <v>170</v>
      </c>
      <c r="D78" s="19" t="str">
        <f>IFERROR(VLOOKUP(C78,customer_lookup!$A:$E,2,FALSE),"")</f>
        <v>IL Account 0055</v>
      </c>
      <c r="E78" s="19" t="str">
        <f>IFERROR(VLOOKUP(C78,customer_lookup!$A:$E,3,FALSE),"")</f>
        <v>IL</v>
      </c>
      <c r="F78" s="20" t="str">
        <f>IFERROR(VLOOKUP(C78,customer_lookup!$A:$E,5,FALSE),"")</f>
        <v>Avery</v>
      </c>
      <c r="G78" s="17" t="s">
        <v>63</v>
      </c>
      <c r="H78" s="17" t="s">
        <v>78</v>
      </c>
      <c r="I78" s="19" t="str">
        <f>IFERROR(VLOOKUP(H78,product_lookup!$A:$D,2,FALSE),"")</f>
        <v>Grapefruit 1:1:1 Gummies</v>
      </c>
      <c r="J78" s="21">
        <v>60.0</v>
      </c>
      <c r="K78" s="22">
        <v>9.83</v>
      </c>
      <c r="L78" s="23">
        <f t="shared" si="1"/>
        <v>589.8</v>
      </c>
      <c r="M78" s="17" t="s">
        <v>100</v>
      </c>
      <c r="N78" s="18">
        <v>46087.0</v>
      </c>
      <c r="O78" s="19">
        <f>SUMIF(inventory_snapshot!$B:$B,H78,inventory_snapshot!$E:$E)</f>
        <v>1751</v>
      </c>
      <c r="P78" s="24" t="str">
        <f t="shared" si="2"/>
        <v>OK</v>
      </c>
      <c r="Q78" s="24" t="str">
        <f t="shared" si="3"/>
        <v>OK</v>
      </c>
      <c r="R78" s="24" t="str">
        <f t="shared" si="4"/>
        <v>OK</v>
      </c>
      <c r="S78" s="24" t="str">
        <f t="shared" si="5"/>
        <v>Medium</v>
      </c>
    </row>
    <row r="79" ht="15.75" customHeight="1">
      <c r="A79" s="25" t="s">
        <v>183</v>
      </c>
      <c r="B79" s="26">
        <v>46064.0</v>
      </c>
      <c r="C79" s="25" t="s">
        <v>184</v>
      </c>
      <c r="D79" s="27" t="str">
        <f>IFERROR(VLOOKUP(C79,customer_lookup!$A:$E,2,FALSE),"")</f>
        <v>OK Account 0084</v>
      </c>
      <c r="E79" s="27" t="str">
        <f>IFERROR(VLOOKUP(C79,customer_lookup!$A:$E,3,FALSE),"")</f>
        <v>OK</v>
      </c>
      <c r="F79" s="28" t="str">
        <f>IFERROR(VLOOKUP(C79,customer_lookup!$A:$E,5,FALSE),"")</f>
        <v>Avery</v>
      </c>
      <c r="G79" s="25" t="s">
        <v>63</v>
      </c>
      <c r="H79" s="25" t="s">
        <v>162</v>
      </c>
      <c r="I79" s="27" t="str">
        <f>IFERROR(VLOOKUP(H79,product_lookup!$A:$D,2,FALSE),"")</f>
        <v>Marionberry THC Gummies</v>
      </c>
      <c r="J79" s="29">
        <v>96.0</v>
      </c>
      <c r="K79" s="30">
        <v>10.2</v>
      </c>
      <c r="L79" s="31">
        <f t="shared" si="1"/>
        <v>979.2</v>
      </c>
      <c r="M79" s="25" t="s">
        <v>97</v>
      </c>
      <c r="N79" s="26">
        <v>46066.0</v>
      </c>
      <c r="O79" s="27">
        <f>SUMIF(inventory_snapshot!$B:$B,H79,inventory_snapshot!$E:$E)</f>
        <v>1599</v>
      </c>
      <c r="P79" s="32" t="str">
        <f t="shared" si="2"/>
        <v>OK</v>
      </c>
      <c r="Q79" s="32" t="str">
        <f t="shared" si="3"/>
        <v>OK</v>
      </c>
      <c r="R79" s="32" t="str">
        <f t="shared" si="4"/>
        <v>OK</v>
      </c>
      <c r="S79" s="32" t="str">
        <f t="shared" si="5"/>
        <v>Medium</v>
      </c>
    </row>
    <row r="80" ht="15.75" customHeight="1">
      <c r="A80" s="17" t="s">
        <v>185</v>
      </c>
      <c r="B80" s="18">
        <v>46039.0</v>
      </c>
      <c r="C80" s="17" t="s">
        <v>181</v>
      </c>
      <c r="D80" s="19" t="str">
        <f>IFERROR(VLOOKUP(C80,customer_lookup!$A:$E,2,FALSE),"")</f>
        <v>CA Account 0099</v>
      </c>
      <c r="E80" s="19" t="str">
        <f>IFERROR(VLOOKUP(C80,customer_lookup!$A:$E,3,FALSE),"")</f>
        <v>CA</v>
      </c>
      <c r="F80" s="20" t="str">
        <f>IFERROR(VLOOKUP(C80,customer_lookup!$A:$E,5,FALSE),"")</f>
        <v>Avery</v>
      </c>
      <c r="G80" s="17" t="s">
        <v>89</v>
      </c>
      <c r="H80" s="17" t="s">
        <v>71</v>
      </c>
      <c r="I80" s="19" t="str">
        <f>IFERROR(VLOOKUP(H80,product_lookup!$A:$D,2,FALSE),"")</f>
        <v>Pineapple Sparkling Beverage</v>
      </c>
      <c r="J80" s="21">
        <v>96.0</v>
      </c>
      <c r="K80" s="22">
        <v>7.56</v>
      </c>
      <c r="L80" s="23">
        <f t="shared" si="1"/>
        <v>725.76</v>
      </c>
      <c r="M80" s="17" t="s">
        <v>97</v>
      </c>
      <c r="N80" s="18">
        <v>46049.0</v>
      </c>
      <c r="O80" s="19">
        <f>SUMIF(inventory_snapshot!$B:$B,H80,inventory_snapshot!$E:$E)</f>
        <v>1145</v>
      </c>
      <c r="P80" s="24" t="str">
        <f t="shared" si="2"/>
        <v>OK</v>
      </c>
      <c r="Q80" s="24" t="str">
        <f t="shared" si="3"/>
        <v>OK</v>
      </c>
      <c r="R80" s="24" t="str">
        <f t="shared" si="4"/>
        <v>OK</v>
      </c>
      <c r="S80" s="24" t="str">
        <f t="shared" si="5"/>
        <v>Medium</v>
      </c>
    </row>
    <row r="81" ht="15.75" customHeight="1">
      <c r="A81" s="25" t="s">
        <v>186</v>
      </c>
      <c r="B81" s="26">
        <v>46129.0</v>
      </c>
      <c r="C81" s="25" t="s">
        <v>166</v>
      </c>
      <c r="D81" s="27" t="str">
        <f>IFERROR(VLOOKUP(C81,customer_lookup!$A:$E,2,FALSE),"")</f>
        <v>MI Account 0044</v>
      </c>
      <c r="E81" s="27" t="str">
        <f>IFERROR(VLOOKUP(C81,customer_lookup!$A:$E,3,FALSE),"")</f>
        <v>MI</v>
      </c>
      <c r="F81" s="28" t="str">
        <f>IFERROR(VLOOKUP(C81,customer_lookup!$A:$E,5,FALSE),"")</f>
        <v>Avery</v>
      </c>
      <c r="G81" s="25" t="s">
        <v>63</v>
      </c>
      <c r="H81" s="25" t="s">
        <v>154</v>
      </c>
      <c r="I81" s="27" t="str">
        <f>IFERROR(VLOOKUP(H81,product_lookup!$A:$D,2,FALSE),"")</f>
        <v>Kiwi 1:1 Gummies</v>
      </c>
      <c r="J81" s="29">
        <v>120.0</v>
      </c>
      <c r="K81" s="30">
        <v>10.67</v>
      </c>
      <c r="L81" s="31">
        <f t="shared" si="1"/>
        <v>1280.4</v>
      </c>
      <c r="M81" s="25" t="s">
        <v>65</v>
      </c>
      <c r="N81" s="26">
        <v>46132.0</v>
      </c>
      <c r="O81" s="27">
        <f>SUMIF(inventory_snapshot!$B:$B,H81,inventory_snapshot!$E:$E)</f>
        <v>1136</v>
      </c>
      <c r="P81" s="32" t="str">
        <f t="shared" si="2"/>
        <v>OK</v>
      </c>
      <c r="Q81" s="32" t="str">
        <f t="shared" si="3"/>
        <v>OK</v>
      </c>
      <c r="R81" s="32" t="str">
        <f t="shared" si="4"/>
        <v>OK</v>
      </c>
      <c r="S81" s="32" t="str">
        <f t="shared" si="5"/>
        <v>Large</v>
      </c>
    </row>
    <row r="82" ht="15.75" customHeight="1">
      <c r="A82" s="17" t="s">
        <v>187</v>
      </c>
      <c r="B82" s="18">
        <v>46107.0</v>
      </c>
      <c r="C82" s="17" t="s">
        <v>174</v>
      </c>
      <c r="D82" s="19" t="str">
        <f>IFERROR(VLOOKUP(C82,customer_lookup!$A:$E,2,FALSE),"")</f>
        <v>NY Account 0011</v>
      </c>
      <c r="E82" s="19" t="str">
        <f>IFERROR(VLOOKUP(C82,customer_lookup!$A:$E,3,FALSE),"")</f>
        <v>NY</v>
      </c>
      <c r="F82" s="20" t="str">
        <f>IFERROR(VLOOKUP(C82,customer_lookup!$A:$E,5,FALSE),"")</f>
        <v>Avery</v>
      </c>
      <c r="G82" s="17" t="s">
        <v>63</v>
      </c>
      <c r="H82" s="17" t="s">
        <v>92</v>
      </c>
      <c r="I82" s="19" t="str">
        <f>IFERROR(VLOOKUP(H82,product_lookup!$A:$D,2,FALSE),"")</f>
        <v>Raspberry THC Gummies</v>
      </c>
      <c r="J82" s="21">
        <v>30.0</v>
      </c>
      <c r="K82" s="22">
        <v>10.09</v>
      </c>
      <c r="L82" s="23">
        <f t="shared" si="1"/>
        <v>302.7</v>
      </c>
      <c r="M82" s="17" t="s">
        <v>65</v>
      </c>
      <c r="N82" s="18">
        <v>46115.0</v>
      </c>
      <c r="O82" s="19">
        <f>SUMIF(inventory_snapshot!$B:$B,H82,inventory_snapshot!$E:$E)</f>
        <v>1417</v>
      </c>
      <c r="P82" s="24" t="str">
        <f t="shared" si="2"/>
        <v>OK</v>
      </c>
      <c r="Q82" s="24" t="str">
        <f t="shared" si="3"/>
        <v>OK</v>
      </c>
      <c r="R82" s="24" t="str">
        <f t="shared" si="4"/>
        <v>OK</v>
      </c>
      <c r="S82" s="24" t="str">
        <f t="shared" si="5"/>
        <v>Small</v>
      </c>
    </row>
    <row r="83" ht="15.75" customHeight="1">
      <c r="A83" s="25" t="s">
        <v>188</v>
      </c>
      <c r="B83" s="26">
        <v>46105.0</v>
      </c>
      <c r="C83" s="25" t="s">
        <v>189</v>
      </c>
      <c r="D83" s="27" t="str">
        <f>IFERROR(VLOOKUP(C83,customer_lookup!$A:$E,2,FALSE),"")</f>
        <v>OK Account 0012</v>
      </c>
      <c r="E83" s="27" t="str">
        <f>IFERROR(VLOOKUP(C83,customer_lookup!$A:$E,3,FALSE),"")</f>
        <v>OK</v>
      </c>
      <c r="F83" s="28" t="str">
        <f>IFERROR(VLOOKUP(C83,customer_lookup!$A:$E,5,FALSE),"")</f>
        <v>Avery</v>
      </c>
      <c r="G83" s="25" t="s">
        <v>63</v>
      </c>
      <c r="H83" s="25" t="s">
        <v>190</v>
      </c>
      <c r="I83" s="27" t="str">
        <f>IFERROR(VLOOKUP(H83,product_lookup!$A:$D,2,FALSE),"")</f>
        <v>Mango Sparkling Beverage</v>
      </c>
      <c r="J83" s="29">
        <v>18.0</v>
      </c>
      <c r="K83" s="30">
        <v>7.64</v>
      </c>
      <c r="L83" s="31">
        <f t="shared" si="1"/>
        <v>137.52</v>
      </c>
      <c r="M83" s="25" t="s">
        <v>65</v>
      </c>
      <c r="N83" s="26">
        <v>46115.0</v>
      </c>
      <c r="O83" s="27">
        <f>SUMIF(inventory_snapshot!$B:$B,H83,inventory_snapshot!$E:$E)</f>
        <v>1502</v>
      </c>
      <c r="P83" s="32" t="str">
        <f t="shared" si="2"/>
        <v>OK</v>
      </c>
      <c r="Q83" s="32" t="str">
        <f t="shared" si="3"/>
        <v>OK</v>
      </c>
      <c r="R83" s="32" t="str">
        <f t="shared" si="4"/>
        <v>OK</v>
      </c>
      <c r="S83" s="32" t="str">
        <f t="shared" si="5"/>
        <v>Small</v>
      </c>
    </row>
    <row r="84" ht="15.75" customHeight="1">
      <c r="A84" s="17" t="s">
        <v>191</v>
      </c>
      <c r="B84" s="18">
        <v>46084.0</v>
      </c>
      <c r="C84" s="17" t="s">
        <v>184</v>
      </c>
      <c r="D84" s="19" t="str">
        <f>IFERROR(VLOOKUP(C84,customer_lookup!$A:$E,2,FALSE),"")</f>
        <v>OK Account 0084</v>
      </c>
      <c r="E84" s="19" t="str">
        <f>IFERROR(VLOOKUP(C84,customer_lookup!$A:$E,3,FALSE),"")</f>
        <v>OK</v>
      </c>
      <c r="F84" s="20" t="str">
        <f>IFERROR(VLOOKUP(C84,customer_lookup!$A:$E,5,FALSE),"")</f>
        <v>Avery</v>
      </c>
      <c r="G84" s="17" t="s">
        <v>63</v>
      </c>
      <c r="H84" s="17" t="s">
        <v>90</v>
      </c>
      <c r="I84" s="19" t="str">
        <f>IFERROR(VLOOKUP(H84,product_lookup!$A:$D,2,FALSE),"")</f>
        <v>Blackberry Sparkling Beverage</v>
      </c>
      <c r="J84" s="21">
        <v>120.0</v>
      </c>
      <c r="K84" s="22">
        <v>7.05</v>
      </c>
      <c r="L84" s="23">
        <f t="shared" si="1"/>
        <v>846</v>
      </c>
      <c r="M84" s="17" t="s">
        <v>93</v>
      </c>
      <c r="N84" s="18">
        <v>46085.0</v>
      </c>
      <c r="O84" s="19">
        <f>SUMIF(inventory_snapshot!$B:$B,H84,inventory_snapshot!$E:$E)</f>
        <v>1292</v>
      </c>
      <c r="P84" s="24" t="str">
        <f t="shared" si="2"/>
        <v>OK</v>
      </c>
      <c r="Q84" s="24" t="str">
        <f t="shared" si="3"/>
        <v>OK</v>
      </c>
      <c r="R84" s="24" t="str">
        <f t="shared" si="4"/>
        <v>OK</v>
      </c>
      <c r="S84" s="24" t="str">
        <f t="shared" si="5"/>
        <v>Medium</v>
      </c>
    </row>
    <row r="85" ht="15.75" customHeight="1">
      <c r="A85" s="25" t="s">
        <v>192</v>
      </c>
      <c r="B85" s="26">
        <v>46095.0</v>
      </c>
      <c r="C85" s="25" t="s">
        <v>166</v>
      </c>
      <c r="D85" s="27" t="str">
        <f>IFERROR(VLOOKUP(C85,customer_lookup!$A:$E,2,FALSE),"")</f>
        <v>MI Account 0044</v>
      </c>
      <c r="E85" s="27" t="str">
        <f>IFERROR(VLOOKUP(C85,customer_lookup!$A:$E,3,FALSE),"")</f>
        <v>MI</v>
      </c>
      <c r="F85" s="28" t="str">
        <f>IFERROR(VLOOKUP(C85,customer_lookup!$A:$E,5,FALSE),"")</f>
        <v>Avery</v>
      </c>
      <c r="G85" s="25" t="s">
        <v>89</v>
      </c>
      <c r="H85" s="25" t="s">
        <v>102</v>
      </c>
      <c r="I85" s="27" t="str">
        <f>IFERROR(VLOOKUP(H85,product_lookup!$A:$D,2,FALSE),"")</f>
        <v>Pomegranate 1:1 Gummies</v>
      </c>
      <c r="J85" s="29">
        <v>120.0</v>
      </c>
      <c r="K85" s="30">
        <v>11.57</v>
      </c>
      <c r="L85" s="31">
        <f t="shared" si="1"/>
        <v>1388.4</v>
      </c>
      <c r="M85" s="25" t="s">
        <v>97</v>
      </c>
      <c r="N85" s="26">
        <v>46102.0</v>
      </c>
      <c r="O85" s="27">
        <f>SUMIF(inventory_snapshot!$B:$B,H85,inventory_snapshot!$E:$E)</f>
        <v>1493</v>
      </c>
      <c r="P85" s="32" t="str">
        <f t="shared" si="2"/>
        <v>OK</v>
      </c>
      <c r="Q85" s="32" t="str">
        <f t="shared" si="3"/>
        <v>OK</v>
      </c>
      <c r="R85" s="32" t="str">
        <f t="shared" si="4"/>
        <v>OK</v>
      </c>
      <c r="S85" s="32" t="str">
        <f t="shared" si="5"/>
        <v>Large</v>
      </c>
    </row>
    <row r="86" ht="15.75" customHeight="1">
      <c r="A86" s="17" t="s">
        <v>193</v>
      </c>
      <c r="B86" s="18">
        <v>46108.0</v>
      </c>
      <c r="C86" s="17" t="s">
        <v>189</v>
      </c>
      <c r="D86" s="19" t="str">
        <f>IFERROR(VLOOKUP(C86,customer_lookup!$A:$E,2,FALSE),"")</f>
        <v>OK Account 0012</v>
      </c>
      <c r="E86" s="19" t="str">
        <f>IFERROR(VLOOKUP(C86,customer_lookup!$A:$E,3,FALSE),"")</f>
        <v>OK</v>
      </c>
      <c r="F86" s="20" t="str">
        <f>IFERROR(VLOOKUP(C86,customer_lookup!$A:$E,5,FALSE),"")</f>
        <v>Avery</v>
      </c>
      <c r="G86" s="17" t="s">
        <v>63</v>
      </c>
      <c r="H86" s="17" t="s">
        <v>106</v>
      </c>
      <c r="I86" s="19" t="str">
        <f>IFERROR(VLOOKUP(H86,product_lookup!$A:$D,2,FALSE),"")</f>
        <v>Sour Cherry THC Gummies</v>
      </c>
      <c r="J86" s="21">
        <v>12.0</v>
      </c>
      <c r="K86" s="22">
        <v>10.07</v>
      </c>
      <c r="L86" s="23">
        <f t="shared" si="1"/>
        <v>120.84</v>
      </c>
      <c r="M86" s="17" t="s">
        <v>97</v>
      </c>
      <c r="N86" s="18">
        <v>46112.0</v>
      </c>
      <c r="O86" s="19">
        <f>SUMIF(inventory_snapshot!$B:$B,H86,inventory_snapshot!$E:$E)</f>
        <v>1313</v>
      </c>
      <c r="P86" s="24" t="str">
        <f t="shared" si="2"/>
        <v>OK</v>
      </c>
      <c r="Q86" s="24" t="str">
        <f t="shared" si="3"/>
        <v>OK</v>
      </c>
      <c r="R86" s="24" t="str">
        <f t="shared" si="4"/>
        <v>OK</v>
      </c>
      <c r="S86" s="24" t="str">
        <f t="shared" si="5"/>
        <v>Small</v>
      </c>
    </row>
    <row r="87" ht="15.75" customHeight="1">
      <c r="A87" s="25" t="s">
        <v>194</v>
      </c>
      <c r="B87" s="26">
        <v>46119.0</v>
      </c>
      <c r="C87" s="25" t="s">
        <v>195</v>
      </c>
      <c r="D87" s="27" t="str">
        <f>IFERROR(VLOOKUP(C87,customer_lookup!$A:$E,2,FALSE),"")</f>
        <v>MO Account 0117</v>
      </c>
      <c r="E87" s="27" t="str">
        <f>IFERROR(VLOOKUP(C87,customer_lookup!$A:$E,3,FALSE),"")</f>
        <v>MO</v>
      </c>
      <c r="F87" s="28" t="str">
        <f>IFERROR(VLOOKUP(C87,customer_lookup!$A:$E,5,FALSE),"")</f>
        <v>Avery</v>
      </c>
      <c r="G87" s="25" t="s">
        <v>67</v>
      </c>
      <c r="H87" s="25" t="s">
        <v>90</v>
      </c>
      <c r="I87" s="27" t="str">
        <f>IFERROR(VLOOKUP(H87,product_lookup!$A:$D,2,FALSE),"")</f>
        <v>Blackberry Sparkling Beverage</v>
      </c>
      <c r="J87" s="29">
        <v>72.0</v>
      </c>
      <c r="K87" s="30">
        <v>7.95</v>
      </c>
      <c r="L87" s="31">
        <f t="shared" si="1"/>
        <v>572.4</v>
      </c>
      <c r="M87" s="25" t="s">
        <v>65</v>
      </c>
      <c r="N87" s="26">
        <v>46129.0</v>
      </c>
      <c r="O87" s="27">
        <f>SUMIF(inventory_snapshot!$B:$B,H87,inventory_snapshot!$E:$E)</f>
        <v>1292</v>
      </c>
      <c r="P87" s="32" t="str">
        <f t="shared" si="2"/>
        <v>OK</v>
      </c>
      <c r="Q87" s="32" t="str">
        <f t="shared" si="3"/>
        <v>OK</v>
      </c>
      <c r="R87" s="32" t="str">
        <f t="shared" si="4"/>
        <v>OK</v>
      </c>
      <c r="S87" s="32" t="str">
        <f t="shared" si="5"/>
        <v>Medium</v>
      </c>
    </row>
    <row r="88" ht="15.75" customHeight="1">
      <c r="A88" s="17" t="s">
        <v>196</v>
      </c>
      <c r="B88" s="18">
        <v>46115.0</v>
      </c>
      <c r="C88" s="17" t="s">
        <v>189</v>
      </c>
      <c r="D88" s="19" t="str">
        <f>IFERROR(VLOOKUP(C88,customer_lookup!$A:$E,2,FALSE),"")</f>
        <v>OK Account 0012</v>
      </c>
      <c r="E88" s="19" t="str">
        <f>IFERROR(VLOOKUP(C88,customer_lookup!$A:$E,3,FALSE),"")</f>
        <v>OK</v>
      </c>
      <c r="F88" s="20" t="str">
        <f>IFERROR(VLOOKUP(C88,customer_lookup!$A:$E,5,FALSE),"")</f>
        <v>Avery</v>
      </c>
      <c r="G88" s="17" t="s">
        <v>63</v>
      </c>
      <c r="H88" s="17" t="s">
        <v>81</v>
      </c>
      <c r="I88" s="19" t="str">
        <f>IFERROR(VLOOKUP(H88,product_lookup!$A:$D,2,FALSE),"")</f>
        <v>Lemon Sparkling Beverage</v>
      </c>
      <c r="J88" s="21">
        <v>24.0</v>
      </c>
      <c r="K88" s="22">
        <v>6.6</v>
      </c>
      <c r="L88" s="23">
        <f t="shared" si="1"/>
        <v>158.4</v>
      </c>
      <c r="M88" s="17" t="s">
        <v>75</v>
      </c>
      <c r="N88" s="18">
        <v>46116.0</v>
      </c>
      <c r="O88" s="19">
        <f>SUMIF(inventory_snapshot!$B:$B,H88,inventory_snapshot!$E:$E)</f>
        <v>1360</v>
      </c>
      <c r="P88" s="24" t="str">
        <f t="shared" si="2"/>
        <v>OK</v>
      </c>
      <c r="Q88" s="24" t="str">
        <f t="shared" si="3"/>
        <v>OK</v>
      </c>
      <c r="R88" s="24" t="str">
        <f t="shared" si="4"/>
        <v>OK</v>
      </c>
      <c r="S88" s="24" t="str">
        <f t="shared" si="5"/>
        <v>Small</v>
      </c>
    </row>
    <row r="89" ht="15.75" customHeight="1">
      <c r="A89" s="25" t="s">
        <v>197</v>
      </c>
      <c r="B89" s="26">
        <v>46081.0</v>
      </c>
      <c r="C89" s="25" t="s">
        <v>198</v>
      </c>
      <c r="D89" s="27" t="str">
        <f>IFERROR(VLOOKUP(C89,customer_lookup!$A:$E,2,FALSE),"")</f>
        <v>MO Account 0093</v>
      </c>
      <c r="E89" s="27" t="str">
        <f>IFERROR(VLOOKUP(C89,customer_lookup!$A:$E,3,FALSE),"")</f>
        <v>MO</v>
      </c>
      <c r="F89" s="28" t="str">
        <f>IFERROR(VLOOKUP(C89,customer_lookup!$A:$E,5,FALSE),"")</f>
        <v>Avery</v>
      </c>
      <c r="G89" s="25" t="s">
        <v>63</v>
      </c>
      <c r="H89" s="25" t="s">
        <v>90</v>
      </c>
      <c r="I89" s="27" t="str">
        <f>IFERROR(VLOOKUP(H89,product_lookup!$A:$D,2,FALSE),"")</f>
        <v>Blackberry Sparkling Beverage</v>
      </c>
      <c r="J89" s="29">
        <v>18.0</v>
      </c>
      <c r="K89" s="30">
        <v>7.85</v>
      </c>
      <c r="L89" s="31">
        <f t="shared" si="1"/>
        <v>141.3</v>
      </c>
      <c r="M89" s="25" t="s">
        <v>97</v>
      </c>
      <c r="N89" s="26">
        <v>46090.0</v>
      </c>
      <c r="O89" s="27">
        <f>SUMIF(inventory_snapshot!$B:$B,H89,inventory_snapshot!$E:$E)</f>
        <v>1292</v>
      </c>
      <c r="P89" s="32" t="str">
        <f t="shared" si="2"/>
        <v>OK</v>
      </c>
      <c r="Q89" s="32" t="str">
        <f t="shared" si="3"/>
        <v>OK</v>
      </c>
      <c r="R89" s="32" t="str">
        <f t="shared" si="4"/>
        <v>OK</v>
      </c>
      <c r="S89" s="32" t="str">
        <f t="shared" si="5"/>
        <v>Small</v>
      </c>
    </row>
    <row r="90" ht="15.75" customHeight="1">
      <c r="A90" s="17" t="s">
        <v>199</v>
      </c>
      <c r="B90" s="18">
        <v>46107.0</v>
      </c>
      <c r="C90" s="17" t="s">
        <v>195</v>
      </c>
      <c r="D90" s="19" t="str">
        <f>IFERROR(VLOOKUP(C90,customer_lookup!$A:$E,2,FALSE),"")</f>
        <v>MO Account 0117</v>
      </c>
      <c r="E90" s="19" t="str">
        <f>IFERROR(VLOOKUP(C90,customer_lookup!$A:$E,3,FALSE),"")</f>
        <v>MO</v>
      </c>
      <c r="F90" s="20" t="str">
        <f>IFERROR(VLOOKUP(C90,customer_lookup!$A:$E,5,FALSE),"")</f>
        <v>Avery</v>
      </c>
      <c r="G90" s="17" t="s">
        <v>63</v>
      </c>
      <c r="H90" s="17" t="s">
        <v>90</v>
      </c>
      <c r="I90" s="19" t="str">
        <f>IFERROR(VLOOKUP(H90,product_lookup!$A:$D,2,FALSE),"")</f>
        <v>Blackberry Sparkling Beverage</v>
      </c>
      <c r="J90" s="21">
        <v>60.0</v>
      </c>
      <c r="K90" s="22">
        <v>6.77</v>
      </c>
      <c r="L90" s="23">
        <f t="shared" si="1"/>
        <v>406.2</v>
      </c>
      <c r="M90" s="17" t="s">
        <v>65</v>
      </c>
      <c r="N90" s="18">
        <v>46108.0</v>
      </c>
      <c r="O90" s="19">
        <f>SUMIF(inventory_snapshot!$B:$B,H90,inventory_snapshot!$E:$E)</f>
        <v>1292</v>
      </c>
      <c r="P90" s="24" t="str">
        <f t="shared" si="2"/>
        <v>OK</v>
      </c>
      <c r="Q90" s="24" t="str">
        <f t="shared" si="3"/>
        <v>OK</v>
      </c>
      <c r="R90" s="24" t="str">
        <f t="shared" si="4"/>
        <v>OK</v>
      </c>
      <c r="S90" s="24" t="str">
        <f t="shared" si="5"/>
        <v>Small</v>
      </c>
    </row>
    <row r="91" ht="15.75" customHeight="1">
      <c r="A91" s="25" t="s">
        <v>200</v>
      </c>
      <c r="B91" s="26">
        <v>46042.0</v>
      </c>
      <c r="C91" s="25" t="s">
        <v>174</v>
      </c>
      <c r="D91" s="27" t="str">
        <f>IFERROR(VLOOKUP(C91,customer_lookup!$A:$E,2,FALSE),"")</f>
        <v>NY Account 0011</v>
      </c>
      <c r="E91" s="27" t="str">
        <f>IFERROR(VLOOKUP(C91,customer_lookup!$A:$E,3,FALSE),"")</f>
        <v>NY</v>
      </c>
      <c r="F91" s="28" t="str">
        <f>IFERROR(VLOOKUP(C91,customer_lookup!$A:$E,5,FALSE),"")</f>
        <v>Avery</v>
      </c>
      <c r="G91" s="25" t="s">
        <v>67</v>
      </c>
      <c r="H91" s="25" t="s">
        <v>115</v>
      </c>
      <c r="I91" s="27" t="str">
        <f>IFERROR(VLOOKUP(H91,product_lookup!$A:$D,2,FALSE),"")</f>
        <v>Pear 1:1 Gummies</v>
      </c>
      <c r="J91" s="29">
        <v>48.0</v>
      </c>
      <c r="K91" s="30">
        <v>11.73</v>
      </c>
      <c r="L91" s="31">
        <f t="shared" si="1"/>
        <v>563.04</v>
      </c>
      <c r="M91" s="25" t="s">
        <v>65</v>
      </c>
      <c r="N91" s="26">
        <v>46048.0</v>
      </c>
      <c r="O91" s="27">
        <f>SUMIF(inventory_snapshot!$B:$B,H91,inventory_snapshot!$E:$E)</f>
        <v>981</v>
      </c>
      <c r="P91" s="32" t="str">
        <f t="shared" si="2"/>
        <v>OK</v>
      </c>
      <c r="Q91" s="32" t="str">
        <f t="shared" si="3"/>
        <v>OK</v>
      </c>
      <c r="R91" s="32" t="str">
        <f t="shared" si="4"/>
        <v>OK</v>
      </c>
      <c r="S91" s="32" t="str">
        <f t="shared" si="5"/>
        <v>Medium</v>
      </c>
    </row>
    <row r="92" ht="15.75" customHeight="1">
      <c r="A92" s="17" t="s">
        <v>201</v>
      </c>
      <c r="B92" s="18">
        <v>46080.0</v>
      </c>
      <c r="C92" s="17" t="s">
        <v>179</v>
      </c>
      <c r="D92" s="19" t="str">
        <f>IFERROR(VLOOKUP(C92,customer_lookup!$A:$E,2,FALSE),"")</f>
        <v>NV Account 0114</v>
      </c>
      <c r="E92" s="19" t="str">
        <f>IFERROR(VLOOKUP(C92,customer_lookup!$A:$E,3,FALSE),"")</f>
        <v>NV</v>
      </c>
      <c r="F92" s="20" t="str">
        <f>IFERROR(VLOOKUP(C92,customer_lookup!$A:$E,5,FALSE),"")</f>
        <v>Avery</v>
      </c>
      <c r="G92" s="17" t="s">
        <v>63</v>
      </c>
      <c r="H92" s="17" t="s">
        <v>162</v>
      </c>
      <c r="I92" s="19" t="str">
        <f>IFERROR(VLOOKUP(H92,product_lookup!$A:$D,2,FALSE),"")</f>
        <v>Marionberry THC Gummies</v>
      </c>
      <c r="J92" s="21">
        <v>96.0</v>
      </c>
      <c r="K92" s="22">
        <v>10.11</v>
      </c>
      <c r="L92" s="23">
        <f t="shared" si="1"/>
        <v>970.56</v>
      </c>
      <c r="M92" s="17" t="s">
        <v>100</v>
      </c>
      <c r="N92" s="18">
        <v>46085.0</v>
      </c>
      <c r="O92" s="19">
        <f>SUMIF(inventory_snapshot!$B:$B,H92,inventory_snapshot!$E:$E)</f>
        <v>1599</v>
      </c>
      <c r="P92" s="24" t="str">
        <f t="shared" si="2"/>
        <v>OK</v>
      </c>
      <c r="Q92" s="24" t="str">
        <f t="shared" si="3"/>
        <v>OK</v>
      </c>
      <c r="R92" s="24" t="str">
        <f t="shared" si="4"/>
        <v>OK</v>
      </c>
      <c r="S92" s="24" t="str">
        <f t="shared" si="5"/>
        <v>Medium</v>
      </c>
    </row>
    <row r="93" ht="15.75" customHeight="1">
      <c r="A93" s="25" t="s">
        <v>202</v>
      </c>
      <c r="B93" s="26">
        <v>46077.0</v>
      </c>
      <c r="C93" s="25" t="s">
        <v>198</v>
      </c>
      <c r="D93" s="27" t="str">
        <f>IFERROR(VLOOKUP(C93,customer_lookup!$A:$E,2,FALSE),"")</f>
        <v>MO Account 0093</v>
      </c>
      <c r="E93" s="27" t="str">
        <f>IFERROR(VLOOKUP(C93,customer_lookup!$A:$E,3,FALSE),"")</f>
        <v>MO</v>
      </c>
      <c r="F93" s="28" t="str">
        <f>IFERROR(VLOOKUP(C93,customer_lookup!$A:$E,5,FALSE),"")</f>
        <v>Avery</v>
      </c>
      <c r="G93" s="25" t="s">
        <v>63</v>
      </c>
      <c r="H93" s="25" t="s">
        <v>123</v>
      </c>
      <c r="I93" s="27" t="str">
        <f>IFERROR(VLOOKUP(H93,product_lookup!$A:$D,2,FALSE),"")</f>
        <v>Peach 2:1 Gummies</v>
      </c>
      <c r="J93" s="29">
        <v>120.0</v>
      </c>
      <c r="K93" s="30">
        <v>9.87</v>
      </c>
      <c r="L93" s="31">
        <f t="shared" si="1"/>
        <v>1184.4</v>
      </c>
      <c r="M93" s="25" t="s">
        <v>100</v>
      </c>
      <c r="N93" s="26">
        <v>46079.0</v>
      </c>
      <c r="O93" s="27">
        <f>SUMIF(inventory_snapshot!$B:$B,H93,inventory_snapshot!$E:$E)</f>
        <v>1732</v>
      </c>
      <c r="P93" s="32" t="str">
        <f t="shared" si="2"/>
        <v>OK</v>
      </c>
      <c r="Q93" s="32" t="str">
        <f t="shared" si="3"/>
        <v>OK</v>
      </c>
      <c r="R93" s="32" t="str">
        <f t="shared" si="4"/>
        <v>OK</v>
      </c>
      <c r="S93" s="32" t="str">
        <f t="shared" si="5"/>
        <v>Large</v>
      </c>
    </row>
    <row r="94" ht="15.75" customHeight="1">
      <c r="A94" s="17" t="s">
        <v>203</v>
      </c>
      <c r="B94" s="18">
        <v>46068.0</v>
      </c>
      <c r="C94" s="17" t="s">
        <v>189</v>
      </c>
      <c r="D94" s="19" t="str">
        <f>IFERROR(VLOOKUP(C94,customer_lookup!$A:$E,2,FALSE),"")</f>
        <v>OK Account 0012</v>
      </c>
      <c r="E94" s="19" t="str">
        <f>IFERROR(VLOOKUP(C94,customer_lookup!$A:$E,3,FALSE),"")</f>
        <v>OK</v>
      </c>
      <c r="F94" s="20" t="str">
        <f>IFERROR(VLOOKUP(C94,customer_lookup!$A:$E,5,FALSE),"")</f>
        <v>Avery</v>
      </c>
      <c r="G94" s="17" t="s">
        <v>63</v>
      </c>
      <c r="H94" s="17" t="s">
        <v>123</v>
      </c>
      <c r="I94" s="19" t="str">
        <f>IFERROR(VLOOKUP(H94,product_lookup!$A:$D,2,FALSE),"")</f>
        <v>Peach 2:1 Gummies</v>
      </c>
      <c r="J94" s="21">
        <v>48.0</v>
      </c>
      <c r="K94" s="22">
        <v>10.78</v>
      </c>
      <c r="L94" s="23">
        <f t="shared" si="1"/>
        <v>517.44</v>
      </c>
      <c r="M94" s="17" t="s">
        <v>65</v>
      </c>
      <c r="N94" s="18">
        <v>46071.0</v>
      </c>
      <c r="O94" s="19">
        <f>SUMIF(inventory_snapshot!$B:$B,H94,inventory_snapshot!$E:$E)</f>
        <v>1732</v>
      </c>
      <c r="P94" s="24" t="str">
        <f t="shared" si="2"/>
        <v>OK</v>
      </c>
      <c r="Q94" s="24" t="str">
        <f t="shared" si="3"/>
        <v>OK</v>
      </c>
      <c r="R94" s="24" t="str">
        <f t="shared" si="4"/>
        <v>OK</v>
      </c>
      <c r="S94" s="24" t="str">
        <f t="shared" si="5"/>
        <v>Medium</v>
      </c>
    </row>
    <row r="95" ht="15.75" customHeight="1">
      <c r="A95" s="25" t="s">
        <v>204</v>
      </c>
      <c r="B95" s="26">
        <v>46068.0</v>
      </c>
      <c r="C95" s="25" t="s">
        <v>170</v>
      </c>
      <c r="D95" s="27" t="str">
        <f>IFERROR(VLOOKUP(C95,customer_lookup!$A:$E,2,FALSE),"")</f>
        <v>IL Account 0055</v>
      </c>
      <c r="E95" s="27" t="str">
        <f>IFERROR(VLOOKUP(C95,customer_lookup!$A:$E,3,FALSE),"")</f>
        <v>IL</v>
      </c>
      <c r="F95" s="28" t="str">
        <f>IFERROR(VLOOKUP(C95,customer_lookup!$A:$E,5,FALSE),"")</f>
        <v>Avery</v>
      </c>
      <c r="G95" s="25" t="s">
        <v>63</v>
      </c>
      <c r="H95" s="25" t="s">
        <v>154</v>
      </c>
      <c r="I95" s="27" t="str">
        <f>IFERROR(VLOOKUP(H95,product_lookup!$A:$D,2,FALSE),"")</f>
        <v>Kiwi 1:1 Gummies</v>
      </c>
      <c r="J95" s="29">
        <v>24.0</v>
      </c>
      <c r="K95" s="30">
        <v>11.63</v>
      </c>
      <c r="L95" s="31">
        <f t="shared" si="1"/>
        <v>279.12</v>
      </c>
      <c r="M95" s="25" t="s">
        <v>97</v>
      </c>
      <c r="N95" s="26">
        <v>46071.0</v>
      </c>
      <c r="O95" s="27">
        <f>SUMIF(inventory_snapshot!$B:$B,H95,inventory_snapshot!$E:$E)</f>
        <v>1136</v>
      </c>
      <c r="P95" s="32" t="str">
        <f t="shared" si="2"/>
        <v>OK</v>
      </c>
      <c r="Q95" s="32" t="str">
        <f t="shared" si="3"/>
        <v>OK</v>
      </c>
      <c r="R95" s="32" t="str">
        <f t="shared" si="4"/>
        <v>OK</v>
      </c>
      <c r="S95" s="32" t="str">
        <f t="shared" si="5"/>
        <v>Small</v>
      </c>
    </row>
    <row r="96" ht="15.75" customHeight="1">
      <c r="A96" s="17" t="s">
        <v>205</v>
      </c>
      <c r="B96" s="18">
        <v>46054.0</v>
      </c>
      <c r="C96" s="17" t="s">
        <v>179</v>
      </c>
      <c r="D96" s="19" t="str">
        <f>IFERROR(VLOOKUP(C96,customer_lookup!$A:$E,2,FALSE),"")</f>
        <v>NV Account 0114</v>
      </c>
      <c r="E96" s="19" t="str">
        <f>IFERROR(VLOOKUP(C96,customer_lookup!$A:$E,3,FALSE),"")</f>
        <v>NV</v>
      </c>
      <c r="F96" s="20" t="str">
        <f>IFERROR(VLOOKUP(C96,customer_lookup!$A:$E,5,FALSE),"")</f>
        <v>Avery</v>
      </c>
      <c r="G96" s="17" t="s">
        <v>63</v>
      </c>
      <c r="H96" s="17" t="s">
        <v>190</v>
      </c>
      <c r="I96" s="19" t="str">
        <f>IFERROR(VLOOKUP(H96,product_lookup!$A:$D,2,FALSE),"")</f>
        <v>Mango Sparkling Beverage</v>
      </c>
      <c r="J96" s="21">
        <v>120.0</v>
      </c>
      <c r="K96" s="22">
        <v>8.24</v>
      </c>
      <c r="L96" s="23">
        <f t="shared" si="1"/>
        <v>988.8</v>
      </c>
      <c r="M96" s="17" t="s">
        <v>65</v>
      </c>
      <c r="N96" s="18">
        <v>46061.0</v>
      </c>
      <c r="O96" s="19">
        <f>SUMIF(inventory_snapshot!$B:$B,H96,inventory_snapshot!$E:$E)</f>
        <v>1502</v>
      </c>
      <c r="P96" s="24" t="str">
        <f t="shared" si="2"/>
        <v>OK</v>
      </c>
      <c r="Q96" s="24" t="str">
        <f t="shared" si="3"/>
        <v>OK</v>
      </c>
      <c r="R96" s="24" t="str">
        <f t="shared" si="4"/>
        <v>OK</v>
      </c>
      <c r="S96" s="24" t="str">
        <f t="shared" si="5"/>
        <v>Medium</v>
      </c>
    </row>
    <row r="97" ht="15.75" customHeight="1">
      <c r="A97" s="25" t="s">
        <v>206</v>
      </c>
      <c r="B97" s="26">
        <v>46030.0</v>
      </c>
      <c r="C97" s="25" t="s">
        <v>207</v>
      </c>
      <c r="D97" s="27" t="str">
        <f>IFERROR(VLOOKUP(C97,customer_lookup!$A:$E,2,FALSE),"")</f>
        <v>AZ Account 0005</v>
      </c>
      <c r="E97" s="27" t="str">
        <f>IFERROR(VLOOKUP(C97,customer_lookup!$A:$E,3,FALSE),"")</f>
        <v>AZ</v>
      </c>
      <c r="F97" s="28" t="str">
        <f>IFERROR(VLOOKUP(C97,customer_lookup!$A:$E,5,FALSE),"")</f>
        <v>Avery</v>
      </c>
      <c r="G97" s="25" t="s">
        <v>63</v>
      </c>
      <c r="H97" s="25" t="s">
        <v>110</v>
      </c>
      <c r="I97" s="27" t="str">
        <f>IFERROR(VLOOKUP(H97,product_lookup!$A:$D,2,FALSE),"")</f>
        <v>Elderberry 2:1 Gummies</v>
      </c>
      <c r="J97" s="29">
        <v>24.0</v>
      </c>
      <c r="K97" s="30">
        <v>11.22</v>
      </c>
      <c r="L97" s="31">
        <f t="shared" si="1"/>
        <v>269.28</v>
      </c>
      <c r="M97" s="25" t="s">
        <v>100</v>
      </c>
      <c r="N97" s="26">
        <v>46036.0</v>
      </c>
      <c r="O97" s="27">
        <f>SUMIF(inventory_snapshot!$B:$B,H97,inventory_snapshot!$E:$E)</f>
        <v>1633</v>
      </c>
      <c r="P97" s="32" t="str">
        <f t="shared" si="2"/>
        <v>OK</v>
      </c>
      <c r="Q97" s="32" t="str">
        <f t="shared" si="3"/>
        <v>OK</v>
      </c>
      <c r="R97" s="32" t="str">
        <f t="shared" si="4"/>
        <v>OK</v>
      </c>
      <c r="S97" s="32" t="str">
        <f t="shared" si="5"/>
        <v>Small</v>
      </c>
    </row>
    <row r="98" ht="15.75" customHeight="1">
      <c r="A98" s="17" t="s">
        <v>208</v>
      </c>
      <c r="B98" s="18">
        <v>46123.0</v>
      </c>
      <c r="C98" s="17" t="s">
        <v>179</v>
      </c>
      <c r="D98" s="19" t="str">
        <f>IFERROR(VLOOKUP(C98,customer_lookup!$A:$E,2,FALSE),"")</f>
        <v>NV Account 0114</v>
      </c>
      <c r="E98" s="19" t="str">
        <f>IFERROR(VLOOKUP(C98,customer_lookup!$A:$E,3,FALSE),"")</f>
        <v>NV</v>
      </c>
      <c r="F98" s="20" t="str">
        <f>IFERROR(VLOOKUP(C98,customer_lookup!$A:$E,5,FALSE),"")</f>
        <v>Avery</v>
      </c>
      <c r="G98" s="17" t="s">
        <v>63</v>
      </c>
      <c r="H98" s="17" t="s">
        <v>71</v>
      </c>
      <c r="I98" s="19" t="str">
        <f>IFERROR(VLOOKUP(H98,product_lookup!$A:$D,2,FALSE),"")</f>
        <v>Pineapple Sparkling Beverage</v>
      </c>
      <c r="J98" s="21">
        <v>36.0</v>
      </c>
      <c r="K98" s="22">
        <v>7.32</v>
      </c>
      <c r="L98" s="23">
        <f t="shared" si="1"/>
        <v>263.52</v>
      </c>
      <c r="M98" s="17" t="s">
        <v>65</v>
      </c>
      <c r="N98" s="18">
        <v>46128.0</v>
      </c>
      <c r="O98" s="19">
        <f>SUMIF(inventory_snapshot!$B:$B,H98,inventory_snapshot!$E:$E)</f>
        <v>1145</v>
      </c>
      <c r="P98" s="24" t="str">
        <f t="shared" si="2"/>
        <v>OK</v>
      </c>
      <c r="Q98" s="24" t="str">
        <f t="shared" si="3"/>
        <v>OK</v>
      </c>
      <c r="R98" s="24" t="str">
        <f t="shared" si="4"/>
        <v>OK</v>
      </c>
      <c r="S98" s="24" t="str">
        <f t="shared" si="5"/>
        <v>Small</v>
      </c>
    </row>
    <row r="99" ht="15.75" customHeight="1">
      <c r="A99" s="25" t="s">
        <v>209</v>
      </c>
      <c r="B99" s="26">
        <v>46060.0</v>
      </c>
      <c r="C99" s="25" t="s">
        <v>170</v>
      </c>
      <c r="D99" s="27" t="str">
        <f>IFERROR(VLOOKUP(C99,customer_lookup!$A:$E,2,FALSE),"")</f>
        <v>IL Account 0055</v>
      </c>
      <c r="E99" s="27" t="str">
        <f>IFERROR(VLOOKUP(C99,customer_lookup!$A:$E,3,FALSE),"")</f>
        <v>IL</v>
      </c>
      <c r="F99" s="28" t="str">
        <f>IFERROR(VLOOKUP(C99,customer_lookup!$A:$E,5,FALSE),"")</f>
        <v>Avery</v>
      </c>
      <c r="G99" s="25" t="s">
        <v>63</v>
      </c>
      <c r="H99" s="25" t="s">
        <v>110</v>
      </c>
      <c r="I99" s="27" t="str">
        <f>IFERROR(VLOOKUP(H99,product_lookup!$A:$D,2,FALSE),"")</f>
        <v>Elderberry 2:1 Gummies</v>
      </c>
      <c r="J99" s="29">
        <v>120.0</v>
      </c>
      <c r="K99" s="30">
        <v>11.28</v>
      </c>
      <c r="L99" s="31">
        <f t="shared" si="1"/>
        <v>1353.6</v>
      </c>
      <c r="M99" s="25" t="s">
        <v>65</v>
      </c>
      <c r="N99" s="26">
        <v>46064.0</v>
      </c>
      <c r="O99" s="27">
        <f>SUMIF(inventory_snapshot!$B:$B,H99,inventory_snapshot!$E:$E)</f>
        <v>1633</v>
      </c>
      <c r="P99" s="32" t="str">
        <f t="shared" si="2"/>
        <v>OK</v>
      </c>
      <c r="Q99" s="32" t="str">
        <f t="shared" si="3"/>
        <v>OK</v>
      </c>
      <c r="R99" s="32" t="str">
        <f t="shared" si="4"/>
        <v>OK</v>
      </c>
      <c r="S99" s="32" t="str">
        <f t="shared" si="5"/>
        <v>Large</v>
      </c>
    </row>
    <row r="100" ht="15.75" customHeight="1">
      <c r="A100" s="17" t="s">
        <v>210</v>
      </c>
      <c r="B100" s="18">
        <v>46131.0</v>
      </c>
      <c r="C100" s="17" t="s">
        <v>174</v>
      </c>
      <c r="D100" s="19" t="str">
        <f>IFERROR(VLOOKUP(C100,customer_lookup!$A:$E,2,FALSE),"")</f>
        <v>NY Account 0011</v>
      </c>
      <c r="E100" s="19" t="str">
        <f>IFERROR(VLOOKUP(C100,customer_lookup!$A:$E,3,FALSE),"")</f>
        <v>NY</v>
      </c>
      <c r="F100" s="20" t="str">
        <f>IFERROR(VLOOKUP(C100,customer_lookup!$A:$E,5,FALSE),"")</f>
        <v>Avery</v>
      </c>
      <c r="G100" s="17" t="s">
        <v>63</v>
      </c>
      <c r="H100" s="17" t="s">
        <v>90</v>
      </c>
      <c r="I100" s="19" t="str">
        <f>IFERROR(VLOOKUP(H100,product_lookup!$A:$D,2,FALSE),"")</f>
        <v>Blackberry Sparkling Beverage</v>
      </c>
      <c r="J100" s="21">
        <v>12.0</v>
      </c>
      <c r="K100" s="22">
        <v>7.21</v>
      </c>
      <c r="L100" s="23">
        <f t="shared" si="1"/>
        <v>86.52</v>
      </c>
      <c r="M100" s="17" t="s">
        <v>75</v>
      </c>
      <c r="N100" s="18">
        <v>46136.0</v>
      </c>
      <c r="O100" s="19">
        <f>SUMIF(inventory_snapshot!$B:$B,H100,inventory_snapshot!$E:$E)</f>
        <v>1292</v>
      </c>
      <c r="P100" s="24" t="str">
        <f t="shared" si="2"/>
        <v>OK</v>
      </c>
      <c r="Q100" s="24" t="str">
        <f t="shared" si="3"/>
        <v>OK</v>
      </c>
      <c r="R100" s="24" t="str">
        <f t="shared" si="4"/>
        <v>OK</v>
      </c>
      <c r="S100" s="24" t="str">
        <f t="shared" si="5"/>
        <v>Small</v>
      </c>
    </row>
    <row r="101" ht="15.75" customHeight="1">
      <c r="A101" s="25" t="s">
        <v>211</v>
      </c>
      <c r="B101" s="26">
        <v>46063.0</v>
      </c>
      <c r="C101" s="25" t="s">
        <v>168</v>
      </c>
      <c r="D101" s="27" t="str">
        <f>IFERROR(VLOOKUP(C101,customer_lookup!$A:$E,2,FALSE),"")</f>
        <v>MO Account 0081</v>
      </c>
      <c r="E101" s="27" t="str">
        <f>IFERROR(VLOOKUP(C101,customer_lookup!$A:$E,3,FALSE),"")</f>
        <v>MO</v>
      </c>
      <c r="F101" s="28" t="str">
        <f>IFERROR(VLOOKUP(C101,customer_lookup!$A:$E,5,FALSE),"")</f>
        <v>Avery</v>
      </c>
      <c r="G101" s="25" t="s">
        <v>63</v>
      </c>
      <c r="H101" s="25" t="s">
        <v>154</v>
      </c>
      <c r="I101" s="27" t="str">
        <f>IFERROR(VLOOKUP(H101,product_lookup!$A:$D,2,FALSE),"")</f>
        <v>Kiwi 1:1 Gummies</v>
      </c>
      <c r="J101" s="29">
        <v>120.0</v>
      </c>
      <c r="K101" s="30">
        <v>9.8</v>
      </c>
      <c r="L101" s="31">
        <f t="shared" si="1"/>
        <v>1176</v>
      </c>
      <c r="M101" s="25" t="s">
        <v>137</v>
      </c>
      <c r="N101" s="26">
        <v>46066.0</v>
      </c>
      <c r="O101" s="27">
        <f>SUMIF(inventory_snapshot!$B:$B,H101,inventory_snapshot!$E:$E)</f>
        <v>1136</v>
      </c>
      <c r="P101" s="32" t="str">
        <f t="shared" si="2"/>
        <v>OK</v>
      </c>
      <c r="Q101" s="32" t="str">
        <f t="shared" si="3"/>
        <v>OK</v>
      </c>
      <c r="R101" s="32" t="str">
        <f t="shared" si="4"/>
        <v>OK</v>
      </c>
      <c r="S101" s="32" t="str">
        <f t="shared" si="5"/>
        <v>Large</v>
      </c>
    </row>
    <row r="102" ht="15.75" customHeight="1">
      <c r="A102" s="17" t="s">
        <v>212</v>
      </c>
      <c r="B102" s="18">
        <v>46032.0</v>
      </c>
      <c r="C102" s="17" t="s">
        <v>189</v>
      </c>
      <c r="D102" s="19" t="str">
        <f>IFERROR(VLOOKUP(C102,customer_lookup!$A:$E,2,FALSE),"")</f>
        <v>OK Account 0012</v>
      </c>
      <c r="E102" s="19" t="str">
        <f>IFERROR(VLOOKUP(C102,customer_lookup!$A:$E,3,FALSE),"")</f>
        <v>OK</v>
      </c>
      <c r="F102" s="20" t="str">
        <f>IFERROR(VLOOKUP(C102,customer_lookup!$A:$E,5,FALSE),"")</f>
        <v>Avery</v>
      </c>
      <c r="G102" s="17" t="s">
        <v>63</v>
      </c>
      <c r="H102" s="17" t="s">
        <v>190</v>
      </c>
      <c r="I102" s="19" t="str">
        <f>IFERROR(VLOOKUP(H102,product_lookup!$A:$D,2,FALSE),"")</f>
        <v>Mango Sparkling Beverage</v>
      </c>
      <c r="J102" s="21">
        <v>12.0</v>
      </c>
      <c r="K102" s="22">
        <v>8.11</v>
      </c>
      <c r="L102" s="23">
        <f t="shared" si="1"/>
        <v>97.32</v>
      </c>
      <c r="M102" s="17" t="s">
        <v>65</v>
      </c>
      <c r="N102" s="18">
        <v>46037.0</v>
      </c>
      <c r="O102" s="19">
        <f>SUMIF(inventory_snapshot!$B:$B,H102,inventory_snapshot!$E:$E)</f>
        <v>1502</v>
      </c>
      <c r="P102" s="24" t="str">
        <f t="shared" si="2"/>
        <v>OK</v>
      </c>
      <c r="Q102" s="24" t="str">
        <f t="shared" si="3"/>
        <v>OK</v>
      </c>
      <c r="R102" s="24" t="str">
        <f t="shared" si="4"/>
        <v>OK</v>
      </c>
      <c r="S102" s="24" t="str">
        <f t="shared" si="5"/>
        <v>Small</v>
      </c>
    </row>
    <row r="103" ht="15.75" customHeight="1">
      <c r="A103" s="25" t="s">
        <v>213</v>
      </c>
      <c r="B103" s="26">
        <v>46094.0</v>
      </c>
      <c r="C103" s="25" t="s">
        <v>179</v>
      </c>
      <c r="D103" s="27" t="str">
        <f>IFERROR(VLOOKUP(C103,customer_lookup!$A:$E,2,FALSE),"")</f>
        <v>NV Account 0114</v>
      </c>
      <c r="E103" s="27" t="str">
        <f>IFERROR(VLOOKUP(C103,customer_lookup!$A:$E,3,FALSE),"")</f>
        <v>NV</v>
      </c>
      <c r="F103" s="28" t="str">
        <f>IFERROR(VLOOKUP(C103,customer_lookup!$A:$E,5,FALSE),"")</f>
        <v>Avery</v>
      </c>
      <c r="G103" s="25" t="s">
        <v>63</v>
      </c>
      <c r="H103" s="25" t="s">
        <v>190</v>
      </c>
      <c r="I103" s="27" t="str">
        <f>IFERROR(VLOOKUP(H103,product_lookup!$A:$D,2,FALSE),"")</f>
        <v>Mango Sparkling Beverage</v>
      </c>
      <c r="J103" s="29">
        <v>24.0</v>
      </c>
      <c r="K103" s="30">
        <v>7.73</v>
      </c>
      <c r="L103" s="31">
        <f t="shared" si="1"/>
        <v>185.52</v>
      </c>
      <c r="M103" s="25" t="s">
        <v>137</v>
      </c>
      <c r="N103" s="26">
        <v>46095.0</v>
      </c>
      <c r="O103" s="27">
        <f>SUMIF(inventory_snapshot!$B:$B,H103,inventory_snapshot!$E:$E)</f>
        <v>1502</v>
      </c>
      <c r="P103" s="32" t="str">
        <f t="shared" si="2"/>
        <v>OK</v>
      </c>
      <c r="Q103" s="32" t="str">
        <f t="shared" si="3"/>
        <v>OK</v>
      </c>
      <c r="R103" s="32" t="str">
        <f t="shared" si="4"/>
        <v>OK</v>
      </c>
      <c r="S103" s="32" t="str">
        <f t="shared" si="5"/>
        <v>Small</v>
      </c>
    </row>
    <row r="104" ht="15.75" customHeight="1">
      <c r="A104" s="17" t="s">
        <v>214</v>
      </c>
      <c r="B104" s="18">
        <v>46061.0</v>
      </c>
      <c r="C104" s="17" t="s">
        <v>179</v>
      </c>
      <c r="D104" s="19" t="str">
        <f>IFERROR(VLOOKUP(C104,customer_lookup!$A:$E,2,FALSE),"")</f>
        <v>NV Account 0114</v>
      </c>
      <c r="E104" s="19" t="str">
        <f>IFERROR(VLOOKUP(C104,customer_lookup!$A:$E,3,FALSE),"")</f>
        <v>NV</v>
      </c>
      <c r="F104" s="20" t="str">
        <f>IFERROR(VLOOKUP(C104,customer_lookup!$A:$E,5,FALSE),"")</f>
        <v>Avery</v>
      </c>
      <c r="G104" s="17" t="s">
        <v>89</v>
      </c>
      <c r="H104" s="17" t="s">
        <v>190</v>
      </c>
      <c r="I104" s="19" t="str">
        <f>IFERROR(VLOOKUP(H104,product_lookup!$A:$D,2,FALSE),"")</f>
        <v>Mango Sparkling Beverage</v>
      </c>
      <c r="J104" s="21">
        <v>72.0</v>
      </c>
      <c r="K104" s="22">
        <v>8.04</v>
      </c>
      <c r="L104" s="23">
        <f t="shared" si="1"/>
        <v>578.88</v>
      </c>
      <c r="M104" s="17" t="s">
        <v>65</v>
      </c>
      <c r="N104" s="18">
        <v>46065.0</v>
      </c>
      <c r="O104" s="19">
        <f>SUMIF(inventory_snapshot!$B:$B,H104,inventory_snapshot!$E:$E)</f>
        <v>1502</v>
      </c>
      <c r="P104" s="24" t="str">
        <f t="shared" si="2"/>
        <v>OK</v>
      </c>
      <c r="Q104" s="24" t="str">
        <f t="shared" si="3"/>
        <v>OK</v>
      </c>
      <c r="R104" s="24" t="str">
        <f t="shared" si="4"/>
        <v>OK</v>
      </c>
      <c r="S104" s="24" t="str">
        <f t="shared" si="5"/>
        <v>Medium</v>
      </c>
    </row>
    <row r="105" ht="15.75" customHeight="1">
      <c r="A105" s="25" t="s">
        <v>215</v>
      </c>
      <c r="B105" s="26">
        <v>46130.0</v>
      </c>
      <c r="C105" s="25" t="s">
        <v>168</v>
      </c>
      <c r="D105" s="27" t="str">
        <f>IFERROR(VLOOKUP(C105,customer_lookup!$A:$E,2,FALSE),"")</f>
        <v>MO Account 0081</v>
      </c>
      <c r="E105" s="27" t="str">
        <f>IFERROR(VLOOKUP(C105,customer_lookup!$A:$E,3,FALSE),"")</f>
        <v>MO</v>
      </c>
      <c r="F105" s="28" t="str">
        <f>IFERROR(VLOOKUP(C105,customer_lookup!$A:$E,5,FALSE),"")</f>
        <v>Avery</v>
      </c>
      <c r="G105" s="25" t="s">
        <v>63</v>
      </c>
      <c r="H105" s="25" t="s">
        <v>71</v>
      </c>
      <c r="I105" s="27" t="str">
        <f>IFERROR(VLOOKUP(H105,product_lookup!$A:$D,2,FALSE),"")</f>
        <v>Pineapple Sparkling Beverage</v>
      </c>
      <c r="J105" s="29">
        <v>120.0</v>
      </c>
      <c r="K105" s="30">
        <v>7.44</v>
      </c>
      <c r="L105" s="31">
        <f t="shared" si="1"/>
        <v>892.8</v>
      </c>
      <c r="M105" s="25" t="s">
        <v>65</v>
      </c>
      <c r="N105" s="26">
        <v>46132.0</v>
      </c>
      <c r="O105" s="27">
        <f>SUMIF(inventory_snapshot!$B:$B,H105,inventory_snapshot!$E:$E)</f>
        <v>1145</v>
      </c>
      <c r="P105" s="32" t="str">
        <f t="shared" si="2"/>
        <v>OK</v>
      </c>
      <c r="Q105" s="32" t="str">
        <f t="shared" si="3"/>
        <v>OK</v>
      </c>
      <c r="R105" s="32" t="str">
        <f t="shared" si="4"/>
        <v>OK</v>
      </c>
      <c r="S105" s="32" t="str">
        <f t="shared" si="5"/>
        <v>Medium</v>
      </c>
    </row>
    <row r="106" ht="15.75" customHeight="1">
      <c r="A106" s="17" t="s">
        <v>216</v>
      </c>
      <c r="B106" s="18">
        <v>46037.0</v>
      </c>
      <c r="C106" s="17" t="s">
        <v>184</v>
      </c>
      <c r="D106" s="19" t="str">
        <f>IFERROR(VLOOKUP(C106,customer_lookup!$A:$E,2,FALSE),"")</f>
        <v>OK Account 0084</v>
      </c>
      <c r="E106" s="19" t="str">
        <f>IFERROR(VLOOKUP(C106,customer_lookup!$A:$E,3,FALSE),"")</f>
        <v>OK</v>
      </c>
      <c r="F106" s="20" t="str">
        <f>IFERROR(VLOOKUP(C106,customer_lookup!$A:$E,5,FALSE),"")</f>
        <v>Avery</v>
      </c>
      <c r="G106" s="17" t="s">
        <v>63</v>
      </c>
      <c r="H106" s="17" t="s">
        <v>156</v>
      </c>
      <c r="I106" s="19" t="str">
        <f>IFERROR(VLOOKUP(H106,product_lookup!$A:$D,2,FALSE),"")</f>
        <v>Blood Orange 1:1 Gummies</v>
      </c>
      <c r="J106" s="21">
        <v>120.0</v>
      </c>
      <c r="K106" s="22">
        <v>9.69</v>
      </c>
      <c r="L106" s="23">
        <f t="shared" si="1"/>
        <v>1162.8</v>
      </c>
      <c r="M106" s="17" t="s">
        <v>97</v>
      </c>
      <c r="N106" s="18">
        <v>46047.0</v>
      </c>
      <c r="O106" s="19">
        <f>SUMIF(inventory_snapshot!$B:$B,H106,inventory_snapshot!$E:$E)</f>
        <v>1589</v>
      </c>
      <c r="P106" s="24" t="str">
        <f t="shared" si="2"/>
        <v>OK</v>
      </c>
      <c r="Q106" s="24" t="str">
        <f t="shared" si="3"/>
        <v>OK</v>
      </c>
      <c r="R106" s="24" t="str">
        <f t="shared" si="4"/>
        <v>OK</v>
      </c>
      <c r="S106" s="24" t="str">
        <f t="shared" si="5"/>
        <v>Large</v>
      </c>
    </row>
    <row r="107" ht="15.75" customHeight="1">
      <c r="A107" s="25" t="s">
        <v>217</v>
      </c>
      <c r="B107" s="26">
        <v>46071.0</v>
      </c>
      <c r="C107" s="25" t="s">
        <v>179</v>
      </c>
      <c r="D107" s="27" t="str">
        <f>IFERROR(VLOOKUP(C107,customer_lookup!$A:$E,2,FALSE),"")</f>
        <v>NV Account 0114</v>
      </c>
      <c r="E107" s="27" t="str">
        <f>IFERROR(VLOOKUP(C107,customer_lookup!$A:$E,3,FALSE),"")</f>
        <v>NV</v>
      </c>
      <c r="F107" s="28" t="str">
        <f>IFERROR(VLOOKUP(C107,customer_lookup!$A:$E,5,FALSE),"")</f>
        <v>Avery</v>
      </c>
      <c r="G107" s="25" t="s">
        <v>63</v>
      </c>
      <c r="H107" s="25" t="s">
        <v>92</v>
      </c>
      <c r="I107" s="27" t="str">
        <f>IFERROR(VLOOKUP(H107,product_lookup!$A:$D,2,FALSE),"")</f>
        <v>Raspberry THC Gummies</v>
      </c>
      <c r="J107" s="29">
        <v>12.0</v>
      </c>
      <c r="K107" s="30">
        <v>10.26</v>
      </c>
      <c r="L107" s="31">
        <f t="shared" si="1"/>
        <v>123.12</v>
      </c>
      <c r="M107" s="25" t="s">
        <v>65</v>
      </c>
      <c r="N107" s="26">
        <v>46080.0</v>
      </c>
      <c r="O107" s="27">
        <f>SUMIF(inventory_snapshot!$B:$B,H107,inventory_snapshot!$E:$E)</f>
        <v>1417</v>
      </c>
      <c r="P107" s="32" t="str">
        <f t="shared" si="2"/>
        <v>OK</v>
      </c>
      <c r="Q107" s="32" t="str">
        <f t="shared" si="3"/>
        <v>OK</v>
      </c>
      <c r="R107" s="32" t="str">
        <f t="shared" si="4"/>
        <v>OK</v>
      </c>
      <c r="S107" s="32" t="str">
        <f t="shared" si="5"/>
        <v>Small</v>
      </c>
    </row>
    <row r="108" ht="15.75" customHeight="1">
      <c r="A108" s="17" t="s">
        <v>218</v>
      </c>
      <c r="B108" s="18">
        <v>46080.0</v>
      </c>
      <c r="C108" s="17" t="s">
        <v>177</v>
      </c>
      <c r="D108" s="19" t="str">
        <f>IFERROR(VLOOKUP(C108,customer_lookup!$A:$E,2,FALSE),"")</f>
        <v>IL Account 0103</v>
      </c>
      <c r="E108" s="19" t="str">
        <f>IFERROR(VLOOKUP(C108,customer_lookup!$A:$E,3,FALSE),"")</f>
        <v>IL</v>
      </c>
      <c r="F108" s="20" t="str">
        <f>IFERROR(VLOOKUP(C108,customer_lookup!$A:$E,5,FALSE),"")</f>
        <v>Avery</v>
      </c>
      <c r="G108" s="17" t="s">
        <v>63</v>
      </c>
      <c r="H108" s="17" t="s">
        <v>190</v>
      </c>
      <c r="I108" s="19" t="str">
        <f>IFERROR(VLOOKUP(H108,product_lookup!$A:$D,2,FALSE),"")</f>
        <v>Mango Sparkling Beverage</v>
      </c>
      <c r="J108" s="21">
        <v>60.0</v>
      </c>
      <c r="K108" s="22">
        <v>6.82</v>
      </c>
      <c r="L108" s="23">
        <f t="shared" si="1"/>
        <v>409.2</v>
      </c>
      <c r="M108" s="17" t="s">
        <v>93</v>
      </c>
      <c r="N108" s="18">
        <v>46089.0</v>
      </c>
      <c r="O108" s="19">
        <f>SUMIF(inventory_snapshot!$B:$B,H108,inventory_snapshot!$E:$E)</f>
        <v>1502</v>
      </c>
      <c r="P108" s="24" t="str">
        <f t="shared" si="2"/>
        <v>OK</v>
      </c>
      <c r="Q108" s="24" t="str">
        <f t="shared" si="3"/>
        <v>OK</v>
      </c>
      <c r="R108" s="24" t="str">
        <f t="shared" si="4"/>
        <v>OK</v>
      </c>
      <c r="S108" s="24" t="str">
        <f t="shared" si="5"/>
        <v>Small</v>
      </c>
    </row>
    <row r="109" ht="15.75" customHeight="1">
      <c r="A109" s="25" t="s">
        <v>219</v>
      </c>
      <c r="B109" s="26">
        <v>46091.0</v>
      </c>
      <c r="C109" s="25" t="s">
        <v>181</v>
      </c>
      <c r="D109" s="27" t="str">
        <f>IFERROR(VLOOKUP(C109,customer_lookup!$A:$E,2,FALSE),"")</f>
        <v>CA Account 0099</v>
      </c>
      <c r="E109" s="27" t="str">
        <f>IFERROR(VLOOKUP(C109,customer_lookup!$A:$E,3,FALSE),"")</f>
        <v>CA</v>
      </c>
      <c r="F109" s="28" t="str">
        <f>IFERROR(VLOOKUP(C109,customer_lookup!$A:$E,5,FALSE),"")</f>
        <v>Avery</v>
      </c>
      <c r="G109" s="25" t="s">
        <v>63</v>
      </c>
      <c r="H109" s="25" t="s">
        <v>81</v>
      </c>
      <c r="I109" s="27" t="str">
        <f>IFERROR(VLOOKUP(H109,product_lookup!$A:$D,2,FALSE),"")</f>
        <v>Lemon Sparkling Beverage</v>
      </c>
      <c r="J109" s="29">
        <v>6.0</v>
      </c>
      <c r="K109" s="30">
        <v>7.43</v>
      </c>
      <c r="L109" s="31">
        <f t="shared" si="1"/>
        <v>44.58</v>
      </c>
      <c r="M109" s="25" t="s">
        <v>97</v>
      </c>
      <c r="N109" s="26">
        <v>46095.0</v>
      </c>
      <c r="O109" s="27">
        <f>SUMIF(inventory_snapshot!$B:$B,H109,inventory_snapshot!$E:$E)</f>
        <v>1360</v>
      </c>
      <c r="P109" s="32" t="str">
        <f t="shared" si="2"/>
        <v>OK</v>
      </c>
      <c r="Q109" s="32" t="str">
        <f t="shared" si="3"/>
        <v>OK</v>
      </c>
      <c r="R109" s="32" t="str">
        <f t="shared" si="4"/>
        <v>OK</v>
      </c>
      <c r="S109" s="32" t="str">
        <f t="shared" si="5"/>
        <v>Small</v>
      </c>
    </row>
    <row r="110" ht="15.75" customHeight="1">
      <c r="A110" s="17" t="s">
        <v>220</v>
      </c>
      <c r="B110" s="18">
        <v>46032.0</v>
      </c>
      <c r="C110" s="17" t="s">
        <v>207</v>
      </c>
      <c r="D110" s="19" t="str">
        <f>IFERROR(VLOOKUP(C110,customer_lookup!$A:$E,2,FALSE),"")</f>
        <v>AZ Account 0005</v>
      </c>
      <c r="E110" s="19" t="str">
        <f>IFERROR(VLOOKUP(C110,customer_lookup!$A:$E,3,FALSE),"")</f>
        <v>AZ</v>
      </c>
      <c r="F110" s="20" t="str">
        <f>IFERROR(VLOOKUP(C110,customer_lookup!$A:$E,5,FALSE),"")</f>
        <v>Avery</v>
      </c>
      <c r="G110" s="17" t="s">
        <v>63</v>
      </c>
      <c r="H110" s="17" t="s">
        <v>110</v>
      </c>
      <c r="I110" s="19" t="str">
        <f>IFERROR(VLOOKUP(H110,product_lookup!$A:$D,2,FALSE),"")</f>
        <v>Elderberry 2:1 Gummies</v>
      </c>
      <c r="J110" s="21">
        <v>6.0</v>
      </c>
      <c r="K110" s="22">
        <v>10.29</v>
      </c>
      <c r="L110" s="23">
        <f t="shared" si="1"/>
        <v>61.74</v>
      </c>
      <c r="M110" s="17" t="s">
        <v>97</v>
      </c>
      <c r="N110" s="18">
        <v>46036.0</v>
      </c>
      <c r="O110" s="19">
        <f>SUMIF(inventory_snapshot!$B:$B,H110,inventory_snapshot!$E:$E)</f>
        <v>1633</v>
      </c>
      <c r="P110" s="24" t="str">
        <f t="shared" si="2"/>
        <v>OK</v>
      </c>
      <c r="Q110" s="24" t="str">
        <f t="shared" si="3"/>
        <v>OK</v>
      </c>
      <c r="R110" s="24" t="str">
        <f t="shared" si="4"/>
        <v>OK</v>
      </c>
      <c r="S110" s="24" t="str">
        <f t="shared" si="5"/>
        <v>Small</v>
      </c>
    </row>
    <row r="111" ht="15.75" customHeight="1">
      <c r="A111" s="25" t="s">
        <v>221</v>
      </c>
      <c r="B111" s="26">
        <v>46116.0</v>
      </c>
      <c r="C111" s="25" t="s">
        <v>181</v>
      </c>
      <c r="D111" s="27" t="str">
        <f>IFERROR(VLOOKUP(C111,customer_lookup!$A:$E,2,FALSE),"")</f>
        <v>CA Account 0099</v>
      </c>
      <c r="E111" s="27" t="str">
        <f>IFERROR(VLOOKUP(C111,customer_lookup!$A:$E,3,FALSE),"")</f>
        <v>CA</v>
      </c>
      <c r="F111" s="28" t="str">
        <f>IFERROR(VLOOKUP(C111,customer_lookup!$A:$E,5,FALSE),"")</f>
        <v>Avery</v>
      </c>
      <c r="G111" s="25" t="s">
        <v>63</v>
      </c>
      <c r="H111" s="25" t="s">
        <v>64</v>
      </c>
      <c r="I111" s="27" t="str">
        <f>IFERROR(VLOOKUP(H111,product_lookup!$A:$D,2,FALSE),"")</f>
        <v>Cranberry Sparkling Beverage</v>
      </c>
      <c r="J111" s="29">
        <v>30.0</v>
      </c>
      <c r="K111" s="30">
        <v>7.18</v>
      </c>
      <c r="L111" s="31">
        <f t="shared" si="1"/>
        <v>215.4</v>
      </c>
      <c r="M111" s="25" t="s">
        <v>65</v>
      </c>
      <c r="N111" s="26">
        <v>46122.0</v>
      </c>
      <c r="O111" s="27">
        <f>SUMIF(inventory_snapshot!$B:$B,H111,inventory_snapshot!$E:$E)</f>
        <v>1152</v>
      </c>
      <c r="P111" s="32" t="str">
        <f t="shared" si="2"/>
        <v>OK</v>
      </c>
      <c r="Q111" s="32" t="str">
        <f t="shared" si="3"/>
        <v>OK</v>
      </c>
      <c r="R111" s="32" t="str">
        <f t="shared" si="4"/>
        <v>OK</v>
      </c>
      <c r="S111" s="32" t="str">
        <f t="shared" si="5"/>
        <v>Small</v>
      </c>
    </row>
    <row r="112" ht="15.75" customHeight="1">
      <c r="A112" s="17" t="s">
        <v>222</v>
      </c>
      <c r="B112" s="18">
        <v>46055.0</v>
      </c>
      <c r="C112" s="17" t="s">
        <v>164</v>
      </c>
      <c r="D112" s="19" t="str">
        <f>IFERROR(VLOOKUP(C112,customer_lookup!$A:$E,2,FALSE),"")</f>
        <v>OK Account 0072</v>
      </c>
      <c r="E112" s="19" t="str">
        <f>IFERROR(VLOOKUP(C112,customer_lookup!$A:$E,3,FALSE),"")</f>
        <v>OK</v>
      </c>
      <c r="F112" s="20" t="str">
        <f>IFERROR(VLOOKUP(C112,customer_lookup!$A:$E,5,FALSE),"")</f>
        <v>Avery</v>
      </c>
      <c r="G112" s="17" t="s">
        <v>63</v>
      </c>
      <c r="H112" s="17" t="s">
        <v>90</v>
      </c>
      <c r="I112" s="19" t="str">
        <f>IFERROR(VLOOKUP(H112,product_lookup!$A:$D,2,FALSE),"")</f>
        <v>Blackberry Sparkling Beverage</v>
      </c>
      <c r="J112" s="21">
        <v>30.0</v>
      </c>
      <c r="K112" s="22">
        <v>7.62</v>
      </c>
      <c r="L112" s="23">
        <f t="shared" si="1"/>
        <v>228.6</v>
      </c>
      <c r="M112" s="17" t="s">
        <v>65</v>
      </c>
      <c r="N112" s="18">
        <v>46058.0</v>
      </c>
      <c r="O112" s="19">
        <f>SUMIF(inventory_snapshot!$B:$B,H112,inventory_snapshot!$E:$E)</f>
        <v>1292</v>
      </c>
      <c r="P112" s="24" t="str">
        <f t="shared" si="2"/>
        <v>OK</v>
      </c>
      <c r="Q112" s="24" t="str">
        <f t="shared" si="3"/>
        <v>OK</v>
      </c>
      <c r="R112" s="24" t="str">
        <f t="shared" si="4"/>
        <v>OK</v>
      </c>
      <c r="S112" s="24" t="str">
        <f t="shared" si="5"/>
        <v>Small</v>
      </c>
    </row>
    <row r="113" ht="15.75" customHeight="1">
      <c r="A113" s="25" t="s">
        <v>223</v>
      </c>
      <c r="B113" s="26">
        <v>46140.0</v>
      </c>
      <c r="C113" s="25" t="s">
        <v>198</v>
      </c>
      <c r="D113" s="27" t="str">
        <f>IFERROR(VLOOKUP(C113,customer_lookup!$A:$E,2,FALSE),"")</f>
        <v>MO Account 0093</v>
      </c>
      <c r="E113" s="27" t="str">
        <f>IFERROR(VLOOKUP(C113,customer_lookup!$A:$E,3,FALSE),"")</f>
        <v>MO</v>
      </c>
      <c r="F113" s="28" t="str">
        <f>IFERROR(VLOOKUP(C113,customer_lookup!$A:$E,5,FALSE),"")</f>
        <v>Avery</v>
      </c>
      <c r="G113" s="25" t="s">
        <v>63</v>
      </c>
      <c r="H113" s="25" t="s">
        <v>81</v>
      </c>
      <c r="I113" s="27" t="str">
        <f>IFERROR(VLOOKUP(H113,product_lookup!$A:$D,2,FALSE),"")</f>
        <v>Lemon Sparkling Beverage</v>
      </c>
      <c r="J113" s="29">
        <v>96.0</v>
      </c>
      <c r="K113" s="30">
        <v>7.03</v>
      </c>
      <c r="L113" s="31">
        <f t="shared" si="1"/>
        <v>674.88</v>
      </c>
      <c r="M113" s="25" t="s">
        <v>93</v>
      </c>
      <c r="N113" s="26">
        <v>46150.0</v>
      </c>
      <c r="O113" s="27">
        <f>SUMIF(inventory_snapshot!$B:$B,H113,inventory_snapshot!$E:$E)</f>
        <v>1360</v>
      </c>
      <c r="P113" s="32" t="str">
        <f t="shared" si="2"/>
        <v>OK</v>
      </c>
      <c r="Q113" s="32" t="str">
        <f t="shared" si="3"/>
        <v>OK</v>
      </c>
      <c r="R113" s="32" t="str">
        <f t="shared" si="4"/>
        <v>OK</v>
      </c>
      <c r="S113" s="32" t="str">
        <f t="shared" si="5"/>
        <v>Medium</v>
      </c>
    </row>
    <row r="114" ht="15.75" customHeight="1">
      <c r="A114" s="17" t="s">
        <v>224</v>
      </c>
      <c r="B114" s="18">
        <v>46055.0</v>
      </c>
      <c r="C114" s="17" t="s">
        <v>177</v>
      </c>
      <c r="D114" s="19" t="str">
        <f>IFERROR(VLOOKUP(C114,customer_lookup!$A:$E,2,FALSE),"")</f>
        <v>IL Account 0103</v>
      </c>
      <c r="E114" s="19" t="str">
        <f>IFERROR(VLOOKUP(C114,customer_lookup!$A:$E,3,FALSE),"")</f>
        <v>IL</v>
      </c>
      <c r="F114" s="20" t="str">
        <f>IFERROR(VLOOKUP(C114,customer_lookup!$A:$E,5,FALSE),"")</f>
        <v>Avery</v>
      </c>
      <c r="G114" s="17" t="s">
        <v>67</v>
      </c>
      <c r="H114" s="17" t="s">
        <v>190</v>
      </c>
      <c r="I114" s="19" t="str">
        <f>IFERROR(VLOOKUP(H114,product_lookup!$A:$D,2,FALSE),"")</f>
        <v>Mango Sparkling Beverage</v>
      </c>
      <c r="J114" s="21">
        <v>72.0</v>
      </c>
      <c r="K114" s="22">
        <v>7.97</v>
      </c>
      <c r="L114" s="23">
        <f t="shared" si="1"/>
        <v>573.84</v>
      </c>
      <c r="M114" s="17" t="s">
        <v>65</v>
      </c>
      <c r="N114" s="18">
        <v>46062.0</v>
      </c>
      <c r="O114" s="19">
        <f>SUMIF(inventory_snapshot!$B:$B,H114,inventory_snapshot!$E:$E)</f>
        <v>1502</v>
      </c>
      <c r="P114" s="24" t="str">
        <f t="shared" si="2"/>
        <v>OK</v>
      </c>
      <c r="Q114" s="24" t="str">
        <f t="shared" si="3"/>
        <v>OK</v>
      </c>
      <c r="R114" s="24" t="str">
        <f t="shared" si="4"/>
        <v>OK</v>
      </c>
      <c r="S114" s="24" t="str">
        <f t="shared" si="5"/>
        <v>Medium</v>
      </c>
    </row>
    <row r="115" ht="15.75" customHeight="1">
      <c r="A115" s="25" t="s">
        <v>225</v>
      </c>
      <c r="B115" s="26">
        <v>46122.0</v>
      </c>
      <c r="C115" s="25" t="s">
        <v>226</v>
      </c>
      <c r="D115" s="27" t="str">
        <f>IFERROR(VLOOKUP(C115,customer_lookup!$A:$E,2,FALSE),"")</f>
        <v>OR Account 0097</v>
      </c>
      <c r="E115" s="27" t="str">
        <f>IFERROR(VLOOKUP(C115,customer_lookup!$A:$E,3,FALSE),"")</f>
        <v>OR</v>
      </c>
      <c r="F115" s="28" t="str">
        <f>IFERROR(VLOOKUP(C115,customer_lookup!$A:$E,5,FALSE),"")</f>
        <v>Avery</v>
      </c>
      <c r="G115" s="25" t="s">
        <v>89</v>
      </c>
      <c r="H115" s="25" t="s">
        <v>92</v>
      </c>
      <c r="I115" s="27" t="str">
        <f>IFERROR(VLOOKUP(H115,product_lookup!$A:$D,2,FALSE),"")</f>
        <v>Raspberry THC Gummies</v>
      </c>
      <c r="J115" s="29">
        <v>60.0</v>
      </c>
      <c r="K115" s="30">
        <v>10.88</v>
      </c>
      <c r="L115" s="31">
        <f t="shared" si="1"/>
        <v>652.8</v>
      </c>
      <c r="M115" s="25" t="s">
        <v>93</v>
      </c>
      <c r="N115" s="26">
        <v>46130.0</v>
      </c>
      <c r="O115" s="27">
        <f>SUMIF(inventory_snapshot!$B:$B,H115,inventory_snapshot!$E:$E)</f>
        <v>1417</v>
      </c>
      <c r="P115" s="32" t="str">
        <f t="shared" si="2"/>
        <v>OK</v>
      </c>
      <c r="Q115" s="32" t="str">
        <f t="shared" si="3"/>
        <v>OK</v>
      </c>
      <c r="R115" s="32" t="str">
        <f t="shared" si="4"/>
        <v>OK</v>
      </c>
      <c r="S115" s="32" t="str">
        <f t="shared" si="5"/>
        <v>Medium</v>
      </c>
    </row>
    <row r="116" ht="15.75" customHeight="1">
      <c r="A116" s="17" t="s">
        <v>227</v>
      </c>
      <c r="B116" s="18">
        <v>46101.0</v>
      </c>
      <c r="C116" s="17" t="s">
        <v>174</v>
      </c>
      <c r="D116" s="19" t="str">
        <f>IFERROR(VLOOKUP(C116,customer_lookup!$A:$E,2,FALSE),"")</f>
        <v>NY Account 0011</v>
      </c>
      <c r="E116" s="19" t="str">
        <f>IFERROR(VLOOKUP(C116,customer_lookup!$A:$E,3,FALSE),"")</f>
        <v>NY</v>
      </c>
      <c r="F116" s="20" t="str">
        <f>IFERROR(VLOOKUP(C116,customer_lookup!$A:$E,5,FALSE),"")</f>
        <v>Avery</v>
      </c>
      <c r="G116" s="17" t="s">
        <v>63</v>
      </c>
      <c r="H116" s="17" t="s">
        <v>90</v>
      </c>
      <c r="I116" s="19" t="str">
        <f>IFERROR(VLOOKUP(H116,product_lookup!$A:$D,2,FALSE),"")</f>
        <v>Blackberry Sparkling Beverage</v>
      </c>
      <c r="J116" s="21">
        <v>6.0</v>
      </c>
      <c r="K116" s="22">
        <v>7.9</v>
      </c>
      <c r="L116" s="23">
        <f t="shared" si="1"/>
        <v>47.4</v>
      </c>
      <c r="M116" s="17" t="s">
        <v>65</v>
      </c>
      <c r="N116" s="18">
        <v>46109.0</v>
      </c>
      <c r="O116" s="19">
        <f>SUMIF(inventory_snapshot!$B:$B,H116,inventory_snapshot!$E:$E)</f>
        <v>1292</v>
      </c>
      <c r="P116" s="24" t="str">
        <f t="shared" si="2"/>
        <v>OK</v>
      </c>
      <c r="Q116" s="24" t="str">
        <f t="shared" si="3"/>
        <v>OK</v>
      </c>
      <c r="R116" s="24" t="str">
        <f t="shared" si="4"/>
        <v>OK</v>
      </c>
      <c r="S116" s="24" t="str">
        <f t="shared" si="5"/>
        <v>Small</v>
      </c>
    </row>
    <row r="117" ht="15.75" customHeight="1">
      <c r="A117" s="25" t="s">
        <v>228</v>
      </c>
      <c r="B117" s="26">
        <v>46076.0</v>
      </c>
      <c r="C117" s="25" t="s">
        <v>170</v>
      </c>
      <c r="D117" s="27" t="str">
        <f>IFERROR(VLOOKUP(C117,customer_lookup!$A:$E,2,FALSE),"")</f>
        <v>IL Account 0055</v>
      </c>
      <c r="E117" s="27" t="str">
        <f>IFERROR(VLOOKUP(C117,customer_lookup!$A:$E,3,FALSE),"")</f>
        <v>IL</v>
      </c>
      <c r="F117" s="28" t="str">
        <f>IFERROR(VLOOKUP(C117,customer_lookup!$A:$E,5,FALSE),"")</f>
        <v>Avery</v>
      </c>
      <c r="G117" s="25" t="s">
        <v>63</v>
      </c>
      <c r="H117" s="25" t="s">
        <v>162</v>
      </c>
      <c r="I117" s="27" t="str">
        <f>IFERROR(VLOOKUP(H117,product_lookup!$A:$D,2,FALSE),"")</f>
        <v>Marionberry THC Gummies</v>
      </c>
      <c r="J117" s="29">
        <v>36.0</v>
      </c>
      <c r="K117" s="30">
        <v>9.97</v>
      </c>
      <c r="L117" s="31">
        <f t="shared" si="1"/>
        <v>358.92</v>
      </c>
      <c r="M117" s="25" t="s">
        <v>75</v>
      </c>
      <c r="N117" s="26">
        <v>46086.0</v>
      </c>
      <c r="O117" s="27">
        <f>SUMIF(inventory_snapshot!$B:$B,H117,inventory_snapshot!$E:$E)</f>
        <v>1599</v>
      </c>
      <c r="P117" s="32" t="str">
        <f t="shared" si="2"/>
        <v>OK</v>
      </c>
      <c r="Q117" s="32" t="str">
        <f t="shared" si="3"/>
        <v>OK</v>
      </c>
      <c r="R117" s="32" t="str">
        <f t="shared" si="4"/>
        <v>OK</v>
      </c>
      <c r="S117" s="32" t="str">
        <f t="shared" si="5"/>
        <v>Small</v>
      </c>
    </row>
    <row r="118" ht="15.75" customHeight="1">
      <c r="A118" s="17" t="s">
        <v>229</v>
      </c>
      <c r="B118" s="18">
        <v>46044.0</v>
      </c>
      <c r="C118" s="17" t="s">
        <v>174</v>
      </c>
      <c r="D118" s="19" t="str">
        <f>IFERROR(VLOOKUP(C118,customer_lookup!$A:$E,2,FALSE),"")</f>
        <v>NY Account 0011</v>
      </c>
      <c r="E118" s="19" t="str">
        <f>IFERROR(VLOOKUP(C118,customer_lookup!$A:$E,3,FALSE),"")</f>
        <v>NY</v>
      </c>
      <c r="F118" s="20" t="str">
        <f>IFERROR(VLOOKUP(C118,customer_lookup!$A:$E,5,FALSE),"")</f>
        <v>Avery</v>
      </c>
      <c r="G118" s="17" t="s">
        <v>89</v>
      </c>
      <c r="H118" s="17" t="s">
        <v>162</v>
      </c>
      <c r="I118" s="19" t="str">
        <f>IFERROR(VLOOKUP(H118,product_lookup!$A:$D,2,FALSE),"")</f>
        <v>Marionberry THC Gummies</v>
      </c>
      <c r="J118" s="21">
        <v>48.0</v>
      </c>
      <c r="K118" s="22">
        <v>9.44</v>
      </c>
      <c r="L118" s="23">
        <f t="shared" si="1"/>
        <v>453.12</v>
      </c>
      <c r="M118" s="17" t="s">
        <v>100</v>
      </c>
      <c r="N118" s="18">
        <v>46053.0</v>
      </c>
      <c r="O118" s="19">
        <f>SUMIF(inventory_snapshot!$B:$B,H118,inventory_snapshot!$E:$E)</f>
        <v>1599</v>
      </c>
      <c r="P118" s="24" t="str">
        <f t="shared" si="2"/>
        <v>OK</v>
      </c>
      <c r="Q118" s="24" t="str">
        <f t="shared" si="3"/>
        <v>OK</v>
      </c>
      <c r="R118" s="24" t="str">
        <f t="shared" si="4"/>
        <v>OK</v>
      </c>
      <c r="S118" s="24" t="str">
        <f t="shared" si="5"/>
        <v>Small</v>
      </c>
    </row>
    <row r="119" ht="15.75" customHeight="1">
      <c r="A119" s="25" t="s">
        <v>230</v>
      </c>
      <c r="B119" s="26">
        <v>46078.0</v>
      </c>
      <c r="C119" s="25" t="s">
        <v>168</v>
      </c>
      <c r="D119" s="27" t="str">
        <f>IFERROR(VLOOKUP(C119,customer_lookup!$A:$E,2,FALSE),"")</f>
        <v>MO Account 0081</v>
      </c>
      <c r="E119" s="27" t="str">
        <f>IFERROR(VLOOKUP(C119,customer_lookup!$A:$E,3,FALSE),"")</f>
        <v>MO</v>
      </c>
      <c r="F119" s="28" t="str">
        <f>IFERROR(VLOOKUP(C119,customer_lookup!$A:$E,5,FALSE),"")</f>
        <v>Avery</v>
      </c>
      <c r="G119" s="25" t="s">
        <v>89</v>
      </c>
      <c r="H119" s="25" t="s">
        <v>64</v>
      </c>
      <c r="I119" s="27" t="str">
        <f>IFERROR(VLOOKUP(H119,product_lookup!$A:$D,2,FALSE),"")</f>
        <v>Cranberry Sparkling Beverage</v>
      </c>
      <c r="J119" s="29">
        <v>72.0</v>
      </c>
      <c r="K119" s="30">
        <v>7.97</v>
      </c>
      <c r="L119" s="31">
        <f t="shared" si="1"/>
        <v>573.84</v>
      </c>
      <c r="M119" s="25" t="s">
        <v>65</v>
      </c>
      <c r="N119" s="26">
        <v>46086.0</v>
      </c>
      <c r="O119" s="27">
        <f>SUMIF(inventory_snapshot!$B:$B,H119,inventory_snapshot!$E:$E)</f>
        <v>1152</v>
      </c>
      <c r="P119" s="32" t="str">
        <f t="shared" si="2"/>
        <v>OK</v>
      </c>
      <c r="Q119" s="32" t="str">
        <f t="shared" si="3"/>
        <v>OK</v>
      </c>
      <c r="R119" s="32" t="str">
        <f t="shared" si="4"/>
        <v>OK</v>
      </c>
      <c r="S119" s="32" t="str">
        <f t="shared" si="5"/>
        <v>Medium</v>
      </c>
    </row>
    <row r="120" ht="15.75" customHeight="1">
      <c r="A120" s="17" t="s">
        <v>231</v>
      </c>
      <c r="B120" s="18">
        <v>46103.0</v>
      </c>
      <c r="C120" s="17" t="s">
        <v>174</v>
      </c>
      <c r="D120" s="19" t="str">
        <f>IFERROR(VLOOKUP(C120,customer_lookup!$A:$E,2,FALSE),"")</f>
        <v>NY Account 0011</v>
      </c>
      <c r="E120" s="19" t="str">
        <f>IFERROR(VLOOKUP(C120,customer_lookup!$A:$E,3,FALSE),"")</f>
        <v>NY</v>
      </c>
      <c r="F120" s="20" t="str">
        <f>IFERROR(VLOOKUP(C120,customer_lookup!$A:$E,5,FALSE),"")</f>
        <v>Avery</v>
      </c>
      <c r="G120" s="17" t="s">
        <v>63</v>
      </c>
      <c r="H120" s="17" t="s">
        <v>108</v>
      </c>
      <c r="I120" s="19" t="str">
        <f>IFERROR(VLOOKUP(H120,product_lookup!$A:$D,2,FALSE),"")</f>
        <v>Sour Tangerine THC Gummies</v>
      </c>
      <c r="J120" s="21">
        <v>24.0</v>
      </c>
      <c r="K120" s="22">
        <v>10.79</v>
      </c>
      <c r="L120" s="23">
        <f t="shared" si="1"/>
        <v>258.96</v>
      </c>
      <c r="M120" s="17" t="s">
        <v>65</v>
      </c>
      <c r="N120" s="18">
        <v>46108.0</v>
      </c>
      <c r="O120" s="19">
        <f>SUMIF(inventory_snapshot!$B:$B,H120,inventory_snapshot!$E:$E)</f>
        <v>1679</v>
      </c>
      <c r="P120" s="24" t="str">
        <f t="shared" si="2"/>
        <v>OK</v>
      </c>
      <c r="Q120" s="24" t="str">
        <f t="shared" si="3"/>
        <v>OK</v>
      </c>
      <c r="R120" s="24" t="str">
        <f t="shared" si="4"/>
        <v>OK</v>
      </c>
      <c r="S120" s="24" t="str">
        <f t="shared" si="5"/>
        <v>Small</v>
      </c>
    </row>
    <row r="121" ht="15.75" customHeight="1">
      <c r="A121" s="25" t="s">
        <v>232</v>
      </c>
      <c r="B121" s="26">
        <v>46126.0</v>
      </c>
      <c r="C121" s="25" t="s">
        <v>164</v>
      </c>
      <c r="D121" s="27" t="str">
        <f>IFERROR(VLOOKUP(C121,customer_lookup!$A:$E,2,FALSE),"")</f>
        <v>OK Account 0072</v>
      </c>
      <c r="E121" s="27" t="str">
        <f>IFERROR(VLOOKUP(C121,customer_lookup!$A:$E,3,FALSE),"")</f>
        <v>OK</v>
      </c>
      <c r="F121" s="28" t="str">
        <f>IFERROR(VLOOKUP(C121,customer_lookup!$A:$E,5,FALSE),"")</f>
        <v>Avery</v>
      </c>
      <c r="G121" s="25" t="s">
        <v>63</v>
      </c>
      <c r="H121" s="25" t="s">
        <v>68</v>
      </c>
      <c r="I121" s="27" t="str">
        <f>IFERROR(VLOOKUP(H121,product_lookup!$A:$D,2,FALSE),"")</f>
        <v>Sour Apple THC Gummies</v>
      </c>
      <c r="J121" s="29">
        <v>60.0</v>
      </c>
      <c r="K121" s="30">
        <v>10.99</v>
      </c>
      <c r="L121" s="31">
        <f t="shared" si="1"/>
        <v>659.4</v>
      </c>
      <c r="M121" s="25" t="s">
        <v>100</v>
      </c>
      <c r="N121" s="26">
        <v>46129.0</v>
      </c>
      <c r="O121" s="27">
        <f>SUMIF(inventory_snapshot!$B:$B,H121,inventory_snapshot!$E:$E)</f>
        <v>775</v>
      </c>
      <c r="P121" s="32" t="str">
        <f t="shared" si="2"/>
        <v>OK</v>
      </c>
      <c r="Q121" s="32" t="str">
        <f t="shared" si="3"/>
        <v>OK</v>
      </c>
      <c r="R121" s="32" t="str">
        <f t="shared" si="4"/>
        <v>OK</v>
      </c>
      <c r="S121" s="32" t="str">
        <f t="shared" si="5"/>
        <v>Medium</v>
      </c>
    </row>
    <row r="122" ht="15.75" customHeight="1">
      <c r="A122" s="17" t="s">
        <v>233</v>
      </c>
      <c r="B122" s="18">
        <v>46091.0</v>
      </c>
      <c r="C122" s="17" t="s">
        <v>198</v>
      </c>
      <c r="D122" s="19" t="str">
        <f>IFERROR(VLOOKUP(C122,customer_lookup!$A:$E,2,FALSE),"")</f>
        <v>MO Account 0093</v>
      </c>
      <c r="E122" s="19" t="str">
        <f>IFERROR(VLOOKUP(C122,customer_lookup!$A:$E,3,FALSE),"")</f>
        <v>MO</v>
      </c>
      <c r="F122" s="20" t="str">
        <f>IFERROR(VLOOKUP(C122,customer_lookup!$A:$E,5,FALSE),"")</f>
        <v>Avery</v>
      </c>
      <c r="G122" s="17" t="s">
        <v>63</v>
      </c>
      <c r="H122" s="17" t="s">
        <v>123</v>
      </c>
      <c r="I122" s="19" t="str">
        <f>IFERROR(VLOOKUP(H122,product_lookup!$A:$D,2,FALSE),"")</f>
        <v>Peach 2:1 Gummies</v>
      </c>
      <c r="J122" s="21">
        <v>48.0</v>
      </c>
      <c r="K122" s="22">
        <v>10.08</v>
      </c>
      <c r="L122" s="23">
        <f t="shared" si="1"/>
        <v>483.84</v>
      </c>
      <c r="M122" s="17" t="s">
        <v>65</v>
      </c>
      <c r="N122" s="18">
        <v>46094.0</v>
      </c>
      <c r="O122" s="19">
        <f>SUMIF(inventory_snapshot!$B:$B,H122,inventory_snapshot!$E:$E)</f>
        <v>1732</v>
      </c>
      <c r="P122" s="24" t="str">
        <f t="shared" si="2"/>
        <v>OK</v>
      </c>
      <c r="Q122" s="24" t="str">
        <f t="shared" si="3"/>
        <v>OK</v>
      </c>
      <c r="R122" s="24" t="str">
        <f t="shared" si="4"/>
        <v>OK</v>
      </c>
      <c r="S122" s="24" t="str">
        <f t="shared" si="5"/>
        <v>Small</v>
      </c>
    </row>
    <row r="123" ht="15.75" customHeight="1">
      <c r="A123" s="25" t="s">
        <v>234</v>
      </c>
      <c r="B123" s="26">
        <v>46099.0</v>
      </c>
      <c r="C123" s="25" t="s">
        <v>207</v>
      </c>
      <c r="D123" s="27" t="str">
        <f>IFERROR(VLOOKUP(C123,customer_lookup!$A:$E,2,FALSE),"")</f>
        <v>AZ Account 0005</v>
      </c>
      <c r="E123" s="27" t="str">
        <f>IFERROR(VLOOKUP(C123,customer_lookup!$A:$E,3,FALSE),"")</f>
        <v>AZ</v>
      </c>
      <c r="F123" s="28" t="str">
        <f>IFERROR(VLOOKUP(C123,customer_lookup!$A:$E,5,FALSE),"")</f>
        <v>Avery</v>
      </c>
      <c r="G123" s="25" t="s">
        <v>63</v>
      </c>
      <c r="H123" s="25" t="s">
        <v>102</v>
      </c>
      <c r="I123" s="27" t="str">
        <f>IFERROR(VLOOKUP(H123,product_lookup!$A:$D,2,FALSE),"")</f>
        <v>Pomegranate 1:1 Gummies</v>
      </c>
      <c r="J123" s="29">
        <v>6.0</v>
      </c>
      <c r="K123" s="30">
        <v>11.04</v>
      </c>
      <c r="L123" s="31">
        <f t="shared" si="1"/>
        <v>66.24</v>
      </c>
      <c r="M123" s="25" t="s">
        <v>93</v>
      </c>
      <c r="N123" s="26">
        <v>46104.0</v>
      </c>
      <c r="O123" s="27">
        <f>SUMIF(inventory_snapshot!$B:$B,H123,inventory_snapshot!$E:$E)</f>
        <v>1493</v>
      </c>
      <c r="P123" s="32" t="str">
        <f t="shared" si="2"/>
        <v>OK</v>
      </c>
      <c r="Q123" s="32" t="str">
        <f t="shared" si="3"/>
        <v>OK</v>
      </c>
      <c r="R123" s="32" t="str">
        <f t="shared" si="4"/>
        <v>OK</v>
      </c>
      <c r="S123" s="32" t="str">
        <f t="shared" si="5"/>
        <v>Small</v>
      </c>
    </row>
    <row r="124" ht="15.75" customHeight="1">
      <c r="A124" s="17" t="s">
        <v>235</v>
      </c>
      <c r="B124" s="18">
        <v>46053.0</v>
      </c>
      <c r="C124" s="17" t="s">
        <v>168</v>
      </c>
      <c r="D124" s="19" t="str">
        <f>IFERROR(VLOOKUP(C124,customer_lookup!$A:$E,2,FALSE),"")</f>
        <v>MO Account 0081</v>
      </c>
      <c r="E124" s="19" t="str">
        <f>IFERROR(VLOOKUP(C124,customer_lookup!$A:$E,3,FALSE),"")</f>
        <v>MO</v>
      </c>
      <c r="F124" s="20" t="str">
        <f>IFERROR(VLOOKUP(C124,customer_lookup!$A:$E,5,FALSE),"")</f>
        <v>Avery</v>
      </c>
      <c r="G124" s="17" t="s">
        <v>63</v>
      </c>
      <c r="H124" s="17" t="s">
        <v>102</v>
      </c>
      <c r="I124" s="19" t="str">
        <f>IFERROR(VLOOKUP(H124,product_lookup!$A:$D,2,FALSE),"")</f>
        <v>Pomegranate 1:1 Gummies</v>
      </c>
      <c r="J124" s="21">
        <v>72.0</v>
      </c>
      <c r="K124" s="22">
        <v>10.51</v>
      </c>
      <c r="L124" s="23">
        <f t="shared" si="1"/>
        <v>756.72</v>
      </c>
      <c r="M124" s="17" t="s">
        <v>100</v>
      </c>
      <c r="N124" s="18">
        <v>46060.0</v>
      </c>
      <c r="O124" s="19">
        <f>SUMIF(inventory_snapshot!$B:$B,H124,inventory_snapshot!$E:$E)</f>
        <v>1493</v>
      </c>
      <c r="P124" s="24" t="str">
        <f t="shared" si="2"/>
        <v>OK</v>
      </c>
      <c r="Q124" s="24" t="str">
        <f t="shared" si="3"/>
        <v>OK</v>
      </c>
      <c r="R124" s="24" t="str">
        <f t="shared" si="4"/>
        <v>OK</v>
      </c>
      <c r="S124" s="24" t="str">
        <f t="shared" si="5"/>
        <v>Medium</v>
      </c>
    </row>
    <row r="125" ht="15.75" customHeight="1">
      <c r="A125" s="25" t="s">
        <v>236</v>
      </c>
      <c r="B125" s="26">
        <v>46115.0</v>
      </c>
      <c r="C125" s="25" t="s">
        <v>164</v>
      </c>
      <c r="D125" s="27" t="str">
        <f>IFERROR(VLOOKUP(C125,customer_lookup!$A:$E,2,FALSE),"")</f>
        <v>OK Account 0072</v>
      </c>
      <c r="E125" s="27" t="str">
        <f>IFERROR(VLOOKUP(C125,customer_lookup!$A:$E,3,FALSE),"")</f>
        <v>OK</v>
      </c>
      <c r="F125" s="28" t="str">
        <f>IFERROR(VLOOKUP(C125,customer_lookup!$A:$E,5,FALSE),"")</f>
        <v>Avery</v>
      </c>
      <c r="G125" s="25" t="s">
        <v>63</v>
      </c>
      <c r="H125" s="25" t="s">
        <v>81</v>
      </c>
      <c r="I125" s="27" t="str">
        <f>IFERROR(VLOOKUP(H125,product_lookup!$A:$D,2,FALSE),"")</f>
        <v>Lemon Sparkling Beverage</v>
      </c>
      <c r="J125" s="29">
        <v>12.0</v>
      </c>
      <c r="K125" s="30">
        <v>6.79</v>
      </c>
      <c r="L125" s="31">
        <f t="shared" si="1"/>
        <v>81.48</v>
      </c>
      <c r="M125" s="25" t="s">
        <v>65</v>
      </c>
      <c r="N125" s="26">
        <v>46116.0</v>
      </c>
      <c r="O125" s="27">
        <f>SUMIF(inventory_snapshot!$B:$B,H125,inventory_snapshot!$E:$E)</f>
        <v>1360</v>
      </c>
      <c r="P125" s="32" t="str">
        <f t="shared" si="2"/>
        <v>OK</v>
      </c>
      <c r="Q125" s="32" t="str">
        <f t="shared" si="3"/>
        <v>OK</v>
      </c>
      <c r="R125" s="32" t="str">
        <f t="shared" si="4"/>
        <v>OK</v>
      </c>
      <c r="S125" s="32" t="str">
        <f t="shared" si="5"/>
        <v>Small</v>
      </c>
    </row>
    <row r="126" ht="15.75" customHeight="1">
      <c r="A126" s="17" t="s">
        <v>237</v>
      </c>
      <c r="B126" s="18">
        <v>46076.0</v>
      </c>
      <c r="C126" s="17" t="s">
        <v>181</v>
      </c>
      <c r="D126" s="19" t="str">
        <f>IFERROR(VLOOKUP(C126,customer_lookup!$A:$E,2,FALSE),"")</f>
        <v>CA Account 0099</v>
      </c>
      <c r="E126" s="19" t="str">
        <f>IFERROR(VLOOKUP(C126,customer_lookup!$A:$E,3,FALSE),"")</f>
        <v>CA</v>
      </c>
      <c r="F126" s="20" t="str">
        <f>IFERROR(VLOOKUP(C126,customer_lookup!$A:$E,5,FALSE),"")</f>
        <v>Avery</v>
      </c>
      <c r="G126" s="17" t="s">
        <v>63</v>
      </c>
      <c r="H126" s="17" t="s">
        <v>95</v>
      </c>
      <c r="I126" s="19" t="str">
        <f>IFERROR(VLOOKUP(H126,product_lookup!$A:$D,2,FALSE),"")</f>
        <v>Boysenberry 1:1:1 Gummies</v>
      </c>
      <c r="J126" s="21">
        <v>30.0</v>
      </c>
      <c r="K126" s="22">
        <v>10.1</v>
      </c>
      <c r="L126" s="23">
        <f t="shared" si="1"/>
        <v>303</v>
      </c>
      <c r="M126" s="17" t="s">
        <v>65</v>
      </c>
      <c r="N126" s="18">
        <v>46079.0</v>
      </c>
      <c r="O126" s="19">
        <f>SUMIF(inventory_snapshot!$B:$B,H126,inventory_snapshot!$E:$E)</f>
        <v>2007</v>
      </c>
      <c r="P126" s="24" t="str">
        <f t="shared" si="2"/>
        <v>OK</v>
      </c>
      <c r="Q126" s="24" t="str">
        <f t="shared" si="3"/>
        <v>OK</v>
      </c>
      <c r="R126" s="24" t="str">
        <f t="shared" si="4"/>
        <v>OK</v>
      </c>
      <c r="S126" s="24" t="str">
        <f t="shared" si="5"/>
        <v>Small</v>
      </c>
    </row>
    <row r="127" ht="15.75" customHeight="1">
      <c r="A127" s="25" t="s">
        <v>238</v>
      </c>
      <c r="B127" s="26">
        <v>46135.0</v>
      </c>
      <c r="C127" s="25" t="s">
        <v>189</v>
      </c>
      <c r="D127" s="27" t="str">
        <f>IFERROR(VLOOKUP(C127,customer_lookup!$A:$E,2,FALSE),"")</f>
        <v>OK Account 0012</v>
      </c>
      <c r="E127" s="27" t="str">
        <f>IFERROR(VLOOKUP(C127,customer_lookup!$A:$E,3,FALSE),"")</f>
        <v>OK</v>
      </c>
      <c r="F127" s="28" t="str">
        <f>IFERROR(VLOOKUP(C127,customer_lookup!$A:$E,5,FALSE),"")</f>
        <v>Avery</v>
      </c>
      <c r="G127" s="25" t="s">
        <v>63</v>
      </c>
      <c r="H127" s="25" t="s">
        <v>90</v>
      </c>
      <c r="I127" s="27" t="str">
        <f>IFERROR(VLOOKUP(H127,product_lookup!$A:$D,2,FALSE),"")</f>
        <v>Blackberry Sparkling Beverage</v>
      </c>
      <c r="J127" s="29">
        <v>24.0</v>
      </c>
      <c r="K127" s="30">
        <v>7.31</v>
      </c>
      <c r="L127" s="31">
        <f t="shared" si="1"/>
        <v>175.44</v>
      </c>
      <c r="M127" s="25" t="s">
        <v>65</v>
      </c>
      <c r="N127" s="26">
        <v>46144.0</v>
      </c>
      <c r="O127" s="27">
        <f>SUMIF(inventory_snapshot!$B:$B,H127,inventory_snapshot!$E:$E)</f>
        <v>1292</v>
      </c>
      <c r="P127" s="32" t="str">
        <f t="shared" si="2"/>
        <v>OK</v>
      </c>
      <c r="Q127" s="32" t="str">
        <f t="shared" si="3"/>
        <v>OK</v>
      </c>
      <c r="R127" s="32" t="str">
        <f t="shared" si="4"/>
        <v>OK</v>
      </c>
      <c r="S127" s="32" t="str">
        <f t="shared" si="5"/>
        <v>Small</v>
      </c>
    </row>
    <row r="128" ht="15.75" customHeight="1">
      <c r="A128" s="17" t="s">
        <v>239</v>
      </c>
      <c r="B128" s="18">
        <v>46116.0</v>
      </c>
      <c r="C128" s="17" t="s">
        <v>166</v>
      </c>
      <c r="D128" s="19" t="str">
        <f>IFERROR(VLOOKUP(C128,customer_lookup!$A:$E,2,FALSE),"")</f>
        <v>MI Account 0044</v>
      </c>
      <c r="E128" s="19" t="str">
        <f>IFERROR(VLOOKUP(C128,customer_lookup!$A:$E,3,FALSE),"")</f>
        <v>MI</v>
      </c>
      <c r="F128" s="20" t="str">
        <f>IFERROR(VLOOKUP(C128,customer_lookup!$A:$E,5,FALSE),"")</f>
        <v>Avery</v>
      </c>
      <c r="G128" s="17" t="s">
        <v>67</v>
      </c>
      <c r="H128" s="17" t="s">
        <v>90</v>
      </c>
      <c r="I128" s="19" t="str">
        <f>IFERROR(VLOOKUP(H128,product_lookup!$A:$D,2,FALSE),"")</f>
        <v>Blackberry Sparkling Beverage</v>
      </c>
      <c r="J128" s="21">
        <v>72.0</v>
      </c>
      <c r="K128" s="22">
        <v>7.22</v>
      </c>
      <c r="L128" s="23">
        <f t="shared" si="1"/>
        <v>519.84</v>
      </c>
      <c r="M128" s="17" t="s">
        <v>97</v>
      </c>
      <c r="N128" s="18">
        <v>46118.0</v>
      </c>
      <c r="O128" s="19">
        <f>SUMIF(inventory_snapshot!$B:$B,H128,inventory_snapshot!$E:$E)</f>
        <v>1292</v>
      </c>
      <c r="P128" s="24" t="str">
        <f t="shared" si="2"/>
        <v>OK</v>
      </c>
      <c r="Q128" s="24" t="str">
        <f t="shared" si="3"/>
        <v>OK</v>
      </c>
      <c r="R128" s="24" t="str">
        <f t="shared" si="4"/>
        <v>OK</v>
      </c>
      <c r="S128" s="24" t="str">
        <f t="shared" si="5"/>
        <v>Medium</v>
      </c>
    </row>
    <row r="129" ht="15.75" customHeight="1">
      <c r="A129" s="25" t="s">
        <v>240</v>
      </c>
      <c r="B129" s="26">
        <v>46107.0</v>
      </c>
      <c r="C129" s="25" t="s">
        <v>179</v>
      </c>
      <c r="D129" s="27" t="str">
        <f>IFERROR(VLOOKUP(C129,customer_lookup!$A:$E,2,FALSE),"")</f>
        <v>NV Account 0114</v>
      </c>
      <c r="E129" s="27" t="str">
        <f>IFERROR(VLOOKUP(C129,customer_lookup!$A:$E,3,FALSE),"")</f>
        <v>NV</v>
      </c>
      <c r="F129" s="28" t="str">
        <f>IFERROR(VLOOKUP(C129,customer_lookup!$A:$E,5,FALSE),"")</f>
        <v>Avery</v>
      </c>
      <c r="G129" s="25" t="s">
        <v>63</v>
      </c>
      <c r="H129" s="25" t="s">
        <v>90</v>
      </c>
      <c r="I129" s="27" t="str">
        <f>IFERROR(VLOOKUP(H129,product_lookup!$A:$D,2,FALSE),"")</f>
        <v>Blackberry Sparkling Beverage</v>
      </c>
      <c r="J129" s="29">
        <v>48.0</v>
      </c>
      <c r="K129" s="30">
        <v>8.21</v>
      </c>
      <c r="L129" s="31">
        <f t="shared" si="1"/>
        <v>394.08</v>
      </c>
      <c r="M129" s="25" t="s">
        <v>97</v>
      </c>
      <c r="N129" s="26">
        <v>46114.0</v>
      </c>
      <c r="O129" s="27">
        <f>SUMIF(inventory_snapshot!$B:$B,H129,inventory_snapshot!$E:$E)</f>
        <v>1292</v>
      </c>
      <c r="P129" s="32" t="str">
        <f t="shared" si="2"/>
        <v>OK</v>
      </c>
      <c r="Q129" s="32" t="str">
        <f t="shared" si="3"/>
        <v>OK</v>
      </c>
      <c r="R129" s="32" t="str">
        <f t="shared" si="4"/>
        <v>OK</v>
      </c>
      <c r="S129" s="32" t="str">
        <f t="shared" si="5"/>
        <v>Small</v>
      </c>
    </row>
    <row r="130" ht="15.75" customHeight="1">
      <c r="A130" s="17" t="s">
        <v>241</v>
      </c>
      <c r="B130" s="18">
        <v>46023.0</v>
      </c>
      <c r="C130" s="17" t="s">
        <v>170</v>
      </c>
      <c r="D130" s="19" t="str">
        <f>IFERROR(VLOOKUP(C130,customer_lookup!$A:$E,2,FALSE),"")</f>
        <v>IL Account 0055</v>
      </c>
      <c r="E130" s="19" t="str">
        <f>IFERROR(VLOOKUP(C130,customer_lookup!$A:$E,3,FALSE),"")</f>
        <v>IL</v>
      </c>
      <c r="F130" s="20" t="str">
        <f>IFERROR(VLOOKUP(C130,customer_lookup!$A:$E,5,FALSE),"")</f>
        <v>Avery</v>
      </c>
      <c r="G130" s="17" t="s">
        <v>67</v>
      </c>
      <c r="H130" s="17" t="s">
        <v>71</v>
      </c>
      <c r="I130" s="19" t="str">
        <f>IFERROR(VLOOKUP(H130,product_lookup!$A:$D,2,FALSE),"")</f>
        <v>Pineapple Sparkling Beverage</v>
      </c>
      <c r="J130" s="21">
        <v>96.0</v>
      </c>
      <c r="K130" s="22">
        <v>7.75</v>
      </c>
      <c r="L130" s="23">
        <f t="shared" si="1"/>
        <v>744</v>
      </c>
      <c r="M130" s="17" t="s">
        <v>65</v>
      </c>
      <c r="N130" s="18">
        <v>46028.0</v>
      </c>
      <c r="O130" s="19">
        <f>SUMIF(inventory_snapshot!$B:$B,H130,inventory_snapshot!$E:$E)</f>
        <v>1145</v>
      </c>
      <c r="P130" s="24" t="str">
        <f t="shared" si="2"/>
        <v>OK</v>
      </c>
      <c r="Q130" s="24" t="str">
        <f t="shared" si="3"/>
        <v>OK</v>
      </c>
      <c r="R130" s="24" t="str">
        <f t="shared" si="4"/>
        <v>OK</v>
      </c>
      <c r="S130" s="24" t="str">
        <f t="shared" si="5"/>
        <v>Medium</v>
      </c>
    </row>
    <row r="131" ht="15.75" customHeight="1">
      <c r="A131" s="25" t="s">
        <v>242</v>
      </c>
      <c r="B131" s="26">
        <v>46099.0</v>
      </c>
      <c r="C131" s="25" t="s">
        <v>174</v>
      </c>
      <c r="D131" s="27" t="str">
        <f>IFERROR(VLOOKUP(C131,customer_lookup!$A:$E,2,FALSE),"")</f>
        <v>NY Account 0011</v>
      </c>
      <c r="E131" s="27" t="str">
        <f>IFERROR(VLOOKUP(C131,customer_lookup!$A:$E,3,FALSE),"")</f>
        <v>NY</v>
      </c>
      <c r="F131" s="28" t="str">
        <f>IFERROR(VLOOKUP(C131,customer_lookup!$A:$E,5,FALSE),"")</f>
        <v>Avery</v>
      </c>
      <c r="G131" s="25" t="s">
        <v>63</v>
      </c>
      <c r="H131" s="25" t="s">
        <v>85</v>
      </c>
      <c r="I131" s="27" t="str">
        <f>IFERROR(VLOOKUP(H131,product_lookup!$A:$D,2,FALSE),"")</f>
        <v>Huckleberry THC Gummies</v>
      </c>
      <c r="J131" s="29">
        <v>18.0</v>
      </c>
      <c r="K131" s="30">
        <v>10.94</v>
      </c>
      <c r="L131" s="31">
        <f t="shared" si="1"/>
        <v>196.92</v>
      </c>
      <c r="M131" s="25" t="s">
        <v>65</v>
      </c>
      <c r="N131" s="26">
        <v>46106.0</v>
      </c>
      <c r="O131" s="27">
        <f>SUMIF(inventory_snapshot!$B:$B,H131,inventory_snapshot!$E:$E)</f>
        <v>1841</v>
      </c>
      <c r="P131" s="32" t="str">
        <f t="shared" si="2"/>
        <v>OK</v>
      </c>
      <c r="Q131" s="32" t="str">
        <f t="shared" si="3"/>
        <v>OK</v>
      </c>
      <c r="R131" s="32" t="str">
        <f t="shared" si="4"/>
        <v>OK</v>
      </c>
      <c r="S131" s="32" t="str">
        <f t="shared" si="5"/>
        <v>Small</v>
      </c>
    </row>
    <row r="132" ht="15.75" customHeight="1">
      <c r="A132" s="17" t="s">
        <v>243</v>
      </c>
      <c r="B132" s="18">
        <v>46102.0</v>
      </c>
      <c r="C132" s="17" t="s">
        <v>207</v>
      </c>
      <c r="D132" s="19" t="str">
        <f>IFERROR(VLOOKUP(C132,customer_lookup!$A:$E,2,FALSE),"")</f>
        <v>AZ Account 0005</v>
      </c>
      <c r="E132" s="19" t="str">
        <f>IFERROR(VLOOKUP(C132,customer_lookup!$A:$E,3,FALSE),"")</f>
        <v>AZ</v>
      </c>
      <c r="F132" s="20" t="str">
        <f>IFERROR(VLOOKUP(C132,customer_lookup!$A:$E,5,FALSE),"")</f>
        <v>Avery</v>
      </c>
      <c r="G132" s="17" t="s">
        <v>89</v>
      </c>
      <c r="H132" s="17" t="s">
        <v>156</v>
      </c>
      <c r="I132" s="19" t="str">
        <f>IFERROR(VLOOKUP(H132,product_lookup!$A:$D,2,FALSE),"")</f>
        <v>Blood Orange 1:1 Gummies</v>
      </c>
      <c r="J132" s="21">
        <v>12.0</v>
      </c>
      <c r="K132" s="22">
        <v>9.11</v>
      </c>
      <c r="L132" s="23">
        <f t="shared" si="1"/>
        <v>109.32</v>
      </c>
      <c r="M132" s="17" t="s">
        <v>65</v>
      </c>
      <c r="N132" s="18">
        <v>46106.0</v>
      </c>
      <c r="O132" s="19">
        <f>SUMIF(inventory_snapshot!$B:$B,H132,inventory_snapshot!$E:$E)</f>
        <v>1589</v>
      </c>
      <c r="P132" s="24" t="str">
        <f t="shared" si="2"/>
        <v>OK</v>
      </c>
      <c r="Q132" s="24" t="str">
        <f t="shared" si="3"/>
        <v>OK</v>
      </c>
      <c r="R132" s="24" t="str">
        <f t="shared" si="4"/>
        <v>OK</v>
      </c>
      <c r="S132" s="24" t="str">
        <f t="shared" si="5"/>
        <v>Small</v>
      </c>
    </row>
    <row r="133" ht="15.75" customHeight="1">
      <c r="A133" s="25" t="s">
        <v>244</v>
      </c>
      <c r="B133" s="26">
        <v>46130.0</v>
      </c>
      <c r="C133" s="25" t="s">
        <v>166</v>
      </c>
      <c r="D133" s="27" t="str">
        <f>IFERROR(VLOOKUP(C133,customer_lookup!$A:$E,2,FALSE),"")</f>
        <v>MI Account 0044</v>
      </c>
      <c r="E133" s="27" t="str">
        <f>IFERROR(VLOOKUP(C133,customer_lookup!$A:$E,3,FALSE),"")</f>
        <v>MI</v>
      </c>
      <c r="F133" s="28" t="str">
        <f>IFERROR(VLOOKUP(C133,customer_lookup!$A:$E,5,FALSE),"")</f>
        <v>Avery</v>
      </c>
      <c r="G133" s="25" t="s">
        <v>63</v>
      </c>
      <c r="H133" s="25" t="s">
        <v>110</v>
      </c>
      <c r="I133" s="27" t="str">
        <f>IFERROR(VLOOKUP(H133,product_lookup!$A:$D,2,FALSE),"")</f>
        <v>Elderberry 2:1 Gummies</v>
      </c>
      <c r="J133" s="29">
        <v>60.0</v>
      </c>
      <c r="K133" s="30">
        <v>11.57</v>
      </c>
      <c r="L133" s="31">
        <f t="shared" si="1"/>
        <v>694.2</v>
      </c>
      <c r="M133" s="25" t="s">
        <v>97</v>
      </c>
      <c r="N133" s="26">
        <v>46139.0</v>
      </c>
      <c r="O133" s="27">
        <f>SUMIF(inventory_snapshot!$B:$B,H133,inventory_snapshot!$E:$E)</f>
        <v>1633</v>
      </c>
      <c r="P133" s="32" t="str">
        <f t="shared" si="2"/>
        <v>OK</v>
      </c>
      <c r="Q133" s="32" t="str">
        <f t="shared" si="3"/>
        <v>OK</v>
      </c>
      <c r="R133" s="32" t="str">
        <f t="shared" si="4"/>
        <v>OK</v>
      </c>
      <c r="S133" s="32" t="str">
        <f t="shared" si="5"/>
        <v>Medium</v>
      </c>
    </row>
    <row r="134" ht="15.75" customHeight="1">
      <c r="A134" s="17" t="s">
        <v>245</v>
      </c>
      <c r="B134" s="18">
        <v>46073.0</v>
      </c>
      <c r="C134" s="17" t="s">
        <v>170</v>
      </c>
      <c r="D134" s="19" t="str">
        <f>IFERROR(VLOOKUP(C134,customer_lookup!$A:$E,2,FALSE),"")</f>
        <v>IL Account 0055</v>
      </c>
      <c r="E134" s="19" t="str">
        <f>IFERROR(VLOOKUP(C134,customer_lookup!$A:$E,3,FALSE),"")</f>
        <v>IL</v>
      </c>
      <c r="F134" s="20" t="str">
        <f>IFERROR(VLOOKUP(C134,customer_lookup!$A:$E,5,FALSE),"")</f>
        <v>Avery</v>
      </c>
      <c r="G134" s="17" t="s">
        <v>63</v>
      </c>
      <c r="H134" s="17" t="s">
        <v>190</v>
      </c>
      <c r="I134" s="19" t="str">
        <f>IFERROR(VLOOKUP(H134,product_lookup!$A:$D,2,FALSE),"")</f>
        <v>Mango Sparkling Beverage</v>
      </c>
      <c r="J134" s="21">
        <v>60.0</v>
      </c>
      <c r="K134" s="22">
        <v>7.96</v>
      </c>
      <c r="L134" s="23">
        <f t="shared" si="1"/>
        <v>477.6</v>
      </c>
      <c r="M134" s="17" t="s">
        <v>65</v>
      </c>
      <c r="N134" s="18">
        <v>46081.0</v>
      </c>
      <c r="O134" s="19">
        <f>SUMIF(inventory_snapshot!$B:$B,H134,inventory_snapshot!$E:$E)</f>
        <v>1502</v>
      </c>
      <c r="P134" s="24" t="str">
        <f t="shared" si="2"/>
        <v>OK</v>
      </c>
      <c r="Q134" s="24" t="str">
        <f t="shared" si="3"/>
        <v>OK</v>
      </c>
      <c r="R134" s="24" t="str">
        <f t="shared" si="4"/>
        <v>OK</v>
      </c>
      <c r="S134" s="24" t="str">
        <f t="shared" si="5"/>
        <v>Small</v>
      </c>
    </row>
    <row r="135" ht="15.75" customHeight="1">
      <c r="A135" s="25" t="s">
        <v>246</v>
      </c>
      <c r="B135" s="26">
        <v>46077.0</v>
      </c>
      <c r="C135" s="25" t="s">
        <v>207</v>
      </c>
      <c r="D135" s="27" t="str">
        <f>IFERROR(VLOOKUP(C135,customer_lookup!$A:$E,2,FALSE),"")</f>
        <v>AZ Account 0005</v>
      </c>
      <c r="E135" s="27" t="str">
        <f>IFERROR(VLOOKUP(C135,customer_lookup!$A:$E,3,FALSE),"")</f>
        <v>AZ</v>
      </c>
      <c r="F135" s="28" t="str">
        <f>IFERROR(VLOOKUP(C135,customer_lookup!$A:$E,5,FALSE),"")</f>
        <v>Avery</v>
      </c>
      <c r="G135" s="25" t="s">
        <v>63</v>
      </c>
      <c r="H135" s="25" t="s">
        <v>102</v>
      </c>
      <c r="I135" s="27" t="str">
        <f>IFERROR(VLOOKUP(H135,product_lookup!$A:$D,2,FALSE),"")</f>
        <v>Pomegranate 1:1 Gummies</v>
      </c>
      <c r="J135" s="29">
        <v>30.0</v>
      </c>
      <c r="K135" s="30">
        <v>11.44</v>
      </c>
      <c r="L135" s="31">
        <f t="shared" si="1"/>
        <v>343.2</v>
      </c>
      <c r="M135" s="25" t="s">
        <v>65</v>
      </c>
      <c r="N135" s="26">
        <v>46081.0</v>
      </c>
      <c r="O135" s="27">
        <f>SUMIF(inventory_snapshot!$B:$B,H135,inventory_snapshot!$E:$E)</f>
        <v>1493</v>
      </c>
      <c r="P135" s="32" t="str">
        <f t="shared" si="2"/>
        <v>OK</v>
      </c>
      <c r="Q135" s="32" t="str">
        <f t="shared" si="3"/>
        <v>OK</v>
      </c>
      <c r="R135" s="32" t="str">
        <f t="shared" si="4"/>
        <v>OK</v>
      </c>
      <c r="S135" s="32" t="str">
        <f t="shared" si="5"/>
        <v>Small</v>
      </c>
    </row>
    <row r="136" ht="15.75" customHeight="1">
      <c r="A136" s="17" t="s">
        <v>247</v>
      </c>
      <c r="B136" s="18">
        <v>46108.0</v>
      </c>
      <c r="C136" s="17" t="s">
        <v>226</v>
      </c>
      <c r="D136" s="19" t="str">
        <f>IFERROR(VLOOKUP(C136,customer_lookup!$A:$E,2,FALSE),"")</f>
        <v>OR Account 0097</v>
      </c>
      <c r="E136" s="19" t="str">
        <f>IFERROR(VLOOKUP(C136,customer_lookup!$A:$E,3,FALSE),"")</f>
        <v>OR</v>
      </c>
      <c r="F136" s="20" t="str">
        <f>IFERROR(VLOOKUP(C136,customer_lookup!$A:$E,5,FALSE),"")</f>
        <v>Avery</v>
      </c>
      <c r="G136" s="17" t="s">
        <v>89</v>
      </c>
      <c r="H136" s="17" t="s">
        <v>64</v>
      </c>
      <c r="I136" s="19" t="str">
        <f>IFERROR(VLOOKUP(H136,product_lookup!$A:$D,2,FALSE),"")</f>
        <v>Cranberry Sparkling Beverage</v>
      </c>
      <c r="J136" s="21">
        <v>18.0</v>
      </c>
      <c r="K136" s="22">
        <v>8.21</v>
      </c>
      <c r="L136" s="23">
        <f t="shared" si="1"/>
        <v>147.78</v>
      </c>
      <c r="M136" s="17" t="s">
        <v>65</v>
      </c>
      <c r="N136" s="18">
        <v>46114.0</v>
      </c>
      <c r="O136" s="19">
        <f>SUMIF(inventory_snapshot!$B:$B,H136,inventory_snapshot!$E:$E)</f>
        <v>1152</v>
      </c>
      <c r="P136" s="24" t="str">
        <f t="shared" si="2"/>
        <v>OK</v>
      </c>
      <c r="Q136" s="24" t="str">
        <f t="shared" si="3"/>
        <v>OK</v>
      </c>
      <c r="R136" s="24" t="str">
        <f t="shared" si="4"/>
        <v>OK</v>
      </c>
      <c r="S136" s="24" t="str">
        <f t="shared" si="5"/>
        <v>Small</v>
      </c>
    </row>
    <row r="137" ht="15.75" customHeight="1">
      <c r="A137" s="25" t="s">
        <v>248</v>
      </c>
      <c r="B137" s="26">
        <v>46141.0</v>
      </c>
      <c r="C137" s="25" t="s">
        <v>198</v>
      </c>
      <c r="D137" s="27" t="str">
        <f>IFERROR(VLOOKUP(C137,customer_lookup!$A:$E,2,FALSE),"")</f>
        <v>MO Account 0093</v>
      </c>
      <c r="E137" s="27" t="str">
        <f>IFERROR(VLOOKUP(C137,customer_lookup!$A:$E,3,FALSE),"")</f>
        <v>MO</v>
      </c>
      <c r="F137" s="28" t="str">
        <f>IFERROR(VLOOKUP(C137,customer_lookup!$A:$E,5,FALSE),"")</f>
        <v>Avery</v>
      </c>
      <c r="G137" s="25" t="s">
        <v>63</v>
      </c>
      <c r="H137" s="25" t="s">
        <v>78</v>
      </c>
      <c r="I137" s="27" t="str">
        <f>IFERROR(VLOOKUP(H137,product_lookup!$A:$D,2,FALSE),"")</f>
        <v>Grapefruit 1:1:1 Gummies</v>
      </c>
      <c r="J137" s="29">
        <v>24.0</v>
      </c>
      <c r="K137" s="30">
        <v>11.65</v>
      </c>
      <c r="L137" s="31">
        <f t="shared" si="1"/>
        <v>279.6</v>
      </c>
      <c r="M137" s="25" t="s">
        <v>65</v>
      </c>
      <c r="N137" s="26">
        <v>46151.0</v>
      </c>
      <c r="O137" s="27">
        <f>SUMIF(inventory_snapshot!$B:$B,H137,inventory_snapshot!$E:$E)</f>
        <v>1751</v>
      </c>
      <c r="P137" s="32" t="str">
        <f t="shared" si="2"/>
        <v>OK</v>
      </c>
      <c r="Q137" s="32" t="str">
        <f t="shared" si="3"/>
        <v>OK</v>
      </c>
      <c r="R137" s="32" t="str">
        <f t="shared" si="4"/>
        <v>OK</v>
      </c>
      <c r="S137" s="32" t="str">
        <f t="shared" si="5"/>
        <v>Small</v>
      </c>
    </row>
    <row r="138" ht="15.75" customHeight="1">
      <c r="A138" s="17" t="s">
        <v>249</v>
      </c>
      <c r="B138" s="18">
        <v>46058.0</v>
      </c>
      <c r="C138" s="17" t="s">
        <v>198</v>
      </c>
      <c r="D138" s="19" t="str">
        <f>IFERROR(VLOOKUP(C138,customer_lookup!$A:$E,2,FALSE),"")</f>
        <v>MO Account 0093</v>
      </c>
      <c r="E138" s="19" t="str">
        <f>IFERROR(VLOOKUP(C138,customer_lookup!$A:$E,3,FALSE),"")</f>
        <v>MO</v>
      </c>
      <c r="F138" s="20" t="str">
        <f>IFERROR(VLOOKUP(C138,customer_lookup!$A:$E,5,FALSE),"")</f>
        <v>Avery</v>
      </c>
      <c r="G138" s="17" t="s">
        <v>89</v>
      </c>
      <c r="H138" s="17" t="s">
        <v>90</v>
      </c>
      <c r="I138" s="19" t="str">
        <f>IFERROR(VLOOKUP(H138,product_lookup!$A:$D,2,FALSE),"")</f>
        <v>Blackberry Sparkling Beverage</v>
      </c>
      <c r="J138" s="21">
        <v>96.0</v>
      </c>
      <c r="K138" s="22">
        <v>7.64</v>
      </c>
      <c r="L138" s="23">
        <f t="shared" si="1"/>
        <v>733.44</v>
      </c>
      <c r="M138" s="17" t="s">
        <v>65</v>
      </c>
      <c r="N138" s="18">
        <v>46065.0</v>
      </c>
      <c r="O138" s="19">
        <f>SUMIF(inventory_snapshot!$B:$B,H138,inventory_snapshot!$E:$E)</f>
        <v>1292</v>
      </c>
      <c r="P138" s="24" t="str">
        <f t="shared" si="2"/>
        <v>OK</v>
      </c>
      <c r="Q138" s="24" t="str">
        <f t="shared" si="3"/>
        <v>OK</v>
      </c>
      <c r="R138" s="24" t="str">
        <f t="shared" si="4"/>
        <v>OK</v>
      </c>
      <c r="S138" s="24" t="str">
        <f t="shared" si="5"/>
        <v>Medium</v>
      </c>
    </row>
    <row r="139" ht="15.75" customHeight="1">
      <c r="A139" s="25" t="s">
        <v>250</v>
      </c>
      <c r="B139" s="26">
        <v>46111.0</v>
      </c>
      <c r="C139" s="25" t="s">
        <v>177</v>
      </c>
      <c r="D139" s="27" t="str">
        <f>IFERROR(VLOOKUP(C139,customer_lookup!$A:$E,2,FALSE),"")</f>
        <v>IL Account 0103</v>
      </c>
      <c r="E139" s="27" t="str">
        <f>IFERROR(VLOOKUP(C139,customer_lookup!$A:$E,3,FALSE),"")</f>
        <v>IL</v>
      </c>
      <c r="F139" s="28" t="str">
        <f>IFERROR(VLOOKUP(C139,customer_lookup!$A:$E,5,FALSE),"")</f>
        <v>Avery</v>
      </c>
      <c r="G139" s="25" t="s">
        <v>63</v>
      </c>
      <c r="H139" s="25" t="s">
        <v>95</v>
      </c>
      <c r="I139" s="27" t="str">
        <f>IFERROR(VLOOKUP(H139,product_lookup!$A:$D,2,FALSE),"")</f>
        <v>Boysenberry 1:1:1 Gummies</v>
      </c>
      <c r="J139" s="29">
        <v>120.0</v>
      </c>
      <c r="K139" s="30">
        <v>9.95</v>
      </c>
      <c r="L139" s="31">
        <f t="shared" si="1"/>
        <v>1194</v>
      </c>
      <c r="M139" s="25" t="s">
        <v>65</v>
      </c>
      <c r="N139" s="26">
        <v>46117.0</v>
      </c>
      <c r="O139" s="27">
        <f>SUMIF(inventory_snapshot!$B:$B,H139,inventory_snapshot!$E:$E)</f>
        <v>2007</v>
      </c>
      <c r="P139" s="32" t="str">
        <f t="shared" si="2"/>
        <v>OK</v>
      </c>
      <c r="Q139" s="32" t="str">
        <f t="shared" si="3"/>
        <v>OK</v>
      </c>
      <c r="R139" s="32" t="str">
        <f t="shared" si="4"/>
        <v>OK</v>
      </c>
      <c r="S139" s="32" t="str">
        <f t="shared" si="5"/>
        <v>Large</v>
      </c>
    </row>
    <row r="140" ht="15.75" customHeight="1">
      <c r="A140" s="17" t="s">
        <v>251</v>
      </c>
      <c r="B140" s="18">
        <v>46061.0</v>
      </c>
      <c r="C140" s="17" t="s">
        <v>226</v>
      </c>
      <c r="D140" s="19" t="str">
        <f>IFERROR(VLOOKUP(C140,customer_lookup!$A:$E,2,FALSE),"")</f>
        <v>OR Account 0097</v>
      </c>
      <c r="E140" s="19" t="str">
        <f>IFERROR(VLOOKUP(C140,customer_lookup!$A:$E,3,FALSE),"")</f>
        <v>OR</v>
      </c>
      <c r="F140" s="20" t="str">
        <f>IFERROR(VLOOKUP(C140,customer_lookup!$A:$E,5,FALSE),"")</f>
        <v>Avery</v>
      </c>
      <c r="G140" s="17" t="s">
        <v>63</v>
      </c>
      <c r="H140" s="17" t="s">
        <v>123</v>
      </c>
      <c r="I140" s="19" t="str">
        <f>IFERROR(VLOOKUP(H140,product_lookup!$A:$D,2,FALSE),"")</f>
        <v>Peach 2:1 Gummies</v>
      </c>
      <c r="J140" s="21">
        <v>24.0</v>
      </c>
      <c r="K140" s="22">
        <v>11.52</v>
      </c>
      <c r="L140" s="23">
        <f t="shared" si="1"/>
        <v>276.48</v>
      </c>
      <c r="M140" s="17" t="s">
        <v>97</v>
      </c>
      <c r="N140" s="18">
        <v>46067.0</v>
      </c>
      <c r="O140" s="19">
        <f>SUMIF(inventory_snapshot!$B:$B,H140,inventory_snapshot!$E:$E)</f>
        <v>1732</v>
      </c>
      <c r="P140" s="24" t="str">
        <f t="shared" si="2"/>
        <v>OK</v>
      </c>
      <c r="Q140" s="24" t="str">
        <f t="shared" si="3"/>
        <v>OK</v>
      </c>
      <c r="R140" s="24" t="str">
        <f t="shared" si="4"/>
        <v>OK</v>
      </c>
      <c r="S140" s="24" t="str">
        <f t="shared" si="5"/>
        <v>Small</v>
      </c>
    </row>
    <row r="141" ht="15.75" customHeight="1">
      <c r="A141" s="25" t="s">
        <v>252</v>
      </c>
      <c r="B141" s="26">
        <v>46128.0</v>
      </c>
      <c r="C141" s="25" t="s">
        <v>170</v>
      </c>
      <c r="D141" s="27" t="str">
        <f>IFERROR(VLOOKUP(C141,customer_lookup!$A:$E,2,FALSE),"")</f>
        <v>IL Account 0055</v>
      </c>
      <c r="E141" s="27" t="str">
        <f>IFERROR(VLOOKUP(C141,customer_lookup!$A:$E,3,FALSE),"")</f>
        <v>IL</v>
      </c>
      <c r="F141" s="28" t="str">
        <f>IFERROR(VLOOKUP(C141,customer_lookup!$A:$E,5,FALSE),"")</f>
        <v>Avery</v>
      </c>
      <c r="G141" s="25" t="s">
        <v>63</v>
      </c>
      <c r="H141" s="25" t="s">
        <v>78</v>
      </c>
      <c r="I141" s="27" t="str">
        <f>IFERROR(VLOOKUP(H141,product_lookup!$A:$D,2,FALSE),"")</f>
        <v>Grapefruit 1:1:1 Gummies</v>
      </c>
      <c r="J141" s="29">
        <v>18.0</v>
      </c>
      <c r="K141" s="30">
        <v>11.18</v>
      </c>
      <c r="L141" s="31">
        <f t="shared" si="1"/>
        <v>201.24</v>
      </c>
      <c r="M141" s="25" t="s">
        <v>65</v>
      </c>
      <c r="N141" s="26">
        <v>46138.0</v>
      </c>
      <c r="O141" s="27">
        <f>SUMIF(inventory_snapshot!$B:$B,H141,inventory_snapshot!$E:$E)</f>
        <v>1751</v>
      </c>
      <c r="P141" s="32" t="str">
        <f t="shared" si="2"/>
        <v>OK</v>
      </c>
      <c r="Q141" s="32" t="str">
        <f t="shared" si="3"/>
        <v>OK</v>
      </c>
      <c r="R141" s="32" t="str">
        <f t="shared" si="4"/>
        <v>OK</v>
      </c>
      <c r="S141" s="32" t="str">
        <f t="shared" si="5"/>
        <v>Small</v>
      </c>
    </row>
    <row r="142" ht="15.75" customHeight="1">
      <c r="A142" s="17" t="s">
        <v>253</v>
      </c>
      <c r="B142" s="18">
        <v>46131.0</v>
      </c>
      <c r="C142" s="17" t="s">
        <v>184</v>
      </c>
      <c r="D142" s="19" t="str">
        <f>IFERROR(VLOOKUP(C142,customer_lookup!$A:$E,2,FALSE),"")</f>
        <v>OK Account 0084</v>
      </c>
      <c r="E142" s="19" t="str">
        <f>IFERROR(VLOOKUP(C142,customer_lookup!$A:$E,3,FALSE),"")</f>
        <v>OK</v>
      </c>
      <c r="F142" s="20" t="str">
        <f>IFERROR(VLOOKUP(C142,customer_lookup!$A:$E,5,FALSE),"")</f>
        <v>Avery</v>
      </c>
      <c r="G142" s="17" t="s">
        <v>63</v>
      </c>
      <c r="H142" s="17" t="s">
        <v>85</v>
      </c>
      <c r="I142" s="19" t="str">
        <f>IFERROR(VLOOKUP(H142,product_lookup!$A:$D,2,FALSE),"")</f>
        <v>Huckleberry THC Gummies</v>
      </c>
      <c r="J142" s="21">
        <v>96.0</v>
      </c>
      <c r="K142" s="22">
        <v>10.63</v>
      </c>
      <c r="L142" s="23">
        <f t="shared" si="1"/>
        <v>1020.48</v>
      </c>
      <c r="M142" s="17" t="s">
        <v>65</v>
      </c>
      <c r="N142" s="18">
        <v>46139.0</v>
      </c>
      <c r="O142" s="19">
        <f>SUMIF(inventory_snapshot!$B:$B,H142,inventory_snapshot!$E:$E)</f>
        <v>1841</v>
      </c>
      <c r="P142" s="24" t="str">
        <f t="shared" si="2"/>
        <v>OK</v>
      </c>
      <c r="Q142" s="24" t="str">
        <f t="shared" si="3"/>
        <v>OK</v>
      </c>
      <c r="R142" s="24" t="str">
        <f t="shared" si="4"/>
        <v>OK</v>
      </c>
      <c r="S142" s="24" t="str">
        <f t="shared" si="5"/>
        <v>Large</v>
      </c>
    </row>
    <row r="143" ht="15.75" customHeight="1">
      <c r="A143" s="25" t="s">
        <v>254</v>
      </c>
      <c r="B143" s="26">
        <v>46109.0</v>
      </c>
      <c r="C143" s="25" t="s">
        <v>181</v>
      </c>
      <c r="D143" s="27" t="str">
        <f>IFERROR(VLOOKUP(C143,customer_lookup!$A:$E,2,FALSE),"")</f>
        <v>CA Account 0099</v>
      </c>
      <c r="E143" s="27" t="str">
        <f>IFERROR(VLOOKUP(C143,customer_lookup!$A:$E,3,FALSE),"")</f>
        <v>CA</v>
      </c>
      <c r="F143" s="28" t="str">
        <f>IFERROR(VLOOKUP(C143,customer_lookup!$A:$E,5,FALSE),"")</f>
        <v>Avery</v>
      </c>
      <c r="G143" s="25" t="s">
        <v>67</v>
      </c>
      <c r="H143" s="25" t="s">
        <v>90</v>
      </c>
      <c r="I143" s="27" t="str">
        <f>IFERROR(VLOOKUP(H143,product_lookup!$A:$D,2,FALSE),"")</f>
        <v>Blackberry Sparkling Beverage</v>
      </c>
      <c r="J143" s="29">
        <v>12.0</v>
      </c>
      <c r="K143" s="30">
        <v>8.08</v>
      </c>
      <c r="L143" s="31">
        <f t="shared" si="1"/>
        <v>96.96</v>
      </c>
      <c r="M143" s="25" t="s">
        <v>100</v>
      </c>
      <c r="N143" s="26">
        <v>46111.0</v>
      </c>
      <c r="O143" s="27">
        <f>SUMIF(inventory_snapshot!$B:$B,H143,inventory_snapshot!$E:$E)</f>
        <v>1292</v>
      </c>
      <c r="P143" s="32" t="str">
        <f t="shared" si="2"/>
        <v>OK</v>
      </c>
      <c r="Q143" s="32" t="str">
        <f t="shared" si="3"/>
        <v>OK</v>
      </c>
      <c r="R143" s="32" t="str">
        <f t="shared" si="4"/>
        <v>OK</v>
      </c>
      <c r="S143" s="32" t="str">
        <f t="shared" si="5"/>
        <v>Small</v>
      </c>
    </row>
    <row r="144" ht="15.75" customHeight="1">
      <c r="A144" s="17" t="s">
        <v>255</v>
      </c>
      <c r="B144" s="18">
        <v>46064.0</v>
      </c>
      <c r="C144" s="17" t="s">
        <v>177</v>
      </c>
      <c r="D144" s="19" t="str">
        <f>IFERROR(VLOOKUP(C144,customer_lookup!$A:$E,2,FALSE),"")</f>
        <v>IL Account 0103</v>
      </c>
      <c r="E144" s="19" t="str">
        <f>IFERROR(VLOOKUP(C144,customer_lookup!$A:$E,3,FALSE),"")</f>
        <v>IL</v>
      </c>
      <c r="F144" s="20" t="str">
        <f>IFERROR(VLOOKUP(C144,customer_lookup!$A:$E,5,FALSE),"")</f>
        <v>Avery</v>
      </c>
      <c r="G144" s="17" t="s">
        <v>63</v>
      </c>
      <c r="H144" s="17" t="s">
        <v>102</v>
      </c>
      <c r="I144" s="19" t="str">
        <f>IFERROR(VLOOKUP(H144,product_lookup!$A:$D,2,FALSE),"")</f>
        <v>Pomegranate 1:1 Gummies</v>
      </c>
      <c r="J144" s="21">
        <v>6.0</v>
      </c>
      <c r="K144" s="22">
        <v>11.54</v>
      </c>
      <c r="L144" s="23">
        <f t="shared" si="1"/>
        <v>69.24</v>
      </c>
      <c r="M144" s="17" t="s">
        <v>65</v>
      </c>
      <c r="N144" s="18">
        <v>46066.0</v>
      </c>
      <c r="O144" s="19">
        <f>SUMIF(inventory_snapshot!$B:$B,H144,inventory_snapshot!$E:$E)</f>
        <v>1493</v>
      </c>
      <c r="P144" s="24" t="str">
        <f t="shared" si="2"/>
        <v>OK</v>
      </c>
      <c r="Q144" s="24" t="str">
        <f t="shared" si="3"/>
        <v>OK</v>
      </c>
      <c r="R144" s="24" t="str">
        <f t="shared" si="4"/>
        <v>OK</v>
      </c>
      <c r="S144" s="24" t="str">
        <f t="shared" si="5"/>
        <v>Small</v>
      </c>
    </row>
    <row r="145" ht="15.75" customHeight="1">
      <c r="A145" s="25" t="s">
        <v>256</v>
      </c>
      <c r="B145" s="26">
        <v>46034.0</v>
      </c>
      <c r="C145" s="25" t="s">
        <v>181</v>
      </c>
      <c r="D145" s="27" t="str">
        <f>IFERROR(VLOOKUP(C145,customer_lookup!$A:$E,2,FALSE),"")</f>
        <v>CA Account 0099</v>
      </c>
      <c r="E145" s="27" t="str">
        <f>IFERROR(VLOOKUP(C145,customer_lookup!$A:$E,3,FALSE),"")</f>
        <v>CA</v>
      </c>
      <c r="F145" s="28" t="str">
        <f>IFERROR(VLOOKUP(C145,customer_lookup!$A:$E,5,FALSE),"")</f>
        <v>Avery</v>
      </c>
      <c r="G145" s="25" t="s">
        <v>67</v>
      </c>
      <c r="H145" s="25" t="s">
        <v>106</v>
      </c>
      <c r="I145" s="27" t="str">
        <f>IFERROR(VLOOKUP(H145,product_lookup!$A:$D,2,FALSE),"")</f>
        <v>Sour Cherry THC Gummies</v>
      </c>
      <c r="J145" s="29">
        <v>6.0</v>
      </c>
      <c r="K145" s="30">
        <v>11.51</v>
      </c>
      <c r="L145" s="31">
        <f t="shared" si="1"/>
        <v>69.06</v>
      </c>
      <c r="M145" s="25" t="s">
        <v>97</v>
      </c>
      <c r="N145" s="26">
        <v>46039.0</v>
      </c>
      <c r="O145" s="27">
        <f>SUMIF(inventory_snapshot!$B:$B,H145,inventory_snapshot!$E:$E)</f>
        <v>1313</v>
      </c>
      <c r="P145" s="32" t="str">
        <f t="shared" si="2"/>
        <v>OK</v>
      </c>
      <c r="Q145" s="32" t="str">
        <f t="shared" si="3"/>
        <v>OK</v>
      </c>
      <c r="R145" s="32" t="str">
        <f t="shared" si="4"/>
        <v>OK</v>
      </c>
      <c r="S145" s="32" t="str">
        <f t="shared" si="5"/>
        <v>Small</v>
      </c>
    </row>
    <row r="146" ht="15.75" customHeight="1">
      <c r="A146" s="17" t="s">
        <v>257</v>
      </c>
      <c r="B146" s="18">
        <v>46101.0</v>
      </c>
      <c r="C146" s="17" t="s">
        <v>170</v>
      </c>
      <c r="D146" s="19" t="str">
        <f>IFERROR(VLOOKUP(C146,customer_lookup!$A:$E,2,FALSE),"")</f>
        <v>IL Account 0055</v>
      </c>
      <c r="E146" s="19" t="str">
        <f>IFERROR(VLOOKUP(C146,customer_lookup!$A:$E,3,FALSE),"")</f>
        <v>IL</v>
      </c>
      <c r="F146" s="20" t="str">
        <f>IFERROR(VLOOKUP(C146,customer_lookup!$A:$E,5,FALSE),"")</f>
        <v>Avery</v>
      </c>
      <c r="G146" s="17" t="s">
        <v>63</v>
      </c>
      <c r="H146" s="17" t="s">
        <v>68</v>
      </c>
      <c r="I146" s="19" t="str">
        <f>IFERROR(VLOOKUP(H146,product_lookup!$A:$D,2,FALSE),"")</f>
        <v>Sour Apple THC Gummies</v>
      </c>
      <c r="J146" s="21">
        <v>18.0</v>
      </c>
      <c r="K146" s="22">
        <v>10.36</v>
      </c>
      <c r="L146" s="23">
        <f t="shared" si="1"/>
        <v>186.48</v>
      </c>
      <c r="M146" s="17" t="s">
        <v>75</v>
      </c>
      <c r="N146" s="18">
        <v>46107.0</v>
      </c>
      <c r="O146" s="19">
        <f>SUMIF(inventory_snapshot!$B:$B,H146,inventory_snapshot!$E:$E)</f>
        <v>775</v>
      </c>
      <c r="P146" s="24" t="str">
        <f t="shared" si="2"/>
        <v>OK</v>
      </c>
      <c r="Q146" s="24" t="str">
        <f t="shared" si="3"/>
        <v>OK</v>
      </c>
      <c r="R146" s="24" t="str">
        <f t="shared" si="4"/>
        <v>OK</v>
      </c>
      <c r="S146" s="24" t="str">
        <f t="shared" si="5"/>
        <v>Small</v>
      </c>
    </row>
    <row r="147" ht="15.75" customHeight="1">
      <c r="A147" s="25" t="s">
        <v>258</v>
      </c>
      <c r="B147" s="26">
        <v>46057.0</v>
      </c>
      <c r="C147" s="25" t="s">
        <v>181</v>
      </c>
      <c r="D147" s="27" t="str">
        <f>IFERROR(VLOOKUP(C147,customer_lookup!$A:$E,2,FALSE),"")</f>
        <v>CA Account 0099</v>
      </c>
      <c r="E147" s="27" t="str">
        <f>IFERROR(VLOOKUP(C147,customer_lookup!$A:$E,3,FALSE),"")</f>
        <v>CA</v>
      </c>
      <c r="F147" s="28" t="str">
        <f>IFERROR(VLOOKUP(C147,customer_lookup!$A:$E,5,FALSE),"")</f>
        <v>Avery</v>
      </c>
      <c r="G147" s="25" t="s">
        <v>63</v>
      </c>
      <c r="H147" s="25" t="s">
        <v>81</v>
      </c>
      <c r="I147" s="27" t="str">
        <f>IFERROR(VLOOKUP(H147,product_lookup!$A:$D,2,FALSE),"")</f>
        <v>Lemon Sparkling Beverage</v>
      </c>
      <c r="J147" s="29">
        <v>18.0</v>
      </c>
      <c r="K147" s="30">
        <v>7.76</v>
      </c>
      <c r="L147" s="31">
        <f t="shared" si="1"/>
        <v>139.68</v>
      </c>
      <c r="M147" s="25" t="s">
        <v>65</v>
      </c>
      <c r="N147" s="26">
        <v>46059.0</v>
      </c>
      <c r="O147" s="27">
        <f>SUMIF(inventory_snapshot!$B:$B,H147,inventory_snapshot!$E:$E)</f>
        <v>1360</v>
      </c>
      <c r="P147" s="32" t="str">
        <f t="shared" si="2"/>
        <v>OK</v>
      </c>
      <c r="Q147" s="32" t="str">
        <f t="shared" si="3"/>
        <v>OK</v>
      </c>
      <c r="R147" s="32" t="str">
        <f t="shared" si="4"/>
        <v>OK</v>
      </c>
      <c r="S147" s="32" t="str">
        <f t="shared" si="5"/>
        <v>Small</v>
      </c>
    </row>
    <row r="148" ht="15.75" customHeight="1">
      <c r="A148" s="17" t="s">
        <v>259</v>
      </c>
      <c r="B148" s="18">
        <v>46054.0</v>
      </c>
      <c r="C148" s="17" t="s">
        <v>181</v>
      </c>
      <c r="D148" s="19" t="str">
        <f>IFERROR(VLOOKUP(C148,customer_lookup!$A:$E,2,FALSE),"")</f>
        <v>CA Account 0099</v>
      </c>
      <c r="E148" s="19" t="str">
        <f>IFERROR(VLOOKUP(C148,customer_lookup!$A:$E,3,FALSE),"")</f>
        <v>CA</v>
      </c>
      <c r="F148" s="20" t="str">
        <f>IFERROR(VLOOKUP(C148,customer_lookup!$A:$E,5,FALSE),"")</f>
        <v>Avery</v>
      </c>
      <c r="G148" s="17" t="s">
        <v>63</v>
      </c>
      <c r="H148" s="17" t="s">
        <v>156</v>
      </c>
      <c r="I148" s="19" t="str">
        <f>IFERROR(VLOOKUP(H148,product_lookup!$A:$D,2,FALSE),"")</f>
        <v>Blood Orange 1:1 Gummies</v>
      </c>
      <c r="J148" s="21">
        <v>60.0</v>
      </c>
      <c r="K148" s="22">
        <v>9.68</v>
      </c>
      <c r="L148" s="23">
        <f t="shared" si="1"/>
        <v>580.8</v>
      </c>
      <c r="M148" s="17" t="s">
        <v>65</v>
      </c>
      <c r="N148" s="18">
        <v>46060.0</v>
      </c>
      <c r="O148" s="19">
        <f>SUMIF(inventory_snapshot!$B:$B,H148,inventory_snapshot!$E:$E)</f>
        <v>1589</v>
      </c>
      <c r="P148" s="24" t="str">
        <f t="shared" si="2"/>
        <v>OK</v>
      </c>
      <c r="Q148" s="24" t="str">
        <f t="shared" si="3"/>
        <v>OK</v>
      </c>
      <c r="R148" s="24" t="str">
        <f t="shared" si="4"/>
        <v>OK</v>
      </c>
      <c r="S148" s="24" t="str">
        <f t="shared" si="5"/>
        <v>Medium</v>
      </c>
    </row>
    <row r="149" ht="15.75" customHeight="1">
      <c r="A149" s="25" t="s">
        <v>260</v>
      </c>
      <c r="B149" s="26">
        <v>46042.0</v>
      </c>
      <c r="C149" s="25" t="s">
        <v>168</v>
      </c>
      <c r="D149" s="27" t="str">
        <f>IFERROR(VLOOKUP(C149,customer_lookup!$A:$E,2,FALSE),"")</f>
        <v>MO Account 0081</v>
      </c>
      <c r="E149" s="27" t="str">
        <f>IFERROR(VLOOKUP(C149,customer_lookup!$A:$E,3,FALSE),"")</f>
        <v>MO</v>
      </c>
      <c r="F149" s="28" t="str">
        <f>IFERROR(VLOOKUP(C149,customer_lookup!$A:$E,5,FALSE),"")</f>
        <v>Avery</v>
      </c>
      <c r="G149" s="25" t="s">
        <v>89</v>
      </c>
      <c r="H149" s="25" t="s">
        <v>123</v>
      </c>
      <c r="I149" s="27" t="str">
        <f>IFERROR(VLOOKUP(H149,product_lookup!$A:$D,2,FALSE),"")</f>
        <v>Peach 2:1 Gummies</v>
      </c>
      <c r="J149" s="29">
        <v>72.0</v>
      </c>
      <c r="K149" s="30">
        <v>10.58</v>
      </c>
      <c r="L149" s="31">
        <f t="shared" si="1"/>
        <v>761.76</v>
      </c>
      <c r="M149" s="25" t="s">
        <v>97</v>
      </c>
      <c r="N149" s="26">
        <v>46049.0</v>
      </c>
      <c r="O149" s="27">
        <f>SUMIF(inventory_snapshot!$B:$B,H149,inventory_snapshot!$E:$E)</f>
        <v>1732</v>
      </c>
      <c r="P149" s="32" t="str">
        <f t="shared" si="2"/>
        <v>OK</v>
      </c>
      <c r="Q149" s="32" t="str">
        <f t="shared" si="3"/>
        <v>OK</v>
      </c>
      <c r="R149" s="32" t="str">
        <f t="shared" si="4"/>
        <v>OK</v>
      </c>
      <c r="S149" s="32" t="str">
        <f t="shared" si="5"/>
        <v>Medium</v>
      </c>
    </row>
    <row r="150" ht="15.75" customHeight="1">
      <c r="A150" s="17" t="s">
        <v>261</v>
      </c>
      <c r="B150" s="18">
        <v>46134.0</v>
      </c>
      <c r="C150" s="17" t="s">
        <v>179</v>
      </c>
      <c r="D150" s="19" t="str">
        <f>IFERROR(VLOOKUP(C150,customer_lookup!$A:$E,2,FALSE),"")</f>
        <v>NV Account 0114</v>
      </c>
      <c r="E150" s="19" t="str">
        <f>IFERROR(VLOOKUP(C150,customer_lookup!$A:$E,3,FALSE),"")</f>
        <v>NV</v>
      </c>
      <c r="F150" s="20" t="str">
        <f>IFERROR(VLOOKUP(C150,customer_lookup!$A:$E,5,FALSE),"")</f>
        <v>Avery</v>
      </c>
      <c r="G150" s="17" t="s">
        <v>63</v>
      </c>
      <c r="H150" s="17" t="s">
        <v>81</v>
      </c>
      <c r="I150" s="19" t="str">
        <f>IFERROR(VLOOKUP(H150,product_lookup!$A:$D,2,FALSE),"")</f>
        <v>Lemon Sparkling Beverage</v>
      </c>
      <c r="J150" s="21">
        <v>30.0</v>
      </c>
      <c r="K150" s="22">
        <v>7.57</v>
      </c>
      <c r="L150" s="23">
        <f t="shared" si="1"/>
        <v>227.1</v>
      </c>
      <c r="M150" s="17" t="s">
        <v>97</v>
      </c>
      <c r="N150" s="18">
        <v>46139.0</v>
      </c>
      <c r="O150" s="19">
        <f>SUMIF(inventory_snapshot!$B:$B,H150,inventory_snapshot!$E:$E)</f>
        <v>1360</v>
      </c>
      <c r="P150" s="24" t="str">
        <f t="shared" si="2"/>
        <v>OK</v>
      </c>
      <c r="Q150" s="24" t="str">
        <f t="shared" si="3"/>
        <v>OK</v>
      </c>
      <c r="R150" s="24" t="str">
        <f t="shared" si="4"/>
        <v>OK</v>
      </c>
      <c r="S150" s="24" t="str">
        <f t="shared" si="5"/>
        <v>Small</v>
      </c>
    </row>
    <row r="151" ht="15.75" customHeight="1">
      <c r="A151" s="25" t="s">
        <v>262</v>
      </c>
      <c r="B151" s="26">
        <v>46143.0</v>
      </c>
      <c r="C151" s="25" t="s">
        <v>207</v>
      </c>
      <c r="D151" s="27" t="str">
        <f>IFERROR(VLOOKUP(C151,customer_lookup!$A:$E,2,FALSE),"")</f>
        <v>AZ Account 0005</v>
      </c>
      <c r="E151" s="27" t="str">
        <f>IFERROR(VLOOKUP(C151,customer_lookup!$A:$E,3,FALSE),"")</f>
        <v>AZ</v>
      </c>
      <c r="F151" s="28" t="str">
        <f>IFERROR(VLOOKUP(C151,customer_lookup!$A:$E,5,FALSE),"")</f>
        <v>Avery</v>
      </c>
      <c r="G151" s="25" t="s">
        <v>63</v>
      </c>
      <c r="H151" s="25" t="s">
        <v>154</v>
      </c>
      <c r="I151" s="27" t="str">
        <f>IFERROR(VLOOKUP(H151,product_lookup!$A:$D,2,FALSE),"")</f>
        <v>Kiwi 1:1 Gummies</v>
      </c>
      <c r="J151" s="29">
        <v>72.0</v>
      </c>
      <c r="K151" s="30">
        <v>10.47</v>
      </c>
      <c r="L151" s="31">
        <f t="shared" si="1"/>
        <v>753.84</v>
      </c>
      <c r="M151" s="25" t="s">
        <v>93</v>
      </c>
      <c r="N151" s="26">
        <v>46150.0</v>
      </c>
      <c r="O151" s="27">
        <f>SUMIF(inventory_snapshot!$B:$B,H151,inventory_snapshot!$E:$E)</f>
        <v>1136</v>
      </c>
      <c r="P151" s="32" t="str">
        <f t="shared" si="2"/>
        <v>OK</v>
      </c>
      <c r="Q151" s="32" t="str">
        <f t="shared" si="3"/>
        <v>OK</v>
      </c>
      <c r="R151" s="32" t="str">
        <f t="shared" si="4"/>
        <v>OK</v>
      </c>
      <c r="S151" s="32" t="str">
        <f t="shared" si="5"/>
        <v>Medium</v>
      </c>
    </row>
    <row r="152" ht="15.75" customHeight="1">
      <c r="A152" s="17" t="s">
        <v>263</v>
      </c>
      <c r="B152" s="18">
        <v>46057.0</v>
      </c>
      <c r="C152" s="17" t="s">
        <v>179</v>
      </c>
      <c r="D152" s="19" t="str">
        <f>IFERROR(VLOOKUP(C152,customer_lookup!$A:$E,2,FALSE),"")</f>
        <v>NV Account 0114</v>
      </c>
      <c r="E152" s="19" t="str">
        <f>IFERROR(VLOOKUP(C152,customer_lookup!$A:$E,3,FALSE),"")</f>
        <v>NV</v>
      </c>
      <c r="F152" s="20" t="str">
        <f>IFERROR(VLOOKUP(C152,customer_lookup!$A:$E,5,FALSE),"")</f>
        <v>Avery</v>
      </c>
      <c r="G152" s="17" t="s">
        <v>63</v>
      </c>
      <c r="H152" s="17" t="s">
        <v>156</v>
      </c>
      <c r="I152" s="19" t="str">
        <f>IFERROR(VLOOKUP(H152,product_lookup!$A:$D,2,FALSE),"")</f>
        <v>Blood Orange 1:1 Gummies</v>
      </c>
      <c r="J152" s="21">
        <v>72.0</v>
      </c>
      <c r="K152" s="22">
        <v>10.93</v>
      </c>
      <c r="L152" s="23">
        <f t="shared" si="1"/>
        <v>786.96</v>
      </c>
      <c r="M152" s="17" t="s">
        <v>65</v>
      </c>
      <c r="N152" s="18">
        <v>46066.0</v>
      </c>
      <c r="O152" s="19">
        <f>SUMIF(inventory_snapshot!$B:$B,H152,inventory_snapshot!$E:$E)</f>
        <v>1589</v>
      </c>
      <c r="P152" s="24" t="str">
        <f t="shared" si="2"/>
        <v>OK</v>
      </c>
      <c r="Q152" s="24" t="str">
        <f t="shared" si="3"/>
        <v>OK</v>
      </c>
      <c r="R152" s="24" t="str">
        <f t="shared" si="4"/>
        <v>OK</v>
      </c>
      <c r="S152" s="24" t="str">
        <f t="shared" si="5"/>
        <v>Medium</v>
      </c>
    </row>
    <row r="153" ht="15.75" customHeight="1">
      <c r="A153" s="25" t="s">
        <v>264</v>
      </c>
      <c r="B153" s="26">
        <v>46023.0</v>
      </c>
      <c r="C153" s="25" t="s">
        <v>184</v>
      </c>
      <c r="D153" s="27" t="str">
        <f>IFERROR(VLOOKUP(C153,customer_lookup!$A:$E,2,FALSE),"")</f>
        <v>OK Account 0084</v>
      </c>
      <c r="E153" s="27" t="str">
        <f>IFERROR(VLOOKUP(C153,customer_lookup!$A:$E,3,FALSE),"")</f>
        <v>OK</v>
      </c>
      <c r="F153" s="28" t="str">
        <f>IFERROR(VLOOKUP(C153,customer_lookup!$A:$E,5,FALSE),"")</f>
        <v>Avery</v>
      </c>
      <c r="G153" s="25" t="s">
        <v>63</v>
      </c>
      <c r="H153" s="25" t="s">
        <v>154</v>
      </c>
      <c r="I153" s="27" t="str">
        <f>IFERROR(VLOOKUP(H153,product_lookup!$A:$D,2,FALSE),"")</f>
        <v>Kiwi 1:1 Gummies</v>
      </c>
      <c r="J153" s="29">
        <v>6.0</v>
      </c>
      <c r="K153" s="30">
        <v>11.68</v>
      </c>
      <c r="L153" s="31">
        <f t="shared" si="1"/>
        <v>70.08</v>
      </c>
      <c r="M153" s="25" t="s">
        <v>65</v>
      </c>
      <c r="N153" s="26">
        <v>46030.0</v>
      </c>
      <c r="O153" s="27">
        <f>SUMIF(inventory_snapshot!$B:$B,H153,inventory_snapshot!$E:$E)</f>
        <v>1136</v>
      </c>
      <c r="P153" s="32" t="str">
        <f t="shared" si="2"/>
        <v>OK</v>
      </c>
      <c r="Q153" s="32" t="str">
        <f t="shared" si="3"/>
        <v>OK</v>
      </c>
      <c r="R153" s="32" t="str">
        <f t="shared" si="4"/>
        <v>OK</v>
      </c>
      <c r="S153" s="32" t="str">
        <f t="shared" si="5"/>
        <v>Small</v>
      </c>
    </row>
    <row r="154" ht="15.75" customHeight="1">
      <c r="A154" s="17" t="s">
        <v>265</v>
      </c>
      <c r="B154" s="18">
        <v>46140.0</v>
      </c>
      <c r="C154" s="17" t="s">
        <v>174</v>
      </c>
      <c r="D154" s="19" t="str">
        <f>IFERROR(VLOOKUP(C154,customer_lookup!$A:$E,2,FALSE),"")</f>
        <v>NY Account 0011</v>
      </c>
      <c r="E154" s="19" t="str">
        <f>IFERROR(VLOOKUP(C154,customer_lookup!$A:$E,3,FALSE),"")</f>
        <v>NY</v>
      </c>
      <c r="F154" s="20" t="str">
        <f>IFERROR(VLOOKUP(C154,customer_lookup!$A:$E,5,FALSE),"")</f>
        <v>Avery</v>
      </c>
      <c r="G154" s="17" t="s">
        <v>67</v>
      </c>
      <c r="H154" s="17" t="s">
        <v>95</v>
      </c>
      <c r="I154" s="19" t="str">
        <f>IFERROR(VLOOKUP(H154,product_lookup!$A:$D,2,FALSE),"")</f>
        <v>Boysenberry 1:1:1 Gummies</v>
      </c>
      <c r="J154" s="21">
        <v>6.0</v>
      </c>
      <c r="K154" s="22">
        <v>10.24</v>
      </c>
      <c r="L154" s="23">
        <f t="shared" si="1"/>
        <v>61.44</v>
      </c>
      <c r="M154" s="17" t="s">
        <v>93</v>
      </c>
      <c r="N154" s="18">
        <v>46143.0</v>
      </c>
      <c r="O154" s="19">
        <f>SUMIF(inventory_snapshot!$B:$B,H154,inventory_snapshot!$E:$E)</f>
        <v>2007</v>
      </c>
      <c r="P154" s="24" t="str">
        <f t="shared" si="2"/>
        <v>OK</v>
      </c>
      <c r="Q154" s="24" t="str">
        <f t="shared" si="3"/>
        <v>OK</v>
      </c>
      <c r="R154" s="24" t="str">
        <f t="shared" si="4"/>
        <v>OK</v>
      </c>
      <c r="S154" s="24" t="str">
        <f t="shared" si="5"/>
        <v>Small</v>
      </c>
    </row>
    <row r="155" ht="15.75" customHeight="1">
      <c r="A155" s="25" t="s">
        <v>266</v>
      </c>
      <c r="B155" s="26">
        <v>46102.0</v>
      </c>
      <c r="C155" s="25" t="s">
        <v>170</v>
      </c>
      <c r="D155" s="27" t="str">
        <f>IFERROR(VLOOKUP(C155,customer_lookup!$A:$E,2,FALSE),"")</f>
        <v>IL Account 0055</v>
      </c>
      <c r="E155" s="27" t="str">
        <f>IFERROR(VLOOKUP(C155,customer_lookup!$A:$E,3,FALSE),"")</f>
        <v>IL</v>
      </c>
      <c r="F155" s="28" t="str">
        <f>IFERROR(VLOOKUP(C155,customer_lookup!$A:$E,5,FALSE),"")</f>
        <v>Avery</v>
      </c>
      <c r="G155" s="25" t="s">
        <v>67</v>
      </c>
      <c r="H155" s="25" t="s">
        <v>71</v>
      </c>
      <c r="I155" s="27" t="str">
        <f>IFERROR(VLOOKUP(H155,product_lookup!$A:$D,2,FALSE),"")</f>
        <v>Pineapple Sparkling Beverage</v>
      </c>
      <c r="J155" s="29">
        <v>12.0</v>
      </c>
      <c r="K155" s="30">
        <v>7.5</v>
      </c>
      <c r="L155" s="31">
        <f t="shared" si="1"/>
        <v>90</v>
      </c>
      <c r="M155" s="25" t="s">
        <v>93</v>
      </c>
      <c r="N155" s="26">
        <v>46110.0</v>
      </c>
      <c r="O155" s="27">
        <f>SUMIF(inventory_snapshot!$B:$B,H155,inventory_snapshot!$E:$E)</f>
        <v>1145</v>
      </c>
      <c r="P155" s="32" t="str">
        <f t="shared" si="2"/>
        <v>OK</v>
      </c>
      <c r="Q155" s="32" t="str">
        <f t="shared" si="3"/>
        <v>OK</v>
      </c>
      <c r="R155" s="32" t="str">
        <f t="shared" si="4"/>
        <v>OK</v>
      </c>
      <c r="S155" s="32" t="str">
        <f t="shared" si="5"/>
        <v>Small</v>
      </c>
    </row>
    <row r="156" ht="15.75" customHeight="1">
      <c r="A156" s="17" t="s">
        <v>267</v>
      </c>
      <c r="B156" s="18">
        <v>46139.0</v>
      </c>
      <c r="C156" s="17" t="s">
        <v>168</v>
      </c>
      <c r="D156" s="19" t="str">
        <f>IFERROR(VLOOKUP(C156,customer_lookup!$A:$E,2,FALSE),"")</f>
        <v>MO Account 0081</v>
      </c>
      <c r="E156" s="19" t="str">
        <f>IFERROR(VLOOKUP(C156,customer_lookup!$A:$E,3,FALSE),"")</f>
        <v>MO</v>
      </c>
      <c r="F156" s="20" t="str">
        <f>IFERROR(VLOOKUP(C156,customer_lookup!$A:$E,5,FALSE),"")</f>
        <v>Avery</v>
      </c>
      <c r="G156" s="17" t="s">
        <v>63</v>
      </c>
      <c r="H156" s="17" t="s">
        <v>64</v>
      </c>
      <c r="I156" s="19" t="str">
        <f>IFERROR(VLOOKUP(H156,product_lookup!$A:$D,2,FALSE),"")</f>
        <v>Cranberry Sparkling Beverage</v>
      </c>
      <c r="J156" s="21">
        <v>36.0</v>
      </c>
      <c r="K156" s="22">
        <v>7.04</v>
      </c>
      <c r="L156" s="23">
        <f t="shared" si="1"/>
        <v>253.44</v>
      </c>
      <c r="M156" s="17" t="s">
        <v>100</v>
      </c>
      <c r="N156" s="18">
        <v>46142.0</v>
      </c>
      <c r="O156" s="19">
        <f>SUMIF(inventory_snapshot!$B:$B,H156,inventory_snapshot!$E:$E)</f>
        <v>1152</v>
      </c>
      <c r="P156" s="24" t="str">
        <f t="shared" si="2"/>
        <v>OK</v>
      </c>
      <c r="Q156" s="24" t="str">
        <f t="shared" si="3"/>
        <v>OK</v>
      </c>
      <c r="R156" s="24" t="str">
        <f t="shared" si="4"/>
        <v>OK</v>
      </c>
      <c r="S156" s="24" t="str">
        <f t="shared" si="5"/>
        <v>Small</v>
      </c>
    </row>
    <row r="157" ht="15.75" customHeight="1">
      <c r="A157" s="25" t="s">
        <v>268</v>
      </c>
      <c r="B157" s="26">
        <v>46060.0</v>
      </c>
      <c r="C157" s="25" t="s">
        <v>226</v>
      </c>
      <c r="D157" s="27" t="str">
        <f>IFERROR(VLOOKUP(C157,customer_lookup!$A:$E,2,FALSE),"")</f>
        <v>OR Account 0097</v>
      </c>
      <c r="E157" s="27" t="str">
        <f>IFERROR(VLOOKUP(C157,customer_lookup!$A:$E,3,FALSE),"")</f>
        <v>OR</v>
      </c>
      <c r="F157" s="28" t="str">
        <f>IFERROR(VLOOKUP(C157,customer_lookup!$A:$E,5,FALSE),"")</f>
        <v>Avery</v>
      </c>
      <c r="G157" s="25" t="s">
        <v>63</v>
      </c>
      <c r="H157" s="25" t="s">
        <v>110</v>
      </c>
      <c r="I157" s="27" t="str">
        <f>IFERROR(VLOOKUP(H157,product_lookup!$A:$D,2,FALSE),"")</f>
        <v>Elderberry 2:1 Gummies</v>
      </c>
      <c r="J157" s="29">
        <v>60.0</v>
      </c>
      <c r="K157" s="30">
        <v>11.04</v>
      </c>
      <c r="L157" s="31">
        <f t="shared" si="1"/>
        <v>662.4</v>
      </c>
      <c r="M157" s="25" t="s">
        <v>97</v>
      </c>
      <c r="N157" s="26">
        <v>46069.0</v>
      </c>
      <c r="O157" s="27">
        <f>SUMIF(inventory_snapshot!$B:$B,H157,inventory_snapshot!$E:$E)</f>
        <v>1633</v>
      </c>
      <c r="P157" s="32" t="str">
        <f t="shared" si="2"/>
        <v>OK</v>
      </c>
      <c r="Q157" s="32" t="str">
        <f t="shared" si="3"/>
        <v>OK</v>
      </c>
      <c r="R157" s="32" t="str">
        <f t="shared" si="4"/>
        <v>OK</v>
      </c>
      <c r="S157" s="32" t="str">
        <f t="shared" si="5"/>
        <v>Medium</v>
      </c>
    </row>
    <row r="158" ht="15.75" customHeight="1">
      <c r="A158" s="17" t="s">
        <v>269</v>
      </c>
      <c r="B158" s="18">
        <v>46047.0</v>
      </c>
      <c r="C158" s="17" t="s">
        <v>181</v>
      </c>
      <c r="D158" s="19" t="str">
        <f>IFERROR(VLOOKUP(C158,customer_lookup!$A:$E,2,FALSE),"")</f>
        <v>CA Account 0099</v>
      </c>
      <c r="E158" s="19" t="str">
        <f>IFERROR(VLOOKUP(C158,customer_lookup!$A:$E,3,FALSE),"")</f>
        <v>CA</v>
      </c>
      <c r="F158" s="20" t="str">
        <f>IFERROR(VLOOKUP(C158,customer_lookup!$A:$E,5,FALSE),"")</f>
        <v>Avery</v>
      </c>
      <c r="G158" s="17" t="s">
        <v>67</v>
      </c>
      <c r="H158" s="17" t="s">
        <v>115</v>
      </c>
      <c r="I158" s="19" t="str">
        <f>IFERROR(VLOOKUP(H158,product_lookup!$A:$D,2,FALSE),"")</f>
        <v>Pear 1:1 Gummies</v>
      </c>
      <c r="J158" s="21">
        <v>96.0</v>
      </c>
      <c r="K158" s="22">
        <v>12.37</v>
      </c>
      <c r="L158" s="23">
        <f t="shared" si="1"/>
        <v>1187.52</v>
      </c>
      <c r="M158" s="17" t="s">
        <v>93</v>
      </c>
      <c r="N158" s="18">
        <v>46056.0</v>
      </c>
      <c r="O158" s="19">
        <f>SUMIF(inventory_snapshot!$B:$B,H158,inventory_snapshot!$E:$E)</f>
        <v>981</v>
      </c>
      <c r="P158" s="24" t="str">
        <f t="shared" si="2"/>
        <v>OK</v>
      </c>
      <c r="Q158" s="24" t="str">
        <f t="shared" si="3"/>
        <v>OK</v>
      </c>
      <c r="R158" s="24" t="str">
        <f t="shared" si="4"/>
        <v>OK</v>
      </c>
      <c r="S158" s="24" t="str">
        <f t="shared" si="5"/>
        <v>Large</v>
      </c>
    </row>
    <row r="159" ht="15.75" customHeight="1">
      <c r="A159" s="25" t="s">
        <v>270</v>
      </c>
      <c r="B159" s="26">
        <v>46120.0</v>
      </c>
      <c r="C159" s="25" t="s">
        <v>184</v>
      </c>
      <c r="D159" s="27" t="str">
        <f>IFERROR(VLOOKUP(C159,customer_lookup!$A:$E,2,FALSE),"")</f>
        <v>OK Account 0084</v>
      </c>
      <c r="E159" s="27" t="str">
        <f>IFERROR(VLOOKUP(C159,customer_lookup!$A:$E,3,FALSE),"")</f>
        <v>OK</v>
      </c>
      <c r="F159" s="28" t="str">
        <f>IFERROR(VLOOKUP(C159,customer_lookup!$A:$E,5,FALSE),"")</f>
        <v>Avery</v>
      </c>
      <c r="G159" s="25" t="s">
        <v>67</v>
      </c>
      <c r="H159" s="25" t="s">
        <v>190</v>
      </c>
      <c r="I159" s="27" t="str">
        <f>IFERROR(VLOOKUP(H159,product_lookup!$A:$D,2,FALSE),"")</f>
        <v>Mango Sparkling Beverage</v>
      </c>
      <c r="J159" s="29">
        <v>18.0</v>
      </c>
      <c r="K159" s="30">
        <v>8.05</v>
      </c>
      <c r="L159" s="31">
        <f t="shared" si="1"/>
        <v>144.9</v>
      </c>
      <c r="M159" s="25" t="s">
        <v>97</v>
      </c>
      <c r="N159" s="26">
        <v>46124.0</v>
      </c>
      <c r="O159" s="27">
        <f>SUMIF(inventory_snapshot!$B:$B,H159,inventory_snapshot!$E:$E)</f>
        <v>1502</v>
      </c>
      <c r="P159" s="32" t="str">
        <f t="shared" si="2"/>
        <v>OK</v>
      </c>
      <c r="Q159" s="32" t="str">
        <f t="shared" si="3"/>
        <v>OK</v>
      </c>
      <c r="R159" s="32" t="str">
        <f t="shared" si="4"/>
        <v>OK</v>
      </c>
      <c r="S159" s="32" t="str">
        <f t="shared" si="5"/>
        <v>Small</v>
      </c>
    </row>
    <row r="160" ht="15.75" customHeight="1">
      <c r="A160" s="17" t="s">
        <v>271</v>
      </c>
      <c r="B160" s="18">
        <v>46096.0</v>
      </c>
      <c r="C160" s="17" t="s">
        <v>195</v>
      </c>
      <c r="D160" s="19" t="str">
        <f>IFERROR(VLOOKUP(C160,customer_lookup!$A:$E,2,FALSE),"")</f>
        <v>MO Account 0117</v>
      </c>
      <c r="E160" s="19" t="str">
        <f>IFERROR(VLOOKUP(C160,customer_lookup!$A:$E,3,FALSE),"")</f>
        <v>MO</v>
      </c>
      <c r="F160" s="20" t="str">
        <f>IFERROR(VLOOKUP(C160,customer_lookup!$A:$E,5,FALSE),"")</f>
        <v>Avery</v>
      </c>
      <c r="G160" s="17" t="s">
        <v>63</v>
      </c>
      <c r="H160" s="17" t="s">
        <v>71</v>
      </c>
      <c r="I160" s="19" t="str">
        <f>IFERROR(VLOOKUP(H160,product_lookup!$A:$D,2,FALSE),"")</f>
        <v>Pineapple Sparkling Beverage</v>
      </c>
      <c r="J160" s="21">
        <v>48.0</v>
      </c>
      <c r="K160" s="22">
        <v>8.49</v>
      </c>
      <c r="L160" s="23">
        <f t="shared" si="1"/>
        <v>407.52</v>
      </c>
      <c r="M160" s="17" t="s">
        <v>97</v>
      </c>
      <c r="N160" s="18">
        <v>46105.0</v>
      </c>
      <c r="O160" s="19">
        <f>SUMIF(inventory_snapshot!$B:$B,H160,inventory_snapshot!$E:$E)</f>
        <v>1145</v>
      </c>
      <c r="P160" s="24" t="str">
        <f t="shared" si="2"/>
        <v>OK</v>
      </c>
      <c r="Q160" s="24" t="str">
        <f t="shared" si="3"/>
        <v>OK</v>
      </c>
      <c r="R160" s="24" t="str">
        <f t="shared" si="4"/>
        <v>OK</v>
      </c>
      <c r="S160" s="24" t="str">
        <f t="shared" si="5"/>
        <v>Small</v>
      </c>
    </row>
    <row r="161" ht="15.75" customHeight="1">
      <c r="A161" s="25" t="s">
        <v>272</v>
      </c>
      <c r="B161" s="26">
        <v>46075.0</v>
      </c>
      <c r="C161" s="25" t="s">
        <v>181</v>
      </c>
      <c r="D161" s="27" t="str">
        <f>IFERROR(VLOOKUP(C161,customer_lookup!$A:$E,2,FALSE),"")</f>
        <v>CA Account 0099</v>
      </c>
      <c r="E161" s="27" t="str">
        <f>IFERROR(VLOOKUP(C161,customer_lookup!$A:$E,3,FALSE),"")</f>
        <v>CA</v>
      </c>
      <c r="F161" s="28" t="str">
        <f>IFERROR(VLOOKUP(C161,customer_lookup!$A:$E,5,FALSE),"")</f>
        <v>Avery</v>
      </c>
      <c r="G161" s="25" t="s">
        <v>63</v>
      </c>
      <c r="H161" s="25" t="s">
        <v>92</v>
      </c>
      <c r="I161" s="27" t="str">
        <f>IFERROR(VLOOKUP(H161,product_lookup!$A:$D,2,FALSE),"")</f>
        <v>Raspberry THC Gummies</v>
      </c>
      <c r="J161" s="29">
        <v>60.0</v>
      </c>
      <c r="K161" s="30">
        <v>9.8</v>
      </c>
      <c r="L161" s="31">
        <f t="shared" si="1"/>
        <v>588</v>
      </c>
      <c r="M161" s="25" t="s">
        <v>97</v>
      </c>
      <c r="N161" s="26">
        <v>46076.0</v>
      </c>
      <c r="O161" s="27">
        <f>SUMIF(inventory_snapshot!$B:$B,H161,inventory_snapshot!$E:$E)</f>
        <v>1417</v>
      </c>
      <c r="P161" s="32" t="str">
        <f t="shared" si="2"/>
        <v>OK</v>
      </c>
      <c r="Q161" s="32" t="str">
        <f t="shared" si="3"/>
        <v>OK</v>
      </c>
      <c r="R161" s="32" t="str">
        <f t="shared" si="4"/>
        <v>OK</v>
      </c>
      <c r="S161" s="32" t="str">
        <f t="shared" si="5"/>
        <v>Medium</v>
      </c>
    </row>
    <row r="162" ht="15.75" customHeight="1">
      <c r="A162" s="17" t="s">
        <v>273</v>
      </c>
      <c r="B162" s="18">
        <v>46102.0</v>
      </c>
      <c r="C162" s="17" t="s">
        <v>226</v>
      </c>
      <c r="D162" s="19" t="str">
        <f>IFERROR(VLOOKUP(C162,customer_lookup!$A:$E,2,FALSE),"")</f>
        <v>OR Account 0097</v>
      </c>
      <c r="E162" s="19" t="str">
        <f>IFERROR(VLOOKUP(C162,customer_lookup!$A:$E,3,FALSE),"")</f>
        <v>OR</v>
      </c>
      <c r="F162" s="20" t="str">
        <f>IFERROR(VLOOKUP(C162,customer_lookup!$A:$E,5,FALSE),"")</f>
        <v>Avery</v>
      </c>
      <c r="G162" s="17" t="s">
        <v>63</v>
      </c>
      <c r="H162" s="17" t="s">
        <v>123</v>
      </c>
      <c r="I162" s="19" t="str">
        <f>IFERROR(VLOOKUP(H162,product_lookup!$A:$D,2,FALSE),"")</f>
        <v>Peach 2:1 Gummies</v>
      </c>
      <c r="J162" s="21">
        <v>12.0</v>
      </c>
      <c r="K162" s="22">
        <v>9.8</v>
      </c>
      <c r="L162" s="23">
        <f t="shared" si="1"/>
        <v>117.6</v>
      </c>
      <c r="M162" s="17" t="s">
        <v>75</v>
      </c>
      <c r="N162" s="18">
        <v>46105.0</v>
      </c>
      <c r="O162" s="19">
        <f>SUMIF(inventory_snapshot!$B:$B,H162,inventory_snapshot!$E:$E)</f>
        <v>1732</v>
      </c>
      <c r="P162" s="24" t="str">
        <f t="shared" si="2"/>
        <v>OK</v>
      </c>
      <c r="Q162" s="24" t="str">
        <f t="shared" si="3"/>
        <v>OK</v>
      </c>
      <c r="R162" s="24" t="str">
        <f t="shared" si="4"/>
        <v>OK</v>
      </c>
      <c r="S162" s="24" t="str">
        <f t="shared" si="5"/>
        <v>Small</v>
      </c>
    </row>
    <row r="163" ht="15.75" customHeight="1">
      <c r="A163" s="25" t="s">
        <v>274</v>
      </c>
      <c r="B163" s="26">
        <v>46100.0</v>
      </c>
      <c r="C163" s="25" t="s">
        <v>170</v>
      </c>
      <c r="D163" s="27" t="str">
        <f>IFERROR(VLOOKUP(C163,customer_lookup!$A:$E,2,FALSE),"")</f>
        <v>IL Account 0055</v>
      </c>
      <c r="E163" s="27" t="str">
        <f>IFERROR(VLOOKUP(C163,customer_lookup!$A:$E,3,FALSE),"")</f>
        <v>IL</v>
      </c>
      <c r="F163" s="28" t="str">
        <f>IFERROR(VLOOKUP(C163,customer_lookup!$A:$E,5,FALSE),"")</f>
        <v>Avery</v>
      </c>
      <c r="G163" s="25" t="s">
        <v>89</v>
      </c>
      <c r="H163" s="25" t="s">
        <v>154</v>
      </c>
      <c r="I163" s="27" t="str">
        <f>IFERROR(VLOOKUP(H163,product_lookup!$A:$D,2,FALSE),"")</f>
        <v>Kiwi 1:1 Gummies</v>
      </c>
      <c r="J163" s="29">
        <v>24.0</v>
      </c>
      <c r="K163" s="30">
        <v>10.33</v>
      </c>
      <c r="L163" s="31">
        <f t="shared" si="1"/>
        <v>247.92</v>
      </c>
      <c r="M163" s="25" t="s">
        <v>65</v>
      </c>
      <c r="N163" s="26">
        <v>46104.0</v>
      </c>
      <c r="O163" s="27">
        <f>SUMIF(inventory_snapshot!$B:$B,H163,inventory_snapshot!$E:$E)</f>
        <v>1136</v>
      </c>
      <c r="P163" s="32" t="str">
        <f t="shared" si="2"/>
        <v>OK</v>
      </c>
      <c r="Q163" s="32" t="str">
        <f t="shared" si="3"/>
        <v>OK</v>
      </c>
      <c r="R163" s="32" t="str">
        <f t="shared" si="4"/>
        <v>OK</v>
      </c>
      <c r="S163" s="32" t="str">
        <f t="shared" si="5"/>
        <v>Small</v>
      </c>
    </row>
    <row r="164" ht="15.75" customHeight="1">
      <c r="A164" s="17" t="s">
        <v>275</v>
      </c>
      <c r="B164" s="18">
        <v>46073.0</v>
      </c>
      <c r="C164" s="17" t="s">
        <v>174</v>
      </c>
      <c r="D164" s="19" t="str">
        <f>IFERROR(VLOOKUP(C164,customer_lookup!$A:$E,2,FALSE),"")</f>
        <v>NY Account 0011</v>
      </c>
      <c r="E164" s="19" t="str">
        <f>IFERROR(VLOOKUP(C164,customer_lookup!$A:$E,3,FALSE),"")</f>
        <v>NY</v>
      </c>
      <c r="F164" s="20" t="str">
        <f>IFERROR(VLOOKUP(C164,customer_lookup!$A:$E,5,FALSE),"")</f>
        <v>Avery</v>
      </c>
      <c r="G164" s="17" t="s">
        <v>63</v>
      </c>
      <c r="H164" s="17" t="s">
        <v>68</v>
      </c>
      <c r="I164" s="19" t="str">
        <f>IFERROR(VLOOKUP(H164,product_lookup!$A:$D,2,FALSE),"")</f>
        <v>Sour Apple THC Gummies</v>
      </c>
      <c r="J164" s="21">
        <v>48.0</v>
      </c>
      <c r="K164" s="22">
        <v>9.8</v>
      </c>
      <c r="L164" s="23">
        <f t="shared" si="1"/>
        <v>470.4</v>
      </c>
      <c r="M164" s="17" t="s">
        <v>75</v>
      </c>
      <c r="N164" s="18">
        <v>46080.0</v>
      </c>
      <c r="O164" s="19">
        <f>SUMIF(inventory_snapshot!$B:$B,H164,inventory_snapshot!$E:$E)</f>
        <v>775</v>
      </c>
      <c r="P164" s="24" t="str">
        <f t="shared" si="2"/>
        <v>OK</v>
      </c>
      <c r="Q164" s="24" t="str">
        <f t="shared" si="3"/>
        <v>OK</v>
      </c>
      <c r="R164" s="24" t="str">
        <f t="shared" si="4"/>
        <v>OK</v>
      </c>
      <c r="S164" s="24" t="str">
        <f t="shared" si="5"/>
        <v>Small</v>
      </c>
    </row>
    <row r="165" ht="15.75" customHeight="1">
      <c r="A165" s="25" t="s">
        <v>276</v>
      </c>
      <c r="B165" s="26">
        <v>46139.0</v>
      </c>
      <c r="C165" s="25" t="s">
        <v>174</v>
      </c>
      <c r="D165" s="27" t="str">
        <f>IFERROR(VLOOKUP(C165,customer_lookup!$A:$E,2,FALSE),"")</f>
        <v>NY Account 0011</v>
      </c>
      <c r="E165" s="27" t="str">
        <f>IFERROR(VLOOKUP(C165,customer_lookup!$A:$E,3,FALSE),"")</f>
        <v>NY</v>
      </c>
      <c r="F165" s="28" t="str">
        <f>IFERROR(VLOOKUP(C165,customer_lookup!$A:$E,5,FALSE),"")</f>
        <v>Avery</v>
      </c>
      <c r="G165" s="25" t="s">
        <v>63</v>
      </c>
      <c r="H165" s="25" t="s">
        <v>190</v>
      </c>
      <c r="I165" s="27" t="str">
        <f>IFERROR(VLOOKUP(H165,product_lookup!$A:$D,2,FALSE),"")</f>
        <v>Mango Sparkling Beverage</v>
      </c>
      <c r="J165" s="29">
        <v>24.0</v>
      </c>
      <c r="K165" s="30">
        <v>8.06</v>
      </c>
      <c r="L165" s="31">
        <f t="shared" si="1"/>
        <v>193.44</v>
      </c>
      <c r="M165" s="25" t="s">
        <v>97</v>
      </c>
      <c r="N165" s="26">
        <v>46144.0</v>
      </c>
      <c r="O165" s="27">
        <f>SUMIF(inventory_snapshot!$B:$B,H165,inventory_snapshot!$E:$E)</f>
        <v>1502</v>
      </c>
      <c r="P165" s="32" t="str">
        <f t="shared" si="2"/>
        <v>OK</v>
      </c>
      <c r="Q165" s="32" t="str">
        <f t="shared" si="3"/>
        <v>OK</v>
      </c>
      <c r="R165" s="32" t="str">
        <f t="shared" si="4"/>
        <v>OK</v>
      </c>
      <c r="S165" s="32" t="str">
        <f t="shared" si="5"/>
        <v>Small</v>
      </c>
    </row>
    <row r="166" ht="15.75" customHeight="1">
      <c r="A166" s="17" t="s">
        <v>277</v>
      </c>
      <c r="B166" s="18">
        <v>46098.0</v>
      </c>
      <c r="C166" s="17" t="s">
        <v>179</v>
      </c>
      <c r="D166" s="19" t="str">
        <f>IFERROR(VLOOKUP(C166,customer_lookup!$A:$E,2,FALSE),"")</f>
        <v>NV Account 0114</v>
      </c>
      <c r="E166" s="19" t="str">
        <f>IFERROR(VLOOKUP(C166,customer_lookup!$A:$E,3,FALSE),"")</f>
        <v>NV</v>
      </c>
      <c r="F166" s="20" t="str">
        <f>IFERROR(VLOOKUP(C166,customer_lookup!$A:$E,5,FALSE),"")</f>
        <v>Avery</v>
      </c>
      <c r="G166" s="17" t="s">
        <v>89</v>
      </c>
      <c r="H166" s="17" t="s">
        <v>106</v>
      </c>
      <c r="I166" s="19" t="str">
        <f>IFERROR(VLOOKUP(H166,product_lookup!$A:$D,2,FALSE),"")</f>
        <v>Sour Cherry THC Gummies</v>
      </c>
      <c r="J166" s="21">
        <v>30.0</v>
      </c>
      <c r="K166" s="22">
        <v>11.25</v>
      </c>
      <c r="L166" s="23">
        <f t="shared" si="1"/>
        <v>337.5</v>
      </c>
      <c r="M166" s="17" t="s">
        <v>65</v>
      </c>
      <c r="N166" s="18">
        <v>46100.0</v>
      </c>
      <c r="O166" s="19">
        <f>SUMIF(inventory_snapshot!$B:$B,H166,inventory_snapshot!$E:$E)</f>
        <v>1313</v>
      </c>
      <c r="P166" s="24" t="str">
        <f t="shared" si="2"/>
        <v>OK</v>
      </c>
      <c r="Q166" s="24" t="str">
        <f t="shared" si="3"/>
        <v>OK</v>
      </c>
      <c r="R166" s="24" t="str">
        <f t="shared" si="4"/>
        <v>OK</v>
      </c>
      <c r="S166" s="24" t="str">
        <f t="shared" si="5"/>
        <v>Small</v>
      </c>
    </row>
    <row r="167" ht="15.75" customHeight="1">
      <c r="A167" s="25" t="s">
        <v>278</v>
      </c>
      <c r="B167" s="26">
        <v>46127.0</v>
      </c>
      <c r="C167" s="25" t="s">
        <v>177</v>
      </c>
      <c r="D167" s="27" t="str">
        <f>IFERROR(VLOOKUP(C167,customer_lookup!$A:$E,2,FALSE),"")</f>
        <v>IL Account 0103</v>
      </c>
      <c r="E167" s="27" t="str">
        <f>IFERROR(VLOOKUP(C167,customer_lookup!$A:$E,3,FALSE),"")</f>
        <v>IL</v>
      </c>
      <c r="F167" s="28" t="str">
        <f>IFERROR(VLOOKUP(C167,customer_lookup!$A:$E,5,FALSE),"")</f>
        <v>Avery</v>
      </c>
      <c r="G167" s="25" t="s">
        <v>67</v>
      </c>
      <c r="H167" s="25" t="s">
        <v>68</v>
      </c>
      <c r="I167" s="27" t="str">
        <f>IFERROR(VLOOKUP(H167,product_lookup!$A:$D,2,FALSE),"")</f>
        <v>Sour Apple THC Gummies</v>
      </c>
      <c r="J167" s="29">
        <v>18.0</v>
      </c>
      <c r="K167" s="30">
        <v>10.01</v>
      </c>
      <c r="L167" s="31">
        <f t="shared" si="1"/>
        <v>180.18</v>
      </c>
      <c r="M167" s="25" t="s">
        <v>97</v>
      </c>
      <c r="N167" s="26">
        <v>46132.0</v>
      </c>
      <c r="O167" s="27">
        <f>SUMIF(inventory_snapshot!$B:$B,H167,inventory_snapshot!$E:$E)</f>
        <v>775</v>
      </c>
      <c r="P167" s="32" t="str">
        <f t="shared" si="2"/>
        <v>OK</v>
      </c>
      <c r="Q167" s="32" t="str">
        <f t="shared" si="3"/>
        <v>OK</v>
      </c>
      <c r="R167" s="32" t="str">
        <f t="shared" si="4"/>
        <v>OK</v>
      </c>
      <c r="S167" s="32" t="str">
        <f t="shared" si="5"/>
        <v>Small</v>
      </c>
    </row>
    <row r="168" ht="15.75" customHeight="1">
      <c r="A168" s="17" t="s">
        <v>279</v>
      </c>
      <c r="B168" s="18">
        <v>46110.0</v>
      </c>
      <c r="C168" s="17" t="s">
        <v>166</v>
      </c>
      <c r="D168" s="19" t="str">
        <f>IFERROR(VLOOKUP(C168,customer_lookup!$A:$E,2,FALSE),"")</f>
        <v>MI Account 0044</v>
      </c>
      <c r="E168" s="19" t="str">
        <f>IFERROR(VLOOKUP(C168,customer_lookup!$A:$E,3,FALSE),"")</f>
        <v>MI</v>
      </c>
      <c r="F168" s="20" t="str">
        <f>IFERROR(VLOOKUP(C168,customer_lookup!$A:$E,5,FALSE),"")</f>
        <v>Avery</v>
      </c>
      <c r="G168" s="17" t="s">
        <v>89</v>
      </c>
      <c r="H168" s="17" t="s">
        <v>68</v>
      </c>
      <c r="I168" s="19" t="str">
        <f>IFERROR(VLOOKUP(H168,product_lookup!$A:$D,2,FALSE),"")</f>
        <v>Sour Apple THC Gummies</v>
      </c>
      <c r="J168" s="21">
        <v>36.0</v>
      </c>
      <c r="K168" s="22">
        <v>11.55</v>
      </c>
      <c r="L168" s="23">
        <f t="shared" si="1"/>
        <v>415.8</v>
      </c>
      <c r="M168" s="17" t="s">
        <v>65</v>
      </c>
      <c r="N168" s="18">
        <v>46117.0</v>
      </c>
      <c r="O168" s="19">
        <f>SUMIF(inventory_snapshot!$B:$B,H168,inventory_snapshot!$E:$E)</f>
        <v>775</v>
      </c>
      <c r="P168" s="24" t="str">
        <f t="shared" si="2"/>
        <v>OK</v>
      </c>
      <c r="Q168" s="24" t="str">
        <f t="shared" si="3"/>
        <v>OK</v>
      </c>
      <c r="R168" s="24" t="str">
        <f t="shared" si="4"/>
        <v>OK</v>
      </c>
      <c r="S168" s="24" t="str">
        <f t="shared" si="5"/>
        <v>Small</v>
      </c>
    </row>
    <row r="169" ht="15.75" customHeight="1">
      <c r="A169" s="25" t="s">
        <v>280</v>
      </c>
      <c r="B169" s="26">
        <v>46031.0</v>
      </c>
      <c r="C169" s="25" t="s">
        <v>181</v>
      </c>
      <c r="D169" s="27" t="str">
        <f>IFERROR(VLOOKUP(C169,customer_lookup!$A:$E,2,FALSE),"")</f>
        <v>CA Account 0099</v>
      </c>
      <c r="E169" s="27" t="str">
        <f>IFERROR(VLOOKUP(C169,customer_lookup!$A:$E,3,FALSE),"")</f>
        <v>CA</v>
      </c>
      <c r="F169" s="28" t="str">
        <f>IFERROR(VLOOKUP(C169,customer_lookup!$A:$E,5,FALSE),"")</f>
        <v>Avery</v>
      </c>
      <c r="G169" s="25" t="s">
        <v>67</v>
      </c>
      <c r="H169" s="25" t="s">
        <v>71</v>
      </c>
      <c r="I169" s="27" t="str">
        <f>IFERROR(VLOOKUP(H169,product_lookup!$A:$D,2,FALSE),"")</f>
        <v>Pineapple Sparkling Beverage</v>
      </c>
      <c r="J169" s="29">
        <v>120.0</v>
      </c>
      <c r="K169" s="30">
        <v>7.51</v>
      </c>
      <c r="L169" s="31">
        <f t="shared" si="1"/>
        <v>901.2</v>
      </c>
      <c r="M169" s="25" t="s">
        <v>93</v>
      </c>
      <c r="N169" s="26">
        <v>46038.0</v>
      </c>
      <c r="O169" s="27">
        <f>SUMIF(inventory_snapshot!$B:$B,H169,inventory_snapshot!$E:$E)</f>
        <v>1145</v>
      </c>
      <c r="P169" s="32" t="str">
        <f t="shared" si="2"/>
        <v>OK</v>
      </c>
      <c r="Q169" s="32" t="str">
        <f t="shared" si="3"/>
        <v>OK</v>
      </c>
      <c r="R169" s="32" t="str">
        <f t="shared" si="4"/>
        <v>OK</v>
      </c>
      <c r="S169" s="32" t="str">
        <f t="shared" si="5"/>
        <v>Medium</v>
      </c>
    </row>
    <row r="170" ht="15.75" customHeight="1">
      <c r="A170" s="17" t="s">
        <v>281</v>
      </c>
      <c r="B170" s="18">
        <v>46078.0</v>
      </c>
      <c r="C170" s="17" t="s">
        <v>166</v>
      </c>
      <c r="D170" s="19" t="str">
        <f>IFERROR(VLOOKUP(C170,customer_lookup!$A:$E,2,FALSE),"")</f>
        <v>MI Account 0044</v>
      </c>
      <c r="E170" s="19" t="str">
        <f>IFERROR(VLOOKUP(C170,customer_lookup!$A:$E,3,FALSE),"")</f>
        <v>MI</v>
      </c>
      <c r="F170" s="20" t="str">
        <f>IFERROR(VLOOKUP(C170,customer_lookup!$A:$E,5,FALSE),"")</f>
        <v>Avery</v>
      </c>
      <c r="G170" s="17" t="s">
        <v>63</v>
      </c>
      <c r="H170" s="17" t="s">
        <v>64</v>
      </c>
      <c r="I170" s="19" t="str">
        <f>IFERROR(VLOOKUP(H170,product_lookup!$A:$D,2,FALSE),"")</f>
        <v>Cranberry Sparkling Beverage</v>
      </c>
      <c r="J170" s="21">
        <v>18.0</v>
      </c>
      <c r="K170" s="22">
        <v>7.95</v>
      </c>
      <c r="L170" s="23">
        <f t="shared" si="1"/>
        <v>143.1</v>
      </c>
      <c r="M170" s="17" t="s">
        <v>75</v>
      </c>
      <c r="N170" s="18">
        <v>46082.0</v>
      </c>
      <c r="O170" s="19">
        <f>SUMIF(inventory_snapshot!$B:$B,H170,inventory_snapshot!$E:$E)</f>
        <v>1152</v>
      </c>
      <c r="P170" s="24" t="str">
        <f t="shared" si="2"/>
        <v>OK</v>
      </c>
      <c r="Q170" s="24" t="str">
        <f t="shared" si="3"/>
        <v>OK</v>
      </c>
      <c r="R170" s="24" t="str">
        <f t="shared" si="4"/>
        <v>OK</v>
      </c>
      <c r="S170" s="24" t="str">
        <f t="shared" si="5"/>
        <v>Small</v>
      </c>
    </row>
    <row r="171" ht="15.75" customHeight="1">
      <c r="A171" s="25" t="s">
        <v>282</v>
      </c>
      <c r="B171" s="26">
        <v>46058.0</v>
      </c>
      <c r="C171" s="25" t="s">
        <v>184</v>
      </c>
      <c r="D171" s="27" t="str">
        <f>IFERROR(VLOOKUP(C171,customer_lookup!$A:$E,2,FALSE),"")</f>
        <v>OK Account 0084</v>
      </c>
      <c r="E171" s="27" t="str">
        <f>IFERROR(VLOOKUP(C171,customer_lookup!$A:$E,3,FALSE),"")</f>
        <v>OK</v>
      </c>
      <c r="F171" s="28" t="str">
        <f>IFERROR(VLOOKUP(C171,customer_lookup!$A:$E,5,FALSE),"")</f>
        <v>Avery</v>
      </c>
      <c r="G171" s="25" t="s">
        <v>63</v>
      </c>
      <c r="H171" s="25" t="s">
        <v>106</v>
      </c>
      <c r="I171" s="27" t="str">
        <f>IFERROR(VLOOKUP(H171,product_lookup!$A:$D,2,FALSE),"")</f>
        <v>Sour Cherry THC Gummies</v>
      </c>
      <c r="J171" s="29">
        <v>120.0</v>
      </c>
      <c r="K171" s="30">
        <v>11.08</v>
      </c>
      <c r="L171" s="31">
        <f t="shared" si="1"/>
        <v>1329.6</v>
      </c>
      <c r="M171" s="25" t="s">
        <v>97</v>
      </c>
      <c r="N171" s="26">
        <v>46060.0</v>
      </c>
      <c r="O171" s="27">
        <f>SUMIF(inventory_snapshot!$B:$B,H171,inventory_snapshot!$E:$E)</f>
        <v>1313</v>
      </c>
      <c r="P171" s="32" t="str">
        <f t="shared" si="2"/>
        <v>OK</v>
      </c>
      <c r="Q171" s="32" t="str">
        <f t="shared" si="3"/>
        <v>OK</v>
      </c>
      <c r="R171" s="32" t="str">
        <f t="shared" si="4"/>
        <v>OK</v>
      </c>
      <c r="S171" s="32" t="str">
        <f t="shared" si="5"/>
        <v>Large</v>
      </c>
    </row>
    <row r="172" ht="15.75" customHeight="1">
      <c r="A172" s="17" t="s">
        <v>283</v>
      </c>
      <c r="B172" s="18">
        <v>46051.0</v>
      </c>
      <c r="C172" s="17" t="s">
        <v>195</v>
      </c>
      <c r="D172" s="19" t="str">
        <f>IFERROR(VLOOKUP(C172,customer_lookup!$A:$E,2,FALSE),"")</f>
        <v>MO Account 0117</v>
      </c>
      <c r="E172" s="19" t="str">
        <f>IFERROR(VLOOKUP(C172,customer_lookup!$A:$E,3,FALSE),"")</f>
        <v>MO</v>
      </c>
      <c r="F172" s="20" t="str">
        <f>IFERROR(VLOOKUP(C172,customer_lookup!$A:$E,5,FALSE),"")</f>
        <v>Avery</v>
      </c>
      <c r="G172" s="17" t="s">
        <v>63</v>
      </c>
      <c r="H172" s="17" t="s">
        <v>190</v>
      </c>
      <c r="I172" s="19" t="str">
        <f>IFERROR(VLOOKUP(H172,product_lookup!$A:$D,2,FALSE),"")</f>
        <v>Mango Sparkling Beverage</v>
      </c>
      <c r="J172" s="21">
        <v>6.0</v>
      </c>
      <c r="K172" s="22">
        <v>7.63</v>
      </c>
      <c r="L172" s="23">
        <f t="shared" si="1"/>
        <v>45.78</v>
      </c>
      <c r="M172" s="17" t="s">
        <v>93</v>
      </c>
      <c r="N172" s="18">
        <v>46053.0</v>
      </c>
      <c r="O172" s="19">
        <f>SUMIF(inventory_snapshot!$B:$B,H172,inventory_snapshot!$E:$E)</f>
        <v>1502</v>
      </c>
      <c r="P172" s="24" t="str">
        <f t="shared" si="2"/>
        <v>OK</v>
      </c>
      <c r="Q172" s="24" t="str">
        <f t="shared" si="3"/>
        <v>OK</v>
      </c>
      <c r="R172" s="24" t="str">
        <f t="shared" si="4"/>
        <v>OK</v>
      </c>
      <c r="S172" s="24" t="str">
        <f t="shared" si="5"/>
        <v>Small</v>
      </c>
    </row>
    <row r="173" ht="15.75" customHeight="1">
      <c r="A173" s="25" t="s">
        <v>284</v>
      </c>
      <c r="B173" s="26">
        <v>46119.0</v>
      </c>
      <c r="C173" s="25" t="s">
        <v>184</v>
      </c>
      <c r="D173" s="27" t="str">
        <f>IFERROR(VLOOKUP(C173,customer_lookup!$A:$E,2,FALSE),"")</f>
        <v>OK Account 0084</v>
      </c>
      <c r="E173" s="27" t="str">
        <f>IFERROR(VLOOKUP(C173,customer_lookup!$A:$E,3,FALSE),"")</f>
        <v>OK</v>
      </c>
      <c r="F173" s="28" t="str">
        <f>IFERROR(VLOOKUP(C173,customer_lookup!$A:$E,5,FALSE),"")</f>
        <v>Avery</v>
      </c>
      <c r="G173" s="25" t="s">
        <v>63</v>
      </c>
      <c r="H173" s="25"/>
      <c r="I173" s="27" t="str">
        <f>IFERROR(VLOOKUP(H173,product_lookup!$A:$D,2,FALSE),"")</f>
        <v/>
      </c>
      <c r="J173" s="29">
        <v>24.0</v>
      </c>
      <c r="K173" s="30">
        <v>11.75</v>
      </c>
      <c r="L173" s="31">
        <f t="shared" si="1"/>
        <v>282</v>
      </c>
      <c r="M173" s="25" t="s">
        <v>93</v>
      </c>
      <c r="N173" s="26">
        <v>46129.0</v>
      </c>
      <c r="O173" s="27">
        <f>SUMIF(inventory_snapshot!$B:$B,H173,inventory_snapshot!$E:$E)</f>
        <v>0</v>
      </c>
      <c r="P173" s="32" t="str">
        <f t="shared" si="2"/>
        <v>Short</v>
      </c>
      <c r="Q173" s="32" t="str">
        <f t="shared" si="3"/>
        <v>OK</v>
      </c>
      <c r="R173" s="32" t="str">
        <f t="shared" si="4"/>
        <v>Missing Key</v>
      </c>
      <c r="S173" s="32" t="str">
        <f t="shared" si="5"/>
        <v>Small</v>
      </c>
    </row>
    <row r="174" ht="15.75" customHeight="1">
      <c r="A174" s="17" t="s">
        <v>285</v>
      </c>
      <c r="B174" s="18">
        <v>46087.0</v>
      </c>
      <c r="C174" s="17" t="s">
        <v>174</v>
      </c>
      <c r="D174" s="19" t="str">
        <f>IFERROR(VLOOKUP(C174,customer_lookup!$A:$E,2,FALSE),"")</f>
        <v>NY Account 0011</v>
      </c>
      <c r="E174" s="19" t="str">
        <f>IFERROR(VLOOKUP(C174,customer_lookup!$A:$E,3,FALSE),"")</f>
        <v>NY</v>
      </c>
      <c r="F174" s="20" t="str">
        <f>IFERROR(VLOOKUP(C174,customer_lookup!$A:$E,5,FALSE),"")</f>
        <v>Avery</v>
      </c>
      <c r="G174" s="17" t="s">
        <v>63</v>
      </c>
      <c r="H174" s="17" t="s">
        <v>78</v>
      </c>
      <c r="I174" s="19" t="str">
        <f>IFERROR(VLOOKUP(H174,product_lookup!$A:$D,2,FALSE),"")</f>
        <v>Grapefruit 1:1:1 Gummies</v>
      </c>
      <c r="J174" s="21">
        <v>30.0</v>
      </c>
      <c r="K174" s="22">
        <v>10.46</v>
      </c>
      <c r="L174" s="23">
        <f t="shared" si="1"/>
        <v>313.8</v>
      </c>
      <c r="M174" s="17" t="s">
        <v>65</v>
      </c>
      <c r="N174" s="18">
        <v>46088.0</v>
      </c>
      <c r="O174" s="19">
        <f>SUMIF(inventory_snapshot!$B:$B,H174,inventory_snapshot!$E:$E)</f>
        <v>1751</v>
      </c>
      <c r="P174" s="24" t="str">
        <f t="shared" si="2"/>
        <v>OK</v>
      </c>
      <c r="Q174" s="24" t="str">
        <f t="shared" si="3"/>
        <v>OK</v>
      </c>
      <c r="R174" s="24" t="str">
        <f t="shared" si="4"/>
        <v>OK</v>
      </c>
      <c r="S174" s="24" t="str">
        <f t="shared" si="5"/>
        <v>Small</v>
      </c>
    </row>
    <row r="175" ht="15.75" customHeight="1">
      <c r="A175" s="25" t="s">
        <v>286</v>
      </c>
      <c r="B175" s="26">
        <v>46029.0</v>
      </c>
      <c r="C175" s="25" t="s">
        <v>181</v>
      </c>
      <c r="D175" s="27" t="str">
        <f>IFERROR(VLOOKUP(C175,customer_lookup!$A:$E,2,FALSE),"")</f>
        <v>CA Account 0099</v>
      </c>
      <c r="E175" s="27" t="str">
        <f>IFERROR(VLOOKUP(C175,customer_lookup!$A:$E,3,FALSE),"")</f>
        <v>CA</v>
      </c>
      <c r="F175" s="28" t="str">
        <f>IFERROR(VLOOKUP(C175,customer_lookup!$A:$E,5,FALSE),"")</f>
        <v>Avery</v>
      </c>
      <c r="G175" s="25" t="s">
        <v>63</v>
      </c>
      <c r="H175" s="25" t="s">
        <v>123</v>
      </c>
      <c r="I175" s="27" t="str">
        <f>IFERROR(VLOOKUP(H175,product_lookup!$A:$D,2,FALSE),"")</f>
        <v>Peach 2:1 Gummies</v>
      </c>
      <c r="J175" s="29">
        <v>36.0</v>
      </c>
      <c r="K175" s="30">
        <v>10.6</v>
      </c>
      <c r="L175" s="31">
        <f t="shared" si="1"/>
        <v>381.6</v>
      </c>
      <c r="M175" s="25" t="s">
        <v>65</v>
      </c>
      <c r="N175" s="26">
        <v>46037.0</v>
      </c>
      <c r="O175" s="27">
        <f>SUMIF(inventory_snapshot!$B:$B,H175,inventory_snapshot!$E:$E)</f>
        <v>1732</v>
      </c>
      <c r="P175" s="32" t="str">
        <f t="shared" si="2"/>
        <v>OK</v>
      </c>
      <c r="Q175" s="32" t="str">
        <f t="shared" si="3"/>
        <v>OK</v>
      </c>
      <c r="R175" s="32" t="str">
        <f t="shared" si="4"/>
        <v>OK</v>
      </c>
      <c r="S175" s="32" t="str">
        <f t="shared" si="5"/>
        <v>Small</v>
      </c>
    </row>
    <row r="176" ht="15.75" customHeight="1">
      <c r="A176" s="17" t="s">
        <v>287</v>
      </c>
      <c r="B176" s="18">
        <v>46035.0</v>
      </c>
      <c r="C176" s="17" t="s">
        <v>195</v>
      </c>
      <c r="D176" s="19" t="str">
        <f>IFERROR(VLOOKUP(C176,customer_lookup!$A:$E,2,FALSE),"")</f>
        <v>MO Account 0117</v>
      </c>
      <c r="E176" s="19" t="str">
        <f>IFERROR(VLOOKUP(C176,customer_lookup!$A:$E,3,FALSE),"")</f>
        <v>MO</v>
      </c>
      <c r="F176" s="20" t="str">
        <f>IFERROR(VLOOKUP(C176,customer_lookup!$A:$E,5,FALSE),"")</f>
        <v>Avery</v>
      </c>
      <c r="G176" s="17" t="s">
        <v>63</v>
      </c>
      <c r="H176" s="17" t="s">
        <v>71</v>
      </c>
      <c r="I176" s="19" t="str">
        <f>IFERROR(VLOOKUP(H176,product_lookup!$A:$D,2,FALSE),"")</f>
        <v>Pineapple Sparkling Beverage</v>
      </c>
      <c r="J176" s="21">
        <v>30.0</v>
      </c>
      <c r="K176" s="22">
        <v>8.44</v>
      </c>
      <c r="L176" s="23">
        <f t="shared" si="1"/>
        <v>253.2</v>
      </c>
      <c r="M176" s="17" t="s">
        <v>97</v>
      </c>
      <c r="N176" s="18">
        <v>46037.0</v>
      </c>
      <c r="O176" s="19">
        <f>SUMIF(inventory_snapshot!$B:$B,H176,inventory_snapshot!$E:$E)</f>
        <v>1145</v>
      </c>
      <c r="P176" s="24" t="str">
        <f t="shared" si="2"/>
        <v>OK</v>
      </c>
      <c r="Q176" s="24" t="str">
        <f t="shared" si="3"/>
        <v>OK</v>
      </c>
      <c r="R176" s="24" t="str">
        <f t="shared" si="4"/>
        <v>OK</v>
      </c>
      <c r="S176" s="24" t="str">
        <f t="shared" si="5"/>
        <v>Small</v>
      </c>
    </row>
    <row r="177" ht="15.75" customHeight="1">
      <c r="A177" s="25" t="s">
        <v>288</v>
      </c>
      <c r="B177" s="26">
        <v>46065.0</v>
      </c>
      <c r="C177" s="25" t="s">
        <v>181</v>
      </c>
      <c r="D177" s="27" t="str">
        <f>IFERROR(VLOOKUP(C177,customer_lookup!$A:$E,2,FALSE),"")</f>
        <v>CA Account 0099</v>
      </c>
      <c r="E177" s="27" t="str">
        <f>IFERROR(VLOOKUP(C177,customer_lookup!$A:$E,3,FALSE),"")</f>
        <v>CA</v>
      </c>
      <c r="F177" s="28" t="str">
        <f>IFERROR(VLOOKUP(C177,customer_lookup!$A:$E,5,FALSE),"")</f>
        <v>Avery</v>
      </c>
      <c r="G177" s="25" t="s">
        <v>63</v>
      </c>
      <c r="H177" s="25" t="s">
        <v>85</v>
      </c>
      <c r="I177" s="27" t="str">
        <f>IFERROR(VLOOKUP(H177,product_lookup!$A:$D,2,FALSE),"")</f>
        <v>Huckleberry THC Gummies</v>
      </c>
      <c r="J177" s="29">
        <v>36.0</v>
      </c>
      <c r="K177" s="30">
        <v>10.75</v>
      </c>
      <c r="L177" s="31">
        <f t="shared" si="1"/>
        <v>387</v>
      </c>
      <c r="M177" s="25" t="s">
        <v>65</v>
      </c>
      <c r="N177" s="26">
        <v>46069.0</v>
      </c>
      <c r="O177" s="27">
        <f>SUMIF(inventory_snapshot!$B:$B,H177,inventory_snapshot!$E:$E)</f>
        <v>1841</v>
      </c>
      <c r="P177" s="32" t="str">
        <f t="shared" si="2"/>
        <v>OK</v>
      </c>
      <c r="Q177" s="32" t="str">
        <f t="shared" si="3"/>
        <v>OK</v>
      </c>
      <c r="R177" s="32" t="str">
        <f t="shared" si="4"/>
        <v>OK</v>
      </c>
      <c r="S177" s="32" t="str">
        <f t="shared" si="5"/>
        <v>Small</v>
      </c>
    </row>
    <row r="178" ht="15.75" customHeight="1">
      <c r="A178" s="17" t="s">
        <v>289</v>
      </c>
      <c r="B178" s="18">
        <v>46074.0</v>
      </c>
      <c r="C178" s="17" t="s">
        <v>164</v>
      </c>
      <c r="D178" s="19" t="str">
        <f>IFERROR(VLOOKUP(C178,customer_lookup!$A:$E,2,FALSE),"")</f>
        <v>OK Account 0072</v>
      </c>
      <c r="E178" s="19" t="str">
        <f>IFERROR(VLOOKUP(C178,customer_lookup!$A:$E,3,FALSE),"")</f>
        <v>OK</v>
      </c>
      <c r="F178" s="20" t="str">
        <f>IFERROR(VLOOKUP(C178,customer_lookup!$A:$E,5,FALSE),"")</f>
        <v>Avery</v>
      </c>
      <c r="G178" s="17" t="s">
        <v>63</v>
      </c>
      <c r="H178" s="17" t="s">
        <v>106</v>
      </c>
      <c r="I178" s="19" t="str">
        <f>IFERROR(VLOOKUP(H178,product_lookup!$A:$D,2,FALSE),"")</f>
        <v>Sour Cherry THC Gummies</v>
      </c>
      <c r="J178" s="21">
        <v>24.0</v>
      </c>
      <c r="K178" s="22">
        <v>10.07</v>
      </c>
      <c r="L178" s="23">
        <f t="shared" si="1"/>
        <v>241.68</v>
      </c>
      <c r="M178" s="17" t="s">
        <v>97</v>
      </c>
      <c r="N178" s="18">
        <v>46075.0</v>
      </c>
      <c r="O178" s="19">
        <f>SUMIF(inventory_snapshot!$B:$B,H178,inventory_snapshot!$E:$E)</f>
        <v>1313</v>
      </c>
      <c r="P178" s="24" t="str">
        <f t="shared" si="2"/>
        <v>OK</v>
      </c>
      <c r="Q178" s="24" t="str">
        <f t="shared" si="3"/>
        <v>OK</v>
      </c>
      <c r="R178" s="24" t="str">
        <f t="shared" si="4"/>
        <v>OK</v>
      </c>
      <c r="S178" s="24" t="str">
        <f t="shared" si="5"/>
        <v>Small</v>
      </c>
    </row>
    <row r="179" ht="15.75" customHeight="1">
      <c r="A179" s="25" t="s">
        <v>290</v>
      </c>
      <c r="B179" s="26">
        <v>46100.0</v>
      </c>
      <c r="C179" s="25" t="s">
        <v>291</v>
      </c>
      <c r="D179" s="27" t="str">
        <f>IFERROR(VLOOKUP(C179,customer_lookup!$A:$E,2,FALSE),"")</f>
        <v>OK Account 0048</v>
      </c>
      <c r="E179" s="27" t="str">
        <f>IFERROR(VLOOKUP(C179,customer_lookup!$A:$E,3,FALSE),"")</f>
        <v>OK</v>
      </c>
      <c r="F179" s="28" t="str">
        <f>IFERROR(VLOOKUP(C179,customer_lookup!$A:$E,5,FALSE),"")</f>
        <v>Casey</v>
      </c>
      <c r="G179" s="25" t="s">
        <v>67</v>
      </c>
      <c r="H179" s="25" t="s">
        <v>154</v>
      </c>
      <c r="I179" s="27" t="str">
        <f>IFERROR(VLOOKUP(H179,product_lookup!$A:$D,2,FALSE),"")</f>
        <v>Kiwi 1:1 Gummies</v>
      </c>
      <c r="J179" s="29">
        <v>96.0</v>
      </c>
      <c r="K179" s="30">
        <v>11.75</v>
      </c>
      <c r="L179" s="31">
        <f t="shared" si="1"/>
        <v>1128</v>
      </c>
      <c r="M179" s="25" t="s">
        <v>65</v>
      </c>
      <c r="N179" s="26">
        <v>46103.0</v>
      </c>
      <c r="O179" s="27">
        <f>SUMIF(inventory_snapshot!$B:$B,H179,inventory_snapshot!$E:$E)</f>
        <v>1136</v>
      </c>
      <c r="P179" s="32" t="str">
        <f t="shared" si="2"/>
        <v>OK</v>
      </c>
      <c r="Q179" s="32" t="str">
        <f t="shared" si="3"/>
        <v>OK</v>
      </c>
      <c r="R179" s="32" t="str">
        <f t="shared" si="4"/>
        <v>OK</v>
      </c>
      <c r="S179" s="32" t="str">
        <f t="shared" si="5"/>
        <v>Large</v>
      </c>
    </row>
    <row r="180" ht="15.75" customHeight="1">
      <c r="A180" s="17" t="s">
        <v>292</v>
      </c>
      <c r="B180" s="18">
        <v>46074.0</v>
      </c>
      <c r="C180" s="17" t="s">
        <v>293</v>
      </c>
      <c r="D180" s="19" t="str">
        <f>IFERROR(VLOOKUP(C180,customer_lookup!$A:$E,2,FALSE),"")</f>
        <v>WA Account 0038</v>
      </c>
      <c r="E180" s="19" t="str">
        <f>IFERROR(VLOOKUP(C180,customer_lookup!$A:$E,3,FALSE),"")</f>
        <v>WA</v>
      </c>
      <c r="F180" s="20" t="str">
        <f>IFERROR(VLOOKUP(C180,customer_lookup!$A:$E,5,FALSE),"")</f>
        <v>Casey</v>
      </c>
      <c r="G180" s="17" t="s">
        <v>63</v>
      </c>
      <c r="H180" s="17" t="s">
        <v>123</v>
      </c>
      <c r="I180" s="19" t="str">
        <f>IFERROR(VLOOKUP(H180,product_lookup!$A:$D,2,FALSE),"")</f>
        <v>Peach 2:1 Gummies</v>
      </c>
      <c r="J180" s="21">
        <v>24.0</v>
      </c>
      <c r="K180" s="22">
        <v>10.33</v>
      </c>
      <c r="L180" s="23">
        <f t="shared" si="1"/>
        <v>247.92</v>
      </c>
      <c r="M180" s="17" t="s">
        <v>65</v>
      </c>
      <c r="N180" s="18">
        <v>46083.0</v>
      </c>
      <c r="O180" s="19">
        <f>SUMIF(inventory_snapshot!$B:$B,H180,inventory_snapshot!$E:$E)</f>
        <v>1732</v>
      </c>
      <c r="P180" s="24" t="str">
        <f t="shared" si="2"/>
        <v>OK</v>
      </c>
      <c r="Q180" s="24" t="str">
        <f t="shared" si="3"/>
        <v>OK</v>
      </c>
      <c r="R180" s="24" t="str">
        <f t="shared" si="4"/>
        <v>OK</v>
      </c>
      <c r="S180" s="24" t="str">
        <f t="shared" si="5"/>
        <v>Small</v>
      </c>
    </row>
    <row r="181" ht="15.75" customHeight="1">
      <c r="A181" s="25" t="s">
        <v>294</v>
      </c>
      <c r="B181" s="26">
        <v>46140.0</v>
      </c>
      <c r="C181" s="25" t="s">
        <v>295</v>
      </c>
      <c r="D181" s="27" t="str">
        <f>IFERROR(VLOOKUP(C181,customer_lookup!$A:$E,2,FALSE),"")</f>
        <v>AZ Account 0077</v>
      </c>
      <c r="E181" s="27" t="str">
        <f>IFERROR(VLOOKUP(C181,customer_lookup!$A:$E,3,FALSE),"")</f>
        <v>AZ</v>
      </c>
      <c r="F181" s="28" t="str">
        <f>IFERROR(VLOOKUP(C181,customer_lookup!$A:$E,5,FALSE),"")</f>
        <v>Casey</v>
      </c>
      <c r="G181" s="25" t="s">
        <v>63</v>
      </c>
      <c r="H181" s="25" t="s">
        <v>64</v>
      </c>
      <c r="I181" s="27" t="str">
        <f>IFERROR(VLOOKUP(H181,product_lookup!$A:$D,2,FALSE),"")</f>
        <v>Cranberry Sparkling Beverage</v>
      </c>
      <c r="J181" s="29">
        <v>30.0</v>
      </c>
      <c r="K181" s="30">
        <v>7.66</v>
      </c>
      <c r="L181" s="31">
        <f t="shared" si="1"/>
        <v>229.8</v>
      </c>
      <c r="M181" s="25" t="s">
        <v>137</v>
      </c>
      <c r="N181" s="26">
        <v>46147.0</v>
      </c>
      <c r="O181" s="27">
        <f>SUMIF(inventory_snapshot!$B:$B,H181,inventory_snapshot!$E:$E)</f>
        <v>1152</v>
      </c>
      <c r="P181" s="32" t="str">
        <f t="shared" si="2"/>
        <v>OK</v>
      </c>
      <c r="Q181" s="32" t="str">
        <f t="shared" si="3"/>
        <v>OK</v>
      </c>
      <c r="R181" s="32" t="str">
        <f t="shared" si="4"/>
        <v>OK</v>
      </c>
      <c r="S181" s="32" t="str">
        <f t="shared" si="5"/>
        <v>Small</v>
      </c>
    </row>
    <row r="182" ht="15.75" customHeight="1">
      <c r="A182" s="17" t="s">
        <v>296</v>
      </c>
      <c r="B182" s="18">
        <v>46064.0</v>
      </c>
      <c r="C182" s="17" t="s">
        <v>297</v>
      </c>
      <c r="D182" s="19" t="str">
        <f>IFERROR(VLOOKUP(C182,customer_lookup!$A:$E,2,FALSE),"")</f>
        <v>AZ Account 0053</v>
      </c>
      <c r="E182" s="19" t="str">
        <f>IFERROR(VLOOKUP(C182,customer_lookup!$A:$E,3,FALSE),"")</f>
        <v>AZ</v>
      </c>
      <c r="F182" s="20" t="str">
        <f>IFERROR(VLOOKUP(C182,customer_lookup!$A:$E,5,FALSE),"")</f>
        <v>Casey</v>
      </c>
      <c r="G182" s="17" t="s">
        <v>63</v>
      </c>
      <c r="H182" s="17" t="s">
        <v>92</v>
      </c>
      <c r="I182" s="19" t="str">
        <f>IFERROR(VLOOKUP(H182,product_lookup!$A:$D,2,FALSE),"")</f>
        <v>Raspberry THC Gummies</v>
      </c>
      <c r="J182" s="21">
        <v>120.0</v>
      </c>
      <c r="K182" s="22">
        <v>9.67</v>
      </c>
      <c r="L182" s="23">
        <f t="shared" si="1"/>
        <v>1160.4</v>
      </c>
      <c r="M182" s="17" t="s">
        <v>97</v>
      </c>
      <c r="N182" s="18">
        <v>46072.0</v>
      </c>
      <c r="O182" s="19">
        <f>SUMIF(inventory_snapshot!$B:$B,H182,inventory_snapshot!$E:$E)</f>
        <v>1417</v>
      </c>
      <c r="P182" s="24" t="str">
        <f t="shared" si="2"/>
        <v>OK</v>
      </c>
      <c r="Q182" s="24" t="str">
        <f t="shared" si="3"/>
        <v>OK</v>
      </c>
      <c r="R182" s="24" t="str">
        <f t="shared" si="4"/>
        <v>OK</v>
      </c>
      <c r="S182" s="24" t="str">
        <f t="shared" si="5"/>
        <v>Large</v>
      </c>
    </row>
    <row r="183" ht="15.75" customHeight="1">
      <c r="A183" s="25" t="s">
        <v>298</v>
      </c>
      <c r="B183" s="26">
        <v>46093.0</v>
      </c>
      <c r="C183" s="25" t="s">
        <v>299</v>
      </c>
      <c r="D183" s="27" t="str">
        <f>IFERROR(VLOOKUP(C183,customer_lookup!$A:$E,2,FALSE),"")</f>
        <v>CA Account 0027</v>
      </c>
      <c r="E183" s="27" t="str">
        <f>IFERROR(VLOOKUP(C183,customer_lookup!$A:$E,3,FALSE),"")</f>
        <v>CA</v>
      </c>
      <c r="F183" s="28" t="str">
        <f>IFERROR(VLOOKUP(C183,customer_lookup!$A:$E,5,FALSE),"")</f>
        <v>Casey</v>
      </c>
      <c r="G183" s="25" t="s">
        <v>67</v>
      </c>
      <c r="H183" s="25" t="s">
        <v>115</v>
      </c>
      <c r="I183" s="27" t="str">
        <f>IFERROR(VLOOKUP(H183,product_lookup!$A:$D,2,FALSE),"")</f>
        <v>Pear 1:1 Gummies</v>
      </c>
      <c r="J183" s="29">
        <v>18.0</v>
      </c>
      <c r="K183" s="30">
        <v>12.21</v>
      </c>
      <c r="L183" s="31">
        <f t="shared" si="1"/>
        <v>219.78</v>
      </c>
      <c r="M183" s="25" t="s">
        <v>75</v>
      </c>
      <c r="N183" s="26">
        <v>46095.0</v>
      </c>
      <c r="O183" s="27">
        <f>SUMIF(inventory_snapshot!$B:$B,H183,inventory_snapshot!$E:$E)</f>
        <v>981</v>
      </c>
      <c r="P183" s="32" t="str">
        <f t="shared" si="2"/>
        <v>OK</v>
      </c>
      <c r="Q183" s="32" t="str">
        <f t="shared" si="3"/>
        <v>OK</v>
      </c>
      <c r="R183" s="32" t="str">
        <f t="shared" si="4"/>
        <v>OK</v>
      </c>
      <c r="S183" s="32" t="str">
        <f t="shared" si="5"/>
        <v>Small</v>
      </c>
    </row>
    <row r="184" ht="15.75" customHeight="1">
      <c r="A184" s="17" t="s">
        <v>300</v>
      </c>
      <c r="B184" s="18">
        <v>46106.0</v>
      </c>
      <c r="C184" s="17" t="s">
        <v>301</v>
      </c>
      <c r="D184" s="19" t="str">
        <f>IFERROR(VLOOKUP(C184,customer_lookup!$A:$E,2,FALSE),"")</f>
        <v>MI Account 0080</v>
      </c>
      <c r="E184" s="19" t="str">
        <f>IFERROR(VLOOKUP(C184,customer_lookup!$A:$E,3,FALSE),"")</f>
        <v>MI</v>
      </c>
      <c r="F184" s="20" t="str">
        <f>IFERROR(VLOOKUP(C184,customer_lookup!$A:$E,5,FALSE),"")</f>
        <v>Casey</v>
      </c>
      <c r="G184" s="17" t="s">
        <v>89</v>
      </c>
      <c r="H184" s="17" t="s">
        <v>106</v>
      </c>
      <c r="I184" s="19" t="str">
        <f>IFERROR(VLOOKUP(H184,product_lookup!$A:$D,2,FALSE),"")</f>
        <v>Sour Cherry THC Gummies</v>
      </c>
      <c r="J184" s="21">
        <v>12.0</v>
      </c>
      <c r="K184" s="22">
        <v>11.51</v>
      </c>
      <c r="L184" s="23">
        <f t="shared" si="1"/>
        <v>138.12</v>
      </c>
      <c r="M184" s="17" t="s">
        <v>65</v>
      </c>
      <c r="N184" s="18">
        <v>46113.0</v>
      </c>
      <c r="O184" s="19">
        <f>SUMIF(inventory_snapshot!$B:$B,H184,inventory_snapshot!$E:$E)</f>
        <v>1313</v>
      </c>
      <c r="P184" s="24" t="str">
        <f t="shared" si="2"/>
        <v>OK</v>
      </c>
      <c r="Q184" s="24" t="str">
        <f t="shared" si="3"/>
        <v>OK</v>
      </c>
      <c r="R184" s="24" t="str">
        <f t="shared" si="4"/>
        <v>OK</v>
      </c>
      <c r="S184" s="24" t="str">
        <f t="shared" si="5"/>
        <v>Small</v>
      </c>
    </row>
    <row r="185" ht="15.75" customHeight="1">
      <c r="A185" s="25" t="s">
        <v>302</v>
      </c>
      <c r="B185" s="26">
        <v>46120.0</v>
      </c>
      <c r="C185" s="25" t="s">
        <v>303</v>
      </c>
      <c r="D185" s="27" t="str">
        <f>IFERROR(VLOOKUP(C185,customer_lookup!$A:$E,2,FALSE),"")</f>
        <v>MI Account 0056</v>
      </c>
      <c r="E185" s="27" t="str">
        <f>IFERROR(VLOOKUP(C185,customer_lookup!$A:$E,3,FALSE),"")</f>
        <v>MI</v>
      </c>
      <c r="F185" s="28" t="str">
        <f>IFERROR(VLOOKUP(C185,customer_lookup!$A:$E,5,FALSE),"")</f>
        <v>Casey</v>
      </c>
      <c r="G185" s="25" t="s">
        <v>63</v>
      </c>
      <c r="H185" s="25" t="s">
        <v>78</v>
      </c>
      <c r="I185" s="27" t="str">
        <f>IFERROR(VLOOKUP(H185,product_lookup!$A:$D,2,FALSE),"")</f>
        <v>Grapefruit 1:1:1 Gummies</v>
      </c>
      <c r="J185" s="29">
        <v>120.0</v>
      </c>
      <c r="K185" s="30">
        <v>11.19</v>
      </c>
      <c r="L185" s="31">
        <f t="shared" si="1"/>
        <v>1342.8</v>
      </c>
      <c r="M185" s="25" t="s">
        <v>100</v>
      </c>
      <c r="N185" s="26">
        <v>46125.0</v>
      </c>
      <c r="O185" s="27">
        <f>SUMIF(inventory_snapshot!$B:$B,H185,inventory_snapshot!$E:$E)</f>
        <v>1751</v>
      </c>
      <c r="P185" s="32" t="str">
        <f t="shared" si="2"/>
        <v>OK</v>
      </c>
      <c r="Q185" s="32" t="str">
        <f t="shared" si="3"/>
        <v>OK</v>
      </c>
      <c r="R185" s="32" t="str">
        <f t="shared" si="4"/>
        <v>OK</v>
      </c>
      <c r="S185" s="32" t="str">
        <f t="shared" si="5"/>
        <v>Large</v>
      </c>
    </row>
    <row r="186" ht="15.75" customHeight="1">
      <c r="A186" s="17" t="s">
        <v>304</v>
      </c>
      <c r="B186" s="18">
        <v>46139.0</v>
      </c>
      <c r="C186" s="17" t="s">
        <v>305</v>
      </c>
      <c r="D186" s="19" t="str">
        <f>IFERROR(VLOOKUP(C186,customer_lookup!$A:$E,2,FALSE),"")</f>
        <v>AZ Account 0017</v>
      </c>
      <c r="E186" s="19" t="str">
        <f>IFERROR(VLOOKUP(C186,customer_lookup!$A:$E,3,FALSE),"")</f>
        <v>AZ</v>
      </c>
      <c r="F186" s="20" t="str">
        <f>IFERROR(VLOOKUP(C186,customer_lookup!$A:$E,5,FALSE),"")</f>
        <v>Casey</v>
      </c>
      <c r="G186" s="17" t="s">
        <v>63</v>
      </c>
      <c r="H186" s="17" t="s">
        <v>110</v>
      </c>
      <c r="I186" s="19" t="str">
        <f>IFERROR(VLOOKUP(H186,product_lookup!$A:$D,2,FALSE),"")</f>
        <v>Elderberry 2:1 Gummies</v>
      </c>
      <c r="J186" s="21">
        <v>30.0</v>
      </c>
      <c r="K186" s="22">
        <v>10.62</v>
      </c>
      <c r="L186" s="23">
        <f t="shared" si="1"/>
        <v>318.6</v>
      </c>
      <c r="M186" s="17" t="s">
        <v>75</v>
      </c>
      <c r="N186" s="18">
        <v>46148.0</v>
      </c>
      <c r="O186" s="19">
        <f>SUMIF(inventory_snapshot!$B:$B,H186,inventory_snapshot!$E:$E)</f>
        <v>1633</v>
      </c>
      <c r="P186" s="24" t="str">
        <f t="shared" si="2"/>
        <v>OK</v>
      </c>
      <c r="Q186" s="24" t="str">
        <f t="shared" si="3"/>
        <v>OK</v>
      </c>
      <c r="R186" s="24" t="str">
        <f t="shared" si="4"/>
        <v>OK</v>
      </c>
      <c r="S186" s="24" t="str">
        <f t="shared" si="5"/>
        <v>Small</v>
      </c>
    </row>
    <row r="187" ht="15.75" customHeight="1">
      <c r="A187" s="25" t="s">
        <v>306</v>
      </c>
      <c r="B187" s="26">
        <v>46109.0</v>
      </c>
      <c r="C187" s="25" t="s">
        <v>291</v>
      </c>
      <c r="D187" s="27" t="str">
        <f>IFERROR(VLOOKUP(C187,customer_lookup!$A:$E,2,FALSE),"")</f>
        <v>OK Account 0048</v>
      </c>
      <c r="E187" s="27" t="str">
        <f>IFERROR(VLOOKUP(C187,customer_lookup!$A:$E,3,FALSE),"")</f>
        <v>OK</v>
      </c>
      <c r="F187" s="28" t="str">
        <f>IFERROR(VLOOKUP(C187,customer_lookup!$A:$E,5,FALSE),"")</f>
        <v>Casey</v>
      </c>
      <c r="G187" s="25" t="s">
        <v>89</v>
      </c>
      <c r="H187" s="25" t="s">
        <v>78</v>
      </c>
      <c r="I187" s="27" t="str">
        <f>IFERROR(VLOOKUP(H187,product_lookup!$A:$D,2,FALSE),"")</f>
        <v>Grapefruit 1:1:1 Gummies</v>
      </c>
      <c r="J187" s="29">
        <v>24.0</v>
      </c>
      <c r="K187" s="30">
        <v>10.69</v>
      </c>
      <c r="L187" s="31">
        <f t="shared" si="1"/>
        <v>256.56</v>
      </c>
      <c r="M187" s="25" t="s">
        <v>65</v>
      </c>
      <c r="N187" s="26">
        <v>46115.0</v>
      </c>
      <c r="O187" s="27">
        <f>SUMIF(inventory_snapshot!$B:$B,H187,inventory_snapshot!$E:$E)</f>
        <v>1751</v>
      </c>
      <c r="P187" s="32" t="str">
        <f t="shared" si="2"/>
        <v>OK</v>
      </c>
      <c r="Q187" s="32" t="str">
        <f t="shared" si="3"/>
        <v>OK</v>
      </c>
      <c r="R187" s="32" t="str">
        <f t="shared" si="4"/>
        <v>OK</v>
      </c>
      <c r="S187" s="32" t="str">
        <f t="shared" si="5"/>
        <v>Small</v>
      </c>
    </row>
    <row r="188" ht="15.75" customHeight="1">
      <c r="A188" s="17" t="s">
        <v>307</v>
      </c>
      <c r="B188" s="18">
        <v>46049.0</v>
      </c>
      <c r="C188" s="17" t="s">
        <v>305</v>
      </c>
      <c r="D188" s="19" t="str">
        <f>IFERROR(VLOOKUP(C188,customer_lookup!$A:$E,2,FALSE),"")</f>
        <v>AZ Account 0017</v>
      </c>
      <c r="E188" s="19" t="str">
        <f>IFERROR(VLOOKUP(C188,customer_lookup!$A:$E,3,FALSE),"")</f>
        <v>AZ</v>
      </c>
      <c r="F188" s="20" t="str">
        <f>IFERROR(VLOOKUP(C188,customer_lookup!$A:$E,5,FALSE),"")</f>
        <v>Casey</v>
      </c>
      <c r="G188" s="17" t="s">
        <v>63</v>
      </c>
      <c r="H188" s="17" t="s">
        <v>64</v>
      </c>
      <c r="I188" s="19" t="str">
        <f>IFERROR(VLOOKUP(H188,product_lookup!$A:$D,2,FALSE),"")</f>
        <v>Cranberry Sparkling Beverage</v>
      </c>
      <c r="J188" s="21">
        <v>12.0</v>
      </c>
      <c r="K188" s="22">
        <v>8.26</v>
      </c>
      <c r="L188" s="23">
        <f t="shared" si="1"/>
        <v>99.12</v>
      </c>
      <c r="M188" s="17" t="s">
        <v>65</v>
      </c>
      <c r="N188" s="18">
        <v>46053.0</v>
      </c>
      <c r="O188" s="19">
        <f>SUMIF(inventory_snapshot!$B:$B,H188,inventory_snapshot!$E:$E)</f>
        <v>1152</v>
      </c>
      <c r="P188" s="24" t="str">
        <f t="shared" si="2"/>
        <v>OK</v>
      </c>
      <c r="Q188" s="24" t="str">
        <f t="shared" si="3"/>
        <v>OK</v>
      </c>
      <c r="R188" s="24" t="str">
        <f t="shared" si="4"/>
        <v>OK</v>
      </c>
      <c r="S188" s="24" t="str">
        <f t="shared" si="5"/>
        <v>Small</v>
      </c>
    </row>
    <row r="189" ht="15.75" customHeight="1">
      <c r="A189" s="25" t="s">
        <v>308</v>
      </c>
      <c r="B189" s="26">
        <v>46128.0</v>
      </c>
      <c r="C189" s="25" t="s">
        <v>297</v>
      </c>
      <c r="D189" s="27" t="str">
        <f>IFERROR(VLOOKUP(C189,customer_lookup!$A:$E,2,FALSE),"")</f>
        <v>AZ Account 0053</v>
      </c>
      <c r="E189" s="27" t="str">
        <f>IFERROR(VLOOKUP(C189,customer_lookup!$A:$E,3,FALSE),"")</f>
        <v>AZ</v>
      </c>
      <c r="F189" s="28" t="str">
        <f>IFERROR(VLOOKUP(C189,customer_lookup!$A:$E,5,FALSE),"")</f>
        <v>Casey</v>
      </c>
      <c r="G189" s="25" t="s">
        <v>63</v>
      </c>
      <c r="H189" s="25" t="s">
        <v>92</v>
      </c>
      <c r="I189" s="27" t="str">
        <f>IFERROR(VLOOKUP(H189,product_lookup!$A:$D,2,FALSE),"")</f>
        <v>Raspberry THC Gummies</v>
      </c>
      <c r="J189" s="29">
        <v>60.0</v>
      </c>
      <c r="K189" s="30">
        <v>10.29</v>
      </c>
      <c r="L189" s="31">
        <f t="shared" si="1"/>
        <v>617.4</v>
      </c>
      <c r="M189" s="25" t="s">
        <v>65</v>
      </c>
      <c r="N189" s="26">
        <v>46134.0</v>
      </c>
      <c r="O189" s="27">
        <f>SUMIF(inventory_snapshot!$B:$B,H189,inventory_snapshot!$E:$E)</f>
        <v>1417</v>
      </c>
      <c r="P189" s="32" t="str">
        <f t="shared" si="2"/>
        <v>OK</v>
      </c>
      <c r="Q189" s="32" t="str">
        <f t="shared" si="3"/>
        <v>OK</v>
      </c>
      <c r="R189" s="32" t="str">
        <f t="shared" si="4"/>
        <v>OK</v>
      </c>
      <c r="S189" s="32" t="str">
        <f t="shared" si="5"/>
        <v>Medium</v>
      </c>
    </row>
    <row r="190" ht="15.75" customHeight="1">
      <c r="A190" s="17" t="s">
        <v>309</v>
      </c>
      <c r="B190" s="18">
        <v>46067.0</v>
      </c>
      <c r="C190" s="17" t="s">
        <v>310</v>
      </c>
      <c r="D190" s="19" t="str">
        <f>IFERROR(VLOOKUP(C190,customer_lookup!$A:$E,2,FALSE),"")</f>
        <v>AZ Account 0101</v>
      </c>
      <c r="E190" s="19" t="str">
        <f>IFERROR(VLOOKUP(C190,customer_lookup!$A:$E,3,FALSE),"")</f>
        <v>AZ</v>
      </c>
      <c r="F190" s="20" t="str">
        <f>IFERROR(VLOOKUP(C190,customer_lookup!$A:$E,5,FALSE),"")</f>
        <v>Casey</v>
      </c>
      <c r="G190" s="17" t="s">
        <v>67</v>
      </c>
      <c r="H190" s="17" t="s">
        <v>110</v>
      </c>
      <c r="I190" s="19" t="str">
        <f>IFERROR(VLOOKUP(H190,product_lookup!$A:$D,2,FALSE),"")</f>
        <v>Elderberry 2:1 Gummies</v>
      </c>
      <c r="J190" s="21">
        <v>24.0</v>
      </c>
      <c r="K190" s="22">
        <v>11.51</v>
      </c>
      <c r="L190" s="23">
        <f t="shared" si="1"/>
        <v>276.24</v>
      </c>
      <c r="M190" s="17" t="s">
        <v>65</v>
      </c>
      <c r="N190" s="18">
        <v>46073.0</v>
      </c>
      <c r="O190" s="19">
        <f>SUMIF(inventory_snapshot!$B:$B,H190,inventory_snapshot!$E:$E)</f>
        <v>1633</v>
      </c>
      <c r="P190" s="24" t="str">
        <f t="shared" si="2"/>
        <v>OK</v>
      </c>
      <c r="Q190" s="24" t="str">
        <f t="shared" si="3"/>
        <v>OK</v>
      </c>
      <c r="R190" s="24" t="str">
        <f t="shared" si="4"/>
        <v>OK</v>
      </c>
      <c r="S190" s="24" t="str">
        <f t="shared" si="5"/>
        <v>Small</v>
      </c>
    </row>
    <row r="191" ht="15.75" customHeight="1">
      <c r="A191" s="25" t="s">
        <v>311</v>
      </c>
      <c r="B191" s="26">
        <v>46090.0</v>
      </c>
      <c r="C191" s="25" t="s">
        <v>312</v>
      </c>
      <c r="D191" s="27" t="str">
        <f>IFERROR(VLOOKUP(C191,customer_lookup!$A:$E,2,FALSE),"")</f>
        <v>WA Account 0074</v>
      </c>
      <c r="E191" s="27" t="str">
        <f>IFERROR(VLOOKUP(C191,customer_lookup!$A:$E,3,FALSE),"")</f>
        <v>WA</v>
      </c>
      <c r="F191" s="28" t="str">
        <f>IFERROR(VLOOKUP(C191,customer_lookup!$A:$E,5,FALSE),"")</f>
        <v>Casey</v>
      </c>
      <c r="G191" s="25" t="s">
        <v>63</v>
      </c>
      <c r="H191" s="25" t="s">
        <v>85</v>
      </c>
      <c r="I191" s="27" t="str">
        <f>IFERROR(VLOOKUP(H191,product_lookup!$A:$D,2,FALSE),"")</f>
        <v>Huckleberry THC Gummies</v>
      </c>
      <c r="J191" s="29">
        <v>36.0</v>
      </c>
      <c r="K191" s="30">
        <v>10.04</v>
      </c>
      <c r="L191" s="31">
        <f t="shared" si="1"/>
        <v>361.44</v>
      </c>
      <c r="M191" s="25" t="s">
        <v>65</v>
      </c>
      <c r="N191" s="26">
        <v>46092.0</v>
      </c>
      <c r="O191" s="27">
        <f>SUMIF(inventory_snapshot!$B:$B,H191,inventory_snapshot!$E:$E)</f>
        <v>1841</v>
      </c>
      <c r="P191" s="32" t="str">
        <f t="shared" si="2"/>
        <v>OK</v>
      </c>
      <c r="Q191" s="32" t="str">
        <f t="shared" si="3"/>
        <v>OK</v>
      </c>
      <c r="R191" s="32" t="str">
        <f t="shared" si="4"/>
        <v>OK</v>
      </c>
      <c r="S191" s="32" t="str">
        <f t="shared" si="5"/>
        <v>Small</v>
      </c>
    </row>
    <row r="192" ht="15.75" customHeight="1">
      <c r="A192" s="17" t="s">
        <v>313</v>
      </c>
      <c r="B192" s="18">
        <v>46131.0</v>
      </c>
      <c r="C192" s="17" t="s">
        <v>314</v>
      </c>
      <c r="D192" s="19" t="str">
        <f>IFERROR(VLOOKUP(C192,customer_lookup!$A:$E,2,FALSE),"")</f>
        <v>IL Account 0115</v>
      </c>
      <c r="E192" s="19" t="str">
        <f>IFERROR(VLOOKUP(C192,customer_lookup!$A:$E,3,FALSE),"")</f>
        <v>IL</v>
      </c>
      <c r="F192" s="20" t="str">
        <f>IFERROR(VLOOKUP(C192,customer_lookup!$A:$E,5,FALSE),"")</f>
        <v>Casey</v>
      </c>
      <c r="G192" s="17" t="s">
        <v>63</v>
      </c>
      <c r="H192" s="17" t="s">
        <v>102</v>
      </c>
      <c r="I192" s="19" t="str">
        <f>IFERROR(VLOOKUP(H192,product_lookup!$A:$D,2,FALSE),"")</f>
        <v>Pomegranate 1:1 Gummies</v>
      </c>
      <c r="J192" s="21">
        <v>12.0</v>
      </c>
      <c r="K192" s="22">
        <v>10.45</v>
      </c>
      <c r="L192" s="23">
        <f t="shared" si="1"/>
        <v>125.4</v>
      </c>
      <c r="M192" s="17" t="s">
        <v>65</v>
      </c>
      <c r="N192" s="18">
        <v>46134.0</v>
      </c>
      <c r="O192" s="19">
        <f>SUMIF(inventory_snapshot!$B:$B,H192,inventory_snapshot!$E:$E)</f>
        <v>1493</v>
      </c>
      <c r="P192" s="24" t="str">
        <f t="shared" si="2"/>
        <v>OK</v>
      </c>
      <c r="Q192" s="24" t="str">
        <f t="shared" si="3"/>
        <v>OK</v>
      </c>
      <c r="R192" s="24" t="str">
        <f t="shared" si="4"/>
        <v>OK</v>
      </c>
      <c r="S192" s="24" t="str">
        <f t="shared" si="5"/>
        <v>Small</v>
      </c>
    </row>
    <row r="193" ht="15.75" customHeight="1">
      <c r="A193" s="25" t="s">
        <v>315</v>
      </c>
      <c r="B193" s="26">
        <v>46047.0</v>
      </c>
      <c r="C193" s="25" t="s">
        <v>312</v>
      </c>
      <c r="D193" s="27" t="str">
        <f>IFERROR(VLOOKUP(C193,customer_lookup!$A:$E,2,FALSE),"")</f>
        <v>WA Account 0074</v>
      </c>
      <c r="E193" s="27" t="str">
        <f>IFERROR(VLOOKUP(C193,customer_lookup!$A:$E,3,FALSE),"")</f>
        <v>WA</v>
      </c>
      <c r="F193" s="28" t="str">
        <f>IFERROR(VLOOKUP(C193,customer_lookup!$A:$E,5,FALSE),"")</f>
        <v>Casey</v>
      </c>
      <c r="G193" s="25" t="s">
        <v>63</v>
      </c>
      <c r="H193" s="25" t="s">
        <v>78</v>
      </c>
      <c r="I193" s="27" t="str">
        <f>IFERROR(VLOOKUP(H193,product_lookup!$A:$D,2,FALSE),"")</f>
        <v>Grapefruit 1:1:1 Gummies</v>
      </c>
      <c r="J193" s="29">
        <v>6.0</v>
      </c>
      <c r="K193" s="30">
        <v>10.62</v>
      </c>
      <c r="L193" s="31">
        <f t="shared" si="1"/>
        <v>63.72</v>
      </c>
      <c r="M193" s="25" t="s">
        <v>75</v>
      </c>
      <c r="N193" s="26">
        <v>46051.0</v>
      </c>
      <c r="O193" s="27">
        <f>SUMIF(inventory_snapshot!$B:$B,H193,inventory_snapshot!$E:$E)</f>
        <v>1751</v>
      </c>
      <c r="P193" s="32" t="str">
        <f t="shared" si="2"/>
        <v>OK</v>
      </c>
      <c r="Q193" s="32" t="str">
        <f t="shared" si="3"/>
        <v>OK</v>
      </c>
      <c r="R193" s="32" t="str">
        <f t="shared" si="4"/>
        <v>OK</v>
      </c>
      <c r="S193" s="32" t="str">
        <f t="shared" si="5"/>
        <v>Small</v>
      </c>
    </row>
    <row r="194" ht="15.75" customHeight="1">
      <c r="A194" s="17" t="s">
        <v>316</v>
      </c>
      <c r="B194" s="18">
        <v>46114.0</v>
      </c>
      <c r="C194" s="17" t="s">
        <v>297</v>
      </c>
      <c r="D194" s="19" t="str">
        <f>IFERROR(VLOOKUP(C194,customer_lookup!$A:$E,2,FALSE),"")</f>
        <v>AZ Account 0053</v>
      </c>
      <c r="E194" s="19" t="str">
        <f>IFERROR(VLOOKUP(C194,customer_lookup!$A:$E,3,FALSE),"")</f>
        <v>AZ</v>
      </c>
      <c r="F194" s="20" t="str">
        <f>IFERROR(VLOOKUP(C194,customer_lookup!$A:$E,5,FALSE),"")</f>
        <v>Casey</v>
      </c>
      <c r="G194" s="17" t="s">
        <v>63</v>
      </c>
      <c r="H194" s="17" t="s">
        <v>92</v>
      </c>
      <c r="I194" s="19" t="str">
        <f>IFERROR(VLOOKUP(H194,product_lookup!$A:$D,2,FALSE),"")</f>
        <v>Raspberry THC Gummies</v>
      </c>
      <c r="J194" s="21">
        <v>60.0</v>
      </c>
      <c r="K194" s="22">
        <v>9.66</v>
      </c>
      <c r="L194" s="23">
        <f t="shared" si="1"/>
        <v>579.6</v>
      </c>
      <c r="M194" s="17" t="s">
        <v>65</v>
      </c>
      <c r="N194" s="18">
        <v>46123.0</v>
      </c>
      <c r="O194" s="19">
        <f>SUMIF(inventory_snapshot!$B:$B,H194,inventory_snapshot!$E:$E)</f>
        <v>1417</v>
      </c>
      <c r="P194" s="24" t="str">
        <f t="shared" si="2"/>
        <v>OK</v>
      </c>
      <c r="Q194" s="24" t="str">
        <f t="shared" si="3"/>
        <v>OK</v>
      </c>
      <c r="R194" s="24" t="str">
        <f t="shared" si="4"/>
        <v>OK</v>
      </c>
      <c r="S194" s="24" t="str">
        <f t="shared" si="5"/>
        <v>Medium</v>
      </c>
    </row>
    <row r="195" ht="15.75" customHeight="1">
      <c r="A195" s="25" t="s">
        <v>317</v>
      </c>
      <c r="B195" s="26">
        <v>46091.0</v>
      </c>
      <c r="C195" s="25" t="s">
        <v>312</v>
      </c>
      <c r="D195" s="27" t="str">
        <f>IFERROR(VLOOKUP(C195,customer_lookup!$A:$E,2,FALSE),"")</f>
        <v>WA Account 0074</v>
      </c>
      <c r="E195" s="27" t="str">
        <f>IFERROR(VLOOKUP(C195,customer_lookup!$A:$E,3,FALSE),"")</f>
        <v>WA</v>
      </c>
      <c r="F195" s="28" t="str">
        <f>IFERROR(VLOOKUP(C195,customer_lookup!$A:$E,5,FALSE),"")</f>
        <v>Casey</v>
      </c>
      <c r="G195" s="25" t="s">
        <v>89</v>
      </c>
      <c r="H195" s="25" t="s">
        <v>123</v>
      </c>
      <c r="I195" s="27" t="str">
        <f>IFERROR(VLOOKUP(H195,product_lookup!$A:$D,2,FALSE),"")</f>
        <v>Peach 2:1 Gummies</v>
      </c>
      <c r="J195" s="29">
        <v>6.0</v>
      </c>
      <c r="K195" s="30">
        <v>11.64</v>
      </c>
      <c r="L195" s="31">
        <f t="shared" si="1"/>
        <v>69.84</v>
      </c>
      <c r="M195" s="25" t="s">
        <v>97</v>
      </c>
      <c r="N195" s="26">
        <v>46094.0</v>
      </c>
      <c r="O195" s="27">
        <f>SUMIF(inventory_snapshot!$B:$B,H195,inventory_snapshot!$E:$E)</f>
        <v>1732</v>
      </c>
      <c r="P195" s="32" t="str">
        <f t="shared" si="2"/>
        <v>OK</v>
      </c>
      <c r="Q195" s="32" t="str">
        <f t="shared" si="3"/>
        <v>OK</v>
      </c>
      <c r="R195" s="32" t="str">
        <f t="shared" si="4"/>
        <v>OK</v>
      </c>
      <c r="S195" s="32" t="str">
        <f t="shared" si="5"/>
        <v>Small</v>
      </c>
    </row>
    <row r="196" ht="15.75" customHeight="1">
      <c r="A196" s="17" t="s">
        <v>318</v>
      </c>
      <c r="B196" s="18">
        <v>46101.0</v>
      </c>
      <c r="C196" s="17" t="s">
        <v>293</v>
      </c>
      <c r="D196" s="19" t="str">
        <f>IFERROR(VLOOKUP(C196,customer_lookup!$A:$E,2,FALSE),"")</f>
        <v>WA Account 0038</v>
      </c>
      <c r="E196" s="19" t="str">
        <f>IFERROR(VLOOKUP(C196,customer_lookup!$A:$E,3,FALSE),"")</f>
        <v>WA</v>
      </c>
      <c r="F196" s="20" t="str">
        <f>IFERROR(VLOOKUP(C196,customer_lookup!$A:$E,5,FALSE),"")</f>
        <v>Casey</v>
      </c>
      <c r="G196" s="17" t="s">
        <v>63</v>
      </c>
      <c r="H196" s="17" t="s">
        <v>68</v>
      </c>
      <c r="I196" s="19" t="str">
        <f>IFERROR(VLOOKUP(H196,product_lookup!$A:$D,2,FALSE),"")</f>
        <v>Sour Apple THC Gummies</v>
      </c>
      <c r="J196" s="21">
        <v>24.0</v>
      </c>
      <c r="K196" s="22">
        <v>9.91</v>
      </c>
      <c r="L196" s="23">
        <f t="shared" si="1"/>
        <v>237.84</v>
      </c>
      <c r="M196" s="17" t="s">
        <v>97</v>
      </c>
      <c r="N196" s="18">
        <v>46111.0</v>
      </c>
      <c r="O196" s="19">
        <f>SUMIF(inventory_snapshot!$B:$B,H196,inventory_snapshot!$E:$E)</f>
        <v>775</v>
      </c>
      <c r="P196" s="24" t="str">
        <f t="shared" si="2"/>
        <v>OK</v>
      </c>
      <c r="Q196" s="24" t="str">
        <f t="shared" si="3"/>
        <v>OK</v>
      </c>
      <c r="R196" s="24" t="str">
        <f t="shared" si="4"/>
        <v>OK</v>
      </c>
      <c r="S196" s="24" t="str">
        <f t="shared" si="5"/>
        <v>Small</v>
      </c>
    </row>
    <row r="197" ht="15.75" customHeight="1">
      <c r="A197" s="25" t="s">
        <v>319</v>
      </c>
      <c r="B197" s="26">
        <v>46044.0</v>
      </c>
      <c r="C197" s="25" t="s">
        <v>320</v>
      </c>
      <c r="D197" s="27" t="str">
        <f>IFERROR(VLOOKUP(C197,customer_lookup!$A:$E,2,FALSE),"")</f>
        <v>MO Account 0069</v>
      </c>
      <c r="E197" s="27" t="str">
        <f>IFERROR(VLOOKUP(C197,customer_lookup!$A:$E,3,FALSE),"")</f>
        <v>MO</v>
      </c>
      <c r="F197" s="28" t="str">
        <f>IFERROR(VLOOKUP(C197,customer_lookup!$A:$E,5,FALSE),"")</f>
        <v>Casey</v>
      </c>
      <c r="G197" s="25" t="s">
        <v>67</v>
      </c>
      <c r="H197" s="25" t="s">
        <v>85</v>
      </c>
      <c r="I197" s="27" t="str">
        <f>IFERROR(VLOOKUP(H197,product_lookup!$A:$D,2,FALSE),"")</f>
        <v>Huckleberry THC Gummies</v>
      </c>
      <c r="J197" s="29">
        <v>36.0</v>
      </c>
      <c r="K197" s="30">
        <v>10.98</v>
      </c>
      <c r="L197" s="31">
        <f t="shared" si="1"/>
        <v>395.28</v>
      </c>
      <c r="M197" s="25" t="s">
        <v>75</v>
      </c>
      <c r="N197" s="26">
        <v>46054.0</v>
      </c>
      <c r="O197" s="27">
        <f>SUMIF(inventory_snapshot!$B:$B,H197,inventory_snapshot!$E:$E)</f>
        <v>1841</v>
      </c>
      <c r="P197" s="32" t="str">
        <f t="shared" si="2"/>
        <v>OK</v>
      </c>
      <c r="Q197" s="32" t="str">
        <f t="shared" si="3"/>
        <v>OK</v>
      </c>
      <c r="R197" s="32" t="str">
        <f t="shared" si="4"/>
        <v>OK</v>
      </c>
      <c r="S197" s="32" t="str">
        <f t="shared" si="5"/>
        <v>Small</v>
      </c>
    </row>
    <row r="198" ht="15.75" customHeight="1">
      <c r="A198" s="17" t="s">
        <v>321</v>
      </c>
      <c r="B198" s="18">
        <v>46128.0</v>
      </c>
      <c r="C198" s="17" t="s">
        <v>320</v>
      </c>
      <c r="D198" s="19" t="str">
        <f>IFERROR(VLOOKUP(C198,customer_lookup!$A:$E,2,FALSE),"")</f>
        <v>MO Account 0069</v>
      </c>
      <c r="E198" s="19" t="str">
        <f>IFERROR(VLOOKUP(C198,customer_lookup!$A:$E,3,FALSE),"")</f>
        <v>MO</v>
      </c>
      <c r="F198" s="20" t="str">
        <f>IFERROR(VLOOKUP(C198,customer_lookup!$A:$E,5,FALSE),"")</f>
        <v>Casey</v>
      </c>
      <c r="G198" s="17" t="s">
        <v>63</v>
      </c>
      <c r="H198" s="17" t="s">
        <v>106</v>
      </c>
      <c r="I198" s="19" t="str">
        <f>IFERROR(VLOOKUP(H198,product_lookup!$A:$D,2,FALSE),"")</f>
        <v>Sour Cherry THC Gummies</v>
      </c>
      <c r="J198" s="21">
        <v>24.0</v>
      </c>
      <c r="K198" s="22">
        <v>10.21</v>
      </c>
      <c r="L198" s="23">
        <f t="shared" si="1"/>
        <v>245.04</v>
      </c>
      <c r="M198" s="17" t="s">
        <v>97</v>
      </c>
      <c r="N198" s="18">
        <v>46130.0</v>
      </c>
      <c r="O198" s="19">
        <f>SUMIF(inventory_snapshot!$B:$B,H198,inventory_snapshot!$E:$E)</f>
        <v>1313</v>
      </c>
      <c r="P198" s="24" t="str">
        <f t="shared" si="2"/>
        <v>OK</v>
      </c>
      <c r="Q198" s="24" t="str">
        <f t="shared" si="3"/>
        <v>OK</v>
      </c>
      <c r="R198" s="24" t="str">
        <f t="shared" si="4"/>
        <v>OK</v>
      </c>
      <c r="S198" s="24" t="str">
        <f t="shared" si="5"/>
        <v>Small</v>
      </c>
    </row>
    <row r="199" ht="15.75" customHeight="1">
      <c r="A199" s="25" t="s">
        <v>322</v>
      </c>
      <c r="B199" s="26">
        <v>46096.0</v>
      </c>
      <c r="C199" s="25" t="s">
        <v>312</v>
      </c>
      <c r="D199" s="27" t="str">
        <f>IFERROR(VLOOKUP(C199,customer_lookup!$A:$E,2,FALSE),"")</f>
        <v>WA Account 0074</v>
      </c>
      <c r="E199" s="27" t="str">
        <f>IFERROR(VLOOKUP(C199,customer_lookup!$A:$E,3,FALSE),"")</f>
        <v>WA</v>
      </c>
      <c r="F199" s="28" t="str">
        <f>IFERROR(VLOOKUP(C199,customer_lookup!$A:$E,5,FALSE),"")</f>
        <v>Casey</v>
      </c>
      <c r="G199" s="25" t="s">
        <v>63</v>
      </c>
      <c r="H199" s="25" t="s">
        <v>92</v>
      </c>
      <c r="I199" s="27" t="str">
        <f>IFERROR(VLOOKUP(H199,product_lookup!$A:$D,2,FALSE),"")</f>
        <v>Raspberry THC Gummies</v>
      </c>
      <c r="J199" s="29">
        <v>96.0</v>
      </c>
      <c r="K199" s="30">
        <v>11.07</v>
      </c>
      <c r="L199" s="31">
        <f t="shared" si="1"/>
        <v>1062.72</v>
      </c>
      <c r="M199" s="25" t="s">
        <v>65</v>
      </c>
      <c r="N199" s="26">
        <v>46099.0</v>
      </c>
      <c r="O199" s="27">
        <f>SUMIF(inventory_snapshot!$B:$B,H199,inventory_snapshot!$E:$E)</f>
        <v>1417</v>
      </c>
      <c r="P199" s="32" t="str">
        <f t="shared" si="2"/>
        <v>OK</v>
      </c>
      <c r="Q199" s="32" t="str">
        <f t="shared" si="3"/>
        <v>OK</v>
      </c>
      <c r="R199" s="32" t="str">
        <f t="shared" si="4"/>
        <v>OK</v>
      </c>
      <c r="S199" s="32" t="str">
        <f t="shared" si="5"/>
        <v>Large</v>
      </c>
    </row>
    <row r="200" ht="15.75" customHeight="1">
      <c r="A200" s="17" t="s">
        <v>323</v>
      </c>
      <c r="B200" s="18">
        <v>46058.0</v>
      </c>
      <c r="C200" s="17" t="s">
        <v>297</v>
      </c>
      <c r="D200" s="19" t="str">
        <f>IFERROR(VLOOKUP(C200,customer_lookup!$A:$E,2,FALSE),"")</f>
        <v>AZ Account 0053</v>
      </c>
      <c r="E200" s="19" t="str">
        <f>IFERROR(VLOOKUP(C200,customer_lookup!$A:$E,3,FALSE),"")</f>
        <v>AZ</v>
      </c>
      <c r="F200" s="20" t="str">
        <f>IFERROR(VLOOKUP(C200,customer_lookup!$A:$E,5,FALSE),"")</f>
        <v>Casey</v>
      </c>
      <c r="G200" s="17" t="s">
        <v>67</v>
      </c>
      <c r="H200" s="17" t="s">
        <v>102</v>
      </c>
      <c r="I200" s="19" t="str">
        <f>IFERROR(VLOOKUP(H200,product_lookup!$A:$D,2,FALSE),"")</f>
        <v>Pomegranate 1:1 Gummies</v>
      </c>
      <c r="J200" s="21">
        <v>6.0</v>
      </c>
      <c r="K200" s="22">
        <v>11.12</v>
      </c>
      <c r="L200" s="23">
        <f t="shared" si="1"/>
        <v>66.72</v>
      </c>
      <c r="M200" s="17" t="s">
        <v>65</v>
      </c>
      <c r="N200" s="18">
        <v>46061.0</v>
      </c>
      <c r="O200" s="19">
        <f>SUMIF(inventory_snapshot!$B:$B,H200,inventory_snapshot!$E:$E)</f>
        <v>1493</v>
      </c>
      <c r="P200" s="24" t="str">
        <f t="shared" si="2"/>
        <v>OK</v>
      </c>
      <c r="Q200" s="24" t="str">
        <f t="shared" si="3"/>
        <v>OK</v>
      </c>
      <c r="R200" s="24" t="str">
        <f t="shared" si="4"/>
        <v>OK</v>
      </c>
      <c r="S200" s="24" t="str">
        <f t="shared" si="5"/>
        <v>Small</v>
      </c>
    </row>
    <row r="201" ht="15.75" customHeight="1">
      <c r="A201" s="25" t="s">
        <v>324</v>
      </c>
      <c r="B201" s="26">
        <v>46055.0</v>
      </c>
      <c r="C201" s="25" t="s">
        <v>301</v>
      </c>
      <c r="D201" s="27" t="str">
        <f>IFERROR(VLOOKUP(C201,customer_lookup!$A:$E,2,FALSE),"")</f>
        <v>MI Account 0080</v>
      </c>
      <c r="E201" s="27" t="str">
        <f>IFERROR(VLOOKUP(C201,customer_lookup!$A:$E,3,FALSE),"")</f>
        <v>MI</v>
      </c>
      <c r="F201" s="28" t="str">
        <f>IFERROR(VLOOKUP(C201,customer_lookup!$A:$E,5,FALSE),"")</f>
        <v>Casey</v>
      </c>
      <c r="G201" s="25" t="s">
        <v>63</v>
      </c>
      <c r="H201" s="25" t="s">
        <v>190</v>
      </c>
      <c r="I201" s="27" t="str">
        <f>IFERROR(VLOOKUP(H201,product_lookup!$A:$D,2,FALSE),"")</f>
        <v>Mango Sparkling Beverage</v>
      </c>
      <c r="J201" s="29">
        <v>36.0</v>
      </c>
      <c r="K201" s="30">
        <v>7.15</v>
      </c>
      <c r="L201" s="31">
        <f t="shared" si="1"/>
        <v>257.4</v>
      </c>
      <c r="M201" s="25" t="s">
        <v>75</v>
      </c>
      <c r="N201" s="26">
        <v>46062.0</v>
      </c>
      <c r="O201" s="27">
        <f>SUMIF(inventory_snapshot!$B:$B,H201,inventory_snapshot!$E:$E)</f>
        <v>1502</v>
      </c>
      <c r="P201" s="32" t="str">
        <f t="shared" si="2"/>
        <v>OK</v>
      </c>
      <c r="Q201" s="32" t="str">
        <f t="shared" si="3"/>
        <v>OK</v>
      </c>
      <c r="R201" s="32" t="str">
        <f t="shared" si="4"/>
        <v>OK</v>
      </c>
      <c r="S201" s="32" t="str">
        <f t="shared" si="5"/>
        <v>Small</v>
      </c>
    </row>
    <row r="202" ht="15.75" customHeight="1">
      <c r="A202" s="17" t="s">
        <v>325</v>
      </c>
      <c r="B202" s="18">
        <v>46071.0</v>
      </c>
      <c r="C202" s="17" t="s">
        <v>326</v>
      </c>
      <c r="D202" s="19" t="str">
        <f>IFERROR(VLOOKUP(C202,customer_lookup!$A:$E,2,FALSE),"")</f>
        <v>IL Account 0043</v>
      </c>
      <c r="E202" s="19" t="str">
        <f>IFERROR(VLOOKUP(C202,customer_lookup!$A:$E,3,FALSE),"")</f>
        <v>IL</v>
      </c>
      <c r="F202" s="20" t="str">
        <f>IFERROR(VLOOKUP(C202,customer_lookup!$A:$E,5,FALSE),"")</f>
        <v>Casey</v>
      </c>
      <c r="G202" s="17" t="s">
        <v>89</v>
      </c>
      <c r="H202" s="17" t="s">
        <v>71</v>
      </c>
      <c r="I202" s="19" t="str">
        <f>IFERROR(VLOOKUP(H202,product_lookup!$A:$D,2,FALSE),"")</f>
        <v>Pineapple Sparkling Beverage</v>
      </c>
      <c r="J202" s="21">
        <v>36.0</v>
      </c>
      <c r="K202" s="22">
        <v>7.66</v>
      </c>
      <c r="L202" s="23">
        <f t="shared" si="1"/>
        <v>275.76</v>
      </c>
      <c r="M202" s="17" t="s">
        <v>75</v>
      </c>
      <c r="N202" s="18">
        <v>46081.0</v>
      </c>
      <c r="O202" s="19">
        <f>SUMIF(inventory_snapshot!$B:$B,H202,inventory_snapshot!$E:$E)</f>
        <v>1145</v>
      </c>
      <c r="P202" s="24" t="str">
        <f t="shared" si="2"/>
        <v>OK</v>
      </c>
      <c r="Q202" s="24" t="str">
        <f t="shared" si="3"/>
        <v>OK</v>
      </c>
      <c r="R202" s="24" t="str">
        <f t="shared" si="4"/>
        <v>OK</v>
      </c>
      <c r="S202" s="24" t="str">
        <f t="shared" si="5"/>
        <v>Small</v>
      </c>
    </row>
    <row r="203" ht="15.75" customHeight="1">
      <c r="A203" s="25" t="s">
        <v>327</v>
      </c>
      <c r="B203" s="26">
        <v>46140.0</v>
      </c>
      <c r="C203" s="25" t="s">
        <v>293</v>
      </c>
      <c r="D203" s="27" t="str">
        <f>IFERROR(VLOOKUP(C203,customer_lookup!$A:$E,2,FALSE),"")</f>
        <v>WA Account 0038</v>
      </c>
      <c r="E203" s="27" t="str">
        <f>IFERROR(VLOOKUP(C203,customer_lookup!$A:$E,3,FALSE),"")</f>
        <v>WA</v>
      </c>
      <c r="F203" s="28" t="str">
        <f>IFERROR(VLOOKUP(C203,customer_lookup!$A:$E,5,FALSE),"")</f>
        <v>Casey</v>
      </c>
      <c r="G203" s="25" t="s">
        <v>63</v>
      </c>
      <c r="H203" s="25" t="s">
        <v>108</v>
      </c>
      <c r="I203" s="27" t="str">
        <f>IFERROR(VLOOKUP(H203,product_lookup!$A:$D,2,FALSE),"")</f>
        <v>Sour Tangerine THC Gummies</v>
      </c>
      <c r="J203" s="29">
        <v>12.0</v>
      </c>
      <c r="K203" s="30">
        <v>9.92</v>
      </c>
      <c r="L203" s="31">
        <f t="shared" si="1"/>
        <v>119.04</v>
      </c>
      <c r="M203" s="25" t="s">
        <v>93</v>
      </c>
      <c r="N203" s="26">
        <v>46145.0</v>
      </c>
      <c r="O203" s="27">
        <f>SUMIF(inventory_snapshot!$B:$B,H203,inventory_snapshot!$E:$E)</f>
        <v>1679</v>
      </c>
      <c r="P203" s="32" t="str">
        <f t="shared" si="2"/>
        <v>OK</v>
      </c>
      <c r="Q203" s="32" t="str">
        <f t="shared" si="3"/>
        <v>OK</v>
      </c>
      <c r="R203" s="32" t="str">
        <f t="shared" si="4"/>
        <v>OK</v>
      </c>
      <c r="S203" s="32" t="str">
        <f t="shared" si="5"/>
        <v>Small</v>
      </c>
    </row>
    <row r="204" ht="15.75" customHeight="1">
      <c r="A204" s="17" t="s">
        <v>328</v>
      </c>
      <c r="B204" s="18">
        <v>46077.0</v>
      </c>
      <c r="C204" s="17" t="s">
        <v>326</v>
      </c>
      <c r="D204" s="19" t="str">
        <f>IFERROR(VLOOKUP(C204,customer_lookup!$A:$E,2,FALSE),"")</f>
        <v>IL Account 0043</v>
      </c>
      <c r="E204" s="19" t="str">
        <f>IFERROR(VLOOKUP(C204,customer_lookup!$A:$E,3,FALSE),"")</f>
        <v>IL</v>
      </c>
      <c r="F204" s="20" t="str">
        <f>IFERROR(VLOOKUP(C204,customer_lookup!$A:$E,5,FALSE),"")</f>
        <v>Casey</v>
      </c>
      <c r="G204" s="17" t="s">
        <v>63</v>
      </c>
      <c r="H204" s="17" t="s">
        <v>81</v>
      </c>
      <c r="I204" s="19" t="str">
        <f>IFERROR(VLOOKUP(H204,product_lookup!$A:$D,2,FALSE),"")</f>
        <v>Lemon Sparkling Beverage</v>
      </c>
      <c r="J204" s="21">
        <v>60.0</v>
      </c>
      <c r="K204" s="22">
        <v>6.86</v>
      </c>
      <c r="L204" s="23">
        <f t="shared" si="1"/>
        <v>411.6</v>
      </c>
      <c r="M204" s="17" t="s">
        <v>75</v>
      </c>
      <c r="N204" s="18">
        <v>46084.0</v>
      </c>
      <c r="O204" s="19">
        <f>SUMIF(inventory_snapshot!$B:$B,H204,inventory_snapshot!$E:$E)</f>
        <v>1360</v>
      </c>
      <c r="P204" s="24" t="str">
        <f t="shared" si="2"/>
        <v>OK</v>
      </c>
      <c r="Q204" s="24" t="str">
        <f t="shared" si="3"/>
        <v>OK</v>
      </c>
      <c r="R204" s="24" t="str">
        <f t="shared" si="4"/>
        <v>OK</v>
      </c>
      <c r="S204" s="24" t="str">
        <f t="shared" si="5"/>
        <v>Small</v>
      </c>
    </row>
    <row r="205" ht="15.75" customHeight="1">
      <c r="A205" s="25" t="s">
        <v>329</v>
      </c>
      <c r="B205" s="26">
        <v>46040.0</v>
      </c>
      <c r="C205" s="25" t="s">
        <v>330</v>
      </c>
      <c r="D205" s="27" t="str">
        <f>IFERROR(VLOOKUP(C205,customer_lookup!$A:$E,2,FALSE),"")</f>
        <v>WA Account 0002</v>
      </c>
      <c r="E205" s="27" t="str">
        <f>IFERROR(VLOOKUP(C205,customer_lookup!$A:$E,3,FALSE),"")</f>
        <v>WA</v>
      </c>
      <c r="F205" s="28" t="str">
        <f>IFERROR(VLOOKUP(C205,customer_lookup!$A:$E,5,FALSE),"")</f>
        <v>Casey</v>
      </c>
      <c r="G205" s="25" t="s">
        <v>63</v>
      </c>
      <c r="H205" s="25" t="s">
        <v>90</v>
      </c>
      <c r="I205" s="27" t="str">
        <f>IFERROR(VLOOKUP(H205,product_lookup!$A:$D,2,FALSE),"")</f>
        <v>Blackberry Sparkling Beverage</v>
      </c>
      <c r="J205" s="29">
        <v>24.0</v>
      </c>
      <c r="K205" s="30">
        <v>7.97</v>
      </c>
      <c r="L205" s="31">
        <f t="shared" si="1"/>
        <v>191.28</v>
      </c>
      <c r="M205" s="25" t="s">
        <v>93</v>
      </c>
      <c r="N205" s="26">
        <v>46048.0</v>
      </c>
      <c r="O205" s="27">
        <f>SUMIF(inventory_snapshot!$B:$B,H205,inventory_snapshot!$E:$E)</f>
        <v>1292</v>
      </c>
      <c r="P205" s="32" t="str">
        <f t="shared" si="2"/>
        <v>OK</v>
      </c>
      <c r="Q205" s="32" t="str">
        <f t="shared" si="3"/>
        <v>OK</v>
      </c>
      <c r="R205" s="32" t="str">
        <f t="shared" si="4"/>
        <v>OK</v>
      </c>
      <c r="S205" s="32" t="str">
        <f t="shared" si="5"/>
        <v>Small</v>
      </c>
    </row>
    <row r="206" ht="15.75" customHeight="1">
      <c r="A206" s="17" t="s">
        <v>331</v>
      </c>
      <c r="B206" s="18">
        <v>46126.0</v>
      </c>
      <c r="C206" s="17" t="s">
        <v>299</v>
      </c>
      <c r="D206" s="19" t="str">
        <f>IFERROR(VLOOKUP(C206,customer_lookup!$A:$E,2,FALSE),"")</f>
        <v>CA Account 0027</v>
      </c>
      <c r="E206" s="19" t="str">
        <f>IFERROR(VLOOKUP(C206,customer_lookup!$A:$E,3,FALSE),"")</f>
        <v>CA</v>
      </c>
      <c r="F206" s="20" t="str">
        <f>IFERROR(VLOOKUP(C206,customer_lookup!$A:$E,5,FALSE),"")</f>
        <v>Casey</v>
      </c>
      <c r="G206" s="17" t="s">
        <v>63</v>
      </c>
      <c r="H206" s="17" t="s">
        <v>162</v>
      </c>
      <c r="I206" s="19" t="str">
        <f>IFERROR(VLOOKUP(H206,product_lookup!$A:$D,2,FALSE),"")</f>
        <v>Marionberry THC Gummies</v>
      </c>
      <c r="J206" s="21">
        <v>6.0</v>
      </c>
      <c r="K206" s="22">
        <v>10.39</v>
      </c>
      <c r="L206" s="23">
        <f t="shared" si="1"/>
        <v>62.34</v>
      </c>
      <c r="M206" s="17" t="s">
        <v>65</v>
      </c>
      <c r="N206" s="18">
        <v>46129.0</v>
      </c>
      <c r="O206" s="19">
        <f>SUMIF(inventory_snapshot!$B:$B,H206,inventory_snapshot!$E:$E)</f>
        <v>1599</v>
      </c>
      <c r="P206" s="24" t="str">
        <f t="shared" si="2"/>
        <v>OK</v>
      </c>
      <c r="Q206" s="24" t="str">
        <f t="shared" si="3"/>
        <v>OK</v>
      </c>
      <c r="R206" s="24" t="str">
        <f t="shared" si="4"/>
        <v>OK</v>
      </c>
      <c r="S206" s="24" t="str">
        <f t="shared" si="5"/>
        <v>Small</v>
      </c>
    </row>
    <row r="207" ht="15.75" customHeight="1">
      <c r="A207" s="25" t="s">
        <v>332</v>
      </c>
      <c r="B207" s="26">
        <v>46057.0</v>
      </c>
      <c r="C207" s="25" t="s">
        <v>293</v>
      </c>
      <c r="D207" s="27" t="str">
        <f>IFERROR(VLOOKUP(C207,customer_lookup!$A:$E,2,FALSE),"")</f>
        <v>WA Account 0038</v>
      </c>
      <c r="E207" s="27" t="str">
        <f>IFERROR(VLOOKUP(C207,customer_lookup!$A:$E,3,FALSE),"")</f>
        <v>WA</v>
      </c>
      <c r="F207" s="28" t="str">
        <f>IFERROR(VLOOKUP(C207,customer_lookup!$A:$E,5,FALSE),"")</f>
        <v>Casey</v>
      </c>
      <c r="G207" s="25" t="s">
        <v>63</v>
      </c>
      <c r="H207" s="25" t="s">
        <v>64</v>
      </c>
      <c r="I207" s="27" t="str">
        <f>IFERROR(VLOOKUP(H207,product_lookup!$A:$D,2,FALSE),"")</f>
        <v>Cranberry Sparkling Beverage</v>
      </c>
      <c r="J207" s="29">
        <v>72.0</v>
      </c>
      <c r="K207" s="30">
        <v>8.5</v>
      </c>
      <c r="L207" s="31">
        <f t="shared" si="1"/>
        <v>612</v>
      </c>
      <c r="M207" s="25" t="s">
        <v>65</v>
      </c>
      <c r="N207" s="26">
        <v>46064.0</v>
      </c>
      <c r="O207" s="27">
        <f>SUMIF(inventory_snapshot!$B:$B,H207,inventory_snapshot!$E:$E)</f>
        <v>1152</v>
      </c>
      <c r="P207" s="32" t="str">
        <f t="shared" si="2"/>
        <v>OK</v>
      </c>
      <c r="Q207" s="32" t="str">
        <f t="shared" si="3"/>
        <v>OK</v>
      </c>
      <c r="R207" s="32" t="str">
        <f t="shared" si="4"/>
        <v>OK</v>
      </c>
      <c r="S207" s="32" t="str">
        <f t="shared" si="5"/>
        <v>Medium</v>
      </c>
    </row>
    <row r="208" ht="15.75" customHeight="1">
      <c r="A208" s="17" t="s">
        <v>333</v>
      </c>
      <c r="B208" s="18">
        <v>46043.0</v>
      </c>
      <c r="C208" s="17" t="s">
        <v>305</v>
      </c>
      <c r="D208" s="19" t="str">
        <f>IFERROR(VLOOKUP(C208,customer_lookup!$A:$E,2,FALSE),"")</f>
        <v>AZ Account 0017</v>
      </c>
      <c r="E208" s="19" t="str">
        <f>IFERROR(VLOOKUP(C208,customer_lookup!$A:$E,3,FALSE),"")</f>
        <v>AZ</v>
      </c>
      <c r="F208" s="20" t="str">
        <f>IFERROR(VLOOKUP(C208,customer_lookup!$A:$E,5,FALSE),"")</f>
        <v>Casey</v>
      </c>
      <c r="G208" s="17" t="s">
        <v>63</v>
      </c>
      <c r="H208" s="17" t="s">
        <v>102</v>
      </c>
      <c r="I208" s="19" t="str">
        <f>IFERROR(VLOOKUP(H208,product_lookup!$A:$D,2,FALSE),"")</f>
        <v>Pomegranate 1:1 Gummies</v>
      </c>
      <c r="J208" s="21">
        <v>30.0</v>
      </c>
      <c r="K208" s="22">
        <v>10.11</v>
      </c>
      <c r="L208" s="23">
        <f t="shared" si="1"/>
        <v>303.3</v>
      </c>
      <c r="M208" s="17" t="s">
        <v>97</v>
      </c>
      <c r="N208" s="18">
        <v>46046.0</v>
      </c>
      <c r="O208" s="19">
        <f>SUMIF(inventory_snapshot!$B:$B,H208,inventory_snapshot!$E:$E)</f>
        <v>1493</v>
      </c>
      <c r="P208" s="24" t="str">
        <f t="shared" si="2"/>
        <v>OK</v>
      </c>
      <c r="Q208" s="24" t="str">
        <f t="shared" si="3"/>
        <v>OK</v>
      </c>
      <c r="R208" s="24" t="str">
        <f t="shared" si="4"/>
        <v>OK</v>
      </c>
      <c r="S208" s="24" t="str">
        <f t="shared" si="5"/>
        <v>Small</v>
      </c>
    </row>
    <row r="209" ht="15.75" customHeight="1">
      <c r="A209" s="25" t="s">
        <v>334</v>
      </c>
      <c r="B209" s="26">
        <v>46090.0</v>
      </c>
      <c r="C209" s="25" t="s">
        <v>295</v>
      </c>
      <c r="D209" s="27" t="str">
        <f>IFERROR(VLOOKUP(C209,customer_lookup!$A:$E,2,FALSE),"")</f>
        <v>AZ Account 0077</v>
      </c>
      <c r="E209" s="27" t="str">
        <f>IFERROR(VLOOKUP(C209,customer_lookup!$A:$E,3,FALSE),"")</f>
        <v>AZ</v>
      </c>
      <c r="F209" s="28" t="str">
        <f>IFERROR(VLOOKUP(C209,customer_lookup!$A:$E,5,FALSE),"")</f>
        <v>Casey</v>
      </c>
      <c r="G209" s="25" t="s">
        <v>63</v>
      </c>
      <c r="H209" s="25" t="s">
        <v>110</v>
      </c>
      <c r="I209" s="27" t="str">
        <f>IFERROR(VLOOKUP(H209,product_lookup!$A:$D,2,FALSE),"")</f>
        <v>Elderberry 2:1 Gummies</v>
      </c>
      <c r="J209" s="29">
        <v>6.0</v>
      </c>
      <c r="K209" s="30">
        <v>12.07</v>
      </c>
      <c r="L209" s="31">
        <f t="shared" si="1"/>
        <v>72.42</v>
      </c>
      <c r="M209" s="25" t="s">
        <v>93</v>
      </c>
      <c r="N209" s="26">
        <v>46100.0</v>
      </c>
      <c r="O209" s="27">
        <f>SUMIF(inventory_snapshot!$B:$B,H209,inventory_snapshot!$E:$E)</f>
        <v>1633</v>
      </c>
      <c r="P209" s="32" t="str">
        <f t="shared" si="2"/>
        <v>OK</v>
      </c>
      <c r="Q209" s="32" t="str">
        <f t="shared" si="3"/>
        <v>OK</v>
      </c>
      <c r="R209" s="32" t="str">
        <f t="shared" si="4"/>
        <v>OK</v>
      </c>
      <c r="S209" s="32" t="str">
        <f t="shared" si="5"/>
        <v>Small</v>
      </c>
    </row>
    <row r="210" ht="15.75" customHeight="1">
      <c r="A210" s="17" t="s">
        <v>335</v>
      </c>
      <c r="B210" s="18">
        <v>46109.0</v>
      </c>
      <c r="C210" s="17" t="s">
        <v>314</v>
      </c>
      <c r="D210" s="19" t="str">
        <f>IFERROR(VLOOKUP(C210,customer_lookup!$A:$E,2,FALSE),"")</f>
        <v>IL Account 0115</v>
      </c>
      <c r="E210" s="19" t="str">
        <f>IFERROR(VLOOKUP(C210,customer_lookup!$A:$E,3,FALSE),"")</f>
        <v>IL</v>
      </c>
      <c r="F210" s="20" t="str">
        <f>IFERROR(VLOOKUP(C210,customer_lookup!$A:$E,5,FALSE),"")</f>
        <v>Casey</v>
      </c>
      <c r="G210" s="17" t="s">
        <v>63</v>
      </c>
      <c r="H210" s="17" t="s">
        <v>64</v>
      </c>
      <c r="I210" s="19" t="str">
        <f>IFERROR(VLOOKUP(H210,product_lookup!$A:$D,2,FALSE),"")</f>
        <v>Cranberry Sparkling Beverage</v>
      </c>
      <c r="J210" s="21">
        <v>12.0</v>
      </c>
      <c r="K210" s="22">
        <v>7.33</v>
      </c>
      <c r="L210" s="23">
        <f t="shared" si="1"/>
        <v>87.96</v>
      </c>
      <c r="M210" s="17" t="s">
        <v>65</v>
      </c>
      <c r="N210" s="18">
        <v>46110.0</v>
      </c>
      <c r="O210" s="19">
        <f>SUMIF(inventory_snapshot!$B:$B,H210,inventory_snapshot!$E:$E)</f>
        <v>1152</v>
      </c>
      <c r="P210" s="24" t="str">
        <f t="shared" si="2"/>
        <v>OK</v>
      </c>
      <c r="Q210" s="24" t="str">
        <f t="shared" si="3"/>
        <v>OK</v>
      </c>
      <c r="R210" s="24" t="str">
        <f t="shared" si="4"/>
        <v>OK</v>
      </c>
      <c r="S210" s="24" t="str">
        <f t="shared" si="5"/>
        <v>Small</v>
      </c>
    </row>
    <row r="211" ht="15.75" customHeight="1">
      <c r="A211" s="25" t="s">
        <v>336</v>
      </c>
      <c r="B211" s="26">
        <v>46028.0</v>
      </c>
      <c r="C211" s="25" t="s">
        <v>326</v>
      </c>
      <c r="D211" s="27" t="str">
        <f>IFERROR(VLOOKUP(C211,customer_lookup!$A:$E,2,FALSE),"")</f>
        <v>IL Account 0043</v>
      </c>
      <c r="E211" s="27" t="str">
        <f>IFERROR(VLOOKUP(C211,customer_lookup!$A:$E,3,FALSE),"")</f>
        <v>IL</v>
      </c>
      <c r="F211" s="28" t="str">
        <f>IFERROR(VLOOKUP(C211,customer_lookup!$A:$E,5,FALSE),"")</f>
        <v>Casey</v>
      </c>
      <c r="G211" s="25" t="s">
        <v>63</v>
      </c>
      <c r="H211" s="25" t="s">
        <v>78</v>
      </c>
      <c r="I211" s="27" t="str">
        <f>IFERROR(VLOOKUP(H211,product_lookup!$A:$D,2,FALSE),"")</f>
        <v>Grapefruit 1:1:1 Gummies</v>
      </c>
      <c r="J211" s="29">
        <v>60.0</v>
      </c>
      <c r="K211" s="30">
        <v>9.78</v>
      </c>
      <c r="L211" s="31">
        <f t="shared" si="1"/>
        <v>586.8</v>
      </c>
      <c r="M211" s="25" t="s">
        <v>93</v>
      </c>
      <c r="N211" s="26">
        <v>46035.0</v>
      </c>
      <c r="O211" s="27">
        <f>SUMIF(inventory_snapshot!$B:$B,H211,inventory_snapshot!$E:$E)</f>
        <v>1751</v>
      </c>
      <c r="P211" s="32" t="str">
        <f t="shared" si="2"/>
        <v>OK</v>
      </c>
      <c r="Q211" s="32" t="str">
        <f t="shared" si="3"/>
        <v>OK</v>
      </c>
      <c r="R211" s="32" t="str">
        <f t="shared" si="4"/>
        <v>OK</v>
      </c>
      <c r="S211" s="32" t="str">
        <f t="shared" si="5"/>
        <v>Medium</v>
      </c>
    </row>
    <row r="212" ht="15.75" customHeight="1">
      <c r="A212" s="17" t="s">
        <v>337</v>
      </c>
      <c r="B212" s="18">
        <v>46114.0</v>
      </c>
      <c r="C212" s="17" t="s">
        <v>305</v>
      </c>
      <c r="D212" s="19" t="str">
        <f>IFERROR(VLOOKUP(C212,customer_lookup!$A:$E,2,FALSE),"")</f>
        <v>AZ Account 0017</v>
      </c>
      <c r="E212" s="19" t="str">
        <f>IFERROR(VLOOKUP(C212,customer_lookup!$A:$E,3,FALSE),"")</f>
        <v>AZ</v>
      </c>
      <c r="F212" s="20" t="str">
        <f>IFERROR(VLOOKUP(C212,customer_lookup!$A:$E,5,FALSE),"")</f>
        <v>Casey</v>
      </c>
      <c r="G212" s="17" t="s">
        <v>63</v>
      </c>
      <c r="H212" s="17" t="s">
        <v>92</v>
      </c>
      <c r="I212" s="19" t="str">
        <f>IFERROR(VLOOKUP(H212,product_lookup!$A:$D,2,FALSE),"")</f>
        <v>Raspberry THC Gummies</v>
      </c>
      <c r="J212" s="21">
        <v>18.0</v>
      </c>
      <c r="K212" s="22">
        <v>11.38</v>
      </c>
      <c r="L212" s="23">
        <f t="shared" si="1"/>
        <v>204.84</v>
      </c>
      <c r="M212" s="17" t="s">
        <v>65</v>
      </c>
      <c r="N212" s="18">
        <v>46115.0</v>
      </c>
      <c r="O212" s="19">
        <f>SUMIF(inventory_snapshot!$B:$B,H212,inventory_snapshot!$E:$E)</f>
        <v>1417</v>
      </c>
      <c r="P212" s="24" t="str">
        <f t="shared" si="2"/>
        <v>OK</v>
      </c>
      <c r="Q212" s="24" t="str">
        <f t="shared" si="3"/>
        <v>OK</v>
      </c>
      <c r="R212" s="24" t="str">
        <f t="shared" si="4"/>
        <v>OK</v>
      </c>
      <c r="S212" s="24" t="str">
        <f t="shared" si="5"/>
        <v>Small</v>
      </c>
    </row>
    <row r="213" ht="15.75" customHeight="1">
      <c r="A213" s="25" t="s">
        <v>338</v>
      </c>
      <c r="B213" s="26">
        <v>46061.0</v>
      </c>
      <c r="C213" s="25" t="s">
        <v>339</v>
      </c>
      <c r="D213" s="27" t="str">
        <f>IFERROR(VLOOKUP(C213,customer_lookup!$A:$E,2,FALSE),"")</f>
        <v>NM Account 0034</v>
      </c>
      <c r="E213" s="27" t="str">
        <f>IFERROR(VLOOKUP(C213,customer_lookup!$A:$E,3,FALSE),"")</f>
        <v>NM</v>
      </c>
      <c r="F213" s="28" t="str">
        <f>IFERROR(VLOOKUP(C213,customer_lookup!$A:$E,5,FALSE),"")</f>
        <v>Casey</v>
      </c>
      <c r="G213" s="25" t="s">
        <v>63</v>
      </c>
      <c r="H213" s="25" t="s">
        <v>102</v>
      </c>
      <c r="I213" s="27" t="str">
        <f>IFERROR(VLOOKUP(H213,product_lookup!$A:$D,2,FALSE),"")</f>
        <v>Pomegranate 1:1 Gummies</v>
      </c>
      <c r="J213" s="29">
        <v>24.0</v>
      </c>
      <c r="K213" s="30">
        <v>10.11</v>
      </c>
      <c r="L213" s="31">
        <f t="shared" si="1"/>
        <v>242.64</v>
      </c>
      <c r="M213" s="25" t="s">
        <v>75</v>
      </c>
      <c r="N213" s="26">
        <v>46069.0</v>
      </c>
      <c r="O213" s="27">
        <f>SUMIF(inventory_snapshot!$B:$B,H213,inventory_snapshot!$E:$E)</f>
        <v>1493</v>
      </c>
      <c r="P213" s="32" t="str">
        <f t="shared" si="2"/>
        <v>OK</v>
      </c>
      <c r="Q213" s="32" t="str">
        <f t="shared" si="3"/>
        <v>OK</v>
      </c>
      <c r="R213" s="32" t="str">
        <f t="shared" si="4"/>
        <v>OK</v>
      </c>
      <c r="S213" s="32" t="str">
        <f t="shared" si="5"/>
        <v>Small</v>
      </c>
    </row>
    <row r="214" ht="15.75" customHeight="1">
      <c r="A214" s="17" t="s">
        <v>340</v>
      </c>
      <c r="B214" s="18">
        <v>46066.0</v>
      </c>
      <c r="C214" s="17" t="s">
        <v>312</v>
      </c>
      <c r="D214" s="19" t="str">
        <f>IFERROR(VLOOKUP(C214,customer_lookup!$A:$E,2,FALSE),"")</f>
        <v>WA Account 0074</v>
      </c>
      <c r="E214" s="19" t="str">
        <f>IFERROR(VLOOKUP(C214,customer_lookup!$A:$E,3,FALSE),"")</f>
        <v>WA</v>
      </c>
      <c r="F214" s="20" t="str">
        <f>IFERROR(VLOOKUP(C214,customer_lookup!$A:$E,5,FALSE),"")</f>
        <v>Casey</v>
      </c>
      <c r="G214" s="17" t="s">
        <v>63</v>
      </c>
      <c r="H214" s="17" t="s">
        <v>162</v>
      </c>
      <c r="I214" s="19" t="str">
        <f>IFERROR(VLOOKUP(H214,product_lookup!$A:$D,2,FALSE),"")</f>
        <v>Marionberry THC Gummies</v>
      </c>
      <c r="J214" s="21">
        <v>24.0</v>
      </c>
      <c r="K214" s="22">
        <v>10.63</v>
      </c>
      <c r="L214" s="23">
        <f t="shared" si="1"/>
        <v>255.12</v>
      </c>
      <c r="M214" s="17" t="s">
        <v>65</v>
      </c>
      <c r="N214" s="18">
        <v>46072.0</v>
      </c>
      <c r="O214" s="19">
        <f>SUMIF(inventory_snapshot!$B:$B,H214,inventory_snapshot!$E:$E)</f>
        <v>1599</v>
      </c>
      <c r="P214" s="24" t="str">
        <f t="shared" si="2"/>
        <v>OK</v>
      </c>
      <c r="Q214" s="24" t="str">
        <f t="shared" si="3"/>
        <v>OK</v>
      </c>
      <c r="R214" s="24" t="str">
        <f t="shared" si="4"/>
        <v>OK</v>
      </c>
      <c r="S214" s="24" t="str">
        <f t="shared" si="5"/>
        <v>Small</v>
      </c>
    </row>
    <row r="215" ht="15.75" customHeight="1">
      <c r="A215" s="25" t="s">
        <v>341</v>
      </c>
      <c r="B215" s="26">
        <v>46060.0</v>
      </c>
      <c r="C215" s="25" t="s">
        <v>339</v>
      </c>
      <c r="D215" s="27" t="str">
        <f>IFERROR(VLOOKUP(C215,customer_lookup!$A:$E,2,FALSE),"")</f>
        <v>NM Account 0034</v>
      </c>
      <c r="E215" s="27" t="str">
        <f>IFERROR(VLOOKUP(C215,customer_lookup!$A:$E,3,FALSE),"")</f>
        <v>NM</v>
      </c>
      <c r="F215" s="28" t="str">
        <f>IFERROR(VLOOKUP(C215,customer_lookup!$A:$E,5,FALSE),"")</f>
        <v>Casey</v>
      </c>
      <c r="G215" s="25" t="s">
        <v>89</v>
      </c>
      <c r="H215" s="25" t="s">
        <v>64</v>
      </c>
      <c r="I215" s="27" t="str">
        <f>IFERROR(VLOOKUP(H215,product_lookup!$A:$D,2,FALSE),"")</f>
        <v>Cranberry Sparkling Beverage</v>
      </c>
      <c r="J215" s="29">
        <v>60.0</v>
      </c>
      <c r="K215" s="30">
        <v>8.29</v>
      </c>
      <c r="L215" s="31">
        <f t="shared" si="1"/>
        <v>497.4</v>
      </c>
      <c r="M215" s="25" t="s">
        <v>137</v>
      </c>
      <c r="N215" s="26">
        <v>46070.0</v>
      </c>
      <c r="O215" s="27">
        <f>SUMIF(inventory_snapshot!$B:$B,H215,inventory_snapshot!$E:$E)</f>
        <v>1152</v>
      </c>
      <c r="P215" s="32" t="str">
        <f t="shared" si="2"/>
        <v>OK</v>
      </c>
      <c r="Q215" s="32" t="str">
        <f t="shared" si="3"/>
        <v>OK</v>
      </c>
      <c r="R215" s="32" t="str">
        <f t="shared" si="4"/>
        <v>OK</v>
      </c>
      <c r="S215" s="32" t="str">
        <f t="shared" si="5"/>
        <v>Small</v>
      </c>
    </row>
    <row r="216" ht="15.75" customHeight="1">
      <c r="A216" s="17" t="s">
        <v>342</v>
      </c>
      <c r="B216" s="18">
        <v>46039.0</v>
      </c>
      <c r="C216" s="17" t="s">
        <v>310</v>
      </c>
      <c r="D216" s="19" t="str">
        <f>IFERROR(VLOOKUP(C216,customer_lookup!$A:$E,2,FALSE),"")</f>
        <v>AZ Account 0101</v>
      </c>
      <c r="E216" s="19" t="str">
        <f>IFERROR(VLOOKUP(C216,customer_lookup!$A:$E,3,FALSE),"")</f>
        <v>AZ</v>
      </c>
      <c r="F216" s="20" t="str">
        <f>IFERROR(VLOOKUP(C216,customer_lookup!$A:$E,5,FALSE),"")</f>
        <v>Casey</v>
      </c>
      <c r="G216" s="17" t="s">
        <v>63</v>
      </c>
      <c r="H216" s="17" t="s">
        <v>110</v>
      </c>
      <c r="I216" s="19" t="str">
        <f>IFERROR(VLOOKUP(H216,product_lookup!$A:$D,2,FALSE),"")</f>
        <v>Elderberry 2:1 Gummies</v>
      </c>
      <c r="J216" s="21">
        <v>96.0</v>
      </c>
      <c r="K216" s="22">
        <v>10.85</v>
      </c>
      <c r="L216" s="23">
        <f t="shared" si="1"/>
        <v>1041.6</v>
      </c>
      <c r="M216" s="17" t="s">
        <v>75</v>
      </c>
      <c r="N216" s="18">
        <v>46047.0</v>
      </c>
      <c r="O216" s="19">
        <f>SUMIF(inventory_snapshot!$B:$B,H216,inventory_snapshot!$E:$E)</f>
        <v>1633</v>
      </c>
      <c r="P216" s="24" t="str">
        <f t="shared" si="2"/>
        <v>OK</v>
      </c>
      <c r="Q216" s="24" t="str">
        <f t="shared" si="3"/>
        <v>OK</v>
      </c>
      <c r="R216" s="24" t="str">
        <f t="shared" si="4"/>
        <v>OK</v>
      </c>
      <c r="S216" s="24" t="str">
        <f t="shared" si="5"/>
        <v>Large</v>
      </c>
    </row>
    <row r="217" ht="15.75" customHeight="1">
      <c r="A217" s="25" t="s">
        <v>343</v>
      </c>
      <c r="B217" s="26">
        <v>46116.0</v>
      </c>
      <c r="C217" s="25" t="s">
        <v>293</v>
      </c>
      <c r="D217" s="27" t="str">
        <f>IFERROR(VLOOKUP(C217,customer_lookup!$A:$E,2,FALSE),"")</f>
        <v>WA Account 0038</v>
      </c>
      <c r="E217" s="27" t="str">
        <f>IFERROR(VLOOKUP(C217,customer_lookup!$A:$E,3,FALSE),"")</f>
        <v>WA</v>
      </c>
      <c r="F217" s="28" t="str">
        <f>IFERROR(VLOOKUP(C217,customer_lookup!$A:$E,5,FALSE),"")</f>
        <v>Casey</v>
      </c>
      <c r="G217" s="25" t="s">
        <v>89</v>
      </c>
      <c r="H217" s="25" t="s">
        <v>74</v>
      </c>
      <c r="I217" s="27" t="str">
        <f>IFERROR(VLOOKUP(H217,product_lookup!$A:$D,2,FALSE),"")</f>
        <v>Strawberry 20:1 Gummies</v>
      </c>
      <c r="J217" s="29">
        <v>72.0</v>
      </c>
      <c r="K217" s="30">
        <v>11.72</v>
      </c>
      <c r="L217" s="31">
        <f t="shared" si="1"/>
        <v>843.84</v>
      </c>
      <c r="M217" s="25" t="s">
        <v>97</v>
      </c>
      <c r="N217" s="26">
        <v>46119.0</v>
      </c>
      <c r="O217" s="27">
        <f>SUMIF(inventory_snapshot!$B:$B,H217,inventory_snapshot!$E:$E)</f>
        <v>2294</v>
      </c>
      <c r="P217" s="32" t="str">
        <f t="shared" si="2"/>
        <v>OK</v>
      </c>
      <c r="Q217" s="32" t="str">
        <f t="shared" si="3"/>
        <v>OK</v>
      </c>
      <c r="R217" s="32" t="str">
        <f t="shared" si="4"/>
        <v>OK</v>
      </c>
      <c r="S217" s="32" t="str">
        <f t="shared" si="5"/>
        <v>Medium</v>
      </c>
    </row>
    <row r="218" ht="15.75" customHeight="1">
      <c r="A218" s="17" t="s">
        <v>344</v>
      </c>
      <c r="B218" s="18">
        <v>46065.0</v>
      </c>
      <c r="C218" s="17" t="s">
        <v>299</v>
      </c>
      <c r="D218" s="19" t="str">
        <f>IFERROR(VLOOKUP(C218,customer_lookup!$A:$E,2,FALSE),"")</f>
        <v>CA Account 0027</v>
      </c>
      <c r="E218" s="19" t="str">
        <f>IFERROR(VLOOKUP(C218,customer_lookup!$A:$E,3,FALSE),"")</f>
        <v>CA</v>
      </c>
      <c r="F218" s="20" t="str">
        <f>IFERROR(VLOOKUP(C218,customer_lookup!$A:$E,5,FALSE),"")</f>
        <v>Casey</v>
      </c>
      <c r="G218" s="17" t="s">
        <v>89</v>
      </c>
      <c r="H218" s="17" t="s">
        <v>90</v>
      </c>
      <c r="I218" s="19" t="str">
        <f>IFERROR(VLOOKUP(H218,product_lookup!$A:$D,2,FALSE),"")</f>
        <v>Blackberry Sparkling Beverage</v>
      </c>
      <c r="J218" s="21">
        <v>24.0</v>
      </c>
      <c r="K218" s="22">
        <v>6.75</v>
      </c>
      <c r="L218" s="23">
        <f t="shared" si="1"/>
        <v>162</v>
      </c>
      <c r="M218" s="17" t="s">
        <v>65</v>
      </c>
      <c r="N218" s="18">
        <v>46075.0</v>
      </c>
      <c r="O218" s="19">
        <f>SUMIF(inventory_snapshot!$B:$B,H218,inventory_snapshot!$E:$E)</f>
        <v>1292</v>
      </c>
      <c r="P218" s="24" t="str">
        <f t="shared" si="2"/>
        <v>OK</v>
      </c>
      <c r="Q218" s="24" t="str">
        <f t="shared" si="3"/>
        <v>OK</v>
      </c>
      <c r="R218" s="24" t="str">
        <f t="shared" si="4"/>
        <v>OK</v>
      </c>
      <c r="S218" s="24" t="str">
        <f t="shared" si="5"/>
        <v>Small</v>
      </c>
    </row>
    <row r="219" ht="15.75" customHeight="1">
      <c r="A219" s="25" t="s">
        <v>345</v>
      </c>
      <c r="B219" s="26">
        <v>46078.0</v>
      </c>
      <c r="C219" s="25" t="s">
        <v>301</v>
      </c>
      <c r="D219" s="27" t="str">
        <f>IFERROR(VLOOKUP(C219,customer_lookup!$A:$E,2,FALSE),"")</f>
        <v>MI Account 0080</v>
      </c>
      <c r="E219" s="27" t="str">
        <f>IFERROR(VLOOKUP(C219,customer_lookup!$A:$E,3,FALSE),"")</f>
        <v>MI</v>
      </c>
      <c r="F219" s="28" t="str">
        <f>IFERROR(VLOOKUP(C219,customer_lookup!$A:$E,5,FALSE),"")</f>
        <v>Casey</v>
      </c>
      <c r="G219" s="25" t="s">
        <v>67</v>
      </c>
      <c r="H219" s="25" t="s">
        <v>78</v>
      </c>
      <c r="I219" s="27" t="str">
        <f>IFERROR(VLOOKUP(H219,product_lookup!$A:$D,2,FALSE),"")</f>
        <v>Grapefruit 1:1:1 Gummies</v>
      </c>
      <c r="J219" s="29">
        <v>120.0</v>
      </c>
      <c r="K219" s="30">
        <v>11.24</v>
      </c>
      <c r="L219" s="31">
        <f t="shared" si="1"/>
        <v>1348.8</v>
      </c>
      <c r="M219" s="25" t="s">
        <v>65</v>
      </c>
      <c r="N219" s="26">
        <v>46085.0</v>
      </c>
      <c r="O219" s="27">
        <f>SUMIF(inventory_snapshot!$B:$B,H219,inventory_snapshot!$E:$E)</f>
        <v>1751</v>
      </c>
      <c r="P219" s="32" t="str">
        <f t="shared" si="2"/>
        <v>OK</v>
      </c>
      <c r="Q219" s="32" t="str">
        <f t="shared" si="3"/>
        <v>OK</v>
      </c>
      <c r="R219" s="32" t="str">
        <f t="shared" si="4"/>
        <v>OK</v>
      </c>
      <c r="S219" s="32" t="str">
        <f t="shared" si="5"/>
        <v>Large</v>
      </c>
    </row>
    <row r="220" ht="15.75" customHeight="1">
      <c r="A220" s="17" t="s">
        <v>346</v>
      </c>
      <c r="B220" s="18">
        <v>46029.0</v>
      </c>
      <c r="C220" s="17" t="s">
        <v>314</v>
      </c>
      <c r="D220" s="19" t="str">
        <f>IFERROR(VLOOKUP(C220,customer_lookup!$A:$E,2,FALSE),"")</f>
        <v>IL Account 0115</v>
      </c>
      <c r="E220" s="19" t="str">
        <f>IFERROR(VLOOKUP(C220,customer_lookup!$A:$E,3,FALSE),"")</f>
        <v>IL</v>
      </c>
      <c r="F220" s="20" t="str">
        <f>IFERROR(VLOOKUP(C220,customer_lookup!$A:$E,5,FALSE),"")</f>
        <v>Casey</v>
      </c>
      <c r="G220" s="17" t="s">
        <v>89</v>
      </c>
      <c r="H220" s="17" t="s">
        <v>71</v>
      </c>
      <c r="I220" s="19" t="str">
        <f>IFERROR(VLOOKUP(H220,product_lookup!$A:$D,2,FALSE),"")</f>
        <v>Pineapple Sparkling Beverage</v>
      </c>
      <c r="J220" s="21">
        <v>6.0</v>
      </c>
      <c r="K220" s="22">
        <v>7.97</v>
      </c>
      <c r="L220" s="23">
        <f t="shared" si="1"/>
        <v>47.82</v>
      </c>
      <c r="M220" s="17" t="s">
        <v>97</v>
      </c>
      <c r="N220" s="18">
        <v>46037.0</v>
      </c>
      <c r="O220" s="19">
        <f>SUMIF(inventory_snapshot!$B:$B,H220,inventory_snapshot!$E:$E)</f>
        <v>1145</v>
      </c>
      <c r="P220" s="24" t="str">
        <f t="shared" si="2"/>
        <v>OK</v>
      </c>
      <c r="Q220" s="24" t="str">
        <f t="shared" si="3"/>
        <v>OK</v>
      </c>
      <c r="R220" s="24" t="str">
        <f t="shared" si="4"/>
        <v>OK</v>
      </c>
      <c r="S220" s="24" t="str">
        <f t="shared" si="5"/>
        <v>Small</v>
      </c>
    </row>
    <row r="221" ht="15.75" customHeight="1">
      <c r="A221" s="25" t="s">
        <v>347</v>
      </c>
      <c r="B221" s="26">
        <v>46121.0</v>
      </c>
      <c r="C221" s="25" t="s">
        <v>326</v>
      </c>
      <c r="D221" s="27" t="str">
        <f>IFERROR(VLOOKUP(C221,customer_lookup!$A:$E,2,FALSE),"")</f>
        <v>IL Account 0043</v>
      </c>
      <c r="E221" s="27" t="str">
        <f>IFERROR(VLOOKUP(C221,customer_lookup!$A:$E,3,FALSE),"")</f>
        <v>IL</v>
      </c>
      <c r="F221" s="28" t="str">
        <f>IFERROR(VLOOKUP(C221,customer_lookup!$A:$E,5,FALSE),"")</f>
        <v>Casey</v>
      </c>
      <c r="G221" s="25" t="s">
        <v>63</v>
      </c>
      <c r="H221" s="25" t="s">
        <v>81</v>
      </c>
      <c r="I221" s="27" t="str">
        <f>IFERROR(VLOOKUP(H221,product_lookup!$A:$D,2,FALSE),"")</f>
        <v>Lemon Sparkling Beverage</v>
      </c>
      <c r="J221" s="29">
        <v>96.0</v>
      </c>
      <c r="K221" s="30">
        <v>7.39</v>
      </c>
      <c r="L221" s="31">
        <f t="shared" si="1"/>
        <v>709.44</v>
      </c>
      <c r="M221" s="25" t="s">
        <v>65</v>
      </c>
      <c r="N221" s="26">
        <v>46129.0</v>
      </c>
      <c r="O221" s="27">
        <f>SUMIF(inventory_snapshot!$B:$B,H221,inventory_snapshot!$E:$E)</f>
        <v>1360</v>
      </c>
      <c r="P221" s="32" t="str">
        <f t="shared" si="2"/>
        <v>OK</v>
      </c>
      <c r="Q221" s="32" t="str">
        <f t="shared" si="3"/>
        <v>OK</v>
      </c>
      <c r="R221" s="32" t="str">
        <f t="shared" si="4"/>
        <v>OK</v>
      </c>
      <c r="S221" s="32" t="str">
        <f t="shared" si="5"/>
        <v>Medium</v>
      </c>
    </row>
    <row r="222" ht="15.75" customHeight="1">
      <c r="A222" s="17" t="s">
        <v>348</v>
      </c>
      <c r="B222" s="18">
        <v>46086.0</v>
      </c>
      <c r="C222" s="17" t="s">
        <v>314</v>
      </c>
      <c r="D222" s="19" t="str">
        <f>IFERROR(VLOOKUP(C222,customer_lookup!$A:$E,2,FALSE),"")</f>
        <v>IL Account 0115</v>
      </c>
      <c r="E222" s="19" t="str">
        <f>IFERROR(VLOOKUP(C222,customer_lookup!$A:$E,3,FALSE),"")</f>
        <v>IL</v>
      </c>
      <c r="F222" s="20" t="str">
        <f>IFERROR(VLOOKUP(C222,customer_lookup!$A:$E,5,FALSE),"")</f>
        <v>Casey</v>
      </c>
      <c r="G222" s="17" t="s">
        <v>63</v>
      </c>
      <c r="H222" s="17" t="s">
        <v>154</v>
      </c>
      <c r="I222" s="19" t="str">
        <f>IFERROR(VLOOKUP(H222,product_lookup!$A:$D,2,FALSE),"")</f>
        <v>Kiwi 1:1 Gummies</v>
      </c>
      <c r="J222" s="21">
        <v>18.0</v>
      </c>
      <c r="K222" s="22">
        <v>11.44</v>
      </c>
      <c r="L222" s="23">
        <f t="shared" si="1"/>
        <v>205.92</v>
      </c>
      <c r="M222" s="17" t="s">
        <v>65</v>
      </c>
      <c r="N222" s="18">
        <v>46091.0</v>
      </c>
      <c r="O222" s="19">
        <f>SUMIF(inventory_snapshot!$B:$B,H222,inventory_snapshot!$E:$E)</f>
        <v>1136</v>
      </c>
      <c r="P222" s="24" t="str">
        <f t="shared" si="2"/>
        <v>OK</v>
      </c>
      <c r="Q222" s="24" t="str">
        <f t="shared" si="3"/>
        <v>OK</v>
      </c>
      <c r="R222" s="24" t="str">
        <f t="shared" si="4"/>
        <v>OK</v>
      </c>
      <c r="S222" s="24" t="str">
        <f t="shared" si="5"/>
        <v>Small</v>
      </c>
    </row>
    <row r="223" ht="15.75" customHeight="1">
      <c r="A223" s="25" t="s">
        <v>349</v>
      </c>
      <c r="B223" s="26">
        <v>46140.0</v>
      </c>
      <c r="C223" s="25" t="s">
        <v>293</v>
      </c>
      <c r="D223" s="27" t="str">
        <f>IFERROR(VLOOKUP(C223,customer_lookup!$A:$E,2,FALSE),"")</f>
        <v>WA Account 0038</v>
      </c>
      <c r="E223" s="27" t="str">
        <f>IFERROR(VLOOKUP(C223,customer_lookup!$A:$E,3,FALSE),"")</f>
        <v>WA</v>
      </c>
      <c r="F223" s="28" t="str">
        <f>IFERROR(VLOOKUP(C223,customer_lookup!$A:$E,5,FALSE),"")</f>
        <v>Casey</v>
      </c>
      <c r="G223" s="25" t="s">
        <v>89</v>
      </c>
      <c r="H223" s="25" t="s">
        <v>68</v>
      </c>
      <c r="I223" s="27" t="str">
        <f>IFERROR(VLOOKUP(H223,product_lookup!$A:$D,2,FALSE),"")</f>
        <v>Sour Apple THC Gummies</v>
      </c>
      <c r="J223" s="29">
        <v>120.0</v>
      </c>
      <c r="K223" s="30">
        <v>9.73</v>
      </c>
      <c r="L223" s="31">
        <f t="shared" si="1"/>
        <v>1167.6</v>
      </c>
      <c r="M223" s="25" t="s">
        <v>65</v>
      </c>
      <c r="N223" s="26">
        <v>46143.0</v>
      </c>
      <c r="O223" s="27">
        <f>SUMIF(inventory_snapshot!$B:$B,H223,inventory_snapshot!$E:$E)</f>
        <v>775</v>
      </c>
      <c r="P223" s="32" t="str">
        <f t="shared" si="2"/>
        <v>OK</v>
      </c>
      <c r="Q223" s="32" t="str">
        <f t="shared" si="3"/>
        <v>OK</v>
      </c>
      <c r="R223" s="32" t="str">
        <f t="shared" si="4"/>
        <v>OK</v>
      </c>
      <c r="S223" s="32" t="str">
        <f t="shared" si="5"/>
        <v>Large</v>
      </c>
    </row>
    <row r="224" ht="15.75" customHeight="1">
      <c r="A224" s="17" t="s">
        <v>350</v>
      </c>
      <c r="B224" s="18">
        <v>46135.0</v>
      </c>
      <c r="C224" s="17" t="s">
        <v>320</v>
      </c>
      <c r="D224" s="19" t="str">
        <f>IFERROR(VLOOKUP(C224,customer_lookup!$A:$E,2,FALSE),"")</f>
        <v>MO Account 0069</v>
      </c>
      <c r="E224" s="19" t="str">
        <f>IFERROR(VLOOKUP(C224,customer_lookup!$A:$E,3,FALSE),"")</f>
        <v>MO</v>
      </c>
      <c r="F224" s="20" t="str">
        <f>IFERROR(VLOOKUP(C224,customer_lookup!$A:$E,5,FALSE),"")</f>
        <v>Casey</v>
      </c>
      <c r="G224" s="17" t="s">
        <v>63</v>
      </c>
      <c r="H224" s="17" t="s">
        <v>102</v>
      </c>
      <c r="I224" s="19" t="str">
        <f>IFERROR(VLOOKUP(H224,product_lookup!$A:$D,2,FALSE),"")</f>
        <v>Pomegranate 1:1 Gummies</v>
      </c>
      <c r="J224" s="21">
        <v>48.0</v>
      </c>
      <c r="K224" s="22">
        <v>11.68</v>
      </c>
      <c r="L224" s="23">
        <f t="shared" si="1"/>
        <v>560.64</v>
      </c>
      <c r="M224" s="17" t="s">
        <v>65</v>
      </c>
      <c r="N224" s="18">
        <v>46138.0</v>
      </c>
      <c r="O224" s="19">
        <f>SUMIF(inventory_snapshot!$B:$B,H224,inventory_snapshot!$E:$E)</f>
        <v>1493</v>
      </c>
      <c r="P224" s="24" t="str">
        <f t="shared" si="2"/>
        <v>OK</v>
      </c>
      <c r="Q224" s="24" t="str">
        <f t="shared" si="3"/>
        <v>OK</v>
      </c>
      <c r="R224" s="24" t="str">
        <f t="shared" si="4"/>
        <v>OK</v>
      </c>
      <c r="S224" s="24" t="str">
        <f t="shared" si="5"/>
        <v>Medium</v>
      </c>
    </row>
    <row r="225" ht="15.75" customHeight="1">
      <c r="A225" s="25" t="s">
        <v>351</v>
      </c>
      <c r="B225" s="26">
        <v>46061.0</v>
      </c>
      <c r="C225" s="25" t="s">
        <v>293</v>
      </c>
      <c r="D225" s="27" t="str">
        <f>IFERROR(VLOOKUP(C225,customer_lookup!$A:$E,2,FALSE),"")</f>
        <v>WA Account 0038</v>
      </c>
      <c r="E225" s="27" t="str">
        <f>IFERROR(VLOOKUP(C225,customer_lookup!$A:$E,3,FALSE),"")</f>
        <v>WA</v>
      </c>
      <c r="F225" s="28" t="str">
        <f>IFERROR(VLOOKUP(C225,customer_lookup!$A:$E,5,FALSE),"")</f>
        <v>Casey</v>
      </c>
      <c r="G225" s="25" t="s">
        <v>89</v>
      </c>
      <c r="H225" s="25" t="s">
        <v>85</v>
      </c>
      <c r="I225" s="27" t="str">
        <f>IFERROR(VLOOKUP(H225,product_lookup!$A:$D,2,FALSE),"")</f>
        <v>Huckleberry THC Gummies</v>
      </c>
      <c r="J225" s="29">
        <v>120.0</v>
      </c>
      <c r="K225" s="30">
        <v>11.04</v>
      </c>
      <c r="L225" s="31">
        <f t="shared" si="1"/>
        <v>1324.8</v>
      </c>
      <c r="M225" s="25" t="s">
        <v>93</v>
      </c>
      <c r="N225" s="26">
        <v>46067.0</v>
      </c>
      <c r="O225" s="27">
        <f>SUMIF(inventory_snapshot!$B:$B,H225,inventory_snapshot!$E:$E)</f>
        <v>1841</v>
      </c>
      <c r="P225" s="32" t="str">
        <f t="shared" si="2"/>
        <v>OK</v>
      </c>
      <c r="Q225" s="32" t="str">
        <f t="shared" si="3"/>
        <v>OK</v>
      </c>
      <c r="R225" s="32" t="str">
        <f t="shared" si="4"/>
        <v>OK</v>
      </c>
      <c r="S225" s="32" t="str">
        <f t="shared" si="5"/>
        <v>Large</v>
      </c>
    </row>
    <row r="226" ht="15.75" customHeight="1">
      <c r="A226" s="17" t="s">
        <v>352</v>
      </c>
      <c r="B226" s="18">
        <v>46055.0</v>
      </c>
      <c r="C226" s="17" t="s">
        <v>293</v>
      </c>
      <c r="D226" s="19" t="str">
        <f>IFERROR(VLOOKUP(C226,customer_lookup!$A:$E,2,FALSE),"")</f>
        <v>WA Account 0038</v>
      </c>
      <c r="E226" s="19" t="str">
        <f>IFERROR(VLOOKUP(C226,customer_lookup!$A:$E,3,FALSE),"")</f>
        <v>WA</v>
      </c>
      <c r="F226" s="20" t="str">
        <f>IFERROR(VLOOKUP(C226,customer_lookup!$A:$E,5,FALSE),"")</f>
        <v>Casey</v>
      </c>
      <c r="G226" s="17" t="s">
        <v>89</v>
      </c>
      <c r="H226" s="17" t="s">
        <v>110</v>
      </c>
      <c r="I226" s="19" t="str">
        <f>IFERROR(VLOOKUP(H226,product_lookup!$A:$D,2,FALSE),"")</f>
        <v>Elderberry 2:1 Gummies</v>
      </c>
      <c r="J226" s="21">
        <v>12.0</v>
      </c>
      <c r="K226" s="22">
        <v>10.33</v>
      </c>
      <c r="L226" s="23">
        <f t="shared" si="1"/>
        <v>123.96</v>
      </c>
      <c r="M226" s="17" t="s">
        <v>65</v>
      </c>
      <c r="N226" s="18">
        <v>46061.0</v>
      </c>
      <c r="O226" s="19">
        <f>SUMIF(inventory_snapshot!$B:$B,H226,inventory_snapshot!$E:$E)</f>
        <v>1633</v>
      </c>
      <c r="P226" s="24" t="str">
        <f t="shared" si="2"/>
        <v>OK</v>
      </c>
      <c r="Q226" s="24" t="str">
        <f t="shared" si="3"/>
        <v>OK</v>
      </c>
      <c r="R226" s="24" t="str">
        <f t="shared" si="4"/>
        <v>OK</v>
      </c>
      <c r="S226" s="24" t="str">
        <f t="shared" si="5"/>
        <v>Small</v>
      </c>
    </row>
    <row r="227" ht="15.75" customHeight="1">
      <c r="A227" s="25" t="s">
        <v>353</v>
      </c>
      <c r="B227" s="26">
        <v>46139.0</v>
      </c>
      <c r="C227" s="25" t="s">
        <v>299</v>
      </c>
      <c r="D227" s="27" t="str">
        <f>IFERROR(VLOOKUP(C227,customer_lookup!$A:$E,2,FALSE),"")</f>
        <v>CA Account 0027</v>
      </c>
      <c r="E227" s="27" t="str">
        <f>IFERROR(VLOOKUP(C227,customer_lookup!$A:$E,3,FALSE),"")</f>
        <v>CA</v>
      </c>
      <c r="F227" s="28" t="str">
        <f>IFERROR(VLOOKUP(C227,customer_lookup!$A:$E,5,FALSE),"")</f>
        <v>Casey</v>
      </c>
      <c r="G227" s="25" t="s">
        <v>89</v>
      </c>
      <c r="H227" s="25" t="s">
        <v>190</v>
      </c>
      <c r="I227" s="27" t="str">
        <f>IFERROR(VLOOKUP(H227,product_lookup!$A:$D,2,FALSE),"")</f>
        <v>Mango Sparkling Beverage</v>
      </c>
      <c r="J227" s="29">
        <v>36.0</v>
      </c>
      <c r="K227" s="30">
        <v>7.33</v>
      </c>
      <c r="L227" s="31">
        <f t="shared" si="1"/>
        <v>263.88</v>
      </c>
      <c r="M227" s="25" t="s">
        <v>93</v>
      </c>
      <c r="N227" s="26">
        <v>46140.0</v>
      </c>
      <c r="O227" s="27">
        <f>SUMIF(inventory_snapshot!$B:$B,H227,inventory_snapshot!$E:$E)</f>
        <v>1502</v>
      </c>
      <c r="P227" s="32" t="str">
        <f t="shared" si="2"/>
        <v>OK</v>
      </c>
      <c r="Q227" s="32" t="str">
        <f t="shared" si="3"/>
        <v>OK</v>
      </c>
      <c r="R227" s="32" t="str">
        <f t="shared" si="4"/>
        <v>OK</v>
      </c>
      <c r="S227" s="32" t="str">
        <f t="shared" si="5"/>
        <v>Small</v>
      </c>
    </row>
    <row r="228" ht="15.75" customHeight="1">
      <c r="A228" s="17" t="s">
        <v>354</v>
      </c>
      <c r="B228" s="18">
        <v>46043.0</v>
      </c>
      <c r="C228" s="17" t="s">
        <v>312</v>
      </c>
      <c r="D228" s="19" t="str">
        <f>IFERROR(VLOOKUP(C228,customer_lookup!$A:$E,2,FALSE),"")</f>
        <v>WA Account 0074</v>
      </c>
      <c r="E228" s="19" t="str">
        <f>IFERROR(VLOOKUP(C228,customer_lookup!$A:$E,3,FALSE),"")</f>
        <v>WA</v>
      </c>
      <c r="F228" s="20" t="str">
        <f>IFERROR(VLOOKUP(C228,customer_lookup!$A:$E,5,FALSE),"")</f>
        <v>Casey</v>
      </c>
      <c r="G228" s="17" t="s">
        <v>63</v>
      </c>
      <c r="H228" s="17" t="s">
        <v>64</v>
      </c>
      <c r="I228" s="19" t="str">
        <f>IFERROR(VLOOKUP(H228,product_lookup!$A:$D,2,FALSE),"")</f>
        <v>Cranberry Sparkling Beverage</v>
      </c>
      <c r="J228" s="21">
        <v>18.0</v>
      </c>
      <c r="K228" s="22">
        <v>7.95</v>
      </c>
      <c r="L228" s="23">
        <f t="shared" si="1"/>
        <v>143.1</v>
      </c>
      <c r="M228" s="17" t="s">
        <v>100</v>
      </c>
      <c r="N228" s="18">
        <v>46044.0</v>
      </c>
      <c r="O228" s="19">
        <f>SUMIF(inventory_snapshot!$B:$B,H228,inventory_snapshot!$E:$E)</f>
        <v>1152</v>
      </c>
      <c r="P228" s="24" t="str">
        <f t="shared" si="2"/>
        <v>OK</v>
      </c>
      <c r="Q228" s="24" t="str">
        <f t="shared" si="3"/>
        <v>OK</v>
      </c>
      <c r="R228" s="24" t="str">
        <f t="shared" si="4"/>
        <v>OK</v>
      </c>
      <c r="S228" s="24" t="str">
        <f t="shared" si="5"/>
        <v>Small</v>
      </c>
    </row>
    <row r="229" ht="15.75" customHeight="1">
      <c r="A229" s="25" t="s">
        <v>355</v>
      </c>
      <c r="B229" s="26">
        <v>46025.0</v>
      </c>
      <c r="C229" s="25" t="s">
        <v>305</v>
      </c>
      <c r="D229" s="27" t="str">
        <f>IFERROR(VLOOKUP(C229,customer_lookup!$A:$E,2,FALSE),"")</f>
        <v>AZ Account 0017</v>
      </c>
      <c r="E229" s="27" t="str">
        <f>IFERROR(VLOOKUP(C229,customer_lookup!$A:$E,3,FALSE),"")</f>
        <v>AZ</v>
      </c>
      <c r="F229" s="28" t="str">
        <f>IFERROR(VLOOKUP(C229,customer_lookup!$A:$E,5,FALSE),"")</f>
        <v>Casey</v>
      </c>
      <c r="G229" s="25" t="s">
        <v>67</v>
      </c>
      <c r="H229" s="25" t="s">
        <v>78</v>
      </c>
      <c r="I229" s="27" t="str">
        <f>IFERROR(VLOOKUP(H229,product_lookup!$A:$D,2,FALSE),"")</f>
        <v>Grapefruit 1:1:1 Gummies</v>
      </c>
      <c r="J229" s="29">
        <v>24.0</v>
      </c>
      <c r="K229" s="30">
        <v>10.8</v>
      </c>
      <c r="L229" s="31">
        <f t="shared" si="1"/>
        <v>259.2</v>
      </c>
      <c r="M229" s="25" t="s">
        <v>93</v>
      </c>
      <c r="N229" s="26">
        <v>46028.0</v>
      </c>
      <c r="O229" s="27">
        <f>SUMIF(inventory_snapshot!$B:$B,H229,inventory_snapshot!$E:$E)</f>
        <v>1751</v>
      </c>
      <c r="P229" s="32" t="str">
        <f t="shared" si="2"/>
        <v>OK</v>
      </c>
      <c r="Q229" s="32" t="str">
        <f t="shared" si="3"/>
        <v>OK</v>
      </c>
      <c r="R229" s="32" t="str">
        <f t="shared" si="4"/>
        <v>OK</v>
      </c>
      <c r="S229" s="32" t="str">
        <f t="shared" si="5"/>
        <v>Small</v>
      </c>
    </row>
    <row r="230" ht="15.75" customHeight="1">
      <c r="A230" s="17" t="s">
        <v>356</v>
      </c>
      <c r="B230" s="18">
        <v>46047.0</v>
      </c>
      <c r="C230" s="17" t="s">
        <v>297</v>
      </c>
      <c r="D230" s="19" t="str">
        <f>IFERROR(VLOOKUP(C230,customer_lookup!$A:$E,2,FALSE),"")</f>
        <v>AZ Account 0053</v>
      </c>
      <c r="E230" s="19" t="str">
        <f>IFERROR(VLOOKUP(C230,customer_lookup!$A:$E,3,FALSE),"")</f>
        <v>AZ</v>
      </c>
      <c r="F230" s="20" t="str">
        <f>IFERROR(VLOOKUP(C230,customer_lookup!$A:$E,5,FALSE),"")</f>
        <v>Casey</v>
      </c>
      <c r="G230" s="17" t="s">
        <v>63</v>
      </c>
      <c r="H230" s="17" t="s">
        <v>115</v>
      </c>
      <c r="I230" s="19" t="str">
        <f>IFERROR(VLOOKUP(H230,product_lookup!$A:$D,2,FALSE),"")</f>
        <v>Pear 1:1 Gummies</v>
      </c>
      <c r="J230" s="21">
        <v>6.0</v>
      </c>
      <c r="K230" s="22">
        <v>11.72</v>
      </c>
      <c r="L230" s="23">
        <f t="shared" si="1"/>
        <v>70.32</v>
      </c>
      <c r="M230" s="17" t="s">
        <v>65</v>
      </c>
      <c r="N230" s="18">
        <v>46049.0</v>
      </c>
      <c r="O230" s="19">
        <f>SUMIF(inventory_snapshot!$B:$B,H230,inventory_snapshot!$E:$E)</f>
        <v>981</v>
      </c>
      <c r="P230" s="24" t="str">
        <f t="shared" si="2"/>
        <v>OK</v>
      </c>
      <c r="Q230" s="24" t="str">
        <f t="shared" si="3"/>
        <v>OK</v>
      </c>
      <c r="R230" s="24" t="str">
        <f t="shared" si="4"/>
        <v>OK</v>
      </c>
      <c r="S230" s="24" t="str">
        <f t="shared" si="5"/>
        <v>Small</v>
      </c>
    </row>
    <row r="231" ht="15.75" customHeight="1">
      <c r="A231" s="25" t="s">
        <v>357</v>
      </c>
      <c r="B231" s="26">
        <v>46075.0</v>
      </c>
      <c r="C231" s="25" t="s">
        <v>299</v>
      </c>
      <c r="D231" s="27" t="str">
        <f>IFERROR(VLOOKUP(C231,customer_lookup!$A:$E,2,FALSE),"")</f>
        <v>CA Account 0027</v>
      </c>
      <c r="E231" s="27" t="str">
        <f>IFERROR(VLOOKUP(C231,customer_lookup!$A:$E,3,FALSE),"")</f>
        <v>CA</v>
      </c>
      <c r="F231" s="28" t="str">
        <f>IFERROR(VLOOKUP(C231,customer_lookup!$A:$E,5,FALSE),"")</f>
        <v>Casey</v>
      </c>
      <c r="G231" s="25" t="s">
        <v>63</v>
      </c>
      <c r="H231" s="25" t="s">
        <v>92</v>
      </c>
      <c r="I231" s="27" t="str">
        <f>IFERROR(VLOOKUP(H231,product_lookup!$A:$D,2,FALSE),"")</f>
        <v>Raspberry THC Gummies</v>
      </c>
      <c r="J231" s="29">
        <v>36.0</v>
      </c>
      <c r="K231" s="30">
        <v>9.67</v>
      </c>
      <c r="L231" s="31">
        <f t="shared" si="1"/>
        <v>348.12</v>
      </c>
      <c r="M231" s="25" t="s">
        <v>75</v>
      </c>
      <c r="N231" s="26">
        <v>46080.0</v>
      </c>
      <c r="O231" s="27">
        <f>SUMIF(inventory_snapshot!$B:$B,H231,inventory_snapshot!$E:$E)</f>
        <v>1417</v>
      </c>
      <c r="P231" s="32" t="str">
        <f t="shared" si="2"/>
        <v>OK</v>
      </c>
      <c r="Q231" s="32" t="str">
        <f t="shared" si="3"/>
        <v>OK</v>
      </c>
      <c r="R231" s="32" t="str">
        <f t="shared" si="4"/>
        <v>OK</v>
      </c>
      <c r="S231" s="32" t="str">
        <f t="shared" si="5"/>
        <v>Small</v>
      </c>
    </row>
    <row r="232" ht="15.75" customHeight="1">
      <c r="A232" s="17" t="s">
        <v>358</v>
      </c>
      <c r="B232" s="18">
        <v>46122.0</v>
      </c>
      <c r="C232" s="17" t="s">
        <v>295</v>
      </c>
      <c r="D232" s="19" t="str">
        <f>IFERROR(VLOOKUP(C232,customer_lookup!$A:$E,2,FALSE),"")</f>
        <v>AZ Account 0077</v>
      </c>
      <c r="E232" s="19" t="str">
        <f>IFERROR(VLOOKUP(C232,customer_lookup!$A:$E,3,FALSE),"")</f>
        <v>AZ</v>
      </c>
      <c r="F232" s="20" t="str">
        <f>IFERROR(VLOOKUP(C232,customer_lookup!$A:$E,5,FALSE),"")</f>
        <v>Casey</v>
      </c>
      <c r="G232" s="17" t="s">
        <v>63</v>
      </c>
      <c r="H232" s="17" t="s">
        <v>95</v>
      </c>
      <c r="I232" s="19" t="str">
        <f>IFERROR(VLOOKUP(H232,product_lookup!$A:$D,2,FALSE),"")</f>
        <v>Boysenberry 1:1:1 Gummies</v>
      </c>
      <c r="J232" s="21">
        <v>18.0</v>
      </c>
      <c r="K232" s="22">
        <v>10.79</v>
      </c>
      <c r="L232" s="23">
        <f t="shared" si="1"/>
        <v>194.22</v>
      </c>
      <c r="M232" s="17" t="s">
        <v>75</v>
      </c>
      <c r="N232" s="18">
        <v>46131.0</v>
      </c>
      <c r="O232" s="19">
        <f>SUMIF(inventory_snapshot!$B:$B,H232,inventory_snapshot!$E:$E)</f>
        <v>2007</v>
      </c>
      <c r="P232" s="24" t="str">
        <f t="shared" si="2"/>
        <v>OK</v>
      </c>
      <c r="Q232" s="24" t="str">
        <f t="shared" si="3"/>
        <v>OK</v>
      </c>
      <c r="R232" s="24" t="str">
        <f t="shared" si="4"/>
        <v>OK</v>
      </c>
      <c r="S232" s="24" t="str">
        <f t="shared" si="5"/>
        <v>Small</v>
      </c>
    </row>
    <row r="233" ht="15.75" customHeight="1">
      <c r="A233" s="25" t="s">
        <v>359</v>
      </c>
      <c r="B233" s="26">
        <v>46089.0</v>
      </c>
      <c r="C233" s="25" t="s">
        <v>295</v>
      </c>
      <c r="D233" s="27" t="str">
        <f>IFERROR(VLOOKUP(C233,customer_lookup!$A:$E,2,FALSE),"")</f>
        <v>AZ Account 0077</v>
      </c>
      <c r="E233" s="27" t="str">
        <f>IFERROR(VLOOKUP(C233,customer_lookup!$A:$E,3,FALSE),"")</f>
        <v>AZ</v>
      </c>
      <c r="F233" s="28" t="str">
        <f>IFERROR(VLOOKUP(C233,customer_lookup!$A:$E,5,FALSE),"")</f>
        <v>Casey</v>
      </c>
      <c r="G233" s="25" t="s">
        <v>63</v>
      </c>
      <c r="H233" s="25" t="s">
        <v>190</v>
      </c>
      <c r="I233" s="27" t="str">
        <f>IFERROR(VLOOKUP(H233,product_lookup!$A:$D,2,FALSE),"")</f>
        <v>Mango Sparkling Beverage</v>
      </c>
      <c r="J233" s="29">
        <v>24.0</v>
      </c>
      <c r="K233" s="30">
        <v>7.67</v>
      </c>
      <c r="L233" s="31">
        <f t="shared" si="1"/>
        <v>184.08</v>
      </c>
      <c r="M233" s="25" t="s">
        <v>65</v>
      </c>
      <c r="N233" s="26">
        <v>46090.0</v>
      </c>
      <c r="O233" s="27">
        <f>SUMIF(inventory_snapshot!$B:$B,H233,inventory_snapshot!$E:$E)</f>
        <v>1502</v>
      </c>
      <c r="P233" s="32" t="str">
        <f t="shared" si="2"/>
        <v>OK</v>
      </c>
      <c r="Q233" s="32" t="str">
        <f t="shared" si="3"/>
        <v>OK</v>
      </c>
      <c r="R233" s="32" t="str">
        <f t="shared" si="4"/>
        <v>OK</v>
      </c>
      <c r="S233" s="32" t="str">
        <f t="shared" si="5"/>
        <v>Small</v>
      </c>
    </row>
    <row r="234" ht="15.75" customHeight="1">
      <c r="A234" s="17" t="s">
        <v>360</v>
      </c>
      <c r="B234" s="18">
        <v>46057.0</v>
      </c>
      <c r="C234" s="17" t="s">
        <v>314</v>
      </c>
      <c r="D234" s="19" t="str">
        <f>IFERROR(VLOOKUP(C234,customer_lookup!$A:$E,2,FALSE),"")</f>
        <v>IL Account 0115</v>
      </c>
      <c r="E234" s="19" t="str">
        <f>IFERROR(VLOOKUP(C234,customer_lookup!$A:$E,3,FALSE),"")</f>
        <v>IL</v>
      </c>
      <c r="F234" s="20" t="str">
        <f>IFERROR(VLOOKUP(C234,customer_lookup!$A:$E,5,FALSE),"")</f>
        <v>Casey</v>
      </c>
      <c r="G234" s="17" t="s">
        <v>89</v>
      </c>
      <c r="H234" s="17" t="s">
        <v>64</v>
      </c>
      <c r="I234" s="19" t="str">
        <f>IFERROR(VLOOKUP(H234,product_lookup!$A:$D,2,FALSE),"")</f>
        <v>Cranberry Sparkling Beverage</v>
      </c>
      <c r="J234" s="21">
        <v>18.0</v>
      </c>
      <c r="K234" s="22">
        <v>8.44</v>
      </c>
      <c r="L234" s="23">
        <f t="shared" si="1"/>
        <v>151.92</v>
      </c>
      <c r="M234" s="17" t="s">
        <v>65</v>
      </c>
      <c r="N234" s="18">
        <v>46065.0</v>
      </c>
      <c r="O234" s="19">
        <f>SUMIF(inventory_snapshot!$B:$B,H234,inventory_snapshot!$E:$E)</f>
        <v>1152</v>
      </c>
      <c r="P234" s="24" t="str">
        <f t="shared" si="2"/>
        <v>OK</v>
      </c>
      <c r="Q234" s="24" t="str">
        <f t="shared" si="3"/>
        <v>OK</v>
      </c>
      <c r="R234" s="24" t="str">
        <f t="shared" si="4"/>
        <v>OK</v>
      </c>
      <c r="S234" s="24" t="str">
        <f t="shared" si="5"/>
        <v>Small</v>
      </c>
    </row>
    <row r="235" ht="15.75" customHeight="1">
      <c r="A235" s="25" t="s">
        <v>361</v>
      </c>
      <c r="B235" s="26">
        <v>46134.0</v>
      </c>
      <c r="C235" s="25" t="s">
        <v>314</v>
      </c>
      <c r="D235" s="27" t="str">
        <f>IFERROR(VLOOKUP(C235,customer_lookup!$A:$E,2,FALSE),"")</f>
        <v>IL Account 0115</v>
      </c>
      <c r="E235" s="27" t="str">
        <f>IFERROR(VLOOKUP(C235,customer_lookup!$A:$E,3,FALSE),"")</f>
        <v>IL</v>
      </c>
      <c r="F235" s="28" t="str">
        <f>IFERROR(VLOOKUP(C235,customer_lookup!$A:$E,5,FALSE),"")</f>
        <v>Casey</v>
      </c>
      <c r="G235" s="25" t="s">
        <v>89</v>
      </c>
      <c r="H235" s="25" t="s">
        <v>64</v>
      </c>
      <c r="I235" s="27" t="str">
        <f>IFERROR(VLOOKUP(H235,product_lookup!$A:$D,2,FALSE),"")</f>
        <v>Cranberry Sparkling Beverage</v>
      </c>
      <c r="J235" s="29">
        <v>30.0</v>
      </c>
      <c r="K235" s="30">
        <v>7.74</v>
      </c>
      <c r="L235" s="31">
        <f t="shared" si="1"/>
        <v>232.2</v>
      </c>
      <c r="M235" s="25" t="s">
        <v>93</v>
      </c>
      <c r="N235" s="26">
        <v>46139.0</v>
      </c>
      <c r="O235" s="27">
        <f>SUMIF(inventory_snapshot!$B:$B,H235,inventory_snapshot!$E:$E)</f>
        <v>1152</v>
      </c>
      <c r="P235" s="32" t="str">
        <f t="shared" si="2"/>
        <v>OK</v>
      </c>
      <c r="Q235" s="32" t="str">
        <f t="shared" si="3"/>
        <v>OK</v>
      </c>
      <c r="R235" s="32" t="str">
        <f t="shared" si="4"/>
        <v>OK</v>
      </c>
      <c r="S235" s="32" t="str">
        <f t="shared" si="5"/>
        <v>Small</v>
      </c>
    </row>
    <row r="236" ht="15.75" customHeight="1">
      <c r="A236" s="17" t="s">
        <v>362</v>
      </c>
      <c r="B236" s="18">
        <v>46090.0</v>
      </c>
      <c r="C236" s="17" t="s">
        <v>305</v>
      </c>
      <c r="D236" s="19" t="str">
        <f>IFERROR(VLOOKUP(C236,customer_lookup!$A:$E,2,FALSE),"")</f>
        <v>AZ Account 0017</v>
      </c>
      <c r="E236" s="19" t="str">
        <f>IFERROR(VLOOKUP(C236,customer_lookup!$A:$E,3,FALSE),"")</f>
        <v>AZ</v>
      </c>
      <c r="F236" s="20" t="str">
        <f>IFERROR(VLOOKUP(C236,customer_lookup!$A:$E,5,FALSE),"")</f>
        <v>Casey</v>
      </c>
      <c r="G236" s="17" t="s">
        <v>63</v>
      </c>
      <c r="H236" s="17" t="s">
        <v>95</v>
      </c>
      <c r="I236" s="19" t="str">
        <f>IFERROR(VLOOKUP(H236,product_lookup!$A:$D,2,FALSE),"")</f>
        <v>Boysenberry 1:1:1 Gummies</v>
      </c>
      <c r="J236" s="21">
        <v>48.0</v>
      </c>
      <c r="K236" s="22">
        <v>10.45</v>
      </c>
      <c r="L236" s="23">
        <f t="shared" si="1"/>
        <v>501.6</v>
      </c>
      <c r="M236" s="17" t="s">
        <v>65</v>
      </c>
      <c r="N236" s="18">
        <v>46097.0</v>
      </c>
      <c r="O236" s="19">
        <f>SUMIF(inventory_snapshot!$B:$B,H236,inventory_snapshot!$E:$E)</f>
        <v>2007</v>
      </c>
      <c r="P236" s="24" t="str">
        <f t="shared" si="2"/>
        <v>OK</v>
      </c>
      <c r="Q236" s="24" t="str">
        <f t="shared" si="3"/>
        <v>OK</v>
      </c>
      <c r="R236" s="24" t="str">
        <f t="shared" si="4"/>
        <v>OK</v>
      </c>
      <c r="S236" s="24" t="str">
        <f t="shared" si="5"/>
        <v>Medium</v>
      </c>
    </row>
    <row r="237" ht="15.75" customHeight="1">
      <c r="A237" s="25" t="s">
        <v>363</v>
      </c>
      <c r="B237" s="26">
        <v>46119.0</v>
      </c>
      <c r="C237" s="25" t="s">
        <v>330</v>
      </c>
      <c r="D237" s="27" t="str">
        <f>IFERROR(VLOOKUP(C237,customer_lookup!$A:$E,2,FALSE),"")</f>
        <v>WA Account 0002</v>
      </c>
      <c r="E237" s="27" t="str">
        <f>IFERROR(VLOOKUP(C237,customer_lookup!$A:$E,3,FALSE),"")</f>
        <v>WA</v>
      </c>
      <c r="F237" s="28" t="str">
        <f>IFERROR(VLOOKUP(C237,customer_lookup!$A:$E,5,FALSE),"")</f>
        <v>Casey</v>
      </c>
      <c r="G237" s="25" t="s">
        <v>67</v>
      </c>
      <c r="H237" s="25" t="s">
        <v>90</v>
      </c>
      <c r="I237" s="27" t="str">
        <f>IFERROR(VLOOKUP(H237,product_lookup!$A:$D,2,FALSE),"")</f>
        <v>Blackberry Sparkling Beverage</v>
      </c>
      <c r="J237" s="29">
        <v>60.0</v>
      </c>
      <c r="K237" s="30">
        <v>7.2</v>
      </c>
      <c r="L237" s="31">
        <f t="shared" si="1"/>
        <v>432</v>
      </c>
      <c r="M237" s="25" t="s">
        <v>65</v>
      </c>
      <c r="N237" s="26">
        <v>46129.0</v>
      </c>
      <c r="O237" s="27">
        <f>SUMIF(inventory_snapshot!$B:$B,H237,inventory_snapshot!$E:$E)</f>
        <v>1292</v>
      </c>
      <c r="P237" s="32" t="str">
        <f t="shared" si="2"/>
        <v>OK</v>
      </c>
      <c r="Q237" s="32" t="str">
        <f t="shared" si="3"/>
        <v>OK</v>
      </c>
      <c r="R237" s="32" t="str">
        <f t="shared" si="4"/>
        <v>OK</v>
      </c>
      <c r="S237" s="32" t="str">
        <f t="shared" si="5"/>
        <v>Small</v>
      </c>
    </row>
    <row r="238" ht="15.75" customHeight="1">
      <c r="A238" s="17" t="s">
        <v>364</v>
      </c>
      <c r="B238" s="18">
        <v>46075.0</v>
      </c>
      <c r="C238" s="17" t="s">
        <v>291</v>
      </c>
      <c r="D238" s="19" t="str">
        <f>IFERROR(VLOOKUP(C238,customer_lookup!$A:$E,2,FALSE),"")</f>
        <v>OK Account 0048</v>
      </c>
      <c r="E238" s="19" t="str">
        <f>IFERROR(VLOOKUP(C238,customer_lookup!$A:$E,3,FALSE),"")</f>
        <v>OK</v>
      </c>
      <c r="F238" s="20" t="str">
        <f>IFERROR(VLOOKUP(C238,customer_lookup!$A:$E,5,FALSE),"")</f>
        <v>Casey</v>
      </c>
      <c r="G238" s="17" t="s">
        <v>67</v>
      </c>
      <c r="H238" s="17" t="s">
        <v>162</v>
      </c>
      <c r="I238" s="19" t="str">
        <f>IFERROR(VLOOKUP(H238,product_lookup!$A:$D,2,FALSE),"")</f>
        <v>Marionberry THC Gummies</v>
      </c>
      <c r="J238" s="21">
        <v>72.0</v>
      </c>
      <c r="K238" s="22">
        <v>10.12</v>
      </c>
      <c r="L238" s="23">
        <f t="shared" si="1"/>
        <v>728.64</v>
      </c>
      <c r="M238" s="17" t="s">
        <v>97</v>
      </c>
      <c r="N238" s="18">
        <v>46082.0</v>
      </c>
      <c r="O238" s="19">
        <f>SUMIF(inventory_snapshot!$B:$B,H238,inventory_snapshot!$E:$E)</f>
        <v>1599</v>
      </c>
      <c r="P238" s="24" t="str">
        <f t="shared" si="2"/>
        <v>OK</v>
      </c>
      <c r="Q238" s="24" t="str">
        <f t="shared" si="3"/>
        <v>OK</v>
      </c>
      <c r="R238" s="24" t="str">
        <f t="shared" si="4"/>
        <v>OK</v>
      </c>
      <c r="S238" s="24" t="str">
        <f t="shared" si="5"/>
        <v>Medium</v>
      </c>
    </row>
    <row r="239" ht="15.75" customHeight="1">
      <c r="A239" s="25" t="s">
        <v>365</v>
      </c>
      <c r="B239" s="26">
        <v>46047.0</v>
      </c>
      <c r="C239" s="25" t="s">
        <v>301</v>
      </c>
      <c r="D239" s="27" t="str">
        <f>IFERROR(VLOOKUP(C239,customer_lookup!$A:$E,2,FALSE),"")</f>
        <v>MI Account 0080</v>
      </c>
      <c r="E239" s="27" t="str">
        <f>IFERROR(VLOOKUP(C239,customer_lookup!$A:$E,3,FALSE),"")</f>
        <v>MI</v>
      </c>
      <c r="F239" s="28" t="str">
        <f>IFERROR(VLOOKUP(C239,customer_lookup!$A:$E,5,FALSE),"")</f>
        <v>Casey</v>
      </c>
      <c r="G239" s="25" t="s">
        <v>63</v>
      </c>
      <c r="H239" s="25" t="s">
        <v>90</v>
      </c>
      <c r="I239" s="27" t="str">
        <f>IFERROR(VLOOKUP(H239,product_lookup!$A:$D,2,FALSE),"")</f>
        <v>Blackberry Sparkling Beverage</v>
      </c>
      <c r="J239" s="29">
        <v>36.0</v>
      </c>
      <c r="K239" s="30">
        <v>6.78</v>
      </c>
      <c r="L239" s="31">
        <f t="shared" si="1"/>
        <v>244.08</v>
      </c>
      <c r="M239" s="25" t="s">
        <v>100</v>
      </c>
      <c r="N239" s="26">
        <v>46050.0</v>
      </c>
      <c r="O239" s="27">
        <f>SUMIF(inventory_snapshot!$B:$B,H239,inventory_snapshot!$E:$E)</f>
        <v>1292</v>
      </c>
      <c r="P239" s="32" t="str">
        <f t="shared" si="2"/>
        <v>OK</v>
      </c>
      <c r="Q239" s="32" t="str">
        <f t="shared" si="3"/>
        <v>OK</v>
      </c>
      <c r="R239" s="32" t="str">
        <f t="shared" si="4"/>
        <v>OK</v>
      </c>
      <c r="S239" s="32" t="str">
        <f t="shared" si="5"/>
        <v>Small</v>
      </c>
    </row>
    <row r="240" ht="15.75" customHeight="1">
      <c r="A240" s="17" t="s">
        <v>366</v>
      </c>
      <c r="B240" s="18">
        <v>46116.0</v>
      </c>
      <c r="C240" s="17" t="s">
        <v>305</v>
      </c>
      <c r="D240" s="19" t="str">
        <f>IFERROR(VLOOKUP(C240,customer_lookup!$A:$E,2,FALSE),"")</f>
        <v>AZ Account 0017</v>
      </c>
      <c r="E240" s="19" t="str">
        <f>IFERROR(VLOOKUP(C240,customer_lookup!$A:$E,3,FALSE),"")</f>
        <v>AZ</v>
      </c>
      <c r="F240" s="20" t="str">
        <f>IFERROR(VLOOKUP(C240,customer_lookup!$A:$E,5,FALSE),"")</f>
        <v>Casey</v>
      </c>
      <c r="G240" s="17" t="s">
        <v>63</v>
      </c>
      <c r="H240" s="17" t="s">
        <v>74</v>
      </c>
      <c r="I240" s="19" t="str">
        <f>IFERROR(VLOOKUP(H240,product_lookup!$A:$D,2,FALSE),"")</f>
        <v>Strawberry 20:1 Gummies</v>
      </c>
      <c r="J240" s="21">
        <v>6.0</v>
      </c>
      <c r="K240" s="22">
        <v>10.89</v>
      </c>
      <c r="L240" s="23">
        <f t="shared" si="1"/>
        <v>65.34</v>
      </c>
      <c r="M240" s="17" t="s">
        <v>97</v>
      </c>
      <c r="N240" s="18">
        <v>46122.0</v>
      </c>
      <c r="O240" s="19">
        <f>SUMIF(inventory_snapshot!$B:$B,H240,inventory_snapshot!$E:$E)</f>
        <v>2294</v>
      </c>
      <c r="P240" s="24" t="str">
        <f t="shared" si="2"/>
        <v>OK</v>
      </c>
      <c r="Q240" s="24" t="str">
        <f t="shared" si="3"/>
        <v>OK</v>
      </c>
      <c r="R240" s="24" t="str">
        <f t="shared" si="4"/>
        <v>OK</v>
      </c>
      <c r="S240" s="24" t="str">
        <f t="shared" si="5"/>
        <v>Small</v>
      </c>
    </row>
    <row r="241" ht="15.75" customHeight="1">
      <c r="A241" s="25" t="s">
        <v>367</v>
      </c>
      <c r="B241" s="26">
        <v>46124.0</v>
      </c>
      <c r="C241" s="25" t="s">
        <v>330</v>
      </c>
      <c r="D241" s="27" t="str">
        <f>IFERROR(VLOOKUP(C241,customer_lookup!$A:$E,2,FALSE),"")</f>
        <v>WA Account 0002</v>
      </c>
      <c r="E241" s="27" t="str">
        <f>IFERROR(VLOOKUP(C241,customer_lookup!$A:$E,3,FALSE),"")</f>
        <v>WA</v>
      </c>
      <c r="F241" s="28" t="str">
        <f>IFERROR(VLOOKUP(C241,customer_lookup!$A:$E,5,FALSE),"")</f>
        <v>Casey</v>
      </c>
      <c r="G241" s="25" t="s">
        <v>63</v>
      </c>
      <c r="H241" s="25" t="s">
        <v>154</v>
      </c>
      <c r="I241" s="27" t="str">
        <f>IFERROR(VLOOKUP(H241,product_lookup!$A:$D,2,FALSE),"")</f>
        <v>Kiwi 1:1 Gummies</v>
      </c>
      <c r="J241" s="29">
        <v>30.0</v>
      </c>
      <c r="K241" s="30">
        <v>10.93</v>
      </c>
      <c r="L241" s="31">
        <f t="shared" si="1"/>
        <v>327.9</v>
      </c>
      <c r="M241" s="25" t="s">
        <v>75</v>
      </c>
      <c r="N241" s="26">
        <v>46125.0</v>
      </c>
      <c r="O241" s="27">
        <f>SUMIF(inventory_snapshot!$B:$B,H241,inventory_snapshot!$E:$E)</f>
        <v>1136</v>
      </c>
      <c r="P241" s="32" t="str">
        <f t="shared" si="2"/>
        <v>OK</v>
      </c>
      <c r="Q241" s="32" t="str">
        <f t="shared" si="3"/>
        <v>OK</v>
      </c>
      <c r="R241" s="32" t="str">
        <f t="shared" si="4"/>
        <v>OK</v>
      </c>
      <c r="S241" s="32" t="str">
        <f t="shared" si="5"/>
        <v>Small</v>
      </c>
    </row>
    <row r="242" ht="15.75" customHeight="1">
      <c r="A242" s="17" t="s">
        <v>368</v>
      </c>
      <c r="B242" s="18">
        <v>46034.0</v>
      </c>
      <c r="C242" s="17" t="s">
        <v>312</v>
      </c>
      <c r="D242" s="19" t="str">
        <f>IFERROR(VLOOKUP(C242,customer_lookup!$A:$E,2,FALSE),"")</f>
        <v>WA Account 0074</v>
      </c>
      <c r="E242" s="19" t="str">
        <f>IFERROR(VLOOKUP(C242,customer_lookup!$A:$E,3,FALSE),"")</f>
        <v>WA</v>
      </c>
      <c r="F242" s="20" t="str">
        <f>IFERROR(VLOOKUP(C242,customer_lookup!$A:$E,5,FALSE),"")</f>
        <v>Casey</v>
      </c>
      <c r="G242" s="17" t="s">
        <v>63</v>
      </c>
      <c r="H242" s="17" t="s">
        <v>190</v>
      </c>
      <c r="I242" s="19" t="str">
        <f>IFERROR(VLOOKUP(H242,product_lookup!$A:$D,2,FALSE),"")</f>
        <v>Mango Sparkling Beverage</v>
      </c>
      <c r="J242" s="21">
        <v>24.0</v>
      </c>
      <c r="K242" s="22">
        <v>7.4</v>
      </c>
      <c r="L242" s="23">
        <f t="shared" si="1"/>
        <v>177.6</v>
      </c>
      <c r="M242" s="17" t="s">
        <v>65</v>
      </c>
      <c r="N242" s="18">
        <v>46040.0</v>
      </c>
      <c r="O242" s="19">
        <f>SUMIF(inventory_snapshot!$B:$B,H242,inventory_snapshot!$E:$E)</f>
        <v>1502</v>
      </c>
      <c r="P242" s="24" t="str">
        <f t="shared" si="2"/>
        <v>OK</v>
      </c>
      <c r="Q242" s="24" t="str">
        <f t="shared" si="3"/>
        <v>OK</v>
      </c>
      <c r="R242" s="24" t="str">
        <f t="shared" si="4"/>
        <v>OK</v>
      </c>
      <c r="S242" s="24" t="str">
        <f t="shared" si="5"/>
        <v>Small</v>
      </c>
    </row>
    <row r="243" ht="15.75" customHeight="1">
      <c r="A243" s="25" t="s">
        <v>369</v>
      </c>
      <c r="B243" s="26">
        <v>46134.0</v>
      </c>
      <c r="C243" s="25" t="s">
        <v>301</v>
      </c>
      <c r="D243" s="27" t="str">
        <f>IFERROR(VLOOKUP(C243,customer_lookup!$A:$E,2,FALSE),"")</f>
        <v>MI Account 0080</v>
      </c>
      <c r="E243" s="27" t="str">
        <f>IFERROR(VLOOKUP(C243,customer_lookup!$A:$E,3,FALSE),"")</f>
        <v>MI</v>
      </c>
      <c r="F243" s="28" t="str">
        <f>IFERROR(VLOOKUP(C243,customer_lookup!$A:$E,5,FALSE),"")</f>
        <v>Casey</v>
      </c>
      <c r="G243" s="25" t="s">
        <v>63</v>
      </c>
      <c r="H243" s="25" t="s">
        <v>85</v>
      </c>
      <c r="I243" s="27" t="str">
        <f>IFERROR(VLOOKUP(H243,product_lookup!$A:$D,2,FALSE),"")</f>
        <v>Huckleberry THC Gummies</v>
      </c>
      <c r="J243" s="29">
        <v>30.0</v>
      </c>
      <c r="K243" s="30">
        <v>9.25</v>
      </c>
      <c r="L243" s="31">
        <f t="shared" si="1"/>
        <v>277.5</v>
      </c>
      <c r="M243" s="25" t="s">
        <v>65</v>
      </c>
      <c r="N243" s="26">
        <v>46142.0</v>
      </c>
      <c r="O243" s="27">
        <f>SUMIF(inventory_snapshot!$B:$B,H243,inventory_snapshot!$E:$E)</f>
        <v>1841</v>
      </c>
      <c r="P243" s="32" t="str">
        <f t="shared" si="2"/>
        <v>OK</v>
      </c>
      <c r="Q243" s="32" t="str">
        <f t="shared" si="3"/>
        <v>OK</v>
      </c>
      <c r="R243" s="32" t="str">
        <f t="shared" si="4"/>
        <v>OK</v>
      </c>
      <c r="S243" s="32" t="str">
        <f t="shared" si="5"/>
        <v>Small</v>
      </c>
    </row>
    <row r="244" ht="15.75" customHeight="1">
      <c r="A244" s="17" t="s">
        <v>370</v>
      </c>
      <c r="B244" s="18">
        <v>46029.0</v>
      </c>
      <c r="C244" s="17" t="s">
        <v>301</v>
      </c>
      <c r="D244" s="19" t="str">
        <f>IFERROR(VLOOKUP(C244,customer_lookup!$A:$E,2,FALSE),"")</f>
        <v>MI Account 0080</v>
      </c>
      <c r="E244" s="19" t="str">
        <f>IFERROR(VLOOKUP(C244,customer_lookup!$A:$E,3,FALSE),"")</f>
        <v>MI</v>
      </c>
      <c r="F244" s="20" t="str">
        <f>IFERROR(VLOOKUP(C244,customer_lookup!$A:$E,5,FALSE),"")</f>
        <v>Casey</v>
      </c>
      <c r="G244" s="17" t="s">
        <v>63</v>
      </c>
      <c r="H244" s="17" t="s">
        <v>115</v>
      </c>
      <c r="I244" s="19" t="str">
        <f>IFERROR(VLOOKUP(H244,product_lookup!$A:$D,2,FALSE),"")</f>
        <v>Pear 1:1 Gummies</v>
      </c>
      <c r="J244" s="21">
        <v>60.0</v>
      </c>
      <c r="K244" s="22">
        <v>11.6</v>
      </c>
      <c r="L244" s="23">
        <f t="shared" si="1"/>
        <v>696</v>
      </c>
      <c r="M244" s="17" t="s">
        <v>100</v>
      </c>
      <c r="N244" s="18">
        <v>46034.0</v>
      </c>
      <c r="O244" s="19">
        <f>SUMIF(inventory_snapshot!$B:$B,H244,inventory_snapshot!$E:$E)</f>
        <v>981</v>
      </c>
      <c r="P244" s="24" t="str">
        <f t="shared" si="2"/>
        <v>OK</v>
      </c>
      <c r="Q244" s="24" t="str">
        <f t="shared" si="3"/>
        <v>OK</v>
      </c>
      <c r="R244" s="24" t="str">
        <f t="shared" si="4"/>
        <v>OK</v>
      </c>
      <c r="S244" s="24" t="str">
        <f t="shared" si="5"/>
        <v>Medium</v>
      </c>
    </row>
    <row r="245" ht="15.75" customHeight="1">
      <c r="A245" s="25" t="s">
        <v>371</v>
      </c>
      <c r="B245" s="26">
        <v>46092.0</v>
      </c>
      <c r="C245" s="25" t="s">
        <v>326</v>
      </c>
      <c r="D245" s="27" t="str">
        <f>IFERROR(VLOOKUP(C245,customer_lookup!$A:$E,2,FALSE),"")</f>
        <v>IL Account 0043</v>
      </c>
      <c r="E245" s="27" t="str">
        <f>IFERROR(VLOOKUP(C245,customer_lookup!$A:$E,3,FALSE),"")</f>
        <v>IL</v>
      </c>
      <c r="F245" s="28" t="str">
        <f>IFERROR(VLOOKUP(C245,customer_lookup!$A:$E,5,FALSE),"")</f>
        <v>Casey</v>
      </c>
      <c r="G245" s="25" t="s">
        <v>63</v>
      </c>
      <c r="H245" s="25" t="s">
        <v>74</v>
      </c>
      <c r="I245" s="27" t="str">
        <f>IFERROR(VLOOKUP(H245,product_lookup!$A:$D,2,FALSE),"")</f>
        <v>Strawberry 20:1 Gummies</v>
      </c>
      <c r="J245" s="29">
        <v>18.0</v>
      </c>
      <c r="K245" s="30">
        <v>10.83</v>
      </c>
      <c r="L245" s="31">
        <f t="shared" si="1"/>
        <v>194.94</v>
      </c>
      <c r="M245" s="25" t="s">
        <v>97</v>
      </c>
      <c r="N245" s="26">
        <v>46096.0</v>
      </c>
      <c r="O245" s="27">
        <f>SUMIF(inventory_snapshot!$B:$B,H245,inventory_snapshot!$E:$E)</f>
        <v>2294</v>
      </c>
      <c r="P245" s="32" t="str">
        <f t="shared" si="2"/>
        <v>OK</v>
      </c>
      <c r="Q245" s="32" t="str">
        <f t="shared" si="3"/>
        <v>OK</v>
      </c>
      <c r="R245" s="32" t="str">
        <f t="shared" si="4"/>
        <v>OK</v>
      </c>
      <c r="S245" s="32" t="str">
        <f t="shared" si="5"/>
        <v>Small</v>
      </c>
    </row>
    <row r="246" ht="15.75" customHeight="1">
      <c r="A246" s="17" t="s">
        <v>372</v>
      </c>
      <c r="B246" s="18">
        <v>46061.0</v>
      </c>
      <c r="C246" s="17" t="s">
        <v>297</v>
      </c>
      <c r="D246" s="19" t="str">
        <f>IFERROR(VLOOKUP(C246,customer_lookup!$A:$E,2,FALSE),"")</f>
        <v>AZ Account 0053</v>
      </c>
      <c r="E246" s="19" t="str">
        <f>IFERROR(VLOOKUP(C246,customer_lookup!$A:$E,3,FALSE),"")</f>
        <v>AZ</v>
      </c>
      <c r="F246" s="20" t="str">
        <f>IFERROR(VLOOKUP(C246,customer_lookup!$A:$E,5,FALSE),"")</f>
        <v>Casey</v>
      </c>
      <c r="G246" s="17" t="s">
        <v>63</v>
      </c>
      <c r="H246" s="17" t="s">
        <v>108</v>
      </c>
      <c r="I246" s="19" t="str">
        <f>IFERROR(VLOOKUP(H246,product_lookup!$A:$D,2,FALSE),"")</f>
        <v>Sour Tangerine THC Gummies</v>
      </c>
      <c r="J246" s="21">
        <v>60.0</v>
      </c>
      <c r="K246" s="22">
        <v>11.28</v>
      </c>
      <c r="L246" s="23">
        <f t="shared" si="1"/>
        <v>676.8</v>
      </c>
      <c r="M246" s="17" t="s">
        <v>65</v>
      </c>
      <c r="N246" s="18">
        <v>46066.0</v>
      </c>
      <c r="O246" s="19">
        <f>SUMIF(inventory_snapshot!$B:$B,H246,inventory_snapshot!$E:$E)</f>
        <v>1679</v>
      </c>
      <c r="P246" s="24" t="str">
        <f t="shared" si="2"/>
        <v>OK</v>
      </c>
      <c r="Q246" s="24" t="str">
        <f t="shared" si="3"/>
        <v>OK</v>
      </c>
      <c r="R246" s="24" t="str">
        <f t="shared" si="4"/>
        <v>OK</v>
      </c>
      <c r="S246" s="24" t="str">
        <f t="shared" si="5"/>
        <v>Medium</v>
      </c>
    </row>
    <row r="247" ht="15.75" customHeight="1">
      <c r="A247" s="25" t="s">
        <v>373</v>
      </c>
      <c r="B247" s="26">
        <v>46026.0</v>
      </c>
      <c r="C247" s="25" t="s">
        <v>305</v>
      </c>
      <c r="D247" s="27" t="str">
        <f>IFERROR(VLOOKUP(C247,customer_lookup!$A:$E,2,FALSE),"")</f>
        <v>AZ Account 0017</v>
      </c>
      <c r="E247" s="27" t="str">
        <f>IFERROR(VLOOKUP(C247,customer_lookup!$A:$E,3,FALSE),"")</f>
        <v>AZ</v>
      </c>
      <c r="F247" s="28" t="str">
        <f>IFERROR(VLOOKUP(C247,customer_lookup!$A:$E,5,FALSE),"")</f>
        <v>Casey</v>
      </c>
      <c r="G247" s="25" t="s">
        <v>63</v>
      </c>
      <c r="H247" s="25" t="s">
        <v>154</v>
      </c>
      <c r="I247" s="27" t="str">
        <f>IFERROR(VLOOKUP(H247,product_lookup!$A:$D,2,FALSE),"")</f>
        <v>Kiwi 1:1 Gummies</v>
      </c>
      <c r="J247" s="29">
        <v>96.0</v>
      </c>
      <c r="K247" s="30">
        <v>11.0</v>
      </c>
      <c r="L247" s="31">
        <f t="shared" si="1"/>
        <v>1056</v>
      </c>
      <c r="M247" s="25" t="s">
        <v>65</v>
      </c>
      <c r="N247" s="26">
        <v>46036.0</v>
      </c>
      <c r="O247" s="27">
        <f>SUMIF(inventory_snapshot!$B:$B,H247,inventory_snapshot!$E:$E)</f>
        <v>1136</v>
      </c>
      <c r="P247" s="32" t="str">
        <f t="shared" si="2"/>
        <v>OK</v>
      </c>
      <c r="Q247" s="32" t="str">
        <f t="shared" si="3"/>
        <v>OK</v>
      </c>
      <c r="R247" s="32" t="str">
        <f t="shared" si="4"/>
        <v>OK</v>
      </c>
      <c r="S247" s="32" t="str">
        <f t="shared" si="5"/>
        <v>Large</v>
      </c>
    </row>
    <row r="248" ht="15.75" customHeight="1">
      <c r="A248" s="17" t="s">
        <v>374</v>
      </c>
      <c r="B248" s="18">
        <v>46091.0</v>
      </c>
      <c r="C248" s="17" t="s">
        <v>312</v>
      </c>
      <c r="D248" s="19" t="str">
        <f>IFERROR(VLOOKUP(C248,customer_lookup!$A:$E,2,FALSE),"")</f>
        <v>WA Account 0074</v>
      </c>
      <c r="E248" s="19" t="str">
        <f>IFERROR(VLOOKUP(C248,customer_lookup!$A:$E,3,FALSE),"")</f>
        <v>WA</v>
      </c>
      <c r="F248" s="20" t="str">
        <f>IFERROR(VLOOKUP(C248,customer_lookup!$A:$E,5,FALSE),"")</f>
        <v>Casey</v>
      </c>
      <c r="G248" s="17" t="s">
        <v>63</v>
      </c>
      <c r="H248" s="17" t="s">
        <v>71</v>
      </c>
      <c r="I248" s="19" t="str">
        <f>IFERROR(VLOOKUP(H248,product_lookup!$A:$D,2,FALSE),"")</f>
        <v>Pineapple Sparkling Beverage</v>
      </c>
      <c r="J248" s="21">
        <v>72.0</v>
      </c>
      <c r="K248" s="22">
        <v>7.97</v>
      </c>
      <c r="L248" s="23">
        <f t="shared" si="1"/>
        <v>573.84</v>
      </c>
      <c r="M248" s="17" t="s">
        <v>65</v>
      </c>
      <c r="N248" s="18">
        <v>46093.0</v>
      </c>
      <c r="O248" s="19">
        <f>SUMIF(inventory_snapshot!$B:$B,H248,inventory_snapshot!$E:$E)</f>
        <v>1145</v>
      </c>
      <c r="P248" s="24" t="str">
        <f t="shared" si="2"/>
        <v>OK</v>
      </c>
      <c r="Q248" s="24" t="str">
        <f t="shared" si="3"/>
        <v>OK</v>
      </c>
      <c r="R248" s="24" t="str">
        <f t="shared" si="4"/>
        <v>OK</v>
      </c>
      <c r="S248" s="24" t="str">
        <f t="shared" si="5"/>
        <v>Medium</v>
      </c>
    </row>
    <row r="249" ht="15.75" customHeight="1">
      <c r="A249" s="25" t="s">
        <v>375</v>
      </c>
      <c r="B249" s="26">
        <v>46040.0</v>
      </c>
      <c r="C249" s="25" t="s">
        <v>314</v>
      </c>
      <c r="D249" s="27" t="str">
        <f>IFERROR(VLOOKUP(C249,customer_lookup!$A:$E,2,FALSE),"")</f>
        <v>IL Account 0115</v>
      </c>
      <c r="E249" s="27" t="str">
        <f>IFERROR(VLOOKUP(C249,customer_lookup!$A:$E,3,FALSE),"")</f>
        <v>IL</v>
      </c>
      <c r="F249" s="28" t="str">
        <f>IFERROR(VLOOKUP(C249,customer_lookup!$A:$E,5,FALSE),"")</f>
        <v>Casey</v>
      </c>
      <c r="G249" s="25" t="s">
        <v>63</v>
      </c>
      <c r="H249" s="25" t="s">
        <v>81</v>
      </c>
      <c r="I249" s="27" t="str">
        <f>IFERROR(VLOOKUP(H249,product_lookup!$A:$D,2,FALSE),"")</f>
        <v>Lemon Sparkling Beverage</v>
      </c>
      <c r="J249" s="29">
        <v>48.0</v>
      </c>
      <c r="K249" s="30">
        <v>7.12</v>
      </c>
      <c r="L249" s="31">
        <f t="shared" si="1"/>
        <v>341.76</v>
      </c>
      <c r="M249" s="25" t="s">
        <v>137</v>
      </c>
      <c r="N249" s="26">
        <v>46050.0</v>
      </c>
      <c r="O249" s="27">
        <f>SUMIF(inventory_snapshot!$B:$B,H249,inventory_snapshot!$E:$E)</f>
        <v>1360</v>
      </c>
      <c r="P249" s="32" t="str">
        <f t="shared" si="2"/>
        <v>OK</v>
      </c>
      <c r="Q249" s="32" t="str">
        <f t="shared" si="3"/>
        <v>OK</v>
      </c>
      <c r="R249" s="32" t="str">
        <f t="shared" si="4"/>
        <v>OK</v>
      </c>
      <c r="S249" s="32" t="str">
        <f t="shared" si="5"/>
        <v>Small</v>
      </c>
    </row>
    <row r="250" ht="15.75" customHeight="1">
      <c r="A250" s="17" t="s">
        <v>376</v>
      </c>
      <c r="B250" s="18">
        <v>46127.0</v>
      </c>
      <c r="C250" s="17" t="s">
        <v>301</v>
      </c>
      <c r="D250" s="19" t="str">
        <f>IFERROR(VLOOKUP(C250,customer_lookup!$A:$E,2,FALSE),"")</f>
        <v>MI Account 0080</v>
      </c>
      <c r="E250" s="19" t="str">
        <f>IFERROR(VLOOKUP(C250,customer_lookup!$A:$E,3,FALSE),"")</f>
        <v>MI</v>
      </c>
      <c r="F250" s="20" t="str">
        <f>IFERROR(VLOOKUP(C250,customer_lookup!$A:$E,5,FALSE),"")</f>
        <v>Casey</v>
      </c>
      <c r="G250" s="17" t="s">
        <v>67</v>
      </c>
      <c r="H250" s="17" t="s">
        <v>81</v>
      </c>
      <c r="I250" s="19" t="str">
        <f>IFERROR(VLOOKUP(H250,product_lookup!$A:$D,2,FALSE),"")</f>
        <v>Lemon Sparkling Beverage</v>
      </c>
      <c r="J250" s="21">
        <v>24.0</v>
      </c>
      <c r="K250" s="22">
        <v>6.6</v>
      </c>
      <c r="L250" s="23">
        <f t="shared" si="1"/>
        <v>158.4</v>
      </c>
      <c r="M250" s="17" t="s">
        <v>97</v>
      </c>
      <c r="N250" s="18">
        <v>46128.0</v>
      </c>
      <c r="O250" s="19">
        <f>SUMIF(inventory_snapshot!$B:$B,H250,inventory_snapshot!$E:$E)</f>
        <v>1360</v>
      </c>
      <c r="P250" s="24" t="str">
        <f t="shared" si="2"/>
        <v>OK</v>
      </c>
      <c r="Q250" s="24" t="str">
        <f t="shared" si="3"/>
        <v>OK</v>
      </c>
      <c r="R250" s="24" t="str">
        <f t="shared" si="4"/>
        <v>OK</v>
      </c>
      <c r="S250" s="24" t="str">
        <f t="shared" si="5"/>
        <v>Small</v>
      </c>
    </row>
    <row r="251" ht="15.75" customHeight="1">
      <c r="A251" s="25" t="s">
        <v>377</v>
      </c>
      <c r="B251" s="26">
        <v>46061.0</v>
      </c>
      <c r="C251" s="25" t="s">
        <v>312</v>
      </c>
      <c r="D251" s="27" t="str">
        <f>IFERROR(VLOOKUP(C251,customer_lookup!$A:$E,2,FALSE),"")</f>
        <v>WA Account 0074</v>
      </c>
      <c r="E251" s="27" t="str">
        <f>IFERROR(VLOOKUP(C251,customer_lookup!$A:$E,3,FALSE),"")</f>
        <v>WA</v>
      </c>
      <c r="F251" s="28" t="str">
        <f>IFERROR(VLOOKUP(C251,customer_lookup!$A:$E,5,FALSE),"")</f>
        <v>Casey</v>
      </c>
      <c r="G251" s="25" t="s">
        <v>63</v>
      </c>
      <c r="H251" s="25" t="s">
        <v>71</v>
      </c>
      <c r="I251" s="27" t="str">
        <f>IFERROR(VLOOKUP(H251,product_lookup!$A:$D,2,FALSE),"")</f>
        <v>Pineapple Sparkling Beverage</v>
      </c>
      <c r="J251" s="29">
        <v>36.0</v>
      </c>
      <c r="K251" s="30">
        <v>8.4</v>
      </c>
      <c r="L251" s="31">
        <f t="shared" si="1"/>
        <v>302.4</v>
      </c>
      <c r="M251" s="25" t="s">
        <v>100</v>
      </c>
      <c r="N251" s="26">
        <v>46064.0</v>
      </c>
      <c r="O251" s="27">
        <f>SUMIF(inventory_snapshot!$B:$B,H251,inventory_snapshot!$E:$E)</f>
        <v>1145</v>
      </c>
      <c r="P251" s="32" t="str">
        <f t="shared" si="2"/>
        <v>OK</v>
      </c>
      <c r="Q251" s="32" t="str">
        <f t="shared" si="3"/>
        <v>OK</v>
      </c>
      <c r="R251" s="32" t="str">
        <f t="shared" si="4"/>
        <v>OK</v>
      </c>
      <c r="S251" s="32" t="str">
        <f t="shared" si="5"/>
        <v>Small</v>
      </c>
    </row>
    <row r="252" ht="15.75" customHeight="1">
      <c r="A252" s="17" t="s">
        <v>378</v>
      </c>
      <c r="B252" s="18">
        <v>46127.0</v>
      </c>
      <c r="C252" s="17" t="s">
        <v>291</v>
      </c>
      <c r="D252" s="19" t="str">
        <f>IFERROR(VLOOKUP(C252,customer_lookup!$A:$E,2,FALSE),"")</f>
        <v>OK Account 0048</v>
      </c>
      <c r="E252" s="19" t="str">
        <f>IFERROR(VLOOKUP(C252,customer_lookup!$A:$E,3,FALSE),"")</f>
        <v>OK</v>
      </c>
      <c r="F252" s="20" t="str">
        <f>IFERROR(VLOOKUP(C252,customer_lookup!$A:$E,5,FALSE),"")</f>
        <v>Casey</v>
      </c>
      <c r="G252" s="17" t="s">
        <v>63</v>
      </c>
      <c r="H252" s="17" t="s">
        <v>106</v>
      </c>
      <c r="I252" s="19" t="str">
        <f>IFERROR(VLOOKUP(H252,product_lookup!$A:$D,2,FALSE),"")</f>
        <v>Sour Cherry THC Gummies</v>
      </c>
      <c r="J252" s="21">
        <v>12.0</v>
      </c>
      <c r="K252" s="22">
        <v>11.31</v>
      </c>
      <c r="L252" s="23">
        <f t="shared" si="1"/>
        <v>135.72</v>
      </c>
      <c r="M252" s="17" t="s">
        <v>65</v>
      </c>
      <c r="N252" s="18">
        <v>46135.0</v>
      </c>
      <c r="O252" s="19">
        <f>SUMIF(inventory_snapshot!$B:$B,H252,inventory_snapshot!$E:$E)</f>
        <v>1313</v>
      </c>
      <c r="P252" s="24" t="str">
        <f t="shared" si="2"/>
        <v>OK</v>
      </c>
      <c r="Q252" s="24" t="str">
        <f t="shared" si="3"/>
        <v>OK</v>
      </c>
      <c r="R252" s="24" t="str">
        <f t="shared" si="4"/>
        <v>OK</v>
      </c>
      <c r="S252" s="24" t="str">
        <f t="shared" si="5"/>
        <v>Small</v>
      </c>
    </row>
    <row r="253" ht="15.75" customHeight="1">
      <c r="A253" s="25" t="s">
        <v>379</v>
      </c>
      <c r="B253" s="26">
        <v>46068.0</v>
      </c>
      <c r="C253" s="25" t="s">
        <v>312</v>
      </c>
      <c r="D253" s="27" t="str">
        <f>IFERROR(VLOOKUP(C253,customer_lookup!$A:$E,2,FALSE),"")</f>
        <v>WA Account 0074</v>
      </c>
      <c r="E253" s="27" t="str">
        <f>IFERROR(VLOOKUP(C253,customer_lookup!$A:$E,3,FALSE),"")</f>
        <v>WA</v>
      </c>
      <c r="F253" s="28" t="str">
        <f>IFERROR(VLOOKUP(C253,customer_lookup!$A:$E,5,FALSE),"")</f>
        <v>Casey</v>
      </c>
      <c r="G253" s="25" t="s">
        <v>67</v>
      </c>
      <c r="H253" s="25" t="s">
        <v>71</v>
      </c>
      <c r="I253" s="27" t="str">
        <f>IFERROR(VLOOKUP(H253,product_lookup!$A:$D,2,FALSE),"")</f>
        <v>Pineapple Sparkling Beverage</v>
      </c>
      <c r="J253" s="29">
        <v>18.0</v>
      </c>
      <c r="K253" s="30">
        <v>7.93</v>
      </c>
      <c r="L253" s="31">
        <f t="shared" si="1"/>
        <v>142.74</v>
      </c>
      <c r="M253" s="25" t="s">
        <v>65</v>
      </c>
      <c r="N253" s="26">
        <v>46076.0</v>
      </c>
      <c r="O253" s="27">
        <f>SUMIF(inventory_snapshot!$B:$B,H253,inventory_snapshot!$E:$E)</f>
        <v>1145</v>
      </c>
      <c r="P253" s="32" t="str">
        <f t="shared" si="2"/>
        <v>OK</v>
      </c>
      <c r="Q253" s="32" t="str">
        <f t="shared" si="3"/>
        <v>OK</v>
      </c>
      <c r="R253" s="32" t="str">
        <f t="shared" si="4"/>
        <v>OK</v>
      </c>
      <c r="S253" s="32" t="str">
        <f t="shared" si="5"/>
        <v>Small</v>
      </c>
    </row>
    <row r="254" ht="15.75" customHeight="1">
      <c r="A254" s="17" t="s">
        <v>380</v>
      </c>
      <c r="B254" s="18">
        <v>46031.0</v>
      </c>
      <c r="C254" s="17" t="s">
        <v>326</v>
      </c>
      <c r="D254" s="19" t="str">
        <f>IFERROR(VLOOKUP(C254,customer_lookup!$A:$E,2,FALSE),"")</f>
        <v>IL Account 0043</v>
      </c>
      <c r="E254" s="19" t="str">
        <f>IFERROR(VLOOKUP(C254,customer_lookup!$A:$E,3,FALSE),"")</f>
        <v>IL</v>
      </c>
      <c r="F254" s="20" t="str">
        <f>IFERROR(VLOOKUP(C254,customer_lookup!$A:$E,5,FALSE),"")</f>
        <v>Casey</v>
      </c>
      <c r="G254" s="17" t="s">
        <v>89</v>
      </c>
      <c r="H254" s="17" t="s">
        <v>68</v>
      </c>
      <c r="I254" s="19" t="str">
        <f>IFERROR(VLOOKUP(H254,product_lookup!$A:$D,2,FALSE),"")</f>
        <v>Sour Apple THC Gummies</v>
      </c>
      <c r="J254" s="21">
        <v>18.0</v>
      </c>
      <c r="K254" s="22">
        <v>10.04</v>
      </c>
      <c r="L254" s="23">
        <f t="shared" si="1"/>
        <v>180.72</v>
      </c>
      <c r="M254" s="17" t="s">
        <v>100</v>
      </c>
      <c r="N254" s="18">
        <v>46040.0</v>
      </c>
      <c r="O254" s="19">
        <f>SUMIF(inventory_snapshot!$B:$B,H254,inventory_snapshot!$E:$E)</f>
        <v>775</v>
      </c>
      <c r="P254" s="24" t="str">
        <f t="shared" si="2"/>
        <v>OK</v>
      </c>
      <c r="Q254" s="24" t="str">
        <f t="shared" si="3"/>
        <v>OK</v>
      </c>
      <c r="R254" s="24" t="str">
        <f t="shared" si="4"/>
        <v>OK</v>
      </c>
      <c r="S254" s="24" t="str">
        <f t="shared" si="5"/>
        <v>Small</v>
      </c>
    </row>
    <row r="255" ht="15.75" customHeight="1">
      <c r="A255" s="25" t="s">
        <v>381</v>
      </c>
      <c r="B255" s="26">
        <v>46122.0</v>
      </c>
      <c r="C255" s="25" t="s">
        <v>310</v>
      </c>
      <c r="D255" s="27" t="str">
        <f>IFERROR(VLOOKUP(C255,customer_lookup!$A:$E,2,FALSE),"")</f>
        <v>AZ Account 0101</v>
      </c>
      <c r="E255" s="27" t="str">
        <f>IFERROR(VLOOKUP(C255,customer_lookup!$A:$E,3,FALSE),"")</f>
        <v>AZ</v>
      </c>
      <c r="F255" s="28" t="str">
        <f>IFERROR(VLOOKUP(C255,customer_lookup!$A:$E,5,FALSE),"")</f>
        <v>Casey</v>
      </c>
      <c r="G255" s="25" t="s">
        <v>63</v>
      </c>
      <c r="H255" s="25" t="s">
        <v>95</v>
      </c>
      <c r="I255" s="27" t="str">
        <f>IFERROR(VLOOKUP(H255,product_lookup!$A:$D,2,FALSE),"")</f>
        <v>Boysenberry 1:1:1 Gummies</v>
      </c>
      <c r="J255" s="29">
        <v>24.0</v>
      </c>
      <c r="K255" s="30">
        <v>11.37</v>
      </c>
      <c r="L255" s="31">
        <f t="shared" si="1"/>
        <v>272.88</v>
      </c>
      <c r="M255" s="25" t="s">
        <v>75</v>
      </c>
      <c r="N255" s="26">
        <v>46130.0</v>
      </c>
      <c r="O255" s="27">
        <f>SUMIF(inventory_snapshot!$B:$B,H255,inventory_snapshot!$E:$E)</f>
        <v>2007</v>
      </c>
      <c r="P255" s="32" t="str">
        <f t="shared" si="2"/>
        <v>OK</v>
      </c>
      <c r="Q255" s="32" t="str">
        <f t="shared" si="3"/>
        <v>OK</v>
      </c>
      <c r="R255" s="32" t="str">
        <f t="shared" si="4"/>
        <v>OK</v>
      </c>
      <c r="S255" s="32" t="str">
        <f t="shared" si="5"/>
        <v>Small</v>
      </c>
    </row>
    <row r="256" ht="15.75" customHeight="1">
      <c r="A256" s="17" t="s">
        <v>382</v>
      </c>
      <c r="B256" s="18">
        <v>46058.0</v>
      </c>
      <c r="C256" s="17" t="s">
        <v>305</v>
      </c>
      <c r="D256" s="19" t="str">
        <f>IFERROR(VLOOKUP(C256,customer_lookup!$A:$E,2,FALSE),"")</f>
        <v>AZ Account 0017</v>
      </c>
      <c r="E256" s="19" t="str">
        <f>IFERROR(VLOOKUP(C256,customer_lookup!$A:$E,3,FALSE),"")</f>
        <v>AZ</v>
      </c>
      <c r="F256" s="20" t="str">
        <f>IFERROR(VLOOKUP(C256,customer_lookup!$A:$E,5,FALSE),"")</f>
        <v>Casey</v>
      </c>
      <c r="G256" s="17" t="s">
        <v>63</v>
      </c>
      <c r="H256" s="17" t="s">
        <v>71</v>
      </c>
      <c r="I256" s="19" t="str">
        <f>IFERROR(VLOOKUP(H256,product_lookup!$A:$D,2,FALSE),"")</f>
        <v>Pineapple Sparkling Beverage</v>
      </c>
      <c r="J256" s="21">
        <v>30.0</v>
      </c>
      <c r="K256" s="22">
        <v>8.3</v>
      </c>
      <c r="L256" s="23">
        <f t="shared" si="1"/>
        <v>249</v>
      </c>
      <c r="M256" s="17" t="s">
        <v>100</v>
      </c>
      <c r="N256" s="18">
        <v>46061.0</v>
      </c>
      <c r="O256" s="19">
        <f>SUMIF(inventory_snapshot!$B:$B,H256,inventory_snapshot!$E:$E)</f>
        <v>1145</v>
      </c>
      <c r="P256" s="24" t="str">
        <f t="shared" si="2"/>
        <v>OK</v>
      </c>
      <c r="Q256" s="24" t="str">
        <f t="shared" si="3"/>
        <v>OK</v>
      </c>
      <c r="R256" s="24" t="str">
        <f t="shared" si="4"/>
        <v>OK</v>
      </c>
      <c r="S256" s="24" t="str">
        <f t="shared" si="5"/>
        <v>Small</v>
      </c>
    </row>
    <row r="257" ht="15.75" customHeight="1">
      <c r="A257" s="25" t="s">
        <v>383</v>
      </c>
      <c r="B257" s="26">
        <v>46141.0</v>
      </c>
      <c r="C257" s="25" t="s">
        <v>330</v>
      </c>
      <c r="D257" s="27" t="str">
        <f>IFERROR(VLOOKUP(C257,customer_lookup!$A:$E,2,FALSE),"")</f>
        <v>WA Account 0002</v>
      </c>
      <c r="E257" s="27" t="str">
        <f>IFERROR(VLOOKUP(C257,customer_lookup!$A:$E,3,FALSE),"")</f>
        <v>WA</v>
      </c>
      <c r="F257" s="28" t="str">
        <f>IFERROR(VLOOKUP(C257,customer_lookup!$A:$E,5,FALSE),"")</f>
        <v>Casey</v>
      </c>
      <c r="G257" s="25" t="s">
        <v>63</v>
      </c>
      <c r="H257" s="25" t="s">
        <v>102</v>
      </c>
      <c r="I257" s="27" t="str">
        <f>IFERROR(VLOOKUP(H257,product_lookup!$A:$D,2,FALSE),"")</f>
        <v>Pomegranate 1:1 Gummies</v>
      </c>
      <c r="J257" s="29">
        <v>60.0</v>
      </c>
      <c r="K257" s="30">
        <v>10.74</v>
      </c>
      <c r="L257" s="31">
        <f t="shared" si="1"/>
        <v>644.4</v>
      </c>
      <c r="M257" s="25" t="s">
        <v>97</v>
      </c>
      <c r="N257" s="26">
        <v>46142.0</v>
      </c>
      <c r="O257" s="27">
        <f>SUMIF(inventory_snapshot!$B:$B,H257,inventory_snapshot!$E:$E)</f>
        <v>1493</v>
      </c>
      <c r="P257" s="32" t="str">
        <f t="shared" si="2"/>
        <v>OK</v>
      </c>
      <c r="Q257" s="32" t="str">
        <f t="shared" si="3"/>
        <v>OK</v>
      </c>
      <c r="R257" s="32" t="str">
        <f t="shared" si="4"/>
        <v>OK</v>
      </c>
      <c r="S257" s="32" t="str">
        <f t="shared" si="5"/>
        <v>Medium</v>
      </c>
    </row>
    <row r="258" ht="15.75" customHeight="1">
      <c r="A258" s="17" t="s">
        <v>384</v>
      </c>
      <c r="B258" s="18">
        <v>46024.0</v>
      </c>
      <c r="C258" s="17" t="s">
        <v>330</v>
      </c>
      <c r="D258" s="19" t="str">
        <f>IFERROR(VLOOKUP(C258,customer_lookup!$A:$E,2,FALSE),"")</f>
        <v>WA Account 0002</v>
      </c>
      <c r="E258" s="19" t="str">
        <f>IFERROR(VLOOKUP(C258,customer_lookup!$A:$E,3,FALSE),"")</f>
        <v>WA</v>
      </c>
      <c r="F258" s="20" t="str">
        <f>IFERROR(VLOOKUP(C258,customer_lookup!$A:$E,5,FALSE),"")</f>
        <v>Casey</v>
      </c>
      <c r="G258" s="17" t="s">
        <v>63</v>
      </c>
      <c r="H258" s="17" t="s">
        <v>110</v>
      </c>
      <c r="I258" s="19" t="str">
        <f>IFERROR(VLOOKUP(H258,product_lookup!$A:$D,2,FALSE),"")</f>
        <v>Elderberry 2:1 Gummies</v>
      </c>
      <c r="J258" s="21">
        <v>48.0</v>
      </c>
      <c r="K258" s="22">
        <v>10.11</v>
      </c>
      <c r="L258" s="23">
        <f t="shared" si="1"/>
        <v>485.28</v>
      </c>
      <c r="M258" s="17" t="s">
        <v>100</v>
      </c>
      <c r="N258" s="18">
        <v>46028.0</v>
      </c>
      <c r="O258" s="19">
        <f>SUMIF(inventory_snapshot!$B:$B,H258,inventory_snapshot!$E:$E)</f>
        <v>1633</v>
      </c>
      <c r="P258" s="24" t="str">
        <f t="shared" si="2"/>
        <v>OK</v>
      </c>
      <c r="Q258" s="24" t="str">
        <f t="shared" si="3"/>
        <v>OK</v>
      </c>
      <c r="R258" s="24" t="str">
        <f t="shared" si="4"/>
        <v>OK</v>
      </c>
      <c r="S258" s="24" t="str">
        <f t="shared" si="5"/>
        <v>Small</v>
      </c>
    </row>
    <row r="259" ht="15.75" customHeight="1">
      <c r="A259" s="25" t="s">
        <v>385</v>
      </c>
      <c r="B259" s="26">
        <v>46122.0</v>
      </c>
      <c r="C259" s="25" t="s">
        <v>312</v>
      </c>
      <c r="D259" s="27" t="str">
        <f>IFERROR(VLOOKUP(C259,customer_lookup!$A:$E,2,FALSE),"")</f>
        <v>WA Account 0074</v>
      </c>
      <c r="E259" s="27" t="str">
        <f>IFERROR(VLOOKUP(C259,customer_lookup!$A:$E,3,FALSE),"")</f>
        <v>WA</v>
      </c>
      <c r="F259" s="28" t="str">
        <f>IFERROR(VLOOKUP(C259,customer_lookup!$A:$E,5,FALSE),"")</f>
        <v>Casey</v>
      </c>
      <c r="G259" s="25" t="s">
        <v>67</v>
      </c>
      <c r="H259" s="25" t="s">
        <v>115</v>
      </c>
      <c r="I259" s="27" t="str">
        <f>IFERROR(VLOOKUP(H259,product_lookup!$A:$D,2,FALSE),"")</f>
        <v>Pear 1:1 Gummies</v>
      </c>
      <c r="J259" s="29">
        <v>60.0</v>
      </c>
      <c r="K259" s="30">
        <v>10.17</v>
      </c>
      <c r="L259" s="31">
        <f t="shared" si="1"/>
        <v>610.2</v>
      </c>
      <c r="M259" s="25" t="s">
        <v>65</v>
      </c>
      <c r="N259" s="26">
        <v>46123.0</v>
      </c>
      <c r="O259" s="27">
        <f>SUMIF(inventory_snapshot!$B:$B,H259,inventory_snapshot!$E:$E)</f>
        <v>981</v>
      </c>
      <c r="P259" s="32" t="str">
        <f t="shared" si="2"/>
        <v>OK</v>
      </c>
      <c r="Q259" s="32" t="str">
        <f t="shared" si="3"/>
        <v>OK</v>
      </c>
      <c r="R259" s="32" t="str">
        <f t="shared" si="4"/>
        <v>OK</v>
      </c>
      <c r="S259" s="32" t="str">
        <f t="shared" si="5"/>
        <v>Medium</v>
      </c>
    </row>
    <row r="260" ht="15.75" customHeight="1">
      <c r="A260" s="17" t="s">
        <v>386</v>
      </c>
      <c r="B260" s="18">
        <v>46045.0</v>
      </c>
      <c r="C260" s="17" t="s">
        <v>305</v>
      </c>
      <c r="D260" s="19" t="str">
        <f>IFERROR(VLOOKUP(C260,customer_lookup!$A:$E,2,FALSE),"")</f>
        <v>AZ Account 0017</v>
      </c>
      <c r="E260" s="19" t="str">
        <f>IFERROR(VLOOKUP(C260,customer_lookup!$A:$E,3,FALSE),"")</f>
        <v>AZ</v>
      </c>
      <c r="F260" s="20" t="str">
        <f>IFERROR(VLOOKUP(C260,customer_lookup!$A:$E,5,FALSE),"")</f>
        <v>Casey</v>
      </c>
      <c r="G260" s="17" t="s">
        <v>67</v>
      </c>
      <c r="H260" s="17" t="s">
        <v>156</v>
      </c>
      <c r="I260" s="19" t="str">
        <f>IFERROR(VLOOKUP(H260,product_lookup!$A:$D,2,FALSE),"")</f>
        <v>Blood Orange 1:1 Gummies</v>
      </c>
      <c r="J260" s="21">
        <v>120.0</v>
      </c>
      <c r="K260" s="22">
        <v>9.1</v>
      </c>
      <c r="L260" s="23">
        <f t="shared" si="1"/>
        <v>1092</v>
      </c>
      <c r="M260" s="17" t="s">
        <v>97</v>
      </c>
      <c r="N260" s="18">
        <v>46053.0</v>
      </c>
      <c r="O260" s="19">
        <f>SUMIF(inventory_snapshot!$B:$B,H260,inventory_snapshot!$E:$E)</f>
        <v>1589</v>
      </c>
      <c r="P260" s="24" t="str">
        <f t="shared" si="2"/>
        <v>OK</v>
      </c>
      <c r="Q260" s="24" t="str">
        <f t="shared" si="3"/>
        <v>OK</v>
      </c>
      <c r="R260" s="24" t="str">
        <f t="shared" si="4"/>
        <v>OK</v>
      </c>
      <c r="S260" s="24" t="str">
        <f t="shared" si="5"/>
        <v>Large</v>
      </c>
    </row>
    <row r="261" ht="15.75" customHeight="1">
      <c r="A261" s="25" t="s">
        <v>387</v>
      </c>
      <c r="B261" s="26">
        <v>46038.0</v>
      </c>
      <c r="C261" s="25" t="s">
        <v>326</v>
      </c>
      <c r="D261" s="27" t="str">
        <f>IFERROR(VLOOKUP(C261,customer_lookup!$A:$E,2,FALSE),"")</f>
        <v>IL Account 0043</v>
      </c>
      <c r="E261" s="27" t="str">
        <f>IFERROR(VLOOKUP(C261,customer_lookup!$A:$E,3,FALSE),"")</f>
        <v>IL</v>
      </c>
      <c r="F261" s="28" t="str">
        <f>IFERROR(VLOOKUP(C261,customer_lookup!$A:$E,5,FALSE),"")</f>
        <v>Casey</v>
      </c>
      <c r="G261" s="25" t="s">
        <v>67</v>
      </c>
      <c r="H261" s="25" t="s">
        <v>110</v>
      </c>
      <c r="I261" s="27" t="str">
        <f>IFERROR(VLOOKUP(H261,product_lookup!$A:$D,2,FALSE),"")</f>
        <v>Elderberry 2:1 Gummies</v>
      </c>
      <c r="J261" s="29">
        <v>30.0</v>
      </c>
      <c r="K261" s="30">
        <v>10.21</v>
      </c>
      <c r="L261" s="31">
        <f t="shared" si="1"/>
        <v>306.3</v>
      </c>
      <c r="M261" s="25" t="s">
        <v>75</v>
      </c>
      <c r="N261" s="26">
        <v>46047.0</v>
      </c>
      <c r="O261" s="27">
        <f>SUMIF(inventory_snapshot!$B:$B,H261,inventory_snapshot!$E:$E)</f>
        <v>1633</v>
      </c>
      <c r="P261" s="32" t="str">
        <f t="shared" si="2"/>
        <v>OK</v>
      </c>
      <c r="Q261" s="32" t="str">
        <f t="shared" si="3"/>
        <v>OK</v>
      </c>
      <c r="R261" s="32" t="str">
        <f t="shared" si="4"/>
        <v>OK</v>
      </c>
      <c r="S261" s="32" t="str">
        <f t="shared" si="5"/>
        <v>Small</v>
      </c>
    </row>
    <row r="262" ht="15.75" customHeight="1">
      <c r="A262" s="17" t="s">
        <v>388</v>
      </c>
      <c r="B262" s="18">
        <v>46133.0</v>
      </c>
      <c r="C262" s="17" t="s">
        <v>301</v>
      </c>
      <c r="D262" s="19" t="str">
        <f>IFERROR(VLOOKUP(C262,customer_lookup!$A:$E,2,FALSE),"")</f>
        <v>MI Account 0080</v>
      </c>
      <c r="E262" s="19" t="str">
        <f>IFERROR(VLOOKUP(C262,customer_lookup!$A:$E,3,FALSE),"")</f>
        <v>MI</v>
      </c>
      <c r="F262" s="20" t="str">
        <f>IFERROR(VLOOKUP(C262,customer_lookup!$A:$E,5,FALSE),"")</f>
        <v>Casey</v>
      </c>
      <c r="G262" s="17" t="s">
        <v>63</v>
      </c>
      <c r="H262" s="17" t="s">
        <v>68</v>
      </c>
      <c r="I262" s="19" t="str">
        <f>IFERROR(VLOOKUP(H262,product_lookup!$A:$D,2,FALSE),"")</f>
        <v>Sour Apple THC Gummies</v>
      </c>
      <c r="J262" s="21">
        <v>72.0</v>
      </c>
      <c r="K262" s="22">
        <v>10.52</v>
      </c>
      <c r="L262" s="23">
        <f t="shared" si="1"/>
        <v>757.44</v>
      </c>
      <c r="M262" s="17" t="s">
        <v>137</v>
      </c>
      <c r="N262" s="18">
        <v>46137.0</v>
      </c>
      <c r="O262" s="19">
        <f>SUMIF(inventory_snapshot!$B:$B,H262,inventory_snapshot!$E:$E)</f>
        <v>775</v>
      </c>
      <c r="P262" s="24" t="str">
        <f t="shared" si="2"/>
        <v>OK</v>
      </c>
      <c r="Q262" s="24" t="str">
        <f t="shared" si="3"/>
        <v>OK</v>
      </c>
      <c r="R262" s="24" t="str">
        <f t="shared" si="4"/>
        <v>OK</v>
      </c>
      <c r="S262" s="24" t="str">
        <f t="shared" si="5"/>
        <v>Medium</v>
      </c>
    </row>
    <row r="263" ht="15.75" customHeight="1">
      <c r="A263" s="25" t="s">
        <v>389</v>
      </c>
      <c r="B263" s="26">
        <v>46065.0</v>
      </c>
      <c r="C263" s="25" t="s">
        <v>303</v>
      </c>
      <c r="D263" s="27" t="str">
        <f>IFERROR(VLOOKUP(C263,customer_lookup!$A:$E,2,FALSE),"")</f>
        <v>MI Account 0056</v>
      </c>
      <c r="E263" s="27" t="str">
        <f>IFERROR(VLOOKUP(C263,customer_lookup!$A:$E,3,FALSE),"")</f>
        <v>MI</v>
      </c>
      <c r="F263" s="28" t="str">
        <f>IFERROR(VLOOKUP(C263,customer_lookup!$A:$E,5,FALSE),"")</f>
        <v>Casey</v>
      </c>
      <c r="G263" s="25" t="s">
        <v>63</v>
      </c>
      <c r="H263" s="25" t="s">
        <v>115</v>
      </c>
      <c r="I263" s="27" t="str">
        <f>IFERROR(VLOOKUP(H263,product_lookup!$A:$D,2,FALSE),"")</f>
        <v>Pear 1:1 Gummies</v>
      </c>
      <c r="J263" s="29">
        <v>96.0</v>
      </c>
      <c r="K263" s="30">
        <v>11.94</v>
      </c>
      <c r="L263" s="31">
        <f t="shared" si="1"/>
        <v>1146.24</v>
      </c>
      <c r="M263" s="25" t="s">
        <v>65</v>
      </c>
      <c r="N263" s="26">
        <v>46066.0</v>
      </c>
      <c r="O263" s="27">
        <f>SUMIF(inventory_snapshot!$B:$B,H263,inventory_snapshot!$E:$E)</f>
        <v>981</v>
      </c>
      <c r="P263" s="32" t="str">
        <f t="shared" si="2"/>
        <v>OK</v>
      </c>
      <c r="Q263" s="32" t="str">
        <f t="shared" si="3"/>
        <v>OK</v>
      </c>
      <c r="R263" s="32" t="str">
        <f t="shared" si="4"/>
        <v>OK</v>
      </c>
      <c r="S263" s="32" t="str">
        <f t="shared" si="5"/>
        <v>Large</v>
      </c>
    </row>
    <row r="264" ht="15.75" customHeight="1">
      <c r="A264" s="17" t="s">
        <v>390</v>
      </c>
      <c r="B264" s="18">
        <v>46085.0</v>
      </c>
      <c r="C264" s="17" t="s">
        <v>310</v>
      </c>
      <c r="D264" s="19" t="str">
        <f>IFERROR(VLOOKUP(C264,customer_lookup!$A:$E,2,FALSE),"")</f>
        <v>AZ Account 0101</v>
      </c>
      <c r="E264" s="19" t="str">
        <f>IFERROR(VLOOKUP(C264,customer_lookup!$A:$E,3,FALSE),"")</f>
        <v>AZ</v>
      </c>
      <c r="F264" s="20" t="str">
        <f>IFERROR(VLOOKUP(C264,customer_lookup!$A:$E,5,FALSE),"")</f>
        <v>Casey</v>
      </c>
      <c r="G264" s="17" t="s">
        <v>67</v>
      </c>
      <c r="H264" s="17" t="s">
        <v>156</v>
      </c>
      <c r="I264" s="19" t="str">
        <f>IFERROR(VLOOKUP(H264,product_lookup!$A:$D,2,FALSE),"")</f>
        <v>Blood Orange 1:1 Gummies</v>
      </c>
      <c r="J264" s="21">
        <v>72.0</v>
      </c>
      <c r="K264" s="22">
        <v>9.23</v>
      </c>
      <c r="L264" s="23">
        <f t="shared" si="1"/>
        <v>664.56</v>
      </c>
      <c r="M264" s="17" t="s">
        <v>93</v>
      </c>
      <c r="N264" s="18">
        <v>46095.0</v>
      </c>
      <c r="O264" s="19">
        <f>SUMIF(inventory_snapshot!$B:$B,H264,inventory_snapshot!$E:$E)</f>
        <v>1589</v>
      </c>
      <c r="P264" s="24" t="str">
        <f t="shared" si="2"/>
        <v>OK</v>
      </c>
      <c r="Q264" s="24" t="str">
        <f t="shared" si="3"/>
        <v>OK</v>
      </c>
      <c r="R264" s="24" t="str">
        <f t="shared" si="4"/>
        <v>OK</v>
      </c>
      <c r="S264" s="24" t="str">
        <f t="shared" si="5"/>
        <v>Medium</v>
      </c>
    </row>
    <row r="265" ht="15.75" customHeight="1">
      <c r="A265" s="25" t="s">
        <v>391</v>
      </c>
      <c r="B265" s="26">
        <v>46050.0</v>
      </c>
      <c r="C265" s="25" t="s">
        <v>330</v>
      </c>
      <c r="D265" s="27" t="str">
        <f>IFERROR(VLOOKUP(C265,customer_lookup!$A:$E,2,FALSE),"")</f>
        <v>WA Account 0002</v>
      </c>
      <c r="E265" s="27" t="str">
        <f>IFERROR(VLOOKUP(C265,customer_lookup!$A:$E,3,FALSE),"")</f>
        <v>WA</v>
      </c>
      <c r="F265" s="28" t="str">
        <f>IFERROR(VLOOKUP(C265,customer_lookup!$A:$E,5,FALSE),"")</f>
        <v>Casey</v>
      </c>
      <c r="G265" s="25" t="s">
        <v>89</v>
      </c>
      <c r="H265" s="25" t="s">
        <v>108</v>
      </c>
      <c r="I265" s="27" t="str">
        <f>IFERROR(VLOOKUP(H265,product_lookup!$A:$D,2,FALSE),"")</f>
        <v>Sour Tangerine THC Gummies</v>
      </c>
      <c r="J265" s="29">
        <v>18.0</v>
      </c>
      <c r="K265" s="30">
        <v>10.45</v>
      </c>
      <c r="L265" s="31">
        <f t="shared" si="1"/>
        <v>188.1</v>
      </c>
      <c r="M265" s="25" t="s">
        <v>97</v>
      </c>
      <c r="N265" s="26">
        <v>46051.0</v>
      </c>
      <c r="O265" s="27">
        <f>SUMIF(inventory_snapshot!$B:$B,H265,inventory_snapshot!$E:$E)</f>
        <v>1679</v>
      </c>
      <c r="P265" s="32" t="str">
        <f t="shared" si="2"/>
        <v>OK</v>
      </c>
      <c r="Q265" s="32" t="str">
        <f t="shared" si="3"/>
        <v>OK</v>
      </c>
      <c r="R265" s="32" t="str">
        <f t="shared" si="4"/>
        <v>OK</v>
      </c>
      <c r="S265" s="32" t="str">
        <f t="shared" si="5"/>
        <v>Small</v>
      </c>
    </row>
    <row r="266" ht="15.75" customHeight="1">
      <c r="A266" s="17" t="s">
        <v>392</v>
      </c>
      <c r="B266" s="18">
        <v>46069.0</v>
      </c>
      <c r="C266" s="17" t="s">
        <v>301</v>
      </c>
      <c r="D266" s="19" t="str">
        <f>IFERROR(VLOOKUP(C266,customer_lookup!$A:$E,2,FALSE),"")</f>
        <v>MI Account 0080</v>
      </c>
      <c r="E266" s="19" t="str">
        <f>IFERROR(VLOOKUP(C266,customer_lookup!$A:$E,3,FALSE),"")</f>
        <v>MI</v>
      </c>
      <c r="F266" s="20" t="str">
        <f>IFERROR(VLOOKUP(C266,customer_lookup!$A:$E,5,FALSE),"")</f>
        <v>Casey</v>
      </c>
      <c r="G266" s="17" t="s">
        <v>63</v>
      </c>
      <c r="H266" s="17" t="s">
        <v>95</v>
      </c>
      <c r="I266" s="19" t="str">
        <f>IFERROR(VLOOKUP(H266,product_lookup!$A:$D,2,FALSE),"")</f>
        <v>Boysenberry 1:1:1 Gummies</v>
      </c>
      <c r="J266" s="21">
        <v>36.0</v>
      </c>
      <c r="K266" s="22">
        <v>9.82</v>
      </c>
      <c r="L266" s="23">
        <f t="shared" si="1"/>
        <v>353.52</v>
      </c>
      <c r="M266" s="17" t="s">
        <v>65</v>
      </c>
      <c r="N266" s="18">
        <v>46073.0</v>
      </c>
      <c r="O266" s="19">
        <f>SUMIF(inventory_snapshot!$B:$B,H266,inventory_snapshot!$E:$E)</f>
        <v>2007</v>
      </c>
      <c r="P266" s="24" t="str">
        <f t="shared" si="2"/>
        <v>OK</v>
      </c>
      <c r="Q266" s="24" t="str">
        <f t="shared" si="3"/>
        <v>OK</v>
      </c>
      <c r="R266" s="24" t="str">
        <f t="shared" si="4"/>
        <v>OK</v>
      </c>
      <c r="S266" s="24" t="str">
        <f t="shared" si="5"/>
        <v>Small</v>
      </c>
    </row>
    <row r="267" ht="15.75" customHeight="1">
      <c r="A267" s="25" t="s">
        <v>393</v>
      </c>
      <c r="B267" s="26">
        <v>46121.0</v>
      </c>
      <c r="C267" s="25" t="s">
        <v>291</v>
      </c>
      <c r="D267" s="27" t="str">
        <f>IFERROR(VLOOKUP(C267,customer_lookup!$A:$E,2,FALSE),"")</f>
        <v>OK Account 0048</v>
      </c>
      <c r="E267" s="27" t="str">
        <f>IFERROR(VLOOKUP(C267,customer_lookup!$A:$E,3,FALSE),"")</f>
        <v>OK</v>
      </c>
      <c r="F267" s="28" t="str">
        <f>IFERROR(VLOOKUP(C267,customer_lookup!$A:$E,5,FALSE),"")</f>
        <v>Casey</v>
      </c>
      <c r="G267" s="25" t="s">
        <v>89</v>
      </c>
      <c r="H267" s="25" t="s">
        <v>102</v>
      </c>
      <c r="I267" s="27" t="str">
        <f>IFERROR(VLOOKUP(H267,product_lookup!$A:$D,2,FALSE),"")</f>
        <v>Pomegranate 1:1 Gummies</v>
      </c>
      <c r="J267" s="29">
        <v>6.0</v>
      </c>
      <c r="K267" s="30">
        <v>10.23</v>
      </c>
      <c r="L267" s="31">
        <f t="shared" si="1"/>
        <v>61.38</v>
      </c>
      <c r="M267" s="25" t="s">
        <v>97</v>
      </c>
      <c r="N267" s="26">
        <v>46131.0</v>
      </c>
      <c r="O267" s="27">
        <f>SUMIF(inventory_snapshot!$B:$B,H267,inventory_snapshot!$E:$E)</f>
        <v>1493</v>
      </c>
      <c r="P267" s="32" t="str">
        <f t="shared" si="2"/>
        <v>OK</v>
      </c>
      <c r="Q267" s="32" t="str">
        <f t="shared" si="3"/>
        <v>OK</v>
      </c>
      <c r="R267" s="32" t="str">
        <f t="shared" si="4"/>
        <v>OK</v>
      </c>
      <c r="S267" s="32" t="str">
        <f t="shared" si="5"/>
        <v>Small</v>
      </c>
    </row>
    <row r="268" ht="15.75" customHeight="1">
      <c r="A268" s="17" t="s">
        <v>394</v>
      </c>
      <c r="B268" s="18">
        <v>46049.0</v>
      </c>
      <c r="C268" s="17" t="s">
        <v>291</v>
      </c>
      <c r="D268" s="19" t="str">
        <f>IFERROR(VLOOKUP(C268,customer_lookup!$A:$E,2,FALSE),"")</f>
        <v>OK Account 0048</v>
      </c>
      <c r="E268" s="19" t="str">
        <f>IFERROR(VLOOKUP(C268,customer_lookup!$A:$E,3,FALSE),"")</f>
        <v>OK</v>
      </c>
      <c r="F268" s="20" t="str">
        <f>IFERROR(VLOOKUP(C268,customer_lookup!$A:$E,5,FALSE),"")</f>
        <v>Casey</v>
      </c>
      <c r="G268" s="17" t="s">
        <v>89</v>
      </c>
      <c r="H268" s="17" t="s">
        <v>154</v>
      </c>
      <c r="I268" s="19" t="str">
        <f>IFERROR(VLOOKUP(H268,product_lookup!$A:$D,2,FALSE),"")</f>
        <v>Kiwi 1:1 Gummies</v>
      </c>
      <c r="J268" s="21">
        <v>72.0</v>
      </c>
      <c r="K268" s="22">
        <v>11.2</v>
      </c>
      <c r="L268" s="23">
        <f t="shared" si="1"/>
        <v>806.4</v>
      </c>
      <c r="M268" s="17" t="s">
        <v>65</v>
      </c>
      <c r="N268" s="18">
        <v>46052.0</v>
      </c>
      <c r="O268" s="19">
        <f>SUMIF(inventory_snapshot!$B:$B,H268,inventory_snapshot!$E:$E)</f>
        <v>1136</v>
      </c>
      <c r="P268" s="24" t="str">
        <f t="shared" si="2"/>
        <v>OK</v>
      </c>
      <c r="Q268" s="24" t="str">
        <f t="shared" si="3"/>
        <v>OK</v>
      </c>
      <c r="R268" s="24" t="str">
        <f t="shared" si="4"/>
        <v>OK</v>
      </c>
      <c r="S268" s="24" t="str">
        <f t="shared" si="5"/>
        <v>Medium</v>
      </c>
    </row>
    <row r="269" ht="15.75" customHeight="1">
      <c r="A269" s="25" t="s">
        <v>395</v>
      </c>
      <c r="B269" s="26">
        <v>46116.0</v>
      </c>
      <c r="C269" s="25" t="s">
        <v>314</v>
      </c>
      <c r="D269" s="27" t="str">
        <f>IFERROR(VLOOKUP(C269,customer_lookup!$A:$E,2,FALSE),"")</f>
        <v>IL Account 0115</v>
      </c>
      <c r="E269" s="27" t="str">
        <f>IFERROR(VLOOKUP(C269,customer_lookup!$A:$E,3,FALSE),"")</f>
        <v>IL</v>
      </c>
      <c r="F269" s="28" t="str">
        <f>IFERROR(VLOOKUP(C269,customer_lookup!$A:$E,5,FALSE),"")</f>
        <v>Casey</v>
      </c>
      <c r="G269" s="25" t="s">
        <v>63</v>
      </c>
      <c r="H269" s="25" t="s">
        <v>108</v>
      </c>
      <c r="I269" s="27" t="str">
        <f>IFERROR(VLOOKUP(H269,product_lookup!$A:$D,2,FALSE),"")</f>
        <v>Sour Tangerine THC Gummies</v>
      </c>
      <c r="J269" s="29">
        <v>48.0</v>
      </c>
      <c r="K269" s="30">
        <v>9.98</v>
      </c>
      <c r="L269" s="31">
        <f t="shared" si="1"/>
        <v>479.04</v>
      </c>
      <c r="M269" s="25" t="s">
        <v>65</v>
      </c>
      <c r="N269" s="26">
        <v>46120.0</v>
      </c>
      <c r="O269" s="27">
        <f>SUMIF(inventory_snapshot!$B:$B,H269,inventory_snapshot!$E:$E)</f>
        <v>1679</v>
      </c>
      <c r="P269" s="32" t="str">
        <f t="shared" si="2"/>
        <v>OK</v>
      </c>
      <c r="Q269" s="32" t="str">
        <f t="shared" si="3"/>
        <v>OK</v>
      </c>
      <c r="R269" s="32" t="str">
        <f t="shared" si="4"/>
        <v>OK</v>
      </c>
      <c r="S269" s="32" t="str">
        <f t="shared" si="5"/>
        <v>Small</v>
      </c>
    </row>
    <row r="270" ht="15.75" customHeight="1">
      <c r="A270" s="17" t="s">
        <v>396</v>
      </c>
      <c r="B270" s="18">
        <v>46116.0</v>
      </c>
      <c r="C270" s="17" t="s">
        <v>291</v>
      </c>
      <c r="D270" s="19" t="str">
        <f>IFERROR(VLOOKUP(C270,customer_lookup!$A:$E,2,FALSE),"")</f>
        <v>OK Account 0048</v>
      </c>
      <c r="E270" s="19" t="str">
        <f>IFERROR(VLOOKUP(C270,customer_lookup!$A:$E,3,FALSE),"")</f>
        <v>OK</v>
      </c>
      <c r="F270" s="20" t="str">
        <f>IFERROR(VLOOKUP(C270,customer_lookup!$A:$E,5,FALSE),"")</f>
        <v>Casey</v>
      </c>
      <c r="G270" s="17" t="s">
        <v>63</v>
      </c>
      <c r="H270" s="17" t="s">
        <v>190</v>
      </c>
      <c r="I270" s="19" t="str">
        <f>IFERROR(VLOOKUP(H270,product_lookup!$A:$D,2,FALSE),"")</f>
        <v>Mango Sparkling Beverage</v>
      </c>
      <c r="J270" s="21">
        <v>96.0</v>
      </c>
      <c r="K270" s="22">
        <v>6.78</v>
      </c>
      <c r="L270" s="23">
        <f t="shared" si="1"/>
        <v>650.88</v>
      </c>
      <c r="M270" s="17" t="s">
        <v>97</v>
      </c>
      <c r="N270" s="18">
        <v>46119.0</v>
      </c>
      <c r="O270" s="19">
        <f>SUMIF(inventory_snapshot!$B:$B,H270,inventory_snapshot!$E:$E)</f>
        <v>1502</v>
      </c>
      <c r="P270" s="24" t="str">
        <f t="shared" si="2"/>
        <v>OK</v>
      </c>
      <c r="Q270" s="24" t="str">
        <f t="shared" si="3"/>
        <v>OK</v>
      </c>
      <c r="R270" s="24" t="str">
        <f t="shared" si="4"/>
        <v>OK</v>
      </c>
      <c r="S270" s="24" t="str">
        <f t="shared" si="5"/>
        <v>Medium</v>
      </c>
    </row>
    <row r="271" ht="15.75" customHeight="1">
      <c r="A271" s="25" t="s">
        <v>397</v>
      </c>
      <c r="B271" s="26">
        <v>46033.0</v>
      </c>
      <c r="C271" s="25" t="s">
        <v>299</v>
      </c>
      <c r="D271" s="27" t="str">
        <f>IFERROR(VLOOKUP(C271,customer_lookup!$A:$E,2,FALSE),"")</f>
        <v>CA Account 0027</v>
      </c>
      <c r="E271" s="27" t="str">
        <f>IFERROR(VLOOKUP(C271,customer_lookup!$A:$E,3,FALSE),"")</f>
        <v>CA</v>
      </c>
      <c r="F271" s="28" t="str">
        <f>IFERROR(VLOOKUP(C271,customer_lookup!$A:$E,5,FALSE),"")</f>
        <v>Casey</v>
      </c>
      <c r="G271" s="25" t="s">
        <v>63</v>
      </c>
      <c r="H271" s="25" t="s">
        <v>85</v>
      </c>
      <c r="I271" s="27" t="str">
        <f>IFERROR(VLOOKUP(H271,product_lookup!$A:$D,2,FALSE),"")</f>
        <v>Huckleberry THC Gummies</v>
      </c>
      <c r="J271" s="29">
        <v>48.0</v>
      </c>
      <c r="K271" s="30">
        <v>10.64</v>
      </c>
      <c r="L271" s="31">
        <f t="shared" si="1"/>
        <v>510.72</v>
      </c>
      <c r="M271" s="25" t="s">
        <v>65</v>
      </c>
      <c r="N271" s="26">
        <v>46041.0</v>
      </c>
      <c r="O271" s="27">
        <f>SUMIF(inventory_snapshot!$B:$B,H271,inventory_snapshot!$E:$E)</f>
        <v>1841</v>
      </c>
      <c r="P271" s="32" t="str">
        <f t="shared" si="2"/>
        <v>OK</v>
      </c>
      <c r="Q271" s="32" t="str">
        <f t="shared" si="3"/>
        <v>OK</v>
      </c>
      <c r="R271" s="32" t="str">
        <f t="shared" si="4"/>
        <v>OK</v>
      </c>
      <c r="S271" s="32" t="str">
        <f t="shared" si="5"/>
        <v>Medium</v>
      </c>
    </row>
    <row r="272" ht="15.75" customHeight="1">
      <c r="A272" s="17" t="s">
        <v>398</v>
      </c>
      <c r="B272" s="18">
        <v>46123.0</v>
      </c>
      <c r="C272" s="17" t="s">
        <v>330</v>
      </c>
      <c r="D272" s="19" t="str">
        <f>IFERROR(VLOOKUP(C272,customer_lookup!$A:$E,2,FALSE),"")</f>
        <v>WA Account 0002</v>
      </c>
      <c r="E272" s="19" t="str">
        <f>IFERROR(VLOOKUP(C272,customer_lookup!$A:$E,3,FALSE),"")</f>
        <v>WA</v>
      </c>
      <c r="F272" s="20" t="str">
        <f>IFERROR(VLOOKUP(C272,customer_lookup!$A:$E,5,FALSE),"")</f>
        <v>Casey</v>
      </c>
      <c r="G272" s="17" t="s">
        <v>89</v>
      </c>
      <c r="H272" s="17" t="s">
        <v>78</v>
      </c>
      <c r="I272" s="19" t="str">
        <f>IFERROR(VLOOKUP(H272,product_lookup!$A:$D,2,FALSE),"")</f>
        <v>Grapefruit 1:1:1 Gummies</v>
      </c>
      <c r="J272" s="21">
        <v>12.0</v>
      </c>
      <c r="K272" s="22">
        <v>11.65</v>
      </c>
      <c r="L272" s="23">
        <f t="shared" si="1"/>
        <v>139.8</v>
      </c>
      <c r="M272" s="17" t="s">
        <v>97</v>
      </c>
      <c r="N272" s="18">
        <v>46126.0</v>
      </c>
      <c r="O272" s="19">
        <f>SUMIF(inventory_snapshot!$B:$B,H272,inventory_snapshot!$E:$E)</f>
        <v>1751</v>
      </c>
      <c r="P272" s="24" t="str">
        <f t="shared" si="2"/>
        <v>OK</v>
      </c>
      <c r="Q272" s="24" t="str">
        <f t="shared" si="3"/>
        <v>OK</v>
      </c>
      <c r="R272" s="24" t="str">
        <f t="shared" si="4"/>
        <v>OK</v>
      </c>
      <c r="S272" s="24" t="str">
        <f t="shared" si="5"/>
        <v>Small</v>
      </c>
    </row>
    <row r="273" ht="15.75" customHeight="1">
      <c r="A273" s="25" t="s">
        <v>399</v>
      </c>
      <c r="B273" s="26">
        <v>46072.0</v>
      </c>
      <c r="C273" s="25" t="s">
        <v>303</v>
      </c>
      <c r="D273" s="27" t="str">
        <f>IFERROR(VLOOKUP(C273,customer_lookup!$A:$E,2,FALSE),"")</f>
        <v>MI Account 0056</v>
      </c>
      <c r="E273" s="27" t="str">
        <f>IFERROR(VLOOKUP(C273,customer_lookup!$A:$E,3,FALSE),"")</f>
        <v>MI</v>
      </c>
      <c r="F273" s="28" t="str">
        <f>IFERROR(VLOOKUP(C273,customer_lookup!$A:$E,5,FALSE),"")</f>
        <v>Casey</v>
      </c>
      <c r="G273" s="25" t="s">
        <v>63</v>
      </c>
      <c r="H273" s="25" t="s">
        <v>78</v>
      </c>
      <c r="I273" s="27" t="str">
        <f>IFERROR(VLOOKUP(H273,product_lookup!$A:$D,2,FALSE),"")</f>
        <v>Grapefruit 1:1:1 Gummies</v>
      </c>
      <c r="J273" s="29">
        <v>60.0</v>
      </c>
      <c r="K273" s="30">
        <v>10.35</v>
      </c>
      <c r="L273" s="31">
        <f t="shared" si="1"/>
        <v>621</v>
      </c>
      <c r="M273" s="25" t="s">
        <v>75</v>
      </c>
      <c r="N273" s="26">
        <v>46073.0</v>
      </c>
      <c r="O273" s="27">
        <f>SUMIF(inventory_snapshot!$B:$B,H273,inventory_snapshot!$E:$E)</f>
        <v>1751</v>
      </c>
      <c r="P273" s="32" t="str">
        <f t="shared" si="2"/>
        <v>OK</v>
      </c>
      <c r="Q273" s="32" t="str">
        <f t="shared" si="3"/>
        <v>OK</v>
      </c>
      <c r="R273" s="32" t="str">
        <f t="shared" si="4"/>
        <v>OK</v>
      </c>
      <c r="S273" s="32" t="str">
        <f t="shared" si="5"/>
        <v>Medium</v>
      </c>
    </row>
    <row r="274" ht="15.75" customHeight="1">
      <c r="A274" s="17" t="s">
        <v>400</v>
      </c>
      <c r="B274" s="18">
        <v>46030.0</v>
      </c>
      <c r="C274" s="17" t="s">
        <v>297</v>
      </c>
      <c r="D274" s="19" t="str">
        <f>IFERROR(VLOOKUP(C274,customer_lookup!$A:$E,2,FALSE),"")</f>
        <v>AZ Account 0053</v>
      </c>
      <c r="E274" s="19" t="str">
        <f>IFERROR(VLOOKUP(C274,customer_lookup!$A:$E,3,FALSE),"")</f>
        <v>AZ</v>
      </c>
      <c r="F274" s="20" t="str">
        <f>IFERROR(VLOOKUP(C274,customer_lookup!$A:$E,5,FALSE),"")</f>
        <v>Casey</v>
      </c>
      <c r="G274" s="17" t="s">
        <v>63</v>
      </c>
      <c r="H274" s="17" t="s">
        <v>68</v>
      </c>
      <c r="I274" s="19" t="str">
        <f>IFERROR(VLOOKUP(H274,product_lookup!$A:$D,2,FALSE),"")</f>
        <v>Sour Apple THC Gummies</v>
      </c>
      <c r="J274" s="21">
        <v>120.0</v>
      </c>
      <c r="K274" s="22">
        <v>9.96</v>
      </c>
      <c r="L274" s="23">
        <f t="shared" si="1"/>
        <v>1195.2</v>
      </c>
      <c r="M274" s="17" t="s">
        <v>97</v>
      </c>
      <c r="N274" s="18">
        <v>46032.0</v>
      </c>
      <c r="O274" s="19">
        <f>SUMIF(inventory_snapshot!$B:$B,H274,inventory_snapshot!$E:$E)</f>
        <v>775</v>
      </c>
      <c r="P274" s="24" t="str">
        <f t="shared" si="2"/>
        <v>OK</v>
      </c>
      <c r="Q274" s="24" t="str">
        <f t="shared" si="3"/>
        <v>OK</v>
      </c>
      <c r="R274" s="24" t="str">
        <f t="shared" si="4"/>
        <v>OK</v>
      </c>
      <c r="S274" s="24" t="str">
        <f t="shared" si="5"/>
        <v>Large</v>
      </c>
    </row>
    <row r="275" ht="15.75" customHeight="1">
      <c r="A275" s="25" t="s">
        <v>401</v>
      </c>
      <c r="B275" s="26">
        <v>46086.0</v>
      </c>
      <c r="C275" s="25" t="s">
        <v>303</v>
      </c>
      <c r="D275" s="27" t="str">
        <f>IFERROR(VLOOKUP(C275,customer_lookup!$A:$E,2,FALSE),"")</f>
        <v>MI Account 0056</v>
      </c>
      <c r="E275" s="27" t="str">
        <f>IFERROR(VLOOKUP(C275,customer_lookup!$A:$E,3,FALSE),"")</f>
        <v>MI</v>
      </c>
      <c r="F275" s="28" t="str">
        <f>IFERROR(VLOOKUP(C275,customer_lookup!$A:$E,5,FALSE),"")</f>
        <v>Casey</v>
      </c>
      <c r="G275" s="25" t="s">
        <v>89</v>
      </c>
      <c r="H275" s="25" t="s">
        <v>162</v>
      </c>
      <c r="I275" s="27" t="str">
        <f>IFERROR(VLOOKUP(H275,product_lookup!$A:$D,2,FALSE),"")</f>
        <v>Marionberry THC Gummies</v>
      </c>
      <c r="J275" s="29">
        <v>120.0</v>
      </c>
      <c r="K275" s="30">
        <v>10.96</v>
      </c>
      <c r="L275" s="31">
        <f t="shared" si="1"/>
        <v>1315.2</v>
      </c>
      <c r="M275" s="25" t="s">
        <v>65</v>
      </c>
      <c r="N275" s="26">
        <v>46095.0</v>
      </c>
      <c r="O275" s="27">
        <f>SUMIF(inventory_snapshot!$B:$B,H275,inventory_snapshot!$E:$E)</f>
        <v>1599</v>
      </c>
      <c r="P275" s="32" t="str">
        <f t="shared" si="2"/>
        <v>OK</v>
      </c>
      <c r="Q275" s="32" t="str">
        <f t="shared" si="3"/>
        <v>OK</v>
      </c>
      <c r="R275" s="32" t="str">
        <f t="shared" si="4"/>
        <v>OK</v>
      </c>
      <c r="S275" s="32" t="str">
        <f t="shared" si="5"/>
        <v>Large</v>
      </c>
    </row>
    <row r="276" ht="15.75" customHeight="1">
      <c r="A276" s="17" t="s">
        <v>402</v>
      </c>
      <c r="B276" s="18">
        <v>46107.0</v>
      </c>
      <c r="C276" s="17" t="s">
        <v>339</v>
      </c>
      <c r="D276" s="19" t="str">
        <f>IFERROR(VLOOKUP(C276,customer_lookup!$A:$E,2,FALSE),"")</f>
        <v>NM Account 0034</v>
      </c>
      <c r="E276" s="19" t="str">
        <f>IFERROR(VLOOKUP(C276,customer_lookup!$A:$E,3,FALSE),"")</f>
        <v>NM</v>
      </c>
      <c r="F276" s="20" t="str">
        <f>IFERROR(VLOOKUP(C276,customer_lookup!$A:$E,5,FALSE),"")</f>
        <v>Casey</v>
      </c>
      <c r="G276" s="17" t="s">
        <v>89</v>
      </c>
      <c r="H276" s="17" t="s">
        <v>115</v>
      </c>
      <c r="I276" s="19" t="str">
        <f>IFERROR(VLOOKUP(H276,product_lookup!$A:$D,2,FALSE),"")</f>
        <v>Pear 1:1 Gummies</v>
      </c>
      <c r="J276" s="21">
        <v>72.0</v>
      </c>
      <c r="K276" s="22">
        <v>10.52</v>
      </c>
      <c r="L276" s="23">
        <f t="shared" si="1"/>
        <v>757.44</v>
      </c>
      <c r="M276" s="17" t="s">
        <v>65</v>
      </c>
      <c r="N276" s="18">
        <v>46115.0</v>
      </c>
      <c r="O276" s="19">
        <f>SUMIF(inventory_snapshot!$B:$B,H276,inventory_snapshot!$E:$E)</f>
        <v>981</v>
      </c>
      <c r="P276" s="24" t="str">
        <f t="shared" si="2"/>
        <v>OK</v>
      </c>
      <c r="Q276" s="24" t="str">
        <f t="shared" si="3"/>
        <v>OK</v>
      </c>
      <c r="R276" s="24" t="str">
        <f t="shared" si="4"/>
        <v>OK</v>
      </c>
      <c r="S276" s="24" t="str">
        <f t="shared" si="5"/>
        <v>Medium</v>
      </c>
    </row>
    <row r="277" ht="15.75" customHeight="1">
      <c r="A277" s="25" t="s">
        <v>403</v>
      </c>
      <c r="B277" s="26">
        <v>46063.0</v>
      </c>
      <c r="C277" s="25" t="s">
        <v>314</v>
      </c>
      <c r="D277" s="27" t="str">
        <f>IFERROR(VLOOKUP(C277,customer_lookup!$A:$E,2,FALSE),"")</f>
        <v>IL Account 0115</v>
      </c>
      <c r="E277" s="27" t="str">
        <f>IFERROR(VLOOKUP(C277,customer_lookup!$A:$E,3,FALSE),"")</f>
        <v>IL</v>
      </c>
      <c r="F277" s="28" t="str">
        <f>IFERROR(VLOOKUP(C277,customer_lookup!$A:$E,5,FALSE),"")</f>
        <v>Casey</v>
      </c>
      <c r="G277" s="25" t="s">
        <v>89</v>
      </c>
      <c r="H277" s="25" t="s">
        <v>110</v>
      </c>
      <c r="I277" s="27" t="str">
        <f>IFERROR(VLOOKUP(H277,product_lookup!$A:$D,2,FALSE),"")</f>
        <v>Elderberry 2:1 Gummies</v>
      </c>
      <c r="J277" s="29">
        <v>96.0</v>
      </c>
      <c r="K277" s="30">
        <v>10.56</v>
      </c>
      <c r="L277" s="31">
        <f t="shared" si="1"/>
        <v>1013.76</v>
      </c>
      <c r="M277" s="25" t="s">
        <v>100</v>
      </c>
      <c r="N277" s="26">
        <v>46069.0</v>
      </c>
      <c r="O277" s="27">
        <f>SUMIF(inventory_snapshot!$B:$B,H277,inventory_snapshot!$E:$E)</f>
        <v>1633</v>
      </c>
      <c r="P277" s="32" t="str">
        <f t="shared" si="2"/>
        <v>OK</v>
      </c>
      <c r="Q277" s="32" t="str">
        <f t="shared" si="3"/>
        <v>OK</v>
      </c>
      <c r="R277" s="32" t="str">
        <f t="shared" si="4"/>
        <v>OK</v>
      </c>
      <c r="S277" s="32" t="str">
        <f t="shared" si="5"/>
        <v>Large</v>
      </c>
    </row>
    <row r="278" ht="15.75" customHeight="1">
      <c r="A278" s="17" t="s">
        <v>404</v>
      </c>
      <c r="B278" s="18">
        <v>46132.0</v>
      </c>
      <c r="C278" s="17" t="s">
        <v>320</v>
      </c>
      <c r="D278" s="19" t="str">
        <f>IFERROR(VLOOKUP(C278,customer_lookup!$A:$E,2,FALSE),"")</f>
        <v>MO Account 0069</v>
      </c>
      <c r="E278" s="19" t="str">
        <f>IFERROR(VLOOKUP(C278,customer_lookup!$A:$E,3,FALSE),"")</f>
        <v>MO</v>
      </c>
      <c r="F278" s="20" t="str">
        <f>IFERROR(VLOOKUP(C278,customer_lookup!$A:$E,5,FALSE),"")</f>
        <v>Casey</v>
      </c>
      <c r="G278" s="17" t="s">
        <v>63</v>
      </c>
      <c r="H278" s="17" t="s">
        <v>123</v>
      </c>
      <c r="I278" s="19" t="str">
        <f>IFERROR(VLOOKUP(H278,product_lookup!$A:$D,2,FALSE),"")</f>
        <v>Peach 2:1 Gummies</v>
      </c>
      <c r="J278" s="21">
        <v>60.0</v>
      </c>
      <c r="K278" s="22">
        <v>10.51</v>
      </c>
      <c r="L278" s="23">
        <f t="shared" si="1"/>
        <v>630.6</v>
      </c>
      <c r="M278" s="17" t="s">
        <v>93</v>
      </c>
      <c r="N278" s="18">
        <v>46137.0</v>
      </c>
      <c r="O278" s="19">
        <f>SUMIF(inventory_snapshot!$B:$B,H278,inventory_snapshot!$E:$E)</f>
        <v>1732</v>
      </c>
      <c r="P278" s="24" t="str">
        <f t="shared" si="2"/>
        <v>OK</v>
      </c>
      <c r="Q278" s="24" t="str">
        <f t="shared" si="3"/>
        <v>OK</v>
      </c>
      <c r="R278" s="24" t="str">
        <f t="shared" si="4"/>
        <v>OK</v>
      </c>
      <c r="S278" s="24" t="str">
        <f t="shared" si="5"/>
        <v>Medium</v>
      </c>
    </row>
    <row r="279" ht="15.75" customHeight="1">
      <c r="A279" s="25" t="s">
        <v>405</v>
      </c>
      <c r="B279" s="26">
        <v>46058.0</v>
      </c>
      <c r="C279" s="25" t="s">
        <v>297</v>
      </c>
      <c r="D279" s="27" t="str">
        <f>IFERROR(VLOOKUP(C279,customer_lookup!$A:$E,2,FALSE),"")</f>
        <v>AZ Account 0053</v>
      </c>
      <c r="E279" s="27" t="str">
        <f>IFERROR(VLOOKUP(C279,customer_lookup!$A:$E,3,FALSE),"")</f>
        <v>AZ</v>
      </c>
      <c r="F279" s="28" t="str">
        <f>IFERROR(VLOOKUP(C279,customer_lookup!$A:$E,5,FALSE),"")</f>
        <v>Casey</v>
      </c>
      <c r="G279" s="25" t="s">
        <v>63</v>
      </c>
      <c r="H279" s="25" t="s">
        <v>95</v>
      </c>
      <c r="I279" s="27" t="str">
        <f>IFERROR(VLOOKUP(H279,product_lookup!$A:$D,2,FALSE),"")</f>
        <v>Boysenberry 1:1:1 Gummies</v>
      </c>
      <c r="J279" s="29">
        <v>12.0</v>
      </c>
      <c r="K279" s="30">
        <v>11.18</v>
      </c>
      <c r="L279" s="31">
        <f t="shared" si="1"/>
        <v>134.16</v>
      </c>
      <c r="M279" s="25" t="s">
        <v>93</v>
      </c>
      <c r="N279" s="26">
        <v>46065.0</v>
      </c>
      <c r="O279" s="27">
        <f>SUMIF(inventory_snapshot!$B:$B,H279,inventory_snapshot!$E:$E)</f>
        <v>2007</v>
      </c>
      <c r="P279" s="32" t="str">
        <f t="shared" si="2"/>
        <v>OK</v>
      </c>
      <c r="Q279" s="32" t="str">
        <f t="shared" si="3"/>
        <v>OK</v>
      </c>
      <c r="R279" s="32" t="str">
        <f t="shared" si="4"/>
        <v>OK</v>
      </c>
      <c r="S279" s="32" t="str">
        <f t="shared" si="5"/>
        <v>Small</v>
      </c>
    </row>
    <row r="280" ht="15.75" customHeight="1">
      <c r="A280" s="17" t="s">
        <v>406</v>
      </c>
      <c r="B280" s="18">
        <v>46134.0</v>
      </c>
      <c r="C280" s="17" t="s">
        <v>305</v>
      </c>
      <c r="D280" s="19" t="str">
        <f>IFERROR(VLOOKUP(C280,customer_lookup!$A:$E,2,FALSE),"")</f>
        <v>AZ Account 0017</v>
      </c>
      <c r="E280" s="19" t="str">
        <f>IFERROR(VLOOKUP(C280,customer_lookup!$A:$E,3,FALSE),"")</f>
        <v>AZ</v>
      </c>
      <c r="F280" s="20" t="str">
        <f>IFERROR(VLOOKUP(C280,customer_lookup!$A:$E,5,FALSE),"")</f>
        <v>Casey</v>
      </c>
      <c r="G280" s="17" t="s">
        <v>63</v>
      </c>
      <c r="H280" s="17" t="s">
        <v>90</v>
      </c>
      <c r="I280" s="19" t="str">
        <f>IFERROR(VLOOKUP(H280,product_lookup!$A:$D,2,FALSE),"")</f>
        <v>Blackberry Sparkling Beverage</v>
      </c>
      <c r="J280" s="21">
        <v>30.0</v>
      </c>
      <c r="K280" s="22">
        <v>7.87</v>
      </c>
      <c r="L280" s="23">
        <f t="shared" si="1"/>
        <v>236.1</v>
      </c>
      <c r="M280" s="17" t="s">
        <v>93</v>
      </c>
      <c r="N280" s="18">
        <v>46139.0</v>
      </c>
      <c r="O280" s="19">
        <f>SUMIF(inventory_snapshot!$B:$B,H280,inventory_snapshot!$E:$E)</f>
        <v>1292</v>
      </c>
      <c r="P280" s="24" t="str">
        <f t="shared" si="2"/>
        <v>OK</v>
      </c>
      <c r="Q280" s="24" t="str">
        <f t="shared" si="3"/>
        <v>OK</v>
      </c>
      <c r="R280" s="24" t="str">
        <f t="shared" si="4"/>
        <v>OK</v>
      </c>
      <c r="S280" s="24" t="str">
        <f t="shared" si="5"/>
        <v>Small</v>
      </c>
    </row>
    <row r="281" ht="15.75" customHeight="1">
      <c r="A281" s="25" t="s">
        <v>407</v>
      </c>
      <c r="B281" s="26">
        <v>46063.0</v>
      </c>
      <c r="C281" s="25" t="s">
        <v>339</v>
      </c>
      <c r="D281" s="27" t="str">
        <f>IFERROR(VLOOKUP(C281,customer_lookup!$A:$E,2,FALSE),"")</f>
        <v>NM Account 0034</v>
      </c>
      <c r="E281" s="27" t="str">
        <f>IFERROR(VLOOKUP(C281,customer_lookup!$A:$E,3,FALSE),"")</f>
        <v>NM</v>
      </c>
      <c r="F281" s="28" t="str">
        <f>IFERROR(VLOOKUP(C281,customer_lookup!$A:$E,5,FALSE),"")</f>
        <v>Casey</v>
      </c>
      <c r="G281" s="25" t="s">
        <v>89</v>
      </c>
      <c r="H281" s="25" t="s">
        <v>190</v>
      </c>
      <c r="I281" s="27" t="str">
        <f>IFERROR(VLOOKUP(H281,product_lookup!$A:$D,2,FALSE),"")</f>
        <v>Mango Sparkling Beverage</v>
      </c>
      <c r="J281" s="29">
        <v>48.0</v>
      </c>
      <c r="K281" s="30">
        <v>8.09</v>
      </c>
      <c r="L281" s="31">
        <f t="shared" si="1"/>
        <v>388.32</v>
      </c>
      <c r="M281" s="25" t="s">
        <v>97</v>
      </c>
      <c r="N281" s="26">
        <v>46066.0</v>
      </c>
      <c r="O281" s="27">
        <f>SUMIF(inventory_snapshot!$B:$B,H281,inventory_snapshot!$E:$E)</f>
        <v>1502</v>
      </c>
      <c r="P281" s="32" t="str">
        <f t="shared" si="2"/>
        <v>OK</v>
      </c>
      <c r="Q281" s="32" t="str">
        <f t="shared" si="3"/>
        <v>OK</v>
      </c>
      <c r="R281" s="32" t="str">
        <f t="shared" si="4"/>
        <v>OK</v>
      </c>
      <c r="S281" s="32" t="str">
        <f t="shared" si="5"/>
        <v>Small</v>
      </c>
    </row>
    <row r="282" ht="15.75" customHeight="1">
      <c r="A282" s="17" t="s">
        <v>408</v>
      </c>
      <c r="B282" s="18">
        <v>46102.0</v>
      </c>
      <c r="C282" s="17" t="s">
        <v>303</v>
      </c>
      <c r="D282" s="19" t="str">
        <f>IFERROR(VLOOKUP(C282,customer_lookup!$A:$E,2,FALSE),"")</f>
        <v>MI Account 0056</v>
      </c>
      <c r="E282" s="19" t="str">
        <f>IFERROR(VLOOKUP(C282,customer_lookup!$A:$E,3,FALSE),"")</f>
        <v>MI</v>
      </c>
      <c r="F282" s="20" t="str">
        <f>IFERROR(VLOOKUP(C282,customer_lookup!$A:$E,5,FALSE),"")</f>
        <v>Casey</v>
      </c>
      <c r="G282" s="17" t="s">
        <v>63</v>
      </c>
      <c r="H282" s="17" t="s">
        <v>78</v>
      </c>
      <c r="I282" s="19" t="str">
        <f>IFERROR(VLOOKUP(H282,product_lookup!$A:$D,2,FALSE),"")</f>
        <v>Grapefruit 1:1:1 Gummies</v>
      </c>
      <c r="J282" s="21">
        <v>24.0</v>
      </c>
      <c r="K282" s="22">
        <v>9.93</v>
      </c>
      <c r="L282" s="23">
        <f t="shared" si="1"/>
        <v>238.32</v>
      </c>
      <c r="M282" s="17" t="s">
        <v>97</v>
      </c>
      <c r="N282" s="18">
        <v>46108.0</v>
      </c>
      <c r="O282" s="19">
        <f>SUMIF(inventory_snapshot!$B:$B,H282,inventory_snapshot!$E:$E)</f>
        <v>1751</v>
      </c>
      <c r="P282" s="24" t="str">
        <f t="shared" si="2"/>
        <v>OK</v>
      </c>
      <c r="Q282" s="24" t="str">
        <f t="shared" si="3"/>
        <v>OK</v>
      </c>
      <c r="R282" s="24" t="str">
        <f t="shared" si="4"/>
        <v>OK</v>
      </c>
      <c r="S282" s="24" t="str">
        <f t="shared" si="5"/>
        <v>Small</v>
      </c>
    </row>
    <row r="283" ht="15.75" customHeight="1">
      <c r="A283" s="25" t="s">
        <v>409</v>
      </c>
      <c r="B283" s="26">
        <v>46122.0</v>
      </c>
      <c r="C283" s="25" t="s">
        <v>310</v>
      </c>
      <c r="D283" s="27" t="str">
        <f>IFERROR(VLOOKUP(C283,customer_lookup!$A:$E,2,FALSE),"")</f>
        <v>AZ Account 0101</v>
      </c>
      <c r="E283" s="27" t="str">
        <f>IFERROR(VLOOKUP(C283,customer_lookup!$A:$E,3,FALSE),"")</f>
        <v>AZ</v>
      </c>
      <c r="F283" s="28" t="str">
        <f>IFERROR(VLOOKUP(C283,customer_lookup!$A:$E,5,FALSE),"")</f>
        <v>Casey</v>
      </c>
      <c r="G283" s="25" t="s">
        <v>63</v>
      </c>
      <c r="H283" s="25" t="s">
        <v>106</v>
      </c>
      <c r="I283" s="27" t="str">
        <f>IFERROR(VLOOKUP(H283,product_lookup!$A:$D,2,FALSE),"")</f>
        <v>Sour Cherry THC Gummies</v>
      </c>
      <c r="J283" s="29">
        <v>24.0</v>
      </c>
      <c r="K283" s="30">
        <v>11.57</v>
      </c>
      <c r="L283" s="31">
        <f t="shared" si="1"/>
        <v>277.68</v>
      </c>
      <c r="M283" s="25" t="s">
        <v>100</v>
      </c>
      <c r="N283" s="26">
        <v>46129.0</v>
      </c>
      <c r="O283" s="27">
        <f>SUMIF(inventory_snapshot!$B:$B,H283,inventory_snapshot!$E:$E)</f>
        <v>1313</v>
      </c>
      <c r="P283" s="32" t="str">
        <f t="shared" si="2"/>
        <v>OK</v>
      </c>
      <c r="Q283" s="32" t="str">
        <f t="shared" si="3"/>
        <v>OK</v>
      </c>
      <c r="R283" s="32" t="str">
        <f t="shared" si="4"/>
        <v>OK</v>
      </c>
      <c r="S283" s="32" t="str">
        <f t="shared" si="5"/>
        <v>Small</v>
      </c>
    </row>
    <row r="284" ht="15.75" customHeight="1">
      <c r="A284" s="17" t="s">
        <v>410</v>
      </c>
      <c r="B284" s="18">
        <v>46092.0</v>
      </c>
      <c r="C284" s="17" t="s">
        <v>305</v>
      </c>
      <c r="D284" s="19" t="str">
        <f>IFERROR(VLOOKUP(C284,customer_lookup!$A:$E,2,FALSE),"")</f>
        <v>AZ Account 0017</v>
      </c>
      <c r="E284" s="19" t="str">
        <f>IFERROR(VLOOKUP(C284,customer_lookup!$A:$E,3,FALSE),"")</f>
        <v>AZ</v>
      </c>
      <c r="F284" s="20" t="str">
        <f>IFERROR(VLOOKUP(C284,customer_lookup!$A:$E,5,FALSE),"")</f>
        <v>Casey</v>
      </c>
      <c r="G284" s="17" t="s">
        <v>63</v>
      </c>
      <c r="H284" s="17" t="s">
        <v>190</v>
      </c>
      <c r="I284" s="19" t="str">
        <f>IFERROR(VLOOKUP(H284,product_lookup!$A:$D,2,FALSE),"")</f>
        <v>Mango Sparkling Beverage</v>
      </c>
      <c r="J284" s="21">
        <v>30.0</v>
      </c>
      <c r="K284" s="22">
        <v>7.07</v>
      </c>
      <c r="L284" s="23">
        <f t="shared" si="1"/>
        <v>212.1</v>
      </c>
      <c r="M284" s="17" t="s">
        <v>65</v>
      </c>
      <c r="N284" s="18">
        <v>46098.0</v>
      </c>
      <c r="O284" s="19">
        <f>SUMIF(inventory_snapshot!$B:$B,H284,inventory_snapshot!$E:$E)</f>
        <v>1502</v>
      </c>
      <c r="P284" s="24" t="str">
        <f t="shared" si="2"/>
        <v>OK</v>
      </c>
      <c r="Q284" s="24" t="str">
        <f t="shared" si="3"/>
        <v>OK</v>
      </c>
      <c r="R284" s="24" t="str">
        <f t="shared" si="4"/>
        <v>OK</v>
      </c>
      <c r="S284" s="24" t="str">
        <f t="shared" si="5"/>
        <v>Small</v>
      </c>
    </row>
    <row r="285" ht="15.75" customHeight="1">
      <c r="A285" s="25" t="s">
        <v>411</v>
      </c>
      <c r="B285" s="26">
        <v>46103.0</v>
      </c>
      <c r="C285" s="25" t="s">
        <v>291</v>
      </c>
      <c r="D285" s="27" t="str">
        <f>IFERROR(VLOOKUP(C285,customer_lookup!$A:$E,2,FALSE),"")</f>
        <v>OK Account 0048</v>
      </c>
      <c r="E285" s="27" t="str">
        <f>IFERROR(VLOOKUP(C285,customer_lookup!$A:$E,3,FALSE),"")</f>
        <v>OK</v>
      </c>
      <c r="F285" s="28" t="str">
        <f>IFERROR(VLOOKUP(C285,customer_lookup!$A:$E,5,FALSE),"")</f>
        <v>Casey</v>
      </c>
      <c r="G285" s="25" t="s">
        <v>67</v>
      </c>
      <c r="H285" s="25" t="s">
        <v>115</v>
      </c>
      <c r="I285" s="27" t="str">
        <f>IFERROR(VLOOKUP(H285,product_lookup!$A:$D,2,FALSE),"")</f>
        <v>Pear 1:1 Gummies</v>
      </c>
      <c r="J285" s="29">
        <v>72.0</v>
      </c>
      <c r="K285" s="30">
        <v>10.92</v>
      </c>
      <c r="L285" s="31">
        <f t="shared" si="1"/>
        <v>786.24</v>
      </c>
      <c r="M285" s="25" t="s">
        <v>100</v>
      </c>
      <c r="N285" s="26">
        <v>46105.0</v>
      </c>
      <c r="O285" s="27">
        <f>SUMIF(inventory_snapshot!$B:$B,H285,inventory_snapshot!$E:$E)</f>
        <v>981</v>
      </c>
      <c r="P285" s="32" t="str">
        <f t="shared" si="2"/>
        <v>OK</v>
      </c>
      <c r="Q285" s="32" t="str">
        <f t="shared" si="3"/>
        <v>OK</v>
      </c>
      <c r="R285" s="32" t="str">
        <f t="shared" si="4"/>
        <v>OK</v>
      </c>
      <c r="S285" s="32" t="str">
        <f t="shared" si="5"/>
        <v>Medium</v>
      </c>
    </row>
    <row r="286" ht="15.75" customHeight="1">
      <c r="A286" s="17" t="s">
        <v>412</v>
      </c>
      <c r="B286" s="18">
        <v>46114.0</v>
      </c>
      <c r="C286" s="17" t="s">
        <v>305</v>
      </c>
      <c r="D286" s="19" t="str">
        <f>IFERROR(VLOOKUP(C286,customer_lookup!$A:$E,2,FALSE),"")</f>
        <v>AZ Account 0017</v>
      </c>
      <c r="E286" s="19" t="str">
        <f>IFERROR(VLOOKUP(C286,customer_lookup!$A:$E,3,FALSE),"")</f>
        <v>AZ</v>
      </c>
      <c r="F286" s="20" t="str">
        <f>IFERROR(VLOOKUP(C286,customer_lookup!$A:$E,5,FALSE),"")</f>
        <v>Casey</v>
      </c>
      <c r="G286" s="17" t="s">
        <v>89</v>
      </c>
      <c r="H286" s="17" t="s">
        <v>90</v>
      </c>
      <c r="I286" s="19" t="str">
        <f>IFERROR(VLOOKUP(H286,product_lookup!$A:$D,2,FALSE),"")</f>
        <v>Blackberry Sparkling Beverage</v>
      </c>
      <c r="J286" s="21">
        <v>60.0</v>
      </c>
      <c r="K286" s="22">
        <v>6.94</v>
      </c>
      <c r="L286" s="23">
        <f t="shared" si="1"/>
        <v>416.4</v>
      </c>
      <c r="M286" s="17" t="s">
        <v>65</v>
      </c>
      <c r="N286" s="18">
        <v>46116.0</v>
      </c>
      <c r="O286" s="19">
        <f>SUMIF(inventory_snapshot!$B:$B,H286,inventory_snapshot!$E:$E)</f>
        <v>1292</v>
      </c>
      <c r="P286" s="24" t="str">
        <f t="shared" si="2"/>
        <v>OK</v>
      </c>
      <c r="Q286" s="24" t="str">
        <f t="shared" si="3"/>
        <v>OK</v>
      </c>
      <c r="R286" s="24" t="str">
        <f t="shared" si="4"/>
        <v>OK</v>
      </c>
      <c r="S286" s="24" t="str">
        <f t="shared" si="5"/>
        <v>Small</v>
      </c>
    </row>
    <row r="287" ht="15.75" customHeight="1">
      <c r="A287" s="25" t="s">
        <v>413</v>
      </c>
      <c r="B287" s="26">
        <v>46089.0</v>
      </c>
      <c r="C287" s="25" t="s">
        <v>293</v>
      </c>
      <c r="D287" s="27" t="str">
        <f>IFERROR(VLOOKUP(C287,customer_lookup!$A:$E,2,FALSE),"")</f>
        <v>WA Account 0038</v>
      </c>
      <c r="E287" s="27" t="str">
        <f>IFERROR(VLOOKUP(C287,customer_lookup!$A:$E,3,FALSE),"")</f>
        <v>WA</v>
      </c>
      <c r="F287" s="28" t="str">
        <f>IFERROR(VLOOKUP(C287,customer_lookup!$A:$E,5,FALSE),"")</f>
        <v>Casey</v>
      </c>
      <c r="G287" s="25" t="s">
        <v>63</v>
      </c>
      <c r="H287" s="25" t="s">
        <v>95</v>
      </c>
      <c r="I287" s="27" t="str">
        <f>IFERROR(VLOOKUP(H287,product_lookup!$A:$D,2,FALSE),"")</f>
        <v>Boysenberry 1:1:1 Gummies</v>
      </c>
      <c r="J287" s="29">
        <v>18.0</v>
      </c>
      <c r="K287" s="30">
        <v>9.7</v>
      </c>
      <c r="L287" s="31">
        <f t="shared" si="1"/>
        <v>174.6</v>
      </c>
      <c r="M287" s="25" t="s">
        <v>97</v>
      </c>
      <c r="N287" s="26">
        <v>46094.0</v>
      </c>
      <c r="O287" s="27">
        <f>SUMIF(inventory_snapshot!$B:$B,H287,inventory_snapshot!$E:$E)</f>
        <v>2007</v>
      </c>
      <c r="P287" s="32" t="str">
        <f t="shared" si="2"/>
        <v>OK</v>
      </c>
      <c r="Q287" s="32" t="str">
        <f t="shared" si="3"/>
        <v>OK</v>
      </c>
      <c r="R287" s="32" t="str">
        <f t="shared" si="4"/>
        <v>OK</v>
      </c>
      <c r="S287" s="32" t="str">
        <f t="shared" si="5"/>
        <v>Small</v>
      </c>
    </row>
    <row r="288" ht="15.75" customHeight="1">
      <c r="A288" s="17" t="s">
        <v>414</v>
      </c>
      <c r="B288" s="18">
        <v>46054.0</v>
      </c>
      <c r="C288" s="17" t="s">
        <v>310</v>
      </c>
      <c r="D288" s="19" t="str">
        <f>IFERROR(VLOOKUP(C288,customer_lookup!$A:$E,2,FALSE),"")</f>
        <v>AZ Account 0101</v>
      </c>
      <c r="E288" s="19" t="str">
        <f>IFERROR(VLOOKUP(C288,customer_lookup!$A:$E,3,FALSE),"")</f>
        <v>AZ</v>
      </c>
      <c r="F288" s="20" t="str">
        <f>IFERROR(VLOOKUP(C288,customer_lookup!$A:$E,5,FALSE),"")</f>
        <v>Casey</v>
      </c>
      <c r="G288" s="17" t="s">
        <v>63</v>
      </c>
      <c r="H288" s="17" t="s">
        <v>162</v>
      </c>
      <c r="I288" s="19" t="str">
        <f>IFERROR(VLOOKUP(H288,product_lookup!$A:$D,2,FALSE),"")</f>
        <v>Marionberry THC Gummies</v>
      </c>
      <c r="J288" s="21">
        <v>96.0</v>
      </c>
      <c r="K288" s="22">
        <v>10.14</v>
      </c>
      <c r="L288" s="23">
        <f t="shared" si="1"/>
        <v>973.44</v>
      </c>
      <c r="M288" s="17" t="s">
        <v>65</v>
      </c>
      <c r="N288" s="18">
        <v>46061.0</v>
      </c>
      <c r="O288" s="19">
        <f>SUMIF(inventory_snapshot!$B:$B,H288,inventory_snapshot!$E:$E)</f>
        <v>1599</v>
      </c>
      <c r="P288" s="24" t="str">
        <f t="shared" si="2"/>
        <v>OK</v>
      </c>
      <c r="Q288" s="24" t="str">
        <f t="shared" si="3"/>
        <v>OK</v>
      </c>
      <c r="R288" s="24" t="str">
        <f t="shared" si="4"/>
        <v>OK</v>
      </c>
      <c r="S288" s="24" t="str">
        <f t="shared" si="5"/>
        <v>Medium</v>
      </c>
    </row>
    <row r="289" ht="15.75" customHeight="1">
      <c r="A289" s="25" t="s">
        <v>415</v>
      </c>
      <c r="B289" s="26">
        <v>46143.0</v>
      </c>
      <c r="C289" s="25" t="s">
        <v>339</v>
      </c>
      <c r="D289" s="27" t="str">
        <f>IFERROR(VLOOKUP(C289,customer_lookup!$A:$E,2,FALSE),"")</f>
        <v>NM Account 0034</v>
      </c>
      <c r="E289" s="27" t="str">
        <f>IFERROR(VLOOKUP(C289,customer_lookup!$A:$E,3,FALSE),"")</f>
        <v>NM</v>
      </c>
      <c r="F289" s="28" t="str">
        <f>IFERROR(VLOOKUP(C289,customer_lookup!$A:$E,5,FALSE),"")</f>
        <v>Casey</v>
      </c>
      <c r="G289" s="25" t="s">
        <v>63</v>
      </c>
      <c r="H289" s="25" t="s">
        <v>106</v>
      </c>
      <c r="I289" s="27" t="str">
        <f>IFERROR(VLOOKUP(H289,product_lookup!$A:$D,2,FALSE),"")</f>
        <v>Sour Cherry THC Gummies</v>
      </c>
      <c r="J289" s="29">
        <v>12.0</v>
      </c>
      <c r="K289" s="30">
        <v>9.79</v>
      </c>
      <c r="L289" s="31">
        <f t="shared" si="1"/>
        <v>117.48</v>
      </c>
      <c r="M289" s="25" t="s">
        <v>97</v>
      </c>
      <c r="N289" s="26">
        <v>46147.0</v>
      </c>
      <c r="O289" s="27">
        <f>SUMIF(inventory_snapshot!$B:$B,H289,inventory_snapshot!$E:$E)</f>
        <v>1313</v>
      </c>
      <c r="P289" s="32" t="str">
        <f t="shared" si="2"/>
        <v>OK</v>
      </c>
      <c r="Q289" s="32" t="str">
        <f t="shared" si="3"/>
        <v>OK</v>
      </c>
      <c r="R289" s="32" t="str">
        <f t="shared" si="4"/>
        <v>OK</v>
      </c>
      <c r="S289" s="32" t="str">
        <f t="shared" si="5"/>
        <v>Small</v>
      </c>
    </row>
    <row r="290" ht="15.75" customHeight="1">
      <c r="A290" s="17" t="s">
        <v>416</v>
      </c>
      <c r="B290" s="18">
        <v>46091.0</v>
      </c>
      <c r="C290" s="17" t="s">
        <v>310</v>
      </c>
      <c r="D290" s="19" t="str">
        <f>IFERROR(VLOOKUP(C290,customer_lookup!$A:$E,2,FALSE),"")</f>
        <v>AZ Account 0101</v>
      </c>
      <c r="E290" s="19" t="str">
        <f>IFERROR(VLOOKUP(C290,customer_lookup!$A:$E,3,FALSE),"")</f>
        <v>AZ</v>
      </c>
      <c r="F290" s="20" t="str">
        <f>IFERROR(VLOOKUP(C290,customer_lookup!$A:$E,5,FALSE),"")</f>
        <v>Casey</v>
      </c>
      <c r="G290" s="17" t="s">
        <v>63</v>
      </c>
      <c r="H290" s="17" t="s">
        <v>123</v>
      </c>
      <c r="I290" s="19" t="str">
        <f>IFERROR(VLOOKUP(H290,product_lookup!$A:$D,2,FALSE),"")</f>
        <v>Peach 2:1 Gummies</v>
      </c>
      <c r="J290" s="21">
        <v>48.0</v>
      </c>
      <c r="K290" s="22">
        <v>11.74</v>
      </c>
      <c r="L290" s="23">
        <f t="shared" si="1"/>
        <v>563.52</v>
      </c>
      <c r="M290" s="17" t="s">
        <v>65</v>
      </c>
      <c r="N290" s="18">
        <v>46099.0</v>
      </c>
      <c r="O290" s="19">
        <f>SUMIF(inventory_snapshot!$B:$B,H290,inventory_snapshot!$E:$E)</f>
        <v>1732</v>
      </c>
      <c r="P290" s="24" t="str">
        <f t="shared" si="2"/>
        <v>OK</v>
      </c>
      <c r="Q290" s="24" t="str">
        <f t="shared" si="3"/>
        <v>OK</v>
      </c>
      <c r="R290" s="24" t="str">
        <f t="shared" si="4"/>
        <v>OK</v>
      </c>
      <c r="S290" s="24" t="str">
        <f t="shared" si="5"/>
        <v>Medium</v>
      </c>
    </row>
    <row r="291" ht="15.75" customHeight="1">
      <c r="A291" s="25" t="s">
        <v>417</v>
      </c>
      <c r="B291" s="26">
        <v>46025.0</v>
      </c>
      <c r="C291" s="25" t="s">
        <v>295</v>
      </c>
      <c r="D291" s="27" t="str">
        <f>IFERROR(VLOOKUP(C291,customer_lookup!$A:$E,2,FALSE),"")</f>
        <v>AZ Account 0077</v>
      </c>
      <c r="E291" s="27" t="str">
        <f>IFERROR(VLOOKUP(C291,customer_lookup!$A:$E,3,FALSE),"")</f>
        <v>AZ</v>
      </c>
      <c r="F291" s="28" t="str">
        <f>IFERROR(VLOOKUP(C291,customer_lookup!$A:$E,5,FALSE),"")</f>
        <v>Casey</v>
      </c>
      <c r="G291" s="25" t="s">
        <v>63</v>
      </c>
      <c r="H291" s="25" t="s">
        <v>92</v>
      </c>
      <c r="I291" s="27" t="str">
        <f>IFERROR(VLOOKUP(H291,product_lookup!$A:$D,2,FALSE),"")</f>
        <v>Raspberry THC Gummies</v>
      </c>
      <c r="J291" s="29">
        <v>18.0</v>
      </c>
      <c r="K291" s="30">
        <v>10.81</v>
      </c>
      <c r="L291" s="31">
        <f t="shared" si="1"/>
        <v>194.58</v>
      </c>
      <c r="M291" s="25" t="s">
        <v>100</v>
      </c>
      <c r="N291" s="26">
        <v>46026.0</v>
      </c>
      <c r="O291" s="27">
        <f>SUMIF(inventory_snapshot!$B:$B,H291,inventory_snapshot!$E:$E)</f>
        <v>1417</v>
      </c>
      <c r="P291" s="32" t="str">
        <f t="shared" si="2"/>
        <v>OK</v>
      </c>
      <c r="Q291" s="32" t="str">
        <f t="shared" si="3"/>
        <v>OK</v>
      </c>
      <c r="R291" s="32" t="str">
        <f t="shared" si="4"/>
        <v>OK</v>
      </c>
      <c r="S291" s="32" t="str">
        <f t="shared" si="5"/>
        <v>Small</v>
      </c>
    </row>
    <row r="292" ht="15.75" customHeight="1">
      <c r="A292" s="17" t="s">
        <v>418</v>
      </c>
      <c r="B292" s="18">
        <v>46120.0</v>
      </c>
      <c r="C292" s="17" t="s">
        <v>314</v>
      </c>
      <c r="D292" s="19" t="str">
        <f>IFERROR(VLOOKUP(C292,customer_lookup!$A:$E,2,FALSE),"")</f>
        <v>IL Account 0115</v>
      </c>
      <c r="E292" s="19" t="str">
        <f>IFERROR(VLOOKUP(C292,customer_lookup!$A:$E,3,FALSE),"")</f>
        <v>IL</v>
      </c>
      <c r="F292" s="20" t="str">
        <f>IFERROR(VLOOKUP(C292,customer_lookup!$A:$E,5,FALSE),"")</f>
        <v>Casey</v>
      </c>
      <c r="G292" s="17" t="s">
        <v>63</v>
      </c>
      <c r="H292" s="17" t="s">
        <v>90</v>
      </c>
      <c r="I292" s="19" t="str">
        <f>IFERROR(VLOOKUP(H292,product_lookup!$A:$D,2,FALSE),"")</f>
        <v>Blackberry Sparkling Beverage</v>
      </c>
      <c r="J292" s="21">
        <v>48.0</v>
      </c>
      <c r="K292" s="22">
        <v>7.56</v>
      </c>
      <c r="L292" s="23">
        <f t="shared" si="1"/>
        <v>362.88</v>
      </c>
      <c r="M292" s="17" t="s">
        <v>65</v>
      </c>
      <c r="N292" s="18">
        <v>46122.0</v>
      </c>
      <c r="O292" s="19">
        <f>SUMIF(inventory_snapshot!$B:$B,H292,inventory_snapshot!$E:$E)</f>
        <v>1292</v>
      </c>
      <c r="P292" s="24" t="str">
        <f t="shared" si="2"/>
        <v>OK</v>
      </c>
      <c r="Q292" s="24" t="str">
        <f t="shared" si="3"/>
        <v>OK</v>
      </c>
      <c r="R292" s="24" t="str">
        <f t="shared" si="4"/>
        <v>OK</v>
      </c>
      <c r="S292" s="24" t="str">
        <f t="shared" si="5"/>
        <v>Small</v>
      </c>
    </row>
    <row r="293" ht="15.75" customHeight="1">
      <c r="A293" s="25" t="s">
        <v>419</v>
      </c>
      <c r="B293" s="26">
        <v>46063.0</v>
      </c>
      <c r="C293" s="25" t="s">
        <v>320</v>
      </c>
      <c r="D293" s="27" t="str">
        <f>IFERROR(VLOOKUP(C293,customer_lookup!$A:$E,2,FALSE),"")</f>
        <v>MO Account 0069</v>
      </c>
      <c r="E293" s="27" t="str">
        <f>IFERROR(VLOOKUP(C293,customer_lookup!$A:$E,3,FALSE),"")</f>
        <v>MO</v>
      </c>
      <c r="F293" s="28" t="str">
        <f>IFERROR(VLOOKUP(C293,customer_lookup!$A:$E,5,FALSE),"")</f>
        <v>Casey</v>
      </c>
      <c r="G293" s="25" t="s">
        <v>89</v>
      </c>
      <c r="H293" s="25" t="s">
        <v>74</v>
      </c>
      <c r="I293" s="27" t="str">
        <f>IFERROR(VLOOKUP(H293,product_lookup!$A:$D,2,FALSE),"")</f>
        <v>Strawberry 20:1 Gummies</v>
      </c>
      <c r="J293" s="29">
        <v>6.0</v>
      </c>
      <c r="K293" s="30">
        <v>11.25</v>
      </c>
      <c r="L293" s="31">
        <f t="shared" si="1"/>
        <v>67.5</v>
      </c>
      <c r="M293" s="25" t="s">
        <v>97</v>
      </c>
      <c r="N293" s="26">
        <v>46064.0</v>
      </c>
      <c r="O293" s="27">
        <f>SUMIF(inventory_snapshot!$B:$B,H293,inventory_snapshot!$E:$E)</f>
        <v>2294</v>
      </c>
      <c r="P293" s="32" t="str">
        <f t="shared" si="2"/>
        <v>OK</v>
      </c>
      <c r="Q293" s="32" t="str">
        <f t="shared" si="3"/>
        <v>OK</v>
      </c>
      <c r="R293" s="32" t="str">
        <f t="shared" si="4"/>
        <v>OK</v>
      </c>
      <c r="S293" s="32" t="str">
        <f t="shared" si="5"/>
        <v>Small</v>
      </c>
    </row>
    <row r="294" ht="15.75" customHeight="1">
      <c r="A294" s="17" t="s">
        <v>420</v>
      </c>
      <c r="B294" s="18">
        <v>46098.0</v>
      </c>
      <c r="C294" s="17" t="s">
        <v>330</v>
      </c>
      <c r="D294" s="19" t="str">
        <f>IFERROR(VLOOKUP(C294,customer_lookup!$A:$E,2,FALSE),"")</f>
        <v>WA Account 0002</v>
      </c>
      <c r="E294" s="19" t="str">
        <f>IFERROR(VLOOKUP(C294,customer_lookup!$A:$E,3,FALSE),"")</f>
        <v>WA</v>
      </c>
      <c r="F294" s="20" t="str">
        <f>IFERROR(VLOOKUP(C294,customer_lookup!$A:$E,5,FALSE),"")</f>
        <v>Casey</v>
      </c>
      <c r="G294" s="17" t="s">
        <v>63</v>
      </c>
      <c r="H294" s="17" t="s">
        <v>190</v>
      </c>
      <c r="I294" s="19" t="str">
        <f>IFERROR(VLOOKUP(H294,product_lookup!$A:$D,2,FALSE),"")</f>
        <v>Mango Sparkling Beverage</v>
      </c>
      <c r="J294" s="21">
        <v>120.0</v>
      </c>
      <c r="K294" s="22">
        <v>7.77</v>
      </c>
      <c r="L294" s="23">
        <f t="shared" si="1"/>
        <v>932.4</v>
      </c>
      <c r="M294" s="17" t="s">
        <v>100</v>
      </c>
      <c r="N294" s="18">
        <v>46107.0</v>
      </c>
      <c r="O294" s="19">
        <f>SUMIF(inventory_snapshot!$B:$B,H294,inventory_snapshot!$E:$E)</f>
        <v>1502</v>
      </c>
      <c r="P294" s="24" t="str">
        <f t="shared" si="2"/>
        <v>OK</v>
      </c>
      <c r="Q294" s="24" t="str">
        <f t="shared" si="3"/>
        <v>OK</v>
      </c>
      <c r="R294" s="24" t="str">
        <f t="shared" si="4"/>
        <v>OK</v>
      </c>
      <c r="S294" s="24" t="str">
        <f t="shared" si="5"/>
        <v>Medium</v>
      </c>
    </row>
    <row r="295" ht="15.75" customHeight="1">
      <c r="A295" s="25" t="s">
        <v>421</v>
      </c>
      <c r="B295" s="26">
        <v>46143.0</v>
      </c>
      <c r="C295" s="25" t="s">
        <v>291</v>
      </c>
      <c r="D295" s="27" t="str">
        <f>IFERROR(VLOOKUP(C295,customer_lookup!$A:$E,2,FALSE),"")</f>
        <v>OK Account 0048</v>
      </c>
      <c r="E295" s="27" t="str">
        <f>IFERROR(VLOOKUP(C295,customer_lookup!$A:$E,3,FALSE),"")</f>
        <v>OK</v>
      </c>
      <c r="F295" s="28" t="str">
        <f>IFERROR(VLOOKUP(C295,customer_lookup!$A:$E,5,FALSE),"")</f>
        <v>Casey</v>
      </c>
      <c r="G295" s="25" t="s">
        <v>89</v>
      </c>
      <c r="H295" s="25" t="s">
        <v>154</v>
      </c>
      <c r="I295" s="27" t="str">
        <f>IFERROR(VLOOKUP(H295,product_lookup!$A:$D,2,FALSE),"")</f>
        <v>Kiwi 1:1 Gummies</v>
      </c>
      <c r="J295" s="29">
        <v>72.0</v>
      </c>
      <c r="K295" s="30">
        <v>11.78</v>
      </c>
      <c r="L295" s="31">
        <f t="shared" si="1"/>
        <v>848.16</v>
      </c>
      <c r="M295" s="25" t="s">
        <v>93</v>
      </c>
      <c r="N295" s="26">
        <v>46145.0</v>
      </c>
      <c r="O295" s="27">
        <f>SUMIF(inventory_snapshot!$B:$B,H295,inventory_snapshot!$E:$E)</f>
        <v>1136</v>
      </c>
      <c r="P295" s="32" t="str">
        <f t="shared" si="2"/>
        <v>OK</v>
      </c>
      <c r="Q295" s="32" t="str">
        <f t="shared" si="3"/>
        <v>OK</v>
      </c>
      <c r="R295" s="32" t="str">
        <f t="shared" si="4"/>
        <v>OK</v>
      </c>
      <c r="S295" s="32" t="str">
        <f t="shared" si="5"/>
        <v>Medium</v>
      </c>
    </row>
    <row r="296" ht="15.75" customHeight="1">
      <c r="A296" s="17" t="s">
        <v>422</v>
      </c>
      <c r="B296" s="18">
        <v>46047.0</v>
      </c>
      <c r="C296" s="17" t="s">
        <v>305</v>
      </c>
      <c r="D296" s="19" t="str">
        <f>IFERROR(VLOOKUP(C296,customer_lookup!$A:$E,2,FALSE),"")</f>
        <v>AZ Account 0017</v>
      </c>
      <c r="E296" s="19" t="str">
        <f>IFERROR(VLOOKUP(C296,customer_lookup!$A:$E,3,FALSE),"")</f>
        <v>AZ</v>
      </c>
      <c r="F296" s="20" t="str">
        <f>IFERROR(VLOOKUP(C296,customer_lookup!$A:$E,5,FALSE),"")</f>
        <v>Casey</v>
      </c>
      <c r="G296" s="17" t="s">
        <v>63</v>
      </c>
      <c r="H296" s="17" t="s">
        <v>162</v>
      </c>
      <c r="I296" s="19" t="str">
        <f>IFERROR(VLOOKUP(H296,product_lookup!$A:$D,2,FALSE),"")</f>
        <v>Marionberry THC Gummies</v>
      </c>
      <c r="J296" s="21">
        <v>72.0</v>
      </c>
      <c r="K296" s="22">
        <v>10.0</v>
      </c>
      <c r="L296" s="23">
        <f t="shared" si="1"/>
        <v>720</v>
      </c>
      <c r="M296" s="17" t="s">
        <v>75</v>
      </c>
      <c r="N296" s="18">
        <v>46051.0</v>
      </c>
      <c r="O296" s="19">
        <f>SUMIF(inventory_snapshot!$B:$B,H296,inventory_snapshot!$E:$E)</f>
        <v>1599</v>
      </c>
      <c r="P296" s="24" t="str">
        <f t="shared" si="2"/>
        <v>OK</v>
      </c>
      <c r="Q296" s="24" t="str">
        <f t="shared" si="3"/>
        <v>OK</v>
      </c>
      <c r="R296" s="24" t="str">
        <f t="shared" si="4"/>
        <v>OK</v>
      </c>
      <c r="S296" s="24" t="str">
        <f t="shared" si="5"/>
        <v>Medium</v>
      </c>
    </row>
    <row r="297" ht="15.75" customHeight="1">
      <c r="A297" s="25" t="s">
        <v>423</v>
      </c>
      <c r="B297" s="26">
        <v>46119.0</v>
      </c>
      <c r="C297" s="25" t="s">
        <v>310</v>
      </c>
      <c r="D297" s="27" t="str">
        <f>IFERROR(VLOOKUP(C297,customer_lookup!$A:$E,2,FALSE),"")</f>
        <v>AZ Account 0101</v>
      </c>
      <c r="E297" s="27" t="str">
        <f>IFERROR(VLOOKUP(C297,customer_lookup!$A:$E,3,FALSE),"")</f>
        <v>AZ</v>
      </c>
      <c r="F297" s="28" t="str">
        <f>IFERROR(VLOOKUP(C297,customer_lookup!$A:$E,5,FALSE),"")</f>
        <v>Casey</v>
      </c>
      <c r="G297" s="25" t="s">
        <v>67</v>
      </c>
      <c r="H297" s="25" t="s">
        <v>81</v>
      </c>
      <c r="I297" s="27" t="str">
        <f>IFERROR(VLOOKUP(H297,product_lookup!$A:$D,2,FALSE),"")</f>
        <v>Lemon Sparkling Beverage</v>
      </c>
      <c r="J297" s="29">
        <v>60.0</v>
      </c>
      <c r="K297" s="30">
        <v>7.57</v>
      </c>
      <c r="L297" s="31">
        <f t="shared" si="1"/>
        <v>454.2</v>
      </c>
      <c r="M297" s="25" t="s">
        <v>137</v>
      </c>
      <c r="N297" s="26">
        <v>46125.0</v>
      </c>
      <c r="O297" s="27">
        <f>SUMIF(inventory_snapshot!$B:$B,H297,inventory_snapshot!$E:$E)</f>
        <v>1360</v>
      </c>
      <c r="P297" s="32" t="str">
        <f t="shared" si="2"/>
        <v>OK</v>
      </c>
      <c r="Q297" s="32" t="str">
        <f t="shared" si="3"/>
        <v>OK</v>
      </c>
      <c r="R297" s="32" t="str">
        <f t="shared" si="4"/>
        <v>OK</v>
      </c>
      <c r="S297" s="32" t="str">
        <f t="shared" si="5"/>
        <v>Small</v>
      </c>
    </row>
    <row r="298" ht="15.75" customHeight="1">
      <c r="A298" s="17" t="s">
        <v>424</v>
      </c>
      <c r="B298" s="18">
        <v>46080.0</v>
      </c>
      <c r="C298" s="17" t="s">
        <v>326</v>
      </c>
      <c r="D298" s="19" t="str">
        <f>IFERROR(VLOOKUP(C298,customer_lookup!$A:$E,2,FALSE),"")</f>
        <v>IL Account 0043</v>
      </c>
      <c r="E298" s="19" t="str">
        <f>IFERROR(VLOOKUP(C298,customer_lookup!$A:$E,3,FALSE),"")</f>
        <v>IL</v>
      </c>
      <c r="F298" s="20" t="str">
        <f>IFERROR(VLOOKUP(C298,customer_lookup!$A:$E,5,FALSE),"")</f>
        <v>Casey</v>
      </c>
      <c r="G298" s="17" t="s">
        <v>63</v>
      </c>
      <c r="H298" s="17" t="s">
        <v>64</v>
      </c>
      <c r="I298" s="19" t="str">
        <f>IFERROR(VLOOKUP(H298,product_lookup!$A:$D,2,FALSE),"")</f>
        <v>Cranberry Sparkling Beverage</v>
      </c>
      <c r="J298" s="21">
        <v>120.0</v>
      </c>
      <c r="K298" s="22">
        <v>8.36</v>
      </c>
      <c r="L298" s="23">
        <f t="shared" si="1"/>
        <v>1003.2</v>
      </c>
      <c r="M298" s="17" t="s">
        <v>100</v>
      </c>
      <c r="N298" s="18">
        <v>46089.0</v>
      </c>
      <c r="O298" s="19">
        <f>SUMIF(inventory_snapshot!$B:$B,H298,inventory_snapshot!$E:$E)</f>
        <v>1152</v>
      </c>
      <c r="P298" s="24" t="str">
        <f t="shared" si="2"/>
        <v>OK</v>
      </c>
      <c r="Q298" s="24" t="str">
        <f t="shared" si="3"/>
        <v>OK</v>
      </c>
      <c r="R298" s="24" t="str">
        <f t="shared" si="4"/>
        <v>OK</v>
      </c>
      <c r="S298" s="24" t="str">
        <f t="shared" si="5"/>
        <v>Large</v>
      </c>
    </row>
    <row r="299" ht="15.75" customHeight="1">
      <c r="A299" s="25" t="s">
        <v>425</v>
      </c>
      <c r="B299" s="26">
        <v>46076.0</v>
      </c>
      <c r="C299" s="25" t="s">
        <v>305</v>
      </c>
      <c r="D299" s="27" t="str">
        <f>IFERROR(VLOOKUP(C299,customer_lookup!$A:$E,2,FALSE),"")</f>
        <v>AZ Account 0017</v>
      </c>
      <c r="E299" s="27" t="str">
        <f>IFERROR(VLOOKUP(C299,customer_lookup!$A:$E,3,FALSE),"")</f>
        <v>AZ</v>
      </c>
      <c r="F299" s="28" t="str">
        <f>IFERROR(VLOOKUP(C299,customer_lookup!$A:$E,5,FALSE),"")</f>
        <v>Casey</v>
      </c>
      <c r="G299" s="25" t="s">
        <v>89</v>
      </c>
      <c r="H299" s="25" t="s">
        <v>81</v>
      </c>
      <c r="I299" s="27" t="str">
        <f>IFERROR(VLOOKUP(H299,product_lookup!$A:$D,2,FALSE),"")</f>
        <v>Lemon Sparkling Beverage</v>
      </c>
      <c r="J299" s="29">
        <v>60.0</v>
      </c>
      <c r="K299" s="30">
        <v>7.6</v>
      </c>
      <c r="L299" s="31">
        <f t="shared" si="1"/>
        <v>456</v>
      </c>
      <c r="M299" s="25" t="s">
        <v>75</v>
      </c>
      <c r="N299" s="26">
        <v>46080.0</v>
      </c>
      <c r="O299" s="27">
        <f>SUMIF(inventory_snapshot!$B:$B,H299,inventory_snapshot!$E:$E)</f>
        <v>1360</v>
      </c>
      <c r="P299" s="32" t="str">
        <f t="shared" si="2"/>
        <v>OK</v>
      </c>
      <c r="Q299" s="32" t="str">
        <f t="shared" si="3"/>
        <v>OK</v>
      </c>
      <c r="R299" s="32" t="str">
        <f t="shared" si="4"/>
        <v>OK</v>
      </c>
      <c r="S299" s="32" t="str">
        <f t="shared" si="5"/>
        <v>Small</v>
      </c>
    </row>
    <row r="300" ht="15.75" customHeight="1">
      <c r="A300" s="17" t="s">
        <v>426</v>
      </c>
      <c r="B300" s="18">
        <v>46043.0</v>
      </c>
      <c r="C300" s="17" t="s">
        <v>303</v>
      </c>
      <c r="D300" s="19" t="str">
        <f>IFERROR(VLOOKUP(C300,customer_lookup!$A:$E,2,FALSE),"")</f>
        <v>MI Account 0056</v>
      </c>
      <c r="E300" s="19" t="str">
        <f>IFERROR(VLOOKUP(C300,customer_lookup!$A:$E,3,FALSE),"")</f>
        <v>MI</v>
      </c>
      <c r="F300" s="20" t="str">
        <f>IFERROR(VLOOKUP(C300,customer_lookup!$A:$E,5,FALSE),"")</f>
        <v>Casey</v>
      </c>
      <c r="G300" s="17" t="s">
        <v>63</v>
      </c>
      <c r="H300" s="17" t="s">
        <v>90</v>
      </c>
      <c r="I300" s="19" t="str">
        <f>IFERROR(VLOOKUP(H300,product_lookup!$A:$D,2,FALSE),"")</f>
        <v>Blackberry Sparkling Beverage</v>
      </c>
      <c r="J300" s="21">
        <v>96.0</v>
      </c>
      <c r="K300" s="22">
        <v>7.61</v>
      </c>
      <c r="L300" s="23">
        <f t="shared" si="1"/>
        <v>730.56</v>
      </c>
      <c r="M300" s="17" t="s">
        <v>97</v>
      </c>
      <c r="N300" s="18">
        <v>46051.0</v>
      </c>
      <c r="O300" s="19">
        <f>SUMIF(inventory_snapshot!$B:$B,H300,inventory_snapshot!$E:$E)</f>
        <v>1292</v>
      </c>
      <c r="P300" s="24" t="str">
        <f t="shared" si="2"/>
        <v>OK</v>
      </c>
      <c r="Q300" s="24" t="str">
        <f t="shared" si="3"/>
        <v>OK</v>
      </c>
      <c r="R300" s="24" t="str">
        <f t="shared" si="4"/>
        <v>OK</v>
      </c>
      <c r="S300" s="24" t="str">
        <f t="shared" si="5"/>
        <v>Medium</v>
      </c>
    </row>
    <row r="301" ht="15.75" customHeight="1">
      <c r="A301" s="25" t="s">
        <v>427</v>
      </c>
      <c r="B301" s="26">
        <v>46117.0</v>
      </c>
      <c r="C301" s="25" t="s">
        <v>312</v>
      </c>
      <c r="D301" s="27" t="str">
        <f>IFERROR(VLOOKUP(C301,customer_lookup!$A:$E,2,FALSE),"")</f>
        <v>WA Account 0074</v>
      </c>
      <c r="E301" s="27" t="str">
        <f>IFERROR(VLOOKUP(C301,customer_lookup!$A:$E,3,FALSE),"")</f>
        <v>WA</v>
      </c>
      <c r="F301" s="28" t="str">
        <f>IFERROR(VLOOKUP(C301,customer_lookup!$A:$E,5,FALSE),"")</f>
        <v>Casey</v>
      </c>
      <c r="G301" s="25" t="s">
        <v>63</v>
      </c>
      <c r="H301" s="25" t="s">
        <v>95</v>
      </c>
      <c r="I301" s="27" t="str">
        <f>IFERROR(VLOOKUP(H301,product_lookup!$A:$D,2,FALSE),"")</f>
        <v>Boysenberry 1:1:1 Gummies</v>
      </c>
      <c r="J301" s="29">
        <v>12.0</v>
      </c>
      <c r="K301" s="30">
        <v>10.05</v>
      </c>
      <c r="L301" s="31">
        <f t="shared" si="1"/>
        <v>120.6</v>
      </c>
      <c r="M301" s="25" t="s">
        <v>93</v>
      </c>
      <c r="N301" s="26">
        <v>46122.0</v>
      </c>
      <c r="O301" s="27">
        <f>SUMIF(inventory_snapshot!$B:$B,H301,inventory_snapshot!$E:$E)</f>
        <v>2007</v>
      </c>
      <c r="P301" s="32" t="str">
        <f t="shared" si="2"/>
        <v>OK</v>
      </c>
      <c r="Q301" s="32" t="str">
        <f t="shared" si="3"/>
        <v>OK</v>
      </c>
      <c r="R301" s="32" t="str">
        <f t="shared" si="4"/>
        <v>OK</v>
      </c>
      <c r="S301" s="32" t="str">
        <f t="shared" si="5"/>
        <v>Small</v>
      </c>
    </row>
    <row r="302" ht="15.75" customHeight="1">
      <c r="A302" s="17" t="s">
        <v>428</v>
      </c>
      <c r="B302" s="18">
        <v>46079.0</v>
      </c>
      <c r="C302" s="17" t="s">
        <v>320</v>
      </c>
      <c r="D302" s="19" t="str">
        <f>IFERROR(VLOOKUP(C302,customer_lookup!$A:$E,2,FALSE),"")</f>
        <v>MO Account 0069</v>
      </c>
      <c r="E302" s="19" t="str">
        <f>IFERROR(VLOOKUP(C302,customer_lookup!$A:$E,3,FALSE),"")</f>
        <v>MO</v>
      </c>
      <c r="F302" s="20" t="str">
        <f>IFERROR(VLOOKUP(C302,customer_lookup!$A:$E,5,FALSE),"")</f>
        <v>Casey</v>
      </c>
      <c r="G302" s="17" t="s">
        <v>63</v>
      </c>
      <c r="H302" s="17" t="s">
        <v>162</v>
      </c>
      <c r="I302" s="19" t="str">
        <f>IFERROR(VLOOKUP(H302,product_lookup!$A:$D,2,FALSE),"")</f>
        <v>Marionberry THC Gummies</v>
      </c>
      <c r="J302" s="21">
        <v>6.0</v>
      </c>
      <c r="K302" s="22">
        <v>10.94</v>
      </c>
      <c r="L302" s="23">
        <f t="shared" si="1"/>
        <v>65.64</v>
      </c>
      <c r="M302" s="17" t="s">
        <v>65</v>
      </c>
      <c r="N302" s="18">
        <v>46081.0</v>
      </c>
      <c r="O302" s="19">
        <f>SUMIF(inventory_snapshot!$B:$B,H302,inventory_snapshot!$E:$E)</f>
        <v>1599</v>
      </c>
      <c r="P302" s="24" t="str">
        <f t="shared" si="2"/>
        <v>OK</v>
      </c>
      <c r="Q302" s="24" t="str">
        <f t="shared" si="3"/>
        <v>OK</v>
      </c>
      <c r="R302" s="24" t="str">
        <f t="shared" si="4"/>
        <v>OK</v>
      </c>
      <c r="S302" s="24" t="str">
        <f t="shared" si="5"/>
        <v>Small</v>
      </c>
    </row>
    <row r="303" ht="15.75" customHeight="1">
      <c r="A303" s="25" t="s">
        <v>429</v>
      </c>
      <c r="B303" s="26">
        <v>46073.0</v>
      </c>
      <c r="C303" s="25" t="s">
        <v>299</v>
      </c>
      <c r="D303" s="27" t="str">
        <f>IFERROR(VLOOKUP(C303,customer_lookup!$A:$E,2,FALSE),"")</f>
        <v>CA Account 0027</v>
      </c>
      <c r="E303" s="27" t="str">
        <f>IFERROR(VLOOKUP(C303,customer_lookup!$A:$E,3,FALSE),"")</f>
        <v>CA</v>
      </c>
      <c r="F303" s="28" t="str">
        <f>IFERROR(VLOOKUP(C303,customer_lookup!$A:$E,5,FALSE),"")</f>
        <v>Casey</v>
      </c>
      <c r="G303" s="25" t="s">
        <v>63</v>
      </c>
      <c r="H303" s="25" t="s">
        <v>81</v>
      </c>
      <c r="I303" s="27" t="str">
        <f>IFERROR(VLOOKUP(H303,product_lookup!$A:$D,2,FALSE),"")</f>
        <v>Lemon Sparkling Beverage</v>
      </c>
      <c r="J303" s="29">
        <v>48.0</v>
      </c>
      <c r="K303" s="30">
        <v>6.7</v>
      </c>
      <c r="L303" s="31">
        <f t="shared" si="1"/>
        <v>321.6</v>
      </c>
      <c r="M303" s="25" t="s">
        <v>97</v>
      </c>
      <c r="N303" s="26">
        <v>46076.0</v>
      </c>
      <c r="O303" s="27">
        <f>SUMIF(inventory_snapshot!$B:$B,H303,inventory_snapshot!$E:$E)</f>
        <v>1360</v>
      </c>
      <c r="P303" s="32" t="str">
        <f t="shared" si="2"/>
        <v>OK</v>
      </c>
      <c r="Q303" s="32" t="str">
        <f t="shared" si="3"/>
        <v>OK</v>
      </c>
      <c r="R303" s="32" t="str">
        <f t="shared" si="4"/>
        <v>OK</v>
      </c>
      <c r="S303" s="32" t="str">
        <f t="shared" si="5"/>
        <v>Small</v>
      </c>
    </row>
    <row r="304" ht="15.75" customHeight="1">
      <c r="A304" s="17" t="s">
        <v>430</v>
      </c>
      <c r="B304" s="18">
        <v>46050.0</v>
      </c>
      <c r="C304" s="17" t="s">
        <v>330</v>
      </c>
      <c r="D304" s="19" t="str">
        <f>IFERROR(VLOOKUP(C304,customer_lookup!$A:$E,2,FALSE),"")</f>
        <v>WA Account 0002</v>
      </c>
      <c r="E304" s="19" t="str">
        <f>IFERROR(VLOOKUP(C304,customer_lookup!$A:$E,3,FALSE),"")</f>
        <v>WA</v>
      </c>
      <c r="F304" s="20" t="str">
        <f>IFERROR(VLOOKUP(C304,customer_lookup!$A:$E,5,FALSE),"")</f>
        <v>Casey</v>
      </c>
      <c r="G304" s="17" t="s">
        <v>63</v>
      </c>
      <c r="H304" s="17" t="s">
        <v>106</v>
      </c>
      <c r="I304" s="19" t="str">
        <f>IFERROR(VLOOKUP(H304,product_lookup!$A:$D,2,FALSE),"")</f>
        <v>Sour Cherry THC Gummies</v>
      </c>
      <c r="J304" s="21">
        <v>60.0</v>
      </c>
      <c r="K304" s="22">
        <v>10.15</v>
      </c>
      <c r="L304" s="23">
        <f t="shared" si="1"/>
        <v>609</v>
      </c>
      <c r="M304" s="17" t="s">
        <v>65</v>
      </c>
      <c r="N304" s="18">
        <v>46060.0</v>
      </c>
      <c r="O304" s="19">
        <f>SUMIF(inventory_snapshot!$B:$B,H304,inventory_snapshot!$E:$E)</f>
        <v>1313</v>
      </c>
      <c r="P304" s="24" t="str">
        <f t="shared" si="2"/>
        <v>OK</v>
      </c>
      <c r="Q304" s="24" t="str">
        <f t="shared" si="3"/>
        <v>OK</v>
      </c>
      <c r="R304" s="24" t="str">
        <f t="shared" si="4"/>
        <v>OK</v>
      </c>
      <c r="S304" s="24" t="str">
        <f t="shared" si="5"/>
        <v>Medium</v>
      </c>
    </row>
    <row r="305" ht="15.75" customHeight="1">
      <c r="A305" s="25" t="s">
        <v>431</v>
      </c>
      <c r="B305" s="26">
        <v>46103.0</v>
      </c>
      <c r="C305" s="25" t="s">
        <v>295</v>
      </c>
      <c r="D305" s="27" t="str">
        <f>IFERROR(VLOOKUP(C305,customer_lookup!$A:$E,2,FALSE),"")</f>
        <v>AZ Account 0077</v>
      </c>
      <c r="E305" s="27" t="str">
        <f>IFERROR(VLOOKUP(C305,customer_lookup!$A:$E,3,FALSE),"")</f>
        <v>AZ</v>
      </c>
      <c r="F305" s="28" t="str">
        <f>IFERROR(VLOOKUP(C305,customer_lookup!$A:$E,5,FALSE),"")</f>
        <v>Casey</v>
      </c>
      <c r="G305" s="25" t="s">
        <v>67</v>
      </c>
      <c r="H305" s="25" t="s">
        <v>92</v>
      </c>
      <c r="I305" s="27" t="str">
        <f>IFERROR(VLOOKUP(H305,product_lookup!$A:$D,2,FALSE),"")</f>
        <v>Raspberry THC Gummies</v>
      </c>
      <c r="J305" s="29">
        <v>48.0</v>
      </c>
      <c r="K305" s="30">
        <v>10.87</v>
      </c>
      <c r="L305" s="31">
        <f t="shared" si="1"/>
        <v>521.76</v>
      </c>
      <c r="M305" s="25" t="s">
        <v>93</v>
      </c>
      <c r="N305" s="26">
        <v>46109.0</v>
      </c>
      <c r="O305" s="27">
        <f>SUMIF(inventory_snapshot!$B:$B,H305,inventory_snapshot!$E:$E)</f>
        <v>1417</v>
      </c>
      <c r="P305" s="32" t="str">
        <f t="shared" si="2"/>
        <v>OK</v>
      </c>
      <c r="Q305" s="32" t="str">
        <f t="shared" si="3"/>
        <v>OK</v>
      </c>
      <c r="R305" s="32" t="str">
        <f t="shared" si="4"/>
        <v>OK</v>
      </c>
      <c r="S305" s="32" t="str">
        <f t="shared" si="5"/>
        <v>Medium</v>
      </c>
    </row>
    <row r="306" ht="15.75" customHeight="1">
      <c r="A306" s="17" t="s">
        <v>432</v>
      </c>
      <c r="B306" s="18">
        <v>46113.0</v>
      </c>
      <c r="C306" s="17" t="s">
        <v>291</v>
      </c>
      <c r="D306" s="19" t="str">
        <f>IFERROR(VLOOKUP(C306,customer_lookup!$A:$E,2,FALSE),"")</f>
        <v>OK Account 0048</v>
      </c>
      <c r="E306" s="19" t="str">
        <f>IFERROR(VLOOKUP(C306,customer_lookup!$A:$E,3,FALSE),"")</f>
        <v>OK</v>
      </c>
      <c r="F306" s="20" t="str">
        <f>IFERROR(VLOOKUP(C306,customer_lookup!$A:$E,5,FALSE),"")</f>
        <v>Casey</v>
      </c>
      <c r="G306" s="17" t="s">
        <v>89</v>
      </c>
      <c r="H306" s="17" t="s">
        <v>154</v>
      </c>
      <c r="I306" s="19" t="str">
        <f>IFERROR(VLOOKUP(H306,product_lookup!$A:$D,2,FALSE),"")</f>
        <v>Kiwi 1:1 Gummies</v>
      </c>
      <c r="J306" s="21">
        <v>18.0</v>
      </c>
      <c r="K306" s="22">
        <v>10.1</v>
      </c>
      <c r="L306" s="23">
        <f t="shared" si="1"/>
        <v>181.8</v>
      </c>
      <c r="M306" s="17" t="s">
        <v>97</v>
      </c>
      <c r="N306" s="18">
        <v>46121.0</v>
      </c>
      <c r="O306" s="19">
        <f>SUMIF(inventory_snapshot!$B:$B,H306,inventory_snapshot!$E:$E)</f>
        <v>1136</v>
      </c>
      <c r="P306" s="24" t="str">
        <f t="shared" si="2"/>
        <v>OK</v>
      </c>
      <c r="Q306" s="24" t="str">
        <f t="shared" si="3"/>
        <v>OK</v>
      </c>
      <c r="R306" s="24" t="str">
        <f t="shared" si="4"/>
        <v>OK</v>
      </c>
      <c r="S306" s="24" t="str">
        <f t="shared" si="5"/>
        <v>Small</v>
      </c>
    </row>
    <row r="307" ht="15.75" customHeight="1">
      <c r="A307" s="25" t="s">
        <v>433</v>
      </c>
      <c r="B307" s="26">
        <v>46037.0</v>
      </c>
      <c r="C307" s="25" t="s">
        <v>314</v>
      </c>
      <c r="D307" s="27" t="str">
        <f>IFERROR(VLOOKUP(C307,customer_lookup!$A:$E,2,FALSE),"")</f>
        <v>IL Account 0115</v>
      </c>
      <c r="E307" s="27" t="str">
        <f>IFERROR(VLOOKUP(C307,customer_lookup!$A:$E,3,FALSE),"")</f>
        <v>IL</v>
      </c>
      <c r="F307" s="28" t="str">
        <f>IFERROR(VLOOKUP(C307,customer_lookup!$A:$E,5,FALSE),"")</f>
        <v>Casey</v>
      </c>
      <c r="G307" s="25" t="s">
        <v>63</v>
      </c>
      <c r="H307" s="25" t="s">
        <v>74</v>
      </c>
      <c r="I307" s="27" t="str">
        <f>IFERROR(VLOOKUP(H307,product_lookup!$A:$D,2,FALSE),"")</f>
        <v>Strawberry 20:1 Gummies</v>
      </c>
      <c r="J307" s="29">
        <v>60.0</v>
      </c>
      <c r="K307" s="30">
        <v>11.87</v>
      </c>
      <c r="L307" s="31">
        <f t="shared" si="1"/>
        <v>712.2</v>
      </c>
      <c r="M307" s="25" t="s">
        <v>97</v>
      </c>
      <c r="N307" s="26">
        <v>46039.0</v>
      </c>
      <c r="O307" s="27">
        <f>SUMIF(inventory_snapshot!$B:$B,H307,inventory_snapshot!$E:$E)</f>
        <v>2294</v>
      </c>
      <c r="P307" s="32" t="str">
        <f t="shared" si="2"/>
        <v>OK</v>
      </c>
      <c r="Q307" s="32" t="str">
        <f t="shared" si="3"/>
        <v>OK</v>
      </c>
      <c r="R307" s="32" t="str">
        <f t="shared" si="4"/>
        <v>OK</v>
      </c>
      <c r="S307" s="32" t="str">
        <f t="shared" si="5"/>
        <v>Medium</v>
      </c>
    </row>
    <row r="308" ht="15.75" customHeight="1">
      <c r="A308" s="17" t="s">
        <v>434</v>
      </c>
      <c r="B308" s="18">
        <v>46106.0</v>
      </c>
      <c r="C308" s="17" t="s">
        <v>295</v>
      </c>
      <c r="D308" s="19" t="str">
        <f>IFERROR(VLOOKUP(C308,customer_lookup!$A:$E,2,FALSE),"")</f>
        <v>AZ Account 0077</v>
      </c>
      <c r="E308" s="19" t="str">
        <f>IFERROR(VLOOKUP(C308,customer_lookup!$A:$E,3,FALSE),"")</f>
        <v>AZ</v>
      </c>
      <c r="F308" s="20" t="str">
        <f>IFERROR(VLOOKUP(C308,customer_lookup!$A:$E,5,FALSE),"")</f>
        <v>Casey</v>
      </c>
      <c r="G308" s="17" t="s">
        <v>67</v>
      </c>
      <c r="H308" s="17" t="s">
        <v>154</v>
      </c>
      <c r="I308" s="19" t="str">
        <f>IFERROR(VLOOKUP(H308,product_lookup!$A:$D,2,FALSE),"")</f>
        <v>Kiwi 1:1 Gummies</v>
      </c>
      <c r="J308" s="21">
        <v>48.0</v>
      </c>
      <c r="K308" s="22">
        <v>11.34</v>
      </c>
      <c r="L308" s="23">
        <f t="shared" si="1"/>
        <v>544.32</v>
      </c>
      <c r="M308" s="17" t="s">
        <v>93</v>
      </c>
      <c r="N308" s="18">
        <v>46108.0</v>
      </c>
      <c r="O308" s="19">
        <f>SUMIF(inventory_snapshot!$B:$B,H308,inventory_snapshot!$E:$E)</f>
        <v>1136</v>
      </c>
      <c r="P308" s="24" t="str">
        <f t="shared" si="2"/>
        <v>OK</v>
      </c>
      <c r="Q308" s="24" t="str">
        <f t="shared" si="3"/>
        <v>OK</v>
      </c>
      <c r="R308" s="24" t="str">
        <f t="shared" si="4"/>
        <v>OK</v>
      </c>
      <c r="S308" s="24" t="str">
        <f t="shared" si="5"/>
        <v>Medium</v>
      </c>
    </row>
    <row r="309" ht="15.75" customHeight="1">
      <c r="A309" s="25" t="s">
        <v>435</v>
      </c>
      <c r="B309" s="26">
        <v>46106.0</v>
      </c>
      <c r="C309" s="25" t="s">
        <v>339</v>
      </c>
      <c r="D309" s="27" t="str">
        <f>IFERROR(VLOOKUP(C309,customer_lookup!$A:$E,2,FALSE),"")</f>
        <v>NM Account 0034</v>
      </c>
      <c r="E309" s="27" t="str">
        <f>IFERROR(VLOOKUP(C309,customer_lookup!$A:$E,3,FALSE),"")</f>
        <v>NM</v>
      </c>
      <c r="F309" s="28" t="str">
        <f>IFERROR(VLOOKUP(C309,customer_lookup!$A:$E,5,FALSE),"")</f>
        <v>Casey</v>
      </c>
      <c r="G309" s="25" t="s">
        <v>63</v>
      </c>
      <c r="H309" s="25" t="s">
        <v>106</v>
      </c>
      <c r="I309" s="27" t="str">
        <f>IFERROR(VLOOKUP(H309,product_lookup!$A:$D,2,FALSE),"")</f>
        <v>Sour Cherry THC Gummies</v>
      </c>
      <c r="J309" s="29">
        <v>18.0</v>
      </c>
      <c r="K309" s="30">
        <v>10.54</v>
      </c>
      <c r="L309" s="31">
        <f t="shared" si="1"/>
        <v>189.72</v>
      </c>
      <c r="M309" s="25" t="s">
        <v>100</v>
      </c>
      <c r="N309" s="26">
        <v>46113.0</v>
      </c>
      <c r="O309" s="27">
        <f>SUMIF(inventory_snapshot!$B:$B,H309,inventory_snapshot!$E:$E)</f>
        <v>1313</v>
      </c>
      <c r="P309" s="32" t="str">
        <f t="shared" si="2"/>
        <v>OK</v>
      </c>
      <c r="Q309" s="32" t="str">
        <f t="shared" si="3"/>
        <v>OK</v>
      </c>
      <c r="R309" s="32" t="str">
        <f t="shared" si="4"/>
        <v>OK</v>
      </c>
      <c r="S309" s="32" t="str">
        <f t="shared" si="5"/>
        <v>Small</v>
      </c>
    </row>
    <row r="310" ht="15.75" customHeight="1">
      <c r="A310" s="17" t="s">
        <v>436</v>
      </c>
      <c r="B310" s="18">
        <v>46103.0</v>
      </c>
      <c r="C310" s="17" t="s">
        <v>299</v>
      </c>
      <c r="D310" s="19" t="str">
        <f>IFERROR(VLOOKUP(C310,customer_lookup!$A:$E,2,FALSE),"")</f>
        <v>CA Account 0027</v>
      </c>
      <c r="E310" s="19" t="str">
        <f>IFERROR(VLOOKUP(C310,customer_lookup!$A:$E,3,FALSE),"")</f>
        <v>CA</v>
      </c>
      <c r="F310" s="20" t="str">
        <f>IFERROR(VLOOKUP(C310,customer_lookup!$A:$E,5,FALSE),"")</f>
        <v>Casey</v>
      </c>
      <c r="G310" s="17" t="s">
        <v>63</v>
      </c>
      <c r="H310" s="17" t="s">
        <v>110</v>
      </c>
      <c r="I310" s="19" t="str">
        <f>IFERROR(VLOOKUP(H310,product_lookup!$A:$D,2,FALSE),"")</f>
        <v>Elderberry 2:1 Gummies</v>
      </c>
      <c r="J310" s="21">
        <v>30.0</v>
      </c>
      <c r="K310" s="22">
        <v>12.09</v>
      </c>
      <c r="L310" s="23">
        <f t="shared" si="1"/>
        <v>362.7</v>
      </c>
      <c r="M310" s="17" t="s">
        <v>65</v>
      </c>
      <c r="N310" s="18">
        <v>46109.0</v>
      </c>
      <c r="O310" s="19">
        <f>SUMIF(inventory_snapshot!$B:$B,H310,inventory_snapshot!$E:$E)</f>
        <v>1633</v>
      </c>
      <c r="P310" s="24" t="str">
        <f t="shared" si="2"/>
        <v>OK</v>
      </c>
      <c r="Q310" s="24" t="str">
        <f t="shared" si="3"/>
        <v>OK</v>
      </c>
      <c r="R310" s="24" t="str">
        <f t="shared" si="4"/>
        <v>OK</v>
      </c>
      <c r="S310" s="24" t="str">
        <f t="shared" si="5"/>
        <v>Small</v>
      </c>
    </row>
    <row r="311" ht="15.75" customHeight="1">
      <c r="A311" s="25" t="s">
        <v>437</v>
      </c>
      <c r="B311" s="26">
        <v>46093.0</v>
      </c>
      <c r="C311" s="25" t="s">
        <v>312</v>
      </c>
      <c r="D311" s="27" t="str">
        <f>IFERROR(VLOOKUP(C311,customer_lookup!$A:$E,2,FALSE),"")</f>
        <v>WA Account 0074</v>
      </c>
      <c r="E311" s="27" t="str">
        <f>IFERROR(VLOOKUP(C311,customer_lookup!$A:$E,3,FALSE),"")</f>
        <v>WA</v>
      </c>
      <c r="F311" s="28" t="str">
        <f>IFERROR(VLOOKUP(C311,customer_lookup!$A:$E,5,FALSE),"")</f>
        <v>Casey</v>
      </c>
      <c r="G311" s="25" t="s">
        <v>63</v>
      </c>
      <c r="H311" s="25" t="s">
        <v>102</v>
      </c>
      <c r="I311" s="27" t="str">
        <f>IFERROR(VLOOKUP(H311,product_lookup!$A:$D,2,FALSE),"")</f>
        <v>Pomegranate 1:1 Gummies</v>
      </c>
      <c r="J311" s="29">
        <v>30.0</v>
      </c>
      <c r="K311" s="30">
        <v>11.24</v>
      </c>
      <c r="L311" s="31">
        <f t="shared" si="1"/>
        <v>337.2</v>
      </c>
      <c r="M311" s="25" t="s">
        <v>93</v>
      </c>
      <c r="N311" s="26">
        <v>46100.0</v>
      </c>
      <c r="O311" s="27">
        <f>SUMIF(inventory_snapshot!$B:$B,H311,inventory_snapshot!$E:$E)</f>
        <v>1493</v>
      </c>
      <c r="P311" s="32" t="str">
        <f t="shared" si="2"/>
        <v>OK</v>
      </c>
      <c r="Q311" s="32" t="str">
        <f t="shared" si="3"/>
        <v>OK</v>
      </c>
      <c r="R311" s="32" t="str">
        <f t="shared" si="4"/>
        <v>OK</v>
      </c>
      <c r="S311" s="32" t="str">
        <f t="shared" si="5"/>
        <v>Small</v>
      </c>
    </row>
    <row r="312" ht="15.75" customHeight="1">
      <c r="A312" s="17" t="s">
        <v>438</v>
      </c>
      <c r="B312" s="18">
        <v>46068.0</v>
      </c>
      <c r="C312" s="17" t="s">
        <v>303</v>
      </c>
      <c r="D312" s="19" t="str">
        <f>IFERROR(VLOOKUP(C312,customer_lookup!$A:$E,2,FALSE),"")</f>
        <v>MI Account 0056</v>
      </c>
      <c r="E312" s="19" t="str">
        <f>IFERROR(VLOOKUP(C312,customer_lookup!$A:$E,3,FALSE),"")</f>
        <v>MI</v>
      </c>
      <c r="F312" s="20" t="str">
        <f>IFERROR(VLOOKUP(C312,customer_lookup!$A:$E,5,FALSE),"")</f>
        <v>Casey</v>
      </c>
      <c r="G312" s="17" t="s">
        <v>63</v>
      </c>
      <c r="H312" s="17" t="s">
        <v>156</v>
      </c>
      <c r="I312" s="19" t="str">
        <f>IFERROR(VLOOKUP(H312,product_lookup!$A:$D,2,FALSE),"")</f>
        <v>Blood Orange 1:1 Gummies</v>
      </c>
      <c r="J312" s="21">
        <v>24.0</v>
      </c>
      <c r="K312" s="22">
        <v>9.22</v>
      </c>
      <c r="L312" s="23">
        <f t="shared" si="1"/>
        <v>221.28</v>
      </c>
      <c r="M312" s="17" t="s">
        <v>97</v>
      </c>
      <c r="N312" s="18">
        <v>46075.0</v>
      </c>
      <c r="O312" s="19">
        <f>SUMIF(inventory_snapshot!$B:$B,H312,inventory_snapshot!$E:$E)</f>
        <v>1589</v>
      </c>
      <c r="P312" s="24" t="str">
        <f t="shared" si="2"/>
        <v>OK</v>
      </c>
      <c r="Q312" s="24" t="str">
        <f t="shared" si="3"/>
        <v>OK</v>
      </c>
      <c r="R312" s="24" t="str">
        <f t="shared" si="4"/>
        <v>OK</v>
      </c>
      <c r="S312" s="24" t="str">
        <f t="shared" si="5"/>
        <v>Small</v>
      </c>
    </row>
    <row r="313" ht="15.75" customHeight="1">
      <c r="A313" s="25" t="s">
        <v>439</v>
      </c>
      <c r="B313" s="26">
        <v>46060.0</v>
      </c>
      <c r="C313" s="25" t="s">
        <v>320</v>
      </c>
      <c r="D313" s="27" t="str">
        <f>IFERROR(VLOOKUP(C313,customer_lookup!$A:$E,2,FALSE),"")</f>
        <v>MO Account 0069</v>
      </c>
      <c r="E313" s="27" t="str">
        <f>IFERROR(VLOOKUP(C313,customer_lookup!$A:$E,3,FALSE),"")</f>
        <v>MO</v>
      </c>
      <c r="F313" s="28" t="str">
        <f>IFERROR(VLOOKUP(C313,customer_lookup!$A:$E,5,FALSE),"")</f>
        <v>Casey</v>
      </c>
      <c r="G313" s="25" t="s">
        <v>67</v>
      </c>
      <c r="H313" s="25" t="s">
        <v>123</v>
      </c>
      <c r="I313" s="27" t="str">
        <f>IFERROR(VLOOKUP(H313,product_lookup!$A:$D,2,FALSE),"")</f>
        <v>Peach 2:1 Gummies</v>
      </c>
      <c r="J313" s="29">
        <v>30.0</v>
      </c>
      <c r="K313" s="30">
        <v>11.67</v>
      </c>
      <c r="L313" s="31">
        <f t="shared" si="1"/>
        <v>350.1</v>
      </c>
      <c r="M313" s="25" t="s">
        <v>97</v>
      </c>
      <c r="N313" s="26">
        <v>46064.0</v>
      </c>
      <c r="O313" s="27">
        <f>SUMIF(inventory_snapshot!$B:$B,H313,inventory_snapshot!$E:$E)</f>
        <v>1732</v>
      </c>
      <c r="P313" s="32" t="str">
        <f t="shared" si="2"/>
        <v>OK</v>
      </c>
      <c r="Q313" s="32" t="str">
        <f t="shared" si="3"/>
        <v>Duplicate</v>
      </c>
      <c r="R313" s="32" t="str">
        <f t="shared" si="4"/>
        <v>OK</v>
      </c>
      <c r="S313" s="32" t="str">
        <f t="shared" si="5"/>
        <v>Small</v>
      </c>
    </row>
    <row r="314" ht="15.75" customHeight="1">
      <c r="A314" s="17" t="s">
        <v>440</v>
      </c>
      <c r="B314" s="18">
        <v>46060.0</v>
      </c>
      <c r="C314" s="17" t="s">
        <v>314</v>
      </c>
      <c r="D314" s="19" t="str">
        <f>IFERROR(VLOOKUP(C314,customer_lookup!$A:$E,2,FALSE),"")</f>
        <v>IL Account 0115</v>
      </c>
      <c r="E314" s="19" t="str">
        <f>IFERROR(VLOOKUP(C314,customer_lookup!$A:$E,3,FALSE),"")</f>
        <v>IL</v>
      </c>
      <c r="F314" s="20" t="str">
        <f>IFERROR(VLOOKUP(C314,customer_lookup!$A:$E,5,FALSE),"")</f>
        <v>Casey</v>
      </c>
      <c r="G314" s="17" t="s">
        <v>63</v>
      </c>
      <c r="H314" s="17" t="s">
        <v>71</v>
      </c>
      <c r="I314" s="19" t="str">
        <f>IFERROR(VLOOKUP(H314,product_lookup!$A:$D,2,FALSE),"")</f>
        <v>Pineapple Sparkling Beverage</v>
      </c>
      <c r="J314" s="21">
        <v>6.0</v>
      </c>
      <c r="K314" s="22">
        <v>7.95</v>
      </c>
      <c r="L314" s="23">
        <f t="shared" si="1"/>
        <v>47.7</v>
      </c>
      <c r="M314" s="17" t="s">
        <v>100</v>
      </c>
      <c r="N314" s="18">
        <v>46065.0</v>
      </c>
      <c r="O314" s="19">
        <f>SUMIF(inventory_snapshot!$B:$B,H314,inventory_snapshot!$E:$E)</f>
        <v>1145</v>
      </c>
      <c r="P314" s="24" t="str">
        <f t="shared" si="2"/>
        <v>OK</v>
      </c>
      <c r="Q314" s="24" t="str">
        <f t="shared" si="3"/>
        <v>OK</v>
      </c>
      <c r="R314" s="24" t="str">
        <f t="shared" si="4"/>
        <v>OK</v>
      </c>
      <c r="S314" s="24" t="str">
        <f t="shared" si="5"/>
        <v>Small</v>
      </c>
    </row>
    <row r="315" ht="15.75" customHeight="1">
      <c r="A315" s="25" t="s">
        <v>441</v>
      </c>
      <c r="B315" s="26">
        <v>46036.0</v>
      </c>
      <c r="C315" s="25" t="s">
        <v>320</v>
      </c>
      <c r="D315" s="27" t="str">
        <f>IFERROR(VLOOKUP(C315,customer_lookup!$A:$E,2,FALSE),"")</f>
        <v>MO Account 0069</v>
      </c>
      <c r="E315" s="27" t="str">
        <f>IFERROR(VLOOKUP(C315,customer_lookup!$A:$E,3,FALSE),"")</f>
        <v>MO</v>
      </c>
      <c r="F315" s="28" t="str">
        <f>IFERROR(VLOOKUP(C315,customer_lookup!$A:$E,5,FALSE),"")</f>
        <v>Casey</v>
      </c>
      <c r="G315" s="25" t="s">
        <v>63</v>
      </c>
      <c r="H315" s="25" t="s">
        <v>64</v>
      </c>
      <c r="I315" s="27" t="str">
        <f>IFERROR(VLOOKUP(H315,product_lookup!$A:$D,2,FALSE),"")</f>
        <v>Cranberry Sparkling Beverage</v>
      </c>
      <c r="J315" s="29">
        <v>48.0</v>
      </c>
      <c r="K315" s="30">
        <v>8.44</v>
      </c>
      <c r="L315" s="31">
        <f t="shared" si="1"/>
        <v>405.12</v>
      </c>
      <c r="M315" s="25" t="s">
        <v>97</v>
      </c>
      <c r="N315" s="26">
        <v>46046.0</v>
      </c>
      <c r="O315" s="27">
        <f>SUMIF(inventory_snapshot!$B:$B,H315,inventory_snapshot!$E:$E)</f>
        <v>1152</v>
      </c>
      <c r="P315" s="32" t="str">
        <f t="shared" si="2"/>
        <v>OK</v>
      </c>
      <c r="Q315" s="32" t="str">
        <f t="shared" si="3"/>
        <v>OK</v>
      </c>
      <c r="R315" s="32" t="str">
        <f t="shared" si="4"/>
        <v>OK</v>
      </c>
      <c r="S315" s="32" t="str">
        <f t="shared" si="5"/>
        <v>Small</v>
      </c>
    </row>
    <row r="316" ht="15.75" customHeight="1">
      <c r="A316" s="17" t="s">
        <v>442</v>
      </c>
      <c r="B316" s="18">
        <v>46091.0</v>
      </c>
      <c r="C316" s="17" t="s">
        <v>320</v>
      </c>
      <c r="D316" s="19" t="str">
        <f>IFERROR(VLOOKUP(C316,customer_lookup!$A:$E,2,FALSE),"")</f>
        <v>MO Account 0069</v>
      </c>
      <c r="E316" s="19" t="str">
        <f>IFERROR(VLOOKUP(C316,customer_lookup!$A:$E,3,FALSE),"")</f>
        <v>MO</v>
      </c>
      <c r="F316" s="20" t="str">
        <f>IFERROR(VLOOKUP(C316,customer_lookup!$A:$E,5,FALSE),"")</f>
        <v>Casey</v>
      </c>
      <c r="G316" s="17" t="s">
        <v>63</v>
      </c>
      <c r="H316" s="17" t="s">
        <v>90</v>
      </c>
      <c r="I316" s="19" t="str">
        <f>IFERROR(VLOOKUP(H316,product_lookup!$A:$D,2,FALSE),"")</f>
        <v>Blackberry Sparkling Beverage</v>
      </c>
      <c r="J316" s="21">
        <v>24.0</v>
      </c>
      <c r="K316" s="22">
        <v>7.33</v>
      </c>
      <c r="L316" s="23">
        <f t="shared" si="1"/>
        <v>175.92</v>
      </c>
      <c r="M316" s="17" t="s">
        <v>65</v>
      </c>
      <c r="N316" s="18">
        <v>46101.0</v>
      </c>
      <c r="O316" s="19">
        <f>SUMIF(inventory_snapshot!$B:$B,H316,inventory_snapshot!$E:$E)</f>
        <v>1292</v>
      </c>
      <c r="P316" s="24" t="str">
        <f t="shared" si="2"/>
        <v>OK</v>
      </c>
      <c r="Q316" s="24" t="str">
        <f t="shared" si="3"/>
        <v>OK</v>
      </c>
      <c r="R316" s="24" t="str">
        <f t="shared" si="4"/>
        <v>OK</v>
      </c>
      <c r="S316" s="24" t="str">
        <f t="shared" si="5"/>
        <v>Small</v>
      </c>
    </row>
    <row r="317" ht="15.75" customHeight="1">
      <c r="A317" s="25" t="s">
        <v>443</v>
      </c>
      <c r="B317" s="26">
        <v>46114.0</v>
      </c>
      <c r="C317" s="25" t="s">
        <v>444</v>
      </c>
      <c r="D317" s="27" t="str">
        <f>IFERROR(VLOOKUP(C317,customer_lookup!$A:$E,2,FALSE),"")</f>
        <v>MO Account 0057</v>
      </c>
      <c r="E317" s="27" t="str">
        <f>IFERROR(VLOOKUP(C317,customer_lookup!$A:$E,3,FALSE),"")</f>
        <v>MO</v>
      </c>
      <c r="F317" s="28" t="str">
        <f>IFERROR(VLOOKUP(C317,customer_lookup!$A:$E,5,FALSE),"")</f>
        <v>Drew</v>
      </c>
      <c r="G317" s="25" t="s">
        <v>89</v>
      </c>
      <c r="H317" s="25" t="s">
        <v>110</v>
      </c>
      <c r="I317" s="27" t="str">
        <f>IFERROR(VLOOKUP(H317,product_lookup!$A:$D,2,FALSE),"")</f>
        <v>Elderberry 2:1 Gummies</v>
      </c>
      <c r="J317" s="29">
        <v>30.0</v>
      </c>
      <c r="K317" s="30">
        <v>10.42</v>
      </c>
      <c r="L317" s="31">
        <f t="shared" si="1"/>
        <v>312.6</v>
      </c>
      <c r="M317" s="25" t="s">
        <v>97</v>
      </c>
      <c r="N317" s="26">
        <v>46116.0</v>
      </c>
      <c r="O317" s="27">
        <f>SUMIF(inventory_snapshot!$B:$B,H317,inventory_snapshot!$E:$E)</f>
        <v>1633</v>
      </c>
      <c r="P317" s="32" t="str">
        <f t="shared" si="2"/>
        <v>OK</v>
      </c>
      <c r="Q317" s="32" t="str">
        <f t="shared" si="3"/>
        <v>OK</v>
      </c>
      <c r="R317" s="32" t="str">
        <f t="shared" si="4"/>
        <v>OK</v>
      </c>
      <c r="S317" s="32" t="str">
        <f t="shared" si="5"/>
        <v>Small</v>
      </c>
    </row>
    <row r="318" ht="15.75" customHeight="1">
      <c r="A318" s="17" t="s">
        <v>445</v>
      </c>
      <c r="B318" s="18">
        <v>46125.0</v>
      </c>
      <c r="C318" s="17" t="s">
        <v>446</v>
      </c>
      <c r="D318" s="19" t="str">
        <f>IFERROR(VLOOKUP(C318,customer_lookup!$A:$E,2,FALSE),"")</f>
        <v>CO Account 0028</v>
      </c>
      <c r="E318" s="19" t="str">
        <f>IFERROR(VLOOKUP(C318,customer_lookup!$A:$E,3,FALSE),"")</f>
        <v>CO</v>
      </c>
      <c r="F318" s="20" t="str">
        <f>IFERROR(VLOOKUP(C318,customer_lookup!$A:$E,5,FALSE),"")</f>
        <v>Drew</v>
      </c>
      <c r="G318" s="17" t="s">
        <v>67</v>
      </c>
      <c r="H318" s="17" t="s">
        <v>68</v>
      </c>
      <c r="I318" s="19" t="str">
        <f>IFERROR(VLOOKUP(H318,product_lookup!$A:$D,2,FALSE),"")</f>
        <v>Sour Apple THC Gummies</v>
      </c>
      <c r="J318" s="21">
        <v>30.0</v>
      </c>
      <c r="K318" s="22">
        <v>10.16</v>
      </c>
      <c r="L318" s="23">
        <f t="shared" si="1"/>
        <v>304.8</v>
      </c>
      <c r="M318" s="17" t="s">
        <v>93</v>
      </c>
      <c r="N318" s="18">
        <v>46130.0</v>
      </c>
      <c r="O318" s="19">
        <f>SUMIF(inventory_snapshot!$B:$B,H318,inventory_snapshot!$E:$E)</f>
        <v>775</v>
      </c>
      <c r="P318" s="24" t="str">
        <f t="shared" si="2"/>
        <v>OK</v>
      </c>
      <c r="Q318" s="24" t="str">
        <f t="shared" si="3"/>
        <v>OK</v>
      </c>
      <c r="R318" s="24" t="str">
        <f t="shared" si="4"/>
        <v>OK</v>
      </c>
      <c r="S318" s="24" t="str">
        <f t="shared" si="5"/>
        <v>Small</v>
      </c>
    </row>
    <row r="319" ht="15.75" customHeight="1">
      <c r="A319" s="25" t="s">
        <v>447</v>
      </c>
      <c r="B319" s="26">
        <v>46060.0</v>
      </c>
      <c r="C319" s="25" t="s">
        <v>448</v>
      </c>
      <c r="D319" s="27" t="str">
        <f>IFERROR(VLOOKUP(C319,customer_lookup!$A:$E,2,FALSE),"")</f>
        <v>NY Account 0107</v>
      </c>
      <c r="E319" s="27" t="str">
        <f>IFERROR(VLOOKUP(C319,customer_lookup!$A:$E,3,FALSE),"")</f>
        <v>NY</v>
      </c>
      <c r="F319" s="28" t="str">
        <f>IFERROR(VLOOKUP(C319,customer_lookup!$A:$E,5,FALSE),"")</f>
        <v>Drew</v>
      </c>
      <c r="G319" s="25" t="s">
        <v>67</v>
      </c>
      <c r="H319" s="25" t="s">
        <v>162</v>
      </c>
      <c r="I319" s="27" t="str">
        <f>IFERROR(VLOOKUP(H319,product_lookup!$A:$D,2,FALSE),"")</f>
        <v>Marionberry THC Gummies</v>
      </c>
      <c r="J319" s="29">
        <v>24.0</v>
      </c>
      <c r="K319" s="30">
        <v>9.96</v>
      </c>
      <c r="L319" s="31">
        <f t="shared" si="1"/>
        <v>239.04</v>
      </c>
      <c r="M319" s="25" t="s">
        <v>97</v>
      </c>
      <c r="N319" s="26">
        <v>46063.0</v>
      </c>
      <c r="O319" s="27">
        <f>SUMIF(inventory_snapshot!$B:$B,H319,inventory_snapshot!$E:$E)</f>
        <v>1599</v>
      </c>
      <c r="P319" s="32" t="str">
        <f t="shared" si="2"/>
        <v>OK</v>
      </c>
      <c r="Q319" s="32" t="str">
        <f t="shared" si="3"/>
        <v>OK</v>
      </c>
      <c r="R319" s="32" t="str">
        <f t="shared" si="4"/>
        <v>OK</v>
      </c>
      <c r="S319" s="32" t="str">
        <f t="shared" si="5"/>
        <v>Small</v>
      </c>
    </row>
    <row r="320" ht="15.75" customHeight="1">
      <c r="A320" s="17" t="s">
        <v>449</v>
      </c>
      <c r="B320" s="18">
        <v>46046.0</v>
      </c>
      <c r="C320" s="17" t="s">
        <v>444</v>
      </c>
      <c r="D320" s="19" t="str">
        <f>IFERROR(VLOOKUP(C320,customer_lookup!$A:$E,2,FALSE),"")</f>
        <v>MO Account 0057</v>
      </c>
      <c r="E320" s="19" t="str">
        <f>IFERROR(VLOOKUP(C320,customer_lookup!$A:$E,3,FALSE),"")</f>
        <v>MO</v>
      </c>
      <c r="F320" s="20" t="str">
        <f>IFERROR(VLOOKUP(C320,customer_lookup!$A:$E,5,FALSE),"")</f>
        <v>Drew</v>
      </c>
      <c r="G320" s="17" t="s">
        <v>63</v>
      </c>
      <c r="H320" s="17" t="s">
        <v>92</v>
      </c>
      <c r="I320" s="19" t="str">
        <f>IFERROR(VLOOKUP(H320,product_lookup!$A:$D,2,FALSE),"")</f>
        <v>Raspberry THC Gummies</v>
      </c>
      <c r="J320" s="21">
        <v>6.0</v>
      </c>
      <c r="K320" s="22">
        <v>9.98</v>
      </c>
      <c r="L320" s="23">
        <f t="shared" si="1"/>
        <v>59.88</v>
      </c>
      <c r="M320" s="17" t="s">
        <v>65</v>
      </c>
      <c r="N320" s="18">
        <v>46048.0</v>
      </c>
      <c r="O320" s="19">
        <f>SUMIF(inventory_snapshot!$B:$B,H320,inventory_snapshot!$E:$E)</f>
        <v>1417</v>
      </c>
      <c r="P320" s="24" t="str">
        <f t="shared" si="2"/>
        <v>OK</v>
      </c>
      <c r="Q320" s="24" t="str">
        <f t="shared" si="3"/>
        <v>OK</v>
      </c>
      <c r="R320" s="24" t="str">
        <f t="shared" si="4"/>
        <v>OK</v>
      </c>
      <c r="S320" s="24" t="str">
        <f t="shared" si="5"/>
        <v>Small</v>
      </c>
    </row>
    <row r="321" ht="15.75" customHeight="1">
      <c r="A321" s="25" t="s">
        <v>450</v>
      </c>
      <c r="B321" s="26">
        <v>46053.0</v>
      </c>
      <c r="C321" s="25" t="s">
        <v>444</v>
      </c>
      <c r="D321" s="27" t="str">
        <f>IFERROR(VLOOKUP(C321,customer_lookup!$A:$E,2,FALSE),"")</f>
        <v>MO Account 0057</v>
      </c>
      <c r="E321" s="27" t="str">
        <f>IFERROR(VLOOKUP(C321,customer_lookup!$A:$E,3,FALSE),"")</f>
        <v>MO</v>
      </c>
      <c r="F321" s="28" t="str">
        <f>IFERROR(VLOOKUP(C321,customer_lookup!$A:$E,5,FALSE),"")</f>
        <v>Drew</v>
      </c>
      <c r="G321" s="25" t="s">
        <v>63</v>
      </c>
      <c r="H321" s="25" t="s">
        <v>74</v>
      </c>
      <c r="I321" s="27" t="str">
        <f>IFERROR(VLOOKUP(H321,product_lookup!$A:$D,2,FALSE),"")</f>
        <v>Strawberry 20:1 Gummies</v>
      </c>
      <c r="J321" s="29">
        <v>36.0</v>
      </c>
      <c r="K321" s="30">
        <v>10.58</v>
      </c>
      <c r="L321" s="31">
        <f t="shared" si="1"/>
        <v>380.88</v>
      </c>
      <c r="M321" s="25" t="s">
        <v>65</v>
      </c>
      <c r="N321" s="26">
        <v>46059.0</v>
      </c>
      <c r="O321" s="27">
        <f>SUMIF(inventory_snapshot!$B:$B,H321,inventory_snapshot!$E:$E)</f>
        <v>2294</v>
      </c>
      <c r="P321" s="32" t="str">
        <f t="shared" si="2"/>
        <v>OK</v>
      </c>
      <c r="Q321" s="32" t="str">
        <f t="shared" si="3"/>
        <v>OK</v>
      </c>
      <c r="R321" s="32" t="str">
        <f t="shared" si="4"/>
        <v>OK</v>
      </c>
      <c r="S321" s="32" t="str">
        <f t="shared" si="5"/>
        <v>Small</v>
      </c>
    </row>
    <row r="322" ht="15.75" customHeight="1">
      <c r="A322" s="17" t="s">
        <v>451</v>
      </c>
      <c r="B322" s="18">
        <v>46028.0</v>
      </c>
      <c r="C322" s="17" t="s">
        <v>452</v>
      </c>
      <c r="D322" s="19" t="str">
        <f>IFERROR(VLOOKUP(C322,customer_lookup!$A:$E,2,FALSE),"")</f>
        <v>AZ Account 0029</v>
      </c>
      <c r="E322" s="19" t="str">
        <f>IFERROR(VLOOKUP(C322,customer_lookup!$A:$E,3,FALSE),"")</f>
        <v>AZ</v>
      </c>
      <c r="F322" s="20" t="str">
        <f>IFERROR(VLOOKUP(C322,customer_lookup!$A:$E,5,FALSE),"")</f>
        <v>Drew</v>
      </c>
      <c r="G322" s="17" t="s">
        <v>89</v>
      </c>
      <c r="H322" s="17" t="s">
        <v>71</v>
      </c>
      <c r="I322" s="19" t="str">
        <f>IFERROR(VLOOKUP(H322,product_lookup!$A:$D,2,FALSE),"")</f>
        <v>Pineapple Sparkling Beverage</v>
      </c>
      <c r="J322" s="21">
        <v>120.0</v>
      </c>
      <c r="K322" s="22">
        <v>7.78</v>
      </c>
      <c r="L322" s="23">
        <f t="shared" si="1"/>
        <v>933.6</v>
      </c>
      <c r="M322" s="17" t="s">
        <v>137</v>
      </c>
      <c r="N322" s="18">
        <v>46029.0</v>
      </c>
      <c r="O322" s="19">
        <f>SUMIF(inventory_snapshot!$B:$B,H322,inventory_snapshot!$E:$E)</f>
        <v>1145</v>
      </c>
      <c r="P322" s="24" t="str">
        <f t="shared" si="2"/>
        <v>OK</v>
      </c>
      <c r="Q322" s="24" t="str">
        <f t="shared" si="3"/>
        <v>OK</v>
      </c>
      <c r="R322" s="24" t="str">
        <f t="shared" si="4"/>
        <v>OK</v>
      </c>
      <c r="S322" s="24" t="str">
        <f t="shared" si="5"/>
        <v>Medium</v>
      </c>
    </row>
    <row r="323" ht="15.75" customHeight="1">
      <c r="A323" s="25" t="s">
        <v>453</v>
      </c>
      <c r="B323" s="26">
        <v>46067.0</v>
      </c>
      <c r="C323" s="25" t="s">
        <v>454</v>
      </c>
      <c r="D323" s="27" t="str">
        <f>IFERROR(VLOOKUP(C323,customer_lookup!$A:$E,2,FALSE),"")</f>
        <v>NM Account 0118</v>
      </c>
      <c r="E323" s="27" t="str">
        <f>IFERROR(VLOOKUP(C323,customer_lookup!$A:$E,3,FALSE),"")</f>
        <v>NM</v>
      </c>
      <c r="F323" s="28" t="str">
        <f>IFERROR(VLOOKUP(C323,customer_lookup!$A:$E,5,FALSE),"")</f>
        <v>Drew</v>
      </c>
      <c r="G323" s="25" t="s">
        <v>67</v>
      </c>
      <c r="H323" s="25" t="s">
        <v>92</v>
      </c>
      <c r="I323" s="27" t="str">
        <f>IFERROR(VLOOKUP(H323,product_lookup!$A:$D,2,FALSE),"")</f>
        <v>Raspberry THC Gummies</v>
      </c>
      <c r="J323" s="29">
        <v>6.0</v>
      </c>
      <c r="K323" s="30">
        <v>9.83</v>
      </c>
      <c r="L323" s="31">
        <f t="shared" si="1"/>
        <v>58.98</v>
      </c>
      <c r="M323" s="25" t="s">
        <v>97</v>
      </c>
      <c r="N323" s="26">
        <v>46069.0</v>
      </c>
      <c r="O323" s="27">
        <f>SUMIF(inventory_snapshot!$B:$B,H323,inventory_snapshot!$E:$E)</f>
        <v>1417</v>
      </c>
      <c r="P323" s="32" t="str">
        <f t="shared" si="2"/>
        <v>OK</v>
      </c>
      <c r="Q323" s="32" t="str">
        <f t="shared" si="3"/>
        <v>OK</v>
      </c>
      <c r="R323" s="32" t="str">
        <f t="shared" si="4"/>
        <v>OK</v>
      </c>
      <c r="S323" s="32" t="str">
        <f t="shared" si="5"/>
        <v>Small</v>
      </c>
    </row>
    <row r="324" ht="15.75" customHeight="1">
      <c r="A324" s="17" t="s">
        <v>455</v>
      </c>
      <c r="B324" s="18">
        <v>46120.0</v>
      </c>
      <c r="C324" s="17" t="s">
        <v>446</v>
      </c>
      <c r="D324" s="19" t="str">
        <f>IFERROR(VLOOKUP(C324,customer_lookup!$A:$E,2,FALSE),"")</f>
        <v>CO Account 0028</v>
      </c>
      <c r="E324" s="19" t="str">
        <f>IFERROR(VLOOKUP(C324,customer_lookup!$A:$E,3,FALSE),"")</f>
        <v>CO</v>
      </c>
      <c r="F324" s="20" t="str">
        <f>IFERROR(VLOOKUP(C324,customer_lookup!$A:$E,5,FALSE),"")</f>
        <v>Drew</v>
      </c>
      <c r="G324" s="17" t="s">
        <v>63</v>
      </c>
      <c r="H324" s="17" t="s">
        <v>85</v>
      </c>
      <c r="I324" s="19" t="str">
        <f>IFERROR(VLOOKUP(H324,product_lookup!$A:$D,2,FALSE),"")</f>
        <v>Huckleberry THC Gummies</v>
      </c>
      <c r="J324" s="21">
        <v>30.0</v>
      </c>
      <c r="K324" s="22">
        <v>9.82</v>
      </c>
      <c r="L324" s="23">
        <f t="shared" si="1"/>
        <v>294.6</v>
      </c>
      <c r="M324" s="17" t="s">
        <v>100</v>
      </c>
      <c r="N324" s="18">
        <v>46127.0</v>
      </c>
      <c r="O324" s="19">
        <f>SUMIF(inventory_snapshot!$B:$B,H324,inventory_snapshot!$E:$E)</f>
        <v>1841</v>
      </c>
      <c r="P324" s="24" t="str">
        <f t="shared" si="2"/>
        <v>OK</v>
      </c>
      <c r="Q324" s="24" t="str">
        <f t="shared" si="3"/>
        <v>OK</v>
      </c>
      <c r="R324" s="24" t="str">
        <f t="shared" si="4"/>
        <v>OK</v>
      </c>
      <c r="S324" s="24" t="str">
        <f t="shared" si="5"/>
        <v>Small</v>
      </c>
    </row>
    <row r="325" ht="15.75" customHeight="1">
      <c r="A325" s="25" t="s">
        <v>456</v>
      </c>
      <c r="B325" s="26">
        <v>46096.0</v>
      </c>
      <c r="C325" s="25" t="s">
        <v>457</v>
      </c>
      <c r="D325" s="27" t="str">
        <f>IFERROR(VLOOKUP(C325,customer_lookup!$A:$E,2,FALSE),"")</f>
        <v>NM Account 0010</v>
      </c>
      <c r="E325" s="27" t="str">
        <f>IFERROR(VLOOKUP(C325,customer_lookup!$A:$E,3,FALSE),"")</f>
        <v>NM</v>
      </c>
      <c r="F325" s="28" t="str">
        <f>IFERROR(VLOOKUP(C325,customer_lookup!$A:$E,5,FALSE),"")</f>
        <v>Drew</v>
      </c>
      <c r="G325" s="25" t="s">
        <v>63</v>
      </c>
      <c r="H325" s="25" t="s">
        <v>92</v>
      </c>
      <c r="I325" s="27" t="str">
        <f>IFERROR(VLOOKUP(H325,product_lookup!$A:$D,2,FALSE),"")</f>
        <v>Raspberry THC Gummies</v>
      </c>
      <c r="J325" s="29">
        <v>48.0</v>
      </c>
      <c r="K325" s="30">
        <v>10.65</v>
      </c>
      <c r="L325" s="31">
        <f t="shared" si="1"/>
        <v>511.2</v>
      </c>
      <c r="M325" s="25" t="s">
        <v>65</v>
      </c>
      <c r="N325" s="26">
        <v>46098.0</v>
      </c>
      <c r="O325" s="27">
        <f>SUMIF(inventory_snapshot!$B:$B,H325,inventory_snapshot!$E:$E)</f>
        <v>1417</v>
      </c>
      <c r="P325" s="32" t="str">
        <f t="shared" si="2"/>
        <v>OK</v>
      </c>
      <c r="Q325" s="32" t="str">
        <f t="shared" si="3"/>
        <v>OK</v>
      </c>
      <c r="R325" s="32" t="str">
        <f t="shared" si="4"/>
        <v>OK</v>
      </c>
      <c r="S325" s="32" t="str">
        <f t="shared" si="5"/>
        <v>Medium</v>
      </c>
    </row>
    <row r="326" ht="15.75" customHeight="1">
      <c r="A326" s="17" t="s">
        <v>458</v>
      </c>
      <c r="B326" s="18">
        <v>46081.0</v>
      </c>
      <c r="C326" s="17" t="s">
        <v>459</v>
      </c>
      <c r="D326" s="19" t="str">
        <f>IFERROR(VLOOKUP(C326,customer_lookup!$A:$E,2,FALSE),"")</f>
        <v>NM Account 0022</v>
      </c>
      <c r="E326" s="19" t="str">
        <f>IFERROR(VLOOKUP(C326,customer_lookup!$A:$E,3,FALSE),"")</f>
        <v>NM</v>
      </c>
      <c r="F326" s="20" t="str">
        <f>IFERROR(VLOOKUP(C326,customer_lookup!$A:$E,5,FALSE),"")</f>
        <v>Drew</v>
      </c>
      <c r="G326" s="17" t="s">
        <v>63</v>
      </c>
      <c r="H326" s="17" t="s">
        <v>71</v>
      </c>
      <c r="I326" s="19" t="str">
        <f>IFERROR(VLOOKUP(H326,product_lookup!$A:$D,2,FALSE),"")</f>
        <v>Pineapple Sparkling Beverage</v>
      </c>
      <c r="J326" s="21">
        <v>36.0</v>
      </c>
      <c r="K326" s="22">
        <v>7.11</v>
      </c>
      <c r="L326" s="23">
        <f t="shared" si="1"/>
        <v>255.96</v>
      </c>
      <c r="M326" s="17" t="s">
        <v>65</v>
      </c>
      <c r="N326" s="18">
        <v>46091.0</v>
      </c>
      <c r="O326" s="19">
        <f>SUMIF(inventory_snapshot!$B:$B,H326,inventory_snapshot!$E:$E)</f>
        <v>1145</v>
      </c>
      <c r="P326" s="24" t="str">
        <f t="shared" si="2"/>
        <v>OK</v>
      </c>
      <c r="Q326" s="24" t="str">
        <f t="shared" si="3"/>
        <v>OK</v>
      </c>
      <c r="R326" s="24" t="str">
        <f t="shared" si="4"/>
        <v>OK</v>
      </c>
      <c r="S326" s="24" t="str">
        <f t="shared" si="5"/>
        <v>Small</v>
      </c>
    </row>
    <row r="327" ht="15.75" customHeight="1">
      <c r="A327" s="25" t="s">
        <v>460</v>
      </c>
      <c r="B327" s="26">
        <v>46075.0</v>
      </c>
      <c r="C327" s="25" t="s">
        <v>444</v>
      </c>
      <c r="D327" s="27" t="str">
        <f>IFERROR(VLOOKUP(C327,customer_lookup!$A:$E,2,FALSE),"")</f>
        <v>MO Account 0057</v>
      </c>
      <c r="E327" s="27" t="str">
        <f>IFERROR(VLOOKUP(C327,customer_lookup!$A:$E,3,FALSE),"")</f>
        <v>MO</v>
      </c>
      <c r="F327" s="28" t="str">
        <f>IFERROR(VLOOKUP(C327,customer_lookup!$A:$E,5,FALSE),"")</f>
        <v>Drew</v>
      </c>
      <c r="G327" s="25" t="s">
        <v>63</v>
      </c>
      <c r="H327" s="25" t="s">
        <v>95</v>
      </c>
      <c r="I327" s="27" t="str">
        <f>IFERROR(VLOOKUP(H327,product_lookup!$A:$D,2,FALSE),"")</f>
        <v>Boysenberry 1:1:1 Gummies</v>
      </c>
      <c r="J327" s="29">
        <v>36.0</v>
      </c>
      <c r="K327" s="30">
        <v>10.87</v>
      </c>
      <c r="L327" s="31">
        <f t="shared" si="1"/>
        <v>391.32</v>
      </c>
      <c r="M327" s="25" t="s">
        <v>97</v>
      </c>
      <c r="N327" s="26">
        <v>46080.0</v>
      </c>
      <c r="O327" s="27">
        <f>SUMIF(inventory_snapshot!$B:$B,H327,inventory_snapshot!$E:$E)</f>
        <v>2007</v>
      </c>
      <c r="P327" s="32" t="str">
        <f t="shared" si="2"/>
        <v>OK</v>
      </c>
      <c r="Q327" s="32" t="str">
        <f t="shared" si="3"/>
        <v>OK</v>
      </c>
      <c r="R327" s="32" t="str">
        <f t="shared" si="4"/>
        <v>OK</v>
      </c>
      <c r="S327" s="32" t="str">
        <f t="shared" si="5"/>
        <v>Small</v>
      </c>
    </row>
    <row r="328" ht="15.75" customHeight="1">
      <c r="A328" s="17" t="s">
        <v>461</v>
      </c>
      <c r="B328" s="18">
        <v>46121.0</v>
      </c>
      <c r="C328" s="17" t="s">
        <v>444</v>
      </c>
      <c r="D328" s="19" t="str">
        <f>IFERROR(VLOOKUP(C328,customer_lookup!$A:$E,2,FALSE),"")</f>
        <v>MO Account 0057</v>
      </c>
      <c r="E328" s="19" t="str">
        <f>IFERROR(VLOOKUP(C328,customer_lookup!$A:$E,3,FALSE),"")</f>
        <v>MO</v>
      </c>
      <c r="F328" s="20" t="str">
        <f>IFERROR(VLOOKUP(C328,customer_lookup!$A:$E,5,FALSE),"")</f>
        <v>Drew</v>
      </c>
      <c r="G328" s="17" t="s">
        <v>63</v>
      </c>
      <c r="H328" s="17" t="s">
        <v>74</v>
      </c>
      <c r="I328" s="19" t="str">
        <f>IFERROR(VLOOKUP(H328,product_lookup!$A:$D,2,FALSE),"")</f>
        <v>Strawberry 20:1 Gummies</v>
      </c>
      <c r="J328" s="21">
        <v>30.0</v>
      </c>
      <c r="K328" s="22">
        <v>12.14</v>
      </c>
      <c r="L328" s="23">
        <f t="shared" si="1"/>
        <v>364.2</v>
      </c>
      <c r="M328" s="17" t="s">
        <v>65</v>
      </c>
      <c r="N328" s="18">
        <v>46124.0</v>
      </c>
      <c r="O328" s="19">
        <f>SUMIF(inventory_snapshot!$B:$B,H328,inventory_snapshot!$E:$E)</f>
        <v>2294</v>
      </c>
      <c r="P328" s="24" t="str">
        <f t="shared" si="2"/>
        <v>OK</v>
      </c>
      <c r="Q328" s="24" t="str">
        <f t="shared" si="3"/>
        <v>OK</v>
      </c>
      <c r="R328" s="24" t="str">
        <f t="shared" si="4"/>
        <v>OK</v>
      </c>
      <c r="S328" s="24" t="str">
        <f t="shared" si="5"/>
        <v>Small</v>
      </c>
    </row>
    <row r="329" ht="15.75" customHeight="1">
      <c r="A329" s="25" t="s">
        <v>462</v>
      </c>
      <c r="B329" s="26">
        <v>46048.0</v>
      </c>
      <c r="C329" s="25" t="s">
        <v>454</v>
      </c>
      <c r="D329" s="27" t="str">
        <f>IFERROR(VLOOKUP(C329,customer_lookup!$A:$E,2,FALSE),"")</f>
        <v>NM Account 0118</v>
      </c>
      <c r="E329" s="27" t="str">
        <f>IFERROR(VLOOKUP(C329,customer_lookup!$A:$E,3,FALSE),"")</f>
        <v>NM</v>
      </c>
      <c r="F329" s="28" t="str">
        <f>IFERROR(VLOOKUP(C329,customer_lookup!$A:$E,5,FALSE),"")</f>
        <v>Drew</v>
      </c>
      <c r="G329" s="25" t="s">
        <v>63</v>
      </c>
      <c r="H329" s="25" t="s">
        <v>90</v>
      </c>
      <c r="I329" s="27" t="str">
        <f>IFERROR(VLOOKUP(H329,product_lookup!$A:$D,2,FALSE),"")</f>
        <v>Blackberry Sparkling Beverage</v>
      </c>
      <c r="J329" s="29">
        <v>12.0</v>
      </c>
      <c r="K329" s="30">
        <v>6.95</v>
      </c>
      <c r="L329" s="31">
        <f t="shared" si="1"/>
        <v>83.4</v>
      </c>
      <c r="M329" s="25" t="s">
        <v>100</v>
      </c>
      <c r="N329" s="26">
        <v>46056.0</v>
      </c>
      <c r="O329" s="27">
        <f>SUMIF(inventory_snapshot!$B:$B,H329,inventory_snapshot!$E:$E)</f>
        <v>1292</v>
      </c>
      <c r="P329" s="32" t="str">
        <f t="shared" si="2"/>
        <v>OK</v>
      </c>
      <c r="Q329" s="32" t="str">
        <f t="shared" si="3"/>
        <v>OK</v>
      </c>
      <c r="R329" s="32" t="str">
        <f t="shared" si="4"/>
        <v>OK</v>
      </c>
      <c r="S329" s="32" t="str">
        <f t="shared" si="5"/>
        <v>Small</v>
      </c>
    </row>
    <row r="330" ht="15.75" customHeight="1">
      <c r="A330" s="17" t="s">
        <v>463</v>
      </c>
      <c r="B330" s="18">
        <v>46053.0</v>
      </c>
      <c r="C330" s="17" t="s">
        <v>464</v>
      </c>
      <c r="D330" s="19" t="str">
        <f>IFERROR(VLOOKUP(C330,customer_lookup!$A:$E,2,FALSE),"")</f>
        <v>WA Account 0014</v>
      </c>
      <c r="E330" s="19" t="str">
        <f>IFERROR(VLOOKUP(C330,customer_lookup!$A:$E,3,FALSE),"")</f>
        <v>WA</v>
      </c>
      <c r="F330" s="20" t="str">
        <f>IFERROR(VLOOKUP(C330,customer_lookup!$A:$E,5,FALSE),"")</f>
        <v>Drew</v>
      </c>
      <c r="G330" s="17" t="s">
        <v>63</v>
      </c>
      <c r="H330" s="17" t="s">
        <v>92</v>
      </c>
      <c r="I330" s="19" t="str">
        <f>IFERROR(VLOOKUP(H330,product_lookup!$A:$D,2,FALSE),"")</f>
        <v>Raspberry THC Gummies</v>
      </c>
      <c r="J330" s="21">
        <v>60.0</v>
      </c>
      <c r="K330" s="22">
        <v>9.71</v>
      </c>
      <c r="L330" s="23">
        <f t="shared" si="1"/>
        <v>582.6</v>
      </c>
      <c r="M330" s="17" t="s">
        <v>75</v>
      </c>
      <c r="N330" s="18">
        <v>46054.0</v>
      </c>
      <c r="O330" s="19">
        <f>SUMIF(inventory_snapshot!$B:$B,H330,inventory_snapshot!$E:$E)</f>
        <v>1417</v>
      </c>
      <c r="P330" s="24" t="str">
        <f t="shared" si="2"/>
        <v>OK</v>
      </c>
      <c r="Q330" s="24" t="str">
        <f t="shared" si="3"/>
        <v>OK</v>
      </c>
      <c r="R330" s="24" t="str">
        <f t="shared" si="4"/>
        <v>OK</v>
      </c>
      <c r="S330" s="24" t="str">
        <f t="shared" si="5"/>
        <v>Medium</v>
      </c>
    </row>
    <row r="331" ht="15.75" customHeight="1">
      <c r="A331" s="25" t="s">
        <v>465</v>
      </c>
      <c r="B331" s="26">
        <v>46040.0</v>
      </c>
      <c r="C331" s="25" t="s">
        <v>464</v>
      </c>
      <c r="D331" s="27" t="str">
        <f>IFERROR(VLOOKUP(C331,customer_lookup!$A:$E,2,FALSE),"")</f>
        <v>WA Account 0014</v>
      </c>
      <c r="E331" s="27" t="str">
        <f>IFERROR(VLOOKUP(C331,customer_lookup!$A:$E,3,FALSE),"")</f>
        <v>WA</v>
      </c>
      <c r="F331" s="28" t="str">
        <f>IFERROR(VLOOKUP(C331,customer_lookup!$A:$E,5,FALSE),"")</f>
        <v>Drew</v>
      </c>
      <c r="G331" s="25" t="s">
        <v>63</v>
      </c>
      <c r="H331" s="25" t="s">
        <v>108</v>
      </c>
      <c r="I331" s="27" t="str">
        <f>IFERROR(VLOOKUP(H331,product_lookup!$A:$D,2,FALSE),"")</f>
        <v>Sour Tangerine THC Gummies</v>
      </c>
      <c r="J331" s="29">
        <v>30.0</v>
      </c>
      <c r="K331" s="30">
        <v>11.24</v>
      </c>
      <c r="L331" s="31">
        <f t="shared" si="1"/>
        <v>337.2</v>
      </c>
      <c r="M331" s="25" t="s">
        <v>65</v>
      </c>
      <c r="N331" s="26">
        <v>46047.0</v>
      </c>
      <c r="O331" s="27">
        <f>SUMIF(inventory_snapshot!$B:$B,H331,inventory_snapshot!$E:$E)</f>
        <v>1679</v>
      </c>
      <c r="P331" s="32" t="str">
        <f t="shared" si="2"/>
        <v>OK</v>
      </c>
      <c r="Q331" s="32" t="str">
        <f t="shared" si="3"/>
        <v>OK</v>
      </c>
      <c r="R331" s="32" t="str">
        <f t="shared" si="4"/>
        <v>OK</v>
      </c>
      <c r="S331" s="32" t="str">
        <f t="shared" si="5"/>
        <v>Small</v>
      </c>
    </row>
    <row r="332" ht="15.75" customHeight="1">
      <c r="A332" s="17" t="s">
        <v>439</v>
      </c>
      <c r="B332" s="18">
        <v>46040.0</v>
      </c>
      <c r="C332" s="17" t="s">
        <v>466</v>
      </c>
      <c r="D332" s="19" t="str">
        <f>IFERROR(VLOOKUP(C332,customer_lookup!$A:$E,2,FALSE),"")</f>
        <v>NV Account 0006</v>
      </c>
      <c r="E332" s="19" t="str">
        <f>IFERROR(VLOOKUP(C332,customer_lookup!$A:$E,3,FALSE),"")</f>
        <v>NV</v>
      </c>
      <c r="F332" s="20" t="str">
        <f>IFERROR(VLOOKUP(C332,customer_lookup!$A:$E,5,FALSE),"")</f>
        <v>Drew</v>
      </c>
      <c r="G332" s="17" t="s">
        <v>63</v>
      </c>
      <c r="H332" s="17" t="s">
        <v>95</v>
      </c>
      <c r="I332" s="19" t="str">
        <f>IFERROR(VLOOKUP(H332,product_lookup!$A:$D,2,FALSE),"")</f>
        <v>Boysenberry 1:1:1 Gummies</v>
      </c>
      <c r="J332" s="21">
        <v>36.0</v>
      </c>
      <c r="K332" s="22">
        <v>11.14</v>
      </c>
      <c r="L332" s="23">
        <f t="shared" si="1"/>
        <v>401.04</v>
      </c>
      <c r="M332" s="17" t="s">
        <v>65</v>
      </c>
      <c r="N332" s="18">
        <v>46049.0</v>
      </c>
      <c r="O332" s="19">
        <f>SUMIF(inventory_snapshot!$B:$B,H332,inventory_snapshot!$E:$E)</f>
        <v>2007</v>
      </c>
      <c r="P332" s="24" t="str">
        <f t="shared" si="2"/>
        <v>OK</v>
      </c>
      <c r="Q332" s="24" t="str">
        <f t="shared" si="3"/>
        <v>Duplicate</v>
      </c>
      <c r="R332" s="24" t="str">
        <f t="shared" si="4"/>
        <v>OK</v>
      </c>
      <c r="S332" s="24" t="str">
        <f t="shared" si="5"/>
        <v>Small</v>
      </c>
    </row>
    <row r="333" ht="15.75" customHeight="1">
      <c r="A333" s="25" t="s">
        <v>467</v>
      </c>
      <c r="B333" s="26">
        <v>46134.0</v>
      </c>
      <c r="C333" s="25" t="s">
        <v>454</v>
      </c>
      <c r="D333" s="27" t="str">
        <f>IFERROR(VLOOKUP(C333,customer_lookup!$A:$E,2,FALSE),"")</f>
        <v>NM Account 0118</v>
      </c>
      <c r="E333" s="27" t="str">
        <f>IFERROR(VLOOKUP(C333,customer_lookup!$A:$E,3,FALSE),"")</f>
        <v>NM</v>
      </c>
      <c r="F333" s="28" t="str">
        <f>IFERROR(VLOOKUP(C333,customer_lookup!$A:$E,5,FALSE),"")</f>
        <v>Drew</v>
      </c>
      <c r="G333" s="25" t="s">
        <v>63</v>
      </c>
      <c r="H333" s="25" t="s">
        <v>90</v>
      </c>
      <c r="I333" s="27" t="str">
        <f>IFERROR(VLOOKUP(H333,product_lookup!$A:$D,2,FALSE),"")</f>
        <v>Blackberry Sparkling Beverage</v>
      </c>
      <c r="J333" s="29">
        <v>6.0</v>
      </c>
      <c r="K333" s="30">
        <v>7.81</v>
      </c>
      <c r="L333" s="31">
        <f t="shared" si="1"/>
        <v>46.86</v>
      </c>
      <c r="M333" s="25" t="s">
        <v>65</v>
      </c>
      <c r="N333" s="26">
        <v>46142.0</v>
      </c>
      <c r="O333" s="27">
        <f>SUMIF(inventory_snapshot!$B:$B,H333,inventory_snapshot!$E:$E)</f>
        <v>1292</v>
      </c>
      <c r="P333" s="32" t="str">
        <f t="shared" si="2"/>
        <v>OK</v>
      </c>
      <c r="Q333" s="32" t="str">
        <f t="shared" si="3"/>
        <v>OK</v>
      </c>
      <c r="R333" s="32" t="str">
        <f t="shared" si="4"/>
        <v>OK</v>
      </c>
      <c r="S333" s="32" t="str">
        <f t="shared" si="5"/>
        <v>Small</v>
      </c>
    </row>
    <row r="334" ht="15.75" customHeight="1">
      <c r="A334" s="17" t="s">
        <v>468</v>
      </c>
      <c r="B334" s="18">
        <v>46065.0</v>
      </c>
      <c r="C334" s="17" t="s">
        <v>469</v>
      </c>
      <c r="D334" s="19" t="str">
        <f>IFERROR(VLOOKUP(C334,customer_lookup!$A:$E,2,FALSE),"")</f>
        <v>NM Account 0058</v>
      </c>
      <c r="E334" s="19" t="str">
        <f>IFERROR(VLOOKUP(C334,customer_lookup!$A:$E,3,FALSE),"")</f>
        <v>NM</v>
      </c>
      <c r="F334" s="20" t="str">
        <f>IFERROR(VLOOKUP(C334,customer_lookup!$A:$E,5,FALSE),"")</f>
        <v>Drew</v>
      </c>
      <c r="G334" s="17" t="s">
        <v>63</v>
      </c>
      <c r="H334" s="17" t="s">
        <v>115</v>
      </c>
      <c r="I334" s="19" t="str">
        <f>IFERROR(VLOOKUP(H334,product_lookup!$A:$D,2,FALSE),"")</f>
        <v>Pear 1:1 Gummies</v>
      </c>
      <c r="J334" s="21">
        <v>30.0</v>
      </c>
      <c r="K334" s="22">
        <v>11.44</v>
      </c>
      <c r="L334" s="23">
        <f t="shared" si="1"/>
        <v>343.2</v>
      </c>
      <c r="M334" s="17" t="s">
        <v>65</v>
      </c>
      <c r="N334" s="18">
        <v>46071.0</v>
      </c>
      <c r="O334" s="19">
        <f>SUMIF(inventory_snapshot!$B:$B,H334,inventory_snapshot!$E:$E)</f>
        <v>981</v>
      </c>
      <c r="P334" s="24" t="str">
        <f t="shared" si="2"/>
        <v>OK</v>
      </c>
      <c r="Q334" s="24" t="str">
        <f t="shared" si="3"/>
        <v>OK</v>
      </c>
      <c r="R334" s="24" t="str">
        <f t="shared" si="4"/>
        <v>OK</v>
      </c>
      <c r="S334" s="24" t="str">
        <f t="shared" si="5"/>
        <v>Small</v>
      </c>
    </row>
    <row r="335" ht="15.75" customHeight="1">
      <c r="A335" s="25" t="s">
        <v>470</v>
      </c>
      <c r="B335" s="26">
        <v>46113.0</v>
      </c>
      <c r="C335" s="25" t="s">
        <v>469</v>
      </c>
      <c r="D335" s="27" t="str">
        <f>IFERROR(VLOOKUP(C335,customer_lookup!$A:$E,2,FALSE),"")</f>
        <v>NM Account 0058</v>
      </c>
      <c r="E335" s="27" t="str">
        <f>IFERROR(VLOOKUP(C335,customer_lookup!$A:$E,3,FALSE),"")</f>
        <v>NM</v>
      </c>
      <c r="F335" s="28" t="str">
        <f>IFERROR(VLOOKUP(C335,customer_lookup!$A:$E,5,FALSE),"")</f>
        <v>Drew</v>
      </c>
      <c r="G335" s="25" t="s">
        <v>63</v>
      </c>
      <c r="H335" s="25" t="s">
        <v>190</v>
      </c>
      <c r="I335" s="27" t="str">
        <f>IFERROR(VLOOKUP(H335,product_lookup!$A:$D,2,FALSE),"")</f>
        <v>Mango Sparkling Beverage</v>
      </c>
      <c r="J335" s="29">
        <v>36.0</v>
      </c>
      <c r="K335" s="30">
        <v>6.87</v>
      </c>
      <c r="L335" s="31">
        <f t="shared" si="1"/>
        <v>247.32</v>
      </c>
      <c r="M335" s="25" t="s">
        <v>65</v>
      </c>
      <c r="N335" s="26">
        <v>46122.0</v>
      </c>
      <c r="O335" s="27">
        <f>SUMIF(inventory_snapshot!$B:$B,H335,inventory_snapshot!$E:$E)</f>
        <v>1502</v>
      </c>
      <c r="P335" s="32" t="str">
        <f t="shared" si="2"/>
        <v>OK</v>
      </c>
      <c r="Q335" s="32" t="str">
        <f t="shared" si="3"/>
        <v>OK</v>
      </c>
      <c r="R335" s="32" t="str">
        <f t="shared" si="4"/>
        <v>OK</v>
      </c>
      <c r="S335" s="32" t="str">
        <f t="shared" si="5"/>
        <v>Small</v>
      </c>
    </row>
    <row r="336" ht="15.75" customHeight="1">
      <c r="A336" s="17" t="s">
        <v>471</v>
      </c>
      <c r="B336" s="18">
        <v>46081.0</v>
      </c>
      <c r="C336" s="17" t="s">
        <v>469</v>
      </c>
      <c r="D336" s="19" t="str">
        <f>IFERROR(VLOOKUP(C336,customer_lookup!$A:$E,2,FALSE),"")</f>
        <v>NM Account 0058</v>
      </c>
      <c r="E336" s="19" t="str">
        <f>IFERROR(VLOOKUP(C336,customer_lookup!$A:$E,3,FALSE),"")</f>
        <v>NM</v>
      </c>
      <c r="F336" s="20" t="str">
        <f>IFERROR(VLOOKUP(C336,customer_lookup!$A:$E,5,FALSE),"")</f>
        <v>Drew</v>
      </c>
      <c r="G336" s="17" t="s">
        <v>63</v>
      </c>
      <c r="H336" s="17" t="s">
        <v>95</v>
      </c>
      <c r="I336" s="19" t="str">
        <f>IFERROR(VLOOKUP(H336,product_lookup!$A:$D,2,FALSE),"")</f>
        <v>Boysenberry 1:1:1 Gummies</v>
      </c>
      <c r="J336" s="21">
        <v>18.0</v>
      </c>
      <c r="K336" s="22">
        <v>10.53</v>
      </c>
      <c r="L336" s="23">
        <f t="shared" si="1"/>
        <v>189.54</v>
      </c>
      <c r="M336" s="17" t="s">
        <v>137</v>
      </c>
      <c r="N336" s="18">
        <v>46089.0</v>
      </c>
      <c r="O336" s="19">
        <f>SUMIF(inventory_snapshot!$B:$B,H336,inventory_snapshot!$E:$E)</f>
        <v>2007</v>
      </c>
      <c r="P336" s="24" t="str">
        <f t="shared" si="2"/>
        <v>OK</v>
      </c>
      <c r="Q336" s="24" t="str">
        <f t="shared" si="3"/>
        <v>OK</v>
      </c>
      <c r="R336" s="24" t="str">
        <f t="shared" si="4"/>
        <v>OK</v>
      </c>
      <c r="S336" s="24" t="str">
        <f t="shared" si="5"/>
        <v>Small</v>
      </c>
    </row>
    <row r="337" ht="15.75" customHeight="1">
      <c r="A337" s="25" t="s">
        <v>472</v>
      </c>
      <c r="B337" s="26">
        <v>46071.0</v>
      </c>
      <c r="C337" s="25" t="s">
        <v>469</v>
      </c>
      <c r="D337" s="27" t="str">
        <f>IFERROR(VLOOKUP(C337,customer_lookup!$A:$E,2,FALSE),"")</f>
        <v>NM Account 0058</v>
      </c>
      <c r="E337" s="27" t="str">
        <f>IFERROR(VLOOKUP(C337,customer_lookup!$A:$E,3,FALSE),"")</f>
        <v>NM</v>
      </c>
      <c r="F337" s="28" t="str">
        <f>IFERROR(VLOOKUP(C337,customer_lookup!$A:$E,5,FALSE),"")</f>
        <v>Drew</v>
      </c>
      <c r="G337" s="25" t="s">
        <v>63</v>
      </c>
      <c r="H337" s="25" t="s">
        <v>106</v>
      </c>
      <c r="I337" s="27" t="str">
        <f>IFERROR(VLOOKUP(H337,product_lookup!$A:$D,2,FALSE),"")</f>
        <v>Sour Cherry THC Gummies</v>
      </c>
      <c r="J337" s="29">
        <v>12.0</v>
      </c>
      <c r="K337" s="30">
        <v>11.14</v>
      </c>
      <c r="L337" s="31">
        <f t="shared" si="1"/>
        <v>133.68</v>
      </c>
      <c r="M337" s="25" t="s">
        <v>65</v>
      </c>
      <c r="N337" s="26">
        <v>46077.0</v>
      </c>
      <c r="O337" s="27">
        <f>SUMIF(inventory_snapshot!$B:$B,H337,inventory_snapshot!$E:$E)</f>
        <v>1313</v>
      </c>
      <c r="P337" s="32" t="str">
        <f t="shared" si="2"/>
        <v>OK</v>
      </c>
      <c r="Q337" s="32" t="str">
        <f t="shared" si="3"/>
        <v>Duplicate</v>
      </c>
      <c r="R337" s="32" t="str">
        <f t="shared" si="4"/>
        <v>OK</v>
      </c>
      <c r="S337" s="32" t="str">
        <f t="shared" si="5"/>
        <v>Small</v>
      </c>
    </row>
    <row r="338" ht="15.75" customHeight="1">
      <c r="A338" s="17" t="s">
        <v>473</v>
      </c>
      <c r="B338" s="18">
        <v>46092.0</v>
      </c>
      <c r="C338" s="17" t="s">
        <v>444</v>
      </c>
      <c r="D338" s="19" t="str">
        <f>IFERROR(VLOOKUP(C338,customer_lookup!$A:$E,2,FALSE),"")</f>
        <v>MO Account 0057</v>
      </c>
      <c r="E338" s="19" t="str">
        <f>IFERROR(VLOOKUP(C338,customer_lookup!$A:$E,3,FALSE),"")</f>
        <v>MO</v>
      </c>
      <c r="F338" s="20" t="str">
        <f>IFERROR(VLOOKUP(C338,customer_lookup!$A:$E,5,FALSE),"")</f>
        <v>Drew</v>
      </c>
      <c r="G338" s="17" t="s">
        <v>63</v>
      </c>
      <c r="H338" s="17" t="s">
        <v>123</v>
      </c>
      <c r="I338" s="19" t="str">
        <f>IFERROR(VLOOKUP(H338,product_lookup!$A:$D,2,FALSE),"")</f>
        <v>Peach 2:1 Gummies</v>
      </c>
      <c r="J338" s="21">
        <v>24.0</v>
      </c>
      <c r="K338" s="22">
        <v>11.3</v>
      </c>
      <c r="L338" s="23">
        <f t="shared" si="1"/>
        <v>271.2</v>
      </c>
      <c r="M338" s="17" t="s">
        <v>65</v>
      </c>
      <c r="N338" s="18">
        <v>46097.0</v>
      </c>
      <c r="O338" s="19">
        <f>SUMIF(inventory_snapshot!$B:$B,H338,inventory_snapshot!$E:$E)</f>
        <v>1732</v>
      </c>
      <c r="P338" s="24" t="str">
        <f t="shared" si="2"/>
        <v>OK</v>
      </c>
      <c r="Q338" s="24" t="str">
        <f t="shared" si="3"/>
        <v>OK</v>
      </c>
      <c r="R338" s="24" t="str">
        <f t="shared" si="4"/>
        <v>OK</v>
      </c>
      <c r="S338" s="24" t="str">
        <f t="shared" si="5"/>
        <v>Small</v>
      </c>
    </row>
    <row r="339" ht="15.75" customHeight="1">
      <c r="A339" s="25" t="s">
        <v>474</v>
      </c>
      <c r="B339" s="26">
        <v>46117.0</v>
      </c>
      <c r="C339" s="25" t="s">
        <v>446</v>
      </c>
      <c r="D339" s="27" t="str">
        <f>IFERROR(VLOOKUP(C339,customer_lookup!$A:$E,2,FALSE),"")</f>
        <v>CO Account 0028</v>
      </c>
      <c r="E339" s="27" t="str">
        <f>IFERROR(VLOOKUP(C339,customer_lookup!$A:$E,3,FALSE),"")</f>
        <v>CO</v>
      </c>
      <c r="F339" s="28" t="str">
        <f>IFERROR(VLOOKUP(C339,customer_lookup!$A:$E,5,FALSE),"")</f>
        <v>Drew</v>
      </c>
      <c r="G339" s="25" t="s">
        <v>89</v>
      </c>
      <c r="H339" s="25" t="s">
        <v>162</v>
      </c>
      <c r="I339" s="27" t="str">
        <f>IFERROR(VLOOKUP(H339,product_lookup!$A:$D,2,FALSE),"")</f>
        <v>Marionberry THC Gummies</v>
      </c>
      <c r="J339" s="29">
        <v>12.0</v>
      </c>
      <c r="K339" s="30">
        <v>10.76</v>
      </c>
      <c r="L339" s="31">
        <f t="shared" si="1"/>
        <v>129.12</v>
      </c>
      <c r="M339" s="25" t="s">
        <v>65</v>
      </c>
      <c r="N339" s="26">
        <v>46127.0</v>
      </c>
      <c r="O339" s="27">
        <f>SUMIF(inventory_snapshot!$B:$B,H339,inventory_snapshot!$E:$E)</f>
        <v>1599</v>
      </c>
      <c r="P339" s="32" t="str">
        <f t="shared" si="2"/>
        <v>OK</v>
      </c>
      <c r="Q339" s="32" t="str">
        <f t="shared" si="3"/>
        <v>OK</v>
      </c>
      <c r="R339" s="32" t="str">
        <f t="shared" si="4"/>
        <v>OK</v>
      </c>
      <c r="S339" s="32" t="str">
        <f t="shared" si="5"/>
        <v>Small</v>
      </c>
    </row>
    <row r="340" ht="15.75" customHeight="1">
      <c r="A340" s="17" t="s">
        <v>475</v>
      </c>
      <c r="B340" s="18">
        <v>46025.0</v>
      </c>
      <c r="C340" s="17" t="s">
        <v>452</v>
      </c>
      <c r="D340" s="19" t="str">
        <f>IFERROR(VLOOKUP(C340,customer_lookup!$A:$E,2,FALSE),"")</f>
        <v>AZ Account 0029</v>
      </c>
      <c r="E340" s="19" t="str">
        <f>IFERROR(VLOOKUP(C340,customer_lookup!$A:$E,3,FALSE),"")</f>
        <v>AZ</v>
      </c>
      <c r="F340" s="20" t="str">
        <f>IFERROR(VLOOKUP(C340,customer_lookup!$A:$E,5,FALSE),"")</f>
        <v>Drew</v>
      </c>
      <c r="G340" s="17" t="s">
        <v>67</v>
      </c>
      <c r="H340" s="17" t="s">
        <v>85</v>
      </c>
      <c r="I340" s="19" t="str">
        <f>IFERROR(VLOOKUP(H340,product_lookup!$A:$D,2,FALSE),"")</f>
        <v>Huckleberry THC Gummies</v>
      </c>
      <c r="J340" s="21">
        <v>30.0</v>
      </c>
      <c r="K340" s="22">
        <v>10.36</v>
      </c>
      <c r="L340" s="23">
        <f t="shared" si="1"/>
        <v>310.8</v>
      </c>
      <c r="M340" s="17" t="s">
        <v>65</v>
      </c>
      <c r="N340" s="18">
        <v>46030.0</v>
      </c>
      <c r="O340" s="19">
        <f>SUMIF(inventory_snapshot!$B:$B,H340,inventory_snapshot!$E:$E)</f>
        <v>1841</v>
      </c>
      <c r="P340" s="24" t="str">
        <f t="shared" si="2"/>
        <v>OK</v>
      </c>
      <c r="Q340" s="24" t="str">
        <f t="shared" si="3"/>
        <v>Duplicate</v>
      </c>
      <c r="R340" s="24" t="str">
        <f t="shared" si="4"/>
        <v>OK</v>
      </c>
      <c r="S340" s="24" t="str">
        <f t="shared" si="5"/>
        <v>Small</v>
      </c>
    </row>
    <row r="341" ht="15.75" customHeight="1">
      <c r="A341" s="25" t="s">
        <v>476</v>
      </c>
      <c r="B341" s="26">
        <v>46138.0</v>
      </c>
      <c r="C341" s="25" t="s">
        <v>457</v>
      </c>
      <c r="D341" s="27" t="str">
        <f>IFERROR(VLOOKUP(C341,customer_lookup!$A:$E,2,FALSE),"")</f>
        <v>NM Account 0010</v>
      </c>
      <c r="E341" s="27" t="str">
        <f>IFERROR(VLOOKUP(C341,customer_lookup!$A:$E,3,FALSE),"")</f>
        <v>NM</v>
      </c>
      <c r="F341" s="28" t="str">
        <f>IFERROR(VLOOKUP(C341,customer_lookup!$A:$E,5,FALSE),"")</f>
        <v>Drew</v>
      </c>
      <c r="G341" s="25" t="s">
        <v>89</v>
      </c>
      <c r="H341" s="25" t="s">
        <v>115</v>
      </c>
      <c r="I341" s="27" t="str">
        <f>IFERROR(VLOOKUP(H341,product_lookup!$A:$D,2,FALSE),"")</f>
        <v>Pear 1:1 Gummies</v>
      </c>
      <c r="J341" s="29">
        <v>72.0</v>
      </c>
      <c r="K341" s="30">
        <v>11.39</v>
      </c>
      <c r="L341" s="31">
        <f t="shared" si="1"/>
        <v>820.08</v>
      </c>
      <c r="M341" s="25" t="s">
        <v>100</v>
      </c>
      <c r="N341" s="26">
        <v>46144.0</v>
      </c>
      <c r="O341" s="27">
        <f>SUMIF(inventory_snapshot!$B:$B,H341,inventory_snapshot!$E:$E)</f>
        <v>981</v>
      </c>
      <c r="P341" s="32" t="str">
        <f t="shared" si="2"/>
        <v>OK</v>
      </c>
      <c r="Q341" s="32" t="str">
        <f t="shared" si="3"/>
        <v>OK</v>
      </c>
      <c r="R341" s="32" t="str">
        <f t="shared" si="4"/>
        <v>OK</v>
      </c>
      <c r="S341" s="32" t="str">
        <f t="shared" si="5"/>
        <v>Medium</v>
      </c>
    </row>
    <row r="342" ht="15.75" customHeight="1">
      <c r="A342" s="17" t="s">
        <v>477</v>
      </c>
      <c r="B342" s="18">
        <v>46107.0</v>
      </c>
      <c r="C342" s="17" t="s">
        <v>464</v>
      </c>
      <c r="D342" s="19" t="str">
        <f>IFERROR(VLOOKUP(C342,customer_lookup!$A:$E,2,FALSE),"")</f>
        <v>WA Account 0014</v>
      </c>
      <c r="E342" s="19" t="str">
        <f>IFERROR(VLOOKUP(C342,customer_lookup!$A:$E,3,FALSE),"")</f>
        <v>WA</v>
      </c>
      <c r="F342" s="20" t="str">
        <f>IFERROR(VLOOKUP(C342,customer_lookup!$A:$E,5,FALSE),"")</f>
        <v>Drew</v>
      </c>
      <c r="G342" s="17" t="s">
        <v>63</v>
      </c>
      <c r="H342" s="17" t="s">
        <v>123</v>
      </c>
      <c r="I342" s="19" t="str">
        <f>IFERROR(VLOOKUP(H342,product_lookup!$A:$D,2,FALSE),"")</f>
        <v>Peach 2:1 Gummies</v>
      </c>
      <c r="J342" s="21">
        <v>120.0</v>
      </c>
      <c r="K342" s="22">
        <v>10.44</v>
      </c>
      <c r="L342" s="23">
        <f t="shared" si="1"/>
        <v>1252.8</v>
      </c>
      <c r="M342" s="17" t="s">
        <v>65</v>
      </c>
      <c r="N342" s="18">
        <v>46114.0</v>
      </c>
      <c r="O342" s="19">
        <f>SUMIF(inventory_snapshot!$B:$B,H342,inventory_snapshot!$E:$E)</f>
        <v>1732</v>
      </c>
      <c r="P342" s="24" t="str">
        <f t="shared" si="2"/>
        <v>OK</v>
      </c>
      <c r="Q342" s="24" t="str">
        <f t="shared" si="3"/>
        <v>OK</v>
      </c>
      <c r="R342" s="24" t="str">
        <f t="shared" si="4"/>
        <v>OK</v>
      </c>
      <c r="S342" s="24" t="str">
        <f t="shared" si="5"/>
        <v>Large</v>
      </c>
    </row>
    <row r="343" ht="15.75" customHeight="1">
      <c r="A343" s="25" t="s">
        <v>478</v>
      </c>
      <c r="B343" s="26">
        <v>46073.0</v>
      </c>
      <c r="C343" s="25" t="s">
        <v>469</v>
      </c>
      <c r="D343" s="27" t="str">
        <f>IFERROR(VLOOKUP(C343,customer_lookup!$A:$E,2,FALSE),"")</f>
        <v>NM Account 0058</v>
      </c>
      <c r="E343" s="27" t="str">
        <f>IFERROR(VLOOKUP(C343,customer_lookup!$A:$E,3,FALSE),"")</f>
        <v>NM</v>
      </c>
      <c r="F343" s="28" t="str">
        <f>IFERROR(VLOOKUP(C343,customer_lookup!$A:$E,5,FALSE),"")</f>
        <v>Drew</v>
      </c>
      <c r="G343" s="25" t="s">
        <v>63</v>
      </c>
      <c r="H343" s="25" t="s">
        <v>68</v>
      </c>
      <c r="I343" s="27" t="str">
        <f>IFERROR(VLOOKUP(H343,product_lookup!$A:$D,2,FALSE),"")</f>
        <v>Sour Apple THC Gummies</v>
      </c>
      <c r="J343" s="29">
        <v>60.0</v>
      </c>
      <c r="K343" s="30">
        <v>11.07</v>
      </c>
      <c r="L343" s="31">
        <f t="shared" si="1"/>
        <v>664.2</v>
      </c>
      <c r="M343" s="25" t="s">
        <v>65</v>
      </c>
      <c r="N343" s="26">
        <v>46079.0</v>
      </c>
      <c r="O343" s="27">
        <f>SUMIF(inventory_snapshot!$B:$B,H343,inventory_snapshot!$E:$E)</f>
        <v>775</v>
      </c>
      <c r="P343" s="32" t="str">
        <f t="shared" si="2"/>
        <v>OK</v>
      </c>
      <c r="Q343" s="32" t="str">
        <f t="shared" si="3"/>
        <v>OK</v>
      </c>
      <c r="R343" s="32" t="str">
        <f t="shared" si="4"/>
        <v>OK</v>
      </c>
      <c r="S343" s="32" t="str">
        <f t="shared" si="5"/>
        <v>Medium</v>
      </c>
    </row>
    <row r="344" ht="15.75" customHeight="1">
      <c r="A344" s="17" t="s">
        <v>479</v>
      </c>
      <c r="B344" s="18">
        <v>46094.0</v>
      </c>
      <c r="C344" s="17" t="s">
        <v>454</v>
      </c>
      <c r="D344" s="19" t="str">
        <f>IFERROR(VLOOKUP(C344,customer_lookup!$A:$E,2,FALSE),"")</f>
        <v>NM Account 0118</v>
      </c>
      <c r="E344" s="19" t="str">
        <f>IFERROR(VLOOKUP(C344,customer_lookup!$A:$E,3,FALSE),"")</f>
        <v>NM</v>
      </c>
      <c r="F344" s="20" t="str">
        <f>IFERROR(VLOOKUP(C344,customer_lookup!$A:$E,5,FALSE),"")</f>
        <v>Drew</v>
      </c>
      <c r="G344" s="17" t="s">
        <v>63</v>
      </c>
      <c r="H344" s="17" t="s">
        <v>154</v>
      </c>
      <c r="I344" s="19" t="str">
        <f>IFERROR(VLOOKUP(H344,product_lookup!$A:$D,2,FALSE),"")</f>
        <v>Kiwi 1:1 Gummies</v>
      </c>
      <c r="J344" s="21">
        <v>18.0</v>
      </c>
      <c r="K344" s="22">
        <v>10.73</v>
      </c>
      <c r="L344" s="23">
        <f t="shared" si="1"/>
        <v>193.14</v>
      </c>
      <c r="M344" s="17" t="s">
        <v>97</v>
      </c>
      <c r="N344" s="18">
        <v>46102.0</v>
      </c>
      <c r="O344" s="19">
        <f>SUMIF(inventory_snapshot!$B:$B,H344,inventory_snapshot!$E:$E)</f>
        <v>1136</v>
      </c>
      <c r="P344" s="24" t="str">
        <f t="shared" si="2"/>
        <v>OK</v>
      </c>
      <c r="Q344" s="24" t="str">
        <f t="shared" si="3"/>
        <v>OK</v>
      </c>
      <c r="R344" s="24" t="str">
        <f t="shared" si="4"/>
        <v>OK</v>
      </c>
      <c r="S344" s="24" t="str">
        <f t="shared" si="5"/>
        <v>Small</v>
      </c>
    </row>
    <row r="345" ht="15.75" customHeight="1">
      <c r="A345" s="25" t="s">
        <v>480</v>
      </c>
      <c r="B345" s="26">
        <v>46061.0</v>
      </c>
      <c r="C345" s="25" t="s">
        <v>464</v>
      </c>
      <c r="D345" s="27" t="str">
        <f>IFERROR(VLOOKUP(C345,customer_lookup!$A:$E,2,FALSE),"")</f>
        <v>WA Account 0014</v>
      </c>
      <c r="E345" s="27" t="str">
        <f>IFERROR(VLOOKUP(C345,customer_lookup!$A:$E,3,FALSE),"")</f>
        <v>WA</v>
      </c>
      <c r="F345" s="28" t="str">
        <f>IFERROR(VLOOKUP(C345,customer_lookup!$A:$E,5,FALSE),"")</f>
        <v>Drew</v>
      </c>
      <c r="G345" s="25" t="s">
        <v>89</v>
      </c>
      <c r="H345" s="25" t="s">
        <v>123</v>
      </c>
      <c r="I345" s="27" t="str">
        <f>IFERROR(VLOOKUP(H345,product_lookup!$A:$D,2,FALSE),"")</f>
        <v>Peach 2:1 Gummies</v>
      </c>
      <c r="J345" s="29">
        <v>6.0</v>
      </c>
      <c r="K345" s="30">
        <v>10.64</v>
      </c>
      <c r="L345" s="31">
        <f t="shared" si="1"/>
        <v>63.84</v>
      </c>
      <c r="M345" s="25" t="s">
        <v>97</v>
      </c>
      <c r="N345" s="26">
        <v>46069.0</v>
      </c>
      <c r="O345" s="27">
        <f>SUMIF(inventory_snapshot!$B:$B,H345,inventory_snapshot!$E:$E)</f>
        <v>1732</v>
      </c>
      <c r="P345" s="32" t="str">
        <f t="shared" si="2"/>
        <v>OK</v>
      </c>
      <c r="Q345" s="32" t="str">
        <f t="shared" si="3"/>
        <v>OK</v>
      </c>
      <c r="R345" s="32" t="str">
        <f t="shared" si="4"/>
        <v>OK</v>
      </c>
      <c r="S345" s="32" t="str">
        <f t="shared" si="5"/>
        <v>Small</v>
      </c>
    </row>
    <row r="346" ht="15.75" customHeight="1">
      <c r="A346" s="17" t="s">
        <v>481</v>
      </c>
      <c r="B346" s="18">
        <v>46081.0</v>
      </c>
      <c r="C346" s="17" t="s">
        <v>457</v>
      </c>
      <c r="D346" s="19" t="str">
        <f>IFERROR(VLOOKUP(C346,customer_lookup!$A:$E,2,FALSE),"")</f>
        <v>NM Account 0010</v>
      </c>
      <c r="E346" s="19" t="str">
        <f>IFERROR(VLOOKUP(C346,customer_lookup!$A:$E,3,FALSE),"")</f>
        <v>NM</v>
      </c>
      <c r="F346" s="20" t="str">
        <f>IFERROR(VLOOKUP(C346,customer_lookup!$A:$E,5,FALSE),"")</f>
        <v>Drew</v>
      </c>
      <c r="G346" s="17" t="s">
        <v>63</v>
      </c>
      <c r="H346" s="17" t="s">
        <v>90</v>
      </c>
      <c r="I346" s="19" t="str">
        <f>IFERROR(VLOOKUP(H346,product_lookup!$A:$D,2,FALSE),"")</f>
        <v>Blackberry Sparkling Beverage</v>
      </c>
      <c r="J346" s="21">
        <v>72.0</v>
      </c>
      <c r="K346" s="22">
        <v>7.29</v>
      </c>
      <c r="L346" s="23">
        <f t="shared" si="1"/>
        <v>524.88</v>
      </c>
      <c r="M346" s="17" t="s">
        <v>65</v>
      </c>
      <c r="N346" s="18">
        <v>46087.0</v>
      </c>
      <c r="O346" s="19">
        <f>SUMIF(inventory_snapshot!$B:$B,H346,inventory_snapshot!$E:$E)</f>
        <v>1292</v>
      </c>
      <c r="P346" s="24" t="str">
        <f t="shared" si="2"/>
        <v>OK</v>
      </c>
      <c r="Q346" s="24" t="str">
        <f t="shared" si="3"/>
        <v>OK</v>
      </c>
      <c r="R346" s="24" t="str">
        <f t="shared" si="4"/>
        <v>OK</v>
      </c>
      <c r="S346" s="24" t="str">
        <f t="shared" si="5"/>
        <v>Medium</v>
      </c>
    </row>
    <row r="347" ht="15.75" customHeight="1">
      <c r="A347" s="25" t="s">
        <v>482</v>
      </c>
      <c r="B347" s="26">
        <v>46057.0</v>
      </c>
      <c r="C347" s="25" t="s">
        <v>454</v>
      </c>
      <c r="D347" s="27" t="str">
        <f>IFERROR(VLOOKUP(C347,customer_lookup!$A:$E,2,FALSE),"")</f>
        <v>NM Account 0118</v>
      </c>
      <c r="E347" s="27" t="str">
        <f>IFERROR(VLOOKUP(C347,customer_lookup!$A:$E,3,FALSE),"")</f>
        <v>NM</v>
      </c>
      <c r="F347" s="28" t="str">
        <f>IFERROR(VLOOKUP(C347,customer_lookup!$A:$E,5,FALSE),"")</f>
        <v>Drew</v>
      </c>
      <c r="G347" s="25" t="s">
        <v>67</v>
      </c>
      <c r="H347" s="25" t="s">
        <v>92</v>
      </c>
      <c r="I347" s="27" t="str">
        <f>IFERROR(VLOOKUP(H347,product_lookup!$A:$D,2,FALSE),"")</f>
        <v>Raspberry THC Gummies</v>
      </c>
      <c r="J347" s="29">
        <v>12.0</v>
      </c>
      <c r="K347" s="30">
        <v>10.65</v>
      </c>
      <c r="L347" s="31">
        <f t="shared" si="1"/>
        <v>127.8</v>
      </c>
      <c r="M347" s="25" t="s">
        <v>100</v>
      </c>
      <c r="N347" s="26">
        <v>46058.0</v>
      </c>
      <c r="O347" s="27">
        <f>SUMIF(inventory_snapshot!$B:$B,H347,inventory_snapshot!$E:$E)</f>
        <v>1417</v>
      </c>
      <c r="P347" s="32" t="str">
        <f t="shared" si="2"/>
        <v>OK</v>
      </c>
      <c r="Q347" s="32" t="str">
        <f t="shared" si="3"/>
        <v>OK</v>
      </c>
      <c r="R347" s="32" t="str">
        <f t="shared" si="4"/>
        <v>OK</v>
      </c>
      <c r="S347" s="32" t="str">
        <f t="shared" si="5"/>
        <v>Small</v>
      </c>
    </row>
    <row r="348" ht="15.75" customHeight="1">
      <c r="A348" s="17" t="s">
        <v>483</v>
      </c>
      <c r="B348" s="18">
        <v>46031.0</v>
      </c>
      <c r="C348" s="17" t="s">
        <v>466</v>
      </c>
      <c r="D348" s="19" t="str">
        <f>IFERROR(VLOOKUP(C348,customer_lookup!$A:$E,2,FALSE),"")</f>
        <v>NV Account 0006</v>
      </c>
      <c r="E348" s="19" t="str">
        <f>IFERROR(VLOOKUP(C348,customer_lookup!$A:$E,3,FALSE),"")</f>
        <v>NV</v>
      </c>
      <c r="F348" s="20" t="str">
        <f>IFERROR(VLOOKUP(C348,customer_lookup!$A:$E,5,FALSE),"")</f>
        <v>Drew</v>
      </c>
      <c r="G348" s="17" t="s">
        <v>63</v>
      </c>
      <c r="H348" s="17" t="s">
        <v>106</v>
      </c>
      <c r="I348" s="19" t="str">
        <f>IFERROR(VLOOKUP(H348,product_lookup!$A:$D,2,FALSE),"")</f>
        <v>Sour Cherry THC Gummies</v>
      </c>
      <c r="J348" s="21">
        <v>60.0</v>
      </c>
      <c r="K348" s="22">
        <v>11.54</v>
      </c>
      <c r="L348" s="23">
        <f t="shared" si="1"/>
        <v>692.4</v>
      </c>
      <c r="M348" s="17" t="s">
        <v>65</v>
      </c>
      <c r="N348" s="18">
        <v>46033.0</v>
      </c>
      <c r="O348" s="19">
        <f>SUMIF(inventory_snapshot!$B:$B,H348,inventory_snapshot!$E:$E)</f>
        <v>1313</v>
      </c>
      <c r="P348" s="24" t="str">
        <f t="shared" si="2"/>
        <v>OK</v>
      </c>
      <c r="Q348" s="24" t="str">
        <f t="shared" si="3"/>
        <v>OK</v>
      </c>
      <c r="R348" s="24" t="str">
        <f t="shared" si="4"/>
        <v>OK</v>
      </c>
      <c r="S348" s="24" t="str">
        <f t="shared" si="5"/>
        <v>Medium</v>
      </c>
    </row>
    <row r="349" ht="15.75" customHeight="1">
      <c r="A349" s="25" t="s">
        <v>484</v>
      </c>
      <c r="B349" s="26">
        <v>46095.0</v>
      </c>
      <c r="C349" s="25" t="s">
        <v>457</v>
      </c>
      <c r="D349" s="27" t="str">
        <f>IFERROR(VLOOKUP(C349,customer_lookup!$A:$E,2,FALSE),"")</f>
        <v>NM Account 0010</v>
      </c>
      <c r="E349" s="27" t="str">
        <f>IFERROR(VLOOKUP(C349,customer_lookup!$A:$E,3,FALSE),"")</f>
        <v>NM</v>
      </c>
      <c r="F349" s="28" t="str">
        <f>IFERROR(VLOOKUP(C349,customer_lookup!$A:$E,5,FALSE),"")</f>
        <v>Drew</v>
      </c>
      <c r="G349" s="25" t="s">
        <v>63</v>
      </c>
      <c r="H349" s="25" t="s">
        <v>64</v>
      </c>
      <c r="I349" s="27" t="str">
        <f>IFERROR(VLOOKUP(H349,product_lookup!$A:$D,2,FALSE),"")</f>
        <v>Cranberry Sparkling Beverage</v>
      </c>
      <c r="J349" s="29">
        <v>6.0</v>
      </c>
      <c r="K349" s="30">
        <v>7.65</v>
      </c>
      <c r="L349" s="31">
        <f t="shared" si="1"/>
        <v>45.9</v>
      </c>
      <c r="M349" s="25" t="s">
        <v>93</v>
      </c>
      <c r="N349" s="26">
        <v>46100.0</v>
      </c>
      <c r="O349" s="27">
        <f>SUMIF(inventory_snapshot!$B:$B,H349,inventory_snapshot!$E:$E)</f>
        <v>1152</v>
      </c>
      <c r="P349" s="32" t="str">
        <f t="shared" si="2"/>
        <v>OK</v>
      </c>
      <c r="Q349" s="32" t="str">
        <f t="shared" si="3"/>
        <v>OK</v>
      </c>
      <c r="R349" s="32" t="str">
        <f t="shared" si="4"/>
        <v>OK</v>
      </c>
      <c r="S349" s="32" t="str">
        <f t="shared" si="5"/>
        <v>Small</v>
      </c>
    </row>
    <row r="350" ht="15.75" customHeight="1">
      <c r="A350" s="17" t="s">
        <v>485</v>
      </c>
      <c r="B350" s="18">
        <v>46063.0</v>
      </c>
      <c r="C350" s="17" t="s">
        <v>469</v>
      </c>
      <c r="D350" s="19" t="str">
        <f>IFERROR(VLOOKUP(C350,customer_lookup!$A:$E,2,FALSE),"")</f>
        <v>NM Account 0058</v>
      </c>
      <c r="E350" s="19" t="str">
        <f>IFERROR(VLOOKUP(C350,customer_lookup!$A:$E,3,FALSE),"")</f>
        <v>NM</v>
      </c>
      <c r="F350" s="20" t="str">
        <f>IFERROR(VLOOKUP(C350,customer_lookup!$A:$E,5,FALSE),"")</f>
        <v>Drew</v>
      </c>
      <c r="G350" s="17" t="s">
        <v>67</v>
      </c>
      <c r="H350" s="17" t="s">
        <v>74</v>
      </c>
      <c r="I350" s="19" t="str">
        <f>IFERROR(VLOOKUP(H350,product_lookup!$A:$D,2,FALSE),"")</f>
        <v>Strawberry 20:1 Gummies</v>
      </c>
      <c r="J350" s="21">
        <v>48.0</v>
      </c>
      <c r="K350" s="22">
        <v>10.63</v>
      </c>
      <c r="L350" s="23">
        <f t="shared" si="1"/>
        <v>510.24</v>
      </c>
      <c r="M350" s="17" t="s">
        <v>97</v>
      </c>
      <c r="N350" s="18">
        <v>46071.0</v>
      </c>
      <c r="O350" s="19">
        <f>SUMIF(inventory_snapshot!$B:$B,H350,inventory_snapshot!$E:$E)</f>
        <v>2294</v>
      </c>
      <c r="P350" s="24" t="str">
        <f t="shared" si="2"/>
        <v>OK</v>
      </c>
      <c r="Q350" s="24" t="str">
        <f t="shared" si="3"/>
        <v>OK</v>
      </c>
      <c r="R350" s="24" t="str">
        <f t="shared" si="4"/>
        <v>OK</v>
      </c>
      <c r="S350" s="24" t="str">
        <f t="shared" si="5"/>
        <v>Medium</v>
      </c>
    </row>
    <row r="351" ht="15.75" customHeight="1">
      <c r="A351" s="25" t="s">
        <v>486</v>
      </c>
      <c r="B351" s="26">
        <v>46118.0</v>
      </c>
      <c r="C351" s="25" t="s">
        <v>469</v>
      </c>
      <c r="D351" s="27" t="str">
        <f>IFERROR(VLOOKUP(C351,customer_lookup!$A:$E,2,FALSE),"")</f>
        <v>NM Account 0058</v>
      </c>
      <c r="E351" s="27" t="str">
        <f>IFERROR(VLOOKUP(C351,customer_lookup!$A:$E,3,FALSE),"")</f>
        <v>NM</v>
      </c>
      <c r="F351" s="28" t="str">
        <f>IFERROR(VLOOKUP(C351,customer_lookup!$A:$E,5,FALSE),"")</f>
        <v>Drew</v>
      </c>
      <c r="G351" s="25" t="s">
        <v>89</v>
      </c>
      <c r="H351" s="25" t="s">
        <v>81</v>
      </c>
      <c r="I351" s="27" t="str">
        <f>IFERROR(VLOOKUP(H351,product_lookup!$A:$D,2,FALSE),"")</f>
        <v>Lemon Sparkling Beverage</v>
      </c>
      <c r="J351" s="29">
        <v>72.0</v>
      </c>
      <c r="K351" s="30">
        <v>6.89</v>
      </c>
      <c r="L351" s="31">
        <f t="shared" si="1"/>
        <v>496.08</v>
      </c>
      <c r="M351" s="25" t="s">
        <v>137</v>
      </c>
      <c r="N351" s="26">
        <v>46121.0</v>
      </c>
      <c r="O351" s="27">
        <f>SUMIF(inventory_snapshot!$B:$B,H351,inventory_snapshot!$E:$E)</f>
        <v>1360</v>
      </c>
      <c r="P351" s="32" t="str">
        <f t="shared" si="2"/>
        <v>OK</v>
      </c>
      <c r="Q351" s="32" t="str">
        <f t="shared" si="3"/>
        <v>OK</v>
      </c>
      <c r="R351" s="32" t="str">
        <f t="shared" si="4"/>
        <v>OK</v>
      </c>
      <c r="S351" s="32" t="str">
        <f t="shared" si="5"/>
        <v>Small</v>
      </c>
    </row>
    <row r="352" ht="15.75" customHeight="1">
      <c r="A352" s="17" t="s">
        <v>487</v>
      </c>
      <c r="B352" s="18">
        <v>46128.0</v>
      </c>
      <c r="C352" s="17" t="s">
        <v>459</v>
      </c>
      <c r="D352" s="19" t="str">
        <f>IFERROR(VLOOKUP(C352,customer_lookup!$A:$E,2,FALSE),"")</f>
        <v>NM Account 0022</v>
      </c>
      <c r="E352" s="19" t="str">
        <f>IFERROR(VLOOKUP(C352,customer_lookup!$A:$E,3,FALSE),"")</f>
        <v>NM</v>
      </c>
      <c r="F352" s="20" t="str">
        <f>IFERROR(VLOOKUP(C352,customer_lookup!$A:$E,5,FALSE),"")</f>
        <v>Drew</v>
      </c>
      <c r="G352" s="17" t="s">
        <v>63</v>
      </c>
      <c r="H352" s="17" t="s">
        <v>110</v>
      </c>
      <c r="I352" s="19" t="str">
        <f>IFERROR(VLOOKUP(H352,product_lookup!$A:$D,2,FALSE),"")</f>
        <v>Elderberry 2:1 Gummies</v>
      </c>
      <c r="J352" s="21">
        <v>120.0</v>
      </c>
      <c r="K352" s="22">
        <v>11.31</v>
      </c>
      <c r="L352" s="23">
        <f t="shared" si="1"/>
        <v>1357.2</v>
      </c>
      <c r="M352" s="17" t="s">
        <v>93</v>
      </c>
      <c r="N352" s="18">
        <v>46133.0</v>
      </c>
      <c r="O352" s="19">
        <f>SUMIF(inventory_snapshot!$B:$B,H352,inventory_snapshot!$E:$E)</f>
        <v>1633</v>
      </c>
      <c r="P352" s="24" t="str">
        <f t="shared" si="2"/>
        <v>OK</v>
      </c>
      <c r="Q352" s="24" t="str">
        <f t="shared" si="3"/>
        <v>OK</v>
      </c>
      <c r="R352" s="24" t="str">
        <f t="shared" si="4"/>
        <v>OK</v>
      </c>
      <c r="S352" s="24" t="str">
        <f t="shared" si="5"/>
        <v>Large</v>
      </c>
    </row>
    <row r="353" ht="15.75" customHeight="1">
      <c r="A353" s="25" t="s">
        <v>488</v>
      </c>
      <c r="B353" s="26">
        <v>46044.0</v>
      </c>
      <c r="C353" s="25" t="s">
        <v>469</v>
      </c>
      <c r="D353" s="27" t="str">
        <f>IFERROR(VLOOKUP(C353,customer_lookup!$A:$E,2,FALSE),"")</f>
        <v>NM Account 0058</v>
      </c>
      <c r="E353" s="27" t="str">
        <f>IFERROR(VLOOKUP(C353,customer_lookup!$A:$E,3,FALSE),"")</f>
        <v>NM</v>
      </c>
      <c r="F353" s="28" t="str">
        <f>IFERROR(VLOOKUP(C353,customer_lookup!$A:$E,5,FALSE),"")</f>
        <v>Drew</v>
      </c>
      <c r="G353" s="25" t="s">
        <v>63</v>
      </c>
      <c r="H353" s="25" t="s">
        <v>154</v>
      </c>
      <c r="I353" s="27" t="str">
        <f>IFERROR(VLOOKUP(H353,product_lookup!$A:$D,2,FALSE),"")</f>
        <v>Kiwi 1:1 Gummies</v>
      </c>
      <c r="J353" s="29">
        <v>24.0</v>
      </c>
      <c r="K353" s="30">
        <v>11.41</v>
      </c>
      <c r="L353" s="31">
        <f t="shared" si="1"/>
        <v>273.84</v>
      </c>
      <c r="M353" s="25" t="s">
        <v>97</v>
      </c>
      <c r="N353" s="26">
        <v>46051.0</v>
      </c>
      <c r="O353" s="27">
        <f>SUMIF(inventory_snapshot!$B:$B,H353,inventory_snapshot!$E:$E)</f>
        <v>1136</v>
      </c>
      <c r="P353" s="32" t="str">
        <f t="shared" si="2"/>
        <v>OK</v>
      </c>
      <c r="Q353" s="32" t="str">
        <f t="shared" si="3"/>
        <v>OK</v>
      </c>
      <c r="R353" s="32" t="str">
        <f t="shared" si="4"/>
        <v>OK</v>
      </c>
      <c r="S353" s="32" t="str">
        <f t="shared" si="5"/>
        <v>Small</v>
      </c>
    </row>
    <row r="354" ht="15.75" customHeight="1">
      <c r="A354" s="17" t="s">
        <v>489</v>
      </c>
      <c r="B354" s="18">
        <v>46069.0</v>
      </c>
      <c r="C354" s="17" t="s">
        <v>459</v>
      </c>
      <c r="D354" s="19" t="str">
        <f>IFERROR(VLOOKUP(C354,customer_lookup!$A:$E,2,FALSE),"")</f>
        <v>NM Account 0022</v>
      </c>
      <c r="E354" s="19" t="str">
        <f>IFERROR(VLOOKUP(C354,customer_lookup!$A:$E,3,FALSE),"")</f>
        <v>NM</v>
      </c>
      <c r="F354" s="20" t="str">
        <f>IFERROR(VLOOKUP(C354,customer_lookup!$A:$E,5,FALSE),"")</f>
        <v>Drew</v>
      </c>
      <c r="G354" s="17" t="s">
        <v>63</v>
      </c>
      <c r="H354" s="17" t="s">
        <v>78</v>
      </c>
      <c r="I354" s="19" t="str">
        <f>IFERROR(VLOOKUP(H354,product_lookup!$A:$D,2,FALSE),"")</f>
        <v>Grapefruit 1:1:1 Gummies</v>
      </c>
      <c r="J354" s="21">
        <v>120.0</v>
      </c>
      <c r="K354" s="22">
        <v>11.38</v>
      </c>
      <c r="L354" s="23">
        <f t="shared" si="1"/>
        <v>1365.6</v>
      </c>
      <c r="M354" s="17" t="s">
        <v>75</v>
      </c>
      <c r="N354" s="18">
        <v>46078.0</v>
      </c>
      <c r="O354" s="19">
        <f>SUMIF(inventory_snapshot!$B:$B,H354,inventory_snapshot!$E:$E)</f>
        <v>1751</v>
      </c>
      <c r="P354" s="24" t="str">
        <f t="shared" si="2"/>
        <v>OK</v>
      </c>
      <c r="Q354" s="24" t="str">
        <f t="shared" si="3"/>
        <v>OK</v>
      </c>
      <c r="R354" s="24" t="str">
        <f t="shared" si="4"/>
        <v>OK</v>
      </c>
      <c r="S354" s="24" t="str">
        <f t="shared" si="5"/>
        <v>Large</v>
      </c>
    </row>
    <row r="355" ht="15.75" customHeight="1">
      <c r="A355" s="25" t="s">
        <v>490</v>
      </c>
      <c r="B355" s="26">
        <v>46066.0</v>
      </c>
      <c r="C355" s="25" t="s">
        <v>452</v>
      </c>
      <c r="D355" s="27" t="str">
        <f>IFERROR(VLOOKUP(C355,customer_lookup!$A:$E,2,FALSE),"")</f>
        <v>AZ Account 0029</v>
      </c>
      <c r="E355" s="27" t="str">
        <f>IFERROR(VLOOKUP(C355,customer_lookup!$A:$E,3,FALSE),"")</f>
        <v>AZ</v>
      </c>
      <c r="F355" s="28" t="str">
        <f>IFERROR(VLOOKUP(C355,customer_lookup!$A:$E,5,FALSE),"")</f>
        <v>Drew</v>
      </c>
      <c r="G355" s="25" t="s">
        <v>63</v>
      </c>
      <c r="H355" s="25" t="s">
        <v>156</v>
      </c>
      <c r="I355" s="27" t="str">
        <f>IFERROR(VLOOKUP(H355,product_lookup!$A:$D,2,FALSE),"")</f>
        <v>Blood Orange 1:1 Gummies</v>
      </c>
      <c r="J355" s="29">
        <v>36.0</v>
      </c>
      <c r="K355" s="30">
        <v>10.66</v>
      </c>
      <c r="L355" s="31">
        <f t="shared" si="1"/>
        <v>383.76</v>
      </c>
      <c r="M355" s="25" t="s">
        <v>93</v>
      </c>
      <c r="N355" s="26">
        <v>46075.0</v>
      </c>
      <c r="O355" s="27">
        <f>SUMIF(inventory_snapshot!$B:$B,H355,inventory_snapshot!$E:$E)</f>
        <v>1589</v>
      </c>
      <c r="P355" s="32" t="str">
        <f t="shared" si="2"/>
        <v>OK</v>
      </c>
      <c r="Q355" s="32" t="str">
        <f t="shared" si="3"/>
        <v>OK</v>
      </c>
      <c r="R355" s="32" t="str">
        <f t="shared" si="4"/>
        <v>OK</v>
      </c>
      <c r="S355" s="32" t="str">
        <f t="shared" si="5"/>
        <v>Small</v>
      </c>
    </row>
    <row r="356" ht="15.75" customHeight="1">
      <c r="A356" s="17" t="s">
        <v>491</v>
      </c>
      <c r="B356" s="18">
        <v>46089.0</v>
      </c>
      <c r="C356" s="17" t="s">
        <v>452</v>
      </c>
      <c r="D356" s="19" t="str">
        <f>IFERROR(VLOOKUP(C356,customer_lookup!$A:$E,2,FALSE),"")</f>
        <v>AZ Account 0029</v>
      </c>
      <c r="E356" s="19" t="str">
        <f>IFERROR(VLOOKUP(C356,customer_lookup!$A:$E,3,FALSE),"")</f>
        <v>AZ</v>
      </c>
      <c r="F356" s="20" t="str">
        <f>IFERROR(VLOOKUP(C356,customer_lookup!$A:$E,5,FALSE),"")</f>
        <v>Drew</v>
      </c>
      <c r="G356" s="17" t="s">
        <v>63</v>
      </c>
      <c r="H356" s="17" t="s">
        <v>154</v>
      </c>
      <c r="I356" s="19" t="str">
        <f>IFERROR(VLOOKUP(H356,product_lookup!$A:$D,2,FALSE),"")</f>
        <v>Kiwi 1:1 Gummies</v>
      </c>
      <c r="J356" s="21">
        <v>12.0</v>
      </c>
      <c r="K356" s="22">
        <v>11.37</v>
      </c>
      <c r="L356" s="23">
        <f t="shared" si="1"/>
        <v>136.44</v>
      </c>
      <c r="M356" s="17" t="s">
        <v>97</v>
      </c>
      <c r="N356" s="18">
        <v>46096.0</v>
      </c>
      <c r="O356" s="19">
        <f>SUMIF(inventory_snapshot!$B:$B,H356,inventory_snapshot!$E:$E)</f>
        <v>1136</v>
      </c>
      <c r="P356" s="24" t="str">
        <f t="shared" si="2"/>
        <v>OK</v>
      </c>
      <c r="Q356" s="24" t="str">
        <f t="shared" si="3"/>
        <v>OK</v>
      </c>
      <c r="R356" s="24" t="str">
        <f t="shared" si="4"/>
        <v>OK</v>
      </c>
      <c r="S356" s="24" t="str">
        <f t="shared" si="5"/>
        <v>Small</v>
      </c>
    </row>
    <row r="357" ht="15.75" customHeight="1">
      <c r="A357" s="25" t="s">
        <v>492</v>
      </c>
      <c r="B357" s="26">
        <v>46065.0</v>
      </c>
      <c r="C357" s="25" t="s">
        <v>446</v>
      </c>
      <c r="D357" s="27" t="str">
        <f>IFERROR(VLOOKUP(C357,customer_lookup!$A:$E,2,FALSE),"")</f>
        <v>CO Account 0028</v>
      </c>
      <c r="E357" s="27" t="str">
        <f>IFERROR(VLOOKUP(C357,customer_lookup!$A:$E,3,FALSE),"")</f>
        <v>CO</v>
      </c>
      <c r="F357" s="28" t="str">
        <f>IFERROR(VLOOKUP(C357,customer_lookup!$A:$E,5,FALSE),"")</f>
        <v>Drew</v>
      </c>
      <c r="G357" s="25" t="s">
        <v>63</v>
      </c>
      <c r="H357" s="25" t="s">
        <v>92</v>
      </c>
      <c r="I357" s="27" t="str">
        <f>IFERROR(VLOOKUP(H357,product_lookup!$A:$D,2,FALSE),"")</f>
        <v>Raspberry THC Gummies</v>
      </c>
      <c r="J357" s="29">
        <v>36.0</v>
      </c>
      <c r="K357" s="30">
        <v>10.07</v>
      </c>
      <c r="L357" s="31">
        <f t="shared" si="1"/>
        <v>362.52</v>
      </c>
      <c r="M357" s="25" t="s">
        <v>93</v>
      </c>
      <c r="N357" s="26">
        <v>46073.0</v>
      </c>
      <c r="O357" s="27">
        <f>SUMIF(inventory_snapshot!$B:$B,H357,inventory_snapshot!$E:$E)</f>
        <v>1417</v>
      </c>
      <c r="P357" s="32" t="str">
        <f t="shared" si="2"/>
        <v>OK</v>
      </c>
      <c r="Q357" s="32" t="str">
        <f t="shared" si="3"/>
        <v>OK</v>
      </c>
      <c r="R357" s="32" t="str">
        <f t="shared" si="4"/>
        <v>OK</v>
      </c>
      <c r="S357" s="32" t="str">
        <f t="shared" si="5"/>
        <v>Small</v>
      </c>
    </row>
    <row r="358" ht="15.75" customHeight="1">
      <c r="A358" s="17" t="s">
        <v>493</v>
      </c>
      <c r="B358" s="18">
        <v>46091.0</v>
      </c>
      <c r="C358" s="17" t="s">
        <v>464</v>
      </c>
      <c r="D358" s="19" t="str">
        <f>IFERROR(VLOOKUP(C358,customer_lookup!$A:$E,2,FALSE),"")</f>
        <v>WA Account 0014</v>
      </c>
      <c r="E358" s="19" t="str">
        <f>IFERROR(VLOOKUP(C358,customer_lookup!$A:$E,3,FALSE),"")</f>
        <v>WA</v>
      </c>
      <c r="F358" s="20" t="str">
        <f>IFERROR(VLOOKUP(C358,customer_lookup!$A:$E,5,FALSE),"")</f>
        <v>Drew</v>
      </c>
      <c r="G358" s="17" t="s">
        <v>67</v>
      </c>
      <c r="H358" s="17" t="s">
        <v>162</v>
      </c>
      <c r="I358" s="19" t="str">
        <f>IFERROR(VLOOKUP(H358,product_lookup!$A:$D,2,FALSE),"")</f>
        <v>Marionberry THC Gummies</v>
      </c>
      <c r="J358" s="21">
        <v>48.0</v>
      </c>
      <c r="K358" s="22">
        <v>10.55</v>
      </c>
      <c r="L358" s="23">
        <f t="shared" si="1"/>
        <v>506.4</v>
      </c>
      <c r="M358" s="17" t="s">
        <v>93</v>
      </c>
      <c r="N358" s="18">
        <v>46094.0</v>
      </c>
      <c r="O358" s="19">
        <f>SUMIF(inventory_snapshot!$B:$B,H358,inventory_snapshot!$E:$E)</f>
        <v>1599</v>
      </c>
      <c r="P358" s="24" t="str">
        <f t="shared" si="2"/>
        <v>OK</v>
      </c>
      <c r="Q358" s="24" t="str">
        <f t="shared" si="3"/>
        <v>OK</v>
      </c>
      <c r="R358" s="24" t="str">
        <f t="shared" si="4"/>
        <v>OK</v>
      </c>
      <c r="S358" s="24" t="str">
        <f t="shared" si="5"/>
        <v>Medium</v>
      </c>
    </row>
    <row r="359" ht="15.75" customHeight="1">
      <c r="A359" s="25" t="s">
        <v>494</v>
      </c>
      <c r="B359" s="26">
        <v>46078.0</v>
      </c>
      <c r="C359" s="25" t="s">
        <v>469</v>
      </c>
      <c r="D359" s="27" t="str">
        <f>IFERROR(VLOOKUP(C359,customer_lookup!$A:$E,2,FALSE),"")</f>
        <v>NM Account 0058</v>
      </c>
      <c r="E359" s="27" t="str">
        <f>IFERROR(VLOOKUP(C359,customer_lookup!$A:$E,3,FALSE),"")</f>
        <v>NM</v>
      </c>
      <c r="F359" s="28" t="str">
        <f>IFERROR(VLOOKUP(C359,customer_lookup!$A:$E,5,FALSE),"")</f>
        <v>Drew</v>
      </c>
      <c r="G359" s="25" t="s">
        <v>63</v>
      </c>
      <c r="H359" s="25" t="s">
        <v>106</v>
      </c>
      <c r="I359" s="27" t="str">
        <f>IFERROR(VLOOKUP(H359,product_lookup!$A:$D,2,FALSE),"")</f>
        <v>Sour Cherry THC Gummies</v>
      </c>
      <c r="J359" s="29">
        <v>36.0</v>
      </c>
      <c r="K359" s="30">
        <v>9.71</v>
      </c>
      <c r="L359" s="31">
        <f t="shared" si="1"/>
        <v>349.56</v>
      </c>
      <c r="M359" s="25" t="s">
        <v>65</v>
      </c>
      <c r="N359" s="26">
        <v>46088.0</v>
      </c>
      <c r="O359" s="27">
        <f>SUMIF(inventory_snapshot!$B:$B,H359,inventory_snapshot!$E:$E)</f>
        <v>1313</v>
      </c>
      <c r="P359" s="32" t="str">
        <f t="shared" si="2"/>
        <v>OK</v>
      </c>
      <c r="Q359" s="32" t="str">
        <f t="shared" si="3"/>
        <v>OK</v>
      </c>
      <c r="R359" s="32" t="str">
        <f t="shared" si="4"/>
        <v>OK</v>
      </c>
      <c r="S359" s="32" t="str">
        <f t="shared" si="5"/>
        <v>Small</v>
      </c>
    </row>
    <row r="360" ht="15.75" customHeight="1">
      <c r="A360" s="17" t="s">
        <v>495</v>
      </c>
      <c r="B360" s="18">
        <v>46068.0</v>
      </c>
      <c r="C360" s="17" t="s">
        <v>466</v>
      </c>
      <c r="D360" s="19" t="str">
        <f>IFERROR(VLOOKUP(C360,customer_lookup!$A:$E,2,FALSE),"")</f>
        <v>NV Account 0006</v>
      </c>
      <c r="E360" s="19" t="str">
        <f>IFERROR(VLOOKUP(C360,customer_lookup!$A:$E,3,FALSE),"")</f>
        <v>NV</v>
      </c>
      <c r="F360" s="20" t="str">
        <f>IFERROR(VLOOKUP(C360,customer_lookup!$A:$E,5,FALSE),"")</f>
        <v>Drew</v>
      </c>
      <c r="G360" s="17" t="s">
        <v>63</v>
      </c>
      <c r="H360" s="17" t="s">
        <v>110</v>
      </c>
      <c r="I360" s="19" t="str">
        <f>IFERROR(VLOOKUP(H360,product_lookup!$A:$D,2,FALSE),"")</f>
        <v>Elderberry 2:1 Gummies</v>
      </c>
      <c r="J360" s="21">
        <v>72.0</v>
      </c>
      <c r="K360" s="22">
        <v>10.13</v>
      </c>
      <c r="L360" s="23">
        <f t="shared" si="1"/>
        <v>729.36</v>
      </c>
      <c r="M360" s="17" t="s">
        <v>65</v>
      </c>
      <c r="N360" s="18">
        <v>46070.0</v>
      </c>
      <c r="O360" s="19">
        <f>SUMIF(inventory_snapshot!$B:$B,H360,inventory_snapshot!$E:$E)</f>
        <v>1633</v>
      </c>
      <c r="P360" s="24" t="str">
        <f t="shared" si="2"/>
        <v>OK</v>
      </c>
      <c r="Q360" s="24" t="str">
        <f t="shared" si="3"/>
        <v>OK</v>
      </c>
      <c r="R360" s="24" t="str">
        <f t="shared" si="4"/>
        <v>OK</v>
      </c>
      <c r="S360" s="24" t="str">
        <f t="shared" si="5"/>
        <v>Medium</v>
      </c>
    </row>
    <row r="361" ht="15.75" customHeight="1">
      <c r="A361" s="25" t="s">
        <v>496</v>
      </c>
      <c r="B361" s="26">
        <v>46093.0</v>
      </c>
      <c r="C361" s="25" t="s">
        <v>446</v>
      </c>
      <c r="D361" s="27" t="str">
        <f>IFERROR(VLOOKUP(C361,customer_lookup!$A:$E,2,FALSE),"")</f>
        <v>CO Account 0028</v>
      </c>
      <c r="E361" s="27" t="str">
        <f>IFERROR(VLOOKUP(C361,customer_lookup!$A:$E,3,FALSE),"")</f>
        <v>CO</v>
      </c>
      <c r="F361" s="28" t="str">
        <f>IFERROR(VLOOKUP(C361,customer_lookup!$A:$E,5,FALSE),"")</f>
        <v>Drew</v>
      </c>
      <c r="G361" s="25" t="s">
        <v>63</v>
      </c>
      <c r="H361" s="25" t="s">
        <v>95</v>
      </c>
      <c r="I361" s="27" t="str">
        <f>IFERROR(VLOOKUP(H361,product_lookup!$A:$D,2,FALSE),"")</f>
        <v>Boysenberry 1:1:1 Gummies</v>
      </c>
      <c r="J361" s="29">
        <v>30.0</v>
      </c>
      <c r="K361" s="30">
        <v>10.59</v>
      </c>
      <c r="L361" s="31">
        <f t="shared" si="1"/>
        <v>317.7</v>
      </c>
      <c r="M361" s="25" t="s">
        <v>93</v>
      </c>
      <c r="N361" s="26">
        <v>46096.0</v>
      </c>
      <c r="O361" s="27">
        <f>SUMIF(inventory_snapshot!$B:$B,H361,inventory_snapshot!$E:$E)</f>
        <v>2007</v>
      </c>
      <c r="P361" s="32" t="str">
        <f t="shared" si="2"/>
        <v>OK</v>
      </c>
      <c r="Q361" s="32" t="str">
        <f t="shared" si="3"/>
        <v>OK</v>
      </c>
      <c r="R361" s="32" t="str">
        <f t="shared" si="4"/>
        <v>OK</v>
      </c>
      <c r="S361" s="32" t="str">
        <f t="shared" si="5"/>
        <v>Small</v>
      </c>
    </row>
    <row r="362" ht="15.75" customHeight="1">
      <c r="A362" s="17" t="s">
        <v>497</v>
      </c>
      <c r="B362" s="18">
        <v>46046.0</v>
      </c>
      <c r="C362" s="17" t="s">
        <v>446</v>
      </c>
      <c r="D362" s="19" t="str">
        <f>IFERROR(VLOOKUP(C362,customer_lookup!$A:$E,2,FALSE),"")</f>
        <v>CO Account 0028</v>
      </c>
      <c r="E362" s="19" t="str">
        <f>IFERROR(VLOOKUP(C362,customer_lookup!$A:$E,3,FALSE),"")</f>
        <v>CO</v>
      </c>
      <c r="F362" s="20" t="str">
        <f>IFERROR(VLOOKUP(C362,customer_lookup!$A:$E,5,FALSE),"")</f>
        <v>Drew</v>
      </c>
      <c r="G362" s="17" t="s">
        <v>63</v>
      </c>
      <c r="H362" s="17" t="s">
        <v>85</v>
      </c>
      <c r="I362" s="19" t="str">
        <f>IFERROR(VLOOKUP(H362,product_lookup!$A:$D,2,FALSE),"")</f>
        <v>Huckleberry THC Gummies</v>
      </c>
      <c r="J362" s="21">
        <v>18.0</v>
      </c>
      <c r="K362" s="22">
        <v>9.97</v>
      </c>
      <c r="L362" s="23">
        <f t="shared" si="1"/>
        <v>179.46</v>
      </c>
      <c r="M362" s="17" t="s">
        <v>65</v>
      </c>
      <c r="N362" s="18">
        <v>46050.0</v>
      </c>
      <c r="O362" s="19">
        <f>SUMIF(inventory_snapshot!$B:$B,H362,inventory_snapshot!$E:$E)</f>
        <v>1841</v>
      </c>
      <c r="P362" s="24" t="str">
        <f t="shared" si="2"/>
        <v>OK</v>
      </c>
      <c r="Q362" s="24" t="str">
        <f t="shared" si="3"/>
        <v>OK</v>
      </c>
      <c r="R362" s="24" t="str">
        <f t="shared" si="4"/>
        <v>OK</v>
      </c>
      <c r="S362" s="24" t="str">
        <f t="shared" si="5"/>
        <v>Small</v>
      </c>
    </row>
    <row r="363" ht="15.75" customHeight="1">
      <c r="A363" s="25" t="s">
        <v>498</v>
      </c>
      <c r="B363" s="26">
        <v>46033.0</v>
      </c>
      <c r="C363" s="25" t="s">
        <v>452</v>
      </c>
      <c r="D363" s="27" t="str">
        <f>IFERROR(VLOOKUP(C363,customer_lookup!$A:$E,2,FALSE),"")</f>
        <v>AZ Account 0029</v>
      </c>
      <c r="E363" s="27" t="str">
        <f>IFERROR(VLOOKUP(C363,customer_lookup!$A:$E,3,FALSE),"")</f>
        <v>AZ</v>
      </c>
      <c r="F363" s="28" t="str">
        <f>IFERROR(VLOOKUP(C363,customer_lookup!$A:$E,5,FALSE),"")</f>
        <v>Drew</v>
      </c>
      <c r="G363" s="25" t="s">
        <v>89</v>
      </c>
      <c r="H363" s="25" t="s">
        <v>68</v>
      </c>
      <c r="I363" s="27" t="str">
        <f>IFERROR(VLOOKUP(H363,product_lookup!$A:$D,2,FALSE),"")</f>
        <v>Sour Apple THC Gummies</v>
      </c>
      <c r="J363" s="29">
        <v>96.0</v>
      </c>
      <c r="K363" s="30">
        <v>9.53</v>
      </c>
      <c r="L363" s="31">
        <f t="shared" si="1"/>
        <v>914.88</v>
      </c>
      <c r="M363" s="25" t="s">
        <v>75</v>
      </c>
      <c r="N363" s="26">
        <v>46043.0</v>
      </c>
      <c r="O363" s="27">
        <f>SUMIF(inventory_snapshot!$B:$B,H363,inventory_snapshot!$E:$E)</f>
        <v>775</v>
      </c>
      <c r="P363" s="32" t="str">
        <f t="shared" si="2"/>
        <v>OK</v>
      </c>
      <c r="Q363" s="32" t="str">
        <f t="shared" si="3"/>
        <v>OK</v>
      </c>
      <c r="R363" s="32" t="str">
        <f t="shared" si="4"/>
        <v>OK</v>
      </c>
      <c r="S363" s="32" t="str">
        <f t="shared" si="5"/>
        <v>Medium</v>
      </c>
    </row>
    <row r="364" ht="15.75" customHeight="1">
      <c r="A364" s="17" t="s">
        <v>499</v>
      </c>
      <c r="B364" s="18">
        <v>46044.0</v>
      </c>
      <c r="C364" s="17" t="s">
        <v>469</v>
      </c>
      <c r="D364" s="19" t="str">
        <f>IFERROR(VLOOKUP(C364,customer_lookup!$A:$E,2,FALSE),"")</f>
        <v>NM Account 0058</v>
      </c>
      <c r="E364" s="19" t="str">
        <f>IFERROR(VLOOKUP(C364,customer_lookup!$A:$E,3,FALSE),"")</f>
        <v>NM</v>
      </c>
      <c r="F364" s="20" t="str">
        <f>IFERROR(VLOOKUP(C364,customer_lookup!$A:$E,5,FALSE),"")</f>
        <v>Drew</v>
      </c>
      <c r="G364" s="17" t="s">
        <v>63</v>
      </c>
      <c r="H364" s="17" t="s">
        <v>108</v>
      </c>
      <c r="I364" s="19" t="str">
        <f>IFERROR(VLOOKUP(H364,product_lookup!$A:$D,2,FALSE),"")</f>
        <v>Sour Tangerine THC Gummies</v>
      </c>
      <c r="J364" s="21">
        <v>18.0</v>
      </c>
      <c r="K364" s="22">
        <v>11.51</v>
      </c>
      <c r="L364" s="23">
        <f t="shared" si="1"/>
        <v>207.18</v>
      </c>
      <c r="M364" s="17" t="s">
        <v>97</v>
      </c>
      <c r="N364" s="18">
        <v>46049.0</v>
      </c>
      <c r="O364" s="19">
        <f>SUMIF(inventory_snapshot!$B:$B,H364,inventory_snapshot!$E:$E)</f>
        <v>1679</v>
      </c>
      <c r="P364" s="24" t="str">
        <f t="shared" si="2"/>
        <v>OK</v>
      </c>
      <c r="Q364" s="24" t="str">
        <f t="shared" si="3"/>
        <v>OK</v>
      </c>
      <c r="R364" s="24" t="str">
        <f t="shared" si="4"/>
        <v>OK</v>
      </c>
      <c r="S364" s="24" t="str">
        <f t="shared" si="5"/>
        <v>Small</v>
      </c>
    </row>
    <row r="365" ht="15.75" customHeight="1">
      <c r="A365" s="25" t="s">
        <v>500</v>
      </c>
      <c r="B365" s="26">
        <v>46069.0</v>
      </c>
      <c r="C365" s="25" t="s">
        <v>444</v>
      </c>
      <c r="D365" s="27" t="str">
        <f>IFERROR(VLOOKUP(C365,customer_lookup!$A:$E,2,FALSE),"")</f>
        <v>MO Account 0057</v>
      </c>
      <c r="E365" s="27" t="str">
        <f>IFERROR(VLOOKUP(C365,customer_lookup!$A:$E,3,FALSE),"")</f>
        <v>MO</v>
      </c>
      <c r="F365" s="28" t="str">
        <f>IFERROR(VLOOKUP(C365,customer_lookup!$A:$E,5,FALSE),"")</f>
        <v>Drew</v>
      </c>
      <c r="G365" s="25" t="s">
        <v>63</v>
      </c>
      <c r="H365" s="25" t="s">
        <v>102</v>
      </c>
      <c r="I365" s="27" t="str">
        <f>IFERROR(VLOOKUP(H365,product_lookup!$A:$D,2,FALSE),"")</f>
        <v>Pomegranate 1:1 Gummies</v>
      </c>
      <c r="J365" s="29">
        <v>48.0</v>
      </c>
      <c r="K365" s="30">
        <v>10.47</v>
      </c>
      <c r="L365" s="31">
        <f t="shared" si="1"/>
        <v>502.56</v>
      </c>
      <c r="M365" s="25" t="s">
        <v>97</v>
      </c>
      <c r="N365" s="26">
        <v>46072.0</v>
      </c>
      <c r="O365" s="27">
        <f>SUMIF(inventory_snapshot!$B:$B,H365,inventory_snapshot!$E:$E)</f>
        <v>1493</v>
      </c>
      <c r="P365" s="32" t="str">
        <f t="shared" si="2"/>
        <v>OK</v>
      </c>
      <c r="Q365" s="32" t="str">
        <f t="shared" si="3"/>
        <v>OK</v>
      </c>
      <c r="R365" s="32" t="str">
        <f t="shared" si="4"/>
        <v>OK</v>
      </c>
      <c r="S365" s="32" t="str">
        <f t="shared" si="5"/>
        <v>Medium</v>
      </c>
    </row>
    <row r="366" ht="15.75" customHeight="1">
      <c r="A366" s="17" t="s">
        <v>501</v>
      </c>
      <c r="B366" s="18">
        <v>46047.0</v>
      </c>
      <c r="C366" s="17" t="s">
        <v>464</v>
      </c>
      <c r="D366" s="19" t="str">
        <f>IFERROR(VLOOKUP(C366,customer_lookup!$A:$E,2,FALSE),"")</f>
        <v>WA Account 0014</v>
      </c>
      <c r="E366" s="19" t="str">
        <f>IFERROR(VLOOKUP(C366,customer_lookup!$A:$E,3,FALSE),"")</f>
        <v>WA</v>
      </c>
      <c r="F366" s="20" t="str">
        <f>IFERROR(VLOOKUP(C366,customer_lookup!$A:$E,5,FALSE),"")</f>
        <v>Drew</v>
      </c>
      <c r="G366" s="17" t="s">
        <v>63</v>
      </c>
      <c r="H366" s="17" t="s">
        <v>90</v>
      </c>
      <c r="I366" s="19" t="str">
        <f>IFERROR(VLOOKUP(H366,product_lookup!$A:$D,2,FALSE),"")</f>
        <v>Blackberry Sparkling Beverage</v>
      </c>
      <c r="J366" s="21">
        <v>12.0</v>
      </c>
      <c r="K366" s="22">
        <v>6.8</v>
      </c>
      <c r="L366" s="23">
        <f t="shared" si="1"/>
        <v>81.6</v>
      </c>
      <c r="M366" s="17" t="s">
        <v>65</v>
      </c>
      <c r="N366" s="18">
        <v>46055.0</v>
      </c>
      <c r="O366" s="19">
        <f>SUMIF(inventory_snapshot!$B:$B,H366,inventory_snapshot!$E:$E)</f>
        <v>1292</v>
      </c>
      <c r="P366" s="24" t="str">
        <f t="shared" si="2"/>
        <v>OK</v>
      </c>
      <c r="Q366" s="24" t="str">
        <f t="shared" si="3"/>
        <v>OK</v>
      </c>
      <c r="R366" s="24" t="str">
        <f t="shared" si="4"/>
        <v>OK</v>
      </c>
      <c r="S366" s="24" t="str">
        <f t="shared" si="5"/>
        <v>Small</v>
      </c>
    </row>
    <row r="367" ht="15.75" customHeight="1">
      <c r="A367" s="25" t="s">
        <v>502</v>
      </c>
      <c r="B367" s="26">
        <v>46082.0</v>
      </c>
      <c r="C367" s="25" t="s">
        <v>448</v>
      </c>
      <c r="D367" s="27" t="str">
        <f>IFERROR(VLOOKUP(C367,customer_lookup!$A:$E,2,FALSE),"")</f>
        <v>NY Account 0107</v>
      </c>
      <c r="E367" s="27" t="str">
        <f>IFERROR(VLOOKUP(C367,customer_lookup!$A:$E,3,FALSE),"")</f>
        <v>NY</v>
      </c>
      <c r="F367" s="28" t="str">
        <f>IFERROR(VLOOKUP(C367,customer_lookup!$A:$E,5,FALSE),"")</f>
        <v>Drew</v>
      </c>
      <c r="G367" s="25" t="s">
        <v>89</v>
      </c>
      <c r="H367" s="25" t="s">
        <v>110</v>
      </c>
      <c r="I367" s="27" t="str">
        <f>IFERROR(VLOOKUP(H367,product_lookup!$A:$D,2,FALSE),"")</f>
        <v>Elderberry 2:1 Gummies</v>
      </c>
      <c r="J367" s="29">
        <v>120.0</v>
      </c>
      <c r="K367" s="30">
        <v>10.03</v>
      </c>
      <c r="L367" s="31">
        <f t="shared" si="1"/>
        <v>1203.6</v>
      </c>
      <c r="M367" s="25" t="s">
        <v>65</v>
      </c>
      <c r="N367" s="26">
        <v>46089.0</v>
      </c>
      <c r="O367" s="27">
        <f>SUMIF(inventory_snapshot!$B:$B,H367,inventory_snapshot!$E:$E)</f>
        <v>1633</v>
      </c>
      <c r="P367" s="32" t="str">
        <f t="shared" si="2"/>
        <v>OK</v>
      </c>
      <c r="Q367" s="32" t="str">
        <f t="shared" si="3"/>
        <v>OK</v>
      </c>
      <c r="R367" s="32" t="str">
        <f t="shared" si="4"/>
        <v>OK</v>
      </c>
      <c r="S367" s="32" t="str">
        <f t="shared" si="5"/>
        <v>Large</v>
      </c>
    </row>
    <row r="368" ht="15.75" customHeight="1">
      <c r="A368" s="17" t="s">
        <v>503</v>
      </c>
      <c r="B368" s="18">
        <v>46121.0</v>
      </c>
      <c r="C368" s="17" t="s">
        <v>446</v>
      </c>
      <c r="D368" s="19" t="str">
        <f>IFERROR(VLOOKUP(C368,customer_lookup!$A:$E,2,FALSE),"")</f>
        <v>CO Account 0028</v>
      </c>
      <c r="E368" s="19" t="str">
        <f>IFERROR(VLOOKUP(C368,customer_lookup!$A:$E,3,FALSE),"")</f>
        <v>CO</v>
      </c>
      <c r="F368" s="20" t="str">
        <f>IFERROR(VLOOKUP(C368,customer_lookup!$A:$E,5,FALSE),"")</f>
        <v>Drew</v>
      </c>
      <c r="G368" s="17" t="s">
        <v>89</v>
      </c>
      <c r="H368" s="17"/>
      <c r="I368" s="19" t="str">
        <f>IFERROR(VLOOKUP(H368,product_lookup!$A:$D,2,FALSE),"")</f>
        <v/>
      </c>
      <c r="J368" s="21">
        <v>72.0</v>
      </c>
      <c r="K368" s="22">
        <v>11.67</v>
      </c>
      <c r="L368" s="23">
        <f t="shared" si="1"/>
        <v>840.24</v>
      </c>
      <c r="M368" s="17" t="s">
        <v>97</v>
      </c>
      <c r="N368" s="18">
        <v>46129.0</v>
      </c>
      <c r="O368" s="19">
        <f>SUMIF(inventory_snapshot!$B:$B,H368,inventory_snapshot!$E:$E)</f>
        <v>0</v>
      </c>
      <c r="P368" s="24" t="str">
        <f t="shared" si="2"/>
        <v>Short</v>
      </c>
      <c r="Q368" s="24" t="str">
        <f t="shared" si="3"/>
        <v>OK</v>
      </c>
      <c r="R368" s="24" t="str">
        <f t="shared" si="4"/>
        <v>Missing Key</v>
      </c>
      <c r="S368" s="24" t="str">
        <f t="shared" si="5"/>
        <v>Medium</v>
      </c>
    </row>
    <row r="369" ht="15.75" customHeight="1">
      <c r="A369" s="25" t="s">
        <v>504</v>
      </c>
      <c r="B369" s="26">
        <v>46116.0</v>
      </c>
      <c r="C369" s="25" t="s">
        <v>454</v>
      </c>
      <c r="D369" s="27" t="str">
        <f>IFERROR(VLOOKUP(C369,customer_lookup!$A:$E,2,FALSE),"")</f>
        <v>NM Account 0118</v>
      </c>
      <c r="E369" s="27" t="str">
        <f>IFERROR(VLOOKUP(C369,customer_lookup!$A:$E,3,FALSE),"")</f>
        <v>NM</v>
      </c>
      <c r="F369" s="28" t="str">
        <f>IFERROR(VLOOKUP(C369,customer_lookup!$A:$E,5,FALSE),"")</f>
        <v>Drew</v>
      </c>
      <c r="G369" s="25" t="s">
        <v>63</v>
      </c>
      <c r="H369" s="25" t="s">
        <v>162</v>
      </c>
      <c r="I369" s="27" t="str">
        <f>IFERROR(VLOOKUP(H369,product_lookup!$A:$D,2,FALSE),"")</f>
        <v>Marionberry THC Gummies</v>
      </c>
      <c r="J369" s="29">
        <v>12.0</v>
      </c>
      <c r="K369" s="30">
        <v>10.71</v>
      </c>
      <c r="L369" s="31">
        <f t="shared" si="1"/>
        <v>128.52</v>
      </c>
      <c r="M369" s="25" t="s">
        <v>65</v>
      </c>
      <c r="N369" s="26">
        <v>46126.0</v>
      </c>
      <c r="O369" s="27">
        <f>SUMIF(inventory_snapshot!$B:$B,H369,inventory_snapshot!$E:$E)</f>
        <v>1599</v>
      </c>
      <c r="P369" s="32" t="str">
        <f t="shared" si="2"/>
        <v>OK</v>
      </c>
      <c r="Q369" s="32" t="str">
        <f t="shared" si="3"/>
        <v>OK</v>
      </c>
      <c r="R369" s="32" t="str">
        <f t="shared" si="4"/>
        <v>OK</v>
      </c>
      <c r="S369" s="32" t="str">
        <f t="shared" si="5"/>
        <v>Small</v>
      </c>
    </row>
    <row r="370" ht="15.75" customHeight="1">
      <c r="A370" s="17" t="s">
        <v>505</v>
      </c>
      <c r="B370" s="18">
        <v>46141.0</v>
      </c>
      <c r="C370" s="17" t="s">
        <v>466</v>
      </c>
      <c r="D370" s="19" t="str">
        <f>IFERROR(VLOOKUP(C370,customer_lookup!$A:$E,2,FALSE),"")</f>
        <v>NV Account 0006</v>
      </c>
      <c r="E370" s="19" t="str">
        <f>IFERROR(VLOOKUP(C370,customer_lookup!$A:$E,3,FALSE),"")</f>
        <v>NV</v>
      </c>
      <c r="F370" s="20" t="str">
        <f>IFERROR(VLOOKUP(C370,customer_lookup!$A:$E,5,FALSE),"")</f>
        <v>Drew</v>
      </c>
      <c r="G370" s="17" t="s">
        <v>67</v>
      </c>
      <c r="H370" s="17" t="s">
        <v>123</v>
      </c>
      <c r="I370" s="19" t="str">
        <f>IFERROR(VLOOKUP(H370,product_lookup!$A:$D,2,FALSE),"")</f>
        <v>Peach 2:1 Gummies</v>
      </c>
      <c r="J370" s="21">
        <v>72.0</v>
      </c>
      <c r="K370" s="22">
        <v>10.33</v>
      </c>
      <c r="L370" s="23">
        <f t="shared" si="1"/>
        <v>743.76</v>
      </c>
      <c r="M370" s="17" t="s">
        <v>65</v>
      </c>
      <c r="N370" s="18">
        <v>46142.0</v>
      </c>
      <c r="O370" s="19">
        <f>SUMIF(inventory_snapshot!$B:$B,H370,inventory_snapshot!$E:$E)</f>
        <v>1732</v>
      </c>
      <c r="P370" s="24" t="str">
        <f t="shared" si="2"/>
        <v>OK</v>
      </c>
      <c r="Q370" s="24" t="str">
        <f t="shared" si="3"/>
        <v>OK</v>
      </c>
      <c r="R370" s="24" t="str">
        <f t="shared" si="4"/>
        <v>OK</v>
      </c>
      <c r="S370" s="24" t="str">
        <f t="shared" si="5"/>
        <v>Medium</v>
      </c>
    </row>
    <row r="371" ht="15.75" customHeight="1">
      <c r="A371" s="25" t="s">
        <v>506</v>
      </c>
      <c r="B371" s="26">
        <v>46089.0</v>
      </c>
      <c r="C371" s="25" t="s">
        <v>466</v>
      </c>
      <c r="D371" s="27" t="str">
        <f>IFERROR(VLOOKUP(C371,customer_lookup!$A:$E,2,FALSE),"")</f>
        <v>NV Account 0006</v>
      </c>
      <c r="E371" s="27" t="str">
        <f>IFERROR(VLOOKUP(C371,customer_lookup!$A:$E,3,FALSE),"")</f>
        <v>NV</v>
      </c>
      <c r="F371" s="28" t="str">
        <f>IFERROR(VLOOKUP(C371,customer_lookup!$A:$E,5,FALSE),"")</f>
        <v>Drew</v>
      </c>
      <c r="G371" s="25" t="s">
        <v>63</v>
      </c>
      <c r="H371" s="25" t="s">
        <v>123</v>
      </c>
      <c r="I371" s="27" t="str">
        <f>IFERROR(VLOOKUP(H371,product_lookup!$A:$D,2,FALSE),"")</f>
        <v>Peach 2:1 Gummies</v>
      </c>
      <c r="J371" s="29">
        <v>72.0</v>
      </c>
      <c r="K371" s="30">
        <v>10.53</v>
      </c>
      <c r="L371" s="31">
        <f t="shared" si="1"/>
        <v>758.16</v>
      </c>
      <c r="M371" s="25" t="s">
        <v>65</v>
      </c>
      <c r="N371" s="26">
        <v>46098.0</v>
      </c>
      <c r="O371" s="27">
        <f>SUMIF(inventory_snapshot!$B:$B,H371,inventory_snapshot!$E:$E)</f>
        <v>1732</v>
      </c>
      <c r="P371" s="32" t="str">
        <f t="shared" si="2"/>
        <v>OK</v>
      </c>
      <c r="Q371" s="32" t="str">
        <f t="shared" si="3"/>
        <v>OK</v>
      </c>
      <c r="R371" s="32" t="str">
        <f t="shared" si="4"/>
        <v>OK</v>
      </c>
      <c r="S371" s="32" t="str">
        <f t="shared" si="5"/>
        <v>Medium</v>
      </c>
    </row>
    <row r="372" ht="15.75" customHeight="1">
      <c r="A372" s="17" t="s">
        <v>507</v>
      </c>
      <c r="B372" s="18">
        <v>46107.0</v>
      </c>
      <c r="C372" s="17" t="s">
        <v>446</v>
      </c>
      <c r="D372" s="19" t="str">
        <f>IFERROR(VLOOKUP(C372,customer_lookup!$A:$E,2,FALSE),"")</f>
        <v>CO Account 0028</v>
      </c>
      <c r="E372" s="19" t="str">
        <f>IFERROR(VLOOKUP(C372,customer_lookup!$A:$E,3,FALSE),"")</f>
        <v>CO</v>
      </c>
      <c r="F372" s="20" t="str">
        <f>IFERROR(VLOOKUP(C372,customer_lookup!$A:$E,5,FALSE),"")</f>
        <v>Drew</v>
      </c>
      <c r="G372" s="17" t="s">
        <v>63</v>
      </c>
      <c r="H372" s="17" t="s">
        <v>64</v>
      </c>
      <c r="I372" s="19" t="str">
        <f>IFERROR(VLOOKUP(H372,product_lookup!$A:$D,2,FALSE),"")</f>
        <v>Cranberry Sparkling Beverage</v>
      </c>
      <c r="J372" s="21">
        <v>60.0</v>
      </c>
      <c r="K372" s="22">
        <v>7.68</v>
      </c>
      <c r="L372" s="23">
        <f t="shared" si="1"/>
        <v>460.8</v>
      </c>
      <c r="M372" s="17" t="s">
        <v>75</v>
      </c>
      <c r="N372" s="18">
        <v>46108.0</v>
      </c>
      <c r="O372" s="19">
        <f>SUMIF(inventory_snapshot!$B:$B,H372,inventory_snapshot!$E:$E)</f>
        <v>1152</v>
      </c>
      <c r="P372" s="24" t="str">
        <f t="shared" si="2"/>
        <v>OK</v>
      </c>
      <c r="Q372" s="24" t="str">
        <f t="shared" si="3"/>
        <v>OK</v>
      </c>
      <c r="R372" s="24" t="str">
        <f t="shared" si="4"/>
        <v>OK</v>
      </c>
      <c r="S372" s="24" t="str">
        <f t="shared" si="5"/>
        <v>Small</v>
      </c>
    </row>
    <row r="373" ht="15.75" customHeight="1">
      <c r="A373" s="25" t="s">
        <v>508</v>
      </c>
      <c r="B373" s="26">
        <v>46060.0</v>
      </c>
      <c r="C373" s="25" t="s">
        <v>469</v>
      </c>
      <c r="D373" s="27" t="str">
        <f>IFERROR(VLOOKUP(C373,customer_lookup!$A:$E,2,FALSE),"")</f>
        <v>NM Account 0058</v>
      </c>
      <c r="E373" s="27" t="str">
        <f>IFERROR(VLOOKUP(C373,customer_lookup!$A:$E,3,FALSE),"")</f>
        <v>NM</v>
      </c>
      <c r="F373" s="28" t="str">
        <f>IFERROR(VLOOKUP(C373,customer_lookup!$A:$E,5,FALSE),"")</f>
        <v>Drew</v>
      </c>
      <c r="G373" s="25" t="s">
        <v>63</v>
      </c>
      <c r="H373" s="25" t="s">
        <v>81</v>
      </c>
      <c r="I373" s="27" t="str">
        <f>IFERROR(VLOOKUP(H373,product_lookup!$A:$D,2,FALSE),"")</f>
        <v>Lemon Sparkling Beverage</v>
      </c>
      <c r="J373" s="29">
        <v>48.0</v>
      </c>
      <c r="K373" s="30">
        <v>7.42</v>
      </c>
      <c r="L373" s="31">
        <f t="shared" si="1"/>
        <v>356.16</v>
      </c>
      <c r="M373" s="25" t="s">
        <v>75</v>
      </c>
      <c r="N373" s="26">
        <v>46066.0</v>
      </c>
      <c r="O373" s="27">
        <f>SUMIF(inventory_snapshot!$B:$B,H373,inventory_snapshot!$E:$E)</f>
        <v>1360</v>
      </c>
      <c r="P373" s="32" t="str">
        <f t="shared" si="2"/>
        <v>OK</v>
      </c>
      <c r="Q373" s="32" t="str">
        <f t="shared" si="3"/>
        <v>OK</v>
      </c>
      <c r="R373" s="32" t="str">
        <f t="shared" si="4"/>
        <v>OK</v>
      </c>
      <c r="S373" s="32" t="str">
        <f t="shared" si="5"/>
        <v>Small</v>
      </c>
    </row>
    <row r="374" ht="15.75" customHeight="1">
      <c r="A374" s="17" t="s">
        <v>509</v>
      </c>
      <c r="B374" s="18">
        <v>46034.0</v>
      </c>
      <c r="C374" s="17" t="s">
        <v>469</v>
      </c>
      <c r="D374" s="19" t="str">
        <f>IFERROR(VLOOKUP(C374,customer_lookup!$A:$E,2,FALSE),"")</f>
        <v>NM Account 0058</v>
      </c>
      <c r="E374" s="19" t="str">
        <f>IFERROR(VLOOKUP(C374,customer_lookup!$A:$E,3,FALSE),"")</f>
        <v>NM</v>
      </c>
      <c r="F374" s="20" t="str">
        <f>IFERROR(VLOOKUP(C374,customer_lookup!$A:$E,5,FALSE),"")</f>
        <v>Drew</v>
      </c>
      <c r="G374" s="17" t="s">
        <v>89</v>
      </c>
      <c r="H374" s="17" t="s">
        <v>81</v>
      </c>
      <c r="I374" s="19" t="str">
        <f>IFERROR(VLOOKUP(H374,product_lookup!$A:$D,2,FALSE),"")</f>
        <v>Lemon Sparkling Beverage</v>
      </c>
      <c r="J374" s="21">
        <v>24.0</v>
      </c>
      <c r="K374" s="22">
        <v>7.58</v>
      </c>
      <c r="L374" s="23">
        <f t="shared" si="1"/>
        <v>181.92</v>
      </c>
      <c r="M374" s="17" t="s">
        <v>75</v>
      </c>
      <c r="N374" s="18">
        <v>46042.0</v>
      </c>
      <c r="O374" s="19">
        <f>SUMIF(inventory_snapshot!$B:$B,H374,inventory_snapshot!$E:$E)</f>
        <v>1360</v>
      </c>
      <c r="P374" s="24" t="str">
        <f t="shared" si="2"/>
        <v>OK</v>
      </c>
      <c r="Q374" s="24" t="str">
        <f t="shared" si="3"/>
        <v>OK</v>
      </c>
      <c r="R374" s="24" t="str">
        <f t="shared" si="4"/>
        <v>OK</v>
      </c>
      <c r="S374" s="24" t="str">
        <f t="shared" si="5"/>
        <v>Small</v>
      </c>
    </row>
    <row r="375" ht="15.75" customHeight="1">
      <c r="A375" s="25" t="s">
        <v>510</v>
      </c>
      <c r="B375" s="26">
        <v>46061.0</v>
      </c>
      <c r="C375" s="25" t="s">
        <v>448</v>
      </c>
      <c r="D375" s="27" t="str">
        <f>IFERROR(VLOOKUP(C375,customer_lookup!$A:$E,2,FALSE),"")</f>
        <v>NY Account 0107</v>
      </c>
      <c r="E375" s="27" t="str">
        <f>IFERROR(VLOOKUP(C375,customer_lookup!$A:$E,3,FALSE),"")</f>
        <v>NY</v>
      </c>
      <c r="F375" s="28" t="str">
        <f>IFERROR(VLOOKUP(C375,customer_lookup!$A:$E,5,FALSE),"")</f>
        <v>Drew</v>
      </c>
      <c r="G375" s="25" t="s">
        <v>63</v>
      </c>
      <c r="H375" s="25" t="s">
        <v>64</v>
      </c>
      <c r="I375" s="27" t="str">
        <f>IFERROR(VLOOKUP(H375,product_lookup!$A:$D,2,FALSE),"")</f>
        <v>Cranberry Sparkling Beverage</v>
      </c>
      <c r="J375" s="29">
        <v>60.0</v>
      </c>
      <c r="K375" s="30">
        <v>7.84</v>
      </c>
      <c r="L375" s="31">
        <f t="shared" si="1"/>
        <v>470.4</v>
      </c>
      <c r="M375" s="25" t="s">
        <v>137</v>
      </c>
      <c r="N375" s="26">
        <v>46062.0</v>
      </c>
      <c r="O375" s="27">
        <f>SUMIF(inventory_snapshot!$B:$B,H375,inventory_snapshot!$E:$E)</f>
        <v>1152</v>
      </c>
      <c r="P375" s="32" t="str">
        <f t="shared" si="2"/>
        <v>OK</v>
      </c>
      <c r="Q375" s="32" t="str">
        <f t="shared" si="3"/>
        <v>OK</v>
      </c>
      <c r="R375" s="32" t="str">
        <f t="shared" si="4"/>
        <v>OK</v>
      </c>
      <c r="S375" s="32" t="str">
        <f t="shared" si="5"/>
        <v>Small</v>
      </c>
    </row>
    <row r="376" ht="15.75" customHeight="1">
      <c r="A376" s="17" t="s">
        <v>511</v>
      </c>
      <c r="B376" s="18">
        <v>46124.0</v>
      </c>
      <c r="C376" s="17" t="s">
        <v>464</v>
      </c>
      <c r="D376" s="19" t="str">
        <f>IFERROR(VLOOKUP(C376,customer_lookup!$A:$E,2,FALSE),"")</f>
        <v>WA Account 0014</v>
      </c>
      <c r="E376" s="19" t="str">
        <f>IFERROR(VLOOKUP(C376,customer_lookup!$A:$E,3,FALSE),"")</f>
        <v>WA</v>
      </c>
      <c r="F376" s="20" t="str">
        <f>IFERROR(VLOOKUP(C376,customer_lookup!$A:$E,5,FALSE),"")</f>
        <v>Drew</v>
      </c>
      <c r="G376" s="17" t="s">
        <v>63</v>
      </c>
      <c r="H376" s="17" t="s">
        <v>95</v>
      </c>
      <c r="I376" s="19" t="str">
        <f>IFERROR(VLOOKUP(H376,product_lookup!$A:$D,2,FALSE),"")</f>
        <v>Boysenberry 1:1:1 Gummies</v>
      </c>
      <c r="J376" s="21">
        <v>120.0</v>
      </c>
      <c r="K376" s="22">
        <v>10.53</v>
      </c>
      <c r="L376" s="23">
        <f t="shared" si="1"/>
        <v>1263.6</v>
      </c>
      <c r="M376" s="17" t="s">
        <v>100</v>
      </c>
      <c r="N376" s="18">
        <v>46129.0</v>
      </c>
      <c r="O376" s="19">
        <f>SUMIF(inventory_snapshot!$B:$B,H376,inventory_snapshot!$E:$E)</f>
        <v>2007</v>
      </c>
      <c r="P376" s="24" t="str">
        <f t="shared" si="2"/>
        <v>OK</v>
      </c>
      <c r="Q376" s="24" t="str">
        <f t="shared" si="3"/>
        <v>OK</v>
      </c>
      <c r="R376" s="24" t="str">
        <f t="shared" si="4"/>
        <v>OK</v>
      </c>
      <c r="S376" s="24" t="str">
        <f t="shared" si="5"/>
        <v>Large</v>
      </c>
    </row>
    <row r="377" ht="15.75" customHeight="1">
      <c r="A377" s="25" t="s">
        <v>512</v>
      </c>
      <c r="B377" s="26">
        <v>46129.0</v>
      </c>
      <c r="C377" s="25" t="s">
        <v>464</v>
      </c>
      <c r="D377" s="27" t="str">
        <f>IFERROR(VLOOKUP(C377,customer_lookup!$A:$E,2,FALSE),"")</f>
        <v>WA Account 0014</v>
      </c>
      <c r="E377" s="27" t="str">
        <f>IFERROR(VLOOKUP(C377,customer_lookup!$A:$E,3,FALSE),"")</f>
        <v>WA</v>
      </c>
      <c r="F377" s="28" t="str">
        <f>IFERROR(VLOOKUP(C377,customer_lookup!$A:$E,5,FALSE),"")</f>
        <v>Drew</v>
      </c>
      <c r="G377" s="25" t="s">
        <v>63</v>
      </c>
      <c r="H377" s="25" t="s">
        <v>154</v>
      </c>
      <c r="I377" s="27" t="str">
        <f>IFERROR(VLOOKUP(H377,product_lookup!$A:$D,2,FALSE),"")</f>
        <v>Kiwi 1:1 Gummies</v>
      </c>
      <c r="J377" s="29">
        <v>36.0</v>
      </c>
      <c r="K377" s="30">
        <v>11.78</v>
      </c>
      <c r="L377" s="31">
        <f t="shared" si="1"/>
        <v>424.08</v>
      </c>
      <c r="M377" s="25" t="s">
        <v>75</v>
      </c>
      <c r="N377" s="26">
        <v>46136.0</v>
      </c>
      <c r="O377" s="27">
        <f>SUMIF(inventory_snapshot!$B:$B,H377,inventory_snapshot!$E:$E)</f>
        <v>1136</v>
      </c>
      <c r="P377" s="32" t="str">
        <f t="shared" si="2"/>
        <v>OK</v>
      </c>
      <c r="Q377" s="32" t="str">
        <f t="shared" si="3"/>
        <v>OK</v>
      </c>
      <c r="R377" s="32" t="str">
        <f t="shared" si="4"/>
        <v>OK</v>
      </c>
      <c r="S377" s="32" t="str">
        <f t="shared" si="5"/>
        <v>Small</v>
      </c>
    </row>
    <row r="378" ht="15.75" customHeight="1">
      <c r="A378" s="17" t="s">
        <v>513</v>
      </c>
      <c r="B378" s="18">
        <v>46031.0</v>
      </c>
      <c r="C378" s="17" t="s">
        <v>464</v>
      </c>
      <c r="D378" s="19" t="str">
        <f>IFERROR(VLOOKUP(C378,customer_lookup!$A:$E,2,FALSE),"")</f>
        <v>WA Account 0014</v>
      </c>
      <c r="E378" s="19" t="str">
        <f>IFERROR(VLOOKUP(C378,customer_lookup!$A:$E,3,FALSE),"")</f>
        <v>WA</v>
      </c>
      <c r="F378" s="20" t="str">
        <f>IFERROR(VLOOKUP(C378,customer_lookup!$A:$E,5,FALSE),"")</f>
        <v>Drew</v>
      </c>
      <c r="G378" s="17" t="s">
        <v>63</v>
      </c>
      <c r="H378" s="17" t="s">
        <v>154</v>
      </c>
      <c r="I378" s="19" t="str">
        <f>IFERROR(VLOOKUP(H378,product_lookup!$A:$D,2,FALSE),"")</f>
        <v>Kiwi 1:1 Gummies</v>
      </c>
      <c r="J378" s="21">
        <v>36.0</v>
      </c>
      <c r="K378" s="22">
        <v>11.77</v>
      </c>
      <c r="L378" s="23">
        <f t="shared" si="1"/>
        <v>423.72</v>
      </c>
      <c r="M378" s="17" t="s">
        <v>97</v>
      </c>
      <c r="N378" s="18">
        <v>46038.0</v>
      </c>
      <c r="O378" s="19">
        <f>SUMIF(inventory_snapshot!$B:$B,H378,inventory_snapshot!$E:$E)</f>
        <v>1136</v>
      </c>
      <c r="P378" s="24" t="str">
        <f t="shared" si="2"/>
        <v>OK</v>
      </c>
      <c r="Q378" s="24" t="str">
        <f t="shared" si="3"/>
        <v>OK</v>
      </c>
      <c r="R378" s="24" t="str">
        <f t="shared" si="4"/>
        <v>OK</v>
      </c>
      <c r="S378" s="24" t="str">
        <f t="shared" si="5"/>
        <v>Small</v>
      </c>
    </row>
    <row r="379" ht="15.75" customHeight="1">
      <c r="A379" s="25" t="s">
        <v>514</v>
      </c>
      <c r="B379" s="26">
        <v>46051.0</v>
      </c>
      <c r="C379" s="25" t="s">
        <v>448</v>
      </c>
      <c r="D379" s="27" t="str">
        <f>IFERROR(VLOOKUP(C379,customer_lookup!$A:$E,2,FALSE),"")</f>
        <v>NY Account 0107</v>
      </c>
      <c r="E379" s="27" t="str">
        <f>IFERROR(VLOOKUP(C379,customer_lookup!$A:$E,3,FALSE),"")</f>
        <v>NY</v>
      </c>
      <c r="F379" s="28" t="str">
        <f>IFERROR(VLOOKUP(C379,customer_lookup!$A:$E,5,FALSE),"")</f>
        <v>Drew</v>
      </c>
      <c r="G379" s="25" t="s">
        <v>63</v>
      </c>
      <c r="H379" s="25" t="s">
        <v>64</v>
      </c>
      <c r="I379" s="27" t="str">
        <f>IFERROR(VLOOKUP(H379,product_lookup!$A:$D,2,FALSE),"")</f>
        <v>Cranberry Sparkling Beverage</v>
      </c>
      <c r="J379" s="29">
        <v>6.0</v>
      </c>
      <c r="K379" s="30">
        <v>8.44</v>
      </c>
      <c r="L379" s="31">
        <f t="shared" si="1"/>
        <v>50.64</v>
      </c>
      <c r="M379" s="25" t="s">
        <v>93</v>
      </c>
      <c r="N379" s="26">
        <v>46055.0</v>
      </c>
      <c r="O379" s="27">
        <f>SUMIF(inventory_snapshot!$B:$B,H379,inventory_snapshot!$E:$E)</f>
        <v>1152</v>
      </c>
      <c r="P379" s="32" t="str">
        <f t="shared" si="2"/>
        <v>OK</v>
      </c>
      <c r="Q379" s="32" t="str">
        <f t="shared" si="3"/>
        <v>OK</v>
      </c>
      <c r="R379" s="32" t="str">
        <f t="shared" si="4"/>
        <v>OK</v>
      </c>
      <c r="S379" s="32" t="str">
        <f t="shared" si="5"/>
        <v>Small</v>
      </c>
    </row>
    <row r="380" ht="15.75" customHeight="1">
      <c r="A380" s="17" t="s">
        <v>515</v>
      </c>
      <c r="B380" s="18">
        <v>46113.0</v>
      </c>
      <c r="C380" s="17" t="s">
        <v>446</v>
      </c>
      <c r="D380" s="19" t="str">
        <f>IFERROR(VLOOKUP(C380,customer_lookup!$A:$E,2,FALSE),"")</f>
        <v>CO Account 0028</v>
      </c>
      <c r="E380" s="19" t="str">
        <f>IFERROR(VLOOKUP(C380,customer_lookup!$A:$E,3,FALSE),"")</f>
        <v>CO</v>
      </c>
      <c r="F380" s="20" t="str">
        <f>IFERROR(VLOOKUP(C380,customer_lookup!$A:$E,5,FALSE),"")</f>
        <v>Drew</v>
      </c>
      <c r="G380" s="17" t="s">
        <v>63</v>
      </c>
      <c r="H380" s="17" t="s">
        <v>106</v>
      </c>
      <c r="I380" s="19" t="str">
        <f>IFERROR(VLOOKUP(H380,product_lookup!$A:$D,2,FALSE),"")</f>
        <v>Sour Cherry THC Gummies</v>
      </c>
      <c r="J380" s="21">
        <v>48.0</v>
      </c>
      <c r="K380" s="22">
        <v>11.26</v>
      </c>
      <c r="L380" s="23">
        <f t="shared" si="1"/>
        <v>540.48</v>
      </c>
      <c r="M380" s="17" t="s">
        <v>97</v>
      </c>
      <c r="N380" s="18">
        <v>46114.0</v>
      </c>
      <c r="O380" s="19">
        <f>SUMIF(inventory_snapshot!$B:$B,H380,inventory_snapshot!$E:$E)</f>
        <v>1313</v>
      </c>
      <c r="P380" s="24" t="str">
        <f t="shared" si="2"/>
        <v>OK</v>
      </c>
      <c r="Q380" s="24" t="str">
        <f t="shared" si="3"/>
        <v>OK</v>
      </c>
      <c r="R380" s="24" t="str">
        <f t="shared" si="4"/>
        <v>OK</v>
      </c>
      <c r="S380" s="24" t="str">
        <f t="shared" si="5"/>
        <v>Medium</v>
      </c>
    </row>
    <row r="381" ht="15.75" customHeight="1">
      <c r="A381" s="25" t="s">
        <v>516</v>
      </c>
      <c r="B381" s="26">
        <v>46042.0</v>
      </c>
      <c r="C381" s="25" t="s">
        <v>464</v>
      </c>
      <c r="D381" s="27" t="str">
        <f>IFERROR(VLOOKUP(C381,customer_lookup!$A:$E,2,FALSE),"")</f>
        <v>WA Account 0014</v>
      </c>
      <c r="E381" s="27" t="str">
        <f>IFERROR(VLOOKUP(C381,customer_lookup!$A:$E,3,FALSE),"")</f>
        <v>WA</v>
      </c>
      <c r="F381" s="28" t="str">
        <f>IFERROR(VLOOKUP(C381,customer_lookup!$A:$E,5,FALSE),"")</f>
        <v>Drew</v>
      </c>
      <c r="G381" s="25" t="s">
        <v>67</v>
      </c>
      <c r="H381" s="25" t="s">
        <v>92</v>
      </c>
      <c r="I381" s="27" t="str">
        <f>IFERROR(VLOOKUP(H381,product_lookup!$A:$D,2,FALSE),"")</f>
        <v>Raspberry THC Gummies</v>
      </c>
      <c r="J381" s="29">
        <v>6.0</v>
      </c>
      <c r="K381" s="30">
        <v>9.62</v>
      </c>
      <c r="L381" s="31">
        <f t="shared" si="1"/>
        <v>57.72</v>
      </c>
      <c r="M381" s="25" t="s">
        <v>65</v>
      </c>
      <c r="N381" s="26">
        <v>46050.0</v>
      </c>
      <c r="O381" s="27">
        <f>SUMIF(inventory_snapshot!$B:$B,H381,inventory_snapshot!$E:$E)</f>
        <v>1417</v>
      </c>
      <c r="P381" s="32" t="str">
        <f t="shared" si="2"/>
        <v>OK</v>
      </c>
      <c r="Q381" s="32" t="str">
        <f t="shared" si="3"/>
        <v>OK</v>
      </c>
      <c r="R381" s="32" t="str">
        <f t="shared" si="4"/>
        <v>OK</v>
      </c>
      <c r="S381" s="32" t="str">
        <f t="shared" si="5"/>
        <v>Small</v>
      </c>
    </row>
    <row r="382" ht="15.75" customHeight="1">
      <c r="A382" s="17" t="s">
        <v>517</v>
      </c>
      <c r="B382" s="18">
        <v>46088.0</v>
      </c>
      <c r="C382" s="17" t="s">
        <v>448</v>
      </c>
      <c r="D382" s="19" t="str">
        <f>IFERROR(VLOOKUP(C382,customer_lookup!$A:$E,2,FALSE),"")</f>
        <v>NY Account 0107</v>
      </c>
      <c r="E382" s="19" t="str">
        <f>IFERROR(VLOOKUP(C382,customer_lookup!$A:$E,3,FALSE),"")</f>
        <v>NY</v>
      </c>
      <c r="F382" s="20" t="str">
        <f>IFERROR(VLOOKUP(C382,customer_lookup!$A:$E,5,FALSE),"")</f>
        <v>Drew</v>
      </c>
      <c r="G382" s="17" t="s">
        <v>63</v>
      </c>
      <c r="H382" s="17" t="s">
        <v>68</v>
      </c>
      <c r="I382" s="19" t="str">
        <f>IFERROR(VLOOKUP(H382,product_lookup!$A:$D,2,FALSE),"")</f>
        <v>Sour Apple THC Gummies</v>
      </c>
      <c r="J382" s="21">
        <v>24.0</v>
      </c>
      <c r="K382" s="22">
        <v>10.48</v>
      </c>
      <c r="L382" s="23">
        <f t="shared" si="1"/>
        <v>251.52</v>
      </c>
      <c r="M382" s="17" t="s">
        <v>93</v>
      </c>
      <c r="N382" s="18">
        <v>46098.0</v>
      </c>
      <c r="O382" s="19">
        <f>SUMIF(inventory_snapshot!$B:$B,H382,inventory_snapshot!$E:$E)</f>
        <v>775</v>
      </c>
      <c r="P382" s="24" t="str">
        <f t="shared" si="2"/>
        <v>OK</v>
      </c>
      <c r="Q382" s="24" t="str">
        <f t="shared" si="3"/>
        <v>OK</v>
      </c>
      <c r="R382" s="24" t="str">
        <f t="shared" si="4"/>
        <v>OK</v>
      </c>
      <c r="S382" s="24" t="str">
        <f t="shared" si="5"/>
        <v>Small</v>
      </c>
    </row>
    <row r="383" ht="15.75" customHeight="1">
      <c r="A383" s="25" t="s">
        <v>518</v>
      </c>
      <c r="B383" s="26">
        <v>46088.0</v>
      </c>
      <c r="C383" s="25" t="s">
        <v>457</v>
      </c>
      <c r="D383" s="27" t="str">
        <f>IFERROR(VLOOKUP(C383,customer_lookup!$A:$E,2,FALSE),"")</f>
        <v>NM Account 0010</v>
      </c>
      <c r="E383" s="27" t="str">
        <f>IFERROR(VLOOKUP(C383,customer_lookup!$A:$E,3,FALSE),"")</f>
        <v>NM</v>
      </c>
      <c r="F383" s="28" t="str">
        <f>IFERROR(VLOOKUP(C383,customer_lookup!$A:$E,5,FALSE),"")</f>
        <v>Drew</v>
      </c>
      <c r="G383" s="25" t="s">
        <v>63</v>
      </c>
      <c r="H383" s="25" t="s">
        <v>95</v>
      </c>
      <c r="I383" s="27" t="str">
        <f>IFERROR(VLOOKUP(H383,product_lookup!$A:$D,2,FALSE),"")</f>
        <v>Boysenberry 1:1:1 Gummies</v>
      </c>
      <c r="J383" s="29">
        <v>12.0</v>
      </c>
      <c r="K383" s="30">
        <v>10.52</v>
      </c>
      <c r="L383" s="31">
        <f t="shared" si="1"/>
        <v>126.24</v>
      </c>
      <c r="M383" s="25" t="s">
        <v>75</v>
      </c>
      <c r="N383" s="26">
        <v>46098.0</v>
      </c>
      <c r="O383" s="27">
        <f>SUMIF(inventory_snapshot!$B:$B,H383,inventory_snapshot!$E:$E)</f>
        <v>2007</v>
      </c>
      <c r="P383" s="32" t="str">
        <f t="shared" si="2"/>
        <v>OK</v>
      </c>
      <c r="Q383" s="32" t="str">
        <f t="shared" si="3"/>
        <v>OK</v>
      </c>
      <c r="R383" s="32" t="str">
        <f t="shared" si="4"/>
        <v>OK</v>
      </c>
      <c r="S383" s="32" t="str">
        <f t="shared" si="5"/>
        <v>Small</v>
      </c>
    </row>
    <row r="384" ht="15.75" customHeight="1">
      <c r="A384" s="17" t="s">
        <v>519</v>
      </c>
      <c r="B384" s="18">
        <v>46130.0</v>
      </c>
      <c r="C384" s="17" t="s">
        <v>444</v>
      </c>
      <c r="D384" s="19" t="str">
        <f>IFERROR(VLOOKUP(C384,customer_lookup!$A:$E,2,FALSE),"")</f>
        <v>MO Account 0057</v>
      </c>
      <c r="E384" s="19" t="str">
        <f>IFERROR(VLOOKUP(C384,customer_lookup!$A:$E,3,FALSE),"")</f>
        <v>MO</v>
      </c>
      <c r="F384" s="20" t="str">
        <f>IFERROR(VLOOKUP(C384,customer_lookup!$A:$E,5,FALSE),"")</f>
        <v>Drew</v>
      </c>
      <c r="G384" s="17" t="s">
        <v>63</v>
      </c>
      <c r="H384" s="17" t="s">
        <v>74</v>
      </c>
      <c r="I384" s="19" t="str">
        <f>IFERROR(VLOOKUP(H384,product_lookup!$A:$D,2,FALSE),"")</f>
        <v>Strawberry 20:1 Gummies</v>
      </c>
      <c r="J384" s="21">
        <v>12.0</v>
      </c>
      <c r="K384" s="22">
        <v>12.59</v>
      </c>
      <c r="L384" s="23">
        <f t="shared" si="1"/>
        <v>151.08</v>
      </c>
      <c r="M384" s="17" t="s">
        <v>65</v>
      </c>
      <c r="N384" s="18">
        <v>46132.0</v>
      </c>
      <c r="O384" s="19">
        <f>SUMIF(inventory_snapshot!$B:$B,H384,inventory_snapshot!$E:$E)</f>
        <v>2294</v>
      </c>
      <c r="P384" s="24" t="str">
        <f t="shared" si="2"/>
        <v>OK</v>
      </c>
      <c r="Q384" s="24" t="str">
        <f t="shared" si="3"/>
        <v>OK</v>
      </c>
      <c r="R384" s="24" t="str">
        <f t="shared" si="4"/>
        <v>OK</v>
      </c>
      <c r="S384" s="24" t="str">
        <f t="shared" si="5"/>
        <v>Small</v>
      </c>
    </row>
    <row r="385" ht="15.75" customHeight="1">
      <c r="A385" s="25" t="s">
        <v>520</v>
      </c>
      <c r="B385" s="26">
        <v>46103.0</v>
      </c>
      <c r="C385" s="25" t="s">
        <v>464</v>
      </c>
      <c r="D385" s="27" t="str">
        <f>IFERROR(VLOOKUP(C385,customer_lookup!$A:$E,2,FALSE),"")</f>
        <v>WA Account 0014</v>
      </c>
      <c r="E385" s="27" t="str">
        <f>IFERROR(VLOOKUP(C385,customer_lookup!$A:$E,3,FALSE),"")</f>
        <v>WA</v>
      </c>
      <c r="F385" s="28" t="str">
        <f>IFERROR(VLOOKUP(C385,customer_lookup!$A:$E,5,FALSE),"")</f>
        <v>Drew</v>
      </c>
      <c r="G385" s="25" t="s">
        <v>63</v>
      </c>
      <c r="H385" s="25" t="s">
        <v>154</v>
      </c>
      <c r="I385" s="27" t="str">
        <f>IFERROR(VLOOKUP(H385,product_lookup!$A:$D,2,FALSE),"")</f>
        <v>Kiwi 1:1 Gummies</v>
      </c>
      <c r="J385" s="29">
        <v>12.0</v>
      </c>
      <c r="K385" s="30">
        <v>11.55</v>
      </c>
      <c r="L385" s="31">
        <f t="shared" si="1"/>
        <v>138.6</v>
      </c>
      <c r="M385" s="25" t="s">
        <v>93</v>
      </c>
      <c r="N385" s="26">
        <v>46108.0</v>
      </c>
      <c r="O385" s="27">
        <f>SUMIF(inventory_snapshot!$B:$B,H385,inventory_snapshot!$E:$E)</f>
        <v>1136</v>
      </c>
      <c r="P385" s="32" t="str">
        <f t="shared" si="2"/>
        <v>OK</v>
      </c>
      <c r="Q385" s="32" t="str">
        <f t="shared" si="3"/>
        <v>OK</v>
      </c>
      <c r="R385" s="32" t="str">
        <f t="shared" si="4"/>
        <v>OK</v>
      </c>
      <c r="S385" s="32" t="str">
        <f t="shared" si="5"/>
        <v>Small</v>
      </c>
    </row>
    <row r="386" ht="15.75" customHeight="1">
      <c r="A386" s="17" t="s">
        <v>521</v>
      </c>
      <c r="B386" s="18">
        <v>46130.0</v>
      </c>
      <c r="C386" s="17" t="s">
        <v>446</v>
      </c>
      <c r="D386" s="19" t="str">
        <f>IFERROR(VLOOKUP(C386,customer_lookup!$A:$E,2,FALSE),"")</f>
        <v>CO Account 0028</v>
      </c>
      <c r="E386" s="19" t="str">
        <f>IFERROR(VLOOKUP(C386,customer_lookup!$A:$E,3,FALSE),"")</f>
        <v>CO</v>
      </c>
      <c r="F386" s="20" t="str">
        <f>IFERROR(VLOOKUP(C386,customer_lookup!$A:$E,5,FALSE),"")</f>
        <v>Drew</v>
      </c>
      <c r="G386" s="17" t="s">
        <v>63</v>
      </c>
      <c r="H386" s="17" t="s">
        <v>64</v>
      </c>
      <c r="I386" s="19" t="str">
        <f>IFERROR(VLOOKUP(H386,product_lookup!$A:$D,2,FALSE),"")</f>
        <v>Cranberry Sparkling Beverage</v>
      </c>
      <c r="J386" s="21">
        <v>72.0</v>
      </c>
      <c r="K386" s="22">
        <v>7.41</v>
      </c>
      <c r="L386" s="23">
        <f t="shared" si="1"/>
        <v>533.52</v>
      </c>
      <c r="M386" s="17" t="s">
        <v>97</v>
      </c>
      <c r="N386" s="18">
        <v>46132.0</v>
      </c>
      <c r="O386" s="19">
        <f>SUMIF(inventory_snapshot!$B:$B,H386,inventory_snapshot!$E:$E)</f>
        <v>1152</v>
      </c>
      <c r="P386" s="24" t="str">
        <f t="shared" si="2"/>
        <v>OK</v>
      </c>
      <c r="Q386" s="24" t="str">
        <f t="shared" si="3"/>
        <v>OK</v>
      </c>
      <c r="R386" s="24" t="str">
        <f t="shared" si="4"/>
        <v>OK</v>
      </c>
      <c r="S386" s="24" t="str">
        <f t="shared" si="5"/>
        <v>Medium</v>
      </c>
    </row>
    <row r="387" ht="15.75" customHeight="1">
      <c r="A387" s="25" t="s">
        <v>522</v>
      </c>
      <c r="B387" s="26">
        <v>46024.0</v>
      </c>
      <c r="C387" s="25" t="s">
        <v>464</v>
      </c>
      <c r="D387" s="27" t="str">
        <f>IFERROR(VLOOKUP(C387,customer_lookup!$A:$E,2,FALSE),"")</f>
        <v>WA Account 0014</v>
      </c>
      <c r="E387" s="27" t="str">
        <f>IFERROR(VLOOKUP(C387,customer_lookup!$A:$E,3,FALSE),"")</f>
        <v>WA</v>
      </c>
      <c r="F387" s="28" t="str">
        <f>IFERROR(VLOOKUP(C387,customer_lookup!$A:$E,5,FALSE),"")</f>
        <v>Drew</v>
      </c>
      <c r="G387" s="25" t="s">
        <v>89</v>
      </c>
      <c r="H387" s="25" t="s">
        <v>78</v>
      </c>
      <c r="I387" s="27" t="str">
        <f>IFERROR(VLOOKUP(H387,product_lookup!$A:$D,2,FALSE),"")</f>
        <v>Grapefruit 1:1:1 Gummies</v>
      </c>
      <c r="J387" s="29">
        <v>96.0</v>
      </c>
      <c r="K387" s="30">
        <v>11.21</v>
      </c>
      <c r="L387" s="31">
        <f t="shared" si="1"/>
        <v>1076.16</v>
      </c>
      <c r="M387" s="25" t="s">
        <v>65</v>
      </c>
      <c r="N387" s="26">
        <v>46034.0</v>
      </c>
      <c r="O387" s="27">
        <f>SUMIF(inventory_snapshot!$B:$B,H387,inventory_snapshot!$E:$E)</f>
        <v>1751</v>
      </c>
      <c r="P387" s="32" t="str">
        <f t="shared" si="2"/>
        <v>OK</v>
      </c>
      <c r="Q387" s="32" t="str">
        <f t="shared" si="3"/>
        <v>OK</v>
      </c>
      <c r="R387" s="32" t="str">
        <f t="shared" si="4"/>
        <v>OK</v>
      </c>
      <c r="S387" s="32" t="str">
        <f t="shared" si="5"/>
        <v>Large</v>
      </c>
    </row>
    <row r="388" ht="15.75" customHeight="1">
      <c r="A388" s="17" t="s">
        <v>523</v>
      </c>
      <c r="B388" s="18">
        <v>46073.0</v>
      </c>
      <c r="C388" s="17" t="s">
        <v>469</v>
      </c>
      <c r="D388" s="19" t="str">
        <f>IFERROR(VLOOKUP(C388,customer_lookup!$A:$E,2,FALSE),"")</f>
        <v>NM Account 0058</v>
      </c>
      <c r="E388" s="19" t="str">
        <f>IFERROR(VLOOKUP(C388,customer_lookup!$A:$E,3,FALSE),"")</f>
        <v>NM</v>
      </c>
      <c r="F388" s="20" t="str">
        <f>IFERROR(VLOOKUP(C388,customer_lookup!$A:$E,5,FALSE),"")</f>
        <v>Drew</v>
      </c>
      <c r="G388" s="17" t="s">
        <v>63</v>
      </c>
      <c r="H388" s="17" t="s">
        <v>123</v>
      </c>
      <c r="I388" s="19" t="str">
        <f>IFERROR(VLOOKUP(H388,product_lookup!$A:$D,2,FALSE),"")</f>
        <v>Peach 2:1 Gummies</v>
      </c>
      <c r="J388" s="21">
        <v>24.0</v>
      </c>
      <c r="K388" s="22">
        <v>10.33</v>
      </c>
      <c r="L388" s="23">
        <f t="shared" si="1"/>
        <v>247.92</v>
      </c>
      <c r="M388" s="17" t="s">
        <v>93</v>
      </c>
      <c r="N388" s="18">
        <v>46079.0</v>
      </c>
      <c r="O388" s="19">
        <f>SUMIF(inventory_snapshot!$B:$B,H388,inventory_snapshot!$E:$E)</f>
        <v>1732</v>
      </c>
      <c r="P388" s="24" t="str">
        <f t="shared" si="2"/>
        <v>OK</v>
      </c>
      <c r="Q388" s="24" t="str">
        <f t="shared" si="3"/>
        <v>OK</v>
      </c>
      <c r="R388" s="24" t="str">
        <f t="shared" si="4"/>
        <v>OK</v>
      </c>
      <c r="S388" s="24" t="str">
        <f t="shared" si="5"/>
        <v>Small</v>
      </c>
    </row>
    <row r="389" ht="15.75" customHeight="1">
      <c r="A389" s="25" t="s">
        <v>524</v>
      </c>
      <c r="B389" s="26">
        <v>46138.0</v>
      </c>
      <c r="C389" s="25" t="s">
        <v>457</v>
      </c>
      <c r="D389" s="27" t="str">
        <f>IFERROR(VLOOKUP(C389,customer_lookup!$A:$E,2,FALSE),"")</f>
        <v>NM Account 0010</v>
      </c>
      <c r="E389" s="27" t="str">
        <f>IFERROR(VLOOKUP(C389,customer_lookup!$A:$E,3,FALSE),"")</f>
        <v>NM</v>
      </c>
      <c r="F389" s="28" t="str">
        <f>IFERROR(VLOOKUP(C389,customer_lookup!$A:$E,5,FALSE),"")</f>
        <v>Drew</v>
      </c>
      <c r="G389" s="25" t="s">
        <v>63</v>
      </c>
      <c r="H389" s="25" t="s">
        <v>68</v>
      </c>
      <c r="I389" s="27" t="str">
        <f>IFERROR(VLOOKUP(H389,product_lookup!$A:$D,2,FALSE),"")</f>
        <v>Sour Apple THC Gummies</v>
      </c>
      <c r="J389" s="29">
        <v>12.0</v>
      </c>
      <c r="K389" s="30">
        <v>10.07</v>
      </c>
      <c r="L389" s="31">
        <f t="shared" si="1"/>
        <v>120.84</v>
      </c>
      <c r="M389" s="25" t="s">
        <v>65</v>
      </c>
      <c r="N389" s="26">
        <v>46140.0</v>
      </c>
      <c r="O389" s="27">
        <f>SUMIF(inventory_snapshot!$B:$B,H389,inventory_snapshot!$E:$E)</f>
        <v>775</v>
      </c>
      <c r="P389" s="32" t="str">
        <f t="shared" si="2"/>
        <v>OK</v>
      </c>
      <c r="Q389" s="32" t="str">
        <f t="shared" si="3"/>
        <v>OK</v>
      </c>
      <c r="R389" s="32" t="str">
        <f t="shared" si="4"/>
        <v>OK</v>
      </c>
      <c r="S389" s="32" t="str">
        <f t="shared" si="5"/>
        <v>Small</v>
      </c>
    </row>
    <row r="390" ht="15.75" customHeight="1">
      <c r="A390" s="17" t="s">
        <v>525</v>
      </c>
      <c r="B390" s="18">
        <v>46108.0</v>
      </c>
      <c r="C390" s="17" t="s">
        <v>459</v>
      </c>
      <c r="D390" s="19" t="str">
        <f>IFERROR(VLOOKUP(C390,customer_lookup!$A:$E,2,FALSE),"")</f>
        <v>NM Account 0022</v>
      </c>
      <c r="E390" s="19" t="str">
        <f>IFERROR(VLOOKUP(C390,customer_lookup!$A:$E,3,FALSE),"")</f>
        <v>NM</v>
      </c>
      <c r="F390" s="20" t="str">
        <f>IFERROR(VLOOKUP(C390,customer_lookup!$A:$E,5,FALSE),"")</f>
        <v>Drew</v>
      </c>
      <c r="G390" s="17" t="s">
        <v>63</v>
      </c>
      <c r="H390" s="17" t="s">
        <v>110</v>
      </c>
      <c r="I390" s="19" t="str">
        <f>IFERROR(VLOOKUP(H390,product_lookup!$A:$D,2,FALSE),"")</f>
        <v>Elderberry 2:1 Gummies</v>
      </c>
      <c r="J390" s="21">
        <v>6.0</v>
      </c>
      <c r="K390" s="22">
        <v>11.39</v>
      </c>
      <c r="L390" s="23">
        <f t="shared" si="1"/>
        <v>68.34</v>
      </c>
      <c r="M390" s="17" t="s">
        <v>97</v>
      </c>
      <c r="N390" s="18">
        <v>46112.0</v>
      </c>
      <c r="O390" s="19">
        <f>SUMIF(inventory_snapshot!$B:$B,H390,inventory_snapshot!$E:$E)</f>
        <v>1633</v>
      </c>
      <c r="P390" s="24" t="str">
        <f t="shared" si="2"/>
        <v>OK</v>
      </c>
      <c r="Q390" s="24" t="str">
        <f t="shared" si="3"/>
        <v>OK</v>
      </c>
      <c r="R390" s="24" t="str">
        <f t="shared" si="4"/>
        <v>OK</v>
      </c>
      <c r="S390" s="24" t="str">
        <f t="shared" si="5"/>
        <v>Small</v>
      </c>
    </row>
    <row r="391" ht="15.75" customHeight="1">
      <c r="A391" s="25" t="s">
        <v>526</v>
      </c>
      <c r="B391" s="26">
        <v>46115.0</v>
      </c>
      <c r="C391" s="25" t="s">
        <v>448</v>
      </c>
      <c r="D391" s="27" t="str">
        <f>IFERROR(VLOOKUP(C391,customer_lookup!$A:$E,2,FALSE),"")</f>
        <v>NY Account 0107</v>
      </c>
      <c r="E391" s="27" t="str">
        <f>IFERROR(VLOOKUP(C391,customer_lookup!$A:$E,3,FALSE),"")</f>
        <v>NY</v>
      </c>
      <c r="F391" s="28" t="str">
        <f>IFERROR(VLOOKUP(C391,customer_lookup!$A:$E,5,FALSE),"")</f>
        <v>Drew</v>
      </c>
      <c r="G391" s="25" t="s">
        <v>89</v>
      </c>
      <c r="H391" s="25" t="s">
        <v>154</v>
      </c>
      <c r="I391" s="27" t="str">
        <f>IFERROR(VLOOKUP(H391,product_lookup!$A:$D,2,FALSE),"")</f>
        <v>Kiwi 1:1 Gummies</v>
      </c>
      <c r="J391" s="29">
        <v>18.0</v>
      </c>
      <c r="K391" s="30">
        <v>9.77</v>
      </c>
      <c r="L391" s="31">
        <f t="shared" si="1"/>
        <v>175.86</v>
      </c>
      <c r="M391" s="25" t="s">
        <v>65</v>
      </c>
      <c r="N391" s="26">
        <v>46121.0</v>
      </c>
      <c r="O391" s="27">
        <f>SUMIF(inventory_snapshot!$B:$B,H391,inventory_snapshot!$E:$E)</f>
        <v>1136</v>
      </c>
      <c r="P391" s="32" t="str">
        <f t="shared" si="2"/>
        <v>OK</v>
      </c>
      <c r="Q391" s="32" t="str">
        <f t="shared" si="3"/>
        <v>OK</v>
      </c>
      <c r="R391" s="32" t="str">
        <f t="shared" si="4"/>
        <v>OK</v>
      </c>
      <c r="S391" s="32" t="str">
        <f t="shared" si="5"/>
        <v>Small</v>
      </c>
    </row>
    <row r="392" ht="15.75" customHeight="1">
      <c r="A392" s="17" t="s">
        <v>527</v>
      </c>
      <c r="B392" s="18">
        <v>46061.0</v>
      </c>
      <c r="C392" s="17" t="s">
        <v>446</v>
      </c>
      <c r="D392" s="19" t="str">
        <f>IFERROR(VLOOKUP(C392,customer_lookup!$A:$E,2,FALSE),"")</f>
        <v>CO Account 0028</v>
      </c>
      <c r="E392" s="19" t="str">
        <f>IFERROR(VLOOKUP(C392,customer_lookup!$A:$E,3,FALSE),"")</f>
        <v>CO</v>
      </c>
      <c r="F392" s="20" t="str">
        <f>IFERROR(VLOOKUP(C392,customer_lookup!$A:$E,5,FALSE),"")</f>
        <v>Drew</v>
      </c>
      <c r="G392" s="17" t="s">
        <v>67</v>
      </c>
      <c r="H392" s="17" t="s">
        <v>108</v>
      </c>
      <c r="I392" s="19" t="str">
        <f>IFERROR(VLOOKUP(H392,product_lookup!$A:$D,2,FALSE),"")</f>
        <v>Sour Tangerine THC Gummies</v>
      </c>
      <c r="J392" s="21">
        <v>96.0</v>
      </c>
      <c r="K392" s="22">
        <v>10.75</v>
      </c>
      <c r="L392" s="23">
        <f t="shared" si="1"/>
        <v>1032</v>
      </c>
      <c r="M392" s="17" t="s">
        <v>93</v>
      </c>
      <c r="N392" s="18">
        <v>46071.0</v>
      </c>
      <c r="O392" s="19">
        <f>SUMIF(inventory_snapshot!$B:$B,H392,inventory_snapshot!$E:$E)</f>
        <v>1679</v>
      </c>
      <c r="P392" s="24" t="str">
        <f t="shared" si="2"/>
        <v>OK</v>
      </c>
      <c r="Q392" s="24" t="str">
        <f t="shared" si="3"/>
        <v>OK</v>
      </c>
      <c r="R392" s="24" t="str">
        <f t="shared" si="4"/>
        <v>OK</v>
      </c>
      <c r="S392" s="24" t="str">
        <f t="shared" si="5"/>
        <v>Large</v>
      </c>
    </row>
    <row r="393" ht="15.75" customHeight="1">
      <c r="A393" s="25" t="s">
        <v>528</v>
      </c>
      <c r="B393" s="26">
        <v>46033.0</v>
      </c>
      <c r="C393" s="25" t="s">
        <v>464</v>
      </c>
      <c r="D393" s="27" t="str">
        <f>IFERROR(VLOOKUP(C393,customer_lookup!$A:$E,2,FALSE),"")</f>
        <v>WA Account 0014</v>
      </c>
      <c r="E393" s="27" t="str">
        <f>IFERROR(VLOOKUP(C393,customer_lookup!$A:$E,3,FALSE),"")</f>
        <v>WA</v>
      </c>
      <c r="F393" s="28" t="str">
        <f>IFERROR(VLOOKUP(C393,customer_lookup!$A:$E,5,FALSE),"")</f>
        <v>Drew</v>
      </c>
      <c r="G393" s="25" t="s">
        <v>63</v>
      </c>
      <c r="H393" s="25" t="s">
        <v>154</v>
      </c>
      <c r="I393" s="27" t="str">
        <f>IFERROR(VLOOKUP(H393,product_lookup!$A:$D,2,FALSE),"")</f>
        <v>Kiwi 1:1 Gummies</v>
      </c>
      <c r="J393" s="29">
        <v>30.0</v>
      </c>
      <c r="K393" s="30">
        <v>9.86</v>
      </c>
      <c r="L393" s="31">
        <f t="shared" si="1"/>
        <v>295.8</v>
      </c>
      <c r="M393" s="25" t="s">
        <v>97</v>
      </c>
      <c r="N393" s="26">
        <v>46034.0</v>
      </c>
      <c r="O393" s="27">
        <f>SUMIF(inventory_snapshot!$B:$B,H393,inventory_snapshot!$E:$E)</f>
        <v>1136</v>
      </c>
      <c r="P393" s="32" t="str">
        <f t="shared" si="2"/>
        <v>OK</v>
      </c>
      <c r="Q393" s="32" t="str">
        <f t="shared" si="3"/>
        <v>OK</v>
      </c>
      <c r="R393" s="32" t="str">
        <f t="shared" si="4"/>
        <v>OK</v>
      </c>
      <c r="S393" s="32" t="str">
        <f t="shared" si="5"/>
        <v>Small</v>
      </c>
    </row>
    <row r="394" ht="15.75" customHeight="1">
      <c r="A394" s="17" t="s">
        <v>529</v>
      </c>
      <c r="B394" s="18">
        <v>46073.0</v>
      </c>
      <c r="C394" s="17" t="s">
        <v>452</v>
      </c>
      <c r="D394" s="19" t="str">
        <f>IFERROR(VLOOKUP(C394,customer_lookup!$A:$E,2,FALSE),"")</f>
        <v>AZ Account 0029</v>
      </c>
      <c r="E394" s="19" t="str">
        <f>IFERROR(VLOOKUP(C394,customer_lookup!$A:$E,3,FALSE),"")</f>
        <v>AZ</v>
      </c>
      <c r="F394" s="20" t="str">
        <f>IFERROR(VLOOKUP(C394,customer_lookup!$A:$E,5,FALSE),"")</f>
        <v>Drew</v>
      </c>
      <c r="G394" s="17" t="s">
        <v>63</v>
      </c>
      <c r="H394" s="17" t="s">
        <v>78</v>
      </c>
      <c r="I394" s="19" t="str">
        <f>IFERROR(VLOOKUP(H394,product_lookup!$A:$D,2,FALSE),"")</f>
        <v>Grapefruit 1:1:1 Gummies</v>
      </c>
      <c r="J394" s="21">
        <v>6.0</v>
      </c>
      <c r="K394" s="22">
        <v>10.83</v>
      </c>
      <c r="L394" s="23">
        <f t="shared" si="1"/>
        <v>64.98</v>
      </c>
      <c r="M394" s="17" t="s">
        <v>137</v>
      </c>
      <c r="N394" s="18">
        <v>46078.0</v>
      </c>
      <c r="O394" s="19">
        <f>SUMIF(inventory_snapshot!$B:$B,H394,inventory_snapshot!$E:$E)</f>
        <v>1751</v>
      </c>
      <c r="P394" s="24" t="str">
        <f t="shared" si="2"/>
        <v>OK</v>
      </c>
      <c r="Q394" s="24" t="str">
        <f t="shared" si="3"/>
        <v>OK</v>
      </c>
      <c r="R394" s="24" t="str">
        <f t="shared" si="4"/>
        <v>OK</v>
      </c>
      <c r="S394" s="24" t="str">
        <f t="shared" si="5"/>
        <v>Small</v>
      </c>
    </row>
    <row r="395" ht="15.75" customHeight="1">
      <c r="A395" s="25" t="s">
        <v>530</v>
      </c>
      <c r="B395" s="26">
        <v>46117.0</v>
      </c>
      <c r="C395" s="25" t="s">
        <v>446</v>
      </c>
      <c r="D395" s="27" t="str">
        <f>IFERROR(VLOOKUP(C395,customer_lookup!$A:$E,2,FALSE),"")</f>
        <v>CO Account 0028</v>
      </c>
      <c r="E395" s="27" t="str">
        <f>IFERROR(VLOOKUP(C395,customer_lookup!$A:$E,3,FALSE),"")</f>
        <v>CO</v>
      </c>
      <c r="F395" s="28" t="str">
        <f>IFERROR(VLOOKUP(C395,customer_lookup!$A:$E,5,FALSE),"")</f>
        <v>Drew</v>
      </c>
      <c r="G395" s="25" t="s">
        <v>63</v>
      </c>
      <c r="H395" s="25" t="s">
        <v>162</v>
      </c>
      <c r="I395" s="27" t="str">
        <f>IFERROR(VLOOKUP(H395,product_lookup!$A:$D,2,FALSE),"")</f>
        <v>Marionberry THC Gummies</v>
      </c>
      <c r="J395" s="29">
        <v>120.0</v>
      </c>
      <c r="K395" s="30">
        <v>9.24</v>
      </c>
      <c r="L395" s="31">
        <f t="shared" si="1"/>
        <v>1108.8</v>
      </c>
      <c r="M395" s="25" t="s">
        <v>65</v>
      </c>
      <c r="N395" s="26">
        <v>46120.0</v>
      </c>
      <c r="O395" s="27">
        <f>SUMIF(inventory_snapshot!$B:$B,H395,inventory_snapshot!$E:$E)</f>
        <v>1599</v>
      </c>
      <c r="P395" s="32" t="str">
        <f t="shared" si="2"/>
        <v>OK</v>
      </c>
      <c r="Q395" s="32" t="str">
        <f t="shared" si="3"/>
        <v>OK</v>
      </c>
      <c r="R395" s="32" t="str">
        <f t="shared" si="4"/>
        <v>OK</v>
      </c>
      <c r="S395" s="32" t="str">
        <f t="shared" si="5"/>
        <v>Large</v>
      </c>
    </row>
    <row r="396" ht="15.75" customHeight="1">
      <c r="A396" s="17" t="s">
        <v>531</v>
      </c>
      <c r="B396" s="18">
        <v>46038.0</v>
      </c>
      <c r="C396" s="17" t="s">
        <v>469</v>
      </c>
      <c r="D396" s="19" t="str">
        <f>IFERROR(VLOOKUP(C396,customer_lookup!$A:$E,2,FALSE),"")</f>
        <v>NM Account 0058</v>
      </c>
      <c r="E396" s="19" t="str">
        <f>IFERROR(VLOOKUP(C396,customer_lookup!$A:$E,3,FALSE),"")</f>
        <v>NM</v>
      </c>
      <c r="F396" s="20" t="str">
        <f>IFERROR(VLOOKUP(C396,customer_lookup!$A:$E,5,FALSE),"")</f>
        <v>Drew</v>
      </c>
      <c r="G396" s="17" t="s">
        <v>63</v>
      </c>
      <c r="H396" s="17" t="s">
        <v>92</v>
      </c>
      <c r="I396" s="19" t="str">
        <f>IFERROR(VLOOKUP(H396,product_lookup!$A:$D,2,FALSE),"")</f>
        <v>Raspberry THC Gummies</v>
      </c>
      <c r="J396" s="21">
        <v>6.0</v>
      </c>
      <c r="K396" s="22">
        <v>9.72</v>
      </c>
      <c r="L396" s="23">
        <f t="shared" si="1"/>
        <v>58.32</v>
      </c>
      <c r="M396" s="17" t="s">
        <v>97</v>
      </c>
      <c r="N396" s="18">
        <v>46047.0</v>
      </c>
      <c r="O396" s="19">
        <f>SUMIF(inventory_snapshot!$B:$B,H396,inventory_snapshot!$E:$E)</f>
        <v>1417</v>
      </c>
      <c r="P396" s="24" t="str">
        <f t="shared" si="2"/>
        <v>OK</v>
      </c>
      <c r="Q396" s="24" t="str">
        <f t="shared" si="3"/>
        <v>OK</v>
      </c>
      <c r="R396" s="24" t="str">
        <f t="shared" si="4"/>
        <v>OK</v>
      </c>
      <c r="S396" s="24" t="str">
        <f t="shared" si="5"/>
        <v>Small</v>
      </c>
    </row>
    <row r="397" ht="15.75" customHeight="1">
      <c r="A397" s="25" t="s">
        <v>532</v>
      </c>
      <c r="B397" s="26">
        <v>46040.0</v>
      </c>
      <c r="C397" s="25" t="s">
        <v>448</v>
      </c>
      <c r="D397" s="27" t="str">
        <f>IFERROR(VLOOKUP(C397,customer_lookup!$A:$E,2,FALSE),"")</f>
        <v>NY Account 0107</v>
      </c>
      <c r="E397" s="27" t="str">
        <f>IFERROR(VLOOKUP(C397,customer_lookup!$A:$E,3,FALSE),"")</f>
        <v>NY</v>
      </c>
      <c r="F397" s="28" t="str">
        <f>IFERROR(VLOOKUP(C397,customer_lookup!$A:$E,5,FALSE),"")</f>
        <v>Drew</v>
      </c>
      <c r="G397" s="25" t="s">
        <v>63</v>
      </c>
      <c r="H397" s="25" t="s">
        <v>162</v>
      </c>
      <c r="I397" s="27" t="str">
        <f>IFERROR(VLOOKUP(H397,product_lookup!$A:$D,2,FALSE),"")</f>
        <v>Marionberry THC Gummies</v>
      </c>
      <c r="J397" s="29">
        <v>96.0</v>
      </c>
      <c r="K397" s="30">
        <v>10.36</v>
      </c>
      <c r="L397" s="31">
        <f t="shared" si="1"/>
        <v>994.56</v>
      </c>
      <c r="M397" s="25" t="s">
        <v>65</v>
      </c>
      <c r="N397" s="26">
        <v>46050.0</v>
      </c>
      <c r="O397" s="27">
        <f>SUMIF(inventory_snapshot!$B:$B,H397,inventory_snapshot!$E:$E)</f>
        <v>1599</v>
      </c>
      <c r="P397" s="32" t="str">
        <f t="shared" si="2"/>
        <v>OK</v>
      </c>
      <c r="Q397" s="32" t="str">
        <f t="shared" si="3"/>
        <v>OK</v>
      </c>
      <c r="R397" s="32" t="str">
        <f t="shared" si="4"/>
        <v>OK</v>
      </c>
      <c r="S397" s="32" t="str">
        <f t="shared" si="5"/>
        <v>Medium</v>
      </c>
    </row>
    <row r="398" ht="15.75" customHeight="1">
      <c r="A398" s="17" t="s">
        <v>533</v>
      </c>
      <c r="B398" s="18">
        <v>46038.0</v>
      </c>
      <c r="C398" s="17" t="s">
        <v>457</v>
      </c>
      <c r="D398" s="19" t="str">
        <f>IFERROR(VLOOKUP(C398,customer_lookup!$A:$E,2,FALSE),"")</f>
        <v>NM Account 0010</v>
      </c>
      <c r="E398" s="19" t="str">
        <f>IFERROR(VLOOKUP(C398,customer_lookup!$A:$E,3,FALSE),"")</f>
        <v>NM</v>
      </c>
      <c r="F398" s="20" t="str">
        <f>IFERROR(VLOOKUP(C398,customer_lookup!$A:$E,5,FALSE),"")</f>
        <v>Drew</v>
      </c>
      <c r="G398" s="17" t="s">
        <v>63</v>
      </c>
      <c r="H398" s="17" t="s">
        <v>115</v>
      </c>
      <c r="I398" s="19" t="str">
        <f>IFERROR(VLOOKUP(H398,product_lookup!$A:$D,2,FALSE),"")</f>
        <v>Pear 1:1 Gummies</v>
      </c>
      <c r="J398" s="21">
        <v>72.0</v>
      </c>
      <c r="K398" s="22">
        <v>10.37</v>
      </c>
      <c r="L398" s="23">
        <f t="shared" si="1"/>
        <v>746.64</v>
      </c>
      <c r="M398" s="17" t="s">
        <v>65</v>
      </c>
      <c r="N398" s="18">
        <v>46040.0</v>
      </c>
      <c r="O398" s="19">
        <f>SUMIF(inventory_snapshot!$B:$B,H398,inventory_snapshot!$E:$E)</f>
        <v>981</v>
      </c>
      <c r="P398" s="24" t="str">
        <f t="shared" si="2"/>
        <v>OK</v>
      </c>
      <c r="Q398" s="24" t="str">
        <f t="shared" si="3"/>
        <v>OK</v>
      </c>
      <c r="R398" s="24" t="str">
        <f t="shared" si="4"/>
        <v>OK</v>
      </c>
      <c r="S398" s="24" t="str">
        <f t="shared" si="5"/>
        <v>Medium</v>
      </c>
    </row>
    <row r="399" ht="15.75" customHeight="1">
      <c r="A399" s="25" t="s">
        <v>534</v>
      </c>
      <c r="B399" s="26">
        <v>46131.0</v>
      </c>
      <c r="C399" s="25" t="s">
        <v>448</v>
      </c>
      <c r="D399" s="27" t="str">
        <f>IFERROR(VLOOKUP(C399,customer_lookup!$A:$E,2,FALSE),"")</f>
        <v>NY Account 0107</v>
      </c>
      <c r="E399" s="27" t="str">
        <f>IFERROR(VLOOKUP(C399,customer_lookup!$A:$E,3,FALSE),"")</f>
        <v>NY</v>
      </c>
      <c r="F399" s="28" t="str">
        <f>IFERROR(VLOOKUP(C399,customer_lookup!$A:$E,5,FALSE),"")</f>
        <v>Drew</v>
      </c>
      <c r="G399" s="25" t="s">
        <v>63</v>
      </c>
      <c r="H399" s="25" t="s">
        <v>81</v>
      </c>
      <c r="I399" s="27" t="str">
        <f>IFERROR(VLOOKUP(H399,product_lookup!$A:$D,2,FALSE),"")</f>
        <v>Lemon Sparkling Beverage</v>
      </c>
      <c r="J399" s="29">
        <v>12.0</v>
      </c>
      <c r="K399" s="30">
        <v>6.95</v>
      </c>
      <c r="L399" s="31">
        <f t="shared" si="1"/>
        <v>83.4</v>
      </c>
      <c r="M399" s="25" t="s">
        <v>65</v>
      </c>
      <c r="N399" s="26">
        <v>46132.0</v>
      </c>
      <c r="O399" s="27">
        <f>SUMIF(inventory_snapshot!$B:$B,H399,inventory_snapshot!$E:$E)</f>
        <v>1360</v>
      </c>
      <c r="P399" s="32" t="str">
        <f t="shared" si="2"/>
        <v>OK</v>
      </c>
      <c r="Q399" s="32" t="str">
        <f t="shared" si="3"/>
        <v>OK</v>
      </c>
      <c r="R399" s="32" t="str">
        <f t="shared" si="4"/>
        <v>OK</v>
      </c>
      <c r="S399" s="32" t="str">
        <f t="shared" si="5"/>
        <v>Small</v>
      </c>
    </row>
    <row r="400" ht="15.75" customHeight="1">
      <c r="A400" s="17" t="s">
        <v>535</v>
      </c>
      <c r="B400" s="18">
        <v>46141.0</v>
      </c>
      <c r="C400" s="17" t="s">
        <v>446</v>
      </c>
      <c r="D400" s="19" t="str">
        <f>IFERROR(VLOOKUP(C400,customer_lookup!$A:$E,2,FALSE),"")</f>
        <v>CO Account 0028</v>
      </c>
      <c r="E400" s="19" t="str">
        <f>IFERROR(VLOOKUP(C400,customer_lookup!$A:$E,3,FALSE),"")</f>
        <v>CO</v>
      </c>
      <c r="F400" s="20" t="str">
        <f>IFERROR(VLOOKUP(C400,customer_lookup!$A:$E,5,FALSE),"")</f>
        <v>Drew</v>
      </c>
      <c r="G400" s="17" t="s">
        <v>89</v>
      </c>
      <c r="H400" s="17" t="s">
        <v>102</v>
      </c>
      <c r="I400" s="19" t="str">
        <f>IFERROR(VLOOKUP(H400,product_lookup!$A:$D,2,FALSE),"")</f>
        <v>Pomegranate 1:1 Gummies</v>
      </c>
      <c r="J400" s="21">
        <v>120.0</v>
      </c>
      <c r="K400" s="22">
        <v>11.03</v>
      </c>
      <c r="L400" s="23">
        <f t="shared" si="1"/>
        <v>1323.6</v>
      </c>
      <c r="M400" s="17" t="s">
        <v>93</v>
      </c>
      <c r="N400" s="18">
        <v>46151.0</v>
      </c>
      <c r="O400" s="19">
        <f>SUMIF(inventory_snapshot!$B:$B,H400,inventory_snapshot!$E:$E)</f>
        <v>1493</v>
      </c>
      <c r="P400" s="24" t="str">
        <f t="shared" si="2"/>
        <v>OK</v>
      </c>
      <c r="Q400" s="24" t="str">
        <f t="shared" si="3"/>
        <v>OK</v>
      </c>
      <c r="R400" s="24" t="str">
        <f t="shared" si="4"/>
        <v>OK</v>
      </c>
      <c r="S400" s="24" t="str">
        <f t="shared" si="5"/>
        <v>Large</v>
      </c>
    </row>
    <row r="401" ht="15.75" customHeight="1">
      <c r="A401" s="25" t="s">
        <v>536</v>
      </c>
      <c r="B401" s="26">
        <v>46057.0</v>
      </c>
      <c r="C401" s="25" t="s">
        <v>452</v>
      </c>
      <c r="D401" s="27" t="str">
        <f>IFERROR(VLOOKUP(C401,customer_lookup!$A:$E,2,FALSE),"")</f>
        <v>AZ Account 0029</v>
      </c>
      <c r="E401" s="27" t="str">
        <f>IFERROR(VLOOKUP(C401,customer_lookup!$A:$E,3,FALSE),"")</f>
        <v>AZ</v>
      </c>
      <c r="F401" s="28" t="str">
        <f>IFERROR(VLOOKUP(C401,customer_lookup!$A:$E,5,FALSE),"")</f>
        <v>Drew</v>
      </c>
      <c r="G401" s="25" t="s">
        <v>63</v>
      </c>
      <c r="H401" s="25" t="s">
        <v>92</v>
      </c>
      <c r="I401" s="27" t="str">
        <f>IFERROR(VLOOKUP(H401,product_lookup!$A:$D,2,FALSE),"")</f>
        <v>Raspberry THC Gummies</v>
      </c>
      <c r="J401" s="29">
        <v>120.0</v>
      </c>
      <c r="K401" s="30">
        <v>11.15</v>
      </c>
      <c r="L401" s="31">
        <f t="shared" si="1"/>
        <v>1338</v>
      </c>
      <c r="M401" s="25" t="s">
        <v>65</v>
      </c>
      <c r="N401" s="26">
        <v>46061.0</v>
      </c>
      <c r="O401" s="27">
        <f>SUMIF(inventory_snapshot!$B:$B,H401,inventory_snapshot!$E:$E)</f>
        <v>1417</v>
      </c>
      <c r="P401" s="32" t="str">
        <f t="shared" si="2"/>
        <v>OK</v>
      </c>
      <c r="Q401" s="32" t="str">
        <f t="shared" si="3"/>
        <v>OK</v>
      </c>
      <c r="R401" s="32" t="str">
        <f t="shared" si="4"/>
        <v>OK</v>
      </c>
      <c r="S401" s="32" t="str">
        <f t="shared" si="5"/>
        <v>Large</v>
      </c>
    </row>
    <row r="402" ht="15.75" customHeight="1">
      <c r="A402" s="17" t="s">
        <v>537</v>
      </c>
      <c r="B402" s="18">
        <v>46054.0</v>
      </c>
      <c r="C402" s="17" t="s">
        <v>466</v>
      </c>
      <c r="D402" s="19" t="str">
        <f>IFERROR(VLOOKUP(C402,customer_lookup!$A:$E,2,FALSE),"")</f>
        <v>NV Account 0006</v>
      </c>
      <c r="E402" s="19" t="str">
        <f>IFERROR(VLOOKUP(C402,customer_lookup!$A:$E,3,FALSE),"")</f>
        <v>NV</v>
      </c>
      <c r="F402" s="20" t="str">
        <f>IFERROR(VLOOKUP(C402,customer_lookup!$A:$E,5,FALSE),"")</f>
        <v>Drew</v>
      </c>
      <c r="G402" s="17" t="s">
        <v>63</v>
      </c>
      <c r="H402" s="17" t="s">
        <v>85</v>
      </c>
      <c r="I402" s="19" t="str">
        <f>IFERROR(VLOOKUP(H402,product_lookup!$A:$D,2,FALSE),"")</f>
        <v>Huckleberry THC Gummies</v>
      </c>
      <c r="J402" s="21">
        <v>30.0</v>
      </c>
      <c r="K402" s="22">
        <v>9.52</v>
      </c>
      <c r="L402" s="23">
        <f t="shared" si="1"/>
        <v>285.6</v>
      </c>
      <c r="M402" s="17" t="s">
        <v>65</v>
      </c>
      <c r="N402" s="18">
        <v>46055.0</v>
      </c>
      <c r="O402" s="19">
        <f>SUMIF(inventory_snapshot!$B:$B,H402,inventory_snapshot!$E:$E)</f>
        <v>1841</v>
      </c>
      <c r="P402" s="24" t="str">
        <f t="shared" si="2"/>
        <v>OK</v>
      </c>
      <c r="Q402" s="24" t="str">
        <f t="shared" si="3"/>
        <v>OK</v>
      </c>
      <c r="R402" s="24" t="str">
        <f t="shared" si="4"/>
        <v>OK</v>
      </c>
      <c r="S402" s="24" t="str">
        <f t="shared" si="5"/>
        <v>Small</v>
      </c>
    </row>
    <row r="403" ht="15.75" customHeight="1">
      <c r="A403" s="25" t="s">
        <v>538</v>
      </c>
      <c r="B403" s="26">
        <v>46133.0</v>
      </c>
      <c r="C403" s="25" t="s">
        <v>457</v>
      </c>
      <c r="D403" s="27" t="str">
        <f>IFERROR(VLOOKUP(C403,customer_lookup!$A:$E,2,FALSE),"")</f>
        <v>NM Account 0010</v>
      </c>
      <c r="E403" s="27" t="str">
        <f>IFERROR(VLOOKUP(C403,customer_lookup!$A:$E,3,FALSE),"")</f>
        <v>NM</v>
      </c>
      <c r="F403" s="28" t="str">
        <f>IFERROR(VLOOKUP(C403,customer_lookup!$A:$E,5,FALSE),"")</f>
        <v>Drew</v>
      </c>
      <c r="G403" s="25" t="s">
        <v>63</v>
      </c>
      <c r="H403" s="25" t="s">
        <v>156</v>
      </c>
      <c r="I403" s="27" t="str">
        <f>IFERROR(VLOOKUP(H403,product_lookup!$A:$D,2,FALSE),"")</f>
        <v>Blood Orange 1:1 Gummies</v>
      </c>
      <c r="J403" s="29">
        <v>18.0</v>
      </c>
      <c r="K403" s="30">
        <v>10.56</v>
      </c>
      <c r="L403" s="31">
        <f t="shared" si="1"/>
        <v>190.08</v>
      </c>
      <c r="M403" s="25" t="s">
        <v>97</v>
      </c>
      <c r="N403" s="26">
        <v>46141.0</v>
      </c>
      <c r="O403" s="27">
        <f>SUMIF(inventory_snapshot!$B:$B,H403,inventory_snapshot!$E:$E)</f>
        <v>1589</v>
      </c>
      <c r="P403" s="32" t="str">
        <f t="shared" si="2"/>
        <v>OK</v>
      </c>
      <c r="Q403" s="32" t="str">
        <f t="shared" si="3"/>
        <v>OK</v>
      </c>
      <c r="R403" s="32" t="str">
        <f t="shared" si="4"/>
        <v>OK</v>
      </c>
      <c r="S403" s="32" t="str">
        <f t="shared" si="5"/>
        <v>Small</v>
      </c>
    </row>
    <row r="404" ht="15.75" customHeight="1">
      <c r="A404" s="17" t="s">
        <v>539</v>
      </c>
      <c r="B404" s="18">
        <v>46096.0</v>
      </c>
      <c r="C404" s="17" t="s">
        <v>540</v>
      </c>
      <c r="D404" s="19" t="str">
        <f>IFERROR(VLOOKUP(C404,customer_lookup!$A:$E,2,FALSE),"")</f>
        <v>CO Account 0004</v>
      </c>
      <c r="E404" s="19" t="str">
        <f>IFERROR(VLOOKUP(C404,customer_lookup!$A:$E,3,FALSE),"")</f>
        <v>CO</v>
      </c>
      <c r="F404" s="20" t="str">
        <f>IFERROR(VLOOKUP(C404,customer_lookup!$A:$E,5,FALSE),"")</f>
        <v>Jordan</v>
      </c>
      <c r="G404" s="17" t="s">
        <v>89</v>
      </c>
      <c r="H404" s="17" t="s">
        <v>102</v>
      </c>
      <c r="I404" s="19" t="str">
        <f>IFERROR(VLOOKUP(H404,product_lookup!$A:$D,2,FALSE),"")</f>
        <v>Pomegranate 1:1 Gummies</v>
      </c>
      <c r="J404" s="21">
        <v>120.0</v>
      </c>
      <c r="K404" s="22">
        <v>11.9</v>
      </c>
      <c r="L404" s="23">
        <f t="shared" si="1"/>
        <v>1428</v>
      </c>
      <c r="M404" s="17" t="s">
        <v>75</v>
      </c>
      <c r="N404" s="18">
        <v>46100.0</v>
      </c>
      <c r="O404" s="19">
        <f>SUMIF(inventory_snapshot!$B:$B,H404,inventory_snapshot!$E:$E)</f>
        <v>1493</v>
      </c>
      <c r="P404" s="24" t="str">
        <f t="shared" si="2"/>
        <v>OK</v>
      </c>
      <c r="Q404" s="24" t="str">
        <f t="shared" si="3"/>
        <v>OK</v>
      </c>
      <c r="R404" s="24" t="str">
        <f t="shared" si="4"/>
        <v>OK</v>
      </c>
      <c r="S404" s="24" t="str">
        <f t="shared" si="5"/>
        <v>Large</v>
      </c>
    </row>
    <row r="405" ht="15.75" customHeight="1">
      <c r="A405" s="25" t="s">
        <v>541</v>
      </c>
      <c r="B405" s="26">
        <v>46053.0</v>
      </c>
      <c r="C405" s="25" t="s">
        <v>542</v>
      </c>
      <c r="D405" s="27" t="str">
        <f>IFERROR(VLOOKUP(C405,customer_lookup!$A:$E,2,FALSE),"")</f>
        <v>OR Account 0025</v>
      </c>
      <c r="E405" s="27" t="str">
        <f>IFERROR(VLOOKUP(C405,customer_lookup!$A:$E,3,FALSE),"")</f>
        <v>OR</v>
      </c>
      <c r="F405" s="28" t="str">
        <f>IFERROR(VLOOKUP(C405,customer_lookup!$A:$E,5,FALSE),"")</f>
        <v>Jordan</v>
      </c>
      <c r="G405" s="25" t="s">
        <v>67</v>
      </c>
      <c r="H405" s="25" t="s">
        <v>110</v>
      </c>
      <c r="I405" s="27" t="str">
        <f>IFERROR(VLOOKUP(H405,product_lookup!$A:$D,2,FALSE),"")</f>
        <v>Elderberry 2:1 Gummies</v>
      </c>
      <c r="J405" s="29">
        <v>48.0</v>
      </c>
      <c r="K405" s="30">
        <v>10.97</v>
      </c>
      <c r="L405" s="31">
        <f t="shared" si="1"/>
        <v>526.56</v>
      </c>
      <c r="M405" s="25" t="s">
        <v>65</v>
      </c>
      <c r="N405" s="26">
        <v>46061.0</v>
      </c>
      <c r="O405" s="27">
        <f>SUMIF(inventory_snapshot!$B:$B,H405,inventory_snapshot!$E:$E)</f>
        <v>1633</v>
      </c>
      <c r="P405" s="32" t="str">
        <f t="shared" si="2"/>
        <v>OK</v>
      </c>
      <c r="Q405" s="32" t="str">
        <f t="shared" si="3"/>
        <v>OK</v>
      </c>
      <c r="R405" s="32" t="str">
        <f t="shared" si="4"/>
        <v>OK</v>
      </c>
      <c r="S405" s="32" t="str">
        <f t="shared" si="5"/>
        <v>Medium</v>
      </c>
    </row>
    <row r="406" ht="15.75" customHeight="1">
      <c r="A406" s="17" t="s">
        <v>543</v>
      </c>
      <c r="B406" s="18">
        <v>46068.0</v>
      </c>
      <c r="C406" s="17" t="s">
        <v>544</v>
      </c>
      <c r="D406" s="19" t="str">
        <f>IFERROR(VLOOKUP(C406,customer_lookup!$A:$E,2,FALSE),"")</f>
        <v>NY Account 0071</v>
      </c>
      <c r="E406" s="19" t="str">
        <f>IFERROR(VLOOKUP(C406,customer_lookup!$A:$E,3,FALSE),"")</f>
        <v>NY</v>
      </c>
      <c r="F406" s="20" t="str">
        <f>IFERROR(VLOOKUP(C406,customer_lookup!$A:$E,5,FALSE),"")</f>
        <v>Jordan</v>
      </c>
      <c r="G406" s="17" t="s">
        <v>63</v>
      </c>
      <c r="H406" s="17" t="s">
        <v>92</v>
      </c>
      <c r="I406" s="19" t="str">
        <f>IFERROR(VLOOKUP(H406,product_lookup!$A:$D,2,FALSE),"")</f>
        <v>Raspberry THC Gummies</v>
      </c>
      <c r="J406" s="21">
        <v>60.0</v>
      </c>
      <c r="K406" s="22">
        <v>10.02</v>
      </c>
      <c r="L406" s="23">
        <f t="shared" si="1"/>
        <v>601.2</v>
      </c>
      <c r="M406" s="17" t="s">
        <v>97</v>
      </c>
      <c r="N406" s="18">
        <v>46072.0</v>
      </c>
      <c r="O406" s="19">
        <f>SUMIF(inventory_snapshot!$B:$B,H406,inventory_snapshot!$E:$E)</f>
        <v>1417</v>
      </c>
      <c r="P406" s="24" t="str">
        <f t="shared" si="2"/>
        <v>OK</v>
      </c>
      <c r="Q406" s="24" t="str">
        <f t="shared" si="3"/>
        <v>OK</v>
      </c>
      <c r="R406" s="24" t="str">
        <f t="shared" si="4"/>
        <v>OK</v>
      </c>
      <c r="S406" s="24" t="str">
        <f t="shared" si="5"/>
        <v>Medium</v>
      </c>
    </row>
    <row r="407" ht="15.75" customHeight="1">
      <c r="A407" s="25" t="s">
        <v>545</v>
      </c>
      <c r="B407" s="26">
        <v>46112.0</v>
      </c>
      <c r="C407" s="25" t="s">
        <v>544</v>
      </c>
      <c r="D407" s="27" t="str">
        <f>IFERROR(VLOOKUP(C407,customer_lookup!$A:$E,2,FALSE),"")</f>
        <v>NY Account 0071</v>
      </c>
      <c r="E407" s="27" t="str">
        <f>IFERROR(VLOOKUP(C407,customer_lookup!$A:$E,3,FALSE),"")</f>
        <v>NY</v>
      </c>
      <c r="F407" s="28" t="str">
        <f>IFERROR(VLOOKUP(C407,customer_lookup!$A:$E,5,FALSE),"")</f>
        <v>Jordan</v>
      </c>
      <c r="G407" s="25" t="s">
        <v>63</v>
      </c>
      <c r="H407" s="25" t="s">
        <v>102</v>
      </c>
      <c r="I407" s="27" t="str">
        <f>IFERROR(VLOOKUP(H407,product_lookup!$A:$D,2,FALSE),"")</f>
        <v>Pomegranate 1:1 Gummies</v>
      </c>
      <c r="J407" s="29">
        <v>18.0</v>
      </c>
      <c r="K407" s="30">
        <v>11.3</v>
      </c>
      <c r="L407" s="31">
        <f t="shared" si="1"/>
        <v>203.4</v>
      </c>
      <c r="M407" s="25" t="s">
        <v>65</v>
      </c>
      <c r="N407" s="26">
        <v>46113.0</v>
      </c>
      <c r="O407" s="27">
        <f>SUMIF(inventory_snapshot!$B:$B,H407,inventory_snapshot!$E:$E)</f>
        <v>1493</v>
      </c>
      <c r="P407" s="32" t="str">
        <f t="shared" si="2"/>
        <v>OK</v>
      </c>
      <c r="Q407" s="32" t="str">
        <f t="shared" si="3"/>
        <v>OK</v>
      </c>
      <c r="R407" s="32" t="str">
        <f t="shared" si="4"/>
        <v>OK</v>
      </c>
      <c r="S407" s="32" t="str">
        <f t="shared" si="5"/>
        <v>Small</v>
      </c>
    </row>
    <row r="408" ht="15.75" customHeight="1">
      <c r="A408" s="17" t="s">
        <v>546</v>
      </c>
      <c r="B408" s="18">
        <v>46082.0</v>
      </c>
      <c r="C408" s="17" t="s">
        <v>547</v>
      </c>
      <c r="D408" s="19" t="str">
        <f>IFERROR(VLOOKUP(C408,customer_lookup!$A:$E,2,FALSE),"")</f>
        <v>OR Account 0001</v>
      </c>
      <c r="E408" s="19" t="str">
        <f>IFERROR(VLOOKUP(C408,customer_lookup!$A:$E,3,FALSE),"")</f>
        <v>OR</v>
      </c>
      <c r="F408" s="20" t="str">
        <f>IFERROR(VLOOKUP(C408,customer_lookup!$A:$E,5,FALSE),"")</f>
        <v>Jordan</v>
      </c>
      <c r="G408" s="17" t="s">
        <v>63</v>
      </c>
      <c r="H408" s="17" t="s">
        <v>81</v>
      </c>
      <c r="I408" s="19" t="str">
        <f>IFERROR(VLOOKUP(H408,product_lookup!$A:$D,2,FALSE),"")</f>
        <v>Lemon Sparkling Beverage</v>
      </c>
      <c r="J408" s="21">
        <v>48.0</v>
      </c>
      <c r="K408" s="22">
        <v>6.6</v>
      </c>
      <c r="L408" s="23">
        <f t="shared" si="1"/>
        <v>316.8</v>
      </c>
      <c r="M408" s="17" t="s">
        <v>65</v>
      </c>
      <c r="N408" s="18">
        <v>46090.0</v>
      </c>
      <c r="O408" s="19">
        <f>SUMIF(inventory_snapshot!$B:$B,H408,inventory_snapshot!$E:$E)</f>
        <v>1360</v>
      </c>
      <c r="P408" s="24" t="str">
        <f t="shared" si="2"/>
        <v>OK</v>
      </c>
      <c r="Q408" s="24" t="str">
        <f t="shared" si="3"/>
        <v>OK</v>
      </c>
      <c r="R408" s="24" t="str">
        <f t="shared" si="4"/>
        <v>OK</v>
      </c>
      <c r="S408" s="24" t="str">
        <f t="shared" si="5"/>
        <v>Small</v>
      </c>
    </row>
    <row r="409" ht="15.75" customHeight="1">
      <c r="A409" s="25" t="s">
        <v>548</v>
      </c>
      <c r="B409" s="26">
        <v>46096.0</v>
      </c>
      <c r="C409" s="25" t="s">
        <v>542</v>
      </c>
      <c r="D409" s="27" t="str">
        <f>IFERROR(VLOOKUP(C409,customer_lookup!$A:$E,2,FALSE),"")</f>
        <v>OR Account 0025</v>
      </c>
      <c r="E409" s="27" t="str">
        <f>IFERROR(VLOOKUP(C409,customer_lookup!$A:$E,3,FALSE),"")</f>
        <v>OR</v>
      </c>
      <c r="F409" s="28" t="str">
        <f>IFERROR(VLOOKUP(C409,customer_lookup!$A:$E,5,FALSE),"")</f>
        <v>Jordan</v>
      </c>
      <c r="G409" s="25" t="s">
        <v>63</v>
      </c>
      <c r="H409" s="25" t="s">
        <v>123</v>
      </c>
      <c r="I409" s="27" t="str">
        <f>IFERROR(VLOOKUP(H409,product_lookup!$A:$D,2,FALSE),"")</f>
        <v>Peach 2:1 Gummies</v>
      </c>
      <c r="J409" s="29">
        <v>48.0</v>
      </c>
      <c r="K409" s="30">
        <v>10.18</v>
      </c>
      <c r="L409" s="31">
        <f t="shared" si="1"/>
        <v>488.64</v>
      </c>
      <c r="M409" s="25" t="s">
        <v>65</v>
      </c>
      <c r="N409" s="26">
        <v>46104.0</v>
      </c>
      <c r="O409" s="27">
        <f>SUMIF(inventory_snapshot!$B:$B,H409,inventory_snapshot!$E:$E)</f>
        <v>1732</v>
      </c>
      <c r="P409" s="32" t="str">
        <f t="shared" si="2"/>
        <v>OK</v>
      </c>
      <c r="Q409" s="32" t="str">
        <f t="shared" si="3"/>
        <v>OK</v>
      </c>
      <c r="R409" s="32" t="str">
        <f t="shared" si="4"/>
        <v>OK</v>
      </c>
      <c r="S409" s="32" t="str">
        <f t="shared" si="5"/>
        <v>Small</v>
      </c>
    </row>
    <row r="410" ht="15.75" customHeight="1">
      <c r="A410" s="17" t="s">
        <v>549</v>
      </c>
      <c r="B410" s="18">
        <v>46026.0</v>
      </c>
      <c r="C410" s="17" t="s">
        <v>550</v>
      </c>
      <c r="D410" s="19" t="str">
        <f>IFERROR(VLOOKUP(C410,customer_lookup!$A:$E,2,FALSE),"")</f>
        <v>IL Account 0079</v>
      </c>
      <c r="E410" s="19" t="str">
        <f>IFERROR(VLOOKUP(C410,customer_lookup!$A:$E,3,FALSE),"")</f>
        <v>IL</v>
      </c>
      <c r="F410" s="20" t="str">
        <f>IFERROR(VLOOKUP(C410,customer_lookup!$A:$E,5,FALSE),"")</f>
        <v>Jordan</v>
      </c>
      <c r="G410" s="17" t="s">
        <v>63</v>
      </c>
      <c r="H410" s="17" t="s">
        <v>81</v>
      </c>
      <c r="I410" s="19" t="str">
        <f>IFERROR(VLOOKUP(H410,product_lookup!$A:$D,2,FALSE),"")</f>
        <v>Lemon Sparkling Beverage</v>
      </c>
      <c r="J410" s="21">
        <v>96.0</v>
      </c>
      <c r="K410" s="22">
        <v>7.87</v>
      </c>
      <c r="L410" s="23">
        <f t="shared" si="1"/>
        <v>755.52</v>
      </c>
      <c r="M410" s="17" t="s">
        <v>65</v>
      </c>
      <c r="N410" s="18">
        <v>46029.0</v>
      </c>
      <c r="O410" s="19">
        <f>SUMIF(inventory_snapshot!$B:$B,H410,inventory_snapshot!$E:$E)</f>
        <v>1360</v>
      </c>
      <c r="P410" s="24" t="str">
        <f t="shared" si="2"/>
        <v>OK</v>
      </c>
      <c r="Q410" s="24" t="str">
        <f t="shared" si="3"/>
        <v>OK</v>
      </c>
      <c r="R410" s="24" t="str">
        <f t="shared" si="4"/>
        <v>OK</v>
      </c>
      <c r="S410" s="24" t="str">
        <f t="shared" si="5"/>
        <v>Medium</v>
      </c>
    </row>
    <row r="411" ht="15.75" customHeight="1">
      <c r="A411" s="25" t="s">
        <v>551</v>
      </c>
      <c r="B411" s="26">
        <v>46118.0</v>
      </c>
      <c r="C411" s="25" t="s">
        <v>540</v>
      </c>
      <c r="D411" s="27" t="str">
        <f>IFERROR(VLOOKUP(C411,customer_lookup!$A:$E,2,FALSE),"")</f>
        <v>CO Account 0004</v>
      </c>
      <c r="E411" s="27" t="str">
        <f>IFERROR(VLOOKUP(C411,customer_lookup!$A:$E,3,FALSE),"")</f>
        <v>CO</v>
      </c>
      <c r="F411" s="28" t="str">
        <f>IFERROR(VLOOKUP(C411,customer_lookup!$A:$E,5,FALSE),"")</f>
        <v>Jordan</v>
      </c>
      <c r="G411" s="25" t="s">
        <v>63</v>
      </c>
      <c r="H411" s="25" t="s">
        <v>110</v>
      </c>
      <c r="I411" s="27" t="str">
        <f>IFERROR(VLOOKUP(H411,product_lookup!$A:$D,2,FALSE),"")</f>
        <v>Elderberry 2:1 Gummies</v>
      </c>
      <c r="J411" s="29">
        <v>72.0</v>
      </c>
      <c r="K411" s="30">
        <v>10.37</v>
      </c>
      <c r="L411" s="31">
        <f t="shared" si="1"/>
        <v>746.64</v>
      </c>
      <c r="M411" s="25" t="s">
        <v>75</v>
      </c>
      <c r="N411" s="26">
        <v>46124.0</v>
      </c>
      <c r="O411" s="27">
        <f>SUMIF(inventory_snapshot!$B:$B,H411,inventory_snapshot!$E:$E)</f>
        <v>1633</v>
      </c>
      <c r="P411" s="32" t="str">
        <f t="shared" si="2"/>
        <v>OK</v>
      </c>
      <c r="Q411" s="32" t="str">
        <f t="shared" si="3"/>
        <v>OK</v>
      </c>
      <c r="R411" s="32" t="str">
        <f t="shared" si="4"/>
        <v>OK</v>
      </c>
      <c r="S411" s="32" t="str">
        <f t="shared" si="5"/>
        <v>Medium</v>
      </c>
    </row>
    <row r="412" ht="15.75" customHeight="1">
      <c r="A412" s="17" t="s">
        <v>552</v>
      </c>
      <c r="B412" s="18">
        <v>46087.0</v>
      </c>
      <c r="C412" s="17" t="s">
        <v>553</v>
      </c>
      <c r="D412" s="19" t="str">
        <f>IFERROR(VLOOKUP(C412,customer_lookup!$A:$E,2,FALSE),"")</f>
        <v>IL Account 0091</v>
      </c>
      <c r="E412" s="19" t="str">
        <f>IFERROR(VLOOKUP(C412,customer_lookup!$A:$E,3,FALSE),"")</f>
        <v>IL</v>
      </c>
      <c r="F412" s="20" t="str">
        <f>IFERROR(VLOOKUP(C412,customer_lookup!$A:$E,5,FALSE),"")</f>
        <v>Jordan</v>
      </c>
      <c r="G412" s="17" t="s">
        <v>63</v>
      </c>
      <c r="H412" s="17" t="s">
        <v>123</v>
      </c>
      <c r="I412" s="19" t="str">
        <f>IFERROR(VLOOKUP(H412,product_lookup!$A:$D,2,FALSE),"")</f>
        <v>Peach 2:1 Gummies</v>
      </c>
      <c r="J412" s="21">
        <v>72.0</v>
      </c>
      <c r="K412" s="22">
        <v>11.47</v>
      </c>
      <c r="L412" s="23">
        <f t="shared" si="1"/>
        <v>825.84</v>
      </c>
      <c r="M412" s="17" t="s">
        <v>65</v>
      </c>
      <c r="N412" s="18">
        <v>46088.0</v>
      </c>
      <c r="O412" s="19">
        <f>SUMIF(inventory_snapshot!$B:$B,H412,inventory_snapshot!$E:$E)</f>
        <v>1732</v>
      </c>
      <c r="P412" s="24" t="str">
        <f t="shared" si="2"/>
        <v>OK</v>
      </c>
      <c r="Q412" s="24" t="str">
        <f t="shared" si="3"/>
        <v>OK</v>
      </c>
      <c r="R412" s="24" t="str">
        <f t="shared" si="4"/>
        <v>OK</v>
      </c>
      <c r="S412" s="24" t="str">
        <f t="shared" si="5"/>
        <v>Medium</v>
      </c>
    </row>
    <row r="413" ht="15.75" customHeight="1">
      <c r="A413" s="25" t="s">
        <v>554</v>
      </c>
      <c r="B413" s="26">
        <v>46118.0</v>
      </c>
      <c r="C413" s="25" t="s">
        <v>555</v>
      </c>
      <c r="D413" s="27" t="str">
        <f>IFERROR(VLOOKUP(C413,customer_lookup!$A:$E,2,FALSE),"")</f>
        <v>CO Account 0112</v>
      </c>
      <c r="E413" s="27" t="str">
        <f>IFERROR(VLOOKUP(C413,customer_lookup!$A:$E,3,FALSE),"")</f>
        <v>CO</v>
      </c>
      <c r="F413" s="28" t="str">
        <f>IFERROR(VLOOKUP(C413,customer_lookup!$A:$E,5,FALSE),"")</f>
        <v>Jordan</v>
      </c>
      <c r="G413" s="25" t="s">
        <v>63</v>
      </c>
      <c r="H413" s="25" t="s">
        <v>102</v>
      </c>
      <c r="I413" s="27" t="str">
        <f>IFERROR(VLOOKUP(H413,product_lookup!$A:$D,2,FALSE),"")</f>
        <v>Pomegranate 1:1 Gummies</v>
      </c>
      <c r="J413" s="29">
        <v>36.0</v>
      </c>
      <c r="K413" s="30">
        <v>10.39</v>
      </c>
      <c r="L413" s="31">
        <f t="shared" si="1"/>
        <v>374.04</v>
      </c>
      <c r="M413" s="25" t="s">
        <v>65</v>
      </c>
      <c r="N413" s="26">
        <v>46120.0</v>
      </c>
      <c r="O413" s="27">
        <f>SUMIF(inventory_snapshot!$B:$B,H413,inventory_snapshot!$E:$E)</f>
        <v>1493</v>
      </c>
      <c r="P413" s="32" t="str">
        <f t="shared" si="2"/>
        <v>OK</v>
      </c>
      <c r="Q413" s="32" t="str">
        <f t="shared" si="3"/>
        <v>OK</v>
      </c>
      <c r="R413" s="32" t="str">
        <f t="shared" si="4"/>
        <v>OK</v>
      </c>
      <c r="S413" s="32" t="str">
        <f t="shared" si="5"/>
        <v>Small</v>
      </c>
    </row>
    <row r="414" ht="15.75" customHeight="1">
      <c r="A414" s="17" t="s">
        <v>556</v>
      </c>
      <c r="B414" s="18">
        <v>46101.0</v>
      </c>
      <c r="C414" s="17" t="s">
        <v>557</v>
      </c>
      <c r="D414" s="19" t="str">
        <f>IFERROR(VLOOKUP(C414,customer_lookup!$A:$E,2,FALSE),"")</f>
        <v>WA Account 0110</v>
      </c>
      <c r="E414" s="19" t="str">
        <f>IFERROR(VLOOKUP(C414,customer_lookup!$A:$E,3,FALSE),"")</f>
        <v>WA</v>
      </c>
      <c r="F414" s="20" t="str">
        <f>IFERROR(VLOOKUP(C414,customer_lookup!$A:$E,5,FALSE),"")</f>
        <v>Jordan</v>
      </c>
      <c r="G414" s="17" t="s">
        <v>63</v>
      </c>
      <c r="H414" s="17" t="s">
        <v>110</v>
      </c>
      <c r="I414" s="19" t="str">
        <f>IFERROR(VLOOKUP(H414,product_lookup!$A:$D,2,FALSE),"")</f>
        <v>Elderberry 2:1 Gummies</v>
      </c>
      <c r="J414" s="21">
        <v>96.0</v>
      </c>
      <c r="K414" s="22">
        <v>11.02</v>
      </c>
      <c r="L414" s="23">
        <f t="shared" si="1"/>
        <v>1057.92</v>
      </c>
      <c r="M414" s="17" t="s">
        <v>137</v>
      </c>
      <c r="N414" s="18">
        <v>46102.0</v>
      </c>
      <c r="O414" s="19">
        <f>SUMIF(inventory_snapshot!$B:$B,H414,inventory_snapshot!$E:$E)</f>
        <v>1633</v>
      </c>
      <c r="P414" s="24" t="str">
        <f t="shared" si="2"/>
        <v>OK</v>
      </c>
      <c r="Q414" s="24" t="str">
        <f t="shared" si="3"/>
        <v>OK</v>
      </c>
      <c r="R414" s="24" t="str">
        <f t="shared" si="4"/>
        <v>OK</v>
      </c>
      <c r="S414" s="24" t="str">
        <f t="shared" si="5"/>
        <v>Large</v>
      </c>
    </row>
    <row r="415" ht="15.75" customHeight="1">
      <c r="A415" s="25" t="s">
        <v>558</v>
      </c>
      <c r="B415" s="26">
        <v>46025.0</v>
      </c>
      <c r="C415" s="25" t="s">
        <v>559</v>
      </c>
      <c r="D415" s="27" t="str">
        <f>IFERROR(VLOOKUP(C415,customer_lookup!$A:$E,2,FALSE),"")</f>
        <v>NV Account 0066</v>
      </c>
      <c r="E415" s="27" t="str">
        <f>IFERROR(VLOOKUP(C415,customer_lookup!$A:$E,3,FALSE),"")</f>
        <v>NV</v>
      </c>
      <c r="F415" s="28" t="str">
        <f>IFERROR(VLOOKUP(C415,customer_lookup!$A:$E,5,FALSE),"")</f>
        <v>Jordan</v>
      </c>
      <c r="G415" s="25" t="s">
        <v>63</v>
      </c>
      <c r="H415" s="25" t="s">
        <v>68</v>
      </c>
      <c r="I415" s="27" t="str">
        <f>IFERROR(VLOOKUP(H415,product_lookup!$A:$D,2,FALSE),"")</f>
        <v>Sour Apple THC Gummies</v>
      </c>
      <c r="J415" s="29">
        <v>36.0</v>
      </c>
      <c r="K415" s="30">
        <v>10.1</v>
      </c>
      <c r="L415" s="31">
        <f t="shared" si="1"/>
        <v>363.6</v>
      </c>
      <c r="M415" s="25" t="s">
        <v>93</v>
      </c>
      <c r="N415" s="26">
        <v>46033.0</v>
      </c>
      <c r="O415" s="27">
        <f>SUMIF(inventory_snapshot!$B:$B,H415,inventory_snapshot!$E:$E)</f>
        <v>775</v>
      </c>
      <c r="P415" s="32" t="str">
        <f t="shared" si="2"/>
        <v>OK</v>
      </c>
      <c r="Q415" s="32" t="str">
        <f t="shared" si="3"/>
        <v>OK</v>
      </c>
      <c r="R415" s="32" t="str">
        <f t="shared" si="4"/>
        <v>OK</v>
      </c>
      <c r="S415" s="32" t="str">
        <f t="shared" si="5"/>
        <v>Small</v>
      </c>
    </row>
    <row r="416" ht="15.75" customHeight="1">
      <c r="A416" s="17" t="s">
        <v>560</v>
      </c>
      <c r="B416" s="18">
        <v>46053.0</v>
      </c>
      <c r="C416" s="17" t="s">
        <v>561</v>
      </c>
      <c r="D416" s="19" t="str">
        <f>IFERROR(VLOOKUP(C416,customer_lookup!$A:$E,2,FALSE),"")</f>
        <v>NV Account 0030</v>
      </c>
      <c r="E416" s="19" t="str">
        <f>IFERROR(VLOOKUP(C416,customer_lookup!$A:$E,3,FALSE),"")</f>
        <v>NV</v>
      </c>
      <c r="F416" s="20" t="str">
        <f>IFERROR(VLOOKUP(C416,customer_lookup!$A:$E,5,FALSE),"")</f>
        <v>Jordan</v>
      </c>
      <c r="G416" s="17" t="s">
        <v>89</v>
      </c>
      <c r="H416" s="17" t="s">
        <v>81</v>
      </c>
      <c r="I416" s="19" t="str">
        <f>IFERROR(VLOOKUP(H416,product_lookup!$A:$D,2,FALSE),"")</f>
        <v>Lemon Sparkling Beverage</v>
      </c>
      <c r="J416" s="21">
        <v>30.0</v>
      </c>
      <c r="K416" s="22">
        <v>7.93</v>
      </c>
      <c r="L416" s="23">
        <f t="shared" si="1"/>
        <v>237.9</v>
      </c>
      <c r="M416" s="17" t="s">
        <v>65</v>
      </c>
      <c r="N416" s="18">
        <v>46057.0</v>
      </c>
      <c r="O416" s="19">
        <f>SUMIF(inventory_snapshot!$B:$B,H416,inventory_snapshot!$E:$E)</f>
        <v>1360</v>
      </c>
      <c r="P416" s="24" t="str">
        <f t="shared" si="2"/>
        <v>OK</v>
      </c>
      <c r="Q416" s="24" t="str">
        <f t="shared" si="3"/>
        <v>OK</v>
      </c>
      <c r="R416" s="24" t="str">
        <f t="shared" si="4"/>
        <v>OK</v>
      </c>
      <c r="S416" s="24" t="str">
        <f t="shared" si="5"/>
        <v>Small</v>
      </c>
    </row>
    <row r="417" ht="15.75" customHeight="1">
      <c r="A417" s="25" t="s">
        <v>562</v>
      </c>
      <c r="B417" s="26">
        <v>46080.0</v>
      </c>
      <c r="C417" s="25" t="s">
        <v>553</v>
      </c>
      <c r="D417" s="27" t="str">
        <f>IFERROR(VLOOKUP(C417,customer_lookup!$A:$E,2,FALSE),"")</f>
        <v>IL Account 0091</v>
      </c>
      <c r="E417" s="27" t="str">
        <f>IFERROR(VLOOKUP(C417,customer_lookup!$A:$E,3,FALSE),"")</f>
        <v>IL</v>
      </c>
      <c r="F417" s="28" t="str">
        <f>IFERROR(VLOOKUP(C417,customer_lookup!$A:$E,5,FALSE),"")</f>
        <v>Jordan</v>
      </c>
      <c r="G417" s="25" t="s">
        <v>63</v>
      </c>
      <c r="H417" s="25" t="s">
        <v>90</v>
      </c>
      <c r="I417" s="27" t="str">
        <f>IFERROR(VLOOKUP(H417,product_lookup!$A:$D,2,FALSE),"")</f>
        <v>Blackberry Sparkling Beverage</v>
      </c>
      <c r="J417" s="29">
        <v>96.0</v>
      </c>
      <c r="K417" s="30">
        <v>6.76</v>
      </c>
      <c r="L417" s="31">
        <f t="shared" si="1"/>
        <v>648.96</v>
      </c>
      <c r="M417" s="25" t="s">
        <v>100</v>
      </c>
      <c r="N417" s="26">
        <v>46083.0</v>
      </c>
      <c r="O417" s="27">
        <f>SUMIF(inventory_snapshot!$B:$B,H417,inventory_snapshot!$E:$E)</f>
        <v>1292</v>
      </c>
      <c r="P417" s="32" t="str">
        <f t="shared" si="2"/>
        <v>OK</v>
      </c>
      <c r="Q417" s="32" t="str">
        <f t="shared" si="3"/>
        <v>OK</v>
      </c>
      <c r="R417" s="32" t="str">
        <f t="shared" si="4"/>
        <v>OK</v>
      </c>
      <c r="S417" s="32" t="str">
        <f t="shared" si="5"/>
        <v>Medium</v>
      </c>
    </row>
    <row r="418" ht="15.75" customHeight="1">
      <c r="A418" s="17" t="s">
        <v>563</v>
      </c>
      <c r="B418" s="18">
        <v>46101.0</v>
      </c>
      <c r="C418" s="17" t="s">
        <v>555</v>
      </c>
      <c r="D418" s="19" t="str">
        <f>IFERROR(VLOOKUP(C418,customer_lookup!$A:$E,2,FALSE),"")</f>
        <v>CO Account 0112</v>
      </c>
      <c r="E418" s="19" t="str">
        <f>IFERROR(VLOOKUP(C418,customer_lookup!$A:$E,3,FALSE),"")</f>
        <v>CO</v>
      </c>
      <c r="F418" s="20" t="str">
        <f>IFERROR(VLOOKUP(C418,customer_lookup!$A:$E,5,FALSE),"")</f>
        <v>Jordan</v>
      </c>
      <c r="G418" s="17" t="s">
        <v>89</v>
      </c>
      <c r="H418" s="17" t="s">
        <v>68</v>
      </c>
      <c r="I418" s="19" t="str">
        <f>IFERROR(VLOOKUP(H418,product_lookup!$A:$D,2,FALSE),"")</f>
        <v>Sour Apple THC Gummies</v>
      </c>
      <c r="J418" s="21">
        <v>48.0</v>
      </c>
      <c r="K418" s="22">
        <v>10.03</v>
      </c>
      <c r="L418" s="23">
        <f t="shared" si="1"/>
        <v>481.44</v>
      </c>
      <c r="M418" s="17" t="s">
        <v>93</v>
      </c>
      <c r="N418" s="18">
        <v>46103.0</v>
      </c>
      <c r="O418" s="19">
        <f>SUMIF(inventory_snapshot!$B:$B,H418,inventory_snapshot!$E:$E)</f>
        <v>775</v>
      </c>
      <c r="P418" s="24" t="str">
        <f t="shared" si="2"/>
        <v>OK</v>
      </c>
      <c r="Q418" s="24" t="str">
        <f t="shared" si="3"/>
        <v>OK</v>
      </c>
      <c r="R418" s="24" t="str">
        <f t="shared" si="4"/>
        <v>OK</v>
      </c>
      <c r="S418" s="24" t="str">
        <f t="shared" si="5"/>
        <v>Small</v>
      </c>
    </row>
    <row r="419" ht="15.75" customHeight="1">
      <c r="A419" s="25" t="s">
        <v>564</v>
      </c>
      <c r="B419" s="26">
        <v>46026.0</v>
      </c>
      <c r="C419" s="25" t="s">
        <v>559</v>
      </c>
      <c r="D419" s="27" t="str">
        <f>IFERROR(VLOOKUP(C419,customer_lookup!$A:$E,2,FALSE),"")</f>
        <v>NV Account 0066</v>
      </c>
      <c r="E419" s="27" t="str">
        <f>IFERROR(VLOOKUP(C419,customer_lookup!$A:$E,3,FALSE),"")</f>
        <v>NV</v>
      </c>
      <c r="F419" s="28" t="str">
        <f>IFERROR(VLOOKUP(C419,customer_lookup!$A:$E,5,FALSE),"")</f>
        <v>Jordan</v>
      </c>
      <c r="G419" s="25" t="s">
        <v>63</v>
      </c>
      <c r="H419" s="25" t="s">
        <v>154</v>
      </c>
      <c r="I419" s="27" t="str">
        <f>IFERROR(VLOOKUP(H419,product_lookup!$A:$D,2,FALSE),"")</f>
        <v>Kiwi 1:1 Gummies</v>
      </c>
      <c r="J419" s="29">
        <v>18.0</v>
      </c>
      <c r="K419" s="30">
        <v>11.5</v>
      </c>
      <c r="L419" s="31">
        <f t="shared" si="1"/>
        <v>207</v>
      </c>
      <c r="M419" s="25" t="s">
        <v>65</v>
      </c>
      <c r="N419" s="26">
        <v>46029.0</v>
      </c>
      <c r="O419" s="27">
        <f>SUMIF(inventory_snapshot!$B:$B,H419,inventory_snapshot!$E:$E)</f>
        <v>1136</v>
      </c>
      <c r="P419" s="32" t="str">
        <f t="shared" si="2"/>
        <v>OK</v>
      </c>
      <c r="Q419" s="32" t="str">
        <f t="shared" si="3"/>
        <v>OK</v>
      </c>
      <c r="R419" s="32" t="str">
        <f t="shared" si="4"/>
        <v>OK</v>
      </c>
      <c r="S419" s="32" t="str">
        <f t="shared" si="5"/>
        <v>Small</v>
      </c>
    </row>
    <row r="420" ht="15.75" customHeight="1">
      <c r="A420" s="17" t="s">
        <v>565</v>
      </c>
      <c r="B420" s="18">
        <v>46133.0</v>
      </c>
      <c r="C420" s="17" t="s">
        <v>566</v>
      </c>
      <c r="D420" s="19" t="str">
        <f>IFERROR(VLOOKUP(C420,customer_lookup!$A:$E,2,FALSE),"")</f>
        <v>IL Account 0019</v>
      </c>
      <c r="E420" s="19" t="str">
        <f>IFERROR(VLOOKUP(C420,customer_lookup!$A:$E,3,FALSE),"")</f>
        <v>IL</v>
      </c>
      <c r="F420" s="20" t="str">
        <f>IFERROR(VLOOKUP(C420,customer_lookup!$A:$E,5,FALSE),"")</f>
        <v>Jordan</v>
      </c>
      <c r="G420" s="17" t="s">
        <v>89</v>
      </c>
      <c r="H420" s="17" t="s">
        <v>92</v>
      </c>
      <c r="I420" s="19" t="str">
        <f>IFERROR(VLOOKUP(H420,product_lookup!$A:$D,2,FALSE),"")</f>
        <v>Raspberry THC Gummies</v>
      </c>
      <c r="J420" s="21">
        <v>36.0</v>
      </c>
      <c r="K420" s="22">
        <v>10.99</v>
      </c>
      <c r="L420" s="23">
        <f t="shared" si="1"/>
        <v>395.64</v>
      </c>
      <c r="M420" s="17" t="s">
        <v>65</v>
      </c>
      <c r="N420" s="18">
        <v>46136.0</v>
      </c>
      <c r="O420" s="19">
        <f>SUMIF(inventory_snapshot!$B:$B,H420,inventory_snapshot!$E:$E)</f>
        <v>1417</v>
      </c>
      <c r="P420" s="24" t="str">
        <f t="shared" si="2"/>
        <v>OK</v>
      </c>
      <c r="Q420" s="24" t="str">
        <f t="shared" si="3"/>
        <v>OK</v>
      </c>
      <c r="R420" s="24" t="str">
        <f t="shared" si="4"/>
        <v>OK</v>
      </c>
      <c r="S420" s="24" t="str">
        <f t="shared" si="5"/>
        <v>Small</v>
      </c>
    </row>
    <row r="421" ht="15.75" customHeight="1">
      <c r="A421" s="25" t="s">
        <v>567</v>
      </c>
      <c r="B421" s="26">
        <v>46054.0</v>
      </c>
      <c r="C421" s="25" t="s">
        <v>550</v>
      </c>
      <c r="D421" s="27" t="str">
        <f>IFERROR(VLOOKUP(C421,customer_lookup!$A:$E,2,FALSE),"")</f>
        <v>IL Account 0079</v>
      </c>
      <c r="E421" s="27" t="str">
        <f>IFERROR(VLOOKUP(C421,customer_lookup!$A:$E,3,FALSE),"")</f>
        <v>IL</v>
      </c>
      <c r="F421" s="28" t="str">
        <f>IFERROR(VLOOKUP(C421,customer_lookup!$A:$E,5,FALSE),"")</f>
        <v>Jordan</v>
      </c>
      <c r="G421" s="25" t="s">
        <v>67</v>
      </c>
      <c r="H421" s="25" t="s">
        <v>108</v>
      </c>
      <c r="I421" s="27" t="str">
        <f>IFERROR(VLOOKUP(H421,product_lookup!$A:$D,2,FALSE),"")</f>
        <v>Sour Tangerine THC Gummies</v>
      </c>
      <c r="J421" s="29">
        <v>18.0</v>
      </c>
      <c r="K421" s="30">
        <v>11.42</v>
      </c>
      <c r="L421" s="31">
        <f t="shared" si="1"/>
        <v>205.56</v>
      </c>
      <c r="M421" s="25" t="s">
        <v>93</v>
      </c>
      <c r="N421" s="26">
        <v>46058.0</v>
      </c>
      <c r="O421" s="27">
        <f>SUMIF(inventory_snapshot!$B:$B,H421,inventory_snapshot!$E:$E)</f>
        <v>1679</v>
      </c>
      <c r="P421" s="32" t="str">
        <f t="shared" si="2"/>
        <v>OK</v>
      </c>
      <c r="Q421" s="32" t="str">
        <f t="shared" si="3"/>
        <v>OK</v>
      </c>
      <c r="R421" s="32" t="str">
        <f t="shared" si="4"/>
        <v>OK</v>
      </c>
      <c r="S421" s="32" t="str">
        <f t="shared" si="5"/>
        <v>Small</v>
      </c>
    </row>
    <row r="422" ht="15.75" customHeight="1">
      <c r="A422" s="17" t="s">
        <v>568</v>
      </c>
      <c r="B422" s="18">
        <v>46086.0</v>
      </c>
      <c r="C422" s="17" t="s">
        <v>559</v>
      </c>
      <c r="D422" s="19" t="str">
        <f>IFERROR(VLOOKUP(C422,customer_lookup!$A:$E,2,FALSE),"")</f>
        <v>NV Account 0066</v>
      </c>
      <c r="E422" s="19" t="str">
        <f>IFERROR(VLOOKUP(C422,customer_lookup!$A:$E,3,FALSE),"")</f>
        <v>NV</v>
      </c>
      <c r="F422" s="20" t="str">
        <f>IFERROR(VLOOKUP(C422,customer_lookup!$A:$E,5,FALSE),"")</f>
        <v>Jordan</v>
      </c>
      <c r="G422" s="17" t="s">
        <v>63</v>
      </c>
      <c r="H422" s="17" t="s">
        <v>74</v>
      </c>
      <c r="I422" s="19" t="str">
        <f>IFERROR(VLOOKUP(H422,product_lookup!$A:$D,2,FALSE),"")</f>
        <v>Strawberry 20:1 Gummies</v>
      </c>
      <c r="J422" s="21">
        <v>30.0</v>
      </c>
      <c r="K422" s="22">
        <v>11.49</v>
      </c>
      <c r="L422" s="23">
        <f t="shared" si="1"/>
        <v>344.7</v>
      </c>
      <c r="M422" s="17" t="s">
        <v>100</v>
      </c>
      <c r="N422" s="18">
        <v>46094.0</v>
      </c>
      <c r="O422" s="19">
        <f>SUMIF(inventory_snapshot!$B:$B,H422,inventory_snapshot!$E:$E)</f>
        <v>2294</v>
      </c>
      <c r="P422" s="24" t="str">
        <f t="shared" si="2"/>
        <v>OK</v>
      </c>
      <c r="Q422" s="24" t="str">
        <f t="shared" si="3"/>
        <v>OK</v>
      </c>
      <c r="R422" s="24" t="str">
        <f t="shared" si="4"/>
        <v>OK</v>
      </c>
      <c r="S422" s="24" t="str">
        <f t="shared" si="5"/>
        <v>Small</v>
      </c>
    </row>
    <row r="423" ht="15.75" customHeight="1">
      <c r="A423" s="25" t="s">
        <v>569</v>
      </c>
      <c r="B423" s="26">
        <v>46127.0</v>
      </c>
      <c r="C423" s="25" t="s">
        <v>570</v>
      </c>
      <c r="D423" s="27" t="str">
        <f>IFERROR(VLOOKUP(C423,customer_lookup!$A:$E,2,FALSE),"")</f>
        <v>CA Account 0039</v>
      </c>
      <c r="E423" s="27" t="str">
        <f>IFERROR(VLOOKUP(C423,customer_lookup!$A:$E,3,FALSE),"")</f>
        <v>CA</v>
      </c>
      <c r="F423" s="28" t="str">
        <f>IFERROR(VLOOKUP(C423,customer_lookup!$A:$E,5,FALSE),"")</f>
        <v>Jordan</v>
      </c>
      <c r="G423" s="25" t="s">
        <v>89</v>
      </c>
      <c r="H423" s="25" t="s">
        <v>90</v>
      </c>
      <c r="I423" s="27" t="str">
        <f>IFERROR(VLOOKUP(H423,product_lookup!$A:$D,2,FALSE),"")</f>
        <v>Blackberry Sparkling Beverage</v>
      </c>
      <c r="J423" s="29">
        <v>6.0</v>
      </c>
      <c r="K423" s="30">
        <v>7.3</v>
      </c>
      <c r="L423" s="31">
        <f t="shared" si="1"/>
        <v>43.8</v>
      </c>
      <c r="M423" s="25" t="s">
        <v>65</v>
      </c>
      <c r="N423" s="26">
        <v>46137.0</v>
      </c>
      <c r="O423" s="27">
        <f>SUMIF(inventory_snapshot!$B:$B,H423,inventory_snapshot!$E:$E)</f>
        <v>1292</v>
      </c>
      <c r="P423" s="32" t="str">
        <f t="shared" si="2"/>
        <v>OK</v>
      </c>
      <c r="Q423" s="32" t="str">
        <f t="shared" si="3"/>
        <v>OK</v>
      </c>
      <c r="R423" s="32" t="str">
        <f t="shared" si="4"/>
        <v>OK</v>
      </c>
      <c r="S423" s="32" t="str">
        <f t="shared" si="5"/>
        <v>Small</v>
      </c>
    </row>
    <row r="424" ht="15.75" customHeight="1">
      <c r="A424" s="17" t="s">
        <v>571</v>
      </c>
      <c r="B424" s="18">
        <v>46099.0</v>
      </c>
      <c r="C424" s="17" t="s">
        <v>555</v>
      </c>
      <c r="D424" s="19" t="str">
        <f>IFERROR(VLOOKUP(C424,customer_lookup!$A:$E,2,FALSE),"")</f>
        <v>CO Account 0112</v>
      </c>
      <c r="E424" s="19" t="str">
        <f>IFERROR(VLOOKUP(C424,customer_lookup!$A:$E,3,FALSE),"")</f>
        <v>CO</v>
      </c>
      <c r="F424" s="20" t="str">
        <f>IFERROR(VLOOKUP(C424,customer_lookup!$A:$E,5,FALSE),"")</f>
        <v>Jordan</v>
      </c>
      <c r="G424" s="17" t="s">
        <v>89</v>
      </c>
      <c r="H424" s="17" t="s">
        <v>156</v>
      </c>
      <c r="I424" s="19" t="str">
        <f>IFERROR(VLOOKUP(H424,product_lookup!$A:$D,2,FALSE),"")</f>
        <v>Blood Orange 1:1 Gummies</v>
      </c>
      <c r="J424" s="21">
        <v>60.0</v>
      </c>
      <c r="K424" s="22">
        <v>9.53</v>
      </c>
      <c r="L424" s="23">
        <f t="shared" si="1"/>
        <v>571.8</v>
      </c>
      <c r="M424" s="17" t="s">
        <v>65</v>
      </c>
      <c r="N424" s="18">
        <v>46109.0</v>
      </c>
      <c r="O424" s="19">
        <f>SUMIF(inventory_snapshot!$B:$B,H424,inventory_snapshot!$E:$E)</f>
        <v>1589</v>
      </c>
      <c r="P424" s="24" t="str">
        <f t="shared" si="2"/>
        <v>OK</v>
      </c>
      <c r="Q424" s="24" t="str">
        <f t="shared" si="3"/>
        <v>Duplicate</v>
      </c>
      <c r="R424" s="24" t="str">
        <f t="shared" si="4"/>
        <v>OK</v>
      </c>
      <c r="S424" s="24" t="str">
        <f t="shared" si="5"/>
        <v>Medium</v>
      </c>
    </row>
    <row r="425" ht="15.75" customHeight="1">
      <c r="A425" s="25" t="s">
        <v>572</v>
      </c>
      <c r="B425" s="26">
        <v>46094.0</v>
      </c>
      <c r="C425" s="25" t="s">
        <v>573</v>
      </c>
      <c r="D425" s="27" t="str">
        <f>IFERROR(VLOOKUP(C425,customer_lookup!$A:$E,2,FALSE),"")</f>
        <v>MI Account 0032</v>
      </c>
      <c r="E425" s="27" t="str">
        <f>IFERROR(VLOOKUP(C425,customer_lookup!$A:$E,3,FALSE),"")</f>
        <v>MI</v>
      </c>
      <c r="F425" s="28" t="str">
        <f>IFERROR(VLOOKUP(C425,customer_lookup!$A:$E,5,FALSE),"")</f>
        <v>Jordan</v>
      </c>
      <c r="G425" s="25" t="s">
        <v>63</v>
      </c>
      <c r="H425" s="25" t="s">
        <v>115</v>
      </c>
      <c r="I425" s="27" t="str">
        <f>IFERROR(VLOOKUP(H425,product_lookup!$A:$D,2,FALSE),"")</f>
        <v>Pear 1:1 Gummies</v>
      </c>
      <c r="J425" s="29">
        <v>30.0</v>
      </c>
      <c r="K425" s="30">
        <v>10.63</v>
      </c>
      <c r="L425" s="31">
        <f t="shared" si="1"/>
        <v>318.9</v>
      </c>
      <c r="M425" s="25" t="s">
        <v>93</v>
      </c>
      <c r="N425" s="26">
        <v>46099.0</v>
      </c>
      <c r="O425" s="27">
        <f>SUMIF(inventory_snapshot!$B:$B,H425,inventory_snapshot!$E:$E)</f>
        <v>981</v>
      </c>
      <c r="P425" s="32" t="str">
        <f t="shared" si="2"/>
        <v>OK</v>
      </c>
      <c r="Q425" s="32" t="str">
        <f t="shared" si="3"/>
        <v>OK</v>
      </c>
      <c r="R425" s="32" t="str">
        <f t="shared" si="4"/>
        <v>OK</v>
      </c>
      <c r="S425" s="32" t="str">
        <f t="shared" si="5"/>
        <v>Small</v>
      </c>
    </row>
    <row r="426" ht="15.75" customHeight="1">
      <c r="A426" s="17" t="s">
        <v>574</v>
      </c>
      <c r="B426" s="18">
        <v>46142.0</v>
      </c>
      <c r="C426" s="17" t="s">
        <v>575</v>
      </c>
      <c r="D426" s="19" t="str">
        <f>IFERROR(VLOOKUP(C426,customer_lookup!$A:$E,2,FALSE),"")</f>
        <v>MI Account 0008</v>
      </c>
      <c r="E426" s="19" t="str">
        <f>IFERROR(VLOOKUP(C426,customer_lookup!$A:$E,3,FALSE),"")</f>
        <v>MI</v>
      </c>
      <c r="F426" s="20" t="str">
        <f>IFERROR(VLOOKUP(C426,customer_lookup!$A:$E,5,FALSE),"")</f>
        <v>Jordan</v>
      </c>
      <c r="G426" s="17" t="s">
        <v>67</v>
      </c>
      <c r="H426" s="17" t="s">
        <v>110</v>
      </c>
      <c r="I426" s="19" t="str">
        <f>IFERROR(VLOOKUP(H426,product_lookup!$A:$D,2,FALSE),"")</f>
        <v>Elderberry 2:1 Gummies</v>
      </c>
      <c r="J426" s="21">
        <v>60.0</v>
      </c>
      <c r="K426" s="22">
        <v>9.97</v>
      </c>
      <c r="L426" s="23">
        <f t="shared" si="1"/>
        <v>598.2</v>
      </c>
      <c r="M426" s="17" t="s">
        <v>75</v>
      </c>
      <c r="N426" s="18">
        <v>46149.0</v>
      </c>
      <c r="O426" s="19">
        <f>SUMIF(inventory_snapshot!$B:$B,H426,inventory_snapshot!$E:$E)</f>
        <v>1633</v>
      </c>
      <c r="P426" s="24" t="str">
        <f t="shared" si="2"/>
        <v>OK</v>
      </c>
      <c r="Q426" s="24" t="str">
        <f t="shared" si="3"/>
        <v>OK</v>
      </c>
      <c r="R426" s="24" t="str">
        <f t="shared" si="4"/>
        <v>OK</v>
      </c>
      <c r="S426" s="24" t="str">
        <f t="shared" si="5"/>
        <v>Medium</v>
      </c>
    </row>
    <row r="427" ht="15.75" customHeight="1">
      <c r="A427" s="25" t="s">
        <v>576</v>
      </c>
      <c r="B427" s="26">
        <v>46053.0</v>
      </c>
      <c r="C427" s="25" t="s">
        <v>550</v>
      </c>
      <c r="D427" s="27" t="str">
        <f>IFERROR(VLOOKUP(C427,customer_lookup!$A:$E,2,FALSE),"")</f>
        <v>IL Account 0079</v>
      </c>
      <c r="E427" s="27" t="str">
        <f>IFERROR(VLOOKUP(C427,customer_lookup!$A:$E,3,FALSE),"")</f>
        <v>IL</v>
      </c>
      <c r="F427" s="28" t="str">
        <f>IFERROR(VLOOKUP(C427,customer_lookup!$A:$E,5,FALSE),"")</f>
        <v>Jordan</v>
      </c>
      <c r="G427" s="25" t="s">
        <v>63</v>
      </c>
      <c r="H427" s="25" t="s">
        <v>156</v>
      </c>
      <c r="I427" s="27" t="str">
        <f>IFERROR(VLOOKUP(H427,product_lookup!$A:$D,2,FALSE),"")</f>
        <v>Blood Orange 1:1 Gummies</v>
      </c>
      <c r="J427" s="29">
        <v>24.0</v>
      </c>
      <c r="K427" s="30">
        <v>9.13</v>
      </c>
      <c r="L427" s="31">
        <f t="shared" si="1"/>
        <v>219.12</v>
      </c>
      <c r="M427" s="25" t="s">
        <v>65</v>
      </c>
      <c r="N427" s="26">
        <v>46054.0</v>
      </c>
      <c r="O427" s="27">
        <f>SUMIF(inventory_snapshot!$B:$B,H427,inventory_snapshot!$E:$E)</f>
        <v>1589</v>
      </c>
      <c r="P427" s="32" t="str">
        <f t="shared" si="2"/>
        <v>OK</v>
      </c>
      <c r="Q427" s="32" t="str">
        <f t="shared" si="3"/>
        <v>OK</v>
      </c>
      <c r="R427" s="32" t="str">
        <f t="shared" si="4"/>
        <v>OK</v>
      </c>
      <c r="S427" s="32" t="str">
        <f t="shared" si="5"/>
        <v>Small</v>
      </c>
    </row>
    <row r="428" ht="15.75" customHeight="1">
      <c r="A428" s="17" t="s">
        <v>577</v>
      </c>
      <c r="B428" s="18">
        <v>46030.0</v>
      </c>
      <c r="C428" s="17" t="s">
        <v>544</v>
      </c>
      <c r="D428" s="19" t="str">
        <f>IFERROR(VLOOKUP(C428,customer_lookup!$A:$E,2,FALSE),"")</f>
        <v>NY Account 0071</v>
      </c>
      <c r="E428" s="19" t="str">
        <f>IFERROR(VLOOKUP(C428,customer_lookup!$A:$E,3,FALSE),"")</f>
        <v>NY</v>
      </c>
      <c r="F428" s="20" t="str">
        <f>IFERROR(VLOOKUP(C428,customer_lookup!$A:$E,5,FALSE),"")</f>
        <v>Jordan</v>
      </c>
      <c r="G428" s="17" t="s">
        <v>63</v>
      </c>
      <c r="H428" s="17" t="s">
        <v>90</v>
      </c>
      <c r="I428" s="19" t="str">
        <f>IFERROR(VLOOKUP(H428,product_lookup!$A:$D,2,FALSE),"")</f>
        <v>Blackberry Sparkling Beverage</v>
      </c>
      <c r="J428" s="21">
        <v>120.0</v>
      </c>
      <c r="K428" s="22">
        <v>6.76</v>
      </c>
      <c r="L428" s="23">
        <f t="shared" si="1"/>
        <v>811.2</v>
      </c>
      <c r="M428" s="17" t="s">
        <v>97</v>
      </c>
      <c r="N428" s="18">
        <v>46037.0</v>
      </c>
      <c r="O428" s="19">
        <f>SUMIF(inventory_snapshot!$B:$B,H428,inventory_snapshot!$E:$E)</f>
        <v>1292</v>
      </c>
      <c r="P428" s="24" t="str">
        <f t="shared" si="2"/>
        <v>OK</v>
      </c>
      <c r="Q428" s="24" t="str">
        <f t="shared" si="3"/>
        <v>OK</v>
      </c>
      <c r="R428" s="24" t="str">
        <f t="shared" si="4"/>
        <v>OK</v>
      </c>
      <c r="S428" s="24" t="str">
        <f t="shared" si="5"/>
        <v>Medium</v>
      </c>
    </row>
    <row r="429" ht="15.75" customHeight="1">
      <c r="A429" s="25" t="s">
        <v>578</v>
      </c>
      <c r="B429" s="26">
        <v>46137.0</v>
      </c>
      <c r="C429" s="25" t="s">
        <v>557</v>
      </c>
      <c r="D429" s="27" t="str">
        <f>IFERROR(VLOOKUP(C429,customer_lookup!$A:$E,2,FALSE),"")</f>
        <v>WA Account 0110</v>
      </c>
      <c r="E429" s="27" t="str">
        <f>IFERROR(VLOOKUP(C429,customer_lookup!$A:$E,3,FALSE),"")</f>
        <v>WA</v>
      </c>
      <c r="F429" s="28" t="str">
        <f>IFERROR(VLOOKUP(C429,customer_lookup!$A:$E,5,FALSE),"")</f>
        <v>Jordan</v>
      </c>
      <c r="G429" s="25" t="s">
        <v>89</v>
      </c>
      <c r="H429" s="25" t="s">
        <v>78</v>
      </c>
      <c r="I429" s="27" t="str">
        <f>IFERROR(VLOOKUP(H429,product_lookup!$A:$D,2,FALSE),"")</f>
        <v>Grapefruit 1:1:1 Gummies</v>
      </c>
      <c r="J429" s="29">
        <v>72.0</v>
      </c>
      <c r="K429" s="30">
        <v>11.65</v>
      </c>
      <c r="L429" s="31">
        <f t="shared" si="1"/>
        <v>838.8</v>
      </c>
      <c r="M429" s="25" t="s">
        <v>97</v>
      </c>
      <c r="N429" s="26">
        <v>46147.0</v>
      </c>
      <c r="O429" s="27">
        <f>SUMIF(inventory_snapshot!$B:$B,H429,inventory_snapshot!$E:$E)</f>
        <v>1751</v>
      </c>
      <c r="P429" s="32" t="str">
        <f t="shared" si="2"/>
        <v>OK</v>
      </c>
      <c r="Q429" s="32" t="str">
        <f t="shared" si="3"/>
        <v>OK</v>
      </c>
      <c r="R429" s="32" t="str">
        <f t="shared" si="4"/>
        <v>OK</v>
      </c>
      <c r="S429" s="32" t="str">
        <f t="shared" si="5"/>
        <v>Medium</v>
      </c>
    </row>
    <row r="430" ht="15.75" customHeight="1">
      <c r="A430" s="17" t="s">
        <v>579</v>
      </c>
      <c r="B430" s="18">
        <v>46141.0</v>
      </c>
      <c r="C430" s="17" t="s">
        <v>566</v>
      </c>
      <c r="D430" s="19" t="str">
        <f>IFERROR(VLOOKUP(C430,customer_lookup!$A:$E,2,FALSE),"")</f>
        <v>IL Account 0019</v>
      </c>
      <c r="E430" s="19" t="str">
        <f>IFERROR(VLOOKUP(C430,customer_lookup!$A:$E,3,FALSE),"")</f>
        <v>IL</v>
      </c>
      <c r="F430" s="20" t="str">
        <f>IFERROR(VLOOKUP(C430,customer_lookup!$A:$E,5,FALSE),"")</f>
        <v>Jordan</v>
      </c>
      <c r="G430" s="17" t="s">
        <v>63</v>
      </c>
      <c r="H430" s="17" t="s">
        <v>106</v>
      </c>
      <c r="I430" s="19" t="str">
        <f>IFERROR(VLOOKUP(H430,product_lookup!$A:$D,2,FALSE),"")</f>
        <v>Sour Cherry THC Gummies</v>
      </c>
      <c r="J430" s="21">
        <v>12.0</v>
      </c>
      <c r="K430" s="22">
        <v>10.32</v>
      </c>
      <c r="L430" s="23">
        <f t="shared" si="1"/>
        <v>123.84</v>
      </c>
      <c r="M430" s="17" t="s">
        <v>65</v>
      </c>
      <c r="N430" s="18">
        <v>46148.0</v>
      </c>
      <c r="O430" s="19">
        <f>SUMIF(inventory_snapshot!$B:$B,H430,inventory_snapshot!$E:$E)</f>
        <v>1313</v>
      </c>
      <c r="P430" s="24" t="str">
        <f t="shared" si="2"/>
        <v>OK</v>
      </c>
      <c r="Q430" s="24" t="str">
        <f t="shared" si="3"/>
        <v>OK</v>
      </c>
      <c r="R430" s="24" t="str">
        <f t="shared" si="4"/>
        <v>OK</v>
      </c>
      <c r="S430" s="24" t="str">
        <f t="shared" si="5"/>
        <v>Small</v>
      </c>
    </row>
    <row r="431" ht="15.75" customHeight="1">
      <c r="A431" s="25" t="s">
        <v>580</v>
      </c>
      <c r="B431" s="26">
        <v>46068.0</v>
      </c>
      <c r="C431" s="25" t="s">
        <v>540</v>
      </c>
      <c r="D431" s="27" t="str">
        <f>IFERROR(VLOOKUP(C431,customer_lookup!$A:$E,2,FALSE),"")</f>
        <v>CO Account 0004</v>
      </c>
      <c r="E431" s="27" t="str">
        <f>IFERROR(VLOOKUP(C431,customer_lookup!$A:$E,3,FALSE),"")</f>
        <v>CO</v>
      </c>
      <c r="F431" s="28" t="str">
        <f>IFERROR(VLOOKUP(C431,customer_lookup!$A:$E,5,FALSE),"")</f>
        <v>Jordan</v>
      </c>
      <c r="G431" s="25" t="s">
        <v>63</v>
      </c>
      <c r="H431" s="25" t="s">
        <v>110</v>
      </c>
      <c r="I431" s="27" t="str">
        <f>IFERROR(VLOOKUP(H431,product_lookup!$A:$D,2,FALSE),"")</f>
        <v>Elderberry 2:1 Gummies</v>
      </c>
      <c r="J431" s="29">
        <v>72.0</v>
      </c>
      <c r="K431" s="30">
        <v>10.1</v>
      </c>
      <c r="L431" s="31">
        <f t="shared" si="1"/>
        <v>727.2</v>
      </c>
      <c r="M431" s="25" t="s">
        <v>65</v>
      </c>
      <c r="N431" s="26">
        <v>46075.0</v>
      </c>
      <c r="O431" s="27">
        <f>SUMIF(inventory_snapshot!$B:$B,H431,inventory_snapshot!$E:$E)</f>
        <v>1633</v>
      </c>
      <c r="P431" s="32" t="str">
        <f t="shared" si="2"/>
        <v>OK</v>
      </c>
      <c r="Q431" s="32" t="str">
        <f t="shared" si="3"/>
        <v>OK</v>
      </c>
      <c r="R431" s="32" t="str">
        <f t="shared" si="4"/>
        <v>OK</v>
      </c>
      <c r="S431" s="32" t="str">
        <f t="shared" si="5"/>
        <v>Medium</v>
      </c>
    </row>
    <row r="432" ht="15.75" customHeight="1">
      <c r="A432" s="17" t="s">
        <v>581</v>
      </c>
      <c r="B432" s="18">
        <v>46115.0</v>
      </c>
      <c r="C432" s="17" t="s">
        <v>582</v>
      </c>
      <c r="D432" s="19" t="str">
        <f>IFERROR(VLOOKUP(C432,customer_lookup!$A:$E,2,FALSE),"")</f>
        <v>MO Account 0033</v>
      </c>
      <c r="E432" s="19" t="str">
        <f>IFERROR(VLOOKUP(C432,customer_lookup!$A:$E,3,FALSE),"")</f>
        <v>MO</v>
      </c>
      <c r="F432" s="20" t="str">
        <f>IFERROR(VLOOKUP(C432,customer_lookup!$A:$E,5,FALSE),"")</f>
        <v>Jordan</v>
      </c>
      <c r="G432" s="17" t="s">
        <v>63</v>
      </c>
      <c r="H432" s="17" t="s">
        <v>123</v>
      </c>
      <c r="I432" s="19" t="str">
        <f>IFERROR(VLOOKUP(H432,product_lookup!$A:$D,2,FALSE),"")</f>
        <v>Peach 2:1 Gummies</v>
      </c>
      <c r="J432" s="21">
        <v>120.0</v>
      </c>
      <c r="K432" s="22">
        <v>10.74</v>
      </c>
      <c r="L432" s="23">
        <f t="shared" si="1"/>
        <v>1288.8</v>
      </c>
      <c r="M432" s="17" t="s">
        <v>65</v>
      </c>
      <c r="N432" s="18">
        <v>46118.0</v>
      </c>
      <c r="O432" s="19">
        <f>SUMIF(inventory_snapshot!$B:$B,H432,inventory_snapshot!$E:$E)</f>
        <v>1732</v>
      </c>
      <c r="P432" s="24" t="str">
        <f t="shared" si="2"/>
        <v>OK</v>
      </c>
      <c r="Q432" s="24" t="str">
        <f t="shared" si="3"/>
        <v>OK</v>
      </c>
      <c r="R432" s="24" t="str">
        <f t="shared" si="4"/>
        <v>OK</v>
      </c>
      <c r="S432" s="24" t="str">
        <f t="shared" si="5"/>
        <v>Large</v>
      </c>
    </row>
    <row r="433" ht="15.75" customHeight="1">
      <c r="A433" s="25" t="s">
        <v>583</v>
      </c>
      <c r="B433" s="26">
        <v>46143.0</v>
      </c>
      <c r="C433" s="25" t="s">
        <v>540</v>
      </c>
      <c r="D433" s="27" t="str">
        <f>IFERROR(VLOOKUP(C433,customer_lookup!$A:$E,2,FALSE),"")</f>
        <v>CO Account 0004</v>
      </c>
      <c r="E433" s="27" t="str">
        <f>IFERROR(VLOOKUP(C433,customer_lookup!$A:$E,3,FALSE),"")</f>
        <v>CO</v>
      </c>
      <c r="F433" s="28" t="str">
        <f>IFERROR(VLOOKUP(C433,customer_lookup!$A:$E,5,FALSE),"")</f>
        <v>Jordan</v>
      </c>
      <c r="G433" s="25" t="s">
        <v>67</v>
      </c>
      <c r="H433" s="25" t="s">
        <v>74</v>
      </c>
      <c r="I433" s="27" t="str">
        <f>IFERROR(VLOOKUP(H433,product_lookup!$A:$D,2,FALSE),"")</f>
        <v>Strawberry 20:1 Gummies</v>
      </c>
      <c r="J433" s="29">
        <v>24.0</v>
      </c>
      <c r="K433" s="30">
        <v>11.36</v>
      </c>
      <c r="L433" s="31">
        <f t="shared" si="1"/>
        <v>272.64</v>
      </c>
      <c r="M433" s="25" t="s">
        <v>97</v>
      </c>
      <c r="N433" s="26">
        <v>46150.0</v>
      </c>
      <c r="O433" s="27">
        <f>SUMIF(inventory_snapshot!$B:$B,H433,inventory_snapshot!$E:$E)</f>
        <v>2294</v>
      </c>
      <c r="P433" s="32" t="str">
        <f t="shared" si="2"/>
        <v>OK</v>
      </c>
      <c r="Q433" s="32" t="str">
        <f t="shared" si="3"/>
        <v>OK</v>
      </c>
      <c r="R433" s="32" t="str">
        <f t="shared" si="4"/>
        <v>OK</v>
      </c>
      <c r="S433" s="32" t="str">
        <f t="shared" si="5"/>
        <v>Small</v>
      </c>
    </row>
    <row r="434" ht="15.75" customHeight="1">
      <c r="A434" s="17" t="s">
        <v>584</v>
      </c>
      <c r="B434" s="18">
        <v>46055.0</v>
      </c>
      <c r="C434" s="17" t="s">
        <v>570</v>
      </c>
      <c r="D434" s="19" t="str">
        <f>IFERROR(VLOOKUP(C434,customer_lookup!$A:$E,2,FALSE),"")</f>
        <v>CA Account 0039</v>
      </c>
      <c r="E434" s="19" t="str">
        <f>IFERROR(VLOOKUP(C434,customer_lookup!$A:$E,3,FALSE),"")</f>
        <v>CA</v>
      </c>
      <c r="F434" s="20" t="str">
        <f>IFERROR(VLOOKUP(C434,customer_lookup!$A:$E,5,FALSE),"")</f>
        <v>Jordan</v>
      </c>
      <c r="G434" s="17" t="s">
        <v>63</v>
      </c>
      <c r="H434" s="17" t="s">
        <v>123</v>
      </c>
      <c r="I434" s="19" t="str">
        <f>IFERROR(VLOOKUP(H434,product_lookup!$A:$D,2,FALSE),"")</f>
        <v>Peach 2:1 Gummies</v>
      </c>
      <c r="J434" s="21">
        <v>120.0</v>
      </c>
      <c r="K434" s="22">
        <v>10.01</v>
      </c>
      <c r="L434" s="23">
        <f t="shared" si="1"/>
        <v>1201.2</v>
      </c>
      <c r="M434" s="17" t="s">
        <v>75</v>
      </c>
      <c r="N434" s="18">
        <v>46063.0</v>
      </c>
      <c r="O434" s="19">
        <f>SUMIF(inventory_snapshot!$B:$B,H434,inventory_snapshot!$E:$E)</f>
        <v>1732</v>
      </c>
      <c r="P434" s="24" t="str">
        <f t="shared" si="2"/>
        <v>OK</v>
      </c>
      <c r="Q434" s="24" t="str">
        <f t="shared" si="3"/>
        <v>OK</v>
      </c>
      <c r="R434" s="24" t="str">
        <f t="shared" si="4"/>
        <v>OK</v>
      </c>
      <c r="S434" s="24" t="str">
        <f t="shared" si="5"/>
        <v>Large</v>
      </c>
    </row>
    <row r="435" ht="15.75" customHeight="1">
      <c r="A435" s="25" t="s">
        <v>585</v>
      </c>
      <c r="B435" s="26">
        <v>46140.0</v>
      </c>
      <c r="C435" s="25" t="s">
        <v>553</v>
      </c>
      <c r="D435" s="27" t="str">
        <f>IFERROR(VLOOKUP(C435,customer_lookup!$A:$E,2,FALSE),"")</f>
        <v>IL Account 0091</v>
      </c>
      <c r="E435" s="27" t="str">
        <f>IFERROR(VLOOKUP(C435,customer_lookup!$A:$E,3,FALSE),"")</f>
        <v>IL</v>
      </c>
      <c r="F435" s="28" t="str">
        <f>IFERROR(VLOOKUP(C435,customer_lookup!$A:$E,5,FALSE),"")</f>
        <v>Jordan</v>
      </c>
      <c r="G435" s="25" t="s">
        <v>63</v>
      </c>
      <c r="H435" s="25" t="s">
        <v>102</v>
      </c>
      <c r="I435" s="27" t="str">
        <f>IFERROR(VLOOKUP(H435,product_lookup!$A:$D,2,FALSE),"")</f>
        <v>Pomegranate 1:1 Gummies</v>
      </c>
      <c r="J435" s="29">
        <v>96.0</v>
      </c>
      <c r="K435" s="30">
        <v>11.2</v>
      </c>
      <c r="L435" s="31">
        <f t="shared" si="1"/>
        <v>1075.2</v>
      </c>
      <c r="M435" s="25" t="s">
        <v>65</v>
      </c>
      <c r="N435" s="26">
        <v>46144.0</v>
      </c>
      <c r="O435" s="27">
        <f>SUMIF(inventory_snapshot!$B:$B,H435,inventory_snapshot!$E:$E)</f>
        <v>1493</v>
      </c>
      <c r="P435" s="32" t="str">
        <f t="shared" si="2"/>
        <v>OK</v>
      </c>
      <c r="Q435" s="32" t="str">
        <f t="shared" si="3"/>
        <v>OK</v>
      </c>
      <c r="R435" s="32" t="str">
        <f t="shared" si="4"/>
        <v>OK</v>
      </c>
      <c r="S435" s="32" t="str">
        <f t="shared" si="5"/>
        <v>Large</v>
      </c>
    </row>
    <row r="436" ht="15.75" customHeight="1">
      <c r="A436" s="17" t="s">
        <v>586</v>
      </c>
      <c r="B436" s="18">
        <v>46085.0</v>
      </c>
      <c r="C436" s="17" t="s">
        <v>553</v>
      </c>
      <c r="D436" s="19" t="str">
        <f>IFERROR(VLOOKUP(C436,customer_lookup!$A:$E,2,FALSE),"")</f>
        <v>IL Account 0091</v>
      </c>
      <c r="E436" s="19" t="str">
        <f>IFERROR(VLOOKUP(C436,customer_lookup!$A:$E,3,FALSE),"")</f>
        <v>IL</v>
      </c>
      <c r="F436" s="20" t="str">
        <f>IFERROR(VLOOKUP(C436,customer_lookup!$A:$E,5,FALSE),"")</f>
        <v>Jordan</v>
      </c>
      <c r="G436" s="17" t="s">
        <v>67</v>
      </c>
      <c r="H436" s="17" t="s">
        <v>74</v>
      </c>
      <c r="I436" s="19" t="str">
        <f>IFERROR(VLOOKUP(H436,product_lookup!$A:$D,2,FALSE),"")</f>
        <v>Strawberry 20:1 Gummies</v>
      </c>
      <c r="J436" s="21">
        <v>18.0</v>
      </c>
      <c r="K436" s="22">
        <v>10.54</v>
      </c>
      <c r="L436" s="23">
        <f t="shared" si="1"/>
        <v>189.72</v>
      </c>
      <c r="M436" s="17" t="s">
        <v>100</v>
      </c>
      <c r="N436" s="18">
        <v>46090.0</v>
      </c>
      <c r="O436" s="19">
        <f>SUMIF(inventory_snapshot!$B:$B,H436,inventory_snapshot!$E:$E)</f>
        <v>2294</v>
      </c>
      <c r="P436" s="24" t="str">
        <f t="shared" si="2"/>
        <v>OK</v>
      </c>
      <c r="Q436" s="24" t="str">
        <f t="shared" si="3"/>
        <v>OK</v>
      </c>
      <c r="R436" s="24" t="str">
        <f t="shared" si="4"/>
        <v>OK</v>
      </c>
      <c r="S436" s="24" t="str">
        <f t="shared" si="5"/>
        <v>Small</v>
      </c>
    </row>
    <row r="437" ht="15.75" customHeight="1">
      <c r="A437" s="25" t="s">
        <v>587</v>
      </c>
      <c r="B437" s="26">
        <v>46049.0</v>
      </c>
      <c r="C437" s="25" t="s">
        <v>588</v>
      </c>
      <c r="D437" s="27" t="str">
        <f>IFERROR(VLOOKUP(C437,customer_lookup!$A:$E,2,FALSE),"")</f>
        <v>MI Account 0104</v>
      </c>
      <c r="E437" s="27" t="str">
        <f>IFERROR(VLOOKUP(C437,customer_lookup!$A:$E,3,FALSE),"")</f>
        <v>MI</v>
      </c>
      <c r="F437" s="28" t="str">
        <f>IFERROR(VLOOKUP(C437,customer_lookup!$A:$E,5,FALSE),"")</f>
        <v>Jordan</v>
      </c>
      <c r="G437" s="25" t="s">
        <v>63</v>
      </c>
      <c r="H437" s="25" t="s">
        <v>123</v>
      </c>
      <c r="I437" s="27" t="str">
        <f>IFERROR(VLOOKUP(H437,product_lookup!$A:$D,2,FALSE),"")</f>
        <v>Peach 2:1 Gummies</v>
      </c>
      <c r="J437" s="29">
        <v>96.0</v>
      </c>
      <c r="K437" s="30">
        <v>11.16</v>
      </c>
      <c r="L437" s="31">
        <f t="shared" si="1"/>
        <v>1071.36</v>
      </c>
      <c r="M437" s="25" t="s">
        <v>65</v>
      </c>
      <c r="N437" s="26">
        <v>46056.0</v>
      </c>
      <c r="O437" s="27">
        <f>SUMIF(inventory_snapshot!$B:$B,H437,inventory_snapshot!$E:$E)</f>
        <v>1732</v>
      </c>
      <c r="P437" s="32" t="str">
        <f t="shared" si="2"/>
        <v>OK</v>
      </c>
      <c r="Q437" s="32" t="str">
        <f t="shared" si="3"/>
        <v>OK</v>
      </c>
      <c r="R437" s="32" t="str">
        <f t="shared" si="4"/>
        <v>OK</v>
      </c>
      <c r="S437" s="32" t="str">
        <f t="shared" si="5"/>
        <v>Large</v>
      </c>
    </row>
    <row r="438" ht="15.75" customHeight="1">
      <c r="A438" s="17" t="s">
        <v>589</v>
      </c>
      <c r="B438" s="18">
        <v>46034.0</v>
      </c>
      <c r="C438" s="17" t="s">
        <v>561</v>
      </c>
      <c r="D438" s="19" t="str">
        <f>IFERROR(VLOOKUP(C438,customer_lookup!$A:$E,2,FALSE),"")</f>
        <v>NV Account 0030</v>
      </c>
      <c r="E438" s="19" t="str">
        <f>IFERROR(VLOOKUP(C438,customer_lookup!$A:$E,3,FALSE),"")</f>
        <v>NV</v>
      </c>
      <c r="F438" s="20" t="str">
        <f>IFERROR(VLOOKUP(C438,customer_lookup!$A:$E,5,FALSE),"")</f>
        <v>Jordan</v>
      </c>
      <c r="G438" s="17" t="s">
        <v>63</v>
      </c>
      <c r="H438" s="17" t="s">
        <v>106</v>
      </c>
      <c r="I438" s="19" t="str">
        <f>IFERROR(VLOOKUP(H438,product_lookup!$A:$D,2,FALSE),"")</f>
        <v>Sour Cherry THC Gummies</v>
      </c>
      <c r="J438" s="21">
        <v>12.0</v>
      </c>
      <c r="K438" s="22">
        <v>9.9</v>
      </c>
      <c r="L438" s="23">
        <f t="shared" si="1"/>
        <v>118.8</v>
      </c>
      <c r="M438" s="17" t="s">
        <v>97</v>
      </c>
      <c r="N438" s="18">
        <v>46041.0</v>
      </c>
      <c r="O438" s="19">
        <f>SUMIF(inventory_snapshot!$B:$B,H438,inventory_snapshot!$E:$E)</f>
        <v>1313</v>
      </c>
      <c r="P438" s="24" t="str">
        <f t="shared" si="2"/>
        <v>OK</v>
      </c>
      <c r="Q438" s="24" t="str">
        <f t="shared" si="3"/>
        <v>OK</v>
      </c>
      <c r="R438" s="24" t="str">
        <f t="shared" si="4"/>
        <v>OK</v>
      </c>
      <c r="S438" s="24" t="str">
        <f t="shared" si="5"/>
        <v>Small</v>
      </c>
    </row>
    <row r="439" ht="15.75" customHeight="1">
      <c r="A439" s="25" t="s">
        <v>590</v>
      </c>
      <c r="B439" s="26">
        <v>46058.0</v>
      </c>
      <c r="C439" s="25" t="s">
        <v>550</v>
      </c>
      <c r="D439" s="27" t="str">
        <f>IFERROR(VLOOKUP(C439,customer_lookup!$A:$E,2,FALSE),"")</f>
        <v>IL Account 0079</v>
      </c>
      <c r="E439" s="27" t="str">
        <f>IFERROR(VLOOKUP(C439,customer_lookup!$A:$E,3,FALSE),"")</f>
        <v>IL</v>
      </c>
      <c r="F439" s="28" t="str">
        <f>IFERROR(VLOOKUP(C439,customer_lookup!$A:$E,5,FALSE),"")</f>
        <v>Jordan</v>
      </c>
      <c r="G439" s="25" t="s">
        <v>63</v>
      </c>
      <c r="H439" s="25" t="s">
        <v>85</v>
      </c>
      <c r="I439" s="27" t="str">
        <f>IFERROR(VLOOKUP(H439,product_lookup!$A:$D,2,FALSE),"")</f>
        <v>Huckleberry THC Gummies</v>
      </c>
      <c r="J439" s="29">
        <v>12.0</v>
      </c>
      <c r="K439" s="30">
        <v>9.86</v>
      </c>
      <c r="L439" s="31">
        <f t="shared" si="1"/>
        <v>118.32</v>
      </c>
      <c r="M439" s="25" t="s">
        <v>65</v>
      </c>
      <c r="N439" s="26">
        <v>46061.0</v>
      </c>
      <c r="O439" s="27">
        <f>SUMIF(inventory_snapshot!$B:$B,H439,inventory_snapshot!$E:$E)</f>
        <v>1841</v>
      </c>
      <c r="P439" s="32" t="str">
        <f t="shared" si="2"/>
        <v>OK</v>
      </c>
      <c r="Q439" s="32" t="str">
        <f t="shared" si="3"/>
        <v>OK</v>
      </c>
      <c r="R439" s="32" t="str">
        <f t="shared" si="4"/>
        <v>OK</v>
      </c>
      <c r="S439" s="32" t="str">
        <f t="shared" si="5"/>
        <v>Small</v>
      </c>
    </row>
    <row r="440" ht="15.75" customHeight="1">
      <c r="A440" s="17" t="s">
        <v>591</v>
      </c>
      <c r="B440" s="18">
        <v>46030.0</v>
      </c>
      <c r="C440" s="17" t="s">
        <v>550</v>
      </c>
      <c r="D440" s="19" t="str">
        <f>IFERROR(VLOOKUP(C440,customer_lookup!$A:$E,2,FALSE),"")</f>
        <v>IL Account 0079</v>
      </c>
      <c r="E440" s="19" t="str">
        <f>IFERROR(VLOOKUP(C440,customer_lookup!$A:$E,3,FALSE),"")</f>
        <v>IL</v>
      </c>
      <c r="F440" s="20" t="str">
        <f>IFERROR(VLOOKUP(C440,customer_lookup!$A:$E,5,FALSE),"")</f>
        <v>Jordan</v>
      </c>
      <c r="G440" s="17" t="s">
        <v>63</v>
      </c>
      <c r="H440" s="17" t="s">
        <v>71</v>
      </c>
      <c r="I440" s="19" t="str">
        <f>IFERROR(VLOOKUP(H440,product_lookup!$A:$D,2,FALSE),"")</f>
        <v>Pineapple Sparkling Beverage</v>
      </c>
      <c r="J440" s="21">
        <v>30.0</v>
      </c>
      <c r="K440" s="22">
        <v>8.01</v>
      </c>
      <c r="L440" s="23">
        <f t="shared" si="1"/>
        <v>240.3</v>
      </c>
      <c r="M440" s="17" t="s">
        <v>65</v>
      </c>
      <c r="N440" s="18">
        <v>46031.0</v>
      </c>
      <c r="O440" s="19">
        <f>SUMIF(inventory_snapshot!$B:$B,H440,inventory_snapshot!$E:$E)</f>
        <v>1145</v>
      </c>
      <c r="P440" s="24" t="str">
        <f t="shared" si="2"/>
        <v>OK</v>
      </c>
      <c r="Q440" s="24" t="str">
        <f t="shared" si="3"/>
        <v>OK</v>
      </c>
      <c r="R440" s="24" t="str">
        <f t="shared" si="4"/>
        <v>OK</v>
      </c>
      <c r="S440" s="24" t="str">
        <f t="shared" si="5"/>
        <v>Small</v>
      </c>
    </row>
    <row r="441" ht="15.75" customHeight="1">
      <c r="A441" s="25" t="s">
        <v>592</v>
      </c>
      <c r="B441" s="26">
        <v>46095.0</v>
      </c>
      <c r="C441" s="25" t="s">
        <v>593</v>
      </c>
      <c r="D441" s="27" t="str">
        <f>IFERROR(VLOOKUP(C441,customer_lookup!$A:$E,2,FALSE),"")</f>
        <v>WA Account 0026</v>
      </c>
      <c r="E441" s="27" t="str">
        <f>IFERROR(VLOOKUP(C441,customer_lookup!$A:$E,3,FALSE),"")</f>
        <v>WA</v>
      </c>
      <c r="F441" s="28" t="str">
        <f>IFERROR(VLOOKUP(C441,customer_lookup!$A:$E,5,FALSE),"")</f>
        <v>Jordan</v>
      </c>
      <c r="G441" s="25" t="s">
        <v>63</v>
      </c>
      <c r="H441" s="25" t="s">
        <v>102</v>
      </c>
      <c r="I441" s="27" t="str">
        <f>IFERROR(VLOOKUP(H441,product_lookup!$A:$D,2,FALSE),"")</f>
        <v>Pomegranate 1:1 Gummies</v>
      </c>
      <c r="J441" s="29">
        <v>30.0</v>
      </c>
      <c r="K441" s="30">
        <v>11.53</v>
      </c>
      <c r="L441" s="31">
        <f t="shared" si="1"/>
        <v>345.9</v>
      </c>
      <c r="M441" s="25" t="s">
        <v>97</v>
      </c>
      <c r="N441" s="26">
        <v>46103.0</v>
      </c>
      <c r="O441" s="27">
        <f>SUMIF(inventory_snapshot!$B:$B,H441,inventory_snapshot!$E:$E)</f>
        <v>1493</v>
      </c>
      <c r="P441" s="32" t="str">
        <f t="shared" si="2"/>
        <v>OK</v>
      </c>
      <c r="Q441" s="32" t="str">
        <f t="shared" si="3"/>
        <v>OK</v>
      </c>
      <c r="R441" s="32" t="str">
        <f t="shared" si="4"/>
        <v>OK</v>
      </c>
      <c r="S441" s="32" t="str">
        <f t="shared" si="5"/>
        <v>Small</v>
      </c>
    </row>
    <row r="442" ht="15.75" customHeight="1">
      <c r="A442" s="17" t="s">
        <v>594</v>
      </c>
      <c r="B442" s="18">
        <v>46086.0</v>
      </c>
      <c r="C442" s="17" t="s">
        <v>573</v>
      </c>
      <c r="D442" s="19" t="str">
        <f>IFERROR(VLOOKUP(C442,customer_lookup!$A:$E,2,FALSE),"")</f>
        <v>MI Account 0032</v>
      </c>
      <c r="E442" s="19" t="str">
        <f>IFERROR(VLOOKUP(C442,customer_lookup!$A:$E,3,FALSE),"")</f>
        <v>MI</v>
      </c>
      <c r="F442" s="20" t="str">
        <f>IFERROR(VLOOKUP(C442,customer_lookup!$A:$E,5,FALSE),"")</f>
        <v>Jordan</v>
      </c>
      <c r="G442" s="17" t="s">
        <v>63</v>
      </c>
      <c r="H442" s="17" t="s">
        <v>102</v>
      </c>
      <c r="I442" s="19" t="str">
        <f>IFERROR(VLOOKUP(H442,product_lookup!$A:$D,2,FALSE),"")</f>
        <v>Pomegranate 1:1 Gummies</v>
      </c>
      <c r="J442" s="21">
        <v>48.0</v>
      </c>
      <c r="K442" s="22">
        <v>11.84</v>
      </c>
      <c r="L442" s="23">
        <f t="shared" si="1"/>
        <v>568.32</v>
      </c>
      <c r="M442" s="17" t="s">
        <v>137</v>
      </c>
      <c r="N442" s="18">
        <v>46093.0</v>
      </c>
      <c r="O442" s="19">
        <f>SUMIF(inventory_snapshot!$B:$B,H442,inventory_snapshot!$E:$E)</f>
        <v>1493</v>
      </c>
      <c r="P442" s="24" t="str">
        <f t="shared" si="2"/>
        <v>OK</v>
      </c>
      <c r="Q442" s="24" t="str">
        <f t="shared" si="3"/>
        <v>OK</v>
      </c>
      <c r="R442" s="24" t="str">
        <f t="shared" si="4"/>
        <v>OK</v>
      </c>
      <c r="S442" s="24" t="str">
        <f t="shared" si="5"/>
        <v>Medium</v>
      </c>
    </row>
    <row r="443" ht="15.75" customHeight="1">
      <c r="A443" s="25" t="s">
        <v>595</v>
      </c>
      <c r="B443" s="26">
        <v>46030.0</v>
      </c>
      <c r="C443" s="25" t="s">
        <v>588</v>
      </c>
      <c r="D443" s="27" t="str">
        <f>IFERROR(VLOOKUP(C443,customer_lookup!$A:$E,2,FALSE),"")</f>
        <v>MI Account 0104</v>
      </c>
      <c r="E443" s="27" t="str">
        <f>IFERROR(VLOOKUP(C443,customer_lookup!$A:$E,3,FALSE),"")</f>
        <v>MI</v>
      </c>
      <c r="F443" s="28" t="str">
        <f>IFERROR(VLOOKUP(C443,customer_lookup!$A:$E,5,FALSE),"")</f>
        <v>Jordan</v>
      </c>
      <c r="G443" s="25" t="s">
        <v>89</v>
      </c>
      <c r="H443" s="25" t="s">
        <v>115</v>
      </c>
      <c r="I443" s="27" t="str">
        <f>IFERROR(VLOOKUP(H443,product_lookup!$A:$D,2,FALSE),"")</f>
        <v>Pear 1:1 Gummies</v>
      </c>
      <c r="J443" s="29">
        <v>60.0</v>
      </c>
      <c r="K443" s="30">
        <v>11.32</v>
      </c>
      <c r="L443" s="31">
        <f t="shared" si="1"/>
        <v>679.2</v>
      </c>
      <c r="M443" s="25" t="s">
        <v>65</v>
      </c>
      <c r="N443" s="26">
        <v>46033.0</v>
      </c>
      <c r="O443" s="27">
        <f>SUMIF(inventory_snapshot!$B:$B,H443,inventory_snapshot!$E:$E)</f>
        <v>981</v>
      </c>
      <c r="P443" s="32" t="str">
        <f t="shared" si="2"/>
        <v>OK</v>
      </c>
      <c r="Q443" s="32" t="str">
        <f t="shared" si="3"/>
        <v>OK</v>
      </c>
      <c r="R443" s="32" t="str">
        <f t="shared" si="4"/>
        <v>OK</v>
      </c>
      <c r="S443" s="32" t="str">
        <f t="shared" si="5"/>
        <v>Medium</v>
      </c>
    </row>
    <row r="444" ht="15.75" customHeight="1">
      <c r="A444" s="17" t="s">
        <v>596</v>
      </c>
      <c r="B444" s="18">
        <v>46131.0</v>
      </c>
      <c r="C444" s="17" t="s">
        <v>566</v>
      </c>
      <c r="D444" s="19" t="str">
        <f>IFERROR(VLOOKUP(C444,customer_lookup!$A:$E,2,FALSE),"")</f>
        <v>IL Account 0019</v>
      </c>
      <c r="E444" s="19" t="str">
        <f>IFERROR(VLOOKUP(C444,customer_lookup!$A:$E,3,FALSE),"")</f>
        <v>IL</v>
      </c>
      <c r="F444" s="20" t="str">
        <f>IFERROR(VLOOKUP(C444,customer_lookup!$A:$E,5,FALSE),"")</f>
        <v>Jordan</v>
      </c>
      <c r="G444" s="17" t="s">
        <v>63</v>
      </c>
      <c r="H444" s="17" t="s">
        <v>78</v>
      </c>
      <c r="I444" s="19" t="str">
        <f>IFERROR(VLOOKUP(H444,product_lookup!$A:$D,2,FALSE),"")</f>
        <v>Grapefruit 1:1:1 Gummies</v>
      </c>
      <c r="J444" s="21">
        <v>72.0</v>
      </c>
      <c r="K444" s="22">
        <v>11.53</v>
      </c>
      <c r="L444" s="23">
        <f t="shared" si="1"/>
        <v>830.16</v>
      </c>
      <c r="M444" s="17" t="s">
        <v>93</v>
      </c>
      <c r="N444" s="18">
        <v>46138.0</v>
      </c>
      <c r="O444" s="19">
        <f>SUMIF(inventory_snapshot!$B:$B,H444,inventory_snapshot!$E:$E)</f>
        <v>1751</v>
      </c>
      <c r="P444" s="24" t="str">
        <f t="shared" si="2"/>
        <v>OK</v>
      </c>
      <c r="Q444" s="24" t="str">
        <f t="shared" si="3"/>
        <v>OK</v>
      </c>
      <c r="R444" s="24" t="str">
        <f t="shared" si="4"/>
        <v>OK</v>
      </c>
      <c r="S444" s="24" t="str">
        <f t="shared" si="5"/>
        <v>Medium</v>
      </c>
    </row>
    <row r="445" ht="15.75" customHeight="1">
      <c r="A445" s="25" t="s">
        <v>597</v>
      </c>
      <c r="B445" s="26">
        <v>46051.0</v>
      </c>
      <c r="C445" s="25" t="s">
        <v>588</v>
      </c>
      <c r="D445" s="27" t="str">
        <f>IFERROR(VLOOKUP(C445,customer_lookup!$A:$E,2,FALSE),"")</f>
        <v>MI Account 0104</v>
      </c>
      <c r="E445" s="27" t="str">
        <f>IFERROR(VLOOKUP(C445,customer_lookup!$A:$E,3,FALSE),"")</f>
        <v>MI</v>
      </c>
      <c r="F445" s="28" t="str">
        <f>IFERROR(VLOOKUP(C445,customer_lookup!$A:$E,5,FALSE),"")</f>
        <v>Jordan</v>
      </c>
      <c r="G445" s="25" t="s">
        <v>63</v>
      </c>
      <c r="H445" s="25" t="s">
        <v>71</v>
      </c>
      <c r="I445" s="27" t="str">
        <f>IFERROR(VLOOKUP(H445,product_lookup!$A:$D,2,FALSE),"")</f>
        <v>Pineapple Sparkling Beverage</v>
      </c>
      <c r="J445" s="29">
        <v>120.0</v>
      </c>
      <c r="K445" s="30">
        <v>7.85</v>
      </c>
      <c r="L445" s="31">
        <f t="shared" si="1"/>
        <v>942</v>
      </c>
      <c r="M445" s="25" t="s">
        <v>93</v>
      </c>
      <c r="N445" s="26">
        <v>46053.0</v>
      </c>
      <c r="O445" s="27">
        <f>SUMIF(inventory_snapshot!$B:$B,H445,inventory_snapshot!$E:$E)</f>
        <v>1145</v>
      </c>
      <c r="P445" s="32" t="str">
        <f t="shared" si="2"/>
        <v>OK</v>
      </c>
      <c r="Q445" s="32" t="str">
        <f t="shared" si="3"/>
        <v>OK</v>
      </c>
      <c r="R445" s="32" t="str">
        <f t="shared" si="4"/>
        <v>OK</v>
      </c>
      <c r="S445" s="32" t="str">
        <f t="shared" si="5"/>
        <v>Medium</v>
      </c>
    </row>
    <row r="446" ht="15.75" customHeight="1">
      <c r="A446" s="17" t="s">
        <v>598</v>
      </c>
      <c r="B446" s="18">
        <v>46130.0</v>
      </c>
      <c r="C446" s="17" t="s">
        <v>544</v>
      </c>
      <c r="D446" s="19" t="str">
        <f>IFERROR(VLOOKUP(C446,customer_lookup!$A:$E,2,FALSE),"")</f>
        <v>NY Account 0071</v>
      </c>
      <c r="E446" s="19" t="str">
        <f>IFERROR(VLOOKUP(C446,customer_lookup!$A:$E,3,FALSE),"")</f>
        <v>NY</v>
      </c>
      <c r="F446" s="20" t="str">
        <f>IFERROR(VLOOKUP(C446,customer_lookup!$A:$E,5,FALSE),"")</f>
        <v>Jordan</v>
      </c>
      <c r="G446" s="17" t="s">
        <v>63</v>
      </c>
      <c r="H446" s="17" t="s">
        <v>95</v>
      </c>
      <c r="I446" s="19" t="str">
        <f>IFERROR(VLOOKUP(H446,product_lookup!$A:$D,2,FALSE),"")</f>
        <v>Boysenberry 1:1:1 Gummies</v>
      </c>
      <c r="J446" s="21">
        <v>48.0</v>
      </c>
      <c r="K446" s="22">
        <v>11.17</v>
      </c>
      <c r="L446" s="23">
        <f t="shared" si="1"/>
        <v>536.16</v>
      </c>
      <c r="M446" s="17" t="s">
        <v>75</v>
      </c>
      <c r="N446" s="18">
        <v>46138.0</v>
      </c>
      <c r="O446" s="19">
        <f>SUMIF(inventory_snapshot!$B:$B,H446,inventory_snapshot!$E:$E)</f>
        <v>2007</v>
      </c>
      <c r="P446" s="24" t="str">
        <f t="shared" si="2"/>
        <v>OK</v>
      </c>
      <c r="Q446" s="24" t="str">
        <f t="shared" si="3"/>
        <v>OK</v>
      </c>
      <c r="R446" s="24" t="str">
        <f t="shared" si="4"/>
        <v>OK</v>
      </c>
      <c r="S446" s="24" t="str">
        <f t="shared" si="5"/>
        <v>Medium</v>
      </c>
    </row>
    <row r="447" ht="15.75" customHeight="1">
      <c r="A447" s="25" t="s">
        <v>599</v>
      </c>
      <c r="B447" s="26">
        <v>46073.0</v>
      </c>
      <c r="C447" s="25" t="s">
        <v>570</v>
      </c>
      <c r="D447" s="27" t="str">
        <f>IFERROR(VLOOKUP(C447,customer_lookup!$A:$E,2,FALSE),"")</f>
        <v>CA Account 0039</v>
      </c>
      <c r="E447" s="27" t="str">
        <f>IFERROR(VLOOKUP(C447,customer_lookup!$A:$E,3,FALSE),"")</f>
        <v>CA</v>
      </c>
      <c r="F447" s="28" t="str">
        <f>IFERROR(VLOOKUP(C447,customer_lookup!$A:$E,5,FALSE),"")</f>
        <v>Jordan</v>
      </c>
      <c r="G447" s="25" t="s">
        <v>89</v>
      </c>
      <c r="H447" s="25" t="s">
        <v>110</v>
      </c>
      <c r="I447" s="27" t="str">
        <f>IFERROR(VLOOKUP(H447,product_lookup!$A:$D,2,FALSE),"")</f>
        <v>Elderberry 2:1 Gummies</v>
      </c>
      <c r="J447" s="29">
        <v>6.0</v>
      </c>
      <c r="K447" s="30">
        <v>11.0</v>
      </c>
      <c r="L447" s="31">
        <f t="shared" si="1"/>
        <v>66</v>
      </c>
      <c r="M447" s="25" t="s">
        <v>93</v>
      </c>
      <c r="N447" s="26">
        <v>46083.0</v>
      </c>
      <c r="O447" s="27">
        <f>SUMIF(inventory_snapshot!$B:$B,H447,inventory_snapshot!$E:$E)</f>
        <v>1633</v>
      </c>
      <c r="P447" s="32" t="str">
        <f t="shared" si="2"/>
        <v>OK</v>
      </c>
      <c r="Q447" s="32" t="str">
        <f t="shared" si="3"/>
        <v>OK</v>
      </c>
      <c r="R447" s="32" t="str">
        <f t="shared" si="4"/>
        <v>OK</v>
      </c>
      <c r="S447" s="32" t="str">
        <f t="shared" si="5"/>
        <v>Small</v>
      </c>
    </row>
    <row r="448" ht="15.75" customHeight="1">
      <c r="A448" s="17" t="s">
        <v>600</v>
      </c>
      <c r="B448" s="18">
        <v>46056.0</v>
      </c>
      <c r="C448" s="17" t="s">
        <v>566</v>
      </c>
      <c r="D448" s="19" t="str">
        <f>IFERROR(VLOOKUP(C448,customer_lookup!$A:$E,2,FALSE),"")</f>
        <v>IL Account 0019</v>
      </c>
      <c r="E448" s="19" t="str">
        <f>IFERROR(VLOOKUP(C448,customer_lookup!$A:$E,3,FALSE),"")</f>
        <v>IL</v>
      </c>
      <c r="F448" s="20" t="str">
        <f>IFERROR(VLOOKUP(C448,customer_lookup!$A:$E,5,FALSE),"")</f>
        <v>Jordan</v>
      </c>
      <c r="G448" s="17" t="s">
        <v>63</v>
      </c>
      <c r="H448" s="17" t="s">
        <v>71</v>
      </c>
      <c r="I448" s="19" t="str">
        <f>IFERROR(VLOOKUP(H448,product_lookup!$A:$D,2,FALSE),"")</f>
        <v>Pineapple Sparkling Beverage</v>
      </c>
      <c r="J448" s="21">
        <v>36.0</v>
      </c>
      <c r="K448" s="22">
        <v>8.39</v>
      </c>
      <c r="L448" s="23">
        <f t="shared" si="1"/>
        <v>302.04</v>
      </c>
      <c r="M448" s="17" t="s">
        <v>93</v>
      </c>
      <c r="N448" s="18">
        <v>46063.0</v>
      </c>
      <c r="O448" s="19">
        <f>SUMIF(inventory_snapshot!$B:$B,H448,inventory_snapshot!$E:$E)</f>
        <v>1145</v>
      </c>
      <c r="P448" s="24" t="str">
        <f t="shared" si="2"/>
        <v>OK</v>
      </c>
      <c r="Q448" s="24" t="str">
        <f t="shared" si="3"/>
        <v>OK</v>
      </c>
      <c r="R448" s="24" t="str">
        <f t="shared" si="4"/>
        <v>OK</v>
      </c>
      <c r="S448" s="24" t="str">
        <f t="shared" si="5"/>
        <v>Small</v>
      </c>
    </row>
    <row r="449" ht="15.75" customHeight="1">
      <c r="A449" s="25" t="s">
        <v>601</v>
      </c>
      <c r="B449" s="26">
        <v>46089.0</v>
      </c>
      <c r="C449" s="25" t="s">
        <v>557</v>
      </c>
      <c r="D449" s="27" t="str">
        <f>IFERROR(VLOOKUP(C449,customer_lookup!$A:$E,2,FALSE),"")</f>
        <v>WA Account 0110</v>
      </c>
      <c r="E449" s="27" t="str">
        <f>IFERROR(VLOOKUP(C449,customer_lookup!$A:$E,3,FALSE),"")</f>
        <v>WA</v>
      </c>
      <c r="F449" s="28" t="str">
        <f>IFERROR(VLOOKUP(C449,customer_lookup!$A:$E,5,FALSE),"")</f>
        <v>Jordan</v>
      </c>
      <c r="G449" s="25" t="s">
        <v>67</v>
      </c>
      <c r="H449" s="25" t="s">
        <v>115</v>
      </c>
      <c r="I449" s="27" t="str">
        <f>IFERROR(VLOOKUP(H449,product_lookup!$A:$D,2,FALSE),"")</f>
        <v>Pear 1:1 Gummies</v>
      </c>
      <c r="J449" s="29">
        <v>60.0</v>
      </c>
      <c r="K449" s="30">
        <v>12.19</v>
      </c>
      <c r="L449" s="31">
        <f t="shared" si="1"/>
        <v>731.4</v>
      </c>
      <c r="M449" s="25" t="s">
        <v>100</v>
      </c>
      <c r="N449" s="26">
        <v>46099.0</v>
      </c>
      <c r="O449" s="27">
        <f>SUMIF(inventory_snapshot!$B:$B,H449,inventory_snapshot!$E:$E)</f>
        <v>981</v>
      </c>
      <c r="P449" s="32" t="str">
        <f t="shared" si="2"/>
        <v>OK</v>
      </c>
      <c r="Q449" s="32" t="str">
        <f t="shared" si="3"/>
        <v>OK</v>
      </c>
      <c r="R449" s="32" t="str">
        <f t="shared" si="4"/>
        <v>OK</v>
      </c>
      <c r="S449" s="32" t="str">
        <f t="shared" si="5"/>
        <v>Medium</v>
      </c>
    </row>
    <row r="450" ht="15.75" customHeight="1">
      <c r="A450" s="17" t="s">
        <v>602</v>
      </c>
      <c r="B450" s="18">
        <v>46031.0</v>
      </c>
      <c r="C450" s="17" t="s">
        <v>559</v>
      </c>
      <c r="D450" s="19" t="str">
        <f>IFERROR(VLOOKUP(C450,customer_lookup!$A:$E,2,FALSE),"")</f>
        <v>NV Account 0066</v>
      </c>
      <c r="E450" s="19" t="str">
        <f>IFERROR(VLOOKUP(C450,customer_lookup!$A:$E,3,FALSE),"")</f>
        <v>NV</v>
      </c>
      <c r="F450" s="20" t="str">
        <f>IFERROR(VLOOKUP(C450,customer_lookup!$A:$E,5,FALSE),"")</f>
        <v>Jordan</v>
      </c>
      <c r="G450" s="17" t="s">
        <v>67</v>
      </c>
      <c r="H450" s="17" t="s">
        <v>154</v>
      </c>
      <c r="I450" s="19" t="str">
        <f>IFERROR(VLOOKUP(H450,product_lookup!$A:$D,2,FALSE),"")</f>
        <v>Kiwi 1:1 Gummies</v>
      </c>
      <c r="J450" s="21">
        <v>30.0</v>
      </c>
      <c r="K450" s="22">
        <v>11.2</v>
      </c>
      <c r="L450" s="23">
        <f t="shared" si="1"/>
        <v>336</v>
      </c>
      <c r="M450" s="17" t="s">
        <v>75</v>
      </c>
      <c r="N450" s="18">
        <v>46040.0</v>
      </c>
      <c r="O450" s="19">
        <f>SUMIF(inventory_snapshot!$B:$B,H450,inventory_snapshot!$E:$E)</f>
        <v>1136</v>
      </c>
      <c r="P450" s="24" t="str">
        <f t="shared" si="2"/>
        <v>OK</v>
      </c>
      <c r="Q450" s="24" t="str">
        <f t="shared" si="3"/>
        <v>OK</v>
      </c>
      <c r="R450" s="24" t="str">
        <f t="shared" si="4"/>
        <v>OK</v>
      </c>
      <c r="S450" s="24" t="str">
        <f t="shared" si="5"/>
        <v>Small</v>
      </c>
    </row>
    <row r="451" ht="15.75" customHeight="1">
      <c r="A451" s="25" t="s">
        <v>603</v>
      </c>
      <c r="B451" s="26">
        <v>46130.0</v>
      </c>
      <c r="C451" s="25" t="s">
        <v>542</v>
      </c>
      <c r="D451" s="27" t="str">
        <f>IFERROR(VLOOKUP(C451,customer_lookup!$A:$E,2,FALSE),"")</f>
        <v>OR Account 0025</v>
      </c>
      <c r="E451" s="27" t="str">
        <f>IFERROR(VLOOKUP(C451,customer_lookup!$A:$E,3,FALSE),"")</f>
        <v>OR</v>
      </c>
      <c r="F451" s="28" t="str">
        <f>IFERROR(VLOOKUP(C451,customer_lookup!$A:$E,5,FALSE),"")</f>
        <v>Jordan</v>
      </c>
      <c r="G451" s="25" t="s">
        <v>89</v>
      </c>
      <c r="H451" s="25" t="s">
        <v>162</v>
      </c>
      <c r="I451" s="27" t="str">
        <f>IFERROR(VLOOKUP(H451,product_lookup!$A:$D,2,FALSE),"")</f>
        <v>Marionberry THC Gummies</v>
      </c>
      <c r="J451" s="29">
        <v>6.0</v>
      </c>
      <c r="K451" s="30">
        <v>9.74</v>
      </c>
      <c r="L451" s="31">
        <f t="shared" si="1"/>
        <v>58.44</v>
      </c>
      <c r="M451" s="25" t="s">
        <v>137</v>
      </c>
      <c r="N451" s="26">
        <v>46134.0</v>
      </c>
      <c r="O451" s="27">
        <f>SUMIF(inventory_snapshot!$B:$B,H451,inventory_snapshot!$E:$E)</f>
        <v>1599</v>
      </c>
      <c r="P451" s="32" t="str">
        <f t="shared" si="2"/>
        <v>OK</v>
      </c>
      <c r="Q451" s="32" t="str">
        <f t="shared" si="3"/>
        <v>OK</v>
      </c>
      <c r="R451" s="32" t="str">
        <f t="shared" si="4"/>
        <v>OK</v>
      </c>
      <c r="S451" s="32" t="str">
        <f t="shared" si="5"/>
        <v>Small</v>
      </c>
    </row>
    <row r="452" ht="15.75" customHeight="1">
      <c r="A452" s="17" t="s">
        <v>604</v>
      </c>
      <c r="B452" s="18">
        <v>46075.0</v>
      </c>
      <c r="C452" s="17" t="s">
        <v>593</v>
      </c>
      <c r="D452" s="19" t="str">
        <f>IFERROR(VLOOKUP(C452,customer_lookup!$A:$E,2,FALSE),"")</f>
        <v>WA Account 0026</v>
      </c>
      <c r="E452" s="19" t="str">
        <f>IFERROR(VLOOKUP(C452,customer_lookup!$A:$E,3,FALSE),"")</f>
        <v>WA</v>
      </c>
      <c r="F452" s="20" t="str">
        <f>IFERROR(VLOOKUP(C452,customer_lookup!$A:$E,5,FALSE),"")</f>
        <v>Jordan</v>
      </c>
      <c r="G452" s="17" t="s">
        <v>63</v>
      </c>
      <c r="H452" s="17" t="s">
        <v>92</v>
      </c>
      <c r="I452" s="19" t="str">
        <f>IFERROR(VLOOKUP(H452,product_lookup!$A:$D,2,FALSE),"")</f>
        <v>Raspberry THC Gummies</v>
      </c>
      <c r="J452" s="21">
        <v>96.0</v>
      </c>
      <c r="K452" s="22">
        <v>11.32</v>
      </c>
      <c r="L452" s="23">
        <f t="shared" si="1"/>
        <v>1086.72</v>
      </c>
      <c r="M452" s="17" t="s">
        <v>93</v>
      </c>
      <c r="N452" s="18">
        <v>46078.0</v>
      </c>
      <c r="O452" s="19">
        <f>SUMIF(inventory_snapshot!$B:$B,H452,inventory_snapshot!$E:$E)</f>
        <v>1417</v>
      </c>
      <c r="P452" s="24" t="str">
        <f t="shared" si="2"/>
        <v>OK</v>
      </c>
      <c r="Q452" s="24" t="str">
        <f t="shared" si="3"/>
        <v>OK</v>
      </c>
      <c r="R452" s="24" t="str">
        <f t="shared" si="4"/>
        <v>OK</v>
      </c>
      <c r="S452" s="24" t="str">
        <f t="shared" si="5"/>
        <v>Large</v>
      </c>
    </row>
    <row r="453" ht="15.75" customHeight="1">
      <c r="A453" s="25" t="s">
        <v>605</v>
      </c>
      <c r="B453" s="26">
        <v>46024.0</v>
      </c>
      <c r="C453" s="25" t="s">
        <v>593</v>
      </c>
      <c r="D453" s="27" t="str">
        <f>IFERROR(VLOOKUP(C453,customer_lookup!$A:$E,2,FALSE),"")</f>
        <v>WA Account 0026</v>
      </c>
      <c r="E453" s="27" t="str">
        <f>IFERROR(VLOOKUP(C453,customer_lookup!$A:$E,3,FALSE),"")</f>
        <v>WA</v>
      </c>
      <c r="F453" s="28" t="str">
        <f>IFERROR(VLOOKUP(C453,customer_lookup!$A:$E,5,FALSE),"")</f>
        <v>Jordan</v>
      </c>
      <c r="G453" s="25" t="s">
        <v>63</v>
      </c>
      <c r="H453" s="25" t="s">
        <v>68</v>
      </c>
      <c r="I453" s="27" t="str">
        <f>IFERROR(VLOOKUP(H453,product_lookup!$A:$D,2,FALSE),"")</f>
        <v>Sour Apple THC Gummies</v>
      </c>
      <c r="J453" s="29">
        <v>36.0</v>
      </c>
      <c r="K453" s="30">
        <v>11.04</v>
      </c>
      <c r="L453" s="31">
        <f t="shared" si="1"/>
        <v>397.44</v>
      </c>
      <c r="M453" s="25" t="s">
        <v>65</v>
      </c>
      <c r="N453" s="26">
        <v>46025.0</v>
      </c>
      <c r="O453" s="27">
        <f>SUMIF(inventory_snapshot!$B:$B,H453,inventory_snapshot!$E:$E)</f>
        <v>775</v>
      </c>
      <c r="P453" s="32" t="str">
        <f t="shared" si="2"/>
        <v>OK</v>
      </c>
      <c r="Q453" s="32" t="str">
        <f t="shared" si="3"/>
        <v>OK</v>
      </c>
      <c r="R453" s="32" t="str">
        <f t="shared" si="4"/>
        <v>OK</v>
      </c>
      <c r="S453" s="32" t="str">
        <f t="shared" si="5"/>
        <v>Small</v>
      </c>
    </row>
    <row r="454" ht="15.75" customHeight="1">
      <c r="A454" s="17" t="s">
        <v>606</v>
      </c>
      <c r="B454" s="18">
        <v>46121.0</v>
      </c>
      <c r="C454" s="17" t="s">
        <v>555</v>
      </c>
      <c r="D454" s="19" t="str">
        <f>IFERROR(VLOOKUP(C454,customer_lookup!$A:$E,2,FALSE),"")</f>
        <v>CO Account 0112</v>
      </c>
      <c r="E454" s="19" t="str">
        <f>IFERROR(VLOOKUP(C454,customer_lookup!$A:$E,3,FALSE),"")</f>
        <v>CO</v>
      </c>
      <c r="F454" s="20" t="str">
        <f>IFERROR(VLOOKUP(C454,customer_lookup!$A:$E,5,FALSE),"")</f>
        <v>Jordan</v>
      </c>
      <c r="G454" s="17" t="s">
        <v>89</v>
      </c>
      <c r="H454" s="17" t="s">
        <v>190</v>
      </c>
      <c r="I454" s="19" t="str">
        <f>IFERROR(VLOOKUP(H454,product_lookup!$A:$D,2,FALSE),"")</f>
        <v>Mango Sparkling Beverage</v>
      </c>
      <c r="J454" s="21">
        <v>96.0</v>
      </c>
      <c r="K454" s="22">
        <v>7.84</v>
      </c>
      <c r="L454" s="23">
        <f t="shared" si="1"/>
        <v>752.64</v>
      </c>
      <c r="M454" s="17" t="s">
        <v>97</v>
      </c>
      <c r="N454" s="18">
        <v>46127.0</v>
      </c>
      <c r="O454" s="19">
        <f>SUMIF(inventory_snapshot!$B:$B,H454,inventory_snapshot!$E:$E)</f>
        <v>1502</v>
      </c>
      <c r="P454" s="24" t="str">
        <f t="shared" si="2"/>
        <v>OK</v>
      </c>
      <c r="Q454" s="24" t="str">
        <f t="shared" si="3"/>
        <v>OK</v>
      </c>
      <c r="R454" s="24" t="str">
        <f t="shared" si="4"/>
        <v>OK</v>
      </c>
      <c r="S454" s="24" t="str">
        <f t="shared" si="5"/>
        <v>Medium</v>
      </c>
    </row>
    <row r="455" ht="15.75" customHeight="1">
      <c r="A455" s="25" t="s">
        <v>607</v>
      </c>
      <c r="B455" s="26">
        <v>46130.0</v>
      </c>
      <c r="C455" s="25" t="s">
        <v>544</v>
      </c>
      <c r="D455" s="27" t="str">
        <f>IFERROR(VLOOKUP(C455,customer_lookup!$A:$E,2,FALSE),"")</f>
        <v>NY Account 0071</v>
      </c>
      <c r="E455" s="27" t="str">
        <f>IFERROR(VLOOKUP(C455,customer_lookup!$A:$E,3,FALSE),"")</f>
        <v>NY</v>
      </c>
      <c r="F455" s="28" t="str">
        <f>IFERROR(VLOOKUP(C455,customer_lookup!$A:$E,5,FALSE),"")</f>
        <v>Jordan</v>
      </c>
      <c r="G455" s="25" t="s">
        <v>89</v>
      </c>
      <c r="H455" s="25" t="s">
        <v>108</v>
      </c>
      <c r="I455" s="27" t="str">
        <f>IFERROR(VLOOKUP(H455,product_lookup!$A:$D,2,FALSE),"")</f>
        <v>Sour Tangerine THC Gummies</v>
      </c>
      <c r="J455" s="29">
        <v>96.0</v>
      </c>
      <c r="K455" s="30">
        <v>10.71</v>
      </c>
      <c r="L455" s="31">
        <f t="shared" si="1"/>
        <v>1028.16</v>
      </c>
      <c r="M455" s="25" t="s">
        <v>65</v>
      </c>
      <c r="N455" s="26">
        <v>46133.0</v>
      </c>
      <c r="O455" s="27">
        <f>SUMIF(inventory_snapshot!$B:$B,H455,inventory_snapshot!$E:$E)</f>
        <v>1679</v>
      </c>
      <c r="P455" s="32" t="str">
        <f t="shared" si="2"/>
        <v>OK</v>
      </c>
      <c r="Q455" s="32" t="str">
        <f t="shared" si="3"/>
        <v>OK</v>
      </c>
      <c r="R455" s="32" t="str">
        <f t="shared" si="4"/>
        <v>OK</v>
      </c>
      <c r="S455" s="32" t="str">
        <f t="shared" si="5"/>
        <v>Large</v>
      </c>
    </row>
    <row r="456" ht="15.75" customHeight="1">
      <c r="A456" s="17" t="s">
        <v>608</v>
      </c>
      <c r="B456" s="18">
        <v>46041.0</v>
      </c>
      <c r="C456" s="17" t="s">
        <v>555</v>
      </c>
      <c r="D456" s="19" t="str">
        <f>IFERROR(VLOOKUP(C456,customer_lookup!$A:$E,2,FALSE),"")</f>
        <v>CO Account 0112</v>
      </c>
      <c r="E456" s="19" t="str">
        <f>IFERROR(VLOOKUP(C456,customer_lookup!$A:$E,3,FALSE),"")</f>
        <v>CO</v>
      </c>
      <c r="F456" s="20" t="str">
        <f>IFERROR(VLOOKUP(C456,customer_lookup!$A:$E,5,FALSE),"")</f>
        <v>Jordan</v>
      </c>
      <c r="G456" s="17" t="s">
        <v>63</v>
      </c>
      <c r="H456" s="17" t="s">
        <v>81</v>
      </c>
      <c r="I456" s="19" t="str">
        <f>IFERROR(VLOOKUP(H456,product_lookup!$A:$D,2,FALSE),"")</f>
        <v>Lemon Sparkling Beverage</v>
      </c>
      <c r="J456" s="21">
        <v>12.0</v>
      </c>
      <c r="K456" s="22">
        <v>6.59</v>
      </c>
      <c r="L456" s="23">
        <f t="shared" si="1"/>
        <v>79.08</v>
      </c>
      <c r="M456" s="17" t="s">
        <v>65</v>
      </c>
      <c r="N456" s="18">
        <v>46050.0</v>
      </c>
      <c r="O456" s="19">
        <f>SUMIF(inventory_snapshot!$B:$B,H456,inventory_snapshot!$E:$E)</f>
        <v>1360</v>
      </c>
      <c r="P456" s="24" t="str">
        <f t="shared" si="2"/>
        <v>OK</v>
      </c>
      <c r="Q456" s="24" t="str">
        <f t="shared" si="3"/>
        <v>OK</v>
      </c>
      <c r="R456" s="24" t="str">
        <f t="shared" si="4"/>
        <v>OK</v>
      </c>
      <c r="S456" s="24" t="str">
        <f t="shared" si="5"/>
        <v>Small</v>
      </c>
    </row>
    <row r="457" ht="15.75" customHeight="1">
      <c r="A457" s="25" t="s">
        <v>609</v>
      </c>
      <c r="B457" s="26">
        <v>46046.0</v>
      </c>
      <c r="C457" s="25" t="s">
        <v>542</v>
      </c>
      <c r="D457" s="27" t="str">
        <f>IFERROR(VLOOKUP(C457,customer_lookup!$A:$E,2,FALSE),"")</f>
        <v>OR Account 0025</v>
      </c>
      <c r="E457" s="27" t="str">
        <f>IFERROR(VLOOKUP(C457,customer_lookup!$A:$E,3,FALSE),"")</f>
        <v>OR</v>
      </c>
      <c r="F457" s="28" t="str">
        <f>IFERROR(VLOOKUP(C457,customer_lookup!$A:$E,5,FALSE),"")</f>
        <v>Jordan</v>
      </c>
      <c r="G457" s="25" t="s">
        <v>89</v>
      </c>
      <c r="H457" s="25" t="s">
        <v>78</v>
      </c>
      <c r="I457" s="27" t="str">
        <f>IFERROR(VLOOKUP(H457,product_lookup!$A:$D,2,FALSE),"")</f>
        <v>Grapefruit 1:1:1 Gummies</v>
      </c>
      <c r="J457" s="29">
        <v>120.0</v>
      </c>
      <c r="K457" s="30">
        <v>11.39</v>
      </c>
      <c r="L457" s="31">
        <f t="shared" si="1"/>
        <v>1366.8</v>
      </c>
      <c r="M457" s="25" t="s">
        <v>65</v>
      </c>
      <c r="N457" s="26">
        <v>46055.0</v>
      </c>
      <c r="O457" s="27">
        <f>SUMIF(inventory_snapshot!$B:$B,H457,inventory_snapshot!$E:$E)</f>
        <v>1751</v>
      </c>
      <c r="P457" s="32" t="str">
        <f t="shared" si="2"/>
        <v>OK</v>
      </c>
      <c r="Q457" s="32" t="str">
        <f t="shared" si="3"/>
        <v>OK</v>
      </c>
      <c r="R457" s="32" t="str">
        <f t="shared" si="4"/>
        <v>OK</v>
      </c>
      <c r="S457" s="32" t="str">
        <f t="shared" si="5"/>
        <v>Large</v>
      </c>
    </row>
    <row r="458" ht="15.75" customHeight="1">
      <c r="A458" s="17" t="s">
        <v>610</v>
      </c>
      <c r="B458" s="18">
        <v>46143.0</v>
      </c>
      <c r="C458" s="17" t="s">
        <v>566</v>
      </c>
      <c r="D458" s="19" t="str">
        <f>IFERROR(VLOOKUP(C458,customer_lookup!$A:$E,2,FALSE),"")</f>
        <v>IL Account 0019</v>
      </c>
      <c r="E458" s="19" t="str">
        <f>IFERROR(VLOOKUP(C458,customer_lookup!$A:$E,3,FALSE),"")</f>
        <v>IL</v>
      </c>
      <c r="F458" s="20" t="str">
        <f>IFERROR(VLOOKUP(C458,customer_lookup!$A:$E,5,FALSE),"")</f>
        <v>Jordan</v>
      </c>
      <c r="G458" s="17" t="s">
        <v>63</v>
      </c>
      <c r="H458" s="17" t="s">
        <v>90</v>
      </c>
      <c r="I458" s="19" t="str">
        <f>IFERROR(VLOOKUP(H458,product_lookup!$A:$D,2,FALSE),"")</f>
        <v>Blackberry Sparkling Beverage</v>
      </c>
      <c r="J458" s="21">
        <v>36.0</v>
      </c>
      <c r="K458" s="22">
        <v>6.81</v>
      </c>
      <c r="L458" s="23">
        <f t="shared" si="1"/>
        <v>245.16</v>
      </c>
      <c r="M458" s="17" t="s">
        <v>65</v>
      </c>
      <c r="N458" s="18">
        <v>46148.0</v>
      </c>
      <c r="O458" s="19">
        <f>SUMIF(inventory_snapshot!$B:$B,H458,inventory_snapshot!$E:$E)</f>
        <v>1292</v>
      </c>
      <c r="P458" s="24" t="str">
        <f t="shared" si="2"/>
        <v>OK</v>
      </c>
      <c r="Q458" s="24" t="str">
        <f t="shared" si="3"/>
        <v>OK</v>
      </c>
      <c r="R458" s="24" t="str">
        <f t="shared" si="4"/>
        <v>OK</v>
      </c>
      <c r="S458" s="24" t="str">
        <f t="shared" si="5"/>
        <v>Small</v>
      </c>
    </row>
    <row r="459" ht="15.75" customHeight="1">
      <c r="A459" s="25" t="s">
        <v>611</v>
      </c>
      <c r="B459" s="26">
        <v>46104.0</v>
      </c>
      <c r="C459" s="25" t="s">
        <v>553</v>
      </c>
      <c r="D459" s="27" t="str">
        <f>IFERROR(VLOOKUP(C459,customer_lookup!$A:$E,2,FALSE),"")</f>
        <v>IL Account 0091</v>
      </c>
      <c r="E459" s="27" t="str">
        <f>IFERROR(VLOOKUP(C459,customer_lookup!$A:$E,3,FALSE),"")</f>
        <v>IL</v>
      </c>
      <c r="F459" s="28" t="str">
        <f>IFERROR(VLOOKUP(C459,customer_lookup!$A:$E,5,FALSE),"")</f>
        <v>Jordan</v>
      </c>
      <c r="G459" s="25" t="s">
        <v>63</v>
      </c>
      <c r="H459" s="25" t="s">
        <v>190</v>
      </c>
      <c r="I459" s="27" t="str">
        <f>IFERROR(VLOOKUP(H459,product_lookup!$A:$D,2,FALSE),"")</f>
        <v>Mango Sparkling Beverage</v>
      </c>
      <c r="J459" s="29">
        <v>30.0</v>
      </c>
      <c r="K459" s="30">
        <v>8.0</v>
      </c>
      <c r="L459" s="31">
        <f t="shared" si="1"/>
        <v>240</v>
      </c>
      <c r="M459" s="25" t="s">
        <v>97</v>
      </c>
      <c r="N459" s="26">
        <v>46107.0</v>
      </c>
      <c r="O459" s="27">
        <f>SUMIF(inventory_snapshot!$B:$B,H459,inventory_snapshot!$E:$E)</f>
        <v>1502</v>
      </c>
      <c r="P459" s="32" t="str">
        <f t="shared" si="2"/>
        <v>OK</v>
      </c>
      <c r="Q459" s="32" t="str">
        <f t="shared" si="3"/>
        <v>OK</v>
      </c>
      <c r="R459" s="32" t="str">
        <f t="shared" si="4"/>
        <v>OK</v>
      </c>
      <c r="S459" s="32" t="str">
        <f t="shared" si="5"/>
        <v>Small</v>
      </c>
    </row>
    <row r="460" ht="15.75" customHeight="1">
      <c r="A460" s="17" t="s">
        <v>612</v>
      </c>
      <c r="B460" s="18">
        <v>46034.0</v>
      </c>
      <c r="C460" s="17" t="s">
        <v>573</v>
      </c>
      <c r="D460" s="19" t="str">
        <f>IFERROR(VLOOKUP(C460,customer_lookup!$A:$E,2,FALSE),"")</f>
        <v>MI Account 0032</v>
      </c>
      <c r="E460" s="19" t="str">
        <f>IFERROR(VLOOKUP(C460,customer_lookup!$A:$E,3,FALSE),"")</f>
        <v>MI</v>
      </c>
      <c r="F460" s="20" t="str">
        <f>IFERROR(VLOOKUP(C460,customer_lookup!$A:$E,5,FALSE),"")</f>
        <v>Jordan</v>
      </c>
      <c r="G460" s="17" t="s">
        <v>63</v>
      </c>
      <c r="H460" s="17" t="s">
        <v>102</v>
      </c>
      <c r="I460" s="19" t="str">
        <f>IFERROR(VLOOKUP(H460,product_lookup!$A:$D,2,FALSE),"")</f>
        <v>Pomegranate 1:1 Gummies</v>
      </c>
      <c r="J460" s="21">
        <v>48.0</v>
      </c>
      <c r="K460" s="22">
        <v>11.38</v>
      </c>
      <c r="L460" s="23">
        <f t="shared" si="1"/>
        <v>546.24</v>
      </c>
      <c r="M460" s="17" t="s">
        <v>65</v>
      </c>
      <c r="N460" s="18">
        <v>46037.0</v>
      </c>
      <c r="O460" s="19">
        <f>SUMIF(inventory_snapshot!$B:$B,H460,inventory_snapshot!$E:$E)</f>
        <v>1493</v>
      </c>
      <c r="P460" s="24" t="str">
        <f t="shared" si="2"/>
        <v>OK</v>
      </c>
      <c r="Q460" s="24" t="str">
        <f t="shared" si="3"/>
        <v>OK</v>
      </c>
      <c r="R460" s="24" t="str">
        <f t="shared" si="4"/>
        <v>OK</v>
      </c>
      <c r="S460" s="24" t="str">
        <f t="shared" si="5"/>
        <v>Medium</v>
      </c>
    </row>
    <row r="461" ht="15.75" customHeight="1">
      <c r="A461" s="25" t="s">
        <v>613</v>
      </c>
      <c r="B461" s="26">
        <v>46115.0</v>
      </c>
      <c r="C461" s="25" t="s">
        <v>561</v>
      </c>
      <c r="D461" s="27" t="str">
        <f>IFERROR(VLOOKUP(C461,customer_lookup!$A:$E,2,FALSE),"")</f>
        <v>NV Account 0030</v>
      </c>
      <c r="E461" s="27" t="str">
        <f>IFERROR(VLOOKUP(C461,customer_lookup!$A:$E,3,FALSE),"")</f>
        <v>NV</v>
      </c>
      <c r="F461" s="28" t="str">
        <f>IFERROR(VLOOKUP(C461,customer_lookup!$A:$E,5,FALSE),"")</f>
        <v>Jordan</v>
      </c>
      <c r="G461" s="25" t="s">
        <v>89</v>
      </c>
      <c r="H461" s="25" t="s">
        <v>78</v>
      </c>
      <c r="I461" s="27" t="str">
        <f>IFERROR(VLOOKUP(H461,product_lookup!$A:$D,2,FALSE),"")</f>
        <v>Grapefruit 1:1:1 Gummies</v>
      </c>
      <c r="J461" s="29">
        <v>30.0</v>
      </c>
      <c r="K461" s="30">
        <v>11.4</v>
      </c>
      <c r="L461" s="31">
        <f t="shared" si="1"/>
        <v>342</v>
      </c>
      <c r="M461" s="25" t="s">
        <v>65</v>
      </c>
      <c r="N461" s="26">
        <v>46119.0</v>
      </c>
      <c r="O461" s="27">
        <f>SUMIF(inventory_snapshot!$B:$B,H461,inventory_snapshot!$E:$E)</f>
        <v>1751</v>
      </c>
      <c r="P461" s="32" t="str">
        <f t="shared" si="2"/>
        <v>OK</v>
      </c>
      <c r="Q461" s="32" t="str">
        <f t="shared" si="3"/>
        <v>OK</v>
      </c>
      <c r="R461" s="32" t="str">
        <f t="shared" si="4"/>
        <v>OK</v>
      </c>
      <c r="S461" s="32" t="str">
        <f t="shared" si="5"/>
        <v>Small</v>
      </c>
    </row>
    <row r="462" ht="15.75" customHeight="1">
      <c r="A462" s="17" t="s">
        <v>614</v>
      </c>
      <c r="B462" s="18">
        <v>46075.0</v>
      </c>
      <c r="C462" s="17" t="s">
        <v>588</v>
      </c>
      <c r="D462" s="19" t="str">
        <f>IFERROR(VLOOKUP(C462,customer_lookup!$A:$E,2,FALSE),"")</f>
        <v>MI Account 0104</v>
      </c>
      <c r="E462" s="19" t="str">
        <f>IFERROR(VLOOKUP(C462,customer_lookup!$A:$E,3,FALSE),"")</f>
        <v>MI</v>
      </c>
      <c r="F462" s="20" t="str">
        <f>IFERROR(VLOOKUP(C462,customer_lookup!$A:$E,5,FALSE),"")</f>
        <v>Jordan</v>
      </c>
      <c r="G462" s="17" t="s">
        <v>63</v>
      </c>
      <c r="H462" s="17" t="s">
        <v>115</v>
      </c>
      <c r="I462" s="19" t="str">
        <f>IFERROR(VLOOKUP(H462,product_lookup!$A:$D,2,FALSE),"")</f>
        <v>Pear 1:1 Gummies</v>
      </c>
      <c r="J462" s="21">
        <v>24.0</v>
      </c>
      <c r="K462" s="22">
        <v>12.05</v>
      </c>
      <c r="L462" s="23">
        <f t="shared" si="1"/>
        <v>289.2</v>
      </c>
      <c r="M462" s="17" t="s">
        <v>97</v>
      </c>
      <c r="N462" s="18">
        <v>46083.0</v>
      </c>
      <c r="O462" s="19">
        <f>SUMIF(inventory_snapshot!$B:$B,H462,inventory_snapshot!$E:$E)</f>
        <v>981</v>
      </c>
      <c r="P462" s="24" t="str">
        <f t="shared" si="2"/>
        <v>OK</v>
      </c>
      <c r="Q462" s="24" t="str">
        <f t="shared" si="3"/>
        <v>OK</v>
      </c>
      <c r="R462" s="24" t="str">
        <f t="shared" si="4"/>
        <v>OK</v>
      </c>
      <c r="S462" s="24" t="str">
        <f t="shared" si="5"/>
        <v>Small</v>
      </c>
    </row>
    <row r="463" ht="15.75" customHeight="1">
      <c r="A463" s="25" t="s">
        <v>615</v>
      </c>
      <c r="B463" s="26">
        <v>46121.0</v>
      </c>
      <c r="C463" s="25" t="s">
        <v>573</v>
      </c>
      <c r="D463" s="27" t="str">
        <f>IFERROR(VLOOKUP(C463,customer_lookup!$A:$E,2,FALSE),"")</f>
        <v>MI Account 0032</v>
      </c>
      <c r="E463" s="27" t="str">
        <f>IFERROR(VLOOKUP(C463,customer_lookup!$A:$E,3,FALSE),"")</f>
        <v>MI</v>
      </c>
      <c r="F463" s="28" t="str">
        <f>IFERROR(VLOOKUP(C463,customer_lookup!$A:$E,5,FALSE),"")</f>
        <v>Jordan</v>
      </c>
      <c r="G463" s="25" t="s">
        <v>63</v>
      </c>
      <c r="H463" s="25" t="s">
        <v>106</v>
      </c>
      <c r="I463" s="27" t="str">
        <f>IFERROR(VLOOKUP(H463,product_lookup!$A:$D,2,FALSE),"")</f>
        <v>Sour Cherry THC Gummies</v>
      </c>
      <c r="J463" s="29">
        <v>60.0</v>
      </c>
      <c r="K463" s="30">
        <v>10.21</v>
      </c>
      <c r="L463" s="31">
        <f t="shared" si="1"/>
        <v>612.6</v>
      </c>
      <c r="M463" s="25" t="s">
        <v>93</v>
      </c>
      <c r="N463" s="26">
        <v>46123.0</v>
      </c>
      <c r="O463" s="27">
        <f>SUMIF(inventory_snapshot!$B:$B,H463,inventory_snapshot!$E:$E)</f>
        <v>1313</v>
      </c>
      <c r="P463" s="32" t="str">
        <f t="shared" si="2"/>
        <v>OK</v>
      </c>
      <c r="Q463" s="32" t="str">
        <f t="shared" si="3"/>
        <v>OK</v>
      </c>
      <c r="R463" s="32" t="str">
        <f t="shared" si="4"/>
        <v>OK</v>
      </c>
      <c r="S463" s="32" t="str">
        <f t="shared" si="5"/>
        <v>Medium</v>
      </c>
    </row>
    <row r="464" ht="15.75" customHeight="1">
      <c r="A464" s="17" t="s">
        <v>616</v>
      </c>
      <c r="B464" s="18">
        <v>46094.0</v>
      </c>
      <c r="C464" s="17" t="s">
        <v>553</v>
      </c>
      <c r="D464" s="19" t="str">
        <f>IFERROR(VLOOKUP(C464,customer_lookup!$A:$E,2,FALSE),"")</f>
        <v>IL Account 0091</v>
      </c>
      <c r="E464" s="19" t="str">
        <f>IFERROR(VLOOKUP(C464,customer_lookup!$A:$E,3,FALSE),"")</f>
        <v>IL</v>
      </c>
      <c r="F464" s="20" t="str">
        <f>IFERROR(VLOOKUP(C464,customer_lookup!$A:$E,5,FALSE),"")</f>
        <v>Jordan</v>
      </c>
      <c r="G464" s="17" t="s">
        <v>63</v>
      </c>
      <c r="H464" s="17" t="s">
        <v>74</v>
      </c>
      <c r="I464" s="19" t="str">
        <f>IFERROR(VLOOKUP(H464,product_lookup!$A:$D,2,FALSE),"")</f>
        <v>Strawberry 20:1 Gummies</v>
      </c>
      <c r="J464" s="21">
        <v>30.0</v>
      </c>
      <c r="K464" s="22">
        <v>11.6</v>
      </c>
      <c r="L464" s="23">
        <f t="shared" si="1"/>
        <v>348</v>
      </c>
      <c r="M464" s="17" t="s">
        <v>65</v>
      </c>
      <c r="N464" s="18">
        <v>46103.0</v>
      </c>
      <c r="O464" s="19">
        <f>SUMIF(inventory_snapshot!$B:$B,H464,inventory_snapshot!$E:$E)</f>
        <v>2294</v>
      </c>
      <c r="P464" s="24" t="str">
        <f t="shared" si="2"/>
        <v>OK</v>
      </c>
      <c r="Q464" s="24" t="str">
        <f t="shared" si="3"/>
        <v>OK</v>
      </c>
      <c r="R464" s="24" t="str">
        <f t="shared" si="4"/>
        <v>OK</v>
      </c>
      <c r="S464" s="24" t="str">
        <f t="shared" si="5"/>
        <v>Small</v>
      </c>
    </row>
    <row r="465" ht="15.75" customHeight="1">
      <c r="A465" s="25" t="s">
        <v>617</v>
      </c>
      <c r="B465" s="26">
        <v>46069.0</v>
      </c>
      <c r="C465" s="25" t="s">
        <v>582</v>
      </c>
      <c r="D465" s="27" t="str">
        <f>IFERROR(VLOOKUP(C465,customer_lookup!$A:$E,2,FALSE),"")</f>
        <v>MO Account 0033</v>
      </c>
      <c r="E465" s="27" t="str">
        <f>IFERROR(VLOOKUP(C465,customer_lookup!$A:$E,3,FALSE),"")</f>
        <v>MO</v>
      </c>
      <c r="F465" s="28" t="str">
        <f>IFERROR(VLOOKUP(C465,customer_lookup!$A:$E,5,FALSE),"")</f>
        <v>Jordan</v>
      </c>
      <c r="G465" s="25" t="s">
        <v>89</v>
      </c>
      <c r="H465" s="25" t="s">
        <v>95</v>
      </c>
      <c r="I465" s="27" t="str">
        <f>IFERROR(VLOOKUP(H465,product_lookup!$A:$D,2,FALSE),"")</f>
        <v>Boysenberry 1:1:1 Gummies</v>
      </c>
      <c r="J465" s="29">
        <v>24.0</v>
      </c>
      <c r="K465" s="30">
        <v>10.72</v>
      </c>
      <c r="L465" s="31">
        <f t="shared" si="1"/>
        <v>257.28</v>
      </c>
      <c r="M465" s="25" t="s">
        <v>100</v>
      </c>
      <c r="N465" s="26">
        <v>46073.0</v>
      </c>
      <c r="O465" s="27">
        <f>SUMIF(inventory_snapshot!$B:$B,H465,inventory_snapshot!$E:$E)</f>
        <v>2007</v>
      </c>
      <c r="P465" s="32" t="str">
        <f t="shared" si="2"/>
        <v>OK</v>
      </c>
      <c r="Q465" s="32" t="str">
        <f t="shared" si="3"/>
        <v>OK</v>
      </c>
      <c r="R465" s="32" t="str">
        <f t="shared" si="4"/>
        <v>OK</v>
      </c>
      <c r="S465" s="32" t="str">
        <f t="shared" si="5"/>
        <v>Small</v>
      </c>
    </row>
    <row r="466" ht="15.75" customHeight="1">
      <c r="A466" s="17" t="s">
        <v>618</v>
      </c>
      <c r="B466" s="18">
        <v>46057.0</v>
      </c>
      <c r="C466" s="17" t="s">
        <v>575</v>
      </c>
      <c r="D466" s="19" t="str">
        <f>IFERROR(VLOOKUP(C466,customer_lookup!$A:$E,2,FALSE),"")</f>
        <v>MI Account 0008</v>
      </c>
      <c r="E466" s="19" t="str">
        <f>IFERROR(VLOOKUP(C466,customer_lookup!$A:$E,3,FALSE),"")</f>
        <v>MI</v>
      </c>
      <c r="F466" s="20" t="str">
        <f>IFERROR(VLOOKUP(C466,customer_lookup!$A:$E,5,FALSE),"")</f>
        <v>Jordan</v>
      </c>
      <c r="G466" s="17" t="s">
        <v>63</v>
      </c>
      <c r="H466" s="17" t="s">
        <v>71</v>
      </c>
      <c r="I466" s="19" t="str">
        <f>IFERROR(VLOOKUP(H466,product_lookup!$A:$D,2,FALSE),"")</f>
        <v>Pineapple Sparkling Beverage</v>
      </c>
      <c r="J466" s="21">
        <v>72.0</v>
      </c>
      <c r="K466" s="22">
        <v>7.04</v>
      </c>
      <c r="L466" s="23">
        <f t="shared" si="1"/>
        <v>506.88</v>
      </c>
      <c r="M466" s="17" t="s">
        <v>100</v>
      </c>
      <c r="N466" s="18">
        <v>46061.0</v>
      </c>
      <c r="O466" s="19">
        <f>SUMIF(inventory_snapshot!$B:$B,H466,inventory_snapshot!$E:$E)</f>
        <v>1145</v>
      </c>
      <c r="P466" s="24" t="str">
        <f t="shared" si="2"/>
        <v>OK</v>
      </c>
      <c r="Q466" s="24" t="str">
        <f t="shared" si="3"/>
        <v>OK</v>
      </c>
      <c r="R466" s="24" t="str">
        <f t="shared" si="4"/>
        <v>OK</v>
      </c>
      <c r="S466" s="24" t="str">
        <f t="shared" si="5"/>
        <v>Medium</v>
      </c>
    </row>
    <row r="467" ht="15.75" customHeight="1">
      <c r="A467" s="25" t="s">
        <v>619</v>
      </c>
      <c r="B467" s="26">
        <v>46131.0</v>
      </c>
      <c r="C467" s="25" t="s">
        <v>544</v>
      </c>
      <c r="D467" s="27" t="str">
        <f>IFERROR(VLOOKUP(C467,customer_lookup!$A:$E,2,FALSE),"")</f>
        <v>NY Account 0071</v>
      </c>
      <c r="E467" s="27" t="str">
        <f>IFERROR(VLOOKUP(C467,customer_lookup!$A:$E,3,FALSE),"")</f>
        <v>NY</v>
      </c>
      <c r="F467" s="28" t="str">
        <f>IFERROR(VLOOKUP(C467,customer_lookup!$A:$E,5,FALSE),"")</f>
        <v>Jordan</v>
      </c>
      <c r="G467" s="25" t="s">
        <v>89</v>
      </c>
      <c r="H467" s="25" t="s">
        <v>92</v>
      </c>
      <c r="I467" s="27" t="str">
        <f>IFERROR(VLOOKUP(H467,product_lookup!$A:$D,2,FALSE),"")</f>
        <v>Raspberry THC Gummies</v>
      </c>
      <c r="J467" s="29">
        <v>36.0</v>
      </c>
      <c r="K467" s="30">
        <v>10.32</v>
      </c>
      <c r="L467" s="31">
        <f t="shared" si="1"/>
        <v>371.52</v>
      </c>
      <c r="M467" s="25" t="s">
        <v>65</v>
      </c>
      <c r="N467" s="26">
        <v>46137.0</v>
      </c>
      <c r="O467" s="27">
        <f>SUMIF(inventory_snapshot!$B:$B,H467,inventory_snapshot!$E:$E)</f>
        <v>1417</v>
      </c>
      <c r="P467" s="32" t="str">
        <f t="shared" si="2"/>
        <v>OK</v>
      </c>
      <c r="Q467" s="32" t="str">
        <f t="shared" si="3"/>
        <v>OK</v>
      </c>
      <c r="R467" s="32" t="str">
        <f t="shared" si="4"/>
        <v>OK</v>
      </c>
      <c r="S467" s="32" t="str">
        <f t="shared" si="5"/>
        <v>Small</v>
      </c>
    </row>
    <row r="468" ht="15.75" customHeight="1">
      <c r="A468" s="17" t="s">
        <v>620</v>
      </c>
      <c r="B468" s="18">
        <v>46073.0</v>
      </c>
      <c r="C468" s="17" t="s">
        <v>593</v>
      </c>
      <c r="D468" s="19" t="str">
        <f>IFERROR(VLOOKUP(C468,customer_lookup!$A:$E,2,FALSE),"")</f>
        <v>WA Account 0026</v>
      </c>
      <c r="E468" s="19" t="str">
        <f>IFERROR(VLOOKUP(C468,customer_lookup!$A:$E,3,FALSE),"")</f>
        <v>WA</v>
      </c>
      <c r="F468" s="20" t="str">
        <f>IFERROR(VLOOKUP(C468,customer_lookup!$A:$E,5,FALSE),"")</f>
        <v>Jordan</v>
      </c>
      <c r="G468" s="17" t="s">
        <v>89</v>
      </c>
      <c r="H468" s="17" t="s">
        <v>90</v>
      </c>
      <c r="I468" s="19" t="str">
        <f>IFERROR(VLOOKUP(H468,product_lookup!$A:$D,2,FALSE),"")</f>
        <v>Blackberry Sparkling Beverage</v>
      </c>
      <c r="J468" s="21">
        <v>120.0</v>
      </c>
      <c r="K468" s="22">
        <v>7.61</v>
      </c>
      <c r="L468" s="23">
        <f t="shared" si="1"/>
        <v>913.2</v>
      </c>
      <c r="M468" s="17" t="s">
        <v>65</v>
      </c>
      <c r="N468" s="18">
        <v>46082.0</v>
      </c>
      <c r="O468" s="19">
        <f>SUMIF(inventory_snapshot!$B:$B,H468,inventory_snapshot!$E:$E)</f>
        <v>1292</v>
      </c>
      <c r="P468" s="24" t="str">
        <f t="shared" si="2"/>
        <v>OK</v>
      </c>
      <c r="Q468" s="24" t="str">
        <f t="shared" si="3"/>
        <v>OK</v>
      </c>
      <c r="R468" s="24" t="str">
        <f t="shared" si="4"/>
        <v>OK</v>
      </c>
      <c r="S468" s="24" t="str">
        <f t="shared" si="5"/>
        <v>Medium</v>
      </c>
    </row>
    <row r="469" ht="15.75" customHeight="1">
      <c r="A469" s="25" t="s">
        <v>621</v>
      </c>
      <c r="B469" s="26">
        <v>46058.0</v>
      </c>
      <c r="C469" s="25" t="s">
        <v>540</v>
      </c>
      <c r="D469" s="27" t="str">
        <f>IFERROR(VLOOKUP(C469,customer_lookup!$A:$E,2,FALSE),"")</f>
        <v>CO Account 0004</v>
      </c>
      <c r="E469" s="27" t="str">
        <f>IFERROR(VLOOKUP(C469,customer_lookup!$A:$E,3,FALSE),"")</f>
        <v>CO</v>
      </c>
      <c r="F469" s="28" t="str">
        <f>IFERROR(VLOOKUP(C469,customer_lookup!$A:$E,5,FALSE),"")</f>
        <v>Jordan</v>
      </c>
      <c r="G469" s="25" t="s">
        <v>67</v>
      </c>
      <c r="H469" s="25" t="s">
        <v>81</v>
      </c>
      <c r="I469" s="27" t="str">
        <f>IFERROR(VLOOKUP(H469,product_lookup!$A:$D,2,FALSE),"")</f>
        <v>Lemon Sparkling Beverage</v>
      </c>
      <c r="J469" s="29">
        <v>24.0</v>
      </c>
      <c r="K469" s="30">
        <v>6.74</v>
      </c>
      <c r="L469" s="31">
        <f t="shared" si="1"/>
        <v>161.76</v>
      </c>
      <c r="M469" s="25" t="s">
        <v>93</v>
      </c>
      <c r="N469" s="26">
        <v>46060.0</v>
      </c>
      <c r="O469" s="27">
        <f>SUMIF(inventory_snapshot!$B:$B,H469,inventory_snapshot!$E:$E)</f>
        <v>1360</v>
      </c>
      <c r="P469" s="32" t="str">
        <f t="shared" si="2"/>
        <v>OK</v>
      </c>
      <c r="Q469" s="32" t="str">
        <f t="shared" si="3"/>
        <v>OK</v>
      </c>
      <c r="R469" s="32" t="str">
        <f t="shared" si="4"/>
        <v>OK</v>
      </c>
      <c r="S469" s="32" t="str">
        <f t="shared" si="5"/>
        <v>Small</v>
      </c>
    </row>
    <row r="470" ht="15.75" customHeight="1">
      <c r="A470" s="17" t="s">
        <v>622</v>
      </c>
      <c r="B470" s="18">
        <v>46139.0</v>
      </c>
      <c r="C470" s="17" t="s">
        <v>553</v>
      </c>
      <c r="D470" s="19" t="str">
        <f>IFERROR(VLOOKUP(C470,customer_lookup!$A:$E,2,FALSE),"")</f>
        <v>IL Account 0091</v>
      </c>
      <c r="E470" s="19" t="str">
        <f>IFERROR(VLOOKUP(C470,customer_lookup!$A:$E,3,FALSE),"")</f>
        <v>IL</v>
      </c>
      <c r="F470" s="20" t="str">
        <f>IFERROR(VLOOKUP(C470,customer_lookup!$A:$E,5,FALSE),"")</f>
        <v>Jordan</v>
      </c>
      <c r="G470" s="17" t="s">
        <v>67</v>
      </c>
      <c r="H470" s="17" t="s">
        <v>190</v>
      </c>
      <c r="I470" s="19" t="str">
        <f>IFERROR(VLOOKUP(H470,product_lookup!$A:$D,2,FALSE),"")</f>
        <v>Mango Sparkling Beverage</v>
      </c>
      <c r="J470" s="21">
        <v>18.0</v>
      </c>
      <c r="K470" s="22">
        <v>7.4</v>
      </c>
      <c r="L470" s="23">
        <f t="shared" si="1"/>
        <v>133.2</v>
      </c>
      <c r="M470" s="17" t="s">
        <v>93</v>
      </c>
      <c r="N470" s="18">
        <v>46149.0</v>
      </c>
      <c r="O470" s="19">
        <f>SUMIF(inventory_snapshot!$B:$B,H470,inventory_snapshot!$E:$E)</f>
        <v>1502</v>
      </c>
      <c r="P470" s="24" t="str">
        <f t="shared" si="2"/>
        <v>OK</v>
      </c>
      <c r="Q470" s="24" t="str">
        <f t="shared" si="3"/>
        <v>OK</v>
      </c>
      <c r="R470" s="24" t="str">
        <f t="shared" si="4"/>
        <v>OK</v>
      </c>
      <c r="S470" s="24" t="str">
        <f t="shared" si="5"/>
        <v>Small</v>
      </c>
    </row>
    <row r="471" ht="15.75" customHeight="1">
      <c r="A471" s="25" t="s">
        <v>623</v>
      </c>
      <c r="B471" s="26">
        <v>46079.0</v>
      </c>
      <c r="C471" s="25" t="s">
        <v>542</v>
      </c>
      <c r="D471" s="27" t="str">
        <f>IFERROR(VLOOKUP(C471,customer_lookup!$A:$E,2,FALSE),"")</f>
        <v>OR Account 0025</v>
      </c>
      <c r="E471" s="27" t="str">
        <f>IFERROR(VLOOKUP(C471,customer_lookup!$A:$E,3,FALSE),"")</f>
        <v>OR</v>
      </c>
      <c r="F471" s="28" t="str">
        <f>IFERROR(VLOOKUP(C471,customer_lookup!$A:$E,5,FALSE),"")</f>
        <v>Jordan</v>
      </c>
      <c r="G471" s="25" t="s">
        <v>63</v>
      </c>
      <c r="H471" s="25" t="s">
        <v>102</v>
      </c>
      <c r="I471" s="27" t="str">
        <f>IFERROR(VLOOKUP(H471,product_lookup!$A:$D,2,FALSE),"")</f>
        <v>Pomegranate 1:1 Gummies</v>
      </c>
      <c r="J471" s="29">
        <v>48.0</v>
      </c>
      <c r="K471" s="30">
        <v>11.85</v>
      </c>
      <c r="L471" s="31">
        <f t="shared" si="1"/>
        <v>568.8</v>
      </c>
      <c r="M471" s="25" t="s">
        <v>65</v>
      </c>
      <c r="N471" s="26">
        <v>46082.0</v>
      </c>
      <c r="O471" s="27">
        <f>SUMIF(inventory_snapshot!$B:$B,H471,inventory_snapshot!$E:$E)</f>
        <v>1493</v>
      </c>
      <c r="P471" s="32" t="str">
        <f t="shared" si="2"/>
        <v>OK</v>
      </c>
      <c r="Q471" s="32" t="str">
        <f t="shared" si="3"/>
        <v>OK</v>
      </c>
      <c r="R471" s="32" t="str">
        <f t="shared" si="4"/>
        <v>OK</v>
      </c>
      <c r="S471" s="32" t="str">
        <f t="shared" si="5"/>
        <v>Medium</v>
      </c>
    </row>
    <row r="472" ht="15.75" customHeight="1">
      <c r="A472" s="17" t="s">
        <v>624</v>
      </c>
      <c r="B472" s="18">
        <v>46028.0</v>
      </c>
      <c r="C472" s="17" t="s">
        <v>544</v>
      </c>
      <c r="D472" s="19" t="str">
        <f>IFERROR(VLOOKUP(C472,customer_lookup!$A:$E,2,FALSE),"")</f>
        <v>NY Account 0071</v>
      </c>
      <c r="E472" s="19" t="str">
        <f>IFERROR(VLOOKUP(C472,customer_lookup!$A:$E,3,FALSE),"")</f>
        <v>NY</v>
      </c>
      <c r="F472" s="20" t="str">
        <f>IFERROR(VLOOKUP(C472,customer_lookup!$A:$E,5,FALSE),"")</f>
        <v>Jordan</v>
      </c>
      <c r="G472" s="17" t="s">
        <v>67</v>
      </c>
      <c r="H472" s="17" t="s">
        <v>106</v>
      </c>
      <c r="I472" s="19" t="str">
        <f>IFERROR(VLOOKUP(H472,product_lookup!$A:$D,2,FALSE),"")</f>
        <v>Sour Cherry THC Gummies</v>
      </c>
      <c r="J472" s="21">
        <v>18.0</v>
      </c>
      <c r="K472" s="22">
        <v>11.64</v>
      </c>
      <c r="L472" s="23">
        <f t="shared" si="1"/>
        <v>209.52</v>
      </c>
      <c r="M472" s="17" t="s">
        <v>65</v>
      </c>
      <c r="N472" s="18">
        <v>46031.0</v>
      </c>
      <c r="O472" s="19">
        <f>SUMIF(inventory_snapshot!$B:$B,H472,inventory_snapshot!$E:$E)</f>
        <v>1313</v>
      </c>
      <c r="P472" s="24" t="str">
        <f t="shared" si="2"/>
        <v>OK</v>
      </c>
      <c r="Q472" s="24" t="str">
        <f t="shared" si="3"/>
        <v>OK</v>
      </c>
      <c r="R472" s="24" t="str">
        <f t="shared" si="4"/>
        <v>OK</v>
      </c>
      <c r="S472" s="24" t="str">
        <f t="shared" si="5"/>
        <v>Small</v>
      </c>
    </row>
    <row r="473" ht="15.75" customHeight="1">
      <c r="A473" s="25" t="s">
        <v>625</v>
      </c>
      <c r="B473" s="26">
        <v>46102.0</v>
      </c>
      <c r="C473" s="25" t="s">
        <v>593</v>
      </c>
      <c r="D473" s="27" t="str">
        <f>IFERROR(VLOOKUP(C473,customer_lookup!$A:$E,2,FALSE),"")</f>
        <v>WA Account 0026</v>
      </c>
      <c r="E473" s="27" t="str">
        <f>IFERROR(VLOOKUP(C473,customer_lookup!$A:$E,3,FALSE),"")</f>
        <v>WA</v>
      </c>
      <c r="F473" s="28" t="str">
        <f>IFERROR(VLOOKUP(C473,customer_lookup!$A:$E,5,FALSE),"")</f>
        <v>Jordan</v>
      </c>
      <c r="G473" s="25" t="s">
        <v>63</v>
      </c>
      <c r="H473" s="25" t="s">
        <v>156</v>
      </c>
      <c r="I473" s="27" t="str">
        <f>IFERROR(VLOOKUP(H473,product_lookup!$A:$D,2,FALSE),"")</f>
        <v>Blood Orange 1:1 Gummies</v>
      </c>
      <c r="J473" s="29">
        <v>30.0</v>
      </c>
      <c r="K473" s="30">
        <v>9.02</v>
      </c>
      <c r="L473" s="31">
        <f t="shared" si="1"/>
        <v>270.6</v>
      </c>
      <c r="M473" s="25" t="s">
        <v>65</v>
      </c>
      <c r="N473" s="26">
        <v>46103.0</v>
      </c>
      <c r="O473" s="27">
        <f>SUMIF(inventory_snapshot!$B:$B,H473,inventory_snapshot!$E:$E)</f>
        <v>1589</v>
      </c>
      <c r="P473" s="32" t="str">
        <f t="shared" si="2"/>
        <v>OK</v>
      </c>
      <c r="Q473" s="32" t="str">
        <f t="shared" si="3"/>
        <v>OK</v>
      </c>
      <c r="R473" s="32" t="str">
        <f t="shared" si="4"/>
        <v>OK</v>
      </c>
      <c r="S473" s="32" t="str">
        <f t="shared" si="5"/>
        <v>Small</v>
      </c>
    </row>
    <row r="474" ht="15.75" customHeight="1">
      <c r="A474" s="17" t="s">
        <v>626</v>
      </c>
      <c r="B474" s="18">
        <v>46113.0</v>
      </c>
      <c r="C474" s="17" t="s">
        <v>550</v>
      </c>
      <c r="D474" s="19" t="str">
        <f>IFERROR(VLOOKUP(C474,customer_lookup!$A:$E,2,FALSE),"")</f>
        <v>IL Account 0079</v>
      </c>
      <c r="E474" s="19" t="str">
        <f>IFERROR(VLOOKUP(C474,customer_lookup!$A:$E,3,FALSE),"")</f>
        <v>IL</v>
      </c>
      <c r="F474" s="20" t="str">
        <f>IFERROR(VLOOKUP(C474,customer_lookup!$A:$E,5,FALSE),"")</f>
        <v>Jordan</v>
      </c>
      <c r="G474" s="17" t="s">
        <v>63</v>
      </c>
      <c r="H474" s="17" t="s">
        <v>123</v>
      </c>
      <c r="I474" s="19" t="str">
        <f>IFERROR(VLOOKUP(H474,product_lookup!$A:$D,2,FALSE),"")</f>
        <v>Peach 2:1 Gummies</v>
      </c>
      <c r="J474" s="21">
        <v>30.0</v>
      </c>
      <c r="K474" s="22">
        <v>11.78</v>
      </c>
      <c r="L474" s="23">
        <f t="shared" si="1"/>
        <v>353.4</v>
      </c>
      <c r="M474" s="17" t="s">
        <v>100</v>
      </c>
      <c r="N474" s="18">
        <v>46115.0</v>
      </c>
      <c r="O474" s="19">
        <f>SUMIF(inventory_snapshot!$B:$B,H474,inventory_snapshot!$E:$E)</f>
        <v>1732</v>
      </c>
      <c r="P474" s="24" t="str">
        <f t="shared" si="2"/>
        <v>OK</v>
      </c>
      <c r="Q474" s="24" t="str">
        <f t="shared" si="3"/>
        <v>OK</v>
      </c>
      <c r="R474" s="24" t="str">
        <f t="shared" si="4"/>
        <v>OK</v>
      </c>
      <c r="S474" s="24" t="str">
        <f t="shared" si="5"/>
        <v>Small</v>
      </c>
    </row>
    <row r="475" ht="15.75" customHeight="1">
      <c r="A475" s="25" t="s">
        <v>627</v>
      </c>
      <c r="B475" s="26">
        <v>46075.0</v>
      </c>
      <c r="C475" s="25" t="s">
        <v>550</v>
      </c>
      <c r="D475" s="27" t="str">
        <f>IFERROR(VLOOKUP(C475,customer_lookup!$A:$E,2,FALSE),"")</f>
        <v>IL Account 0079</v>
      </c>
      <c r="E475" s="27" t="str">
        <f>IFERROR(VLOOKUP(C475,customer_lookup!$A:$E,3,FALSE),"")</f>
        <v>IL</v>
      </c>
      <c r="F475" s="28" t="str">
        <f>IFERROR(VLOOKUP(C475,customer_lookup!$A:$E,5,FALSE),"")</f>
        <v>Jordan</v>
      </c>
      <c r="G475" s="25" t="s">
        <v>63</v>
      </c>
      <c r="H475" s="25" t="s">
        <v>108</v>
      </c>
      <c r="I475" s="27" t="str">
        <f>IFERROR(VLOOKUP(H475,product_lookup!$A:$D,2,FALSE),"")</f>
        <v>Sour Tangerine THC Gummies</v>
      </c>
      <c r="J475" s="29">
        <v>6.0</v>
      </c>
      <c r="K475" s="30">
        <v>10.39</v>
      </c>
      <c r="L475" s="31">
        <f t="shared" si="1"/>
        <v>62.34</v>
      </c>
      <c r="M475" s="25" t="s">
        <v>65</v>
      </c>
      <c r="N475" s="26">
        <v>46076.0</v>
      </c>
      <c r="O475" s="27">
        <f>SUMIF(inventory_snapshot!$B:$B,H475,inventory_snapshot!$E:$E)</f>
        <v>1679</v>
      </c>
      <c r="P475" s="32" t="str">
        <f t="shared" si="2"/>
        <v>OK</v>
      </c>
      <c r="Q475" s="32" t="str">
        <f t="shared" si="3"/>
        <v>OK</v>
      </c>
      <c r="R475" s="32" t="str">
        <f t="shared" si="4"/>
        <v>OK</v>
      </c>
      <c r="S475" s="32" t="str">
        <f t="shared" si="5"/>
        <v>Small</v>
      </c>
    </row>
    <row r="476" ht="15.75" customHeight="1">
      <c r="A476" s="17" t="s">
        <v>628</v>
      </c>
      <c r="B476" s="18">
        <v>46062.0</v>
      </c>
      <c r="C476" s="17" t="s">
        <v>582</v>
      </c>
      <c r="D476" s="19" t="str">
        <f>IFERROR(VLOOKUP(C476,customer_lookup!$A:$E,2,FALSE),"")</f>
        <v>MO Account 0033</v>
      </c>
      <c r="E476" s="19" t="str">
        <f>IFERROR(VLOOKUP(C476,customer_lookup!$A:$E,3,FALSE),"")</f>
        <v>MO</v>
      </c>
      <c r="F476" s="20" t="str">
        <f>IFERROR(VLOOKUP(C476,customer_lookup!$A:$E,5,FALSE),"")</f>
        <v>Jordan</v>
      </c>
      <c r="G476" s="17" t="s">
        <v>63</v>
      </c>
      <c r="H476" s="17" t="s">
        <v>110</v>
      </c>
      <c r="I476" s="19" t="str">
        <f>IFERROR(VLOOKUP(H476,product_lookup!$A:$D,2,FALSE),"")</f>
        <v>Elderberry 2:1 Gummies</v>
      </c>
      <c r="J476" s="21">
        <v>30.0</v>
      </c>
      <c r="K476" s="22">
        <v>11.01</v>
      </c>
      <c r="L476" s="23">
        <f t="shared" si="1"/>
        <v>330.3</v>
      </c>
      <c r="M476" s="17" t="s">
        <v>97</v>
      </c>
      <c r="N476" s="18">
        <v>46068.0</v>
      </c>
      <c r="O476" s="19">
        <f>SUMIF(inventory_snapshot!$B:$B,H476,inventory_snapshot!$E:$E)</f>
        <v>1633</v>
      </c>
      <c r="P476" s="24" t="str">
        <f t="shared" si="2"/>
        <v>OK</v>
      </c>
      <c r="Q476" s="24" t="str">
        <f t="shared" si="3"/>
        <v>OK</v>
      </c>
      <c r="R476" s="24" t="str">
        <f t="shared" si="4"/>
        <v>OK</v>
      </c>
      <c r="S476" s="24" t="str">
        <f t="shared" si="5"/>
        <v>Small</v>
      </c>
    </row>
    <row r="477" ht="15.75" customHeight="1">
      <c r="A477" s="25" t="s">
        <v>629</v>
      </c>
      <c r="B477" s="26">
        <v>46129.0</v>
      </c>
      <c r="C477" s="25" t="s">
        <v>550</v>
      </c>
      <c r="D477" s="27" t="str">
        <f>IFERROR(VLOOKUP(C477,customer_lookup!$A:$E,2,FALSE),"")</f>
        <v>IL Account 0079</v>
      </c>
      <c r="E477" s="27" t="str">
        <f>IFERROR(VLOOKUP(C477,customer_lookup!$A:$E,3,FALSE),"")</f>
        <v>IL</v>
      </c>
      <c r="F477" s="28" t="str">
        <f>IFERROR(VLOOKUP(C477,customer_lookup!$A:$E,5,FALSE),"")</f>
        <v>Jordan</v>
      </c>
      <c r="G477" s="25" t="s">
        <v>89</v>
      </c>
      <c r="H477" s="25" t="s">
        <v>156</v>
      </c>
      <c r="I477" s="27" t="str">
        <f>IFERROR(VLOOKUP(H477,product_lookup!$A:$D,2,FALSE),"")</f>
        <v>Blood Orange 1:1 Gummies</v>
      </c>
      <c r="J477" s="29">
        <v>18.0</v>
      </c>
      <c r="K477" s="30">
        <v>9.39</v>
      </c>
      <c r="L477" s="31">
        <f t="shared" si="1"/>
        <v>169.02</v>
      </c>
      <c r="M477" s="25" t="s">
        <v>65</v>
      </c>
      <c r="N477" s="26">
        <v>46137.0</v>
      </c>
      <c r="O477" s="27">
        <f>SUMIF(inventory_snapshot!$B:$B,H477,inventory_snapshot!$E:$E)</f>
        <v>1589</v>
      </c>
      <c r="P477" s="32" t="str">
        <f t="shared" si="2"/>
        <v>OK</v>
      </c>
      <c r="Q477" s="32" t="str">
        <f t="shared" si="3"/>
        <v>OK</v>
      </c>
      <c r="R477" s="32" t="str">
        <f t="shared" si="4"/>
        <v>OK</v>
      </c>
      <c r="S477" s="32" t="str">
        <f t="shared" si="5"/>
        <v>Small</v>
      </c>
    </row>
    <row r="478" ht="15.75" customHeight="1">
      <c r="A478" s="17" t="s">
        <v>630</v>
      </c>
      <c r="B478" s="18">
        <v>46096.0</v>
      </c>
      <c r="C478" s="17" t="s">
        <v>566</v>
      </c>
      <c r="D478" s="19" t="str">
        <f>IFERROR(VLOOKUP(C478,customer_lookup!$A:$E,2,FALSE),"")</f>
        <v>IL Account 0019</v>
      </c>
      <c r="E478" s="19" t="str">
        <f>IFERROR(VLOOKUP(C478,customer_lookup!$A:$E,3,FALSE),"")</f>
        <v>IL</v>
      </c>
      <c r="F478" s="20" t="str">
        <f>IFERROR(VLOOKUP(C478,customer_lookup!$A:$E,5,FALSE),"")</f>
        <v>Jordan</v>
      </c>
      <c r="G478" s="17" t="s">
        <v>89</v>
      </c>
      <c r="H478" s="17" t="s">
        <v>102</v>
      </c>
      <c r="I478" s="19" t="str">
        <f>IFERROR(VLOOKUP(H478,product_lookup!$A:$D,2,FALSE),"")</f>
        <v>Pomegranate 1:1 Gummies</v>
      </c>
      <c r="J478" s="21">
        <v>24.0</v>
      </c>
      <c r="K478" s="22">
        <v>10.28</v>
      </c>
      <c r="L478" s="23">
        <f t="shared" si="1"/>
        <v>246.72</v>
      </c>
      <c r="M478" s="17" t="s">
        <v>97</v>
      </c>
      <c r="N478" s="18">
        <v>46105.0</v>
      </c>
      <c r="O478" s="19">
        <f>SUMIF(inventory_snapshot!$B:$B,H478,inventory_snapshot!$E:$E)</f>
        <v>1493</v>
      </c>
      <c r="P478" s="24" t="str">
        <f t="shared" si="2"/>
        <v>OK</v>
      </c>
      <c r="Q478" s="24" t="str">
        <f t="shared" si="3"/>
        <v>OK</v>
      </c>
      <c r="R478" s="24" t="str">
        <f t="shared" si="4"/>
        <v>OK</v>
      </c>
      <c r="S478" s="24" t="str">
        <f t="shared" si="5"/>
        <v>Small</v>
      </c>
    </row>
    <row r="479" ht="15.75" customHeight="1">
      <c r="A479" s="25" t="s">
        <v>631</v>
      </c>
      <c r="B479" s="26">
        <v>46083.0</v>
      </c>
      <c r="C479" s="25" t="s">
        <v>553</v>
      </c>
      <c r="D479" s="27" t="str">
        <f>IFERROR(VLOOKUP(C479,customer_lookup!$A:$E,2,FALSE),"")</f>
        <v>IL Account 0091</v>
      </c>
      <c r="E479" s="27" t="str">
        <f>IFERROR(VLOOKUP(C479,customer_lookup!$A:$E,3,FALSE),"")</f>
        <v>IL</v>
      </c>
      <c r="F479" s="28" t="str">
        <f>IFERROR(VLOOKUP(C479,customer_lookup!$A:$E,5,FALSE),"")</f>
        <v>Jordan</v>
      </c>
      <c r="G479" s="25" t="s">
        <v>89</v>
      </c>
      <c r="H479" s="25" t="s">
        <v>74</v>
      </c>
      <c r="I479" s="27" t="str">
        <f>IFERROR(VLOOKUP(H479,product_lookup!$A:$D,2,FALSE),"")</f>
        <v>Strawberry 20:1 Gummies</v>
      </c>
      <c r="J479" s="29">
        <v>24.0</v>
      </c>
      <c r="K479" s="30">
        <v>12.53</v>
      </c>
      <c r="L479" s="31">
        <f t="shared" si="1"/>
        <v>300.72</v>
      </c>
      <c r="M479" s="25" t="s">
        <v>97</v>
      </c>
      <c r="N479" s="26">
        <v>46088.0</v>
      </c>
      <c r="O479" s="27">
        <f>SUMIF(inventory_snapshot!$B:$B,H479,inventory_snapshot!$E:$E)</f>
        <v>2294</v>
      </c>
      <c r="P479" s="32" t="str">
        <f t="shared" si="2"/>
        <v>OK</v>
      </c>
      <c r="Q479" s="32" t="str">
        <f t="shared" si="3"/>
        <v>OK</v>
      </c>
      <c r="R479" s="32" t="str">
        <f t="shared" si="4"/>
        <v>OK</v>
      </c>
      <c r="S479" s="32" t="str">
        <f t="shared" si="5"/>
        <v>Small</v>
      </c>
    </row>
    <row r="480" ht="15.75" customHeight="1">
      <c r="A480" s="17" t="s">
        <v>632</v>
      </c>
      <c r="B480" s="18">
        <v>46050.0</v>
      </c>
      <c r="C480" s="17" t="s">
        <v>575</v>
      </c>
      <c r="D480" s="19" t="str">
        <f>IFERROR(VLOOKUP(C480,customer_lookup!$A:$E,2,FALSE),"")</f>
        <v>MI Account 0008</v>
      </c>
      <c r="E480" s="19" t="str">
        <f>IFERROR(VLOOKUP(C480,customer_lookup!$A:$E,3,FALSE),"")</f>
        <v>MI</v>
      </c>
      <c r="F480" s="20" t="str">
        <f>IFERROR(VLOOKUP(C480,customer_lookup!$A:$E,5,FALSE),"")</f>
        <v>Jordan</v>
      </c>
      <c r="G480" s="17" t="s">
        <v>63</v>
      </c>
      <c r="H480" s="17" t="s">
        <v>110</v>
      </c>
      <c r="I480" s="19" t="str">
        <f>IFERROR(VLOOKUP(H480,product_lookup!$A:$D,2,FALSE),"")</f>
        <v>Elderberry 2:1 Gummies</v>
      </c>
      <c r="J480" s="21">
        <v>18.0</v>
      </c>
      <c r="K480" s="22">
        <v>11.85</v>
      </c>
      <c r="L480" s="23">
        <f t="shared" si="1"/>
        <v>213.3</v>
      </c>
      <c r="M480" s="17" t="s">
        <v>93</v>
      </c>
      <c r="N480" s="18">
        <v>46051.0</v>
      </c>
      <c r="O480" s="19">
        <f>SUMIF(inventory_snapshot!$B:$B,H480,inventory_snapshot!$E:$E)</f>
        <v>1633</v>
      </c>
      <c r="P480" s="24" t="str">
        <f t="shared" si="2"/>
        <v>OK</v>
      </c>
      <c r="Q480" s="24" t="str">
        <f t="shared" si="3"/>
        <v>OK</v>
      </c>
      <c r="R480" s="24" t="str">
        <f t="shared" si="4"/>
        <v>OK</v>
      </c>
      <c r="S480" s="24" t="str">
        <f t="shared" si="5"/>
        <v>Small</v>
      </c>
    </row>
    <row r="481" ht="15.75" customHeight="1">
      <c r="A481" s="25" t="s">
        <v>633</v>
      </c>
      <c r="B481" s="26">
        <v>46082.0</v>
      </c>
      <c r="C481" s="25" t="s">
        <v>557</v>
      </c>
      <c r="D481" s="27" t="str">
        <f>IFERROR(VLOOKUP(C481,customer_lookup!$A:$E,2,FALSE),"")</f>
        <v>WA Account 0110</v>
      </c>
      <c r="E481" s="27" t="str">
        <f>IFERROR(VLOOKUP(C481,customer_lookup!$A:$E,3,FALSE),"")</f>
        <v>WA</v>
      </c>
      <c r="F481" s="28" t="str">
        <f>IFERROR(VLOOKUP(C481,customer_lookup!$A:$E,5,FALSE),"")</f>
        <v>Jordan</v>
      </c>
      <c r="G481" s="25" t="s">
        <v>63</v>
      </c>
      <c r="H481" s="25" t="s">
        <v>115</v>
      </c>
      <c r="I481" s="27" t="str">
        <f>IFERROR(VLOOKUP(H481,product_lookup!$A:$D,2,FALSE),"")</f>
        <v>Pear 1:1 Gummies</v>
      </c>
      <c r="J481" s="29">
        <v>72.0</v>
      </c>
      <c r="K481" s="30">
        <v>10.3</v>
      </c>
      <c r="L481" s="31">
        <f t="shared" si="1"/>
        <v>741.6</v>
      </c>
      <c r="M481" s="25" t="s">
        <v>93</v>
      </c>
      <c r="N481" s="26">
        <v>46090.0</v>
      </c>
      <c r="O481" s="27">
        <f>SUMIF(inventory_snapshot!$B:$B,H481,inventory_snapshot!$E:$E)</f>
        <v>981</v>
      </c>
      <c r="P481" s="32" t="str">
        <f t="shared" si="2"/>
        <v>OK</v>
      </c>
      <c r="Q481" s="32" t="str">
        <f t="shared" si="3"/>
        <v>OK</v>
      </c>
      <c r="R481" s="32" t="str">
        <f t="shared" si="4"/>
        <v>OK</v>
      </c>
      <c r="S481" s="32" t="str">
        <f t="shared" si="5"/>
        <v>Medium</v>
      </c>
    </row>
    <row r="482" ht="15.75" customHeight="1">
      <c r="A482" s="17" t="s">
        <v>634</v>
      </c>
      <c r="B482" s="18">
        <v>46034.0</v>
      </c>
      <c r="C482" s="17" t="s">
        <v>553</v>
      </c>
      <c r="D482" s="19" t="str">
        <f>IFERROR(VLOOKUP(C482,customer_lookup!$A:$E,2,FALSE),"")</f>
        <v>IL Account 0091</v>
      </c>
      <c r="E482" s="19" t="str">
        <f>IFERROR(VLOOKUP(C482,customer_lookup!$A:$E,3,FALSE),"")</f>
        <v>IL</v>
      </c>
      <c r="F482" s="20" t="str">
        <f>IFERROR(VLOOKUP(C482,customer_lookup!$A:$E,5,FALSE),"")</f>
        <v>Jordan</v>
      </c>
      <c r="G482" s="17" t="s">
        <v>89</v>
      </c>
      <c r="H482" s="17" t="s">
        <v>78</v>
      </c>
      <c r="I482" s="19" t="str">
        <f>IFERROR(VLOOKUP(H482,product_lookup!$A:$D,2,FALSE),"")</f>
        <v>Grapefruit 1:1:1 Gummies</v>
      </c>
      <c r="J482" s="21">
        <v>96.0</v>
      </c>
      <c r="K482" s="22">
        <v>9.95</v>
      </c>
      <c r="L482" s="23">
        <f t="shared" si="1"/>
        <v>955.2</v>
      </c>
      <c r="M482" s="17" t="s">
        <v>65</v>
      </c>
      <c r="N482" s="18">
        <v>46044.0</v>
      </c>
      <c r="O482" s="19">
        <f>SUMIF(inventory_snapshot!$B:$B,H482,inventory_snapshot!$E:$E)</f>
        <v>1751</v>
      </c>
      <c r="P482" s="24" t="str">
        <f t="shared" si="2"/>
        <v>OK</v>
      </c>
      <c r="Q482" s="24" t="str">
        <f t="shared" si="3"/>
        <v>OK</v>
      </c>
      <c r="R482" s="24" t="str">
        <f t="shared" si="4"/>
        <v>OK</v>
      </c>
      <c r="S482" s="24" t="str">
        <f t="shared" si="5"/>
        <v>Medium</v>
      </c>
    </row>
    <row r="483" ht="15.75" customHeight="1">
      <c r="A483" s="25" t="s">
        <v>635</v>
      </c>
      <c r="B483" s="26">
        <v>46121.0</v>
      </c>
      <c r="C483" s="25" t="s">
        <v>566</v>
      </c>
      <c r="D483" s="27" t="str">
        <f>IFERROR(VLOOKUP(C483,customer_lookup!$A:$E,2,FALSE),"")</f>
        <v>IL Account 0019</v>
      </c>
      <c r="E483" s="27" t="str">
        <f>IFERROR(VLOOKUP(C483,customer_lookup!$A:$E,3,FALSE),"")</f>
        <v>IL</v>
      </c>
      <c r="F483" s="28" t="str">
        <f>IFERROR(VLOOKUP(C483,customer_lookup!$A:$E,5,FALSE),"")</f>
        <v>Jordan</v>
      </c>
      <c r="G483" s="25" t="s">
        <v>89</v>
      </c>
      <c r="H483" s="25" t="s">
        <v>81</v>
      </c>
      <c r="I483" s="27" t="str">
        <f>IFERROR(VLOOKUP(H483,product_lookup!$A:$D,2,FALSE),"")</f>
        <v>Lemon Sparkling Beverage</v>
      </c>
      <c r="J483" s="29">
        <v>48.0</v>
      </c>
      <c r="K483" s="30">
        <v>6.84</v>
      </c>
      <c r="L483" s="31">
        <f t="shared" si="1"/>
        <v>328.32</v>
      </c>
      <c r="M483" s="25" t="s">
        <v>65</v>
      </c>
      <c r="N483" s="26">
        <v>46126.0</v>
      </c>
      <c r="O483" s="27">
        <f>SUMIF(inventory_snapshot!$B:$B,H483,inventory_snapshot!$E:$E)</f>
        <v>1360</v>
      </c>
      <c r="P483" s="32" t="str">
        <f t="shared" si="2"/>
        <v>OK</v>
      </c>
      <c r="Q483" s="32" t="str">
        <f t="shared" si="3"/>
        <v>OK</v>
      </c>
      <c r="R483" s="32" t="str">
        <f t="shared" si="4"/>
        <v>OK</v>
      </c>
      <c r="S483" s="32" t="str">
        <f t="shared" si="5"/>
        <v>Small</v>
      </c>
    </row>
    <row r="484" ht="15.75" customHeight="1">
      <c r="A484" s="17" t="s">
        <v>636</v>
      </c>
      <c r="B484" s="18">
        <v>46112.0</v>
      </c>
      <c r="C484" s="17" t="s">
        <v>542</v>
      </c>
      <c r="D484" s="19" t="str">
        <f>IFERROR(VLOOKUP(C484,customer_lookup!$A:$E,2,FALSE),"")</f>
        <v>OR Account 0025</v>
      </c>
      <c r="E484" s="19" t="str">
        <f>IFERROR(VLOOKUP(C484,customer_lookup!$A:$E,3,FALSE),"")</f>
        <v>OR</v>
      </c>
      <c r="F484" s="20" t="str">
        <f>IFERROR(VLOOKUP(C484,customer_lookup!$A:$E,5,FALSE),"")</f>
        <v>Jordan</v>
      </c>
      <c r="G484" s="17" t="s">
        <v>63</v>
      </c>
      <c r="H484" s="17" t="s">
        <v>102</v>
      </c>
      <c r="I484" s="19" t="str">
        <f>IFERROR(VLOOKUP(H484,product_lookup!$A:$D,2,FALSE),"")</f>
        <v>Pomegranate 1:1 Gummies</v>
      </c>
      <c r="J484" s="21">
        <v>48.0</v>
      </c>
      <c r="K484" s="22">
        <v>11.87</v>
      </c>
      <c r="L484" s="23">
        <f t="shared" si="1"/>
        <v>569.76</v>
      </c>
      <c r="M484" s="17" t="s">
        <v>65</v>
      </c>
      <c r="N484" s="18">
        <v>46114.0</v>
      </c>
      <c r="O484" s="19">
        <f>SUMIF(inventory_snapshot!$B:$B,H484,inventory_snapshot!$E:$E)</f>
        <v>1493</v>
      </c>
      <c r="P484" s="24" t="str">
        <f t="shared" si="2"/>
        <v>OK</v>
      </c>
      <c r="Q484" s="24" t="str">
        <f t="shared" si="3"/>
        <v>OK</v>
      </c>
      <c r="R484" s="24" t="str">
        <f t="shared" si="4"/>
        <v>OK</v>
      </c>
      <c r="S484" s="24" t="str">
        <f t="shared" si="5"/>
        <v>Medium</v>
      </c>
    </row>
    <row r="485" ht="15.75" customHeight="1">
      <c r="A485" s="25" t="s">
        <v>637</v>
      </c>
      <c r="B485" s="26">
        <v>46027.0</v>
      </c>
      <c r="C485" s="25" t="s">
        <v>542</v>
      </c>
      <c r="D485" s="27" t="str">
        <f>IFERROR(VLOOKUP(C485,customer_lookup!$A:$E,2,FALSE),"")</f>
        <v>OR Account 0025</v>
      </c>
      <c r="E485" s="27" t="str">
        <f>IFERROR(VLOOKUP(C485,customer_lookup!$A:$E,3,FALSE),"")</f>
        <v>OR</v>
      </c>
      <c r="F485" s="28" t="str">
        <f>IFERROR(VLOOKUP(C485,customer_lookup!$A:$E,5,FALSE),"")</f>
        <v>Jordan</v>
      </c>
      <c r="G485" s="25" t="s">
        <v>63</v>
      </c>
      <c r="H485" s="25" t="s">
        <v>85</v>
      </c>
      <c r="I485" s="27" t="str">
        <f>IFERROR(VLOOKUP(H485,product_lookup!$A:$D,2,FALSE),"")</f>
        <v>Huckleberry THC Gummies</v>
      </c>
      <c r="J485" s="29">
        <v>24.0</v>
      </c>
      <c r="K485" s="30">
        <v>9.28</v>
      </c>
      <c r="L485" s="31">
        <f t="shared" si="1"/>
        <v>222.72</v>
      </c>
      <c r="M485" s="25" t="s">
        <v>93</v>
      </c>
      <c r="N485" s="26">
        <v>46034.0</v>
      </c>
      <c r="O485" s="27">
        <f>SUMIF(inventory_snapshot!$B:$B,H485,inventory_snapshot!$E:$E)</f>
        <v>1841</v>
      </c>
      <c r="P485" s="32" t="str">
        <f t="shared" si="2"/>
        <v>OK</v>
      </c>
      <c r="Q485" s="32" t="str">
        <f t="shared" si="3"/>
        <v>OK</v>
      </c>
      <c r="R485" s="32" t="str">
        <f t="shared" si="4"/>
        <v>OK</v>
      </c>
      <c r="S485" s="32" t="str">
        <f t="shared" si="5"/>
        <v>Small</v>
      </c>
    </row>
    <row r="486" ht="15.75" customHeight="1">
      <c r="A486" s="17" t="s">
        <v>638</v>
      </c>
      <c r="B486" s="18">
        <v>46045.0</v>
      </c>
      <c r="C486" s="17" t="s">
        <v>547</v>
      </c>
      <c r="D486" s="19" t="str">
        <f>IFERROR(VLOOKUP(C486,customer_lookup!$A:$E,2,FALSE),"")</f>
        <v>OR Account 0001</v>
      </c>
      <c r="E486" s="19" t="str">
        <f>IFERROR(VLOOKUP(C486,customer_lookup!$A:$E,3,FALSE),"")</f>
        <v>OR</v>
      </c>
      <c r="F486" s="20" t="str">
        <f>IFERROR(VLOOKUP(C486,customer_lookup!$A:$E,5,FALSE),"")</f>
        <v>Jordan</v>
      </c>
      <c r="G486" s="17" t="s">
        <v>63</v>
      </c>
      <c r="H486" s="17" t="s">
        <v>156</v>
      </c>
      <c r="I486" s="19" t="str">
        <f>IFERROR(VLOOKUP(H486,product_lookup!$A:$D,2,FALSE),"")</f>
        <v>Blood Orange 1:1 Gummies</v>
      </c>
      <c r="J486" s="21">
        <v>12.0</v>
      </c>
      <c r="K486" s="22">
        <v>10.41</v>
      </c>
      <c r="L486" s="23">
        <f t="shared" si="1"/>
        <v>124.92</v>
      </c>
      <c r="M486" s="17" t="s">
        <v>65</v>
      </c>
      <c r="N486" s="18">
        <v>46053.0</v>
      </c>
      <c r="O486" s="19">
        <f>SUMIF(inventory_snapshot!$B:$B,H486,inventory_snapshot!$E:$E)</f>
        <v>1589</v>
      </c>
      <c r="P486" s="24" t="str">
        <f t="shared" si="2"/>
        <v>OK</v>
      </c>
      <c r="Q486" s="24" t="str">
        <f t="shared" si="3"/>
        <v>OK</v>
      </c>
      <c r="R486" s="24" t="str">
        <f t="shared" si="4"/>
        <v>OK</v>
      </c>
      <c r="S486" s="24" t="str">
        <f t="shared" si="5"/>
        <v>Small</v>
      </c>
    </row>
    <row r="487" ht="15.75" customHeight="1">
      <c r="A487" s="25" t="s">
        <v>639</v>
      </c>
      <c r="B487" s="26">
        <v>46103.0</v>
      </c>
      <c r="C487" s="25" t="s">
        <v>550</v>
      </c>
      <c r="D487" s="27" t="str">
        <f>IFERROR(VLOOKUP(C487,customer_lookup!$A:$E,2,FALSE),"")</f>
        <v>IL Account 0079</v>
      </c>
      <c r="E487" s="27" t="str">
        <f>IFERROR(VLOOKUP(C487,customer_lookup!$A:$E,3,FALSE),"")</f>
        <v>IL</v>
      </c>
      <c r="F487" s="28" t="str">
        <f>IFERROR(VLOOKUP(C487,customer_lookup!$A:$E,5,FALSE),"")</f>
        <v>Jordan</v>
      </c>
      <c r="G487" s="25" t="s">
        <v>63</v>
      </c>
      <c r="H487" s="25" t="s">
        <v>110</v>
      </c>
      <c r="I487" s="27" t="str">
        <f>IFERROR(VLOOKUP(H487,product_lookup!$A:$D,2,FALSE),"")</f>
        <v>Elderberry 2:1 Gummies</v>
      </c>
      <c r="J487" s="29">
        <v>30.0</v>
      </c>
      <c r="K487" s="30">
        <v>10.67</v>
      </c>
      <c r="L487" s="31">
        <f t="shared" si="1"/>
        <v>320.1</v>
      </c>
      <c r="M487" s="25" t="s">
        <v>100</v>
      </c>
      <c r="N487" s="26">
        <v>46105.0</v>
      </c>
      <c r="O487" s="27">
        <f>SUMIF(inventory_snapshot!$B:$B,H487,inventory_snapshot!$E:$E)</f>
        <v>1633</v>
      </c>
      <c r="P487" s="32" t="str">
        <f t="shared" si="2"/>
        <v>OK</v>
      </c>
      <c r="Q487" s="32" t="str">
        <f t="shared" si="3"/>
        <v>OK</v>
      </c>
      <c r="R487" s="32" t="str">
        <f t="shared" si="4"/>
        <v>OK</v>
      </c>
      <c r="S487" s="32" t="str">
        <f t="shared" si="5"/>
        <v>Small</v>
      </c>
    </row>
    <row r="488" ht="15.75" customHeight="1">
      <c r="A488" s="17" t="s">
        <v>640</v>
      </c>
      <c r="B488" s="18">
        <v>46081.0</v>
      </c>
      <c r="C488" s="17" t="s">
        <v>557</v>
      </c>
      <c r="D488" s="19" t="str">
        <f>IFERROR(VLOOKUP(C488,customer_lookup!$A:$E,2,FALSE),"")</f>
        <v>WA Account 0110</v>
      </c>
      <c r="E488" s="19" t="str">
        <f>IFERROR(VLOOKUP(C488,customer_lookup!$A:$E,3,FALSE),"")</f>
        <v>WA</v>
      </c>
      <c r="F488" s="20" t="str">
        <f>IFERROR(VLOOKUP(C488,customer_lookup!$A:$E,5,FALSE),"")</f>
        <v>Jordan</v>
      </c>
      <c r="G488" s="17" t="s">
        <v>89</v>
      </c>
      <c r="H488" s="17" t="s">
        <v>74</v>
      </c>
      <c r="I488" s="19" t="str">
        <f>IFERROR(VLOOKUP(H488,product_lookup!$A:$D,2,FALSE),"")</f>
        <v>Strawberry 20:1 Gummies</v>
      </c>
      <c r="J488" s="21">
        <v>48.0</v>
      </c>
      <c r="K488" s="22">
        <v>10.74</v>
      </c>
      <c r="L488" s="23">
        <f t="shared" si="1"/>
        <v>515.52</v>
      </c>
      <c r="M488" s="17" t="s">
        <v>97</v>
      </c>
      <c r="N488" s="18">
        <v>46091.0</v>
      </c>
      <c r="O488" s="19">
        <f>SUMIF(inventory_snapshot!$B:$B,H488,inventory_snapshot!$E:$E)</f>
        <v>2294</v>
      </c>
      <c r="P488" s="24" t="str">
        <f t="shared" si="2"/>
        <v>OK</v>
      </c>
      <c r="Q488" s="24" t="str">
        <f t="shared" si="3"/>
        <v>OK</v>
      </c>
      <c r="R488" s="24" t="str">
        <f t="shared" si="4"/>
        <v>OK</v>
      </c>
      <c r="S488" s="24" t="str">
        <f t="shared" si="5"/>
        <v>Medium</v>
      </c>
    </row>
    <row r="489" ht="15.75" customHeight="1">
      <c r="A489" s="25" t="s">
        <v>641</v>
      </c>
      <c r="B489" s="26">
        <v>46096.0</v>
      </c>
      <c r="C489" s="25" t="s">
        <v>550</v>
      </c>
      <c r="D489" s="27" t="str">
        <f>IFERROR(VLOOKUP(C489,customer_lookup!$A:$E,2,FALSE),"")</f>
        <v>IL Account 0079</v>
      </c>
      <c r="E489" s="27" t="str">
        <f>IFERROR(VLOOKUP(C489,customer_lookup!$A:$E,3,FALSE),"")</f>
        <v>IL</v>
      </c>
      <c r="F489" s="28" t="str">
        <f>IFERROR(VLOOKUP(C489,customer_lookup!$A:$E,5,FALSE),"")</f>
        <v>Jordan</v>
      </c>
      <c r="G489" s="25" t="s">
        <v>89</v>
      </c>
      <c r="H489" s="25" t="s">
        <v>154</v>
      </c>
      <c r="I489" s="27" t="str">
        <f>IFERROR(VLOOKUP(H489,product_lookup!$A:$D,2,FALSE),"")</f>
        <v>Kiwi 1:1 Gummies</v>
      </c>
      <c r="J489" s="29">
        <v>72.0</v>
      </c>
      <c r="K489" s="30">
        <v>11.51</v>
      </c>
      <c r="L489" s="31">
        <f t="shared" si="1"/>
        <v>828.72</v>
      </c>
      <c r="M489" s="25" t="s">
        <v>100</v>
      </c>
      <c r="N489" s="26">
        <v>46104.0</v>
      </c>
      <c r="O489" s="27">
        <f>SUMIF(inventory_snapshot!$B:$B,H489,inventory_snapshot!$E:$E)</f>
        <v>1136</v>
      </c>
      <c r="P489" s="32" t="str">
        <f t="shared" si="2"/>
        <v>OK</v>
      </c>
      <c r="Q489" s="32" t="str">
        <f t="shared" si="3"/>
        <v>OK</v>
      </c>
      <c r="R489" s="32" t="str">
        <f t="shared" si="4"/>
        <v>OK</v>
      </c>
      <c r="S489" s="32" t="str">
        <f t="shared" si="5"/>
        <v>Medium</v>
      </c>
    </row>
    <row r="490" ht="15.75" customHeight="1">
      <c r="A490" s="17" t="s">
        <v>642</v>
      </c>
      <c r="B490" s="18">
        <v>46132.0</v>
      </c>
      <c r="C490" s="17" t="s">
        <v>553</v>
      </c>
      <c r="D490" s="19" t="str">
        <f>IFERROR(VLOOKUP(C490,customer_lookup!$A:$E,2,FALSE),"")</f>
        <v>IL Account 0091</v>
      </c>
      <c r="E490" s="19" t="str">
        <f>IFERROR(VLOOKUP(C490,customer_lookup!$A:$E,3,FALSE),"")</f>
        <v>IL</v>
      </c>
      <c r="F490" s="20" t="str">
        <f>IFERROR(VLOOKUP(C490,customer_lookup!$A:$E,5,FALSE),"")</f>
        <v>Jordan</v>
      </c>
      <c r="G490" s="17" t="s">
        <v>63</v>
      </c>
      <c r="H490" s="17" t="s">
        <v>74</v>
      </c>
      <c r="I490" s="19" t="str">
        <f>IFERROR(VLOOKUP(H490,product_lookup!$A:$D,2,FALSE),"")</f>
        <v>Strawberry 20:1 Gummies</v>
      </c>
      <c r="J490" s="21">
        <v>96.0</v>
      </c>
      <c r="K490" s="22">
        <v>12.07</v>
      </c>
      <c r="L490" s="23">
        <f t="shared" si="1"/>
        <v>1158.72</v>
      </c>
      <c r="M490" s="17" t="s">
        <v>100</v>
      </c>
      <c r="N490" s="18">
        <v>46135.0</v>
      </c>
      <c r="O490" s="19">
        <f>SUMIF(inventory_snapshot!$B:$B,H490,inventory_snapshot!$E:$E)</f>
        <v>2294</v>
      </c>
      <c r="P490" s="24" t="str">
        <f t="shared" si="2"/>
        <v>OK</v>
      </c>
      <c r="Q490" s="24" t="str">
        <f t="shared" si="3"/>
        <v>OK</v>
      </c>
      <c r="R490" s="24" t="str">
        <f t="shared" si="4"/>
        <v>OK</v>
      </c>
      <c r="S490" s="24" t="str">
        <f t="shared" si="5"/>
        <v>Large</v>
      </c>
    </row>
    <row r="491" ht="15.75" customHeight="1">
      <c r="A491" s="25" t="s">
        <v>643</v>
      </c>
      <c r="B491" s="26">
        <v>46105.0</v>
      </c>
      <c r="C491" s="25" t="s">
        <v>561</v>
      </c>
      <c r="D491" s="27" t="str">
        <f>IFERROR(VLOOKUP(C491,customer_lookup!$A:$E,2,FALSE),"")</f>
        <v>NV Account 0030</v>
      </c>
      <c r="E491" s="27" t="str">
        <f>IFERROR(VLOOKUP(C491,customer_lookup!$A:$E,3,FALSE),"")</f>
        <v>NV</v>
      </c>
      <c r="F491" s="28" t="str">
        <f>IFERROR(VLOOKUP(C491,customer_lookup!$A:$E,5,FALSE),"")</f>
        <v>Jordan</v>
      </c>
      <c r="G491" s="25" t="s">
        <v>63</v>
      </c>
      <c r="H491" s="25" t="s">
        <v>190</v>
      </c>
      <c r="I491" s="27" t="str">
        <f>IFERROR(VLOOKUP(H491,product_lookup!$A:$D,2,FALSE),"")</f>
        <v>Mango Sparkling Beverage</v>
      </c>
      <c r="J491" s="29">
        <v>36.0</v>
      </c>
      <c r="K491" s="30">
        <v>7.37</v>
      </c>
      <c r="L491" s="31">
        <f t="shared" si="1"/>
        <v>265.32</v>
      </c>
      <c r="M491" s="25" t="s">
        <v>97</v>
      </c>
      <c r="N491" s="26">
        <v>46111.0</v>
      </c>
      <c r="O491" s="27">
        <f>SUMIF(inventory_snapshot!$B:$B,H491,inventory_snapshot!$E:$E)</f>
        <v>1502</v>
      </c>
      <c r="P491" s="32" t="str">
        <f t="shared" si="2"/>
        <v>OK</v>
      </c>
      <c r="Q491" s="32" t="str">
        <f t="shared" si="3"/>
        <v>Duplicate</v>
      </c>
      <c r="R491" s="32" t="str">
        <f t="shared" si="4"/>
        <v>OK</v>
      </c>
      <c r="S491" s="32" t="str">
        <f t="shared" si="5"/>
        <v>Small</v>
      </c>
    </row>
    <row r="492" ht="15.75" customHeight="1">
      <c r="A492" s="17" t="s">
        <v>644</v>
      </c>
      <c r="B492" s="18">
        <v>46105.0</v>
      </c>
      <c r="C492" s="17" t="s">
        <v>575</v>
      </c>
      <c r="D492" s="19" t="str">
        <f>IFERROR(VLOOKUP(C492,customer_lookup!$A:$E,2,FALSE),"")</f>
        <v>MI Account 0008</v>
      </c>
      <c r="E492" s="19" t="str">
        <f>IFERROR(VLOOKUP(C492,customer_lookup!$A:$E,3,FALSE),"")</f>
        <v>MI</v>
      </c>
      <c r="F492" s="20" t="str">
        <f>IFERROR(VLOOKUP(C492,customer_lookup!$A:$E,5,FALSE),"")</f>
        <v>Jordan</v>
      </c>
      <c r="G492" s="17" t="s">
        <v>89</v>
      </c>
      <c r="H492" s="17" t="s">
        <v>71</v>
      </c>
      <c r="I492" s="19" t="str">
        <f>IFERROR(VLOOKUP(H492,product_lookup!$A:$D,2,FALSE),"")</f>
        <v>Pineapple Sparkling Beverage</v>
      </c>
      <c r="J492" s="21">
        <v>24.0</v>
      </c>
      <c r="K492" s="22">
        <v>7.88</v>
      </c>
      <c r="L492" s="23">
        <f t="shared" si="1"/>
        <v>189.12</v>
      </c>
      <c r="M492" s="17" t="s">
        <v>97</v>
      </c>
      <c r="N492" s="18">
        <v>46110.0</v>
      </c>
      <c r="O492" s="19">
        <f>SUMIF(inventory_snapshot!$B:$B,H492,inventory_snapshot!$E:$E)</f>
        <v>1145</v>
      </c>
      <c r="P492" s="24" t="str">
        <f t="shared" si="2"/>
        <v>OK</v>
      </c>
      <c r="Q492" s="24" t="str">
        <f t="shared" si="3"/>
        <v>OK</v>
      </c>
      <c r="R492" s="24" t="str">
        <f t="shared" si="4"/>
        <v>OK</v>
      </c>
      <c r="S492" s="24" t="str">
        <f t="shared" si="5"/>
        <v>Small</v>
      </c>
    </row>
    <row r="493" ht="15.75" customHeight="1">
      <c r="A493" s="25" t="s">
        <v>645</v>
      </c>
      <c r="B493" s="26">
        <v>46073.0</v>
      </c>
      <c r="C493" s="25" t="s">
        <v>575</v>
      </c>
      <c r="D493" s="27" t="str">
        <f>IFERROR(VLOOKUP(C493,customer_lookup!$A:$E,2,FALSE),"")</f>
        <v>MI Account 0008</v>
      </c>
      <c r="E493" s="27" t="str">
        <f>IFERROR(VLOOKUP(C493,customer_lookup!$A:$E,3,FALSE),"")</f>
        <v>MI</v>
      </c>
      <c r="F493" s="28" t="str">
        <f>IFERROR(VLOOKUP(C493,customer_lookup!$A:$E,5,FALSE),"")</f>
        <v>Jordan</v>
      </c>
      <c r="G493" s="25" t="s">
        <v>63</v>
      </c>
      <c r="H493" s="25" t="s">
        <v>68</v>
      </c>
      <c r="I493" s="27" t="str">
        <f>IFERROR(VLOOKUP(H493,product_lookup!$A:$D,2,FALSE),"")</f>
        <v>Sour Apple THC Gummies</v>
      </c>
      <c r="J493" s="29">
        <v>18.0</v>
      </c>
      <c r="K493" s="30">
        <v>10.95</v>
      </c>
      <c r="L493" s="31">
        <f t="shared" si="1"/>
        <v>197.1</v>
      </c>
      <c r="M493" s="25" t="s">
        <v>75</v>
      </c>
      <c r="N493" s="26">
        <v>46074.0</v>
      </c>
      <c r="O493" s="27">
        <f>SUMIF(inventory_snapshot!$B:$B,H493,inventory_snapshot!$E:$E)</f>
        <v>775</v>
      </c>
      <c r="P493" s="32" t="str">
        <f t="shared" si="2"/>
        <v>OK</v>
      </c>
      <c r="Q493" s="32" t="str">
        <f t="shared" si="3"/>
        <v>OK</v>
      </c>
      <c r="R493" s="32" t="str">
        <f t="shared" si="4"/>
        <v>OK</v>
      </c>
      <c r="S493" s="32" t="str">
        <f t="shared" si="5"/>
        <v>Small</v>
      </c>
    </row>
    <row r="494" ht="15.75" customHeight="1">
      <c r="A494" s="17" t="s">
        <v>646</v>
      </c>
      <c r="B494" s="18">
        <v>46119.0</v>
      </c>
      <c r="C494" s="17" t="s">
        <v>553</v>
      </c>
      <c r="D494" s="19" t="str">
        <f>IFERROR(VLOOKUP(C494,customer_lookup!$A:$E,2,FALSE),"")</f>
        <v>IL Account 0091</v>
      </c>
      <c r="E494" s="19" t="str">
        <f>IFERROR(VLOOKUP(C494,customer_lookup!$A:$E,3,FALSE),"")</f>
        <v>IL</v>
      </c>
      <c r="F494" s="20" t="str">
        <f>IFERROR(VLOOKUP(C494,customer_lookup!$A:$E,5,FALSE),"")</f>
        <v>Jordan</v>
      </c>
      <c r="G494" s="17" t="s">
        <v>63</v>
      </c>
      <c r="H494" s="17" t="s">
        <v>64</v>
      </c>
      <c r="I494" s="19" t="str">
        <f>IFERROR(VLOOKUP(H494,product_lookup!$A:$D,2,FALSE),"")</f>
        <v>Cranberry Sparkling Beverage</v>
      </c>
      <c r="J494" s="21">
        <v>18.0</v>
      </c>
      <c r="K494" s="22">
        <v>7.28</v>
      </c>
      <c r="L494" s="23">
        <f t="shared" si="1"/>
        <v>131.04</v>
      </c>
      <c r="M494" s="17" t="s">
        <v>65</v>
      </c>
      <c r="N494" s="18">
        <v>46127.0</v>
      </c>
      <c r="O494" s="19">
        <f>SUMIF(inventory_snapshot!$B:$B,H494,inventory_snapshot!$E:$E)</f>
        <v>1152</v>
      </c>
      <c r="P494" s="24" t="str">
        <f t="shared" si="2"/>
        <v>OK</v>
      </c>
      <c r="Q494" s="24" t="str">
        <f t="shared" si="3"/>
        <v>OK</v>
      </c>
      <c r="R494" s="24" t="str">
        <f t="shared" si="4"/>
        <v>OK</v>
      </c>
      <c r="S494" s="24" t="str">
        <f t="shared" si="5"/>
        <v>Small</v>
      </c>
    </row>
    <row r="495" ht="15.75" customHeight="1">
      <c r="A495" s="25" t="s">
        <v>647</v>
      </c>
      <c r="B495" s="26">
        <v>46101.0</v>
      </c>
      <c r="C495" s="25" t="s">
        <v>542</v>
      </c>
      <c r="D495" s="27" t="str">
        <f>IFERROR(VLOOKUP(C495,customer_lookup!$A:$E,2,FALSE),"")</f>
        <v>OR Account 0025</v>
      </c>
      <c r="E495" s="27" t="str">
        <f>IFERROR(VLOOKUP(C495,customer_lookup!$A:$E,3,FALSE),"")</f>
        <v>OR</v>
      </c>
      <c r="F495" s="28" t="str">
        <f>IFERROR(VLOOKUP(C495,customer_lookup!$A:$E,5,FALSE),"")</f>
        <v>Jordan</v>
      </c>
      <c r="G495" s="25" t="s">
        <v>67</v>
      </c>
      <c r="H495" s="25" t="s">
        <v>81</v>
      </c>
      <c r="I495" s="27" t="str">
        <f>IFERROR(VLOOKUP(H495,product_lookup!$A:$D,2,FALSE),"")</f>
        <v>Lemon Sparkling Beverage</v>
      </c>
      <c r="J495" s="29">
        <v>72.0</v>
      </c>
      <c r="K495" s="30">
        <v>7.75</v>
      </c>
      <c r="L495" s="31">
        <f t="shared" si="1"/>
        <v>558</v>
      </c>
      <c r="M495" s="25" t="s">
        <v>65</v>
      </c>
      <c r="N495" s="26">
        <v>46103.0</v>
      </c>
      <c r="O495" s="27">
        <f>SUMIF(inventory_snapshot!$B:$B,H495,inventory_snapshot!$E:$E)</f>
        <v>1360</v>
      </c>
      <c r="P495" s="32" t="str">
        <f t="shared" si="2"/>
        <v>OK</v>
      </c>
      <c r="Q495" s="32" t="str">
        <f t="shared" si="3"/>
        <v>OK</v>
      </c>
      <c r="R495" s="32" t="str">
        <f t="shared" si="4"/>
        <v>OK</v>
      </c>
      <c r="S495" s="32" t="str">
        <f t="shared" si="5"/>
        <v>Medium</v>
      </c>
    </row>
    <row r="496" ht="15.75" customHeight="1">
      <c r="A496" s="17" t="s">
        <v>648</v>
      </c>
      <c r="B496" s="18">
        <v>46097.0</v>
      </c>
      <c r="C496" s="17" t="s">
        <v>566</v>
      </c>
      <c r="D496" s="19" t="str">
        <f>IFERROR(VLOOKUP(C496,customer_lookup!$A:$E,2,FALSE),"")</f>
        <v>IL Account 0019</v>
      </c>
      <c r="E496" s="19" t="str">
        <f>IFERROR(VLOOKUP(C496,customer_lookup!$A:$E,3,FALSE),"")</f>
        <v>IL</v>
      </c>
      <c r="F496" s="20" t="str">
        <f>IFERROR(VLOOKUP(C496,customer_lookup!$A:$E,5,FALSE),"")</f>
        <v>Jordan</v>
      </c>
      <c r="G496" s="17" t="s">
        <v>67</v>
      </c>
      <c r="H496" s="17" t="s">
        <v>115</v>
      </c>
      <c r="I496" s="19" t="str">
        <f>IFERROR(VLOOKUP(H496,product_lookup!$A:$D,2,FALSE),"")</f>
        <v>Pear 1:1 Gummies</v>
      </c>
      <c r="J496" s="21">
        <v>36.0</v>
      </c>
      <c r="K496" s="22">
        <v>10.92</v>
      </c>
      <c r="L496" s="23">
        <f t="shared" si="1"/>
        <v>393.12</v>
      </c>
      <c r="M496" s="17" t="s">
        <v>65</v>
      </c>
      <c r="N496" s="18">
        <v>46107.0</v>
      </c>
      <c r="O496" s="19">
        <f>SUMIF(inventory_snapshot!$B:$B,H496,inventory_snapshot!$E:$E)</f>
        <v>981</v>
      </c>
      <c r="P496" s="24" t="str">
        <f t="shared" si="2"/>
        <v>OK</v>
      </c>
      <c r="Q496" s="24" t="str">
        <f t="shared" si="3"/>
        <v>OK</v>
      </c>
      <c r="R496" s="24" t="str">
        <f t="shared" si="4"/>
        <v>OK</v>
      </c>
      <c r="S496" s="24" t="str">
        <f t="shared" si="5"/>
        <v>Small</v>
      </c>
    </row>
    <row r="497" ht="15.75" customHeight="1">
      <c r="A497" s="25" t="s">
        <v>649</v>
      </c>
      <c r="B497" s="26">
        <v>46047.0</v>
      </c>
      <c r="C497" s="25" t="s">
        <v>557</v>
      </c>
      <c r="D497" s="27" t="str">
        <f>IFERROR(VLOOKUP(C497,customer_lookup!$A:$E,2,FALSE),"")</f>
        <v>WA Account 0110</v>
      </c>
      <c r="E497" s="27" t="str">
        <f>IFERROR(VLOOKUP(C497,customer_lookup!$A:$E,3,FALSE),"")</f>
        <v>WA</v>
      </c>
      <c r="F497" s="28" t="str">
        <f>IFERROR(VLOOKUP(C497,customer_lookup!$A:$E,5,FALSE),"")</f>
        <v>Jordan</v>
      </c>
      <c r="G497" s="25" t="s">
        <v>89</v>
      </c>
      <c r="H497" s="25" t="s">
        <v>108</v>
      </c>
      <c r="I497" s="27" t="str">
        <f>IFERROR(VLOOKUP(H497,product_lookup!$A:$D,2,FALSE),"")</f>
        <v>Sour Tangerine THC Gummies</v>
      </c>
      <c r="J497" s="29">
        <v>12.0</v>
      </c>
      <c r="K497" s="30">
        <v>11.6</v>
      </c>
      <c r="L497" s="31">
        <f t="shared" si="1"/>
        <v>139.2</v>
      </c>
      <c r="M497" s="25" t="s">
        <v>65</v>
      </c>
      <c r="N497" s="26">
        <v>46053.0</v>
      </c>
      <c r="O497" s="27">
        <f>SUMIF(inventory_snapshot!$B:$B,H497,inventory_snapshot!$E:$E)</f>
        <v>1679</v>
      </c>
      <c r="P497" s="32" t="str">
        <f t="shared" si="2"/>
        <v>OK</v>
      </c>
      <c r="Q497" s="32" t="str">
        <f t="shared" si="3"/>
        <v>OK</v>
      </c>
      <c r="R497" s="32" t="str">
        <f t="shared" si="4"/>
        <v>OK</v>
      </c>
      <c r="S497" s="32" t="str">
        <f t="shared" si="5"/>
        <v>Small</v>
      </c>
    </row>
    <row r="498" ht="15.75" customHeight="1">
      <c r="A498" s="17" t="s">
        <v>650</v>
      </c>
      <c r="B498" s="18">
        <v>46074.0</v>
      </c>
      <c r="C498" s="17" t="s">
        <v>570</v>
      </c>
      <c r="D498" s="19" t="str">
        <f>IFERROR(VLOOKUP(C498,customer_lookup!$A:$E,2,FALSE),"")</f>
        <v>CA Account 0039</v>
      </c>
      <c r="E498" s="19" t="str">
        <f>IFERROR(VLOOKUP(C498,customer_lookup!$A:$E,3,FALSE),"")</f>
        <v>CA</v>
      </c>
      <c r="F498" s="20" t="str">
        <f>IFERROR(VLOOKUP(C498,customer_lookup!$A:$E,5,FALSE),"")</f>
        <v>Jordan</v>
      </c>
      <c r="G498" s="17" t="s">
        <v>67</v>
      </c>
      <c r="H498" s="17" t="s">
        <v>64</v>
      </c>
      <c r="I498" s="19" t="str">
        <f>IFERROR(VLOOKUP(H498,product_lookup!$A:$D,2,FALSE),"")</f>
        <v>Cranberry Sparkling Beverage</v>
      </c>
      <c r="J498" s="21">
        <v>24.0</v>
      </c>
      <c r="K498" s="22">
        <v>7.94</v>
      </c>
      <c r="L498" s="23">
        <f t="shared" si="1"/>
        <v>190.56</v>
      </c>
      <c r="M498" s="17" t="s">
        <v>93</v>
      </c>
      <c r="N498" s="18">
        <v>46084.0</v>
      </c>
      <c r="O498" s="19">
        <f>SUMIF(inventory_snapshot!$B:$B,H498,inventory_snapshot!$E:$E)</f>
        <v>1152</v>
      </c>
      <c r="P498" s="24" t="str">
        <f t="shared" si="2"/>
        <v>OK</v>
      </c>
      <c r="Q498" s="24" t="str">
        <f t="shared" si="3"/>
        <v>OK</v>
      </c>
      <c r="R498" s="24" t="str">
        <f t="shared" si="4"/>
        <v>OK</v>
      </c>
      <c r="S498" s="24" t="str">
        <f t="shared" si="5"/>
        <v>Small</v>
      </c>
    </row>
    <row r="499" ht="15.75" customHeight="1">
      <c r="A499" s="25" t="s">
        <v>651</v>
      </c>
      <c r="B499" s="26">
        <v>46133.0</v>
      </c>
      <c r="C499" s="25" t="s">
        <v>553</v>
      </c>
      <c r="D499" s="27" t="str">
        <f>IFERROR(VLOOKUP(C499,customer_lookup!$A:$E,2,FALSE),"")</f>
        <v>IL Account 0091</v>
      </c>
      <c r="E499" s="27" t="str">
        <f>IFERROR(VLOOKUP(C499,customer_lookup!$A:$E,3,FALSE),"")</f>
        <v>IL</v>
      </c>
      <c r="F499" s="28" t="str">
        <f>IFERROR(VLOOKUP(C499,customer_lookup!$A:$E,5,FALSE),"")</f>
        <v>Jordan</v>
      </c>
      <c r="G499" s="25" t="s">
        <v>89</v>
      </c>
      <c r="H499" s="25" t="s">
        <v>190</v>
      </c>
      <c r="I499" s="27" t="str">
        <f>IFERROR(VLOOKUP(H499,product_lookup!$A:$D,2,FALSE),"")</f>
        <v>Mango Sparkling Beverage</v>
      </c>
      <c r="J499" s="29">
        <v>18.0</v>
      </c>
      <c r="K499" s="30">
        <v>7.62</v>
      </c>
      <c r="L499" s="31">
        <f t="shared" si="1"/>
        <v>137.16</v>
      </c>
      <c r="M499" s="25" t="s">
        <v>97</v>
      </c>
      <c r="N499" s="26">
        <v>46141.0</v>
      </c>
      <c r="O499" s="27">
        <f>SUMIF(inventory_snapshot!$B:$B,H499,inventory_snapshot!$E:$E)</f>
        <v>1502</v>
      </c>
      <c r="P499" s="32" t="str">
        <f t="shared" si="2"/>
        <v>OK</v>
      </c>
      <c r="Q499" s="32" t="str">
        <f t="shared" si="3"/>
        <v>OK</v>
      </c>
      <c r="R499" s="32" t="str">
        <f t="shared" si="4"/>
        <v>OK</v>
      </c>
      <c r="S499" s="32" t="str">
        <f t="shared" si="5"/>
        <v>Small</v>
      </c>
    </row>
    <row r="500" ht="15.75" customHeight="1">
      <c r="A500" s="17" t="s">
        <v>652</v>
      </c>
      <c r="B500" s="18">
        <v>46132.0</v>
      </c>
      <c r="C500" s="17" t="s">
        <v>588</v>
      </c>
      <c r="D500" s="19" t="str">
        <f>IFERROR(VLOOKUP(C500,customer_lookup!$A:$E,2,FALSE),"")</f>
        <v>MI Account 0104</v>
      </c>
      <c r="E500" s="19" t="str">
        <f>IFERROR(VLOOKUP(C500,customer_lookup!$A:$E,3,FALSE),"")</f>
        <v>MI</v>
      </c>
      <c r="F500" s="20" t="str">
        <f>IFERROR(VLOOKUP(C500,customer_lookup!$A:$E,5,FALSE),"")</f>
        <v>Jordan</v>
      </c>
      <c r="G500" s="17" t="s">
        <v>63</v>
      </c>
      <c r="H500" s="17" t="s">
        <v>71</v>
      </c>
      <c r="I500" s="19" t="str">
        <f>IFERROR(VLOOKUP(H500,product_lookup!$A:$D,2,FALSE),"")</f>
        <v>Pineapple Sparkling Beverage</v>
      </c>
      <c r="J500" s="21">
        <v>48.0</v>
      </c>
      <c r="K500" s="22">
        <v>8.42</v>
      </c>
      <c r="L500" s="23">
        <f t="shared" si="1"/>
        <v>404.16</v>
      </c>
      <c r="M500" s="17" t="s">
        <v>65</v>
      </c>
      <c r="N500" s="18">
        <v>46136.0</v>
      </c>
      <c r="O500" s="19">
        <f>SUMIF(inventory_snapshot!$B:$B,H500,inventory_snapshot!$E:$E)</f>
        <v>1145</v>
      </c>
      <c r="P500" s="24" t="str">
        <f t="shared" si="2"/>
        <v>OK</v>
      </c>
      <c r="Q500" s="24" t="str">
        <f t="shared" si="3"/>
        <v>OK</v>
      </c>
      <c r="R500" s="24" t="str">
        <f t="shared" si="4"/>
        <v>OK</v>
      </c>
      <c r="S500" s="24" t="str">
        <f t="shared" si="5"/>
        <v>Small</v>
      </c>
    </row>
    <row r="501" ht="15.75" customHeight="1">
      <c r="A501" s="25" t="s">
        <v>653</v>
      </c>
      <c r="B501" s="26">
        <v>46136.0</v>
      </c>
      <c r="C501" s="25" t="s">
        <v>582</v>
      </c>
      <c r="D501" s="27" t="str">
        <f>IFERROR(VLOOKUP(C501,customer_lookup!$A:$E,2,FALSE),"")</f>
        <v>MO Account 0033</v>
      </c>
      <c r="E501" s="27" t="str">
        <f>IFERROR(VLOOKUP(C501,customer_lookup!$A:$E,3,FALSE),"")</f>
        <v>MO</v>
      </c>
      <c r="F501" s="28" t="str">
        <f>IFERROR(VLOOKUP(C501,customer_lookup!$A:$E,5,FALSE),"")</f>
        <v>Jordan</v>
      </c>
      <c r="G501" s="25" t="s">
        <v>89</v>
      </c>
      <c r="H501" s="25" t="s">
        <v>90</v>
      </c>
      <c r="I501" s="27" t="str">
        <f>IFERROR(VLOOKUP(H501,product_lookup!$A:$D,2,FALSE),"")</f>
        <v>Blackberry Sparkling Beverage</v>
      </c>
      <c r="J501" s="29">
        <v>12.0</v>
      </c>
      <c r="K501" s="30">
        <v>7.11</v>
      </c>
      <c r="L501" s="31">
        <f t="shared" si="1"/>
        <v>85.32</v>
      </c>
      <c r="M501" s="25" t="s">
        <v>97</v>
      </c>
      <c r="N501" s="26">
        <v>46142.0</v>
      </c>
      <c r="O501" s="27">
        <f>SUMIF(inventory_snapshot!$B:$B,H501,inventory_snapshot!$E:$E)</f>
        <v>1292</v>
      </c>
      <c r="P501" s="32" t="str">
        <f t="shared" si="2"/>
        <v>OK</v>
      </c>
      <c r="Q501" s="32" t="str">
        <f t="shared" si="3"/>
        <v>OK</v>
      </c>
      <c r="R501" s="32" t="str">
        <f t="shared" si="4"/>
        <v>OK</v>
      </c>
      <c r="S501" s="32" t="str">
        <f t="shared" si="5"/>
        <v>Small</v>
      </c>
    </row>
    <row r="502" ht="15.75" customHeight="1">
      <c r="A502" s="17" t="s">
        <v>654</v>
      </c>
      <c r="B502" s="18">
        <v>46142.0</v>
      </c>
      <c r="C502" s="17" t="s">
        <v>588</v>
      </c>
      <c r="D502" s="19" t="str">
        <f>IFERROR(VLOOKUP(C502,customer_lookup!$A:$E,2,FALSE),"")</f>
        <v>MI Account 0104</v>
      </c>
      <c r="E502" s="19" t="str">
        <f>IFERROR(VLOOKUP(C502,customer_lookup!$A:$E,3,FALSE),"")</f>
        <v>MI</v>
      </c>
      <c r="F502" s="20" t="str">
        <f>IFERROR(VLOOKUP(C502,customer_lookup!$A:$E,5,FALSE),"")</f>
        <v>Jordan</v>
      </c>
      <c r="G502" s="17" t="s">
        <v>63</v>
      </c>
      <c r="H502" s="17" t="s">
        <v>123</v>
      </c>
      <c r="I502" s="19" t="str">
        <f>IFERROR(VLOOKUP(H502,product_lookup!$A:$D,2,FALSE),"")</f>
        <v>Peach 2:1 Gummies</v>
      </c>
      <c r="J502" s="21">
        <v>48.0</v>
      </c>
      <c r="K502" s="22">
        <v>10.14</v>
      </c>
      <c r="L502" s="23">
        <f t="shared" si="1"/>
        <v>486.72</v>
      </c>
      <c r="M502" s="17" t="s">
        <v>100</v>
      </c>
      <c r="N502" s="18">
        <v>46147.0</v>
      </c>
      <c r="O502" s="19">
        <f>SUMIF(inventory_snapshot!$B:$B,H502,inventory_snapshot!$E:$E)</f>
        <v>1732</v>
      </c>
      <c r="P502" s="24" t="str">
        <f t="shared" si="2"/>
        <v>OK</v>
      </c>
      <c r="Q502" s="24" t="str">
        <f t="shared" si="3"/>
        <v>OK</v>
      </c>
      <c r="R502" s="24" t="str">
        <f t="shared" si="4"/>
        <v>OK</v>
      </c>
      <c r="S502" s="24" t="str">
        <f t="shared" si="5"/>
        <v>Small</v>
      </c>
    </row>
    <row r="503" ht="15.75" customHeight="1">
      <c r="A503" s="25" t="s">
        <v>655</v>
      </c>
      <c r="B503" s="26">
        <v>46112.0</v>
      </c>
      <c r="C503" s="25" t="s">
        <v>593</v>
      </c>
      <c r="D503" s="27" t="str">
        <f>IFERROR(VLOOKUP(C503,customer_lookup!$A:$E,2,FALSE),"")</f>
        <v>WA Account 0026</v>
      </c>
      <c r="E503" s="27" t="str">
        <f>IFERROR(VLOOKUP(C503,customer_lookup!$A:$E,3,FALSE),"")</f>
        <v>WA</v>
      </c>
      <c r="F503" s="28" t="str">
        <f>IFERROR(VLOOKUP(C503,customer_lookup!$A:$E,5,FALSE),"")</f>
        <v>Jordan</v>
      </c>
      <c r="G503" s="25" t="s">
        <v>63</v>
      </c>
      <c r="H503" s="25" t="s">
        <v>115</v>
      </c>
      <c r="I503" s="27" t="str">
        <f>IFERROR(VLOOKUP(H503,product_lookup!$A:$D,2,FALSE),"")</f>
        <v>Pear 1:1 Gummies</v>
      </c>
      <c r="J503" s="29">
        <v>18.0</v>
      </c>
      <c r="K503" s="30">
        <v>10.24</v>
      </c>
      <c r="L503" s="31">
        <f t="shared" si="1"/>
        <v>184.32</v>
      </c>
      <c r="M503" s="25" t="s">
        <v>65</v>
      </c>
      <c r="N503" s="26">
        <v>46115.0</v>
      </c>
      <c r="O503" s="27">
        <f>SUMIF(inventory_snapshot!$B:$B,H503,inventory_snapshot!$E:$E)</f>
        <v>981</v>
      </c>
      <c r="P503" s="32" t="str">
        <f t="shared" si="2"/>
        <v>OK</v>
      </c>
      <c r="Q503" s="32" t="str">
        <f t="shared" si="3"/>
        <v>OK</v>
      </c>
      <c r="R503" s="32" t="str">
        <f t="shared" si="4"/>
        <v>OK</v>
      </c>
      <c r="S503" s="32" t="str">
        <f t="shared" si="5"/>
        <v>Small</v>
      </c>
    </row>
    <row r="504" ht="15.75" customHeight="1">
      <c r="A504" s="17" t="s">
        <v>656</v>
      </c>
      <c r="B504" s="18">
        <v>46059.0</v>
      </c>
      <c r="C504" s="17" t="s">
        <v>542</v>
      </c>
      <c r="D504" s="19" t="str">
        <f>IFERROR(VLOOKUP(C504,customer_lookup!$A:$E,2,FALSE),"")</f>
        <v>OR Account 0025</v>
      </c>
      <c r="E504" s="19" t="str">
        <f>IFERROR(VLOOKUP(C504,customer_lookup!$A:$E,3,FALSE),"")</f>
        <v>OR</v>
      </c>
      <c r="F504" s="20" t="str">
        <f>IFERROR(VLOOKUP(C504,customer_lookup!$A:$E,5,FALSE),"")</f>
        <v>Jordan</v>
      </c>
      <c r="G504" s="17" t="s">
        <v>63</v>
      </c>
      <c r="H504" s="17" t="s">
        <v>115</v>
      </c>
      <c r="I504" s="19" t="str">
        <f>IFERROR(VLOOKUP(H504,product_lookup!$A:$D,2,FALSE),"")</f>
        <v>Pear 1:1 Gummies</v>
      </c>
      <c r="J504" s="21">
        <v>60.0</v>
      </c>
      <c r="K504" s="22">
        <v>10.98</v>
      </c>
      <c r="L504" s="23">
        <f t="shared" si="1"/>
        <v>658.8</v>
      </c>
      <c r="M504" s="17" t="s">
        <v>75</v>
      </c>
      <c r="N504" s="18">
        <v>46063.0</v>
      </c>
      <c r="O504" s="19">
        <f>SUMIF(inventory_snapshot!$B:$B,H504,inventory_snapshot!$E:$E)</f>
        <v>981</v>
      </c>
      <c r="P504" s="24" t="str">
        <f t="shared" si="2"/>
        <v>OK</v>
      </c>
      <c r="Q504" s="24" t="str">
        <f t="shared" si="3"/>
        <v>OK</v>
      </c>
      <c r="R504" s="24" t="str">
        <f t="shared" si="4"/>
        <v>OK</v>
      </c>
      <c r="S504" s="24" t="str">
        <f t="shared" si="5"/>
        <v>Medium</v>
      </c>
    </row>
    <row r="505" ht="15.75" customHeight="1">
      <c r="A505" s="25" t="s">
        <v>657</v>
      </c>
      <c r="B505" s="26">
        <v>46097.0</v>
      </c>
      <c r="C505" s="25" t="s">
        <v>573</v>
      </c>
      <c r="D505" s="27" t="str">
        <f>IFERROR(VLOOKUP(C505,customer_lookup!$A:$E,2,FALSE),"")</f>
        <v>MI Account 0032</v>
      </c>
      <c r="E505" s="27" t="str">
        <f>IFERROR(VLOOKUP(C505,customer_lookup!$A:$E,3,FALSE),"")</f>
        <v>MI</v>
      </c>
      <c r="F505" s="28" t="str">
        <f>IFERROR(VLOOKUP(C505,customer_lookup!$A:$E,5,FALSE),"")</f>
        <v>Jordan</v>
      </c>
      <c r="G505" s="25" t="s">
        <v>63</v>
      </c>
      <c r="H505" s="25" t="s">
        <v>68</v>
      </c>
      <c r="I505" s="27" t="str">
        <f>IFERROR(VLOOKUP(H505,product_lookup!$A:$D,2,FALSE),"")</f>
        <v>Sour Apple THC Gummies</v>
      </c>
      <c r="J505" s="29">
        <v>120.0</v>
      </c>
      <c r="K505" s="30">
        <v>10.81</v>
      </c>
      <c r="L505" s="31">
        <f t="shared" si="1"/>
        <v>1297.2</v>
      </c>
      <c r="M505" s="25" t="s">
        <v>100</v>
      </c>
      <c r="N505" s="26">
        <v>46103.0</v>
      </c>
      <c r="O505" s="27">
        <f>SUMIF(inventory_snapshot!$B:$B,H505,inventory_snapshot!$E:$E)</f>
        <v>775</v>
      </c>
      <c r="P505" s="32" t="str">
        <f t="shared" si="2"/>
        <v>OK</v>
      </c>
      <c r="Q505" s="32" t="str">
        <f t="shared" si="3"/>
        <v>OK</v>
      </c>
      <c r="R505" s="32" t="str">
        <f t="shared" si="4"/>
        <v>OK</v>
      </c>
      <c r="S505" s="32" t="str">
        <f t="shared" si="5"/>
        <v>Large</v>
      </c>
    </row>
    <row r="506" ht="15.75" customHeight="1">
      <c r="A506" s="17" t="s">
        <v>658</v>
      </c>
      <c r="B506" s="18">
        <v>46067.0</v>
      </c>
      <c r="C506" s="17" t="s">
        <v>566</v>
      </c>
      <c r="D506" s="19" t="str">
        <f>IFERROR(VLOOKUP(C506,customer_lookup!$A:$E,2,FALSE),"")</f>
        <v>IL Account 0019</v>
      </c>
      <c r="E506" s="19" t="str">
        <f>IFERROR(VLOOKUP(C506,customer_lookup!$A:$E,3,FALSE),"")</f>
        <v>IL</v>
      </c>
      <c r="F506" s="20" t="str">
        <f>IFERROR(VLOOKUP(C506,customer_lookup!$A:$E,5,FALSE),"")</f>
        <v>Jordan</v>
      </c>
      <c r="G506" s="17" t="s">
        <v>89</v>
      </c>
      <c r="H506" s="17" t="s">
        <v>78</v>
      </c>
      <c r="I506" s="19" t="str">
        <f>IFERROR(VLOOKUP(H506,product_lookup!$A:$D,2,FALSE),"")</f>
        <v>Grapefruit 1:1:1 Gummies</v>
      </c>
      <c r="J506" s="21">
        <v>12.0</v>
      </c>
      <c r="K506" s="22">
        <v>10.11</v>
      </c>
      <c r="L506" s="23">
        <f t="shared" si="1"/>
        <v>121.32</v>
      </c>
      <c r="M506" s="17" t="s">
        <v>97</v>
      </c>
      <c r="N506" s="18">
        <v>46076.0</v>
      </c>
      <c r="O506" s="19">
        <f>SUMIF(inventory_snapshot!$B:$B,H506,inventory_snapshot!$E:$E)</f>
        <v>1751</v>
      </c>
      <c r="P506" s="24" t="str">
        <f t="shared" si="2"/>
        <v>OK</v>
      </c>
      <c r="Q506" s="24" t="str">
        <f t="shared" si="3"/>
        <v>OK</v>
      </c>
      <c r="R506" s="24" t="str">
        <f t="shared" si="4"/>
        <v>OK</v>
      </c>
      <c r="S506" s="24" t="str">
        <f t="shared" si="5"/>
        <v>Small</v>
      </c>
    </row>
    <row r="507" ht="15.75" customHeight="1">
      <c r="A507" s="25" t="s">
        <v>659</v>
      </c>
      <c r="B507" s="26">
        <v>46050.0</v>
      </c>
      <c r="C507" s="25" t="s">
        <v>588</v>
      </c>
      <c r="D507" s="27" t="str">
        <f>IFERROR(VLOOKUP(C507,customer_lookup!$A:$E,2,FALSE),"")</f>
        <v>MI Account 0104</v>
      </c>
      <c r="E507" s="27" t="str">
        <f>IFERROR(VLOOKUP(C507,customer_lookup!$A:$E,3,FALSE),"")</f>
        <v>MI</v>
      </c>
      <c r="F507" s="28" t="str">
        <f>IFERROR(VLOOKUP(C507,customer_lookup!$A:$E,5,FALSE),"")</f>
        <v>Jordan</v>
      </c>
      <c r="G507" s="25" t="s">
        <v>63</v>
      </c>
      <c r="H507" s="25" t="s">
        <v>154</v>
      </c>
      <c r="I507" s="27" t="str">
        <f>IFERROR(VLOOKUP(H507,product_lookup!$A:$D,2,FALSE),"")</f>
        <v>Kiwi 1:1 Gummies</v>
      </c>
      <c r="J507" s="29">
        <v>18.0</v>
      </c>
      <c r="K507" s="30">
        <v>9.84</v>
      </c>
      <c r="L507" s="31">
        <f t="shared" si="1"/>
        <v>177.12</v>
      </c>
      <c r="M507" s="25" t="s">
        <v>93</v>
      </c>
      <c r="N507" s="26">
        <v>46052.0</v>
      </c>
      <c r="O507" s="27">
        <f>SUMIF(inventory_snapshot!$B:$B,H507,inventory_snapshot!$E:$E)</f>
        <v>1136</v>
      </c>
      <c r="P507" s="32" t="str">
        <f t="shared" si="2"/>
        <v>OK</v>
      </c>
      <c r="Q507" s="32" t="str">
        <f t="shared" si="3"/>
        <v>OK</v>
      </c>
      <c r="R507" s="32" t="str">
        <f t="shared" si="4"/>
        <v>OK</v>
      </c>
      <c r="S507" s="32" t="str">
        <f t="shared" si="5"/>
        <v>Small</v>
      </c>
    </row>
    <row r="508" ht="15.75" customHeight="1">
      <c r="A508" s="17" t="s">
        <v>660</v>
      </c>
      <c r="B508" s="18">
        <v>46027.0</v>
      </c>
      <c r="C508" s="17" t="s">
        <v>544</v>
      </c>
      <c r="D508" s="19" t="str">
        <f>IFERROR(VLOOKUP(C508,customer_lookup!$A:$E,2,FALSE),"")</f>
        <v>NY Account 0071</v>
      </c>
      <c r="E508" s="19" t="str">
        <f>IFERROR(VLOOKUP(C508,customer_lookup!$A:$E,3,FALSE),"")</f>
        <v>NY</v>
      </c>
      <c r="F508" s="20" t="str">
        <f>IFERROR(VLOOKUP(C508,customer_lookup!$A:$E,5,FALSE),"")</f>
        <v>Jordan</v>
      </c>
      <c r="G508" s="17" t="s">
        <v>67</v>
      </c>
      <c r="H508" s="17" t="s">
        <v>102</v>
      </c>
      <c r="I508" s="19" t="str">
        <f>IFERROR(VLOOKUP(H508,product_lookup!$A:$D,2,FALSE),"")</f>
        <v>Pomegranate 1:1 Gummies</v>
      </c>
      <c r="J508" s="21">
        <v>60.0</v>
      </c>
      <c r="K508" s="22">
        <v>10.78</v>
      </c>
      <c r="L508" s="23">
        <f t="shared" si="1"/>
        <v>646.8</v>
      </c>
      <c r="M508" s="17" t="s">
        <v>65</v>
      </c>
      <c r="N508" s="18">
        <v>46035.0</v>
      </c>
      <c r="O508" s="19">
        <f>SUMIF(inventory_snapshot!$B:$B,H508,inventory_snapshot!$E:$E)</f>
        <v>1493</v>
      </c>
      <c r="P508" s="24" t="str">
        <f t="shared" si="2"/>
        <v>OK</v>
      </c>
      <c r="Q508" s="24" t="str">
        <f t="shared" si="3"/>
        <v>OK</v>
      </c>
      <c r="R508" s="24" t="str">
        <f t="shared" si="4"/>
        <v>OK</v>
      </c>
      <c r="S508" s="24" t="str">
        <f t="shared" si="5"/>
        <v>Medium</v>
      </c>
    </row>
    <row r="509" ht="15.75" customHeight="1">
      <c r="A509" s="25" t="s">
        <v>661</v>
      </c>
      <c r="B509" s="26">
        <v>46124.0</v>
      </c>
      <c r="C509" s="25" t="s">
        <v>557</v>
      </c>
      <c r="D509" s="27" t="str">
        <f>IFERROR(VLOOKUP(C509,customer_lookup!$A:$E,2,FALSE),"")</f>
        <v>WA Account 0110</v>
      </c>
      <c r="E509" s="27" t="str">
        <f>IFERROR(VLOOKUP(C509,customer_lookup!$A:$E,3,FALSE),"")</f>
        <v>WA</v>
      </c>
      <c r="F509" s="28" t="str">
        <f>IFERROR(VLOOKUP(C509,customer_lookup!$A:$E,5,FALSE),"")</f>
        <v>Jordan</v>
      </c>
      <c r="G509" s="25" t="s">
        <v>63</v>
      </c>
      <c r="H509" s="25" t="s">
        <v>190</v>
      </c>
      <c r="I509" s="27" t="str">
        <f>IFERROR(VLOOKUP(H509,product_lookup!$A:$D,2,FALSE),"")</f>
        <v>Mango Sparkling Beverage</v>
      </c>
      <c r="J509" s="29">
        <v>120.0</v>
      </c>
      <c r="K509" s="30">
        <v>7.29</v>
      </c>
      <c r="L509" s="31">
        <f t="shared" si="1"/>
        <v>874.8</v>
      </c>
      <c r="M509" s="25" t="s">
        <v>100</v>
      </c>
      <c r="N509" s="26">
        <v>46125.0</v>
      </c>
      <c r="O509" s="27">
        <f>SUMIF(inventory_snapshot!$B:$B,H509,inventory_snapshot!$E:$E)</f>
        <v>1502</v>
      </c>
      <c r="P509" s="32" t="str">
        <f t="shared" si="2"/>
        <v>OK</v>
      </c>
      <c r="Q509" s="32" t="str">
        <f t="shared" si="3"/>
        <v>OK</v>
      </c>
      <c r="R509" s="32" t="str">
        <f t="shared" si="4"/>
        <v>OK</v>
      </c>
      <c r="S509" s="32" t="str">
        <f t="shared" si="5"/>
        <v>Medium</v>
      </c>
    </row>
    <row r="510" ht="15.75" customHeight="1">
      <c r="A510" s="17" t="s">
        <v>662</v>
      </c>
      <c r="B510" s="18">
        <v>46080.0</v>
      </c>
      <c r="C510" s="17" t="s">
        <v>566</v>
      </c>
      <c r="D510" s="19" t="str">
        <f>IFERROR(VLOOKUP(C510,customer_lookup!$A:$E,2,FALSE),"")</f>
        <v>IL Account 0019</v>
      </c>
      <c r="E510" s="19" t="str">
        <f>IFERROR(VLOOKUP(C510,customer_lookup!$A:$E,3,FALSE),"")</f>
        <v>IL</v>
      </c>
      <c r="F510" s="20" t="str">
        <f>IFERROR(VLOOKUP(C510,customer_lookup!$A:$E,5,FALSE),"")</f>
        <v>Jordan</v>
      </c>
      <c r="G510" s="17" t="s">
        <v>67</v>
      </c>
      <c r="H510" s="17" t="s">
        <v>106</v>
      </c>
      <c r="I510" s="19" t="str">
        <f>IFERROR(VLOOKUP(H510,product_lookup!$A:$D,2,FALSE),"")</f>
        <v>Sour Cherry THC Gummies</v>
      </c>
      <c r="J510" s="21">
        <v>120.0</v>
      </c>
      <c r="K510" s="22">
        <v>10.12</v>
      </c>
      <c r="L510" s="23">
        <f t="shared" si="1"/>
        <v>1214.4</v>
      </c>
      <c r="M510" s="17" t="s">
        <v>65</v>
      </c>
      <c r="N510" s="18">
        <v>46088.0</v>
      </c>
      <c r="O510" s="19">
        <f>SUMIF(inventory_snapshot!$B:$B,H510,inventory_snapshot!$E:$E)</f>
        <v>1313</v>
      </c>
      <c r="P510" s="24" t="str">
        <f t="shared" si="2"/>
        <v>OK</v>
      </c>
      <c r="Q510" s="24" t="str">
        <f t="shared" si="3"/>
        <v>OK</v>
      </c>
      <c r="R510" s="24" t="str">
        <f t="shared" si="4"/>
        <v>OK</v>
      </c>
      <c r="S510" s="24" t="str">
        <f t="shared" si="5"/>
        <v>Large</v>
      </c>
    </row>
    <row r="511" ht="15.75" customHeight="1">
      <c r="A511" s="25" t="s">
        <v>663</v>
      </c>
      <c r="B511" s="26">
        <v>46098.0</v>
      </c>
      <c r="C511" s="25" t="s">
        <v>540</v>
      </c>
      <c r="D511" s="27" t="str">
        <f>IFERROR(VLOOKUP(C511,customer_lookup!$A:$E,2,FALSE),"")</f>
        <v>CO Account 0004</v>
      </c>
      <c r="E511" s="27" t="str">
        <f>IFERROR(VLOOKUP(C511,customer_lookup!$A:$E,3,FALSE),"")</f>
        <v>CO</v>
      </c>
      <c r="F511" s="28" t="str">
        <f>IFERROR(VLOOKUP(C511,customer_lookup!$A:$E,5,FALSE),"")</f>
        <v>Jordan</v>
      </c>
      <c r="G511" s="25" t="s">
        <v>67</v>
      </c>
      <c r="H511" s="25" t="s">
        <v>81</v>
      </c>
      <c r="I511" s="27" t="str">
        <f>IFERROR(VLOOKUP(H511,product_lookup!$A:$D,2,FALSE),"")</f>
        <v>Lemon Sparkling Beverage</v>
      </c>
      <c r="J511" s="29">
        <v>30.0</v>
      </c>
      <c r="K511" s="30">
        <v>6.87</v>
      </c>
      <c r="L511" s="31">
        <f t="shared" si="1"/>
        <v>206.1</v>
      </c>
      <c r="M511" s="25" t="s">
        <v>65</v>
      </c>
      <c r="N511" s="26">
        <v>46107.0</v>
      </c>
      <c r="O511" s="27">
        <f>SUMIF(inventory_snapshot!$B:$B,H511,inventory_snapshot!$E:$E)</f>
        <v>1360</v>
      </c>
      <c r="P511" s="32" t="str">
        <f t="shared" si="2"/>
        <v>OK</v>
      </c>
      <c r="Q511" s="32" t="str">
        <f t="shared" si="3"/>
        <v>OK</v>
      </c>
      <c r="R511" s="32" t="str">
        <f t="shared" si="4"/>
        <v>OK</v>
      </c>
      <c r="S511" s="32" t="str">
        <f t="shared" si="5"/>
        <v>Small</v>
      </c>
    </row>
    <row r="512" ht="15.75" customHeight="1">
      <c r="A512" s="17" t="s">
        <v>664</v>
      </c>
      <c r="B512" s="18">
        <v>46066.0</v>
      </c>
      <c r="C512" s="17" t="s">
        <v>547</v>
      </c>
      <c r="D512" s="19" t="str">
        <f>IFERROR(VLOOKUP(C512,customer_lookup!$A:$E,2,FALSE),"")</f>
        <v>OR Account 0001</v>
      </c>
      <c r="E512" s="19" t="str">
        <f>IFERROR(VLOOKUP(C512,customer_lookup!$A:$E,3,FALSE),"")</f>
        <v>OR</v>
      </c>
      <c r="F512" s="20" t="str">
        <f>IFERROR(VLOOKUP(C512,customer_lookup!$A:$E,5,FALSE),"")</f>
        <v>Jordan</v>
      </c>
      <c r="G512" s="17" t="s">
        <v>63</v>
      </c>
      <c r="H512" s="17" t="s">
        <v>74</v>
      </c>
      <c r="I512" s="19" t="str">
        <f>IFERROR(VLOOKUP(H512,product_lookup!$A:$D,2,FALSE),"")</f>
        <v>Strawberry 20:1 Gummies</v>
      </c>
      <c r="J512" s="21">
        <v>24.0</v>
      </c>
      <c r="K512" s="22">
        <v>12.2</v>
      </c>
      <c r="L512" s="23">
        <f t="shared" si="1"/>
        <v>292.8</v>
      </c>
      <c r="M512" s="17" t="s">
        <v>93</v>
      </c>
      <c r="N512" s="18">
        <v>46075.0</v>
      </c>
      <c r="O512" s="19">
        <f>SUMIF(inventory_snapshot!$B:$B,H512,inventory_snapshot!$E:$E)</f>
        <v>2294</v>
      </c>
      <c r="P512" s="24" t="str">
        <f t="shared" si="2"/>
        <v>OK</v>
      </c>
      <c r="Q512" s="24" t="str">
        <f t="shared" si="3"/>
        <v>OK</v>
      </c>
      <c r="R512" s="24" t="str">
        <f t="shared" si="4"/>
        <v>OK</v>
      </c>
      <c r="S512" s="24" t="str">
        <f t="shared" si="5"/>
        <v>Small</v>
      </c>
    </row>
    <row r="513" ht="15.75" customHeight="1">
      <c r="A513" s="25" t="s">
        <v>665</v>
      </c>
      <c r="B513" s="26">
        <v>46108.0</v>
      </c>
      <c r="C513" s="25" t="s">
        <v>570</v>
      </c>
      <c r="D513" s="27" t="str">
        <f>IFERROR(VLOOKUP(C513,customer_lookup!$A:$E,2,FALSE),"")</f>
        <v>CA Account 0039</v>
      </c>
      <c r="E513" s="27" t="str">
        <f>IFERROR(VLOOKUP(C513,customer_lookup!$A:$E,3,FALSE),"")</f>
        <v>CA</v>
      </c>
      <c r="F513" s="28" t="str">
        <f>IFERROR(VLOOKUP(C513,customer_lookup!$A:$E,5,FALSE),"")</f>
        <v>Jordan</v>
      </c>
      <c r="G513" s="25" t="s">
        <v>63</v>
      </c>
      <c r="H513" s="25" t="s">
        <v>102</v>
      </c>
      <c r="I513" s="27" t="str">
        <f>IFERROR(VLOOKUP(H513,product_lookup!$A:$D,2,FALSE),"")</f>
        <v>Pomegranate 1:1 Gummies</v>
      </c>
      <c r="J513" s="29">
        <v>96.0</v>
      </c>
      <c r="K513" s="30">
        <v>11.38</v>
      </c>
      <c r="L513" s="31">
        <f t="shared" si="1"/>
        <v>1092.48</v>
      </c>
      <c r="M513" s="25" t="s">
        <v>65</v>
      </c>
      <c r="N513" s="26">
        <v>46112.0</v>
      </c>
      <c r="O513" s="27">
        <f>SUMIF(inventory_snapshot!$B:$B,H513,inventory_snapshot!$E:$E)</f>
        <v>1493</v>
      </c>
      <c r="P513" s="32" t="str">
        <f t="shared" si="2"/>
        <v>OK</v>
      </c>
      <c r="Q513" s="32" t="str">
        <f t="shared" si="3"/>
        <v>OK</v>
      </c>
      <c r="R513" s="32" t="str">
        <f t="shared" si="4"/>
        <v>OK</v>
      </c>
      <c r="S513" s="32" t="str">
        <f t="shared" si="5"/>
        <v>Large</v>
      </c>
    </row>
    <row r="514" ht="15.75" customHeight="1">
      <c r="A514" s="17" t="s">
        <v>666</v>
      </c>
      <c r="B514" s="18">
        <v>46081.0</v>
      </c>
      <c r="C514" s="17" t="s">
        <v>542</v>
      </c>
      <c r="D514" s="19" t="str">
        <f>IFERROR(VLOOKUP(C514,customer_lookup!$A:$E,2,FALSE),"")</f>
        <v>OR Account 0025</v>
      </c>
      <c r="E514" s="19" t="str">
        <f>IFERROR(VLOOKUP(C514,customer_lookup!$A:$E,3,FALSE),"")</f>
        <v>OR</v>
      </c>
      <c r="F514" s="20" t="str">
        <f>IFERROR(VLOOKUP(C514,customer_lookup!$A:$E,5,FALSE),"")</f>
        <v>Jordan</v>
      </c>
      <c r="G514" s="17" t="s">
        <v>63</v>
      </c>
      <c r="H514" s="17" t="s">
        <v>68</v>
      </c>
      <c r="I514" s="19" t="str">
        <f>IFERROR(VLOOKUP(H514,product_lookup!$A:$D,2,FALSE),"")</f>
        <v>Sour Apple THC Gummies</v>
      </c>
      <c r="J514" s="21">
        <v>12.0</v>
      </c>
      <c r="K514" s="22">
        <v>9.76</v>
      </c>
      <c r="L514" s="23">
        <f t="shared" si="1"/>
        <v>117.12</v>
      </c>
      <c r="M514" s="17" t="s">
        <v>75</v>
      </c>
      <c r="N514" s="18">
        <v>46083.0</v>
      </c>
      <c r="O514" s="19">
        <f>SUMIF(inventory_snapshot!$B:$B,H514,inventory_snapshot!$E:$E)</f>
        <v>775</v>
      </c>
      <c r="P514" s="24" t="str">
        <f t="shared" si="2"/>
        <v>OK</v>
      </c>
      <c r="Q514" s="24" t="str">
        <f t="shared" si="3"/>
        <v>OK</v>
      </c>
      <c r="R514" s="24" t="str">
        <f t="shared" si="4"/>
        <v>OK</v>
      </c>
      <c r="S514" s="24" t="str">
        <f t="shared" si="5"/>
        <v>Small</v>
      </c>
    </row>
    <row r="515" ht="15.75" customHeight="1">
      <c r="A515" s="25" t="s">
        <v>667</v>
      </c>
      <c r="B515" s="26">
        <v>46076.0</v>
      </c>
      <c r="C515" s="25" t="s">
        <v>566</v>
      </c>
      <c r="D515" s="27" t="str">
        <f>IFERROR(VLOOKUP(C515,customer_lookup!$A:$E,2,FALSE),"")</f>
        <v>IL Account 0019</v>
      </c>
      <c r="E515" s="27" t="str">
        <f>IFERROR(VLOOKUP(C515,customer_lookup!$A:$E,3,FALSE),"")</f>
        <v>IL</v>
      </c>
      <c r="F515" s="28" t="str">
        <f>IFERROR(VLOOKUP(C515,customer_lookup!$A:$E,5,FALSE),"")</f>
        <v>Jordan</v>
      </c>
      <c r="G515" s="25" t="s">
        <v>63</v>
      </c>
      <c r="H515" s="25" t="s">
        <v>64</v>
      </c>
      <c r="I515" s="27" t="str">
        <f>IFERROR(VLOOKUP(H515,product_lookup!$A:$D,2,FALSE),"")</f>
        <v>Cranberry Sparkling Beverage</v>
      </c>
      <c r="J515" s="29">
        <v>6.0</v>
      </c>
      <c r="K515" s="30">
        <v>8.43</v>
      </c>
      <c r="L515" s="31">
        <f t="shared" si="1"/>
        <v>50.58</v>
      </c>
      <c r="M515" s="25" t="s">
        <v>97</v>
      </c>
      <c r="N515" s="26">
        <v>46079.0</v>
      </c>
      <c r="O515" s="27">
        <f>SUMIF(inventory_snapshot!$B:$B,H515,inventory_snapshot!$E:$E)</f>
        <v>1152</v>
      </c>
      <c r="P515" s="32" t="str">
        <f t="shared" si="2"/>
        <v>OK</v>
      </c>
      <c r="Q515" s="32" t="str">
        <f t="shared" si="3"/>
        <v>OK</v>
      </c>
      <c r="R515" s="32" t="str">
        <f t="shared" si="4"/>
        <v>OK</v>
      </c>
      <c r="S515" s="32" t="str">
        <f t="shared" si="5"/>
        <v>Small</v>
      </c>
    </row>
    <row r="516" ht="15.75" customHeight="1">
      <c r="A516" s="17" t="s">
        <v>668</v>
      </c>
      <c r="B516" s="18">
        <v>46064.0</v>
      </c>
      <c r="C516" s="17" t="s">
        <v>575</v>
      </c>
      <c r="D516" s="19" t="str">
        <f>IFERROR(VLOOKUP(C516,customer_lookup!$A:$E,2,FALSE),"")</f>
        <v>MI Account 0008</v>
      </c>
      <c r="E516" s="19" t="str">
        <f>IFERROR(VLOOKUP(C516,customer_lookup!$A:$E,3,FALSE),"")</f>
        <v>MI</v>
      </c>
      <c r="F516" s="20" t="str">
        <f>IFERROR(VLOOKUP(C516,customer_lookup!$A:$E,5,FALSE),"")</f>
        <v>Jordan</v>
      </c>
      <c r="G516" s="17" t="s">
        <v>63</v>
      </c>
      <c r="H516" s="17" t="s">
        <v>71</v>
      </c>
      <c r="I516" s="19" t="str">
        <f>IFERROR(VLOOKUP(H516,product_lookup!$A:$D,2,FALSE),"")</f>
        <v>Pineapple Sparkling Beverage</v>
      </c>
      <c r="J516" s="21">
        <v>18.0</v>
      </c>
      <c r="K516" s="22">
        <v>7.02</v>
      </c>
      <c r="L516" s="23">
        <f t="shared" si="1"/>
        <v>126.36</v>
      </c>
      <c r="M516" s="17" t="s">
        <v>100</v>
      </c>
      <c r="N516" s="18">
        <v>46070.0</v>
      </c>
      <c r="O516" s="19">
        <f>SUMIF(inventory_snapshot!$B:$B,H516,inventory_snapshot!$E:$E)</f>
        <v>1145</v>
      </c>
      <c r="P516" s="24" t="str">
        <f t="shared" si="2"/>
        <v>OK</v>
      </c>
      <c r="Q516" s="24" t="str">
        <f t="shared" si="3"/>
        <v>OK</v>
      </c>
      <c r="R516" s="24" t="str">
        <f t="shared" si="4"/>
        <v>OK</v>
      </c>
      <c r="S516" s="24" t="str">
        <f t="shared" si="5"/>
        <v>Small</v>
      </c>
    </row>
    <row r="517" ht="15.75" customHeight="1">
      <c r="A517" s="25" t="s">
        <v>669</v>
      </c>
      <c r="B517" s="26">
        <v>46038.0</v>
      </c>
      <c r="C517" s="25" t="s">
        <v>588</v>
      </c>
      <c r="D517" s="27" t="str">
        <f>IFERROR(VLOOKUP(C517,customer_lookup!$A:$E,2,FALSE),"")</f>
        <v>MI Account 0104</v>
      </c>
      <c r="E517" s="27" t="str">
        <f>IFERROR(VLOOKUP(C517,customer_lookup!$A:$E,3,FALSE),"")</f>
        <v>MI</v>
      </c>
      <c r="F517" s="28" t="str">
        <f>IFERROR(VLOOKUP(C517,customer_lookup!$A:$E,5,FALSE),"")</f>
        <v>Jordan</v>
      </c>
      <c r="G517" s="25" t="s">
        <v>63</v>
      </c>
      <c r="H517" s="25" t="s">
        <v>156</v>
      </c>
      <c r="I517" s="27" t="str">
        <f>IFERROR(VLOOKUP(H517,product_lookup!$A:$D,2,FALSE),"")</f>
        <v>Blood Orange 1:1 Gummies</v>
      </c>
      <c r="J517" s="29">
        <v>60.0</v>
      </c>
      <c r="K517" s="30">
        <v>9.74</v>
      </c>
      <c r="L517" s="31">
        <f t="shared" si="1"/>
        <v>584.4</v>
      </c>
      <c r="M517" s="25" t="s">
        <v>97</v>
      </c>
      <c r="N517" s="26">
        <v>46039.0</v>
      </c>
      <c r="O517" s="27">
        <f>SUMIF(inventory_snapshot!$B:$B,H517,inventory_snapshot!$E:$E)</f>
        <v>1589</v>
      </c>
      <c r="P517" s="32" t="str">
        <f t="shared" si="2"/>
        <v>OK</v>
      </c>
      <c r="Q517" s="32" t="str">
        <f t="shared" si="3"/>
        <v>OK</v>
      </c>
      <c r="R517" s="32" t="str">
        <f t="shared" si="4"/>
        <v>OK</v>
      </c>
      <c r="S517" s="32" t="str">
        <f t="shared" si="5"/>
        <v>Medium</v>
      </c>
    </row>
    <row r="518" ht="15.75" customHeight="1">
      <c r="A518" s="17" t="s">
        <v>670</v>
      </c>
      <c r="B518" s="18">
        <v>46047.0</v>
      </c>
      <c r="C518" s="17" t="s">
        <v>553</v>
      </c>
      <c r="D518" s="19" t="str">
        <f>IFERROR(VLOOKUP(C518,customer_lookup!$A:$E,2,FALSE),"")</f>
        <v>IL Account 0091</v>
      </c>
      <c r="E518" s="19" t="str">
        <f>IFERROR(VLOOKUP(C518,customer_lookup!$A:$E,3,FALSE),"")</f>
        <v>IL</v>
      </c>
      <c r="F518" s="20" t="str">
        <f>IFERROR(VLOOKUP(C518,customer_lookup!$A:$E,5,FALSE),"")</f>
        <v>Jordan</v>
      </c>
      <c r="G518" s="17" t="s">
        <v>89</v>
      </c>
      <c r="H518" s="17" t="s">
        <v>68</v>
      </c>
      <c r="I518" s="19" t="str">
        <f>IFERROR(VLOOKUP(H518,product_lookup!$A:$D,2,FALSE),"")</f>
        <v>Sour Apple THC Gummies</v>
      </c>
      <c r="J518" s="21">
        <v>12.0</v>
      </c>
      <c r="K518" s="22">
        <v>11.16</v>
      </c>
      <c r="L518" s="23">
        <f t="shared" si="1"/>
        <v>133.92</v>
      </c>
      <c r="M518" s="17" t="s">
        <v>65</v>
      </c>
      <c r="N518" s="18">
        <v>46051.0</v>
      </c>
      <c r="O518" s="19">
        <f>SUMIF(inventory_snapshot!$B:$B,H518,inventory_snapshot!$E:$E)</f>
        <v>775</v>
      </c>
      <c r="P518" s="24" t="str">
        <f t="shared" si="2"/>
        <v>OK</v>
      </c>
      <c r="Q518" s="24" t="str">
        <f t="shared" si="3"/>
        <v>OK</v>
      </c>
      <c r="R518" s="24" t="str">
        <f t="shared" si="4"/>
        <v>OK</v>
      </c>
      <c r="S518" s="24" t="str">
        <f t="shared" si="5"/>
        <v>Small</v>
      </c>
    </row>
    <row r="519" ht="15.75" customHeight="1">
      <c r="A519" s="25" t="s">
        <v>671</v>
      </c>
      <c r="B519" s="26">
        <v>46125.0</v>
      </c>
      <c r="C519" s="25" t="s">
        <v>540</v>
      </c>
      <c r="D519" s="27" t="str">
        <f>IFERROR(VLOOKUP(C519,customer_lookup!$A:$E,2,FALSE),"")</f>
        <v>CO Account 0004</v>
      </c>
      <c r="E519" s="27" t="str">
        <f>IFERROR(VLOOKUP(C519,customer_lookup!$A:$E,3,FALSE),"")</f>
        <v>CO</v>
      </c>
      <c r="F519" s="28" t="str">
        <f>IFERROR(VLOOKUP(C519,customer_lookup!$A:$E,5,FALSE),"")</f>
        <v>Jordan</v>
      </c>
      <c r="G519" s="25" t="s">
        <v>63</v>
      </c>
      <c r="H519" s="25" t="s">
        <v>64</v>
      </c>
      <c r="I519" s="27" t="str">
        <f>IFERROR(VLOOKUP(H519,product_lookup!$A:$D,2,FALSE),"")</f>
        <v>Cranberry Sparkling Beverage</v>
      </c>
      <c r="J519" s="29">
        <v>120.0</v>
      </c>
      <c r="K519" s="30">
        <v>8.42</v>
      </c>
      <c r="L519" s="31">
        <f t="shared" si="1"/>
        <v>1010.4</v>
      </c>
      <c r="M519" s="25" t="s">
        <v>65</v>
      </c>
      <c r="N519" s="26">
        <v>46133.0</v>
      </c>
      <c r="O519" s="27">
        <f>SUMIF(inventory_snapshot!$B:$B,H519,inventory_snapshot!$E:$E)</f>
        <v>1152</v>
      </c>
      <c r="P519" s="32" t="str">
        <f t="shared" si="2"/>
        <v>OK</v>
      </c>
      <c r="Q519" s="32" t="str">
        <f t="shared" si="3"/>
        <v>OK</v>
      </c>
      <c r="R519" s="32" t="str">
        <f t="shared" si="4"/>
        <v>OK</v>
      </c>
      <c r="S519" s="32" t="str">
        <f t="shared" si="5"/>
        <v>Large</v>
      </c>
    </row>
    <row r="520" ht="15.75" customHeight="1">
      <c r="A520" s="17" t="s">
        <v>672</v>
      </c>
      <c r="B520" s="18">
        <v>46101.0</v>
      </c>
      <c r="C520" s="17" t="s">
        <v>575</v>
      </c>
      <c r="D520" s="19" t="str">
        <f>IFERROR(VLOOKUP(C520,customer_lookup!$A:$E,2,FALSE),"")</f>
        <v>MI Account 0008</v>
      </c>
      <c r="E520" s="19" t="str">
        <f>IFERROR(VLOOKUP(C520,customer_lookup!$A:$E,3,FALSE),"")</f>
        <v>MI</v>
      </c>
      <c r="F520" s="20" t="str">
        <f>IFERROR(VLOOKUP(C520,customer_lookup!$A:$E,5,FALSE),"")</f>
        <v>Jordan</v>
      </c>
      <c r="G520" s="17" t="s">
        <v>63</v>
      </c>
      <c r="H520" s="17" t="s">
        <v>102</v>
      </c>
      <c r="I520" s="19" t="str">
        <f>IFERROR(VLOOKUP(H520,product_lookup!$A:$D,2,FALSE),"")</f>
        <v>Pomegranate 1:1 Gummies</v>
      </c>
      <c r="J520" s="21">
        <v>120.0</v>
      </c>
      <c r="K520" s="22">
        <v>10.85</v>
      </c>
      <c r="L520" s="23">
        <f t="shared" si="1"/>
        <v>1302</v>
      </c>
      <c r="M520" s="17" t="s">
        <v>100</v>
      </c>
      <c r="N520" s="18">
        <v>46102.0</v>
      </c>
      <c r="O520" s="19">
        <f>SUMIF(inventory_snapshot!$B:$B,H520,inventory_snapshot!$E:$E)</f>
        <v>1493</v>
      </c>
      <c r="P520" s="24" t="str">
        <f t="shared" si="2"/>
        <v>OK</v>
      </c>
      <c r="Q520" s="24" t="str">
        <f t="shared" si="3"/>
        <v>OK</v>
      </c>
      <c r="R520" s="24" t="str">
        <f t="shared" si="4"/>
        <v>OK</v>
      </c>
      <c r="S520" s="24" t="str">
        <f t="shared" si="5"/>
        <v>Large</v>
      </c>
    </row>
    <row r="521" ht="15.75" customHeight="1">
      <c r="A521" s="25" t="s">
        <v>673</v>
      </c>
      <c r="B521" s="26">
        <v>46062.0</v>
      </c>
      <c r="C521" s="25" t="s">
        <v>559</v>
      </c>
      <c r="D521" s="27" t="str">
        <f>IFERROR(VLOOKUP(C521,customer_lookup!$A:$E,2,FALSE),"")</f>
        <v>NV Account 0066</v>
      </c>
      <c r="E521" s="27" t="str">
        <f>IFERROR(VLOOKUP(C521,customer_lookup!$A:$E,3,FALSE),"")</f>
        <v>NV</v>
      </c>
      <c r="F521" s="28" t="str">
        <f>IFERROR(VLOOKUP(C521,customer_lookup!$A:$E,5,FALSE),"")</f>
        <v>Jordan</v>
      </c>
      <c r="G521" s="25" t="s">
        <v>63</v>
      </c>
      <c r="H521" s="25" t="s">
        <v>68</v>
      </c>
      <c r="I521" s="27" t="str">
        <f>IFERROR(VLOOKUP(H521,product_lookup!$A:$D,2,FALSE),"")</f>
        <v>Sour Apple THC Gummies</v>
      </c>
      <c r="J521" s="29">
        <v>96.0</v>
      </c>
      <c r="K521" s="30">
        <v>11.31</v>
      </c>
      <c r="L521" s="31">
        <f t="shared" si="1"/>
        <v>1085.76</v>
      </c>
      <c r="M521" s="25" t="s">
        <v>65</v>
      </c>
      <c r="N521" s="26">
        <v>46067.0</v>
      </c>
      <c r="O521" s="27">
        <f>SUMIF(inventory_snapshot!$B:$B,H521,inventory_snapshot!$E:$E)</f>
        <v>775</v>
      </c>
      <c r="P521" s="32" t="str">
        <f t="shared" si="2"/>
        <v>OK</v>
      </c>
      <c r="Q521" s="32" t="str">
        <f t="shared" si="3"/>
        <v>OK</v>
      </c>
      <c r="R521" s="32" t="str">
        <f t="shared" si="4"/>
        <v>OK</v>
      </c>
      <c r="S521" s="32" t="str">
        <f t="shared" si="5"/>
        <v>Large</v>
      </c>
    </row>
    <row r="522" ht="15.75" customHeight="1">
      <c r="A522" s="17" t="s">
        <v>674</v>
      </c>
      <c r="B522" s="18">
        <v>46104.0</v>
      </c>
      <c r="C522" s="17" t="s">
        <v>593</v>
      </c>
      <c r="D522" s="19" t="str">
        <f>IFERROR(VLOOKUP(C522,customer_lookup!$A:$E,2,FALSE),"")</f>
        <v>WA Account 0026</v>
      </c>
      <c r="E522" s="19" t="str">
        <f>IFERROR(VLOOKUP(C522,customer_lookup!$A:$E,3,FALSE),"")</f>
        <v>WA</v>
      </c>
      <c r="F522" s="20" t="str">
        <f>IFERROR(VLOOKUP(C522,customer_lookup!$A:$E,5,FALSE),"")</f>
        <v>Jordan</v>
      </c>
      <c r="G522" s="17" t="s">
        <v>67</v>
      </c>
      <c r="H522" s="17" t="s">
        <v>162</v>
      </c>
      <c r="I522" s="19" t="str">
        <f>IFERROR(VLOOKUP(H522,product_lookup!$A:$D,2,FALSE),"")</f>
        <v>Marionberry THC Gummies</v>
      </c>
      <c r="J522" s="21">
        <v>24.0</v>
      </c>
      <c r="K522" s="22">
        <v>10.83</v>
      </c>
      <c r="L522" s="23">
        <f t="shared" si="1"/>
        <v>259.92</v>
      </c>
      <c r="M522" s="17" t="s">
        <v>97</v>
      </c>
      <c r="N522" s="18">
        <v>46112.0</v>
      </c>
      <c r="O522" s="19">
        <f>SUMIF(inventory_snapshot!$B:$B,H522,inventory_snapshot!$E:$E)</f>
        <v>1599</v>
      </c>
      <c r="P522" s="24" t="str">
        <f t="shared" si="2"/>
        <v>OK</v>
      </c>
      <c r="Q522" s="24" t="str">
        <f t="shared" si="3"/>
        <v>OK</v>
      </c>
      <c r="R522" s="24" t="str">
        <f t="shared" si="4"/>
        <v>OK</v>
      </c>
      <c r="S522" s="24" t="str">
        <f t="shared" si="5"/>
        <v>Small</v>
      </c>
    </row>
    <row r="523" ht="15.75" customHeight="1">
      <c r="A523" s="25" t="s">
        <v>675</v>
      </c>
      <c r="B523" s="26">
        <v>46128.0</v>
      </c>
      <c r="C523" s="25" t="s">
        <v>570</v>
      </c>
      <c r="D523" s="27" t="str">
        <f>IFERROR(VLOOKUP(C523,customer_lookup!$A:$E,2,FALSE),"")</f>
        <v>CA Account 0039</v>
      </c>
      <c r="E523" s="27" t="str">
        <f>IFERROR(VLOOKUP(C523,customer_lookup!$A:$E,3,FALSE),"")</f>
        <v>CA</v>
      </c>
      <c r="F523" s="28" t="str">
        <f>IFERROR(VLOOKUP(C523,customer_lookup!$A:$E,5,FALSE),"")</f>
        <v>Jordan</v>
      </c>
      <c r="G523" s="25" t="s">
        <v>63</v>
      </c>
      <c r="H523" s="25" t="s">
        <v>102</v>
      </c>
      <c r="I523" s="27" t="str">
        <f>IFERROR(VLOOKUP(H523,product_lookup!$A:$D,2,FALSE),"")</f>
        <v>Pomegranate 1:1 Gummies</v>
      </c>
      <c r="J523" s="29">
        <v>36.0</v>
      </c>
      <c r="K523" s="30">
        <v>11.62</v>
      </c>
      <c r="L523" s="31">
        <f t="shared" si="1"/>
        <v>418.32</v>
      </c>
      <c r="M523" s="25" t="s">
        <v>75</v>
      </c>
      <c r="N523" s="26">
        <v>46138.0</v>
      </c>
      <c r="O523" s="27">
        <f>SUMIF(inventory_snapshot!$B:$B,H523,inventory_snapshot!$E:$E)</f>
        <v>1493</v>
      </c>
      <c r="P523" s="32" t="str">
        <f t="shared" si="2"/>
        <v>OK</v>
      </c>
      <c r="Q523" s="32" t="str">
        <f t="shared" si="3"/>
        <v>OK</v>
      </c>
      <c r="R523" s="32" t="str">
        <f t="shared" si="4"/>
        <v>OK</v>
      </c>
      <c r="S523" s="32" t="str">
        <f t="shared" si="5"/>
        <v>Small</v>
      </c>
    </row>
    <row r="524" ht="15.75" customHeight="1">
      <c r="A524" s="17" t="s">
        <v>676</v>
      </c>
      <c r="B524" s="18">
        <v>46098.0</v>
      </c>
      <c r="C524" s="17" t="s">
        <v>570</v>
      </c>
      <c r="D524" s="19" t="str">
        <f>IFERROR(VLOOKUP(C524,customer_lookup!$A:$E,2,FALSE),"")</f>
        <v>CA Account 0039</v>
      </c>
      <c r="E524" s="19" t="str">
        <f>IFERROR(VLOOKUP(C524,customer_lookup!$A:$E,3,FALSE),"")</f>
        <v>CA</v>
      </c>
      <c r="F524" s="20" t="str">
        <f>IFERROR(VLOOKUP(C524,customer_lookup!$A:$E,5,FALSE),"")</f>
        <v>Jordan</v>
      </c>
      <c r="G524" s="17" t="s">
        <v>63</v>
      </c>
      <c r="H524" s="17" t="s">
        <v>92</v>
      </c>
      <c r="I524" s="19" t="str">
        <f>IFERROR(VLOOKUP(H524,product_lookup!$A:$D,2,FALSE),"")</f>
        <v>Raspberry THC Gummies</v>
      </c>
      <c r="J524" s="21">
        <v>6.0</v>
      </c>
      <c r="K524" s="22">
        <v>10.64</v>
      </c>
      <c r="L524" s="23">
        <f t="shared" si="1"/>
        <v>63.84</v>
      </c>
      <c r="M524" s="17" t="s">
        <v>100</v>
      </c>
      <c r="N524" s="18">
        <v>46104.0</v>
      </c>
      <c r="O524" s="19">
        <f>SUMIF(inventory_snapshot!$B:$B,H524,inventory_snapshot!$E:$E)</f>
        <v>1417</v>
      </c>
      <c r="P524" s="24" t="str">
        <f t="shared" si="2"/>
        <v>OK</v>
      </c>
      <c r="Q524" s="24" t="str">
        <f t="shared" si="3"/>
        <v>OK</v>
      </c>
      <c r="R524" s="24" t="str">
        <f t="shared" si="4"/>
        <v>OK</v>
      </c>
      <c r="S524" s="24" t="str">
        <f t="shared" si="5"/>
        <v>Small</v>
      </c>
    </row>
    <row r="525" ht="15.75" customHeight="1">
      <c r="A525" s="25" t="s">
        <v>677</v>
      </c>
      <c r="B525" s="26">
        <v>46031.0</v>
      </c>
      <c r="C525" s="25" t="s">
        <v>566</v>
      </c>
      <c r="D525" s="27" t="str">
        <f>IFERROR(VLOOKUP(C525,customer_lookup!$A:$E,2,FALSE),"")</f>
        <v>IL Account 0019</v>
      </c>
      <c r="E525" s="27" t="str">
        <f>IFERROR(VLOOKUP(C525,customer_lookup!$A:$E,3,FALSE),"")</f>
        <v>IL</v>
      </c>
      <c r="F525" s="28" t="str">
        <f>IFERROR(VLOOKUP(C525,customer_lookup!$A:$E,5,FALSE),"")</f>
        <v>Jordan</v>
      </c>
      <c r="G525" s="25" t="s">
        <v>63</v>
      </c>
      <c r="H525" s="25" t="s">
        <v>74</v>
      </c>
      <c r="I525" s="27" t="str">
        <f>IFERROR(VLOOKUP(H525,product_lookup!$A:$D,2,FALSE),"")</f>
        <v>Strawberry 20:1 Gummies</v>
      </c>
      <c r="J525" s="29">
        <v>48.0</v>
      </c>
      <c r="K525" s="30">
        <v>11.74</v>
      </c>
      <c r="L525" s="31">
        <f t="shared" si="1"/>
        <v>563.52</v>
      </c>
      <c r="M525" s="25" t="s">
        <v>97</v>
      </c>
      <c r="N525" s="26">
        <v>46041.0</v>
      </c>
      <c r="O525" s="27">
        <f>SUMIF(inventory_snapshot!$B:$B,H525,inventory_snapshot!$E:$E)</f>
        <v>2294</v>
      </c>
      <c r="P525" s="32" t="str">
        <f t="shared" si="2"/>
        <v>OK</v>
      </c>
      <c r="Q525" s="32" t="str">
        <f t="shared" si="3"/>
        <v>OK</v>
      </c>
      <c r="R525" s="32" t="str">
        <f t="shared" si="4"/>
        <v>OK</v>
      </c>
      <c r="S525" s="32" t="str">
        <f t="shared" si="5"/>
        <v>Medium</v>
      </c>
    </row>
    <row r="526" ht="15.75" customHeight="1">
      <c r="A526" s="17" t="s">
        <v>678</v>
      </c>
      <c r="B526" s="18">
        <v>46134.0</v>
      </c>
      <c r="C526" s="17" t="s">
        <v>547</v>
      </c>
      <c r="D526" s="19" t="str">
        <f>IFERROR(VLOOKUP(C526,customer_lookup!$A:$E,2,FALSE),"")</f>
        <v>OR Account 0001</v>
      </c>
      <c r="E526" s="19" t="str">
        <f>IFERROR(VLOOKUP(C526,customer_lookup!$A:$E,3,FALSE),"")</f>
        <v>OR</v>
      </c>
      <c r="F526" s="20" t="str">
        <f>IFERROR(VLOOKUP(C526,customer_lookup!$A:$E,5,FALSE),"")</f>
        <v>Jordan</v>
      </c>
      <c r="G526" s="17" t="s">
        <v>63</v>
      </c>
      <c r="H526" s="17" t="s">
        <v>110</v>
      </c>
      <c r="I526" s="19" t="str">
        <f>IFERROR(VLOOKUP(H526,product_lookup!$A:$D,2,FALSE),"")</f>
        <v>Elderberry 2:1 Gummies</v>
      </c>
      <c r="J526" s="21">
        <v>60.0</v>
      </c>
      <c r="K526" s="22">
        <v>10.05</v>
      </c>
      <c r="L526" s="23">
        <f t="shared" si="1"/>
        <v>603</v>
      </c>
      <c r="M526" s="17" t="s">
        <v>97</v>
      </c>
      <c r="N526" s="18">
        <v>46137.0</v>
      </c>
      <c r="O526" s="19">
        <f>SUMIF(inventory_snapshot!$B:$B,H526,inventory_snapshot!$E:$E)</f>
        <v>1633</v>
      </c>
      <c r="P526" s="24" t="str">
        <f t="shared" si="2"/>
        <v>OK</v>
      </c>
      <c r="Q526" s="24" t="str">
        <f t="shared" si="3"/>
        <v>OK</v>
      </c>
      <c r="R526" s="24" t="str">
        <f t="shared" si="4"/>
        <v>OK</v>
      </c>
      <c r="S526" s="24" t="str">
        <f t="shared" si="5"/>
        <v>Medium</v>
      </c>
    </row>
    <row r="527" ht="15.75" customHeight="1">
      <c r="A527" s="25" t="s">
        <v>679</v>
      </c>
      <c r="B527" s="26">
        <v>46118.0</v>
      </c>
      <c r="C527" s="25" t="s">
        <v>593</v>
      </c>
      <c r="D527" s="27" t="str">
        <f>IFERROR(VLOOKUP(C527,customer_lookup!$A:$E,2,FALSE),"")</f>
        <v>WA Account 0026</v>
      </c>
      <c r="E527" s="27" t="str">
        <f>IFERROR(VLOOKUP(C527,customer_lookup!$A:$E,3,FALSE),"")</f>
        <v>WA</v>
      </c>
      <c r="F527" s="28" t="str">
        <f>IFERROR(VLOOKUP(C527,customer_lookup!$A:$E,5,FALSE),"")</f>
        <v>Jordan</v>
      </c>
      <c r="G527" s="25" t="s">
        <v>89</v>
      </c>
      <c r="H527" s="25" t="s">
        <v>95</v>
      </c>
      <c r="I527" s="27" t="str">
        <f>IFERROR(VLOOKUP(H527,product_lookup!$A:$D,2,FALSE),"")</f>
        <v>Boysenberry 1:1:1 Gummies</v>
      </c>
      <c r="J527" s="29">
        <v>18.0</v>
      </c>
      <c r="K527" s="30">
        <v>11.15</v>
      </c>
      <c r="L527" s="31">
        <f t="shared" si="1"/>
        <v>200.7</v>
      </c>
      <c r="M527" s="25" t="s">
        <v>97</v>
      </c>
      <c r="N527" s="26">
        <v>46125.0</v>
      </c>
      <c r="O527" s="27">
        <f>SUMIF(inventory_snapshot!$B:$B,H527,inventory_snapshot!$E:$E)</f>
        <v>2007</v>
      </c>
      <c r="P527" s="32" t="str">
        <f t="shared" si="2"/>
        <v>OK</v>
      </c>
      <c r="Q527" s="32" t="str">
        <f t="shared" si="3"/>
        <v>OK</v>
      </c>
      <c r="R527" s="32" t="str">
        <f t="shared" si="4"/>
        <v>OK</v>
      </c>
      <c r="S527" s="32" t="str">
        <f t="shared" si="5"/>
        <v>Small</v>
      </c>
    </row>
    <row r="528" ht="15.75" customHeight="1">
      <c r="A528" s="17" t="s">
        <v>680</v>
      </c>
      <c r="B528" s="18">
        <v>46100.0</v>
      </c>
      <c r="C528" s="17" t="s">
        <v>547</v>
      </c>
      <c r="D528" s="19" t="str">
        <f>IFERROR(VLOOKUP(C528,customer_lookup!$A:$E,2,FALSE),"")</f>
        <v>OR Account 0001</v>
      </c>
      <c r="E528" s="19" t="str">
        <f>IFERROR(VLOOKUP(C528,customer_lookup!$A:$E,3,FALSE),"")</f>
        <v>OR</v>
      </c>
      <c r="F528" s="20" t="str">
        <f>IFERROR(VLOOKUP(C528,customer_lookup!$A:$E,5,FALSE),"")</f>
        <v>Jordan</v>
      </c>
      <c r="G528" s="17" t="s">
        <v>89</v>
      </c>
      <c r="H528" s="17" t="s">
        <v>106</v>
      </c>
      <c r="I528" s="19" t="str">
        <f>IFERROR(VLOOKUP(H528,product_lookup!$A:$D,2,FALSE),"")</f>
        <v>Sour Cherry THC Gummies</v>
      </c>
      <c r="J528" s="21">
        <v>72.0</v>
      </c>
      <c r="K528" s="22">
        <v>11.8</v>
      </c>
      <c r="L528" s="23">
        <f t="shared" si="1"/>
        <v>849.6</v>
      </c>
      <c r="M528" s="17" t="s">
        <v>65</v>
      </c>
      <c r="N528" s="18">
        <v>46108.0</v>
      </c>
      <c r="O528" s="19">
        <f>SUMIF(inventory_snapshot!$B:$B,H528,inventory_snapshot!$E:$E)</f>
        <v>1313</v>
      </c>
      <c r="P528" s="24" t="str">
        <f t="shared" si="2"/>
        <v>OK</v>
      </c>
      <c r="Q528" s="24" t="str">
        <f t="shared" si="3"/>
        <v>OK</v>
      </c>
      <c r="R528" s="24" t="str">
        <f t="shared" si="4"/>
        <v>OK</v>
      </c>
      <c r="S528" s="24" t="str">
        <f t="shared" si="5"/>
        <v>Medium</v>
      </c>
    </row>
    <row r="529" ht="15.75" customHeight="1">
      <c r="A529" s="25" t="s">
        <v>681</v>
      </c>
      <c r="B529" s="26">
        <v>46025.0</v>
      </c>
      <c r="C529" s="25" t="s">
        <v>547</v>
      </c>
      <c r="D529" s="27" t="str">
        <f>IFERROR(VLOOKUP(C529,customer_lookup!$A:$E,2,FALSE),"")</f>
        <v>OR Account 0001</v>
      </c>
      <c r="E529" s="27" t="str">
        <f>IFERROR(VLOOKUP(C529,customer_lookup!$A:$E,3,FALSE),"")</f>
        <v>OR</v>
      </c>
      <c r="F529" s="28" t="str">
        <f>IFERROR(VLOOKUP(C529,customer_lookup!$A:$E,5,FALSE),"")</f>
        <v>Jordan</v>
      </c>
      <c r="G529" s="25" t="s">
        <v>89</v>
      </c>
      <c r="H529" s="25" t="s">
        <v>92</v>
      </c>
      <c r="I529" s="27" t="str">
        <f>IFERROR(VLOOKUP(H529,product_lookup!$A:$D,2,FALSE),"")</f>
        <v>Raspberry THC Gummies</v>
      </c>
      <c r="J529" s="29">
        <v>120.0</v>
      </c>
      <c r="K529" s="30">
        <v>10.21</v>
      </c>
      <c r="L529" s="31">
        <f t="shared" si="1"/>
        <v>1225.2</v>
      </c>
      <c r="M529" s="25" t="s">
        <v>100</v>
      </c>
      <c r="N529" s="26">
        <v>46031.0</v>
      </c>
      <c r="O529" s="27">
        <f>SUMIF(inventory_snapshot!$B:$B,H529,inventory_snapshot!$E:$E)</f>
        <v>1417</v>
      </c>
      <c r="P529" s="32" t="str">
        <f t="shared" si="2"/>
        <v>OK</v>
      </c>
      <c r="Q529" s="32" t="str">
        <f t="shared" si="3"/>
        <v>OK</v>
      </c>
      <c r="R529" s="32" t="str">
        <f t="shared" si="4"/>
        <v>OK</v>
      </c>
      <c r="S529" s="32" t="str">
        <f t="shared" si="5"/>
        <v>Large</v>
      </c>
    </row>
    <row r="530" ht="15.75" customHeight="1">
      <c r="A530" s="17" t="s">
        <v>682</v>
      </c>
      <c r="B530" s="18">
        <v>46141.0</v>
      </c>
      <c r="C530" s="17" t="s">
        <v>540</v>
      </c>
      <c r="D530" s="19" t="str">
        <f>IFERROR(VLOOKUP(C530,customer_lookup!$A:$E,2,FALSE),"")</f>
        <v>CO Account 0004</v>
      </c>
      <c r="E530" s="19" t="str">
        <f>IFERROR(VLOOKUP(C530,customer_lookup!$A:$E,3,FALSE),"")</f>
        <v>CO</v>
      </c>
      <c r="F530" s="20" t="str">
        <f>IFERROR(VLOOKUP(C530,customer_lookup!$A:$E,5,FALSE),"")</f>
        <v>Jordan</v>
      </c>
      <c r="G530" s="17" t="s">
        <v>63</v>
      </c>
      <c r="H530" s="17" t="s">
        <v>154</v>
      </c>
      <c r="I530" s="19" t="str">
        <f>IFERROR(VLOOKUP(H530,product_lookup!$A:$D,2,FALSE),"")</f>
        <v>Kiwi 1:1 Gummies</v>
      </c>
      <c r="J530" s="21">
        <v>36.0</v>
      </c>
      <c r="K530" s="22">
        <v>11.62</v>
      </c>
      <c r="L530" s="23">
        <f t="shared" si="1"/>
        <v>418.32</v>
      </c>
      <c r="M530" s="17" t="s">
        <v>65</v>
      </c>
      <c r="N530" s="18">
        <v>46146.0</v>
      </c>
      <c r="O530" s="19">
        <f>SUMIF(inventory_snapshot!$B:$B,H530,inventory_snapshot!$E:$E)</f>
        <v>1136</v>
      </c>
      <c r="P530" s="24" t="str">
        <f t="shared" si="2"/>
        <v>OK</v>
      </c>
      <c r="Q530" s="24" t="str">
        <f t="shared" si="3"/>
        <v>OK</v>
      </c>
      <c r="R530" s="24" t="str">
        <f t="shared" si="4"/>
        <v>OK</v>
      </c>
      <c r="S530" s="24" t="str">
        <f t="shared" si="5"/>
        <v>Small</v>
      </c>
    </row>
    <row r="531" ht="15.75" customHeight="1">
      <c r="A531" s="25" t="s">
        <v>683</v>
      </c>
      <c r="B531" s="26">
        <v>46126.0</v>
      </c>
      <c r="C531" s="25" t="s">
        <v>557</v>
      </c>
      <c r="D531" s="27" t="str">
        <f>IFERROR(VLOOKUP(C531,customer_lookup!$A:$E,2,FALSE),"")</f>
        <v>WA Account 0110</v>
      </c>
      <c r="E531" s="27" t="str">
        <f>IFERROR(VLOOKUP(C531,customer_lookup!$A:$E,3,FALSE),"")</f>
        <v>WA</v>
      </c>
      <c r="F531" s="28" t="str">
        <f>IFERROR(VLOOKUP(C531,customer_lookup!$A:$E,5,FALSE),"")</f>
        <v>Jordan</v>
      </c>
      <c r="G531" s="25" t="s">
        <v>63</v>
      </c>
      <c r="H531" s="25" t="s">
        <v>108</v>
      </c>
      <c r="I531" s="27" t="str">
        <f>IFERROR(VLOOKUP(H531,product_lookup!$A:$D,2,FALSE),"")</f>
        <v>Sour Tangerine THC Gummies</v>
      </c>
      <c r="J531" s="29">
        <v>24.0</v>
      </c>
      <c r="K531" s="30">
        <v>10.16</v>
      </c>
      <c r="L531" s="31">
        <f t="shared" si="1"/>
        <v>243.84</v>
      </c>
      <c r="M531" s="25" t="s">
        <v>100</v>
      </c>
      <c r="N531" s="26">
        <v>46128.0</v>
      </c>
      <c r="O531" s="27">
        <f>SUMIF(inventory_snapshot!$B:$B,H531,inventory_snapshot!$E:$E)</f>
        <v>1679</v>
      </c>
      <c r="P531" s="32" t="str">
        <f t="shared" si="2"/>
        <v>OK</v>
      </c>
      <c r="Q531" s="32" t="str">
        <f t="shared" si="3"/>
        <v>OK</v>
      </c>
      <c r="R531" s="32" t="str">
        <f t="shared" si="4"/>
        <v>OK</v>
      </c>
      <c r="S531" s="32" t="str">
        <f t="shared" si="5"/>
        <v>Small</v>
      </c>
    </row>
    <row r="532" ht="15.75" customHeight="1">
      <c r="A532" s="17" t="s">
        <v>684</v>
      </c>
      <c r="B532" s="18">
        <v>46096.0</v>
      </c>
      <c r="C532" s="17" t="s">
        <v>542</v>
      </c>
      <c r="D532" s="19" t="str">
        <f>IFERROR(VLOOKUP(C532,customer_lookup!$A:$E,2,FALSE),"")</f>
        <v>OR Account 0025</v>
      </c>
      <c r="E532" s="19" t="str">
        <f>IFERROR(VLOOKUP(C532,customer_lookup!$A:$E,3,FALSE),"")</f>
        <v>OR</v>
      </c>
      <c r="F532" s="20" t="str">
        <f>IFERROR(VLOOKUP(C532,customer_lookup!$A:$E,5,FALSE),"")</f>
        <v>Jordan</v>
      </c>
      <c r="G532" s="17" t="s">
        <v>63</v>
      </c>
      <c r="H532" s="17" t="s">
        <v>78</v>
      </c>
      <c r="I532" s="19" t="str">
        <f>IFERROR(VLOOKUP(H532,product_lookup!$A:$D,2,FALSE),"")</f>
        <v>Grapefruit 1:1:1 Gummies</v>
      </c>
      <c r="J532" s="21">
        <v>36.0</v>
      </c>
      <c r="K532" s="22">
        <v>9.95</v>
      </c>
      <c r="L532" s="23">
        <f t="shared" si="1"/>
        <v>358.2</v>
      </c>
      <c r="M532" s="17" t="s">
        <v>97</v>
      </c>
      <c r="N532" s="18">
        <v>46097.0</v>
      </c>
      <c r="O532" s="19">
        <f>SUMIF(inventory_snapshot!$B:$B,H532,inventory_snapshot!$E:$E)</f>
        <v>1751</v>
      </c>
      <c r="P532" s="24" t="str">
        <f t="shared" si="2"/>
        <v>OK</v>
      </c>
      <c r="Q532" s="24" t="str">
        <f t="shared" si="3"/>
        <v>OK</v>
      </c>
      <c r="R532" s="24" t="str">
        <f t="shared" si="4"/>
        <v>OK</v>
      </c>
      <c r="S532" s="24" t="str">
        <f t="shared" si="5"/>
        <v>Small</v>
      </c>
    </row>
    <row r="533" ht="15.75" customHeight="1">
      <c r="A533" s="25" t="s">
        <v>685</v>
      </c>
      <c r="B533" s="26">
        <v>46077.0</v>
      </c>
      <c r="C533" s="25" t="s">
        <v>542</v>
      </c>
      <c r="D533" s="27" t="str">
        <f>IFERROR(VLOOKUP(C533,customer_lookup!$A:$E,2,FALSE),"")</f>
        <v>OR Account 0025</v>
      </c>
      <c r="E533" s="27" t="str">
        <f>IFERROR(VLOOKUP(C533,customer_lookup!$A:$E,3,FALSE),"")</f>
        <v>OR</v>
      </c>
      <c r="F533" s="28" t="str">
        <f>IFERROR(VLOOKUP(C533,customer_lookup!$A:$E,5,FALSE),"")</f>
        <v>Jordan</v>
      </c>
      <c r="G533" s="25" t="s">
        <v>89</v>
      </c>
      <c r="H533" s="25" t="s">
        <v>106</v>
      </c>
      <c r="I533" s="27" t="str">
        <f>IFERROR(VLOOKUP(H533,product_lookup!$A:$D,2,FALSE),"")</f>
        <v>Sour Cherry THC Gummies</v>
      </c>
      <c r="J533" s="29">
        <v>36.0</v>
      </c>
      <c r="K533" s="30">
        <v>11.33</v>
      </c>
      <c r="L533" s="31">
        <f t="shared" si="1"/>
        <v>407.88</v>
      </c>
      <c r="M533" s="25" t="s">
        <v>65</v>
      </c>
      <c r="N533" s="26">
        <v>46080.0</v>
      </c>
      <c r="O533" s="27">
        <f>SUMIF(inventory_snapshot!$B:$B,H533,inventory_snapshot!$E:$E)</f>
        <v>1313</v>
      </c>
      <c r="P533" s="32" t="str">
        <f t="shared" si="2"/>
        <v>OK</v>
      </c>
      <c r="Q533" s="32" t="str">
        <f t="shared" si="3"/>
        <v>OK</v>
      </c>
      <c r="R533" s="32" t="str">
        <f t="shared" si="4"/>
        <v>OK</v>
      </c>
      <c r="S533" s="32" t="str">
        <f t="shared" si="5"/>
        <v>Small</v>
      </c>
    </row>
    <row r="534" ht="15.75" customHeight="1">
      <c r="A534" s="17" t="s">
        <v>686</v>
      </c>
      <c r="B534" s="18">
        <v>46025.0</v>
      </c>
      <c r="C534" s="17" t="s">
        <v>570</v>
      </c>
      <c r="D534" s="19" t="str">
        <f>IFERROR(VLOOKUP(C534,customer_lookup!$A:$E,2,FALSE),"")</f>
        <v>CA Account 0039</v>
      </c>
      <c r="E534" s="19" t="str">
        <f>IFERROR(VLOOKUP(C534,customer_lookup!$A:$E,3,FALSE),"")</f>
        <v>CA</v>
      </c>
      <c r="F534" s="20" t="str">
        <f>IFERROR(VLOOKUP(C534,customer_lookup!$A:$E,5,FALSE),"")</f>
        <v>Jordan</v>
      </c>
      <c r="G534" s="17" t="s">
        <v>63</v>
      </c>
      <c r="H534" s="17" t="s">
        <v>154</v>
      </c>
      <c r="I534" s="19" t="str">
        <f>IFERROR(VLOOKUP(H534,product_lookup!$A:$D,2,FALSE),"")</f>
        <v>Kiwi 1:1 Gummies</v>
      </c>
      <c r="J534" s="21">
        <v>72.0</v>
      </c>
      <c r="K534" s="22">
        <v>10.52</v>
      </c>
      <c r="L534" s="23">
        <f t="shared" si="1"/>
        <v>757.44</v>
      </c>
      <c r="M534" s="17" t="s">
        <v>75</v>
      </c>
      <c r="N534" s="18">
        <v>46031.0</v>
      </c>
      <c r="O534" s="19">
        <f>SUMIF(inventory_snapshot!$B:$B,H534,inventory_snapshot!$E:$E)</f>
        <v>1136</v>
      </c>
      <c r="P534" s="24" t="str">
        <f t="shared" si="2"/>
        <v>OK</v>
      </c>
      <c r="Q534" s="24" t="str">
        <f t="shared" si="3"/>
        <v>OK</v>
      </c>
      <c r="R534" s="24" t="str">
        <f t="shared" si="4"/>
        <v>OK</v>
      </c>
      <c r="S534" s="24" t="str">
        <f t="shared" si="5"/>
        <v>Medium</v>
      </c>
    </row>
    <row r="535" ht="15.75" customHeight="1">
      <c r="A535" s="25" t="s">
        <v>687</v>
      </c>
      <c r="B535" s="26">
        <v>46131.0</v>
      </c>
      <c r="C535" s="25" t="s">
        <v>588</v>
      </c>
      <c r="D535" s="27" t="str">
        <f>IFERROR(VLOOKUP(C535,customer_lookup!$A:$E,2,FALSE),"")</f>
        <v>MI Account 0104</v>
      </c>
      <c r="E535" s="27" t="str">
        <f>IFERROR(VLOOKUP(C535,customer_lookup!$A:$E,3,FALSE),"")</f>
        <v>MI</v>
      </c>
      <c r="F535" s="28" t="str">
        <f>IFERROR(VLOOKUP(C535,customer_lookup!$A:$E,5,FALSE),"")</f>
        <v>Jordan</v>
      </c>
      <c r="G535" s="25" t="s">
        <v>63</v>
      </c>
      <c r="H535" s="25" t="s">
        <v>95</v>
      </c>
      <c r="I535" s="27" t="str">
        <f>IFERROR(VLOOKUP(H535,product_lookup!$A:$D,2,FALSE),"")</f>
        <v>Boysenberry 1:1:1 Gummies</v>
      </c>
      <c r="J535" s="29">
        <v>30.0</v>
      </c>
      <c r="K535" s="30">
        <v>10.41</v>
      </c>
      <c r="L535" s="31">
        <f t="shared" si="1"/>
        <v>312.3</v>
      </c>
      <c r="M535" s="25" t="s">
        <v>97</v>
      </c>
      <c r="N535" s="26">
        <v>46139.0</v>
      </c>
      <c r="O535" s="27">
        <f>SUMIF(inventory_snapshot!$B:$B,H535,inventory_snapshot!$E:$E)</f>
        <v>2007</v>
      </c>
      <c r="P535" s="32" t="str">
        <f t="shared" si="2"/>
        <v>OK</v>
      </c>
      <c r="Q535" s="32" t="str">
        <f t="shared" si="3"/>
        <v>OK</v>
      </c>
      <c r="R535" s="32" t="str">
        <f t="shared" si="4"/>
        <v>OK</v>
      </c>
      <c r="S535" s="32" t="str">
        <f t="shared" si="5"/>
        <v>Small</v>
      </c>
    </row>
    <row r="536" ht="15.75" customHeight="1">
      <c r="A536" s="17" t="s">
        <v>688</v>
      </c>
      <c r="B536" s="18">
        <v>46043.0</v>
      </c>
      <c r="C536" s="17" t="s">
        <v>559</v>
      </c>
      <c r="D536" s="19" t="str">
        <f>IFERROR(VLOOKUP(C536,customer_lookup!$A:$E,2,FALSE),"")</f>
        <v>NV Account 0066</v>
      </c>
      <c r="E536" s="19" t="str">
        <f>IFERROR(VLOOKUP(C536,customer_lookup!$A:$E,3,FALSE),"")</f>
        <v>NV</v>
      </c>
      <c r="F536" s="20" t="str">
        <f>IFERROR(VLOOKUP(C536,customer_lookup!$A:$E,5,FALSE),"")</f>
        <v>Jordan</v>
      </c>
      <c r="G536" s="17" t="s">
        <v>67</v>
      </c>
      <c r="H536" s="17" t="s">
        <v>71</v>
      </c>
      <c r="I536" s="19" t="str">
        <f>IFERROR(VLOOKUP(H536,product_lookup!$A:$D,2,FALSE),"")</f>
        <v>Pineapple Sparkling Beverage</v>
      </c>
      <c r="J536" s="21">
        <v>48.0</v>
      </c>
      <c r="K536" s="22">
        <v>8.25</v>
      </c>
      <c r="L536" s="23">
        <f t="shared" si="1"/>
        <v>396</v>
      </c>
      <c r="M536" s="17" t="s">
        <v>97</v>
      </c>
      <c r="N536" s="18">
        <v>46050.0</v>
      </c>
      <c r="O536" s="19">
        <f>SUMIF(inventory_snapshot!$B:$B,H536,inventory_snapshot!$E:$E)</f>
        <v>1145</v>
      </c>
      <c r="P536" s="24" t="str">
        <f t="shared" si="2"/>
        <v>OK</v>
      </c>
      <c r="Q536" s="24" t="str">
        <f t="shared" si="3"/>
        <v>OK</v>
      </c>
      <c r="R536" s="24" t="str">
        <f t="shared" si="4"/>
        <v>OK</v>
      </c>
      <c r="S536" s="24" t="str">
        <f t="shared" si="5"/>
        <v>Small</v>
      </c>
    </row>
    <row r="537" ht="15.75" customHeight="1">
      <c r="A537" s="25" t="s">
        <v>689</v>
      </c>
      <c r="B537" s="26">
        <v>46095.0</v>
      </c>
      <c r="C537" s="25" t="s">
        <v>566</v>
      </c>
      <c r="D537" s="27" t="str">
        <f>IFERROR(VLOOKUP(C537,customer_lookup!$A:$E,2,FALSE),"")</f>
        <v>IL Account 0019</v>
      </c>
      <c r="E537" s="27" t="str">
        <f>IFERROR(VLOOKUP(C537,customer_lookup!$A:$E,3,FALSE),"")</f>
        <v>IL</v>
      </c>
      <c r="F537" s="28" t="str">
        <f>IFERROR(VLOOKUP(C537,customer_lookup!$A:$E,5,FALSE),"")</f>
        <v>Jordan</v>
      </c>
      <c r="G537" s="25" t="s">
        <v>63</v>
      </c>
      <c r="H537" s="25" t="s">
        <v>106</v>
      </c>
      <c r="I537" s="27" t="str">
        <f>IFERROR(VLOOKUP(H537,product_lookup!$A:$D,2,FALSE),"")</f>
        <v>Sour Cherry THC Gummies</v>
      </c>
      <c r="J537" s="29">
        <v>6.0</v>
      </c>
      <c r="K537" s="30">
        <v>11.65</v>
      </c>
      <c r="L537" s="31">
        <f t="shared" si="1"/>
        <v>69.9</v>
      </c>
      <c r="M537" s="25" t="s">
        <v>65</v>
      </c>
      <c r="N537" s="26">
        <v>46099.0</v>
      </c>
      <c r="O537" s="27">
        <f>SUMIF(inventory_snapshot!$B:$B,H537,inventory_snapshot!$E:$E)</f>
        <v>1313</v>
      </c>
      <c r="P537" s="32" t="str">
        <f t="shared" si="2"/>
        <v>OK</v>
      </c>
      <c r="Q537" s="32" t="str">
        <f t="shared" si="3"/>
        <v>OK</v>
      </c>
      <c r="R537" s="32" t="str">
        <f t="shared" si="4"/>
        <v>OK</v>
      </c>
      <c r="S537" s="32" t="str">
        <f t="shared" si="5"/>
        <v>Small</v>
      </c>
    </row>
    <row r="538" ht="15.75" customHeight="1">
      <c r="A538" s="17" t="s">
        <v>690</v>
      </c>
      <c r="B538" s="18">
        <v>46110.0</v>
      </c>
      <c r="C538" s="17" t="s">
        <v>573</v>
      </c>
      <c r="D538" s="19" t="str">
        <f>IFERROR(VLOOKUP(C538,customer_lookup!$A:$E,2,FALSE),"")</f>
        <v>MI Account 0032</v>
      </c>
      <c r="E538" s="19" t="str">
        <f>IFERROR(VLOOKUP(C538,customer_lookup!$A:$E,3,FALSE),"")</f>
        <v>MI</v>
      </c>
      <c r="F538" s="20" t="str">
        <f>IFERROR(VLOOKUP(C538,customer_lookup!$A:$E,5,FALSE),"")</f>
        <v>Jordan</v>
      </c>
      <c r="G538" s="17" t="s">
        <v>89</v>
      </c>
      <c r="H538" s="17" t="s">
        <v>190</v>
      </c>
      <c r="I538" s="19" t="str">
        <f>IFERROR(VLOOKUP(H538,product_lookup!$A:$D,2,FALSE),"")</f>
        <v>Mango Sparkling Beverage</v>
      </c>
      <c r="J538" s="21">
        <v>96.0</v>
      </c>
      <c r="K538" s="22">
        <v>7.42</v>
      </c>
      <c r="L538" s="23">
        <f t="shared" si="1"/>
        <v>712.32</v>
      </c>
      <c r="M538" s="17" t="s">
        <v>97</v>
      </c>
      <c r="N538" s="18">
        <v>46119.0</v>
      </c>
      <c r="O538" s="19">
        <f>SUMIF(inventory_snapshot!$B:$B,H538,inventory_snapshot!$E:$E)</f>
        <v>1502</v>
      </c>
      <c r="P538" s="24" t="str">
        <f t="shared" si="2"/>
        <v>OK</v>
      </c>
      <c r="Q538" s="24" t="str">
        <f t="shared" si="3"/>
        <v>OK</v>
      </c>
      <c r="R538" s="24" t="str">
        <f t="shared" si="4"/>
        <v>OK</v>
      </c>
      <c r="S538" s="24" t="str">
        <f t="shared" si="5"/>
        <v>Medium</v>
      </c>
    </row>
    <row r="539" ht="15.75" customHeight="1">
      <c r="A539" s="25" t="s">
        <v>691</v>
      </c>
      <c r="B539" s="26">
        <v>46081.0</v>
      </c>
      <c r="C539" s="25" t="s">
        <v>547</v>
      </c>
      <c r="D539" s="27" t="str">
        <f>IFERROR(VLOOKUP(C539,customer_lookup!$A:$E,2,FALSE),"")</f>
        <v>OR Account 0001</v>
      </c>
      <c r="E539" s="27" t="str">
        <f>IFERROR(VLOOKUP(C539,customer_lookup!$A:$E,3,FALSE),"")</f>
        <v>OR</v>
      </c>
      <c r="F539" s="28" t="str">
        <f>IFERROR(VLOOKUP(C539,customer_lookup!$A:$E,5,FALSE),"")</f>
        <v>Jordan</v>
      </c>
      <c r="G539" s="25" t="s">
        <v>67</v>
      </c>
      <c r="H539" s="25" t="s">
        <v>71</v>
      </c>
      <c r="I539" s="27" t="str">
        <f>IFERROR(VLOOKUP(H539,product_lookup!$A:$D,2,FALSE),"")</f>
        <v>Pineapple Sparkling Beverage</v>
      </c>
      <c r="J539" s="29">
        <v>36.0</v>
      </c>
      <c r="K539" s="30">
        <v>7.14</v>
      </c>
      <c r="L539" s="31">
        <f t="shared" si="1"/>
        <v>257.04</v>
      </c>
      <c r="M539" s="25" t="s">
        <v>97</v>
      </c>
      <c r="N539" s="26">
        <v>46088.0</v>
      </c>
      <c r="O539" s="27">
        <f>SUMIF(inventory_snapshot!$B:$B,H539,inventory_snapshot!$E:$E)</f>
        <v>1145</v>
      </c>
      <c r="P539" s="32" t="str">
        <f t="shared" si="2"/>
        <v>OK</v>
      </c>
      <c r="Q539" s="32" t="str">
        <f t="shared" si="3"/>
        <v>OK</v>
      </c>
      <c r="R539" s="32" t="str">
        <f t="shared" si="4"/>
        <v>OK</v>
      </c>
      <c r="S539" s="32" t="str">
        <f t="shared" si="5"/>
        <v>Small</v>
      </c>
    </row>
    <row r="540" ht="15.75" customHeight="1">
      <c r="A540" s="17" t="s">
        <v>692</v>
      </c>
      <c r="B540" s="18">
        <v>46077.0</v>
      </c>
      <c r="C540" s="17" t="s">
        <v>570</v>
      </c>
      <c r="D540" s="19" t="str">
        <f>IFERROR(VLOOKUP(C540,customer_lookup!$A:$E,2,FALSE),"")</f>
        <v>CA Account 0039</v>
      </c>
      <c r="E540" s="19" t="str">
        <f>IFERROR(VLOOKUP(C540,customer_lookup!$A:$E,3,FALSE),"")</f>
        <v>CA</v>
      </c>
      <c r="F540" s="20" t="str">
        <f>IFERROR(VLOOKUP(C540,customer_lookup!$A:$E,5,FALSE),"")</f>
        <v>Jordan</v>
      </c>
      <c r="G540" s="17" t="s">
        <v>63</v>
      </c>
      <c r="H540" s="17" t="s">
        <v>68</v>
      </c>
      <c r="I540" s="19" t="str">
        <f>IFERROR(VLOOKUP(H540,product_lookup!$A:$D,2,FALSE),"")</f>
        <v>Sour Apple THC Gummies</v>
      </c>
      <c r="J540" s="21">
        <v>72.0</v>
      </c>
      <c r="K540" s="22">
        <v>11.15</v>
      </c>
      <c r="L540" s="23">
        <f t="shared" si="1"/>
        <v>802.8</v>
      </c>
      <c r="M540" s="17" t="s">
        <v>100</v>
      </c>
      <c r="N540" s="18">
        <v>46085.0</v>
      </c>
      <c r="O540" s="19">
        <f>SUMIF(inventory_snapshot!$B:$B,H540,inventory_snapshot!$E:$E)</f>
        <v>775</v>
      </c>
      <c r="P540" s="24" t="str">
        <f t="shared" si="2"/>
        <v>OK</v>
      </c>
      <c r="Q540" s="24" t="str">
        <f t="shared" si="3"/>
        <v>OK</v>
      </c>
      <c r="R540" s="24" t="str">
        <f t="shared" si="4"/>
        <v>OK</v>
      </c>
      <c r="S540" s="24" t="str">
        <f t="shared" si="5"/>
        <v>Medium</v>
      </c>
    </row>
    <row r="541" ht="15.75" customHeight="1">
      <c r="A541" s="25" t="s">
        <v>693</v>
      </c>
      <c r="B541" s="26">
        <v>46093.0</v>
      </c>
      <c r="C541" s="25" t="s">
        <v>542</v>
      </c>
      <c r="D541" s="27" t="str">
        <f>IFERROR(VLOOKUP(C541,customer_lookup!$A:$E,2,FALSE),"")</f>
        <v>OR Account 0025</v>
      </c>
      <c r="E541" s="27" t="str">
        <f>IFERROR(VLOOKUP(C541,customer_lookup!$A:$E,3,FALSE),"")</f>
        <v>OR</v>
      </c>
      <c r="F541" s="28" t="str">
        <f>IFERROR(VLOOKUP(C541,customer_lookup!$A:$E,5,FALSE),"")</f>
        <v>Jordan</v>
      </c>
      <c r="G541" s="25" t="s">
        <v>63</v>
      </c>
      <c r="H541" s="25" t="s">
        <v>108</v>
      </c>
      <c r="I541" s="27" t="str">
        <f>IFERROR(VLOOKUP(H541,product_lookup!$A:$D,2,FALSE),"")</f>
        <v>Sour Tangerine THC Gummies</v>
      </c>
      <c r="J541" s="29">
        <v>72.0</v>
      </c>
      <c r="K541" s="30">
        <v>11.77</v>
      </c>
      <c r="L541" s="31">
        <f t="shared" si="1"/>
        <v>847.44</v>
      </c>
      <c r="M541" s="25" t="s">
        <v>93</v>
      </c>
      <c r="N541" s="26">
        <v>46095.0</v>
      </c>
      <c r="O541" s="27">
        <f>SUMIF(inventory_snapshot!$B:$B,H541,inventory_snapshot!$E:$E)</f>
        <v>1679</v>
      </c>
      <c r="P541" s="32" t="str">
        <f t="shared" si="2"/>
        <v>OK</v>
      </c>
      <c r="Q541" s="32" t="str">
        <f t="shared" si="3"/>
        <v>OK</v>
      </c>
      <c r="R541" s="32" t="str">
        <f t="shared" si="4"/>
        <v>OK</v>
      </c>
      <c r="S541" s="32" t="str">
        <f t="shared" si="5"/>
        <v>Medium</v>
      </c>
    </row>
    <row r="542" ht="15.75" customHeight="1">
      <c r="A542" s="17" t="s">
        <v>694</v>
      </c>
      <c r="B542" s="18">
        <v>46034.0</v>
      </c>
      <c r="C542" s="17" t="s">
        <v>566</v>
      </c>
      <c r="D542" s="19" t="str">
        <f>IFERROR(VLOOKUP(C542,customer_lookup!$A:$E,2,FALSE),"")</f>
        <v>IL Account 0019</v>
      </c>
      <c r="E542" s="19" t="str">
        <f>IFERROR(VLOOKUP(C542,customer_lookup!$A:$E,3,FALSE),"")</f>
        <v>IL</v>
      </c>
      <c r="F542" s="20" t="str">
        <f>IFERROR(VLOOKUP(C542,customer_lookup!$A:$E,5,FALSE),"")</f>
        <v>Jordan</v>
      </c>
      <c r="G542" s="17" t="s">
        <v>63</v>
      </c>
      <c r="H542" s="17" t="s">
        <v>90</v>
      </c>
      <c r="I542" s="19" t="str">
        <f>IFERROR(VLOOKUP(H542,product_lookup!$A:$D,2,FALSE),"")</f>
        <v>Blackberry Sparkling Beverage</v>
      </c>
      <c r="J542" s="21">
        <v>60.0</v>
      </c>
      <c r="K542" s="22">
        <v>7.03</v>
      </c>
      <c r="L542" s="23">
        <f t="shared" si="1"/>
        <v>421.8</v>
      </c>
      <c r="M542" s="17" t="s">
        <v>65</v>
      </c>
      <c r="N542" s="18">
        <v>46042.0</v>
      </c>
      <c r="O542" s="19">
        <f>SUMIF(inventory_snapshot!$B:$B,H542,inventory_snapshot!$E:$E)</f>
        <v>1292</v>
      </c>
      <c r="P542" s="24" t="str">
        <f t="shared" si="2"/>
        <v>OK</v>
      </c>
      <c r="Q542" s="24" t="str">
        <f t="shared" si="3"/>
        <v>OK</v>
      </c>
      <c r="R542" s="24" t="str">
        <f t="shared" si="4"/>
        <v>OK</v>
      </c>
      <c r="S542" s="24" t="str">
        <f t="shared" si="5"/>
        <v>Small</v>
      </c>
    </row>
    <row r="543" ht="15.75" customHeight="1">
      <c r="A543" s="25" t="s">
        <v>695</v>
      </c>
      <c r="B543" s="26">
        <v>46092.0</v>
      </c>
      <c r="C543" s="25" t="s">
        <v>573</v>
      </c>
      <c r="D543" s="27" t="str">
        <f>IFERROR(VLOOKUP(C543,customer_lookup!$A:$E,2,FALSE),"")</f>
        <v>MI Account 0032</v>
      </c>
      <c r="E543" s="27" t="str">
        <f>IFERROR(VLOOKUP(C543,customer_lookup!$A:$E,3,FALSE),"")</f>
        <v>MI</v>
      </c>
      <c r="F543" s="28" t="str">
        <f>IFERROR(VLOOKUP(C543,customer_lookup!$A:$E,5,FALSE),"")</f>
        <v>Jordan</v>
      </c>
      <c r="G543" s="25" t="s">
        <v>63</v>
      </c>
      <c r="H543" s="25" t="s">
        <v>95</v>
      </c>
      <c r="I543" s="27" t="str">
        <f>IFERROR(VLOOKUP(H543,product_lookup!$A:$D,2,FALSE),"")</f>
        <v>Boysenberry 1:1:1 Gummies</v>
      </c>
      <c r="J543" s="29">
        <v>120.0</v>
      </c>
      <c r="K543" s="30">
        <v>10.59</v>
      </c>
      <c r="L543" s="31">
        <f t="shared" si="1"/>
        <v>1270.8</v>
      </c>
      <c r="M543" s="25" t="s">
        <v>100</v>
      </c>
      <c r="N543" s="26">
        <v>46101.0</v>
      </c>
      <c r="O543" s="27">
        <f>SUMIF(inventory_snapshot!$B:$B,H543,inventory_snapshot!$E:$E)</f>
        <v>2007</v>
      </c>
      <c r="P543" s="32" t="str">
        <f t="shared" si="2"/>
        <v>OK</v>
      </c>
      <c r="Q543" s="32" t="str">
        <f t="shared" si="3"/>
        <v>OK</v>
      </c>
      <c r="R543" s="32" t="str">
        <f t="shared" si="4"/>
        <v>OK</v>
      </c>
      <c r="S543" s="32" t="str">
        <f t="shared" si="5"/>
        <v>Large</v>
      </c>
    </row>
    <row r="544" ht="15.75" customHeight="1">
      <c r="A544" s="17" t="s">
        <v>696</v>
      </c>
      <c r="B544" s="18">
        <v>46127.0</v>
      </c>
      <c r="C544" s="17" t="s">
        <v>570</v>
      </c>
      <c r="D544" s="19" t="str">
        <f>IFERROR(VLOOKUP(C544,customer_lookup!$A:$E,2,FALSE),"")</f>
        <v>CA Account 0039</v>
      </c>
      <c r="E544" s="19" t="str">
        <f>IFERROR(VLOOKUP(C544,customer_lookup!$A:$E,3,FALSE),"")</f>
        <v>CA</v>
      </c>
      <c r="F544" s="20" t="str">
        <f>IFERROR(VLOOKUP(C544,customer_lookup!$A:$E,5,FALSE),"")</f>
        <v>Jordan</v>
      </c>
      <c r="G544" s="17" t="s">
        <v>63</v>
      </c>
      <c r="H544" s="17" t="s">
        <v>71</v>
      </c>
      <c r="I544" s="19" t="str">
        <f>IFERROR(VLOOKUP(H544,product_lookup!$A:$D,2,FALSE),"")</f>
        <v>Pineapple Sparkling Beverage</v>
      </c>
      <c r="J544" s="21">
        <v>12.0</v>
      </c>
      <c r="K544" s="22">
        <v>7.4</v>
      </c>
      <c r="L544" s="23">
        <f t="shared" si="1"/>
        <v>88.8</v>
      </c>
      <c r="M544" s="17" t="s">
        <v>65</v>
      </c>
      <c r="N544" s="18">
        <v>46132.0</v>
      </c>
      <c r="O544" s="19">
        <f>SUMIF(inventory_snapshot!$B:$B,H544,inventory_snapshot!$E:$E)</f>
        <v>1145</v>
      </c>
      <c r="P544" s="24" t="str">
        <f t="shared" si="2"/>
        <v>OK</v>
      </c>
      <c r="Q544" s="24" t="str">
        <f t="shared" si="3"/>
        <v>OK</v>
      </c>
      <c r="R544" s="24" t="str">
        <f t="shared" si="4"/>
        <v>OK</v>
      </c>
      <c r="S544" s="24" t="str">
        <f t="shared" si="5"/>
        <v>Small</v>
      </c>
    </row>
    <row r="545" ht="15.75" customHeight="1">
      <c r="A545" s="25" t="s">
        <v>697</v>
      </c>
      <c r="B545" s="26">
        <v>46113.0</v>
      </c>
      <c r="C545" s="25" t="s">
        <v>698</v>
      </c>
      <c r="D545" s="27" t="str">
        <f>IFERROR(VLOOKUP(C545,customer_lookup!$A:$E,2,FALSE),"")</f>
        <v>AZ Account 0089</v>
      </c>
      <c r="E545" s="27" t="str">
        <f>IFERROR(VLOOKUP(C545,customer_lookup!$A:$E,3,FALSE),"")</f>
        <v>AZ</v>
      </c>
      <c r="F545" s="28" t="str">
        <f>IFERROR(VLOOKUP(C545,customer_lookup!$A:$E,5,FALSE),"")</f>
        <v>Morgan</v>
      </c>
      <c r="G545" s="25" t="s">
        <v>63</v>
      </c>
      <c r="H545" s="25" t="s">
        <v>85</v>
      </c>
      <c r="I545" s="27" t="str">
        <f>IFERROR(VLOOKUP(H545,product_lookup!$A:$D,2,FALSE),"")</f>
        <v>Huckleberry THC Gummies</v>
      </c>
      <c r="J545" s="29">
        <v>24.0</v>
      </c>
      <c r="K545" s="30">
        <v>9.36</v>
      </c>
      <c r="L545" s="31">
        <f t="shared" si="1"/>
        <v>224.64</v>
      </c>
      <c r="M545" s="25" t="s">
        <v>75</v>
      </c>
      <c r="N545" s="26">
        <v>46120.0</v>
      </c>
      <c r="O545" s="27">
        <f>SUMIF(inventory_snapshot!$B:$B,H545,inventory_snapshot!$E:$E)</f>
        <v>1841</v>
      </c>
      <c r="P545" s="32" t="str">
        <f t="shared" si="2"/>
        <v>OK</v>
      </c>
      <c r="Q545" s="32" t="str">
        <f t="shared" si="3"/>
        <v>OK</v>
      </c>
      <c r="R545" s="32" t="str">
        <f t="shared" si="4"/>
        <v>OK</v>
      </c>
      <c r="S545" s="32" t="str">
        <f t="shared" si="5"/>
        <v>Small</v>
      </c>
    </row>
    <row r="546" ht="15.75" customHeight="1">
      <c r="A546" s="17" t="s">
        <v>699</v>
      </c>
      <c r="B546" s="18">
        <v>46042.0</v>
      </c>
      <c r="C546" s="17" t="s">
        <v>700</v>
      </c>
      <c r="D546" s="19" t="str">
        <f>IFERROR(VLOOKUP(C546,customer_lookup!$A:$E,2,FALSE),"")</f>
        <v>CA Account 0003</v>
      </c>
      <c r="E546" s="19" t="str">
        <f>IFERROR(VLOOKUP(C546,customer_lookup!$A:$E,3,FALSE),"")</f>
        <v>CA</v>
      </c>
      <c r="F546" s="20" t="str">
        <f>IFERROR(VLOOKUP(C546,customer_lookup!$A:$E,5,FALSE),"")</f>
        <v>Morgan</v>
      </c>
      <c r="G546" s="17" t="s">
        <v>63</v>
      </c>
      <c r="H546" s="17" t="s">
        <v>71</v>
      </c>
      <c r="I546" s="19" t="str">
        <f>IFERROR(VLOOKUP(H546,product_lookup!$A:$D,2,FALSE),"")</f>
        <v>Pineapple Sparkling Beverage</v>
      </c>
      <c r="J546" s="21">
        <v>24.0</v>
      </c>
      <c r="K546" s="22">
        <v>7.17</v>
      </c>
      <c r="L546" s="23">
        <f t="shared" si="1"/>
        <v>172.08</v>
      </c>
      <c r="M546" s="17" t="s">
        <v>65</v>
      </c>
      <c r="N546" s="18">
        <v>46046.0</v>
      </c>
      <c r="O546" s="19">
        <f>SUMIF(inventory_snapshot!$B:$B,H546,inventory_snapshot!$E:$E)</f>
        <v>1145</v>
      </c>
      <c r="P546" s="24" t="str">
        <f t="shared" si="2"/>
        <v>OK</v>
      </c>
      <c r="Q546" s="24" t="str">
        <f t="shared" si="3"/>
        <v>OK</v>
      </c>
      <c r="R546" s="24" t="str">
        <f t="shared" si="4"/>
        <v>OK</v>
      </c>
      <c r="S546" s="24" t="str">
        <f t="shared" si="5"/>
        <v>Small</v>
      </c>
    </row>
    <row r="547" ht="15.75" customHeight="1">
      <c r="A547" s="25" t="s">
        <v>701</v>
      </c>
      <c r="B547" s="26">
        <v>46113.0</v>
      </c>
      <c r="C547" s="25" t="s">
        <v>702</v>
      </c>
      <c r="D547" s="27" t="str">
        <f>IFERROR(VLOOKUP(C547,customer_lookup!$A:$E,2,FALSE),"")</f>
        <v>NM Account 0082</v>
      </c>
      <c r="E547" s="27" t="str">
        <f>IFERROR(VLOOKUP(C547,customer_lookup!$A:$E,3,FALSE),"")</f>
        <v>NM</v>
      </c>
      <c r="F547" s="28" t="str">
        <f>IFERROR(VLOOKUP(C547,customer_lookup!$A:$E,5,FALSE),"")</f>
        <v>Morgan</v>
      </c>
      <c r="G547" s="25" t="s">
        <v>89</v>
      </c>
      <c r="H547" s="25" t="s">
        <v>74</v>
      </c>
      <c r="I547" s="27" t="str">
        <f>IFERROR(VLOOKUP(H547,product_lookup!$A:$D,2,FALSE),"")</f>
        <v>Strawberry 20:1 Gummies</v>
      </c>
      <c r="J547" s="29">
        <v>18.0</v>
      </c>
      <c r="K547" s="30">
        <v>11.35</v>
      </c>
      <c r="L547" s="31">
        <f t="shared" si="1"/>
        <v>204.3</v>
      </c>
      <c r="M547" s="25" t="s">
        <v>65</v>
      </c>
      <c r="N547" s="26">
        <v>46118.0</v>
      </c>
      <c r="O547" s="27">
        <f>SUMIF(inventory_snapshot!$B:$B,H547,inventory_snapshot!$E:$E)</f>
        <v>2294</v>
      </c>
      <c r="P547" s="32" t="str">
        <f t="shared" si="2"/>
        <v>OK</v>
      </c>
      <c r="Q547" s="32" t="str">
        <f t="shared" si="3"/>
        <v>OK</v>
      </c>
      <c r="R547" s="32" t="str">
        <f t="shared" si="4"/>
        <v>OK</v>
      </c>
      <c r="S547" s="32" t="str">
        <f t="shared" si="5"/>
        <v>Small</v>
      </c>
    </row>
    <row r="548" ht="15.75" customHeight="1">
      <c r="A548" s="17" t="s">
        <v>703</v>
      </c>
      <c r="B548" s="18">
        <v>46082.0</v>
      </c>
      <c r="C548" s="17" t="s">
        <v>704</v>
      </c>
      <c r="D548" s="19" t="str">
        <f>IFERROR(VLOOKUP(C548,customer_lookup!$A:$E,2,FALSE),"")</f>
        <v>CO Account 0100</v>
      </c>
      <c r="E548" s="19" t="str">
        <f>IFERROR(VLOOKUP(C548,customer_lookup!$A:$E,3,FALSE),"")</f>
        <v>CO</v>
      </c>
      <c r="F548" s="20" t="str">
        <f>IFERROR(VLOOKUP(C548,customer_lookup!$A:$E,5,FALSE),"")</f>
        <v>Morgan</v>
      </c>
      <c r="G548" s="17" t="s">
        <v>63</v>
      </c>
      <c r="H548" s="17" t="s">
        <v>90</v>
      </c>
      <c r="I548" s="19" t="str">
        <f>IFERROR(VLOOKUP(H548,product_lookup!$A:$D,2,FALSE),"")</f>
        <v>Blackberry Sparkling Beverage</v>
      </c>
      <c r="J548" s="21">
        <v>48.0</v>
      </c>
      <c r="K548" s="22">
        <v>7.99</v>
      </c>
      <c r="L548" s="23">
        <f t="shared" si="1"/>
        <v>383.52</v>
      </c>
      <c r="M548" s="17" t="s">
        <v>65</v>
      </c>
      <c r="N548" s="18">
        <v>46086.0</v>
      </c>
      <c r="O548" s="19">
        <f>SUMIF(inventory_snapshot!$B:$B,H548,inventory_snapshot!$E:$E)</f>
        <v>1292</v>
      </c>
      <c r="P548" s="24" t="str">
        <f t="shared" si="2"/>
        <v>OK</v>
      </c>
      <c r="Q548" s="24" t="str">
        <f t="shared" si="3"/>
        <v>OK</v>
      </c>
      <c r="R548" s="24" t="str">
        <f t="shared" si="4"/>
        <v>OK</v>
      </c>
      <c r="S548" s="24" t="str">
        <f t="shared" si="5"/>
        <v>Small</v>
      </c>
    </row>
    <row r="549" ht="15.75" customHeight="1">
      <c r="A549" s="25" t="s">
        <v>705</v>
      </c>
      <c r="B549" s="26">
        <v>46112.0</v>
      </c>
      <c r="C549" s="25" t="s">
        <v>706</v>
      </c>
      <c r="D549" s="27" t="str">
        <f>IFERROR(VLOOKUP(C549,customer_lookup!$A:$E,2,FALSE),"")</f>
        <v>OR Account 0037</v>
      </c>
      <c r="E549" s="27" t="str">
        <f>IFERROR(VLOOKUP(C549,customer_lookup!$A:$E,3,FALSE),"")</f>
        <v>OR</v>
      </c>
      <c r="F549" s="28" t="str">
        <f>IFERROR(VLOOKUP(C549,customer_lookup!$A:$E,5,FALSE),"")</f>
        <v>Morgan</v>
      </c>
      <c r="G549" s="25" t="s">
        <v>63</v>
      </c>
      <c r="H549" s="25" t="s">
        <v>102</v>
      </c>
      <c r="I549" s="27" t="str">
        <f>IFERROR(VLOOKUP(H549,product_lookup!$A:$D,2,FALSE),"")</f>
        <v>Pomegranate 1:1 Gummies</v>
      </c>
      <c r="J549" s="29">
        <v>60.0</v>
      </c>
      <c r="K549" s="30">
        <v>10.06</v>
      </c>
      <c r="L549" s="31">
        <f t="shared" si="1"/>
        <v>603.6</v>
      </c>
      <c r="M549" s="25" t="s">
        <v>97</v>
      </c>
      <c r="N549" s="26">
        <v>46122.0</v>
      </c>
      <c r="O549" s="27">
        <f>SUMIF(inventory_snapshot!$B:$B,H549,inventory_snapshot!$E:$E)</f>
        <v>1493</v>
      </c>
      <c r="P549" s="32" t="str">
        <f t="shared" si="2"/>
        <v>OK</v>
      </c>
      <c r="Q549" s="32" t="str">
        <f t="shared" si="3"/>
        <v>OK</v>
      </c>
      <c r="R549" s="32" t="str">
        <f t="shared" si="4"/>
        <v>OK</v>
      </c>
      <c r="S549" s="32" t="str">
        <f t="shared" si="5"/>
        <v>Medium</v>
      </c>
    </row>
    <row r="550" ht="15.75" customHeight="1">
      <c r="A550" s="17" t="s">
        <v>707</v>
      </c>
      <c r="B550" s="18">
        <v>46027.0</v>
      </c>
      <c r="C550" s="17" t="s">
        <v>708</v>
      </c>
      <c r="D550" s="19" t="str">
        <f>IFERROR(VLOOKUP(C550,customer_lookup!$A:$E,2,FALSE),"")</f>
        <v>MO Account 0105</v>
      </c>
      <c r="E550" s="19" t="str">
        <f>IFERROR(VLOOKUP(C550,customer_lookup!$A:$E,3,FALSE),"")</f>
        <v>MO</v>
      </c>
      <c r="F550" s="20" t="str">
        <f>IFERROR(VLOOKUP(C550,customer_lookup!$A:$E,5,FALSE),"")</f>
        <v>Morgan</v>
      </c>
      <c r="G550" s="17" t="s">
        <v>63</v>
      </c>
      <c r="H550" s="17" t="s">
        <v>81</v>
      </c>
      <c r="I550" s="19" t="str">
        <f>IFERROR(VLOOKUP(H550,product_lookup!$A:$D,2,FALSE),"")</f>
        <v>Lemon Sparkling Beverage</v>
      </c>
      <c r="J550" s="21">
        <v>60.0</v>
      </c>
      <c r="K550" s="22">
        <v>6.65</v>
      </c>
      <c r="L550" s="23">
        <f t="shared" si="1"/>
        <v>399</v>
      </c>
      <c r="M550" s="17" t="s">
        <v>97</v>
      </c>
      <c r="N550" s="18">
        <v>46034.0</v>
      </c>
      <c r="O550" s="19">
        <f>SUMIF(inventory_snapshot!$B:$B,H550,inventory_snapshot!$E:$E)</f>
        <v>1360</v>
      </c>
      <c r="P550" s="24" t="str">
        <f t="shared" si="2"/>
        <v>OK</v>
      </c>
      <c r="Q550" s="24" t="str">
        <f t="shared" si="3"/>
        <v>OK</v>
      </c>
      <c r="R550" s="24" t="str">
        <f t="shared" si="4"/>
        <v>OK</v>
      </c>
      <c r="S550" s="24" t="str">
        <f t="shared" si="5"/>
        <v>Small</v>
      </c>
    </row>
    <row r="551" ht="15.75" customHeight="1">
      <c r="A551" s="25" t="s">
        <v>709</v>
      </c>
      <c r="B551" s="26">
        <v>46139.0</v>
      </c>
      <c r="C551" s="25" t="s">
        <v>710</v>
      </c>
      <c r="D551" s="27" t="str">
        <f>IFERROR(VLOOKUP(C551,customer_lookup!$A:$E,2,FALSE),"")</f>
        <v>MO Account 0009</v>
      </c>
      <c r="E551" s="27" t="str">
        <f>IFERROR(VLOOKUP(C551,customer_lookup!$A:$E,3,FALSE),"")</f>
        <v>MO</v>
      </c>
      <c r="F551" s="28" t="str">
        <f>IFERROR(VLOOKUP(C551,customer_lookup!$A:$E,5,FALSE),"")</f>
        <v>Morgan</v>
      </c>
      <c r="G551" s="25" t="s">
        <v>63</v>
      </c>
      <c r="H551" s="25" t="s">
        <v>74</v>
      </c>
      <c r="I551" s="27" t="str">
        <f>IFERROR(VLOOKUP(H551,product_lookup!$A:$D,2,FALSE),"")</f>
        <v>Strawberry 20:1 Gummies</v>
      </c>
      <c r="J551" s="29">
        <v>30.0</v>
      </c>
      <c r="K551" s="30">
        <v>11.84</v>
      </c>
      <c r="L551" s="31">
        <f t="shared" si="1"/>
        <v>355.2</v>
      </c>
      <c r="M551" s="25" t="s">
        <v>100</v>
      </c>
      <c r="N551" s="26">
        <v>46140.0</v>
      </c>
      <c r="O551" s="27">
        <f>SUMIF(inventory_snapshot!$B:$B,H551,inventory_snapshot!$E:$E)</f>
        <v>2294</v>
      </c>
      <c r="P551" s="32" t="str">
        <f t="shared" si="2"/>
        <v>OK</v>
      </c>
      <c r="Q551" s="32" t="str">
        <f t="shared" si="3"/>
        <v>OK</v>
      </c>
      <c r="R551" s="32" t="str">
        <f t="shared" si="4"/>
        <v>OK</v>
      </c>
      <c r="S551" s="32" t="str">
        <f t="shared" si="5"/>
        <v>Small</v>
      </c>
    </row>
    <row r="552" ht="15.75" customHeight="1">
      <c r="A552" s="17" t="s">
        <v>711</v>
      </c>
      <c r="B552" s="18">
        <v>46136.0</v>
      </c>
      <c r="C552" s="17" t="s">
        <v>712</v>
      </c>
      <c r="D552" s="19" t="str">
        <f>IFERROR(VLOOKUP(C552,customer_lookup!$A:$E,2,FALSE),"")</f>
        <v>OR Account 0013</v>
      </c>
      <c r="E552" s="19" t="str">
        <f>IFERROR(VLOOKUP(C552,customer_lookup!$A:$E,3,FALSE),"")</f>
        <v>OR</v>
      </c>
      <c r="F552" s="20" t="str">
        <f>IFERROR(VLOOKUP(C552,customer_lookup!$A:$E,5,FALSE),"")</f>
        <v>Morgan</v>
      </c>
      <c r="G552" s="17" t="s">
        <v>67</v>
      </c>
      <c r="H552" s="17" t="s">
        <v>123</v>
      </c>
      <c r="I552" s="19" t="str">
        <f>IFERROR(VLOOKUP(H552,product_lookup!$A:$D,2,FALSE),"")</f>
        <v>Peach 2:1 Gummies</v>
      </c>
      <c r="J552" s="21">
        <v>72.0</v>
      </c>
      <c r="K552" s="22">
        <v>9.97</v>
      </c>
      <c r="L552" s="23">
        <f t="shared" si="1"/>
        <v>717.84</v>
      </c>
      <c r="M552" s="17" t="s">
        <v>137</v>
      </c>
      <c r="N552" s="18">
        <v>46145.0</v>
      </c>
      <c r="O552" s="19">
        <f>SUMIF(inventory_snapshot!$B:$B,H552,inventory_snapshot!$E:$E)</f>
        <v>1732</v>
      </c>
      <c r="P552" s="24" t="str">
        <f t="shared" si="2"/>
        <v>OK</v>
      </c>
      <c r="Q552" s="24" t="str">
        <f t="shared" si="3"/>
        <v>OK</v>
      </c>
      <c r="R552" s="24" t="str">
        <f t="shared" si="4"/>
        <v>OK</v>
      </c>
      <c r="S552" s="24" t="str">
        <f t="shared" si="5"/>
        <v>Medium</v>
      </c>
    </row>
    <row r="553" ht="15.75" customHeight="1">
      <c r="A553" s="25" t="s">
        <v>713</v>
      </c>
      <c r="B553" s="26">
        <v>46132.0</v>
      </c>
      <c r="C553" s="25" t="s">
        <v>714</v>
      </c>
      <c r="D553" s="27" t="str">
        <f>IFERROR(VLOOKUP(C553,customer_lookup!$A:$E,2,FALSE),"")</f>
        <v>NV Account 0090</v>
      </c>
      <c r="E553" s="27" t="str">
        <f>IFERROR(VLOOKUP(C553,customer_lookup!$A:$E,3,FALSE),"")</f>
        <v>NV</v>
      </c>
      <c r="F553" s="28" t="str">
        <f>IFERROR(VLOOKUP(C553,customer_lookup!$A:$E,5,FALSE),"")</f>
        <v>Morgan</v>
      </c>
      <c r="G553" s="25" t="s">
        <v>67</v>
      </c>
      <c r="H553" s="25" t="s">
        <v>78</v>
      </c>
      <c r="I553" s="27" t="str">
        <f>IFERROR(VLOOKUP(H553,product_lookup!$A:$D,2,FALSE),"")</f>
        <v>Grapefruit 1:1:1 Gummies</v>
      </c>
      <c r="J553" s="29">
        <v>120.0</v>
      </c>
      <c r="K553" s="30">
        <v>11.07</v>
      </c>
      <c r="L553" s="31">
        <f t="shared" si="1"/>
        <v>1328.4</v>
      </c>
      <c r="M553" s="25" t="s">
        <v>65</v>
      </c>
      <c r="N553" s="26">
        <v>46136.0</v>
      </c>
      <c r="O553" s="27">
        <f>SUMIF(inventory_snapshot!$B:$B,H553,inventory_snapshot!$E:$E)</f>
        <v>1751</v>
      </c>
      <c r="P553" s="32" t="str">
        <f t="shared" si="2"/>
        <v>OK</v>
      </c>
      <c r="Q553" s="32" t="str">
        <f t="shared" si="3"/>
        <v>OK</v>
      </c>
      <c r="R553" s="32" t="str">
        <f t="shared" si="4"/>
        <v>OK</v>
      </c>
      <c r="S553" s="32" t="str">
        <f t="shared" si="5"/>
        <v>Large</v>
      </c>
    </row>
    <row r="554" ht="15.75" customHeight="1">
      <c r="A554" s="17" t="s">
        <v>715</v>
      </c>
      <c r="B554" s="18">
        <v>46062.0</v>
      </c>
      <c r="C554" s="17" t="s">
        <v>706</v>
      </c>
      <c r="D554" s="19" t="str">
        <f>IFERROR(VLOOKUP(C554,customer_lookup!$A:$E,2,FALSE),"")</f>
        <v>OR Account 0037</v>
      </c>
      <c r="E554" s="19" t="str">
        <f>IFERROR(VLOOKUP(C554,customer_lookup!$A:$E,3,FALSE),"")</f>
        <v>OR</v>
      </c>
      <c r="F554" s="20" t="str">
        <f>IFERROR(VLOOKUP(C554,customer_lookup!$A:$E,5,FALSE),"")</f>
        <v>Morgan</v>
      </c>
      <c r="G554" s="17" t="s">
        <v>63</v>
      </c>
      <c r="H554" s="17" t="s">
        <v>71</v>
      </c>
      <c r="I554" s="19" t="str">
        <f>IFERROR(VLOOKUP(H554,product_lookup!$A:$D,2,FALSE),"")</f>
        <v>Pineapple Sparkling Beverage</v>
      </c>
      <c r="J554" s="21">
        <v>36.0</v>
      </c>
      <c r="K554" s="22">
        <v>7.14</v>
      </c>
      <c r="L554" s="23">
        <f t="shared" si="1"/>
        <v>257.04</v>
      </c>
      <c r="M554" s="17" t="s">
        <v>65</v>
      </c>
      <c r="N554" s="18">
        <v>46070.0</v>
      </c>
      <c r="O554" s="19">
        <f>SUMIF(inventory_snapshot!$B:$B,H554,inventory_snapshot!$E:$E)</f>
        <v>1145</v>
      </c>
      <c r="P554" s="24" t="str">
        <f t="shared" si="2"/>
        <v>OK</v>
      </c>
      <c r="Q554" s="24" t="str">
        <f t="shared" si="3"/>
        <v>OK</v>
      </c>
      <c r="R554" s="24" t="str">
        <f t="shared" si="4"/>
        <v>OK</v>
      </c>
      <c r="S554" s="24" t="str">
        <f t="shared" si="5"/>
        <v>Small</v>
      </c>
    </row>
    <row r="555" ht="15.75" customHeight="1">
      <c r="A555" s="25" t="s">
        <v>716</v>
      </c>
      <c r="B555" s="26">
        <v>46070.0</v>
      </c>
      <c r="C555" s="25" t="s">
        <v>717</v>
      </c>
      <c r="D555" s="27" t="str">
        <f>IFERROR(VLOOKUP(C555,customer_lookup!$A:$E,2,FALSE),"")</f>
        <v>OR Account 0109</v>
      </c>
      <c r="E555" s="27" t="str">
        <f>IFERROR(VLOOKUP(C555,customer_lookup!$A:$E,3,FALSE),"")</f>
        <v>OR</v>
      </c>
      <c r="F555" s="28" t="str">
        <f>IFERROR(VLOOKUP(C555,customer_lookup!$A:$E,5,FALSE),"")</f>
        <v>Morgan</v>
      </c>
      <c r="G555" s="25" t="s">
        <v>89</v>
      </c>
      <c r="H555" s="25" t="s">
        <v>81</v>
      </c>
      <c r="I555" s="27" t="str">
        <f>IFERROR(VLOOKUP(H555,product_lookup!$A:$D,2,FALSE),"")</f>
        <v>Lemon Sparkling Beverage</v>
      </c>
      <c r="J555" s="29">
        <v>12.0</v>
      </c>
      <c r="K555" s="30">
        <v>7.63</v>
      </c>
      <c r="L555" s="31">
        <f t="shared" si="1"/>
        <v>91.56</v>
      </c>
      <c r="M555" s="25" t="s">
        <v>65</v>
      </c>
      <c r="N555" s="26">
        <v>46079.0</v>
      </c>
      <c r="O555" s="27">
        <f>SUMIF(inventory_snapshot!$B:$B,H555,inventory_snapshot!$E:$E)</f>
        <v>1360</v>
      </c>
      <c r="P555" s="32" t="str">
        <f t="shared" si="2"/>
        <v>OK</v>
      </c>
      <c r="Q555" s="32" t="str">
        <f t="shared" si="3"/>
        <v>OK</v>
      </c>
      <c r="R555" s="32" t="str">
        <f t="shared" si="4"/>
        <v>OK</v>
      </c>
      <c r="S555" s="32" t="str">
        <f t="shared" si="5"/>
        <v>Small</v>
      </c>
    </row>
    <row r="556" ht="15.75" customHeight="1">
      <c r="A556" s="17" t="s">
        <v>718</v>
      </c>
      <c r="B556" s="18">
        <v>46067.0</v>
      </c>
      <c r="C556" s="17" t="s">
        <v>704</v>
      </c>
      <c r="D556" s="19" t="str">
        <f>IFERROR(VLOOKUP(C556,customer_lookup!$A:$E,2,FALSE),"")</f>
        <v>CO Account 0100</v>
      </c>
      <c r="E556" s="19" t="str">
        <f>IFERROR(VLOOKUP(C556,customer_lookup!$A:$E,3,FALSE),"")</f>
        <v>CO</v>
      </c>
      <c r="F556" s="20" t="str">
        <f>IFERROR(VLOOKUP(C556,customer_lookup!$A:$E,5,FALSE),"")</f>
        <v>Morgan</v>
      </c>
      <c r="G556" s="17" t="s">
        <v>63</v>
      </c>
      <c r="H556" s="17" t="s">
        <v>68</v>
      </c>
      <c r="I556" s="19" t="str">
        <f>IFERROR(VLOOKUP(H556,product_lookup!$A:$D,2,FALSE),"")</f>
        <v>Sour Apple THC Gummies</v>
      </c>
      <c r="J556" s="21">
        <v>120.0</v>
      </c>
      <c r="K556" s="22">
        <v>11.16</v>
      </c>
      <c r="L556" s="23">
        <f t="shared" si="1"/>
        <v>1339.2</v>
      </c>
      <c r="M556" s="17" t="s">
        <v>97</v>
      </c>
      <c r="N556" s="18">
        <v>46071.0</v>
      </c>
      <c r="O556" s="19">
        <f>SUMIF(inventory_snapshot!$B:$B,H556,inventory_snapshot!$E:$E)</f>
        <v>775</v>
      </c>
      <c r="P556" s="24" t="str">
        <f t="shared" si="2"/>
        <v>OK</v>
      </c>
      <c r="Q556" s="24" t="str">
        <f t="shared" si="3"/>
        <v>OK</v>
      </c>
      <c r="R556" s="24" t="str">
        <f t="shared" si="4"/>
        <v>OK</v>
      </c>
      <c r="S556" s="24" t="str">
        <f t="shared" si="5"/>
        <v>Large</v>
      </c>
    </row>
    <row r="557" ht="15.75" customHeight="1">
      <c r="A557" s="25" t="s">
        <v>719</v>
      </c>
      <c r="B557" s="26">
        <v>46032.0</v>
      </c>
      <c r="C557" s="25" t="s">
        <v>720</v>
      </c>
      <c r="D557" s="27" t="str">
        <f>IFERROR(VLOOKUP(C557,customer_lookup!$A:$E,2,FALSE),"")</f>
        <v>NM Account 0046</v>
      </c>
      <c r="E557" s="27" t="str">
        <f>IFERROR(VLOOKUP(C557,customer_lookup!$A:$E,3,FALSE),"")</f>
        <v>NM</v>
      </c>
      <c r="F557" s="28" t="str">
        <f>IFERROR(VLOOKUP(C557,customer_lookup!$A:$E,5,FALSE),"")</f>
        <v>Morgan</v>
      </c>
      <c r="G557" s="25" t="s">
        <v>63</v>
      </c>
      <c r="H557" s="25" t="s">
        <v>190</v>
      </c>
      <c r="I557" s="27" t="str">
        <f>IFERROR(VLOOKUP(H557,product_lookup!$A:$D,2,FALSE),"")</f>
        <v>Mango Sparkling Beverage</v>
      </c>
      <c r="J557" s="29">
        <v>30.0</v>
      </c>
      <c r="K557" s="30">
        <v>7.44</v>
      </c>
      <c r="L557" s="31">
        <f t="shared" si="1"/>
        <v>223.2</v>
      </c>
      <c r="M557" s="25" t="s">
        <v>100</v>
      </c>
      <c r="N557" s="26">
        <v>46037.0</v>
      </c>
      <c r="O557" s="27">
        <f>SUMIF(inventory_snapshot!$B:$B,H557,inventory_snapshot!$E:$E)</f>
        <v>1502</v>
      </c>
      <c r="P557" s="32" t="str">
        <f t="shared" si="2"/>
        <v>OK</v>
      </c>
      <c r="Q557" s="32" t="str">
        <f t="shared" si="3"/>
        <v>OK</v>
      </c>
      <c r="R557" s="32" t="str">
        <f t="shared" si="4"/>
        <v>OK</v>
      </c>
      <c r="S557" s="32" t="str">
        <f t="shared" si="5"/>
        <v>Small</v>
      </c>
    </row>
    <row r="558" ht="15.75" customHeight="1">
      <c r="A558" s="17" t="s">
        <v>721</v>
      </c>
      <c r="B558" s="18">
        <v>46035.0</v>
      </c>
      <c r="C558" s="17" t="s">
        <v>710</v>
      </c>
      <c r="D558" s="19" t="str">
        <f>IFERROR(VLOOKUP(C558,customer_lookup!$A:$E,2,FALSE),"")</f>
        <v>MO Account 0009</v>
      </c>
      <c r="E558" s="19" t="str">
        <f>IFERROR(VLOOKUP(C558,customer_lookup!$A:$E,3,FALSE),"")</f>
        <v>MO</v>
      </c>
      <c r="F558" s="20" t="str">
        <f>IFERROR(VLOOKUP(C558,customer_lookup!$A:$E,5,FALSE),"")</f>
        <v>Morgan</v>
      </c>
      <c r="G558" s="17" t="s">
        <v>67</v>
      </c>
      <c r="H558" s="17" t="s">
        <v>92</v>
      </c>
      <c r="I558" s="19" t="str">
        <f>IFERROR(VLOOKUP(H558,product_lookup!$A:$D,2,FALSE),"")</f>
        <v>Raspberry THC Gummies</v>
      </c>
      <c r="J558" s="21">
        <v>72.0</v>
      </c>
      <c r="K558" s="22">
        <v>10.87</v>
      </c>
      <c r="L558" s="23">
        <f t="shared" si="1"/>
        <v>782.64</v>
      </c>
      <c r="M558" s="17" t="s">
        <v>97</v>
      </c>
      <c r="N558" s="18">
        <v>46045.0</v>
      </c>
      <c r="O558" s="19">
        <f>SUMIF(inventory_snapshot!$B:$B,H558,inventory_snapshot!$E:$E)</f>
        <v>1417</v>
      </c>
      <c r="P558" s="24" t="str">
        <f t="shared" si="2"/>
        <v>OK</v>
      </c>
      <c r="Q558" s="24" t="str">
        <f t="shared" si="3"/>
        <v>OK</v>
      </c>
      <c r="R558" s="24" t="str">
        <f t="shared" si="4"/>
        <v>OK</v>
      </c>
      <c r="S558" s="24" t="str">
        <f t="shared" si="5"/>
        <v>Medium</v>
      </c>
    </row>
    <row r="559" ht="15.75" customHeight="1">
      <c r="A559" s="25" t="s">
        <v>722</v>
      </c>
      <c r="B559" s="26">
        <v>46029.0</v>
      </c>
      <c r="C559" s="25" t="s">
        <v>723</v>
      </c>
      <c r="D559" s="27" t="str">
        <f>IFERROR(VLOOKUP(C559,customer_lookup!$A:$E,2,FALSE),"")</f>
        <v>NV Account 0018</v>
      </c>
      <c r="E559" s="27" t="str">
        <f>IFERROR(VLOOKUP(C559,customer_lookup!$A:$E,3,FALSE),"")</f>
        <v>NV</v>
      </c>
      <c r="F559" s="28" t="str">
        <f>IFERROR(VLOOKUP(C559,customer_lookup!$A:$E,5,FALSE),"")</f>
        <v>Morgan</v>
      </c>
      <c r="G559" s="25" t="s">
        <v>89</v>
      </c>
      <c r="H559" s="25" t="s">
        <v>115</v>
      </c>
      <c r="I559" s="27" t="str">
        <f>IFERROR(VLOOKUP(H559,product_lookup!$A:$D,2,FALSE),"")</f>
        <v>Pear 1:1 Gummies</v>
      </c>
      <c r="J559" s="29">
        <v>120.0</v>
      </c>
      <c r="K559" s="30">
        <v>11.21</v>
      </c>
      <c r="L559" s="31">
        <f t="shared" si="1"/>
        <v>1345.2</v>
      </c>
      <c r="M559" s="25" t="s">
        <v>75</v>
      </c>
      <c r="N559" s="26">
        <v>46038.0</v>
      </c>
      <c r="O559" s="27">
        <f>SUMIF(inventory_snapshot!$B:$B,H559,inventory_snapshot!$E:$E)</f>
        <v>981</v>
      </c>
      <c r="P559" s="32" t="str">
        <f t="shared" si="2"/>
        <v>OK</v>
      </c>
      <c r="Q559" s="32" t="str">
        <f t="shared" si="3"/>
        <v>OK</v>
      </c>
      <c r="R559" s="32" t="str">
        <f t="shared" si="4"/>
        <v>OK</v>
      </c>
      <c r="S559" s="32" t="str">
        <f t="shared" si="5"/>
        <v>Large</v>
      </c>
    </row>
    <row r="560" ht="15.75" customHeight="1">
      <c r="A560" s="17" t="s">
        <v>724</v>
      </c>
      <c r="B560" s="18">
        <v>46096.0</v>
      </c>
      <c r="C560" s="17" t="s">
        <v>720</v>
      </c>
      <c r="D560" s="19" t="str">
        <f>IFERROR(VLOOKUP(C560,customer_lookup!$A:$E,2,FALSE),"")</f>
        <v>NM Account 0046</v>
      </c>
      <c r="E560" s="19" t="str">
        <f>IFERROR(VLOOKUP(C560,customer_lookup!$A:$E,3,FALSE),"")</f>
        <v>NM</v>
      </c>
      <c r="F560" s="20" t="str">
        <f>IFERROR(VLOOKUP(C560,customer_lookup!$A:$E,5,FALSE),"")</f>
        <v>Morgan</v>
      </c>
      <c r="G560" s="17" t="s">
        <v>63</v>
      </c>
      <c r="H560" s="17" t="s">
        <v>123</v>
      </c>
      <c r="I560" s="19" t="str">
        <f>IFERROR(VLOOKUP(H560,product_lookup!$A:$D,2,FALSE),"")</f>
        <v>Peach 2:1 Gummies</v>
      </c>
      <c r="J560" s="21">
        <v>48.0</v>
      </c>
      <c r="K560" s="22">
        <v>10.08</v>
      </c>
      <c r="L560" s="23">
        <f t="shared" si="1"/>
        <v>483.84</v>
      </c>
      <c r="M560" s="17" t="s">
        <v>65</v>
      </c>
      <c r="N560" s="18">
        <v>46102.0</v>
      </c>
      <c r="O560" s="19">
        <f>SUMIF(inventory_snapshot!$B:$B,H560,inventory_snapshot!$E:$E)</f>
        <v>1732</v>
      </c>
      <c r="P560" s="24" t="str">
        <f t="shared" si="2"/>
        <v>OK</v>
      </c>
      <c r="Q560" s="24" t="str">
        <f t="shared" si="3"/>
        <v>OK</v>
      </c>
      <c r="R560" s="24" t="str">
        <f t="shared" si="4"/>
        <v>OK</v>
      </c>
      <c r="S560" s="24" t="str">
        <f t="shared" si="5"/>
        <v>Small</v>
      </c>
    </row>
    <row r="561" ht="15.75" customHeight="1">
      <c r="A561" s="25" t="s">
        <v>725</v>
      </c>
      <c r="B561" s="26">
        <v>46108.0</v>
      </c>
      <c r="C561" s="25" t="s">
        <v>717</v>
      </c>
      <c r="D561" s="27" t="str">
        <f>IFERROR(VLOOKUP(C561,customer_lookup!$A:$E,2,FALSE),"")</f>
        <v>OR Account 0109</v>
      </c>
      <c r="E561" s="27" t="str">
        <f>IFERROR(VLOOKUP(C561,customer_lookup!$A:$E,3,FALSE),"")</f>
        <v>OR</v>
      </c>
      <c r="F561" s="28" t="str">
        <f>IFERROR(VLOOKUP(C561,customer_lookup!$A:$E,5,FALSE),"")</f>
        <v>Morgan</v>
      </c>
      <c r="G561" s="25" t="s">
        <v>63</v>
      </c>
      <c r="H561" s="25" t="s">
        <v>92</v>
      </c>
      <c r="I561" s="27" t="str">
        <f>IFERROR(VLOOKUP(H561,product_lookup!$A:$D,2,FALSE),"")</f>
        <v>Raspberry THC Gummies</v>
      </c>
      <c r="J561" s="29">
        <v>36.0</v>
      </c>
      <c r="K561" s="30">
        <v>10.94</v>
      </c>
      <c r="L561" s="31">
        <f t="shared" si="1"/>
        <v>393.84</v>
      </c>
      <c r="M561" s="25" t="s">
        <v>65</v>
      </c>
      <c r="N561" s="26">
        <v>46113.0</v>
      </c>
      <c r="O561" s="27">
        <f>SUMIF(inventory_snapshot!$B:$B,H561,inventory_snapshot!$E:$E)</f>
        <v>1417</v>
      </c>
      <c r="P561" s="32" t="str">
        <f t="shared" si="2"/>
        <v>OK</v>
      </c>
      <c r="Q561" s="32" t="str">
        <f t="shared" si="3"/>
        <v>OK</v>
      </c>
      <c r="R561" s="32" t="str">
        <f t="shared" si="4"/>
        <v>OK</v>
      </c>
      <c r="S561" s="32" t="str">
        <f t="shared" si="5"/>
        <v>Small</v>
      </c>
    </row>
    <row r="562" ht="15.75" customHeight="1">
      <c r="A562" s="17" t="s">
        <v>726</v>
      </c>
      <c r="B562" s="18">
        <v>46028.0</v>
      </c>
      <c r="C562" s="17" t="s">
        <v>727</v>
      </c>
      <c r="D562" s="19" t="str">
        <f>IFERROR(VLOOKUP(C562,customer_lookup!$A:$E,2,FALSE),"")</f>
        <v>OK Account 0108</v>
      </c>
      <c r="E562" s="19" t="str">
        <f>IFERROR(VLOOKUP(C562,customer_lookup!$A:$E,3,FALSE),"")</f>
        <v>OK</v>
      </c>
      <c r="F562" s="20" t="str">
        <f>IFERROR(VLOOKUP(C562,customer_lookup!$A:$E,5,FALSE),"")</f>
        <v>Morgan</v>
      </c>
      <c r="G562" s="17" t="s">
        <v>67</v>
      </c>
      <c r="H562" s="17" t="s">
        <v>64</v>
      </c>
      <c r="I562" s="19" t="str">
        <f>IFERROR(VLOOKUP(H562,product_lookup!$A:$D,2,FALSE),"")</f>
        <v>Cranberry Sparkling Beverage</v>
      </c>
      <c r="J562" s="21">
        <v>6.0</v>
      </c>
      <c r="K562" s="22">
        <v>7.1</v>
      </c>
      <c r="L562" s="23">
        <f t="shared" si="1"/>
        <v>42.6</v>
      </c>
      <c r="M562" s="17" t="s">
        <v>93</v>
      </c>
      <c r="N562" s="18">
        <v>46033.0</v>
      </c>
      <c r="O562" s="19">
        <f>SUMIF(inventory_snapshot!$B:$B,H562,inventory_snapshot!$E:$E)</f>
        <v>1152</v>
      </c>
      <c r="P562" s="24" t="str">
        <f t="shared" si="2"/>
        <v>OK</v>
      </c>
      <c r="Q562" s="24" t="str">
        <f t="shared" si="3"/>
        <v>OK</v>
      </c>
      <c r="R562" s="24" t="str">
        <f t="shared" si="4"/>
        <v>OK</v>
      </c>
      <c r="S562" s="24" t="str">
        <f t="shared" si="5"/>
        <v>Small</v>
      </c>
    </row>
    <row r="563" ht="15.75" customHeight="1">
      <c r="A563" s="25" t="s">
        <v>728</v>
      </c>
      <c r="B563" s="26">
        <v>46104.0</v>
      </c>
      <c r="C563" s="25" t="s">
        <v>729</v>
      </c>
      <c r="D563" s="27" t="str">
        <f>IFERROR(VLOOKUP(C563,customer_lookup!$A:$E,2,FALSE),"")</f>
        <v>NV Account 0054</v>
      </c>
      <c r="E563" s="27" t="str">
        <f>IFERROR(VLOOKUP(C563,customer_lookup!$A:$E,3,FALSE),"")</f>
        <v>NV</v>
      </c>
      <c r="F563" s="28" t="str">
        <f>IFERROR(VLOOKUP(C563,customer_lookup!$A:$E,5,FALSE),"")</f>
        <v>Morgan</v>
      </c>
      <c r="G563" s="25" t="s">
        <v>63</v>
      </c>
      <c r="H563" s="25" t="s">
        <v>71</v>
      </c>
      <c r="I563" s="27" t="str">
        <f>IFERROR(VLOOKUP(H563,product_lookup!$A:$D,2,FALSE),"")</f>
        <v>Pineapple Sparkling Beverage</v>
      </c>
      <c r="J563" s="29">
        <v>6.0</v>
      </c>
      <c r="K563" s="30">
        <v>7.75</v>
      </c>
      <c r="L563" s="31">
        <f t="shared" si="1"/>
        <v>46.5</v>
      </c>
      <c r="M563" s="25" t="s">
        <v>65</v>
      </c>
      <c r="N563" s="26">
        <v>46109.0</v>
      </c>
      <c r="O563" s="27">
        <f>SUMIF(inventory_snapshot!$B:$B,H563,inventory_snapshot!$E:$E)</f>
        <v>1145</v>
      </c>
      <c r="P563" s="32" t="str">
        <f t="shared" si="2"/>
        <v>OK</v>
      </c>
      <c r="Q563" s="32" t="str">
        <f t="shared" si="3"/>
        <v>OK</v>
      </c>
      <c r="R563" s="32" t="str">
        <f t="shared" si="4"/>
        <v>OK</v>
      </c>
      <c r="S563" s="32" t="str">
        <f t="shared" si="5"/>
        <v>Small</v>
      </c>
    </row>
    <row r="564" ht="15.75" customHeight="1">
      <c r="A564" s="17" t="s">
        <v>730</v>
      </c>
      <c r="B564" s="18">
        <v>46029.0</v>
      </c>
      <c r="C564" s="17" t="s">
        <v>720</v>
      </c>
      <c r="D564" s="19" t="str">
        <f>IFERROR(VLOOKUP(C564,customer_lookup!$A:$E,2,FALSE),"")</f>
        <v>NM Account 0046</v>
      </c>
      <c r="E564" s="19" t="str">
        <f>IFERROR(VLOOKUP(C564,customer_lookup!$A:$E,3,FALSE),"")</f>
        <v>NM</v>
      </c>
      <c r="F564" s="20" t="str">
        <f>IFERROR(VLOOKUP(C564,customer_lookup!$A:$E,5,FALSE),"")</f>
        <v>Morgan</v>
      </c>
      <c r="G564" s="17" t="s">
        <v>67</v>
      </c>
      <c r="H564" s="17" t="s">
        <v>95</v>
      </c>
      <c r="I564" s="19" t="str">
        <f>IFERROR(VLOOKUP(H564,product_lookup!$A:$D,2,FALSE),"")</f>
        <v>Boysenberry 1:1:1 Gummies</v>
      </c>
      <c r="J564" s="21">
        <v>30.0</v>
      </c>
      <c r="K564" s="22">
        <v>10.49</v>
      </c>
      <c r="L564" s="23">
        <f t="shared" si="1"/>
        <v>314.7</v>
      </c>
      <c r="M564" s="17" t="s">
        <v>93</v>
      </c>
      <c r="N564" s="18">
        <v>46037.0</v>
      </c>
      <c r="O564" s="19">
        <f>SUMIF(inventory_snapshot!$B:$B,H564,inventory_snapshot!$E:$E)</f>
        <v>2007</v>
      </c>
      <c r="P564" s="24" t="str">
        <f t="shared" si="2"/>
        <v>OK</v>
      </c>
      <c r="Q564" s="24" t="str">
        <f t="shared" si="3"/>
        <v>OK</v>
      </c>
      <c r="R564" s="24" t="str">
        <f t="shared" si="4"/>
        <v>OK</v>
      </c>
      <c r="S564" s="24" t="str">
        <f t="shared" si="5"/>
        <v>Small</v>
      </c>
    </row>
    <row r="565" ht="15.75" customHeight="1">
      <c r="A565" s="25" t="s">
        <v>731</v>
      </c>
      <c r="B565" s="26">
        <v>46070.0</v>
      </c>
      <c r="C565" s="25" t="s">
        <v>712</v>
      </c>
      <c r="D565" s="27" t="str">
        <f>IFERROR(VLOOKUP(C565,customer_lookup!$A:$E,2,FALSE),"")</f>
        <v>OR Account 0013</v>
      </c>
      <c r="E565" s="27" t="str">
        <f>IFERROR(VLOOKUP(C565,customer_lookup!$A:$E,3,FALSE),"")</f>
        <v>OR</v>
      </c>
      <c r="F565" s="28" t="str">
        <f>IFERROR(VLOOKUP(C565,customer_lookup!$A:$E,5,FALSE),"")</f>
        <v>Morgan</v>
      </c>
      <c r="G565" s="25" t="s">
        <v>63</v>
      </c>
      <c r="H565" s="25" t="s">
        <v>106</v>
      </c>
      <c r="I565" s="27" t="str">
        <f>IFERROR(VLOOKUP(H565,product_lookup!$A:$D,2,FALSE),"")</f>
        <v>Sour Cherry THC Gummies</v>
      </c>
      <c r="J565" s="29">
        <v>36.0</v>
      </c>
      <c r="K565" s="30">
        <v>10.87</v>
      </c>
      <c r="L565" s="31">
        <f t="shared" si="1"/>
        <v>391.32</v>
      </c>
      <c r="M565" s="25" t="s">
        <v>97</v>
      </c>
      <c r="N565" s="26">
        <v>46080.0</v>
      </c>
      <c r="O565" s="27">
        <f>SUMIF(inventory_snapshot!$B:$B,H565,inventory_snapshot!$E:$E)</f>
        <v>1313</v>
      </c>
      <c r="P565" s="32" t="str">
        <f t="shared" si="2"/>
        <v>OK</v>
      </c>
      <c r="Q565" s="32" t="str">
        <f t="shared" si="3"/>
        <v>OK</v>
      </c>
      <c r="R565" s="32" t="str">
        <f t="shared" si="4"/>
        <v>OK</v>
      </c>
      <c r="S565" s="32" t="str">
        <f t="shared" si="5"/>
        <v>Small</v>
      </c>
    </row>
    <row r="566" ht="15.75" customHeight="1">
      <c r="A566" s="17" t="s">
        <v>732</v>
      </c>
      <c r="B566" s="18">
        <v>46073.0</v>
      </c>
      <c r="C566" s="17" t="s">
        <v>733</v>
      </c>
      <c r="D566" s="19" t="str">
        <f>IFERROR(VLOOKUP(C566,customer_lookup!$A:$E,2,FALSE),"")</f>
        <v>AZ Account 0041</v>
      </c>
      <c r="E566" s="19" t="str">
        <f>IFERROR(VLOOKUP(C566,customer_lookup!$A:$E,3,FALSE),"")</f>
        <v>AZ</v>
      </c>
      <c r="F566" s="20" t="str">
        <f>IFERROR(VLOOKUP(C566,customer_lookup!$A:$E,5,FALSE),"")</f>
        <v>Morgan</v>
      </c>
      <c r="G566" s="17" t="s">
        <v>63</v>
      </c>
      <c r="H566" s="17" t="s">
        <v>154</v>
      </c>
      <c r="I566" s="19" t="str">
        <f>IFERROR(VLOOKUP(H566,product_lookup!$A:$D,2,FALSE),"")</f>
        <v>Kiwi 1:1 Gummies</v>
      </c>
      <c r="J566" s="21">
        <v>96.0</v>
      </c>
      <c r="K566" s="22">
        <v>11.26</v>
      </c>
      <c r="L566" s="23">
        <f t="shared" si="1"/>
        <v>1080.96</v>
      </c>
      <c r="M566" s="17" t="s">
        <v>97</v>
      </c>
      <c r="N566" s="18">
        <v>46082.0</v>
      </c>
      <c r="O566" s="19">
        <f>SUMIF(inventory_snapshot!$B:$B,H566,inventory_snapshot!$E:$E)</f>
        <v>1136</v>
      </c>
      <c r="P566" s="24" t="str">
        <f t="shared" si="2"/>
        <v>OK</v>
      </c>
      <c r="Q566" s="24" t="str">
        <f t="shared" si="3"/>
        <v>OK</v>
      </c>
      <c r="R566" s="24" t="str">
        <f t="shared" si="4"/>
        <v>OK</v>
      </c>
      <c r="S566" s="24" t="str">
        <f t="shared" si="5"/>
        <v>Large</v>
      </c>
    </row>
    <row r="567" ht="15.75" customHeight="1">
      <c r="A567" s="25" t="s">
        <v>734</v>
      </c>
      <c r="B567" s="26">
        <v>46127.0</v>
      </c>
      <c r="C567" s="25" t="s">
        <v>735</v>
      </c>
      <c r="D567" s="27" t="str">
        <f>IFERROR(VLOOKUP(C567,customer_lookup!$A:$E,2,FALSE),"")</f>
        <v>OR Account 0049</v>
      </c>
      <c r="E567" s="27" t="str">
        <f>IFERROR(VLOOKUP(C567,customer_lookup!$A:$E,3,FALSE),"")</f>
        <v>OR</v>
      </c>
      <c r="F567" s="28" t="str">
        <f>IFERROR(VLOOKUP(C567,customer_lookup!$A:$E,5,FALSE),"")</f>
        <v>Morgan</v>
      </c>
      <c r="G567" s="25" t="s">
        <v>63</v>
      </c>
      <c r="H567" s="25" t="s">
        <v>106</v>
      </c>
      <c r="I567" s="27" t="str">
        <f>IFERROR(VLOOKUP(H567,product_lookup!$A:$D,2,FALSE),"")</f>
        <v>Sour Cherry THC Gummies</v>
      </c>
      <c r="J567" s="29">
        <v>36.0</v>
      </c>
      <c r="K567" s="30">
        <v>11.73</v>
      </c>
      <c r="L567" s="31">
        <f t="shared" si="1"/>
        <v>422.28</v>
      </c>
      <c r="M567" s="25" t="s">
        <v>65</v>
      </c>
      <c r="N567" s="26">
        <v>46132.0</v>
      </c>
      <c r="O567" s="27">
        <f>SUMIF(inventory_snapshot!$B:$B,H567,inventory_snapshot!$E:$E)</f>
        <v>1313</v>
      </c>
      <c r="P567" s="32" t="str">
        <f t="shared" si="2"/>
        <v>OK</v>
      </c>
      <c r="Q567" s="32" t="str">
        <f t="shared" si="3"/>
        <v>OK</v>
      </c>
      <c r="R567" s="32" t="str">
        <f t="shared" si="4"/>
        <v>OK</v>
      </c>
      <c r="S567" s="32" t="str">
        <f t="shared" si="5"/>
        <v>Small</v>
      </c>
    </row>
    <row r="568" ht="15.75" customHeight="1">
      <c r="A568" s="17" t="s">
        <v>736</v>
      </c>
      <c r="B568" s="18">
        <v>46101.0</v>
      </c>
      <c r="C568" s="17" t="s">
        <v>723</v>
      </c>
      <c r="D568" s="19" t="str">
        <f>IFERROR(VLOOKUP(C568,customer_lookup!$A:$E,2,FALSE),"")</f>
        <v>NV Account 0018</v>
      </c>
      <c r="E568" s="19" t="str">
        <f>IFERROR(VLOOKUP(C568,customer_lookup!$A:$E,3,FALSE),"")</f>
        <v>NV</v>
      </c>
      <c r="F568" s="20" t="str">
        <f>IFERROR(VLOOKUP(C568,customer_lookup!$A:$E,5,FALSE),"")</f>
        <v>Morgan</v>
      </c>
      <c r="G568" s="17" t="s">
        <v>89</v>
      </c>
      <c r="H568" s="17" t="s">
        <v>78</v>
      </c>
      <c r="I568" s="19" t="str">
        <f>IFERROR(VLOOKUP(H568,product_lookup!$A:$D,2,FALSE),"")</f>
        <v>Grapefruit 1:1:1 Gummies</v>
      </c>
      <c r="J568" s="21">
        <v>96.0</v>
      </c>
      <c r="K568" s="22">
        <v>10.19</v>
      </c>
      <c r="L568" s="23">
        <f t="shared" si="1"/>
        <v>978.24</v>
      </c>
      <c r="M568" s="17" t="s">
        <v>100</v>
      </c>
      <c r="N568" s="18">
        <v>46105.0</v>
      </c>
      <c r="O568" s="19">
        <f>SUMIF(inventory_snapshot!$B:$B,H568,inventory_snapshot!$E:$E)</f>
        <v>1751</v>
      </c>
      <c r="P568" s="24" t="str">
        <f t="shared" si="2"/>
        <v>OK</v>
      </c>
      <c r="Q568" s="24" t="str">
        <f t="shared" si="3"/>
        <v>OK</v>
      </c>
      <c r="R568" s="24" t="str">
        <f t="shared" si="4"/>
        <v>OK</v>
      </c>
      <c r="S568" s="24" t="str">
        <f t="shared" si="5"/>
        <v>Medium</v>
      </c>
    </row>
    <row r="569" ht="15.75" customHeight="1">
      <c r="A569" s="25" t="s">
        <v>737</v>
      </c>
      <c r="B569" s="26">
        <v>46123.0</v>
      </c>
      <c r="C569" s="25" t="s">
        <v>727</v>
      </c>
      <c r="D569" s="27" t="str">
        <f>IFERROR(VLOOKUP(C569,customer_lookup!$A:$E,2,FALSE),"")</f>
        <v>OK Account 0108</v>
      </c>
      <c r="E569" s="27" t="str">
        <f>IFERROR(VLOOKUP(C569,customer_lookup!$A:$E,3,FALSE),"")</f>
        <v>OK</v>
      </c>
      <c r="F569" s="28" t="str">
        <f>IFERROR(VLOOKUP(C569,customer_lookup!$A:$E,5,FALSE),"")</f>
        <v>Morgan</v>
      </c>
      <c r="G569" s="25" t="s">
        <v>89</v>
      </c>
      <c r="H569" s="25" t="s">
        <v>106</v>
      </c>
      <c r="I569" s="27" t="str">
        <f>IFERROR(VLOOKUP(H569,product_lookup!$A:$D,2,FALSE),"")</f>
        <v>Sour Cherry THC Gummies</v>
      </c>
      <c r="J569" s="29">
        <v>60.0</v>
      </c>
      <c r="K569" s="30">
        <v>10.08</v>
      </c>
      <c r="L569" s="31">
        <f t="shared" si="1"/>
        <v>604.8</v>
      </c>
      <c r="M569" s="25" t="s">
        <v>65</v>
      </c>
      <c r="N569" s="26">
        <v>46128.0</v>
      </c>
      <c r="O569" s="27">
        <f>SUMIF(inventory_snapshot!$B:$B,H569,inventory_snapshot!$E:$E)</f>
        <v>1313</v>
      </c>
      <c r="P569" s="32" t="str">
        <f t="shared" si="2"/>
        <v>OK</v>
      </c>
      <c r="Q569" s="32" t="str">
        <f t="shared" si="3"/>
        <v>OK</v>
      </c>
      <c r="R569" s="32" t="str">
        <f t="shared" si="4"/>
        <v>OK</v>
      </c>
      <c r="S569" s="32" t="str">
        <f t="shared" si="5"/>
        <v>Medium</v>
      </c>
    </row>
    <row r="570" ht="15.75" customHeight="1">
      <c r="A570" s="17" t="s">
        <v>738</v>
      </c>
      <c r="B570" s="18">
        <v>46055.0</v>
      </c>
      <c r="C570" s="17" t="s">
        <v>700</v>
      </c>
      <c r="D570" s="19" t="str">
        <f>IFERROR(VLOOKUP(C570,customer_lookup!$A:$E,2,FALSE),"")</f>
        <v>CA Account 0003</v>
      </c>
      <c r="E570" s="19" t="str">
        <f>IFERROR(VLOOKUP(C570,customer_lookup!$A:$E,3,FALSE),"")</f>
        <v>CA</v>
      </c>
      <c r="F570" s="20" t="str">
        <f>IFERROR(VLOOKUP(C570,customer_lookup!$A:$E,5,FALSE),"")</f>
        <v>Morgan</v>
      </c>
      <c r="G570" s="17" t="s">
        <v>63</v>
      </c>
      <c r="H570" s="17" t="s">
        <v>106</v>
      </c>
      <c r="I570" s="19" t="str">
        <f>IFERROR(VLOOKUP(H570,product_lookup!$A:$D,2,FALSE),"")</f>
        <v>Sour Cherry THC Gummies</v>
      </c>
      <c r="J570" s="21">
        <v>6.0</v>
      </c>
      <c r="K570" s="22">
        <v>11.28</v>
      </c>
      <c r="L570" s="23">
        <f t="shared" si="1"/>
        <v>67.68</v>
      </c>
      <c r="M570" s="17" t="s">
        <v>65</v>
      </c>
      <c r="N570" s="18">
        <v>46061.0</v>
      </c>
      <c r="O570" s="19">
        <f>SUMIF(inventory_snapshot!$B:$B,H570,inventory_snapshot!$E:$E)</f>
        <v>1313</v>
      </c>
      <c r="P570" s="24" t="str">
        <f t="shared" si="2"/>
        <v>OK</v>
      </c>
      <c r="Q570" s="24" t="str">
        <f t="shared" si="3"/>
        <v>OK</v>
      </c>
      <c r="R570" s="24" t="str">
        <f t="shared" si="4"/>
        <v>OK</v>
      </c>
      <c r="S570" s="24" t="str">
        <f t="shared" si="5"/>
        <v>Small</v>
      </c>
    </row>
    <row r="571" ht="15.75" customHeight="1">
      <c r="A571" s="25" t="s">
        <v>739</v>
      </c>
      <c r="B571" s="26">
        <v>46090.0</v>
      </c>
      <c r="C571" s="25" t="s">
        <v>729</v>
      </c>
      <c r="D571" s="27" t="str">
        <f>IFERROR(VLOOKUP(C571,customer_lookup!$A:$E,2,FALSE),"")</f>
        <v>NV Account 0054</v>
      </c>
      <c r="E571" s="27" t="str">
        <f>IFERROR(VLOOKUP(C571,customer_lookup!$A:$E,3,FALSE),"")</f>
        <v>NV</v>
      </c>
      <c r="F571" s="28" t="str">
        <f>IFERROR(VLOOKUP(C571,customer_lookup!$A:$E,5,FALSE),"")</f>
        <v>Morgan</v>
      </c>
      <c r="G571" s="25" t="s">
        <v>63</v>
      </c>
      <c r="H571" s="25" t="s">
        <v>81</v>
      </c>
      <c r="I571" s="27" t="str">
        <f>IFERROR(VLOOKUP(H571,product_lookup!$A:$D,2,FALSE),"")</f>
        <v>Lemon Sparkling Beverage</v>
      </c>
      <c r="J571" s="29">
        <v>18.0</v>
      </c>
      <c r="K571" s="30">
        <v>7.09</v>
      </c>
      <c r="L571" s="31">
        <f t="shared" si="1"/>
        <v>127.62</v>
      </c>
      <c r="M571" s="25" t="s">
        <v>97</v>
      </c>
      <c r="N571" s="26">
        <v>46092.0</v>
      </c>
      <c r="O571" s="27">
        <f>SUMIF(inventory_snapshot!$B:$B,H571,inventory_snapshot!$E:$E)</f>
        <v>1360</v>
      </c>
      <c r="P571" s="32" t="str">
        <f t="shared" si="2"/>
        <v>OK</v>
      </c>
      <c r="Q571" s="32" t="str">
        <f t="shared" si="3"/>
        <v>OK</v>
      </c>
      <c r="R571" s="32" t="str">
        <f t="shared" si="4"/>
        <v>OK</v>
      </c>
      <c r="S571" s="32" t="str">
        <f t="shared" si="5"/>
        <v>Small</v>
      </c>
    </row>
    <row r="572" ht="15.75" customHeight="1">
      <c r="A572" s="17" t="s">
        <v>740</v>
      </c>
      <c r="B572" s="18">
        <v>46064.0</v>
      </c>
      <c r="C572" s="17" t="s">
        <v>741</v>
      </c>
      <c r="D572" s="19" t="str">
        <f>IFERROR(VLOOKUP(C572,customer_lookup!$A:$E,2,FALSE),"")</f>
        <v>IL Account 0031</v>
      </c>
      <c r="E572" s="19" t="str">
        <f>IFERROR(VLOOKUP(C572,customer_lookup!$A:$E,3,FALSE),"")</f>
        <v>IL</v>
      </c>
      <c r="F572" s="20" t="str">
        <f>IFERROR(VLOOKUP(C572,customer_lookup!$A:$E,5,FALSE),"")</f>
        <v>Morgan</v>
      </c>
      <c r="G572" s="17" t="s">
        <v>63</v>
      </c>
      <c r="H572" s="17" t="s">
        <v>81</v>
      </c>
      <c r="I572" s="19" t="str">
        <f>IFERROR(VLOOKUP(H572,product_lookup!$A:$D,2,FALSE),"")</f>
        <v>Lemon Sparkling Beverage</v>
      </c>
      <c r="J572" s="21">
        <v>30.0</v>
      </c>
      <c r="K572" s="22">
        <v>7.08</v>
      </c>
      <c r="L572" s="23">
        <f t="shared" si="1"/>
        <v>212.4</v>
      </c>
      <c r="M572" s="17" t="s">
        <v>65</v>
      </c>
      <c r="N572" s="18">
        <v>46069.0</v>
      </c>
      <c r="O572" s="19">
        <f>SUMIF(inventory_snapshot!$B:$B,H572,inventory_snapshot!$E:$E)</f>
        <v>1360</v>
      </c>
      <c r="P572" s="24" t="str">
        <f t="shared" si="2"/>
        <v>OK</v>
      </c>
      <c r="Q572" s="24" t="str">
        <f t="shared" si="3"/>
        <v>OK</v>
      </c>
      <c r="R572" s="24" t="str">
        <f t="shared" si="4"/>
        <v>OK</v>
      </c>
      <c r="S572" s="24" t="str">
        <f t="shared" si="5"/>
        <v>Small</v>
      </c>
    </row>
    <row r="573" ht="15.75" customHeight="1">
      <c r="A573" s="25" t="s">
        <v>742</v>
      </c>
      <c r="B573" s="26">
        <v>46129.0</v>
      </c>
      <c r="C573" s="25" t="s">
        <v>735</v>
      </c>
      <c r="D573" s="27" t="str">
        <f>IFERROR(VLOOKUP(C573,customer_lookup!$A:$E,2,FALSE),"")</f>
        <v>OR Account 0049</v>
      </c>
      <c r="E573" s="27" t="str">
        <f>IFERROR(VLOOKUP(C573,customer_lookup!$A:$E,3,FALSE),"")</f>
        <v>OR</v>
      </c>
      <c r="F573" s="28" t="str">
        <f>IFERROR(VLOOKUP(C573,customer_lookup!$A:$E,5,FALSE),"")</f>
        <v>Morgan</v>
      </c>
      <c r="G573" s="25" t="s">
        <v>67</v>
      </c>
      <c r="H573" s="25" t="s">
        <v>64</v>
      </c>
      <c r="I573" s="27" t="str">
        <f>IFERROR(VLOOKUP(H573,product_lookup!$A:$D,2,FALSE),"")</f>
        <v>Cranberry Sparkling Beverage</v>
      </c>
      <c r="J573" s="29">
        <v>24.0</v>
      </c>
      <c r="K573" s="30">
        <v>7.75</v>
      </c>
      <c r="L573" s="31">
        <f t="shared" si="1"/>
        <v>186</v>
      </c>
      <c r="M573" s="25" t="s">
        <v>65</v>
      </c>
      <c r="N573" s="26">
        <v>46134.0</v>
      </c>
      <c r="O573" s="27">
        <f>SUMIF(inventory_snapshot!$B:$B,H573,inventory_snapshot!$E:$E)</f>
        <v>1152</v>
      </c>
      <c r="P573" s="32" t="str">
        <f t="shared" si="2"/>
        <v>OK</v>
      </c>
      <c r="Q573" s="32" t="str">
        <f t="shared" si="3"/>
        <v>OK</v>
      </c>
      <c r="R573" s="32" t="str">
        <f t="shared" si="4"/>
        <v>OK</v>
      </c>
      <c r="S573" s="32" t="str">
        <f t="shared" si="5"/>
        <v>Small</v>
      </c>
    </row>
    <row r="574" ht="15.75" customHeight="1">
      <c r="A574" s="17" t="s">
        <v>743</v>
      </c>
      <c r="B574" s="18">
        <v>46031.0</v>
      </c>
      <c r="C574" s="17" t="s">
        <v>727</v>
      </c>
      <c r="D574" s="19" t="str">
        <f>IFERROR(VLOOKUP(C574,customer_lookup!$A:$E,2,FALSE),"")</f>
        <v>OK Account 0108</v>
      </c>
      <c r="E574" s="19" t="str">
        <f>IFERROR(VLOOKUP(C574,customer_lookup!$A:$E,3,FALSE),"")</f>
        <v>OK</v>
      </c>
      <c r="F574" s="20" t="str">
        <f>IFERROR(VLOOKUP(C574,customer_lookup!$A:$E,5,FALSE),"")</f>
        <v>Morgan</v>
      </c>
      <c r="G574" s="17" t="s">
        <v>63</v>
      </c>
      <c r="H574" s="17" t="s">
        <v>123</v>
      </c>
      <c r="I574" s="19" t="str">
        <f>IFERROR(VLOOKUP(H574,product_lookup!$A:$D,2,FALSE),"")</f>
        <v>Peach 2:1 Gummies</v>
      </c>
      <c r="J574" s="21">
        <v>18.0</v>
      </c>
      <c r="K574" s="22">
        <v>9.69</v>
      </c>
      <c r="L574" s="23">
        <f t="shared" si="1"/>
        <v>174.42</v>
      </c>
      <c r="M574" s="17" t="s">
        <v>65</v>
      </c>
      <c r="N574" s="18">
        <v>46041.0</v>
      </c>
      <c r="O574" s="19">
        <f>SUMIF(inventory_snapshot!$B:$B,H574,inventory_snapshot!$E:$E)</f>
        <v>1732</v>
      </c>
      <c r="P574" s="24" t="str">
        <f t="shared" si="2"/>
        <v>OK</v>
      </c>
      <c r="Q574" s="24" t="str">
        <f t="shared" si="3"/>
        <v>OK</v>
      </c>
      <c r="R574" s="24" t="str">
        <f t="shared" si="4"/>
        <v>OK</v>
      </c>
      <c r="S574" s="24" t="str">
        <f t="shared" si="5"/>
        <v>Small</v>
      </c>
    </row>
    <row r="575" ht="15.75" customHeight="1">
      <c r="A575" s="25" t="s">
        <v>744</v>
      </c>
      <c r="B575" s="26">
        <v>46087.0</v>
      </c>
      <c r="C575" s="25" t="s">
        <v>706</v>
      </c>
      <c r="D575" s="27" t="str">
        <f>IFERROR(VLOOKUP(C575,customer_lookup!$A:$E,2,FALSE),"")</f>
        <v>OR Account 0037</v>
      </c>
      <c r="E575" s="27" t="str">
        <f>IFERROR(VLOOKUP(C575,customer_lookup!$A:$E,3,FALSE),"")</f>
        <v>OR</v>
      </c>
      <c r="F575" s="28" t="str">
        <f>IFERROR(VLOOKUP(C575,customer_lookup!$A:$E,5,FALSE),"")</f>
        <v>Morgan</v>
      </c>
      <c r="G575" s="25" t="s">
        <v>63</v>
      </c>
      <c r="H575" s="25" t="s">
        <v>156</v>
      </c>
      <c r="I575" s="27" t="str">
        <f>IFERROR(VLOOKUP(H575,product_lookup!$A:$D,2,FALSE),"")</f>
        <v>Blood Orange 1:1 Gummies</v>
      </c>
      <c r="J575" s="29">
        <v>120.0</v>
      </c>
      <c r="K575" s="30">
        <v>9.86</v>
      </c>
      <c r="L575" s="31">
        <f t="shared" si="1"/>
        <v>1183.2</v>
      </c>
      <c r="M575" s="25" t="s">
        <v>93</v>
      </c>
      <c r="N575" s="26">
        <v>46089.0</v>
      </c>
      <c r="O575" s="27">
        <f>SUMIF(inventory_snapshot!$B:$B,H575,inventory_snapshot!$E:$E)</f>
        <v>1589</v>
      </c>
      <c r="P575" s="32" t="str">
        <f t="shared" si="2"/>
        <v>OK</v>
      </c>
      <c r="Q575" s="32" t="str">
        <f t="shared" si="3"/>
        <v>OK</v>
      </c>
      <c r="R575" s="32" t="str">
        <f t="shared" si="4"/>
        <v>OK</v>
      </c>
      <c r="S575" s="32" t="str">
        <f t="shared" si="5"/>
        <v>Large</v>
      </c>
    </row>
    <row r="576" ht="15.75" customHeight="1">
      <c r="A576" s="17" t="s">
        <v>745</v>
      </c>
      <c r="B576" s="18">
        <v>46061.0</v>
      </c>
      <c r="C576" s="17" t="s">
        <v>714</v>
      </c>
      <c r="D576" s="19" t="str">
        <f>IFERROR(VLOOKUP(C576,customer_lookup!$A:$E,2,FALSE),"")</f>
        <v>NV Account 0090</v>
      </c>
      <c r="E576" s="19" t="str">
        <f>IFERROR(VLOOKUP(C576,customer_lookup!$A:$E,3,FALSE),"")</f>
        <v>NV</v>
      </c>
      <c r="F576" s="20" t="str">
        <f>IFERROR(VLOOKUP(C576,customer_lookup!$A:$E,5,FALSE),"")</f>
        <v>Morgan</v>
      </c>
      <c r="G576" s="17" t="s">
        <v>89</v>
      </c>
      <c r="H576" s="17" t="s">
        <v>123</v>
      </c>
      <c r="I576" s="19" t="str">
        <f>IFERROR(VLOOKUP(H576,product_lookup!$A:$D,2,FALSE),"")</f>
        <v>Peach 2:1 Gummies</v>
      </c>
      <c r="J576" s="21">
        <v>120.0</v>
      </c>
      <c r="K576" s="22">
        <v>11.46</v>
      </c>
      <c r="L576" s="23">
        <f t="shared" si="1"/>
        <v>1375.2</v>
      </c>
      <c r="M576" s="17" t="s">
        <v>100</v>
      </c>
      <c r="N576" s="18">
        <v>46062.0</v>
      </c>
      <c r="O576" s="19">
        <f>SUMIF(inventory_snapshot!$B:$B,H576,inventory_snapshot!$E:$E)</f>
        <v>1732</v>
      </c>
      <c r="P576" s="24" t="str">
        <f t="shared" si="2"/>
        <v>OK</v>
      </c>
      <c r="Q576" s="24" t="str">
        <f t="shared" si="3"/>
        <v>OK</v>
      </c>
      <c r="R576" s="24" t="str">
        <f t="shared" si="4"/>
        <v>OK</v>
      </c>
      <c r="S576" s="24" t="str">
        <f t="shared" si="5"/>
        <v>Large</v>
      </c>
    </row>
    <row r="577" ht="15.75" customHeight="1">
      <c r="A577" s="25" t="s">
        <v>746</v>
      </c>
      <c r="B577" s="26">
        <v>46046.0</v>
      </c>
      <c r="C577" s="25" t="s">
        <v>735</v>
      </c>
      <c r="D577" s="27" t="str">
        <f>IFERROR(VLOOKUP(C577,customer_lookup!$A:$E,2,FALSE),"")</f>
        <v>OR Account 0049</v>
      </c>
      <c r="E577" s="27" t="str">
        <f>IFERROR(VLOOKUP(C577,customer_lookup!$A:$E,3,FALSE),"")</f>
        <v>OR</v>
      </c>
      <c r="F577" s="28" t="str">
        <f>IFERROR(VLOOKUP(C577,customer_lookup!$A:$E,5,FALSE),"")</f>
        <v>Morgan</v>
      </c>
      <c r="G577" s="25" t="s">
        <v>67</v>
      </c>
      <c r="H577" s="25" t="s">
        <v>108</v>
      </c>
      <c r="I577" s="27" t="str">
        <f>IFERROR(VLOOKUP(H577,product_lookup!$A:$D,2,FALSE),"")</f>
        <v>Sour Tangerine THC Gummies</v>
      </c>
      <c r="J577" s="29">
        <v>120.0</v>
      </c>
      <c r="K577" s="30">
        <v>10.93</v>
      </c>
      <c r="L577" s="31">
        <f t="shared" si="1"/>
        <v>1311.6</v>
      </c>
      <c r="M577" s="25" t="s">
        <v>75</v>
      </c>
      <c r="N577" s="26">
        <v>46051.0</v>
      </c>
      <c r="O577" s="27">
        <f>SUMIF(inventory_snapshot!$B:$B,H577,inventory_snapshot!$E:$E)</f>
        <v>1679</v>
      </c>
      <c r="P577" s="32" t="str">
        <f t="shared" si="2"/>
        <v>OK</v>
      </c>
      <c r="Q577" s="32" t="str">
        <f t="shared" si="3"/>
        <v>OK</v>
      </c>
      <c r="R577" s="32" t="str">
        <f t="shared" si="4"/>
        <v>OK</v>
      </c>
      <c r="S577" s="32" t="str">
        <f t="shared" si="5"/>
        <v>Large</v>
      </c>
    </row>
    <row r="578" ht="15.75" customHeight="1">
      <c r="A578" s="17" t="s">
        <v>747</v>
      </c>
      <c r="B578" s="18">
        <v>46115.0</v>
      </c>
      <c r="C578" s="17" t="s">
        <v>704</v>
      </c>
      <c r="D578" s="19" t="str">
        <f>IFERROR(VLOOKUP(C578,customer_lookup!$A:$E,2,FALSE),"")</f>
        <v>CO Account 0100</v>
      </c>
      <c r="E578" s="19" t="str">
        <f>IFERROR(VLOOKUP(C578,customer_lookup!$A:$E,3,FALSE),"")</f>
        <v>CO</v>
      </c>
      <c r="F578" s="20" t="str">
        <f>IFERROR(VLOOKUP(C578,customer_lookup!$A:$E,5,FALSE),"")</f>
        <v>Morgan</v>
      </c>
      <c r="G578" s="17" t="s">
        <v>63</v>
      </c>
      <c r="H578" s="17" t="s">
        <v>110</v>
      </c>
      <c r="I578" s="19" t="str">
        <f>IFERROR(VLOOKUP(H578,product_lookup!$A:$D,2,FALSE),"")</f>
        <v>Elderberry 2:1 Gummies</v>
      </c>
      <c r="J578" s="21">
        <v>72.0</v>
      </c>
      <c r="K578" s="22">
        <v>11.89</v>
      </c>
      <c r="L578" s="23">
        <f t="shared" si="1"/>
        <v>856.08</v>
      </c>
      <c r="M578" s="17" t="s">
        <v>93</v>
      </c>
      <c r="N578" s="18">
        <v>46118.0</v>
      </c>
      <c r="O578" s="19">
        <f>SUMIF(inventory_snapshot!$B:$B,H578,inventory_snapshot!$E:$E)</f>
        <v>1633</v>
      </c>
      <c r="P578" s="24" t="str">
        <f t="shared" si="2"/>
        <v>OK</v>
      </c>
      <c r="Q578" s="24" t="str">
        <f t="shared" si="3"/>
        <v>OK</v>
      </c>
      <c r="R578" s="24" t="str">
        <f t="shared" si="4"/>
        <v>OK</v>
      </c>
      <c r="S578" s="24" t="str">
        <f t="shared" si="5"/>
        <v>Medium</v>
      </c>
    </row>
    <row r="579" ht="15.75" customHeight="1">
      <c r="A579" s="25" t="s">
        <v>748</v>
      </c>
      <c r="B579" s="26">
        <v>46084.0</v>
      </c>
      <c r="C579" s="25" t="s">
        <v>698</v>
      </c>
      <c r="D579" s="27" t="str">
        <f>IFERROR(VLOOKUP(C579,customer_lookup!$A:$E,2,FALSE),"")</f>
        <v>AZ Account 0089</v>
      </c>
      <c r="E579" s="27" t="str">
        <f>IFERROR(VLOOKUP(C579,customer_lookup!$A:$E,3,FALSE),"")</f>
        <v>AZ</v>
      </c>
      <c r="F579" s="28" t="str">
        <f>IFERROR(VLOOKUP(C579,customer_lookup!$A:$E,5,FALSE),"")</f>
        <v>Morgan</v>
      </c>
      <c r="G579" s="25" t="s">
        <v>63</v>
      </c>
      <c r="H579" s="25" t="s">
        <v>162</v>
      </c>
      <c r="I579" s="27" t="str">
        <f>IFERROR(VLOOKUP(H579,product_lookup!$A:$D,2,FALSE),"")</f>
        <v>Marionberry THC Gummies</v>
      </c>
      <c r="J579" s="29">
        <v>36.0</v>
      </c>
      <c r="K579" s="30">
        <v>9.59</v>
      </c>
      <c r="L579" s="31">
        <f t="shared" si="1"/>
        <v>345.24</v>
      </c>
      <c r="M579" s="25" t="s">
        <v>75</v>
      </c>
      <c r="N579" s="26">
        <v>46092.0</v>
      </c>
      <c r="O579" s="27">
        <f>SUMIF(inventory_snapshot!$B:$B,H579,inventory_snapshot!$E:$E)</f>
        <v>1599</v>
      </c>
      <c r="P579" s="32" t="str">
        <f t="shared" si="2"/>
        <v>OK</v>
      </c>
      <c r="Q579" s="32" t="str">
        <f t="shared" si="3"/>
        <v>OK</v>
      </c>
      <c r="R579" s="32" t="str">
        <f t="shared" si="4"/>
        <v>OK</v>
      </c>
      <c r="S579" s="32" t="str">
        <f t="shared" si="5"/>
        <v>Small</v>
      </c>
    </row>
    <row r="580" ht="15.75" customHeight="1">
      <c r="A580" s="17" t="s">
        <v>749</v>
      </c>
      <c r="B580" s="18">
        <v>46036.0</v>
      </c>
      <c r="C580" s="17" t="s">
        <v>710</v>
      </c>
      <c r="D580" s="19" t="str">
        <f>IFERROR(VLOOKUP(C580,customer_lookup!$A:$E,2,FALSE),"")</f>
        <v>MO Account 0009</v>
      </c>
      <c r="E580" s="19" t="str">
        <f>IFERROR(VLOOKUP(C580,customer_lookup!$A:$E,3,FALSE),"")</f>
        <v>MO</v>
      </c>
      <c r="F580" s="20" t="str">
        <f>IFERROR(VLOOKUP(C580,customer_lookup!$A:$E,5,FALSE),"")</f>
        <v>Morgan</v>
      </c>
      <c r="G580" s="17" t="s">
        <v>63</v>
      </c>
      <c r="H580" s="17" t="s">
        <v>64</v>
      </c>
      <c r="I580" s="19" t="str">
        <f>IFERROR(VLOOKUP(H580,product_lookup!$A:$D,2,FALSE),"")</f>
        <v>Cranberry Sparkling Beverage</v>
      </c>
      <c r="J580" s="21">
        <v>72.0</v>
      </c>
      <c r="K580" s="22">
        <v>7.26</v>
      </c>
      <c r="L580" s="23">
        <f t="shared" si="1"/>
        <v>522.72</v>
      </c>
      <c r="M580" s="17" t="s">
        <v>97</v>
      </c>
      <c r="N580" s="18">
        <v>46041.0</v>
      </c>
      <c r="O580" s="19">
        <f>SUMIF(inventory_snapshot!$B:$B,H580,inventory_snapshot!$E:$E)</f>
        <v>1152</v>
      </c>
      <c r="P580" s="24" t="str">
        <f t="shared" si="2"/>
        <v>OK</v>
      </c>
      <c r="Q580" s="24" t="str">
        <f t="shared" si="3"/>
        <v>OK</v>
      </c>
      <c r="R580" s="24" t="str">
        <f t="shared" si="4"/>
        <v>OK</v>
      </c>
      <c r="S580" s="24" t="str">
        <f t="shared" si="5"/>
        <v>Medium</v>
      </c>
    </row>
    <row r="581" ht="15.75" customHeight="1">
      <c r="A581" s="25" t="s">
        <v>750</v>
      </c>
      <c r="B581" s="26">
        <v>46099.0</v>
      </c>
      <c r="C581" s="25" t="s">
        <v>702</v>
      </c>
      <c r="D581" s="27" t="str">
        <f>IFERROR(VLOOKUP(C581,customer_lookup!$A:$E,2,FALSE),"")</f>
        <v>NM Account 0082</v>
      </c>
      <c r="E581" s="27" t="str">
        <f>IFERROR(VLOOKUP(C581,customer_lookup!$A:$E,3,FALSE),"")</f>
        <v>NM</v>
      </c>
      <c r="F581" s="28" t="str">
        <f>IFERROR(VLOOKUP(C581,customer_lookup!$A:$E,5,FALSE),"")</f>
        <v>Morgan</v>
      </c>
      <c r="G581" s="25" t="s">
        <v>63</v>
      </c>
      <c r="H581" s="25" t="s">
        <v>92</v>
      </c>
      <c r="I581" s="27" t="str">
        <f>IFERROR(VLOOKUP(H581,product_lookup!$A:$D,2,FALSE),"")</f>
        <v>Raspberry THC Gummies</v>
      </c>
      <c r="J581" s="29">
        <v>48.0</v>
      </c>
      <c r="K581" s="30">
        <v>10.73</v>
      </c>
      <c r="L581" s="31">
        <f t="shared" si="1"/>
        <v>515.04</v>
      </c>
      <c r="M581" s="25" t="s">
        <v>65</v>
      </c>
      <c r="N581" s="26">
        <v>46107.0</v>
      </c>
      <c r="O581" s="27">
        <f>SUMIF(inventory_snapshot!$B:$B,H581,inventory_snapshot!$E:$E)</f>
        <v>1417</v>
      </c>
      <c r="P581" s="32" t="str">
        <f t="shared" si="2"/>
        <v>OK</v>
      </c>
      <c r="Q581" s="32" t="str">
        <f t="shared" si="3"/>
        <v>OK</v>
      </c>
      <c r="R581" s="32" t="str">
        <f t="shared" si="4"/>
        <v>OK</v>
      </c>
      <c r="S581" s="32" t="str">
        <f t="shared" si="5"/>
        <v>Medium</v>
      </c>
    </row>
    <row r="582" ht="15.75" customHeight="1">
      <c r="A582" s="17" t="s">
        <v>751</v>
      </c>
      <c r="B582" s="18">
        <v>46088.0</v>
      </c>
      <c r="C582" s="17" t="s">
        <v>698</v>
      </c>
      <c r="D582" s="19" t="str">
        <f>IFERROR(VLOOKUP(C582,customer_lookup!$A:$E,2,FALSE),"")</f>
        <v>AZ Account 0089</v>
      </c>
      <c r="E582" s="19" t="str">
        <f>IFERROR(VLOOKUP(C582,customer_lookup!$A:$E,3,FALSE),"")</f>
        <v>AZ</v>
      </c>
      <c r="F582" s="20" t="str">
        <f>IFERROR(VLOOKUP(C582,customer_lookup!$A:$E,5,FALSE),"")</f>
        <v>Morgan</v>
      </c>
      <c r="G582" s="17" t="s">
        <v>63</v>
      </c>
      <c r="H582" s="17" t="s">
        <v>85</v>
      </c>
      <c r="I582" s="19" t="str">
        <f>IFERROR(VLOOKUP(H582,product_lookup!$A:$D,2,FALSE),"")</f>
        <v>Huckleberry THC Gummies</v>
      </c>
      <c r="J582" s="21">
        <v>48.0</v>
      </c>
      <c r="K582" s="22">
        <v>10.08</v>
      </c>
      <c r="L582" s="23">
        <f t="shared" si="1"/>
        <v>483.84</v>
      </c>
      <c r="M582" s="17" t="s">
        <v>97</v>
      </c>
      <c r="N582" s="18">
        <v>46091.0</v>
      </c>
      <c r="O582" s="19">
        <f>SUMIF(inventory_snapshot!$B:$B,H582,inventory_snapshot!$E:$E)</f>
        <v>1841</v>
      </c>
      <c r="P582" s="24" t="str">
        <f t="shared" si="2"/>
        <v>OK</v>
      </c>
      <c r="Q582" s="24" t="str">
        <f t="shared" si="3"/>
        <v>OK</v>
      </c>
      <c r="R582" s="24" t="str">
        <f t="shared" si="4"/>
        <v>OK</v>
      </c>
      <c r="S582" s="24" t="str">
        <f t="shared" si="5"/>
        <v>Small</v>
      </c>
    </row>
    <row r="583" ht="15.75" customHeight="1">
      <c r="A583" s="25" t="s">
        <v>752</v>
      </c>
      <c r="B583" s="26">
        <v>46122.0</v>
      </c>
      <c r="C583" s="25" t="s">
        <v>706</v>
      </c>
      <c r="D583" s="27" t="str">
        <f>IFERROR(VLOOKUP(C583,customer_lookup!$A:$E,2,FALSE),"")</f>
        <v>OR Account 0037</v>
      </c>
      <c r="E583" s="27" t="str">
        <f>IFERROR(VLOOKUP(C583,customer_lookup!$A:$E,3,FALSE),"")</f>
        <v>OR</v>
      </c>
      <c r="F583" s="28" t="str">
        <f>IFERROR(VLOOKUP(C583,customer_lookup!$A:$E,5,FALSE),"")</f>
        <v>Morgan</v>
      </c>
      <c r="G583" s="25" t="s">
        <v>63</v>
      </c>
      <c r="H583" s="25" t="s">
        <v>154</v>
      </c>
      <c r="I583" s="27" t="str">
        <f>IFERROR(VLOOKUP(H583,product_lookup!$A:$D,2,FALSE),"")</f>
        <v>Kiwi 1:1 Gummies</v>
      </c>
      <c r="J583" s="29">
        <v>60.0</v>
      </c>
      <c r="K583" s="30">
        <v>10.89</v>
      </c>
      <c r="L583" s="31">
        <f t="shared" si="1"/>
        <v>653.4</v>
      </c>
      <c r="M583" s="25" t="s">
        <v>65</v>
      </c>
      <c r="N583" s="26">
        <v>46131.0</v>
      </c>
      <c r="O583" s="27">
        <f>SUMIF(inventory_snapshot!$B:$B,H583,inventory_snapshot!$E:$E)</f>
        <v>1136</v>
      </c>
      <c r="P583" s="32" t="str">
        <f t="shared" si="2"/>
        <v>OK</v>
      </c>
      <c r="Q583" s="32" t="str">
        <f t="shared" si="3"/>
        <v>OK</v>
      </c>
      <c r="R583" s="32" t="str">
        <f t="shared" si="4"/>
        <v>OK</v>
      </c>
      <c r="S583" s="32" t="str">
        <f t="shared" si="5"/>
        <v>Medium</v>
      </c>
    </row>
    <row r="584" ht="15.75" customHeight="1">
      <c r="A584" s="17" t="s">
        <v>753</v>
      </c>
      <c r="B584" s="18">
        <v>46128.0</v>
      </c>
      <c r="C584" s="17" t="s">
        <v>704</v>
      </c>
      <c r="D584" s="19" t="str">
        <f>IFERROR(VLOOKUP(C584,customer_lookup!$A:$E,2,FALSE),"")</f>
        <v>CO Account 0100</v>
      </c>
      <c r="E584" s="19" t="str">
        <f>IFERROR(VLOOKUP(C584,customer_lookup!$A:$E,3,FALSE),"")</f>
        <v>CO</v>
      </c>
      <c r="F584" s="20" t="str">
        <f>IFERROR(VLOOKUP(C584,customer_lookup!$A:$E,5,FALSE),"")</f>
        <v>Morgan</v>
      </c>
      <c r="G584" s="17" t="s">
        <v>67</v>
      </c>
      <c r="H584" s="17" t="s">
        <v>81</v>
      </c>
      <c r="I584" s="19" t="str">
        <f>IFERROR(VLOOKUP(H584,product_lookup!$A:$D,2,FALSE),"")</f>
        <v>Lemon Sparkling Beverage</v>
      </c>
      <c r="J584" s="21">
        <v>36.0</v>
      </c>
      <c r="K584" s="22">
        <v>7.31</v>
      </c>
      <c r="L584" s="23">
        <f t="shared" si="1"/>
        <v>263.16</v>
      </c>
      <c r="M584" s="17" t="s">
        <v>65</v>
      </c>
      <c r="N584" s="18">
        <v>46136.0</v>
      </c>
      <c r="O584" s="19">
        <f>SUMIF(inventory_snapshot!$B:$B,H584,inventory_snapshot!$E:$E)</f>
        <v>1360</v>
      </c>
      <c r="P584" s="24" t="str">
        <f t="shared" si="2"/>
        <v>OK</v>
      </c>
      <c r="Q584" s="24" t="str">
        <f t="shared" si="3"/>
        <v>OK</v>
      </c>
      <c r="R584" s="24" t="str">
        <f t="shared" si="4"/>
        <v>OK</v>
      </c>
      <c r="S584" s="24" t="str">
        <f t="shared" si="5"/>
        <v>Small</v>
      </c>
    </row>
    <row r="585" ht="15.75" customHeight="1">
      <c r="A585" s="25" t="s">
        <v>754</v>
      </c>
      <c r="B585" s="26">
        <v>46093.0</v>
      </c>
      <c r="C585" s="25" t="s">
        <v>706</v>
      </c>
      <c r="D585" s="27" t="str">
        <f>IFERROR(VLOOKUP(C585,customer_lookup!$A:$E,2,FALSE),"")</f>
        <v>OR Account 0037</v>
      </c>
      <c r="E585" s="27" t="str">
        <f>IFERROR(VLOOKUP(C585,customer_lookup!$A:$E,3,FALSE),"")</f>
        <v>OR</v>
      </c>
      <c r="F585" s="28" t="str">
        <f>IFERROR(VLOOKUP(C585,customer_lookup!$A:$E,5,FALSE),"")</f>
        <v>Morgan</v>
      </c>
      <c r="G585" s="25" t="s">
        <v>67</v>
      </c>
      <c r="H585" s="25" t="s">
        <v>92</v>
      </c>
      <c r="I585" s="27" t="str">
        <f>IFERROR(VLOOKUP(H585,product_lookup!$A:$D,2,FALSE),"")</f>
        <v>Raspberry THC Gummies</v>
      </c>
      <c r="J585" s="29">
        <v>96.0</v>
      </c>
      <c r="K585" s="30">
        <v>9.72</v>
      </c>
      <c r="L585" s="31">
        <f t="shared" si="1"/>
        <v>933.12</v>
      </c>
      <c r="M585" s="25" t="s">
        <v>65</v>
      </c>
      <c r="N585" s="26">
        <v>46094.0</v>
      </c>
      <c r="O585" s="27">
        <f>SUMIF(inventory_snapshot!$B:$B,H585,inventory_snapshot!$E:$E)</f>
        <v>1417</v>
      </c>
      <c r="P585" s="32" t="str">
        <f t="shared" si="2"/>
        <v>OK</v>
      </c>
      <c r="Q585" s="32" t="str">
        <f t="shared" si="3"/>
        <v>OK</v>
      </c>
      <c r="R585" s="32" t="str">
        <f t="shared" si="4"/>
        <v>OK</v>
      </c>
      <c r="S585" s="32" t="str">
        <f t="shared" si="5"/>
        <v>Medium</v>
      </c>
    </row>
    <row r="586" ht="15.75" customHeight="1">
      <c r="A586" s="17" t="s">
        <v>755</v>
      </c>
      <c r="B586" s="18">
        <v>46025.0</v>
      </c>
      <c r="C586" s="17" t="s">
        <v>727</v>
      </c>
      <c r="D586" s="19" t="str">
        <f>IFERROR(VLOOKUP(C586,customer_lookup!$A:$E,2,FALSE),"")</f>
        <v>OK Account 0108</v>
      </c>
      <c r="E586" s="19" t="str">
        <f>IFERROR(VLOOKUP(C586,customer_lookup!$A:$E,3,FALSE),"")</f>
        <v>OK</v>
      </c>
      <c r="F586" s="20" t="str">
        <f>IFERROR(VLOOKUP(C586,customer_lookup!$A:$E,5,FALSE),"")</f>
        <v>Morgan</v>
      </c>
      <c r="G586" s="17" t="s">
        <v>63</v>
      </c>
      <c r="H586" s="17" t="s">
        <v>74</v>
      </c>
      <c r="I586" s="19" t="str">
        <f>IFERROR(VLOOKUP(H586,product_lookup!$A:$D,2,FALSE),"")</f>
        <v>Strawberry 20:1 Gummies</v>
      </c>
      <c r="J586" s="21">
        <v>12.0</v>
      </c>
      <c r="K586" s="22">
        <v>12.49</v>
      </c>
      <c r="L586" s="23">
        <f t="shared" si="1"/>
        <v>149.88</v>
      </c>
      <c r="M586" s="17" t="s">
        <v>97</v>
      </c>
      <c r="N586" s="18">
        <v>46032.0</v>
      </c>
      <c r="O586" s="19">
        <f>SUMIF(inventory_snapshot!$B:$B,H586,inventory_snapshot!$E:$E)</f>
        <v>2294</v>
      </c>
      <c r="P586" s="24" t="str">
        <f t="shared" si="2"/>
        <v>OK</v>
      </c>
      <c r="Q586" s="24" t="str">
        <f t="shared" si="3"/>
        <v>OK</v>
      </c>
      <c r="R586" s="24" t="str">
        <f t="shared" si="4"/>
        <v>OK</v>
      </c>
      <c r="S586" s="24" t="str">
        <f t="shared" si="5"/>
        <v>Small</v>
      </c>
    </row>
    <row r="587" ht="15.75" customHeight="1">
      <c r="A587" s="25" t="s">
        <v>756</v>
      </c>
      <c r="B587" s="26">
        <v>46031.0</v>
      </c>
      <c r="C587" s="25" t="s">
        <v>723</v>
      </c>
      <c r="D587" s="27" t="str">
        <f>IFERROR(VLOOKUP(C587,customer_lookup!$A:$E,2,FALSE),"")</f>
        <v>NV Account 0018</v>
      </c>
      <c r="E587" s="27" t="str">
        <f>IFERROR(VLOOKUP(C587,customer_lookup!$A:$E,3,FALSE),"")</f>
        <v>NV</v>
      </c>
      <c r="F587" s="28" t="str">
        <f>IFERROR(VLOOKUP(C587,customer_lookup!$A:$E,5,FALSE),"")</f>
        <v>Morgan</v>
      </c>
      <c r="G587" s="25" t="s">
        <v>63</v>
      </c>
      <c r="H587" s="25" t="s">
        <v>85</v>
      </c>
      <c r="I587" s="27" t="str">
        <f>IFERROR(VLOOKUP(H587,product_lookup!$A:$D,2,FALSE),"")</f>
        <v>Huckleberry THC Gummies</v>
      </c>
      <c r="J587" s="29">
        <v>72.0</v>
      </c>
      <c r="K587" s="30">
        <v>10.38</v>
      </c>
      <c r="L587" s="31">
        <f t="shared" si="1"/>
        <v>747.36</v>
      </c>
      <c r="M587" s="25" t="s">
        <v>65</v>
      </c>
      <c r="N587" s="26">
        <v>46037.0</v>
      </c>
      <c r="O587" s="27">
        <f>SUMIF(inventory_snapshot!$B:$B,H587,inventory_snapshot!$E:$E)</f>
        <v>1841</v>
      </c>
      <c r="P587" s="32" t="str">
        <f t="shared" si="2"/>
        <v>OK</v>
      </c>
      <c r="Q587" s="32" t="str">
        <f t="shared" si="3"/>
        <v>OK</v>
      </c>
      <c r="R587" s="32" t="str">
        <f t="shared" si="4"/>
        <v>OK</v>
      </c>
      <c r="S587" s="32" t="str">
        <f t="shared" si="5"/>
        <v>Medium</v>
      </c>
    </row>
    <row r="588" ht="15.75" customHeight="1">
      <c r="A588" s="17" t="s">
        <v>757</v>
      </c>
      <c r="B588" s="18">
        <v>46062.0</v>
      </c>
      <c r="C588" s="17" t="s">
        <v>702</v>
      </c>
      <c r="D588" s="19" t="str">
        <f>IFERROR(VLOOKUP(C588,customer_lookup!$A:$E,2,FALSE),"")</f>
        <v>NM Account 0082</v>
      </c>
      <c r="E588" s="19" t="str">
        <f>IFERROR(VLOOKUP(C588,customer_lookup!$A:$E,3,FALSE),"")</f>
        <v>NM</v>
      </c>
      <c r="F588" s="20" t="str">
        <f>IFERROR(VLOOKUP(C588,customer_lookup!$A:$E,5,FALSE),"")</f>
        <v>Morgan</v>
      </c>
      <c r="G588" s="17" t="s">
        <v>63</v>
      </c>
      <c r="H588" s="17" t="s">
        <v>110</v>
      </c>
      <c r="I588" s="19" t="str">
        <f>IFERROR(VLOOKUP(H588,product_lookup!$A:$D,2,FALSE),"")</f>
        <v>Elderberry 2:1 Gummies</v>
      </c>
      <c r="J588" s="21">
        <v>48.0</v>
      </c>
      <c r="K588" s="22">
        <v>11.51</v>
      </c>
      <c r="L588" s="23">
        <f t="shared" si="1"/>
        <v>552.48</v>
      </c>
      <c r="M588" s="17" t="s">
        <v>65</v>
      </c>
      <c r="N588" s="18">
        <v>46064.0</v>
      </c>
      <c r="O588" s="19">
        <f>SUMIF(inventory_snapshot!$B:$B,H588,inventory_snapshot!$E:$E)</f>
        <v>1633</v>
      </c>
      <c r="P588" s="24" t="str">
        <f t="shared" si="2"/>
        <v>OK</v>
      </c>
      <c r="Q588" s="24" t="str">
        <f t="shared" si="3"/>
        <v>OK</v>
      </c>
      <c r="R588" s="24" t="str">
        <f t="shared" si="4"/>
        <v>OK</v>
      </c>
      <c r="S588" s="24" t="str">
        <f t="shared" si="5"/>
        <v>Medium</v>
      </c>
    </row>
    <row r="589" ht="15.75" customHeight="1">
      <c r="A589" s="25" t="s">
        <v>758</v>
      </c>
      <c r="B589" s="26">
        <v>46085.0</v>
      </c>
      <c r="C589" s="25" t="s">
        <v>741</v>
      </c>
      <c r="D589" s="27" t="str">
        <f>IFERROR(VLOOKUP(C589,customer_lookup!$A:$E,2,FALSE),"")</f>
        <v>IL Account 0031</v>
      </c>
      <c r="E589" s="27" t="str">
        <f>IFERROR(VLOOKUP(C589,customer_lookup!$A:$E,3,FALSE),"")</f>
        <v>IL</v>
      </c>
      <c r="F589" s="28" t="str">
        <f>IFERROR(VLOOKUP(C589,customer_lookup!$A:$E,5,FALSE),"")</f>
        <v>Morgan</v>
      </c>
      <c r="G589" s="25" t="s">
        <v>63</v>
      </c>
      <c r="H589" s="25" t="s">
        <v>108</v>
      </c>
      <c r="I589" s="27" t="str">
        <f>IFERROR(VLOOKUP(H589,product_lookup!$A:$D,2,FALSE),"")</f>
        <v>Sour Tangerine THC Gummies</v>
      </c>
      <c r="J589" s="29">
        <v>6.0</v>
      </c>
      <c r="K589" s="30">
        <v>11.77</v>
      </c>
      <c r="L589" s="31">
        <f t="shared" si="1"/>
        <v>70.62</v>
      </c>
      <c r="M589" s="25" t="s">
        <v>97</v>
      </c>
      <c r="N589" s="26">
        <v>46086.0</v>
      </c>
      <c r="O589" s="27">
        <f>SUMIF(inventory_snapshot!$B:$B,H589,inventory_snapshot!$E:$E)</f>
        <v>1679</v>
      </c>
      <c r="P589" s="32" t="str">
        <f t="shared" si="2"/>
        <v>OK</v>
      </c>
      <c r="Q589" s="32" t="str">
        <f t="shared" si="3"/>
        <v>OK</v>
      </c>
      <c r="R589" s="32" t="str">
        <f t="shared" si="4"/>
        <v>OK</v>
      </c>
      <c r="S589" s="32" t="str">
        <f t="shared" si="5"/>
        <v>Small</v>
      </c>
    </row>
    <row r="590" ht="15.75" customHeight="1">
      <c r="A590" s="17" t="s">
        <v>759</v>
      </c>
      <c r="B590" s="18">
        <v>46039.0</v>
      </c>
      <c r="C590" s="17" t="s">
        <v>704</v>
      </c>
      <c r="D590" s="19" t="str">
        <f>IFERROR(VLOOKUP(C590,customer_lookup!$A:$E,2,FALSE),"")</f>
        <v>CO Account 0100</v>
      </c>
      <c r="E590" s="19" t="str">
        <f>IFERROR(VLOOKUP(C590,customer_lookup!$A:$E,3,FALSE),"")</f>
        <v>CO</v>
      </c>
      <c r="F590" s="20" t="str">
        <f>IFERROR(VLOOKUP(C590,customer_lookup!$A:$E,5,FALSE),"")</f>
        <v>Morgan</v>
      </c>
      <c r="G590" s="17" t="s">
        <v>63</v>
      </c>
      <c r="H590" s="17" t="s">
        <v>123</v>
      </c>
      <c r="I590" s="19" t="str">
        <f>IFERROR(VLOOKUP(H590,product_lookup!$A:$D,2,FALSE),"")</f>
        <v>Peach 2:1 Gummies</v>
      </c>
      <c r="J590" s="21">
        <v>24.0</v>
      </c>
      <c r="K590" s="22">
        <v>11.45</v>
      </c>
      <c r="L590" s="23">
        <f t="shared" si="1"/>
        <v>274.8</v>
      </c>
      <c r="M590" s="17" t="s">
        <v>75</v>
      </c>
      <c r="N590" s="18">
        <v>46041.0</v>
      </c>
      <c r="O590" s="19">
        <f>SUMIF(inventory_snapshot!$B:$B,H590,inventory_snapshot!$E:$E)</f>
        <v>1732</v>
      </c>
      <c r="P590" s="24" t="str">
        <f t="shared" si="2"/>
        <v>OK</v>
      </c>
      <c r="Q590" s="24" t="str">
        <f t="shared" si="3"/>
        <v>OK</v>
      </c>
      <c r="R590" s="24" t="str">
        <f t="shared" si="4"/>
        <v>OK</v>
      </c>
      <c r="S590" s="24" t="str">
        <f t="shared" si="5"/>
        <v>Small</v>
      </c>
    </row>
    <row r="591" ht="15.75" customHeight="1">
      <c r="A591" s="25" t="s">
        <v>760</v>
      </c>
      <c r="B591" s="26">
        <v>46025.0</v>
      </c>
      <c r="C591" s="25" t="s">
        <v>708</v>
      </c>
      <c r="D591" s="27" t="str">
        <f>IFERROR(VLOOKUP(C591,customer_lookup!$A:$E,2,FALSE),"")</f>
        <v>MO Account 0105</v>
      </c>
      <c r="E591" s="27" t="str">
        <f>IFERROR(VLOOKUP(C591,customer_lookup!$A:$E,3,FALSE),"")</f>
        <v>MO</v>
      </c>
      <c r="F591" s="28" t="str">
        <f>IFERROR(VLOOKUP(C591,customer_lookup!$A:$E,5,FALSE),"")</f>
        <v>Morgan</v>
      </c>
      <c r="G591" s="25" t="s">
        <v>89</v>
      </c>
      <c r="H591" s="25" t="s">
        <v>110</v>
      </c>
      <c r="I591" s="27" t="str">
        <f>IFERROR(VLOOKUP(H591,product_lookup!$A:$D,2,FALSE),"")</f>
        <v>Elderberry 2:1 Gummies</v>
      </c>
      <c r="J591" s="29">
        <v>12.0</v>
      </c>
      <c r="K591" s="30">
        <v>10.34</v>
      </c>
      <c r="L591" s="31">
        <f t="shared" si="1"/>
        <v>124.08</v>
      </c>
      <c r="M591" s="25" t="s">
        <v>65</v>
      </c>
      <c r="N591" s="26">
        <v>46027.0</v>
      </c>
      <c r="O591" s="27">
        <f>SUMIF(inventory_snapshot!$B:$B,H591,inventory_snapshot!$E:$E)</f>
        <v>1633</v>
      </c>
      <c r="P591" s="32" t="str">
        <f t="shared" si="2"/>
        <v>OK</v>
      </c>
      <c r="Q591" s="32" t="str">
        <f t="shared" si="3"/>
        <v>OK</v>
      </c>
      <c r="R591" s="32" t="str">
        <f t="shared" si="4"/>
        <v>OK</v>
      </c>
      <c r="S591" s="32" t="str">
        <f t="shared" si="5"/>
        <v>Small</v>
      </c>
    </row>
    <row r="592" ht="15.75" customHeight="1">
      <c r="A592" s="17" t="s">
        <v>761</v>
      </c>
      <c r="B592" s="18">
        <v>46045.0</v>
      </c>
      <c r="C592" s="17" t="s">
        <v>717</v>
      </c>
      <c r="D592" s="19" t="str">
        <f>IFERROR(VLOOKUP(C592,customer_lookup!$A:$E,2,FALSE),"")</f>
        <v>OR Account 0109</v>
      </c>
      <c r="E592" s="19" t="str">
        <f>IFERROR(VLOOKUP(C592,customer_lookup!$A:$E,3,FALSE),"")</f>
        <v>OR</v>
      </c>
      <c r="F592" s="20" t="str">
        <f>IFERROR(VLOOKUP(C592,customer_lookup!$A:$E,5,FALSE),"")</f>
        <v>Morgan</v>
      </c>
      <c r="G592" s="17" t="s">
        <v>67</v>
      </c>
      <c r="H592" s="17" t="s">
        <v>154</v>
      </c>
      <c r="I592" s="19" t="str">
        <f>IFERROR(VLOOKUP(H592,product_lookup!$A:$D,2,FALSE),"")</f>
        <v>Kiwi 1:1 Gummies</v>
      </c>
      <c r="J592" s="21">
        <v>24.0</v>
      </c>
      <c r="K592" s="22">
        <v>10.95</v>
      </c>
      <c r="L592" s="23">
        <f t="shared" si="1"/>
        <v>262.8</v>
      </c>
      <c r="M592" s="17" t="s">
        <v>65</v>
      </c>
      <c r="N592" s="18">
        <v>46055.0</v>
      </c>
      <c r="O592" s="19">
        <f>SUMIF(inventory_snapshot!$B:$B,H592,inventory_snapshot!$E:$E)</f>
        <v>1136</v>
      </c>
      <c r="P592" s="24" t="str">
        <f t="shared" si="2"/>
        <v>OK</v>
      </c>
      <c r="Q592" s="24" t="str">
        <f t="shared" si="3"/>
        <v>OK</v>
      </c>
      <c r="R592" s="24" t="str">
        <f t="shared" si="4"/>
        <v>OK</v>
      </c>
      <c r="S592" s="24" t="str">
        <f t="shared" si="5"/>
        <v>Small</v>
      </c>
    </row>
    <row r="593" ht="15.75" customHeight="1">
      <c r="A593" s="25" t="s">
        <v>762</v>
      </c>
      <c r="B593" s="26">
        <v>46041.0</v>
      </c>
      <c r="C593" s="25" t="s">
        <v>729</v>
      </c>
      <c r="D593" s="27" t="str">
        <f>IFERROR(VLOOKUP(C593,customer_lookup!$A:$E,2,FALSE),"")</f>
        <v>NV Account 0054</v>
      </c>
      <c r="E593" s="27" t="str">
        <f>IFERROR(VLOOKUP(C593,customer_lookup!$A:$E,3,FALSE),"")</f>
        <v>NV</v>
      </c>
      <c r="F593" s="28" t="str">
        <f>IFERROR(VLOOKUP(C593,customer_lookup!$A:$E,5,FALSE),"")</f>
        <v>Morgan</v>
      </c>
      <c r="G593" s="25" t="s">
        <v>89</v>
      </c>
      <c r="H593" s="25" t="s">
        <v>85</v>
      </c>
      <c r="I593" s="27" t="str">
        <f>IFERROR(VLOOKUP(H593,product_lookup!$A:$D,2,FALSE),"")</f>
        <v>Huckleberry THC Gummies</v>
      </c>
      <c r="J593" s="29">
        <v>96.0</v>
      </c>
      <c r="K593" s="30">
        <v>10.43</v>
      </c>
      <c r="L593" s="31">
        <f t="shared" si="1"/>
        <v>1001.28</v>
      </c>
      <c r="M593" s="25" t="s">
        <v>65</v>
      </c>
      <c r="N593" s="26">
        <v>46043.0</v>
      </c>
      <c r="O593" s="27">
        <f>SUMIF(inventory_snapshot!$B:$B,H593,inventory_snapshot!$E:$E)</f>
        <v>1841</v>
      </c>
      <c r="P593" s="32" t="str">
        <f t="shared" si="2"/>
        <v>OK</v>
      </c>
      <c r="Q593" s="32" t="str">
        <f t="shared" si="3"/>
        <v>OK</v>
      </c>
      <c r="R593" s="32" t="str">
        <f t="shared" si="4"/>
        <v>OK</v>
      </c>
      <c r="S593" s="32" t="str">
        <f t="shared" si="5"/>
        <v>Large</v>
      </c>
    </row>
    <row r="594" ht="15.75" customHeight="1">
      <c r="A594" s="17" t="s">
        <v>763</v>
      </c>
      <c r="B594" s="18">
        <v>46135.0</v>
      </c>
      <c r="C594" s="17" t="s">
        <v>706</v>
      </c>
      <c r="D594" s="19" t="str">
        <f>IFERROR(VLOOKUP(C594,customer_lookup!$A:$E,2,FALSE),"")</f>
        <v>OR Account 0037</v>
      </c>
      <c r="E594" s="19" t="str">
        <f>IFERROR(VLOOKUP(C594,customer_lookup!$A:$E,3,FALSE),"")</f>
        <v>OR</v>
      </c>
      <c r="F594" s="20" t="str">
        <f>IFERROR(VLOOKUP(C594,customer_lookup!$A:$E,5,FALSE),"")</f>
        <v>Morgan</v>
      </c>
      <c r="G594" s="17" t="s">
        <v>67</v>
      </c>
      <c r="H594" s="17" t="s">
        <v>81</v>
      </c>
      <c r="I594" s="19" t="str">
        <f>IFERROR(VLOOKUP(H594,product_lookup!$A:$D,2,FALSE),"")</f>
        <v>Lemon Sparkling Beverage</v>
      </c>
      <c r="J594" s="21">
        <v>36.0</v>
      </c>
      <c r="K594" s="22">
        <v>7.8</v>
      </c>
      <c r="L594" s="23">
        <f t="shared" si="1"/>
        <v>280.8</v>
      </c>
      <c r="M594" s="17" t="s">
        <v>97</v>
      </c>
      <c r="N594" s="18">
        <v>46145.0</v>
      </c>
      <c r="O594" s="19">
        <f>SUMIF(inventory_snapshot!$B:$B,H594,inventory_snapshot!$E:$E)</f>
        <v>1360</v>
      </c>
      <c r="P594" s="24" t="str">
        <f t="shared" si="2"/>
        <v>OK</v>
      </c>
      <c r="Q594" s="24" t="str">
        <f t="shared" si="3"/>
        <v>OK</v>
      </c>
      <c r="R594" s="24" t="str">
        <f t="shared" si="4"/>
        <v>OK</v>
      </c>
      <c r="S594" s="24" t="str">
        <f t="shared" si="5"/>
        <v>Small</v>
      </c>
    </row>
    <row r="595" ht="15.75" customHeight="1">
      <c r="A595" s="25" t="s">
        <v>764</v>
      </c>
      <c r="B595" s="26">
        <v>46110.0</v>
      </c>
      <c r="C595" s="25" t="s">
        <v>706</v>
      </c>
      <c r="D595" s="27" t="str">
        <f>IFERROR(VLOOKUP(C595,customer_lookup!$A:$E,2,FALSE),"")</f>
        <v>OR Account 0037</v>
      </c>
      <c r="E595" s="27" t="str">
        <f>IFERROR(VLOOKUP(C595,customer_lookup!$A:$E,3,FALSE),"")</f>
        <v>OR</v>
      </c>
      <c r="F595" s="28" t="str">
        <f>IFERROR(VLOOKUP(C595,customer_lookup!$A:$E,5,FALSE),"")</f>
        <v>Morgan</v>
      </c>
      <c r="G595" s="25" t="s">
        <v>63</v>
      </c>
      <c r="H595" s="25" t="s">
        <v>102</v>
      </c>
      <c r="I595" s="27" t="str">
        <f>IFERROR(VLOOKUP(H595,product_lookup!$A:$D,2,FALSE),"")</f>
        <v>Pomegranate 1:1 Gummies</v>
      </c>
      <c r="J595" s="29">
        <v>12.0</v>
      </c>
      <c r="K595" s="30">
        <v>10.96</v>
      </c>
      <c r="L595" s="31">
        <f t="shared" si="1"/>
        <v>131.52</v>
      </c>
      <c r="M595" s="25" t="s">
        <v>97</v>
      </c>
      <c r="N595" s="26">
        <v>46116.0</v>
      </c>
      <c r="O595" s="27">
        <f>SUMIF(inventory_snapshot!$B:$B,H595,inventory_snapshot!$E:$E)</f>
        <v>1493</v>
      </c>
      <c r="P595" s="32" t="str">
        <f t="shared" si="2"/>
        <v>OK</v>
      </c>
      <c r="Q595" s="32" t="str">
        <f t="shared" si="3"/>
        <v>OK</v>
      </c>
      <c r="R595" s="32" t="str">
        <f t="shared" si="4"/>
        <v>OK</v>
      </c>
      <c r="S595" s="32" t="str">
        <f t="shared" si="5"/>
        <v>Small</v>
      </c>
    </row>
    <row r="596" ht="15.75" customHeight="1">
      <c r="A596" s="17" t="s">
        <v>765</v>
      </c>
      <c r="B596" s="18">
        <v>46106.0</v>
      </c>
      <c r="C596" s="17" t="s">
        <v>723</v>
      </c>
      <c r="D596" s="19" t="str">
        <f>IFERROR(VLOOKUP(C596,customer_lookup!$A:$E,2,FALSE),"")</f>
        <v>NV Account 0018</v>
      </c>
      <c r="E596" s="19" t="str">
        <f>IFERROR(VLOOKUP(C596,customer_lookup!$A:$E,3,FALSE),"")</f>
        <v>NV</v>
      </c>
      <c r="F596" s="20" t="str">
        <f>IFERROR(VLOOKUP(C596,customer_lookup!$A:$E,5,FALSE),"")</f>
        <v>Morgan</v>
      </c>
      <c r="G596" s="17" t="s">
        <v>63</v>
      </c>
      <c r="H596" s="17" t="s">
        <v>156</v>
      </c>
      <c r="I596" s="19" t="str">
        <f>IFERROR(VLOOKUP(H596,product_lookup!$A:$D,2,FALSE),"")</f>
        <v>Blood Orange 1:1 Gummies</v>
      </c>
      <c r="J596" s="21">
        <v>60.0</v>
      </c>
      <c r="K596" s="22">
        <v>10.99</v>
      </c>
      <c r="L596" s="23">
        <f t="shared" si="1"/>
        <v>659.4</v>
      </c>
      <c r="M596" s="17" t="s">
        <v>97</v>
      </c>
      <c r="N596" s="18">
        <v>46113.0</v>
      </c>
      <c r="O596" s="19">
        <f>SUMIF(inventory_snapshot!$B:$B,H596,inventory_snapshot!$E:$E)</f>
        <v>1589</v>
      </c>
      <c r="P596" s="24" t="str">
        <f t="shared" si="2"/>
        <v>OK</v>
      </c>
      <c r="Q596" s="24" t="str">
        <f t="shared" si="3"/>
        <v>OK</v>
      </c>
      <c r="R596" s="24" t="str">
        <f t="shared" si="4"/>
        <v>OK</v>
      </c>
      <c r="S596" s="24" t="str">
        <f t="shared" si="5"/>
        <v>Medium</v>
      </c>
    </row>
    <row r="597" ht="15.75" customHeight="1">
      <c r="A597" s="25" t="s">
        <v>766</v>
      </c>
      <c r="B597" s="26">
        <v>46046.0</v>
      </c>
      <c r="C597" s="25" t="s">
        <v>727</v>
      </c>
      <c r="D597" s="27" t="str">
        <f>IFERROR(VLOOKUP(C597,customer_lookup!$A:$E,2,FALSE),"")</f>
        <v>OK Account 0108</v>
      </c>
      <c r="E597" s="27" t="str">
        <f>IFERROR(VLOOKUP(C597,customer_lookup!$A:$E,3,FALSE),"")</f>
        <v>OK</v>
      </c>
      <c r="F597" s="28" t="str">
        <f>IFERROR(VLOOKUP(C597,customer_lookup!$A:$E,5,FALSE),"")</f>
        <v>Morgan</v>
      </c>
      <c r="G597" s="25" t="s">
        <v>63</v>
      </c>
      <c r="H597" s="25" t="s">
        <v>81</v>
      </c>
      <c r="I597" s="27" t="str">
        <f>IFERROR(VLOOKUP(H597,product_lookup!$A:$D,2,FALSE),"")</f>
        <v>Lemon Sparkling Beverage</v>
      </c>
      <c r="J597" s="29">
        <v>30.0</v>
      </c>
      <c r="K597" s="30">
        <v>6.67</v>
      </c>
      <c r="L597" s="31">
        <f t="shared" si="1"/>
        <v>200.1</v>
      </c>
      <c r="M597" s="25" t="s">
        <v>97</v>
      </c>
      <c r="N597" s="26">
        <v>46055.0</v>
      </c>
      <c r="O597" s="27">
        <f>SUMIF(inventory_snapshot!$B:$B,H597,inventory_snapshot!$E:$E)</f>
        <v>1360</v>
      </c>
      <c r="P597" s="32" t="str">
        <f t="shared" si="2"/>
        <v>OK</v>
      </c>
      <c r="Q597" s="32" t="str">
        <f t="shared" si="3"/>
        <v>OK</v>
      </c>
      <c r="R597" s="32" t="str">
        <f t="shared" si="4"/>
        <v>OK</v>
      </c>
      <c r="S597" s="32" t="str">
        <f t="shared" si="5"/>
        <v>Small</v>
      </c>
    </row>
    <row r="598" ht="15.75" customHeight="1">
      <c r="A598" s="17" t="s">
        <v>767</v>
      </c>
      <c r="B598" s="18">
        <v>46062.0</v>
      </c>
      <c r="C598" s="17" t="s">
        <v>698</v>
      </c>
      <c r="D598" s="19" t="str">
        <f>IFERROR(VLOOKUP(C598,customer_lookup!$A:$E,2,FALSE),"")</f>
        <v>AZ Account 0089</v>
      </c>
      <c r="E598" s="19" t="str">
        <f>IFERROR(VLOOKUP(C598,customer_lookup!$A:$E,3,FALSE),"")</f>
        <v>AZ</v>
      </c>
      <c r="F598" s="20" t="str">
        <f>IFERROR(VLOOKUP(C598,customer_lookup!$A:$E,5,FALSE),"")</f>
        <v>Morgan</v>
      </c>
      <c r="G598" s="17" t="s">
        <v>63</v>
      </c>
      <c r="H598" s="17" t="s">
        <v>68</v>
      </c>
      <c r="I598" s="19" t="str">
        <f>IFERROR(VLOOKUP(H598,product_lookup!$A:$D,2,FALSE),"")</f>
        <v>Sour Apple THC Gummies</v>
      </c>
      <c r="J598" s="21">
        <v>18.0</v>
      </c>
      <c r="K598" s="22">
        <v>9.67</v>
      </c>
      <c r="L598" s="23">
        <f t="shared" si="1"/>
        <v>174.06</v>
      </c>
      <c r="M598" s="17" t="s">
        <v>65</v>
      </c>
      <c r="N598" s="18">
        <v>46064.0</v>
      </c>
      <c r="O598" s="19">
        <f>SUMIF(inventory_snapshot!$B:$B,H598,inventory_snapshot!$E:$E)</f>
        <v>775</v>
      </c>
      <c r="P598" s="24" t="str">
        <f t="shared" si="2"/>
        <v>OK</v>
      </c>
      <c r="Q598" s="24" t="str">
        <f t="shared" si="3"/>
        <v>OK</v>
      </c>
      <c r="R598" s="24" t="str">
        <f t="shared" si="4"/>
        <v>OK</v>
      </c>
      <c r="S598" s="24" t="str">
        <f t="shared" si="5"/>
        <v>Small</v>
      </c>
    </row>
    <row r="599" ht="15.75" customHeight="1">
      <c r="A599" s="25" t="s">
        <v>768</v>
      </c>
      <c r="B599" s="26">
        <v>46044.0</v>
      </c>
      <c r="C599" s="25" t="s">
        <v>720</v>
      </c>
      <c r="D599" s="27" t="str">
        <f>IFERROR(VLOOKUP(C599,customer_lookup!$A:$E,2,FALSE),"")</f>
        <v>NM Account 0046</v>
      </c>
      <c r="E599" s="27" t="str">
        <f>IFERROR(VLOOKUP(C599,customer_lookup!$A:$E,3,FALSE),"")</f>
        <v>NM</v>
      </c>
      <c r="F599" s="28" t="str">
        <f>IFERROR(VLOOKUP(C599,customer_lookup!$A:$E,5,FALSE),"")</f>
        <v>Morgan</v>
      </c>
      <c r="G599" s="25" t="s">
        <v>89</v>
      </c>
      <c r="H599" s="25" t="s">
        <v>162</v>
      </c>
      <c r="I599" s="27" t="str">
        <f>IFERROR(VLOOKUP(H599,product_lookup!$A:$D,2,FALSE),"")</f>
        <v>Marionberry THC Gummies</v>
      </c>
      <c r="J599" s="29">
        <v>48.0</v>
      </c>
      <c r="K599" s="30">
        <v>9.26</v>
      </c>
      <c r="L599" s="31">
        <f t="shared" si="1"/>
        <v>444.48</v>
      </c>
      <c r="M599" s="25" t="s">
        <v>97</v>
      </c>
      <c r="N599" s="26">
        <v>46048.0</v>
      </c>
      <c r="O599" s="27">
        <f>SUMIF(inventory_snapshot!$B:$B,H599,inventory_snapshot!$E:$E)</f>
        <v>1599</v>
      </c>
      <c r="P599" s="32" t="str">
        <f t="shared" si="2"/>
        <v>OK</v>
      </c>
      <c r="Q599" s="32" t="str">
        <f t="shared" si="3"/>
        <v>OK</v>
      </c>
      <c r="R599" s="32" t="str">
        <f t="shared" si="4"/>
        <v>OK</v>
      </c>
      <c r="S599" s="32" t="str">
        <f t="shared" si="5"/>
        <v>Small</v>
      </c>
    </row>
    <row r="600" ht="15.75" customHeight="1">
      <c r="A600" s="17" t="s">
        <v>769</v>
      </c>
      <c r="B600" s="18">
        <v>46129.0</v>
      </c>
      <c r="C600" s="17" t="s">
        <v>723</v>
      </c>
      <c r="D600" s="19" t="str">
        <f>IFERROR(VLOOKUP(C600,customer_lookup!$A:$E,2,FALSE),"")</f>
        <v>NV Account 0018</v>
      </c>
      <c r="E600" s="19" t="str">
        <f>IFERROR(VLOOKUP(C600,customer_lookup!$A:$E,3,FALSE),"")</f>
        <v>NV</v>
      </c>
      <c r="F600" s="20" t="str">
        <f>IFERROR(VLOOKUP(C600,customer_lookup!$A:$E,5,FALSE),"")</f>
        <v>Morgan</v>
      </c>
      <c r="G600" s="17" t="s">
        <v>63</v>
      </c>
      <c r="H600" s="17" t="s">
        <v>108</v>
      </c>
      <c r="I600" s="19" t="str">
        <f>IFERROR(VLOOKUP(H600,product_lookup!$A:$D,2,FALSE),"")</f>
        <v>Sour Tangerine THC Gummies</v>
      </c>
      <c r="J600" s="21">
        <v>12.0</v>
      </c>
      <c r="K600" s="22">
        <v>10.77</v>
      </c>
      <c r="L600" s="23">
        <f t="shared" si="1"/>
        <v>129.24</v>
      </c>
      <c r="M600" s="17" t="s">
        <v>65</v>
      </c>
      <c r="N600" s="18">
        <v>46131.0</v>
      </c>
      <c r="O600" s="19">
        <f>SUMIF(inventory_snapshot!$B:$B,H600,inventory_snapshot!$E:$E)</f>
        <v>1679</v>
      </c>
      <c r="P600" s="24" t="str">
        <f t="shared" si="2"/>
        <v>OK</v>
      </c>
      <c r="Q600" s="24" t="str">
        <f t="shared" si="3"/>
        <v>OK</v>
      </c>
      <c r="R600" s="24" t="str">
        <f t="shared" si="4"/>
        <v>OK</v>
      </c>
      <c r="S600" s="24" t="str">
        <f t="shared" si="5"/>
        <v>Small</v>
      </c>
    </row>
    <row r="601" ht="15.75" customHeight="1">
      <c r="A601" s="25" t="s">
        <v>770</v>
      </c>
      <c r="B601" s="26">
        <v>46129.0</v>
      </c>
      <c r="C601" s="25" t="s">
        <v>704</v>
      </c>
      <c r="D601" s="27" t="str">
        <f>IFERROR(VLOOKUP(C601,customer_lookup!$A:$E,2,FALSE),"")</f>
        <v>CO Account 0100</v>
      </c>
      <c r="E601" s="27" t="str">
        <f>IFERROR(VLOOKUP(C601,customer_lookup!$A:$E,3,FALSE),"")</f>
        <v>CO</v>
      </c>
      <c r="F601" s="28" t="str">
        <f>IFERROR(VLOOKUP(C601,customer_lookup!$A:$E,5,FALSE),"")</f>
        <v>Morgan</v>
      </c>
      <c r="G601" s="25" t="s">
        <v>63</v>
      </c>
      <c r="H601" s="25" t="s">
        <v>115</v>
      </c>
      <c r="I601" s="27" t="str">
        <f>IFERROR(VLOOKUP(H601,product_lookup!$A:$D,2,FALSE),"")</f>
        <v>Pear 1:1 Gummies</v>
      </c>
      <c r="J601" s="29">
        <v>72.0</v>
      </c>
      <c r="K601" s="30">
        <v>12.31</v>
      </c>
      <c r="L601" s="31">
        <f t="shared" si="1"/>
        <v>886.32</v>
      </c>
      <c r="M601" s="25" t="s">
        <v>97</v>
      </c>
      <c r="N601" s="26">
        <v>46132.0</v>
      </c>
      <c r="O601" s="27">
        <f>SUMIF(inventory_snapshot!$B:$B,H601,inventory_snapshot!$E:$E)</f>
        <v>981</v>
      </c>
      <c r="P601" s="32" t="str">
        <f t="shared" si="2"/>
        <v>OK</v>
      </c>
      <c r="Q601" s="32" t="str">
        <f t="shared" si="3"/>
        <v>OK</v>
      </c>
      <c r="R601" s="32" t="str">
        <f t="shared" si="4"/>
        <v>OK</v>
      </c>
      <c r="S601" s="32" t="str">
        <f t="shared" si="5"/>
        <v>Medium</v>
      </c>
    </row>
    <row r="602" ht="15.75" customHeight="1">
      <c r="A602" s="17" t="s">
        <v>771</v>
      </c>
      <c r="B602" s="18">
        <v>46134.0</v>
      </c>
      <c r="C602" s="17" t="s">
        <v>708</v>
      </c>
      <c r="D602" s="19" t="str">
        <f>IFERROR(VLOOKUP(C602,customer_lookup!$A:$E,2,FALSE),"")</f>
        <v>MO Account 0105</v>
      </c>
      <c r="E602" s="19" t="str">
        <f>IFERROR(VLOOKUP(C602,customer_lookup!$A:$E,3,FALSE),"")</f>
        <v>MO</v>
      </c>
      <c r="F602" s="20" t="str">
        <f>IFERROR(VLOOKUP(C602,customer_lookup!$A:$E,5,FALSE),"")</f>
        <v>Morgan</v>
      </c>
      <c r="G602" s="17" t="s">
        <v>67</v>
      </c>
      <c r="H602" s="17" t="s">
        <v>154</v>
      </c>
      <c r="I602" s="19" t="str">
        <f>IFERROR(VLOOKUP(H602,product_lookup!$A:$D,2,FALSE),"")</f>
        <v>Kiwi 1:1 Gummies</v>
      </c>
      <c r="J602" s="21">
        <v>6.0</v>
      </c>
      <c r="K602" s="22">
        <v>11.51</v>
      </c>
      <c r="L602" s="23">
        <f t="shared" si="1"/>
        <v>69.06</v>
      </c>
      <c r="M602" s="17" t="s">
        <v>97</v>
      </c>
      <c r="N602" s="18">
        <v>46141.0</v>
      </c>
      <c r="O602" s="19">
        <f>SUMIF(inventory_snapshot!$B:$B,H602,inventory_snapshot!$E:$E)</f>
        <v>1136</v>
      </c>
      <c r="P602" s="24" t="str">
        <f t="shared" si="2"/>
        <v>OK</v>
      </c>
      <c r="Q602" s="24" t="str">
        <f t="shared" si="3"/>
        <v>OK</v>
      </c>
      <c r="R602" s="24" t="str">
        <f t="shared" si="4"/>
        <v>OK</v>
      </c>
      <c r="S602" s="24" t="str">
        <f t="shared" si="5"/>
        <v>Small</v>
      </c>
    </row>
    <row r="603" ht="15.75" customHeight="1">
      <c r="A603" s="25" t="s">
        <v>772</v>
      </c>
      <c r="B603" s="26">
        <v>46074.0</v>
      </c>
      <c r="C603" s="25" t="s">
        <v>700</v>
      </c>
      <c r="D603" s="27" t="str">
        <f>IFERROR(VLOOKUP(C603,customer_lookup!$A:$E,2,FALSE),"")</f>
        <v>CA Account 0003</v>
      </c>
      <c r="E603" s="27" t="str">
        <f>IFERROR(VLOOKUP(C603,customer_lookup!$A:$E,3,FALSE),"")</f>
        <v>CA</v>
      </c>
      <c r="F603" s="28" t="str">
        <f>IFERROR(VLOOKUP(C603,customer_lookup!$A:$E,5,FALSE),"")</f>
        <v>Morgan</v>
      </c>
      <c r="G603" s="25" t="s">
        <v>89</v>
      </c>
      <c r="H603" s="25" t="s">
        <v>78</v>
      </c>
      <c r="I603" s="27" t="str">
        <f>IFERROR(VLOOKUP(H603,product_lookup!$A:$D,2,FALSE),"")</f>
        <v>Grapefruit 1:1:1 Gummies</v>
      </c>
      <c r="J603" s="29">
        <v>48.0</v>
      </c>
      <c r="K603" s="30">
        <v>9.75</v>
      </c>
      <c r="L603" s="31">
        <f t="shared" si="1"/>
        <v>468</v>
      </c>
      <c r="M603" s="25" t="s">
        <v>65</v>
      </c>
      <c r="N603" s="26">
        <v>46084.0</v>
      </c>
      <c r="O603" s="27">
        <f>SUMIF(inventory_snapshot!$B:$B,H603,inventory_snapshot!$E:$E)</f>
        <v>1751</v>
      </c>
      <c r="P603" s="32" t="str">
        <f t="shared" si="2"/>
        <v>OK</v>
      </c>
      <c r="Q603" s="32" t="str">
        <f t="shared" si="3"/>
        <v>OK</v>
      </c>
      <c r="R603" s="32" t="str">
        <f t="shared" si="4"/>
        <v>OK</v>
      </c>
      <c r="S603" s="32" t="str">
        <f t="shared" si="5"/>
        <v>Small</v>
      </c>
    </row>
    <row r="604" ht="15.75" customHeight="1">
      <c r="A604" s="17" t="s">
        <v>773</v>
      </c>
      <c r="B604" s="18">
        <v>46036.0</v>
      </c>
      <c r="C604" s="17" t="s">
        <v>708</v>
      </c>
      <c r="D604" s="19" t="str">
        <f>IFERROR(VLOOKUP(C604,customer_lookup!$A:$E,2,FALSE),"")</f>
        <v>MO Account 0105</v>
      </c>
      <c r="E604" s="19" t="str">
        <f>IFERROR(VLOOKUP(C604,customer_lookup!$A:$E,3,FALSE),"")</f>
        <v>MO</v>
      </c>
      <c r="F604" s="20" t="str">
        <f>IFERROR(VLOOKUP(C604,customer_lookup!$A:$E,5,FALSE),"")</f>
        <v>Morgan</v>
      </c>
      <c r="G604" s="17" t="s">
        <v>63</v>
      </c>
      <c r="H604" s="17" t="s">
        <v>85</v>
      </c>
      <c r="I604" s="19" t="str">
        <f>IFERROR(VLOOKUP(H604,product_lookup!$A:$D,2,FALSE),"")</f>
        <v>Huckleberry THC Gummies</v>
      </c>
      <c r="J604" s="21">
        <v>48.0</v>
      </c>
      <c r="K604" s="22">
        <v>10.57</v>
      </c>
      <c r="L604" s="23">
        <f t="shared" si="1"/>
        <v>507.36</v>
      </c>
      <c r="M604" s="17" t="s">
        <v>65</v>
      </c>
      <c r="N604" s="18">
        <v>46043.0</v>
      </c>
      <c r="O604" s="19">
        <f>SUMIF(inventory_snapshot!$B:$B,H604,inventory_snapshot!$E:$E)</f>
        <v>1841</v>
      </c>
      <c r="P604" s="24" t="str">
        <f t="shared" si="2"/>
        <v>OK</v>
      </c>
      <c r="Q604" s="24" t="str">
        <f t="shared" si="3"/>
        <v>OK</v>
      </c>
      <c r="R604" s="24" t="str">
        <f t="shared" si="4"/>
        <v>OK</v>
      </c>
      <c r="S604" s="24" t="str">
        <f t="shared" si="5"/>
        <v>Medium</v>
      </c>
    </row>
    <row r="605" ht="15.75" customHeight="1">
      <c r="A605" s="25" t="s">
        <v>774</v>
      </c>
      <c r="B605" s="26">
        <v>46058.0</v>
      </c>
      <c r="C605" s="25" t="s">
        <v>698</v>
      </c>
      <c r="D605" s="27" t="str">
        <f>IFERROR(VLOOKUP(C605,customer_lookup!$A:$E,2,FALSE),"")</f>
        <v>AZ Account 0089</v>
      </c>
      <c r="E605" s="27" t="str">
        <f>IFERROR(VLOOKUP(C605,customer_lookup!$A:$E,3,FALSE),"")</f>
        <v>AZ</v>
      </c>
      <c r="F605" s="28" t="str">
        <f>IFERROR(VLOOKUP(C605,customer_lookup!$A:$E,5,FALSE),"")</f>
        <v>Morgan</v>
      </c>
      <c r="G605" s="25" t="s">
        <v>63</v>
      </c>
      <c r="H605" s="25" t="s">
        <v>123</v>
      </c>
      <c r="I605" s="27" t="str">
        <f>IFERROR(VLOOKUP(H605,product_lookup!$A:$D,2,FALSE),"")</f>
        <v>Peach 2:1 Gummies</v>
      </c>
      <c r="J605" s="29">
        <v>48.0</v>
      </c>
      <c r="K605" s="30">
        <v>11.75</v>
      </c>
      <c r="L605" s="31">
        <f t="shared" si="1"/>
        <v>564</v>
      </c>
      <c r="M605" s="25" t="s">
        <v>93</v>
      </c>
      <c r="N605" s="26">
        <v>46061.0</v>
      </c>
      <c r="O605" s="27">
        <f>SUMIF(inventory_snapshot!$B:$B,H605,inventory_snapshot!$E:$E)</f>
        <v>1732</v>
      </c>
      <c r="P605" s="32" t="str">
        <f t="shared" si="2"/>
        <v>OK</v>
      </c>
      <c r="Q605" s="32" t="str">
        <f t="shared" si="3"/>
        <v>OK</v>
      </c>
      <c r="R605" s="32" t="str">
        <f t="shared" si="4"/>
        <v>OK</v>
      </c>
      <c r="S605" s="32" t="str">
        <f t="shared" si="5"/>
        <v>Medium</v>
      </c>
    </row>
    <row r="606" ht="15.75" customHeight="1">
      <c r="A606" s="17" t="s">
        <v>775</v>
      </c>
      <c r="B606" s="18">
        <v>46036.0</v>
      </c>
      <c r="C606" s="17" t="s">
        <v>720</v>
      </c>
      <c r="D606" s="19" t="str">
        <f>IFERROR(VLOOKUP(C606,customer_lookup!$A:$E,2,FALSE),"")</f>
        <v>NM Account 0046</v>
      </c>
      <c r="E606" s="19" t="str">
        <f>IFERROR(VLOOKUP(C606,customer_lookup!$A:$E,3,FALSE),"")</f>
        <v>NM</v>
      </c>
      <c r="F606" s="20" t="str">
        <f>IFERROR(VLOOKUP(C606,customer_lookup!$A:$E,5,FALSE),"")</f>
        <v>Morgan</v>
      </c>
      <c r="G606" s="17" t="s">
        <v>89</v>
      </c>
      <c r="H606" s="17" t="s">
        <v>74</v>
      </c>
      <c r="I606" s="19" t="str">
        <f>IFERROR(VLOOKUP(H606,product_lookup!$A:$D,2,FALSE),"")</f>
        <v>Strawberry 20:1 Gummies</v>
      </c>
      <c r="J606" s="21">
        <v>96.0</v>
      </c>
      <c r="K606" s="22">
        <v>12.35</v>
      </c>
      <c r="L606" s="23">
        <f t="shared" si="1"/>
        <v>1185.6</v>
      </c>
      <c r="M606" s="17" t="s">
        <v>65</v>
      </c>
      <c r="N606" s="18">
        <v>46045.0</v>
      </c>
      <c r="O606" s="19">
        <f>SUMIF(inventory_snapshot!$B:$B,H606,inventory_snapshot!$E:$E)</f>
        <v>2294</v>
      </c>
      <c r="P606" s="24" t="str">
        <f t="shared" si="2"/>
        <v>OK</v>
      </c>
      <c r="Q606" s="24" t="str">
        <f t="shared" si="3"/>
        <v>OK</v>
      </c>
      <c r="R606" s="24" t="str">
        <f t="shared" si="4"/>
        <v>OK</v>
      </c>
      <c r="S606" s="24" t="str">
        <f t="shared" si="5"/>
        <v>Large</v>
      </c>
    </row>
    <row r="607" ht="15.75" customHeight="1">
      <c r="A607" s="25" t="s">
        <v>776</v>
      </c>
      <c r="B607" s="26">
        <v>46128.0</v>
      </c>
      <c r="C607" s="25" t="s">
        <v>735</v>
      </c>
      <c r="D607" s="27" t="str">
        <f>IFERROR(VLOOKUP(C607,customer_lookup!$A:$E,2,FALSE),"")</f>
        <v>OR Account 0049</v>
      </c>
      <c r="E607" s="27" t="str">
        <f>IFERROR(VLOOKUP(C607,customer_lookup!$A:$E,3,FALSE),"")</f>
        <v>OR</v>
      </c>
      <c r="F607" s="28" t="str">
        <f>IFERROR(VLOOKUP(C607,customer_lookup!$A:$E,5,FALSE),"")</f>
        <v>Morgan</v>
      </c>
      <c r="G607" s="25" t="s">
        <v>63</v>
      </c>
      <c r="H607" s="25" t="s">
        <v>106</v>
      </c>
      <c r="I607" s="27" t="str">
        <f>IFERROR(VLOOKUP(H607,product_lookup!$A:$D,2,FALSE),"")</f>
        <v>Sour Cherry THC Gummies</v>
      </c>
      <c r="J607" s="29">
        <v>120.0</v>
      </c>
      <c r="K607" s="30">
        <v>9.74</v>
      </c>
      <c r="L607" s="31">
        <f t="shared" si="1"/>
        <v>1168.8</v>
      </c>
      <c r="M607" s="25" t="s">
        <v>97</v>
      </c>
      <c r="N607" s="26">
        <v>46135.0</v>
      </c>
      <c r="O607" s="27">
        <f>SUMIF(inventory_snapshot!$B:$B,H607,inventory_snapshot!$E:$E)</f>
        <v>1313</v>
      </c>
      <c r="P607" s="32" t="str">
        <f t="shared" si="2"/>
        <v>OK</v>
      </c>
      <c r="Q607" s="32" t="str">
        <f t="shared" si="3"/>
        <v>OK</v>
      </c>
      <c r="R607" s="32" t="str">
        <f t="shared" si="4"/>
        <v>OK</v>
      </c>
      <c r="S607" s="32" t="str">
        <f t="shared" si="5"/>
        <v>Large</v>
      </c>
    </row>
    <row r="608" ht="15.75" customHeight="1">
      <c r="A608" s="17" t="s">
        <v>777</v>
      </c>
      <c r="B608" s="18">
        <v>46102.0</v>
      </c>
      <c r="C608" s="17" t="s">
        <v>712</v>
      </c>
      <c r="D608" s="19" t="str">
        <f>IFERROR(VLOOKUP(C608,customer_lookup!$A:$E,2,FALSE),"")</f>
        <v>OR Account 0013</v>
      </c>
      <c r="E608" s="19" t="str">
        <f>IFERROR(VLOOKUP(C608,customer_lookup!$A:$E,3,FALSE),"")</f>
        <v>OR</v>
      </c>
      <c r="F608" s="20" t="str">
        <f>IFERROR(VLOOKUP(C608,customer_lookup!$A:$E,5,FALSE),"")</f>
        <v>Morgan</v>
      </c>
      <c r="G608" s="17" t="s">
        <v>63</v>
      </c>
      <c r="H608" s="17" t="s">
        <v>102</v>
      </c>
      <c r="I608" s="19" t="str">
        <f>IFERROR(VLOOKUP(H608,product_lookup!$A:$D,2,FALSE),"")</f>
        <v>Pomegranate 1:1 Gummies</v>
      </c>
      <c r="J608" s="21">
        <v>12.0</v>
      </c>
      <c r="K608" s="22">
        <v>11.88</v>
      </c>
      <c r="L608" s="23">
        <f t="shared" si="1"/>
        <v>142.56</v>
      </c>
      <c r="M608" s="17" t="s">
        <v>97</v>
      </c>
      <c r="N608" s="18">
        <v>46112.0</v>
      </c>
      <c r="O608" s="19">
        <f>SUMIF(inventory_snapshot!$B:$B,H608,inventory_snapshot!$E:$E)</f>
        <v>1493</v>
      </c>
      <c r="P608" s="24" t="str">
        <f t="shared" si="2"/>
        <v>OK</v>
      </c>
      <c r="Q608" s="24" t="str">
        <f t="shared" si="3"/>
        <v>OK</v>
      </c>
      <c r="R608" s="24" t="str">
        <f t="shared" si="4"/>
        <v>OK</v>
      </c>
      <c r="S608" s="24" t="str">
        <f t="shared" si="5"/>
        <v>Small</v>
      </c>
    </row>
    <row r="609" ht="15.75" customHeight="1">
      <c r="A609" s="25" t="s">
        <v>778</v>
      </c>
      <c r="B609" s="26">
        <v>46110.0</v>
      </c>
      <c r="C609" s="25" t="s">
        <v>717</v>
      </c>
      <c r="D609" s="27" t="str">
        <f>IFERROR(VLOOKUP(C609,customer_lookup!$A:$E,2,FALSE),"")</f>
        <v>OR Account 0109</v>
      </c>
      <c r="E609" s="27" t="str">
        <f>IFERROR(VLOOKUP(C609,customer_lookup!$A:$E,3,FALSE),"")</f>
        <v>OR</v>
      </c>
      <c r="F609" s="28" t="str">
        <f>IFERROR(VLOOKUP(C609,customer_lookup!$A:$E,5,FALSE),"")</f>
        <v>Morgan</v>
      </c>
      <c r="G609" s="25" t="s">
        <v>63</v>
      </c>
      <c r="H609" s="25" t="s">
        <v>71</v>
      </c>
      <c r="I609" s="27" t="str">
        <f>IFERROR(VLOOKUP(H609,product_lookup!$A:$D,2,FALSE),"")</f>
        <v>Pineapple Sparkling Beverage</v>
      </c>
      <c r="J609" s="29">
        <v>18.0</v>
      </c>
      <c r="K609" s="30">
        <v>8.15</v>
      </c>
      <c r="L609" s="31">
        <f t="shared" si="1"/>
        <v>146.7</v>
      </c>
      <c r="M609" s="25" t="s">
        <v>97</v>
      </c>
      <c r="N609" s="26">
        <v>46120.0</v>
      </c>
      <c r="O609" s="27">
        <f>SUMIF(inventory_snapshot!$B:$B,H609,inventory_snapshot!$E:$E)</f>
        <v>1145</v>
      </c>
      <c r="P609" s="32" t="str">
        <f t="shared" si="2"/>
        <v>OK</v>
      </c>
      <c r="Q609" s="32" t="str">
        <f t="shared" si="3"/>
        <v>OK</v>
      </c>
      <c r="R609" s="32" t="str">
        <f t="shared" si="4"/>
        <v>OK</v>
      </c>
      <c r="S609" s="32" t="str">
        <f t="shared" si="5"/>
        <v>Small</v>
      </c>
    </row>
    <row r="610" ht="15.75" customHeight="1">
      <c r="A610" s="17" t="s">
        <v>779</v>
      </c>
      <c r="B610" s="18">
        <v>46077.0</v>
      </c>
      <c r="C610" s="17" t="s">
        <v>714</v>
      </c>
      <c r="D610" s="19" t="str">
        <f>IFERROR(VLOOKUP(C610,customer_lookup!$A:$E,2,FALSE),"")</f>
        <v>NV Account 0090</v>
      </c>
      <c r="E610" s="19" t="str">
        <f>IFERROR(VLOOKUP(C610,customer_lookup!$A:$E,3,FALSE),"")</f>
        <v>NV</v>
      </c>
      <c r="F610" s="20" t="str">
        <f>IFERROR(VLOOKUP(C610,customer_lookup!$A:$E,5,FALSE),"")</f>
        <v>Morgan</v>
      </c>
      <c r="G610" s="17" t="s">
        <v>67</v>
      </c>
      <c r="H610" s="17" t="s">
        <v>190</v>
      </c>
      <c r="I610" s="19" t="str">
        <f>IFERROR(VLOOKUP(H610,product_lookup!$A:$D,2,FALSE),"")</f>
        <v>Mango Sparkling Beverage</v>
      </c>
      <c r="J610" s="21">
        <v>24.0</v>
      </c>
      <c r="K610" s="22">
        <v>8.16</v>
      </c>
      <c r="L610" s="23">
        <f t="shared" si="1"/>
        <v>195.84</v>
      </c>
      <c r="M610" s="17" t="s">
        <v>65</v>
      </c>
      <c r="N610" s="18">
        <v>46083.0</v>
      </c>
      <c r="O610" s="19">
        <f>SUMIF(inventory_snapshot!$B:$B,H610,inventory_snapshot!$E:$E)</f>
        <v>1502</v>
      </c>
      <c r="P610" s="24" t="str">
        <f t="shared" si="2"/>
        <v>OK</v>
      </c>
      <c r="Q610" s="24" t="str">
        <f t="shared" si="3"/>
        <v>OK</v>
      </c>
      <c r="R610" s="24" t="str">
        <f t="shared" si="4"/>
        <v>OK</v>
      </c>
      <c r="S610" s="24" t="str">
        <f t="shared" si="5"/>
        <v>Small</v>
      </c>
    </row>
    <row r="611" ht="15.75" customHeight="1">
      <c r="A611" s="25" t="s">
        <v>780</v>
      </c>
      <c r="B611" s="26">
        <v>46109.0</v>
      </c>
      <c r="C611" s="25" t="s">
        <v>702</v>
      </c>
      <c r="D611" s="27" t="str">
        <f>IFERROR(VLOOKUP(C611,customer_lookup!$A:$E,2,FALSE),"")</f>
        <v>NM Account 0082</v>
      </c>
      <c r="E611" s="27" t="str">
        <f>IFERROR(VLOOKUP(C611,customer_lookup!$A:$E,3,FALSE),"")</f>
        <v>NM</v>
      </c>
      <c r="F611" s="28" t="str">
        <f>IFERROR(VLOOKUP(C611,customer_lookup!$A:$E,5,FALSE),"")</f>
        <v>Morgan</v>
      </c>
      <c r="G611" s="25" t="s">
        <v>63</v>
      </c>
      <c r="H611" s="25" t="s">
        <v>123</v>
      </c>
      <c r="I611" s="27" t="str">
        <f>IFERROR(VLOOKUP(H611,product_lookup!$A:$D,2,FALSE),"")</f>
        <v>Peach 2:1 Gummies</v>
      </c>
      <c r="J611" s="29">
        <v>24.0</v>
      </c>
      <c r="K611" s="30">
        <v>11.4</v>
      </c>
      <c r="L611" s="31">
        <f t="shared" si="1"/>
        <v>273.6</v>
      </c>
      <c r="M611" s="25" t="s">
        <v>75</v>
      </c>
      <c r="N611" s="26">
        <v>46118.0</v>
      </c>
      <c r="O611" s="27">
        <f>SUMIF(inventory_snapshot!$B:$B,H611,inventory_snapshot!$E:$E)</f>
        <v>1732</v>
      </c>
      <c r="P611" s="32" t="str">
        <f t="shared" si="2"/>
        <v>OK</v>
      </c>
      <c r="Q611" s="32" t="str">
        <f t="shared" si="3"/>
        <v>OK</v>
      </c>
      <c r="R611" s="32" t="str">
        <f t="shared" si="4"/>
        <v>OK</v>
      </c>
      <c r="S611" s="32" t="str">
        <f t="shared" si="5"/>
        <v>Small</v>
      </c>
    </row>
    <row r="612" ht="15.75" customHeight="1">
      <c r="A612" s="17" t="s">
        <v>781</v>
      </c>
      <c r="B612" s="18">
        <v>46049.0</v>
      </c>
      <c r="C612" s="17" t="s">
        <v>741</v>
      </c>
      <c r="D612" s="19" t="str">
        <f>IFERROR(VLOOKUP(C612,customer_lookup!$A:$E,2,FALSE),"")</f>
        <v>IL Account 0031</v>
      </c>
      <c r="E612" s="19" t="str">
        <f>IFERROR(VLOOKUP(C612,customer_lookup!$A:$E,3,FALSE),"")</f>
        <v>IL</v>
      </c>
      <c r="F612" s="20" t="str">
        <f>IFERROR(VLOOKUP(C612,customer_lookup!$A:$E,5,FALSE),"")</f>
        <v>Morgan</v>
      </c>
      <c r="G612" s="17" t="s">
        <v>63</v>
      </c>
      <c r="H612" s="17" t="s">
        <v>115</v>
      </c>
      <c r="I612" s="19" t="str">
        <f>IFERROR(VLOOKUP(H612,product_lookup!$A:$D,2,FALSE),"")</f>
        <v>Pear 1:1 Gummies</v>
      </c>
      <c r="J612" s="21">
        <v>24.0</v>
      </c>
      <c r="K612" s="22">
        <v>10.58</v>
      </c>
      <c r="L612" s="23">
        <f t="shared" si="1"/>
        <v>253.92</v>
      </c>
      <c r="M612" s="17" t="s">
        <v>97</v>
      </c>
      <c r="N612" s="18">
        <v>46052.0</v>
      </c>
      <c r="O612" s="19">
        <f>SUMIF(inventory_snapshot!$B:$B,H612,inventory_snapshot!$E:$E)</f>
        <v>981</v>
      </c>
      <c r="P612" s="24" t="str">
        <f t="shared" si="2"/>
        <v>OK</v>
      </c>
      <c r="Q612" s="24" t="str">
        <f t="shared" si="3"/>
        <v>OK</v>
      </c>
      <c r="R612" s="24" t="str">
        <f t="shared" si="4"/>
        <v>OK</v>
      </c>
      <c r="S612" s="24" t="str">
        <f t="shared" si="5"/>
        <v>Small</v>
      </c>
    </row>
    <row r="613" ht="15.75" customHeight="1">
      <c r="A613" s="25" t="s">
        <v>782</v>
      </c>
      <c r="B613" s="26">
        <v>46113.0</v>
      </c>
      <c r="C613" s="25" t="s">
        <v>733</v>
      </c>
      <c r="D613" s="27" t="str">
        <f>IFERROR(VLOOKUP(C613,customer_lookup!$A:$E,2,FALSE),"")</f>
        <v>AZ Account 0041</v>
      </c>
      <c r="E613" s="27" t="str">
        <f>IFERROR(VLOOKUP(C613,customer_lookup!$A:$E,3,FALSE),"")</f>
        <v>AZ</v>
      </c>
      <c r="F613" s="28" t="str">
        <f>IFERROR(VLOOKUP(C613,customer_lookup!$A:$E,5,FALSE),"")</f>
        <v>Morgan</v>
      </c>
      <c r="G613" s="25" t="s">
        <v>89</v>
      </c>
      <c r="H613" s="25" t="s">
        <v>102</v>
      </c>
      <c r="I613" s="27" t="str">
        <f>IFERROR(VLOOKUP(H613,product_lookup!$A:$D,2,FALSE),"")</f>
        <v>Pomegranate 1:1 Gummies</v>
      </c>
      <c r="J613" s="29">
        <v>30.0</v>
      </c>
      <c r="K613" s="30">
        <v>11.23</v>
      </c>
      <c r="L613" s="31">
        <f t="shared" si="1"/>
        <v>336.9</v>
      </c>
      <c r="M613" s="25" t="s">
        <v>75</v>
      </c>
      <c r="N613" s="26">
        <v>46119.0</v>
      </c>
      <c r="O613" s="27">
        <f>SUMIF(inventory_snapshot!$B:$B,H613,inventory_snapshot!$E:$E)</f>
        <v>1493</v>
      </c>
      <c r="P613" s="32" t="str">
        <f t="shared" si="2"/>
        <v>OK</v>
      </c>
      <c r="Q613" s="32" t="str">
        <f t="shared" si="3"/>
        <v>OK</v>
      </c>
      <c r="R613" s="32" t="str">
        <f t="shared" si="4"/>
        <v>OK</v>
      </c>
      <c r="S613" s="32" t="str">
        <f t="shared" si="5"/>
        <v>Small</v>
      </c>
    </row>
    <row r="614" ht="15.75" customHeight="1">
      <c r="A614" s="17" t="s">
        <v>783</v>
      </c>
      <c r="B614" s="18">
        <v>46103.0</v>
      </c>
      <c r="C614" s="17" t="s">
        <v>706</v>
      </c>
      <c r="D614" s="19" t="str">
        <f>IFERROR(VLOOKUP(C614,customer_lookup!$A:$E,2,FALSE),"")</f>
        <v>OR Account 0037</v>
      </c>
      <c r="E614" s="19" t="str">
        <f>IFERROR(VLOOKUP(C614,customer_lookup!$A:$E,3,FALSE),"")</f>
        <v>OR</v>
      </c>
      <c r="F614" s="20" t="str">
        <f>IFERROR(VLOOKUP(C614,customer_lookup!$A:$E,5,FALSE),"")</f>
        <v>Morgan</v>
      </c>
      <c r="G614" s="17" t="s">
        <v>63</v>
      </c>
      <c r="H614" s="17" t="s">
        <v>74</v>
      </c>
      <c r="I614" s="19" t="str">
        <f>IFERROR(VLOOKUP(H614,product_lookup!$A:$D,2,FALSE),"")</f>
        <v>Strawberry 20:1 Gummies</v>
      </c>
      <c r="J614" s="21">
        <v>18.0</v>
      </c>
      <c r="K614" s="22">
        <v>10.65</v>
      </c>
      <c r="L614" s="23">
        <f t="shared" si="1"/>
        <v>191.7</v>
      </c>
      <c r="M614" s="17" t="s">
        <v>65</v>
      </c>
      <c r="N614" s="18">
        <v>46109.0</v>
      </c>
      <c r="O614" s="19">
        <f>SUMIF(inventory_snapshot!$B:$B,H614,inventory_snapshot!$E:$E)</f>
        <v>2294</v>
      </c>
      <c r="P614" s="24" t="str">
        <f t="shared" si="2"/>
        <v>OK</v>
      </c>
      <c r="Q614" s="24" t="str">
        <f t="shared" si="3"/>
        <v>OK</v>
      </c>
      <c r="R614" s="24" t="str">
        <f t="shared" si="4"/>
        <v>OK</v>
      </c>
      <c r="S614" s="24" t="str">
        <f t="shared" si="5"/>
        <v>Small</v>
      </c>
    </row>
    <row r="615" ht="15.75" customHeight="1">
      <c r="A615" s="25" t="s">
        <v>784</v>
      </c>
      <c r="B615" s="26">
        <v>46048.0</v>
      </c>
      <c r="C615" s="25" t="s">
        <v>702</v>
      </c>
      <c r="D615" s="27" t="str">
        <f>IFERROR(VLOOKUP(C615,customer_lookup!$A:$E,2,FALSE),"")</f>
        <v>NM Account 0082</v>
      </c>
      <c r="E615" s="27" t="str">
        <f>IFERROR(VLOOKUP(C615,customer_lookup!$A:$E,3,FALSE),"")</f>
        <v>NM</v>
      </c>
      <c r="F615" s="28" t="str">
        <f>IFERROR(VLOOKUP(C615,customer_lookup!$A:$E,5,FALSE),"")</f>
        <v>Morgan</v>
      </c>
      <c r="G615" s="25" t="s">
        <v>63</v>
      </c>
      <c r="H615" s="25" t="s">
        <v>102</v>
      </c>
      <c r="I615" s="27" t="str">
        <f>IFERROR(VLOOKUP(H615,product_lookup!$A:$D,2,FALSE),"")</f>
        <v>Pomegranate 1:1 Gummies</v>
      </c>
      <c r="J615" s="29">
        <v>36.0</v>
      </c>
      <c r="K615" s="30">
        <v>11.85</v>
      </c>
      <c r="L615" s="31">
        <f t="shared" si="1"/>
        <v>426.6</v>
      </c>
      <c r="M615" s="25" t="s">
        <v>65</v>
      </c>
      <c r="N615" s="26">
        <v>46050.0</v>
      </c>
      <c r="O615" s="27">
        <f>SUMIF(inventory_snapshot!$B:$B,H615,inventory_snapshot!$E:$E)</f>
        <v>1493</v>
      </c>
      <c r="P615" s="32" t="str">
        <f t="shared" si="2"/>
        <v>OK</v>
      </c>
      <c r="Q615" s="32" t="str">
        <f t="shared" si="3"/>
        <v>OK</v>
      </c>
      <c r="R615" s="32" t="str">
        <f t="shared" si="4"/>
        <v>OK</v>
      </c>
      <c r="S615" s="32" t="str">
        <f t="shared" si="5"/>
        <v>Small</v>
      </c>
    </row>
    <row r="616" ht="15.75" customHeight="1">
      <c r="A616" s="17" t="s">
        <v>785</v>
      </c>
      <c r="B616" s="18">
        <v>46042.0</v>
      </c>
      <c r="C616" s="17" t="s">
        <v>698</v>
      </c>
      <c r="D616" s="19" t="str">
        <f>IFERROR(VLOOKUP(C616,customer_lookup!$A:$E,2,FALSE),"")</f>
        <v>AZ Account 0089</v>
      </c>
      <c r="E616" s="19" t="str">
        <f>IFERROR(VLOOKUP(C616,customer_lookup!$A:$E,3,FALSE),"")</f>
        <v>AZ</v>
      </c>
      <c r="F616" s="20" t="str">
        <f>IFERROR(VLOOKUP(C616,customer_lookup!$A:$E,5,FALSE),"")</f>
        <v>Morgan</v>
      </c>
      <c r="G616" s="17" t="s">
        <v>63</v>
      </c>
      <c r="H616" s="17" t="s">
        <v>71</v>
      </c>
      <c r="I616" s="19" t="str">
        <f>IFERROR(VLOOKUP(H616,product_lookup!$A:$D,2,FALSE),"")</f>
        <v>Pineapple Sparkling Beverage</v>
      </c>
      <c r="J616" s="21">
        <v>36.0</v>
      </c>
      <c r="K616" s="22">
        <v>8.17</v>
      </c>
      <c r="L616" s="23">
        <f t="shared" si="1"/>
        <v>294.12</v>
      </c>
      <c r="M616" s="17" t="s">
        <v>97</v>
      </c>
      <c r="N616" s="18">
        <v>46052.0</v>
      </c>
      <c r="O616" s="19">
        <f>SUMIF(inventory_snapshot!$B:$B,H616,inventory_snapshot!$E:$E)</f>
        <v>1145</v>
      </c>
      <c r="P616" s="24" t="str">
        <f t="shared" si="2"/>
        <v>OK</v>
      </c>
      <c r="Q616" s="24" t="str">
        <f t="shared" si="3"/>
        <v>OK</v>
      </c>
      <c r="R616" s="24" t="str">
        <f t="shared" si="4"/>
        <v>OK</v>
      </c>
      <c r="S616" s="24" t="str">
        <f t="shared" si="5"/>
        <v>Small</v>
      </c>
    </row>
    <row r="617" ht="15.75" customHeight="1">
      <c r="A617" s="25" t="s">
        <v>786</v>
      </c>
      <c r="B617" s="26">
        <v>46071.0</v>
      </c>
      <c r="C617" s="25" t="s">
        <v>704</v>
      </c>
      <c r="D617" s="27" t="str">
        <f>IFERROR(VLOOKUP(C617,customer_lookup!$A:$E,2,FALSE),"")</f>
        <v>CO Account 0100</v>
      </c>
      <c r="E617" s="27" t="str">
        <f>IFERROR(VLOOKUP(C617,customer_lookup!$A:$E,3,FALSE),"")</f>
        <v>CO</v>
      </c>
      <c r="F617" s="28" t="str">
        <f>IFERROR(VLOOKUP(C617,customer_lookup!$A:$E,5,FALSE),"")</f>
        <v>Morgan</v>
      </c>
      <c r="G617" s="25" t="s">
        <v>63</v>
      </c>
      <c r="H617" s="25" t="s">
        <v>190</v>
      </c>
      <c r="I617" s="27" t="str">
        <f>IFERROR(VLOOKUP(H617,product_lookup!$A:$D,2,FALSE),"")</f>
        <v>Mango Sparkling Beverage</v>
      </c>
      <c r="J617" s="29">
        <v>18.0</v>
      </c>
      <c r="K617" s="30">
        <v>8.07</v>
      </c>
      <c r="L617" s="31">
        <f t="shared" si="1"/>
        <v>145.26</v>
      </c>
      <c r="M617" s="25" t="s">
        <v>65</v>
      </c>
      <c r="N617" s="26">
        <v>46081.0</v>
      </c>
      <c r="O617" s="27">
        <f>SUMIF(inventory_snapshot!$B:$B,H617,inventory_snapshot!$E:$E)</f>
        <v>1502</v>
      </c>
      <c r="P617" s="32" t="str">
        <f t="shared" si="2"/>
        <v>OK</v>
      </c>
      <c r="Q617" s="32" t="str">
        <f t="shared" si="3"/>
        <v>OK</v>
      </c>
      <c r="R617" s="32" t="str">
        <f t="shared" si="4"/>
        <v>OK</v>
      </c>
      <c r="S617" s="32" t="str">
        <f t="shared" si="5"/>
        <v>Small</v>
      </c>
    </row>
    <row r="618" ht="15.75" customHeight="1">
      <c r="A618" s="17" t="s">
        <v>787</v>
      </c>
      <c r="B618" s="18">
        <v>46121.0</v>
      </c>
      <c r="C618" s="17" t="s">
        <v>733</v>
      </c>
      <c r="D618" s="19" t="str">
        <f>IFERROR(VLOOKUP(C618,customer_lookup!$A:$E,2,FALSE),"")</f>
        <v>AZ Account 0041</v>
      </c>
      <c r="E618" s="19" t="str">
        <f>IFERROR(VLOOKUP(C618,customer_lookup!$A:$E,3,FALSE),"")</f>
        <v>AZ</v>
      </c>
      <c r="F618" s="20" t="str">
        <f>IFERROR(VLOOKUP(C618,customer_lookup!$A:$E,5,FALSE),"")</f>
        <v>Morgan</v>
      </c>
      <c r="G618" s="17" t="s">
        <v>63</v>
      </c>
      <c r="H618" s="17" t="s">
        <v>156</v>
      </c>
      <c r="I618" s="19" t="str">
        <f>IFERROR(VLOOKUP(H618,product_lookup!$A:$D,2,FALSE),"")</f>
        <v>Blood Orange 1:1 Gummies</v>
      </c>
      <c r="J618" s="21">
        <v>30.0</v>
      </c>
      <c r="K618" s="22">
        <v>10.84</v>
      </c>
      <c r="L618" s="23">
        <f t="shared" si="1"/>
        <v>325.2</v>
      </c>
      <c r="M618" s="17" t="s">
        <v>65</v>
      </c>
      <c r="N618" s="18">
        <v>46131.0</v>
      </c>
      <c r="O618" s="19">
        <f>SUMIF(inventory_snapshot!$B:$B,H618,inventory_snapshot!$E:$E)</f>
        <v>1589</v>
      </c>
      <c r="P618" s="24" t="str">
        <f t="shared" si="2"/>
        <v>OK</v>
      </c>
      <c r="Q618" s="24" t="str">
        <f t="shared" si="3"/>
        <v>OK</v>
      </c>
      <c r="R618" s="24" t="str">
        <f t="shared" si="4"/>
        <v>OK</v>
      </c>
      <c r="S618" s="24" t="str">
        <f t="shared" si="5"/>
        <v>Small</v>
      </c>
    </row>
    <row r="619" ht="15.75" customHeight="1">
      <c r="A619" s="25" t="s">
        <v>788</v>
      </c>
      <c r="B619" s="26">
        <v>46040.0</v>
      </c>
      <c r="C619" s="25" t="s">
        <v>720</v>
      </c>
      <c r="D619" s="27" t="str">
        <f>IFERROR(VLOOKUP(C619,customer_lookup!$A:$E,2,FALSE),"")</f>
        <v>NM Account 0046</v>
      </c>
      <c r="E619" s="27" t="str">
        <f>IFERROR(VLOOKUP(C619,customer_lookup!$A:$E,3,FALSE),"")</f>
        <v>NM</v>
      </c>
      <c r="F619" s="28" t="str">
        <f>IFERROR(VLOOKUP(C619,customer_lookup!$A:$E,5,FALSE),"")</f>
        <v>Morgan</v>
      </c>
      <c r="G619" s="25" t="s">
        <v>63</v>
      </c>
      <c r="H619" s="25" t="s">
        <v>85</v>
      </c>
      <c r="I619" s="27" t="str">
        <f>IFERROR(VLOOKUP(H619,product_lookup!$A:$D,2,FALSE),"")</f>
        <v>Huckleberry THC Gummies</v>
      </c>
      <c r="J619" s="29">
        <v>30.0</v>
      </c>
      <c r="K619" s="30">
        <v>9.98</v>
      </c>
      <c r="L619" s="31">
        <f t="shared" si="1"/>
        <v>299.4</v>
      </c>
      <c r="M619" s="25" t="s">
        <v>65</v>
      </c>
      <c r="N619" s="26">
        <v>46045.0</v>
      </c>
      <c r="O619" s="27">
        <f>SUMIF(inventory_snapshot!$B:$B,H619,inventory_snapshot!$E:$E)</f>
        <v>1841</v>
      </c>
      <c r="P619" s="32" t="str">
        <f t="shared" si="2"/>
        <v>OK</v>
      </c>
      <c r="Q619" s="32" t="str">
        <f t="shared" si="3"/>
        <v>OK</v>
      </c>
      <c r="R619" s="32" t="str">
        <f t="shared" si="4"/>
        <v>OK</v>
      </c>
      <c r="S619" s="32" t="str">
        <f t="shared" si="5"/>
        <v>Small</v>
      </c>
    </row>
    <row r="620" ht="15.75" customHeight="1">
      <c r="A620" s="17" t="s">
        <v>789</v>
      </c>
      <c r="B620" s="18">
        <v>46134.0</v>
      </c>
      <c r="C620" s="17" t="s">
        <v>729</v>
      </c>
      <c r="D620" s="19" t="str">
        <f>IFERROR(VLOOKUP(C620,customer_lookup!$A:$E,2,FALSE),"")</f>
        <v>NV Account 0054</v>
      </c>
      <c r="E620" s="19" t="str">
        <f>IFERROR(VLOOKUP(C620,customer_lookup!$A:$E,3,FALSE),"")</f>
        <v>NV</v>
      </c>
      <c r="F620" s="20" t="str">
        <f>IFERROR(VLOOKUP(C620,customer_lookup!$A:$E,5,FALSE),"")</f>
        <v>Morgan</v>
      </c>
      <c r="G620" s="17" t="s">
        <v>89</v>
      </c>
      <c r="H620" s="17" t="s">
        <v>78</v>
      </c>
      <c r="I620" s="19" t="str">
        <f>IFERROR(VLOOKUP(H620,product_lookup!$A:$D,2,FALSE),"")</f>
        <v>Grapefruit 1:1:1 Gummies</v>
      </c>
      <c r="J620" s="21">
        <v>24.0</v>
      </c>
      <c r="K620" s="22">
        <v>11.28</v>
      </c>
      <c r="L620" s="23">
        <f t="shared" si="1"/>
        <v>270.72</v>
      </c>
      <c r="M620" s="17" t="s">
        <v>65</v>
      </c>
      <c r="N620" s="18">
        <v>46141.0</v>
      </c>
      <c r="O620" s="19">
        <f>SUMIF(inventory_snapshot!$B:$B,H620,inventory_snapshot!$E:$E)</f>
        <v>1751</v>
      </c>
      <c r="P620" s="24" t="str">
        <f t="shared" si="2"/>
        <v>OK</v>
      </c>
      <c r="Q620" s="24" t="str">
        <f t="shared" si="3"/>
        <v>OK</v>
      </c>
      <c r="R620" s="24" t="str">
        <f t="shared" si="4"/>
        <v>OK</v>
      </c>
      <c r="S620" s="24" t="str">
        <f t="shared" si="5"/>
        <v>Small</v>
      </c>
    </row>
    <row r="621" ht="15.75" customHeight="1">
      <c r="A621" s="25" t="s">
        <v>790</v>
      </c>
      <c r="B621" s="26">
        <v>46095.0</v>
      </c>
      <c r="C621" s="25" t="s">
        <v>733</v>
      </c>
      <c r="D621" s="27" t="str">
        <f>IFERROR(VLOOKUP(C621,customer_lookup!$A:$E,2,FALSE),"")</f>
        <v>AZ Account 0041</v>
      </c>
      <c r="E621" s="27" t="str">
        <f>IFERROR(VLOOKUP(C621,customer_lookup!$A:$E,3,FALSE),"")</f>
        <v>AZ</v>
      </c>
      <c r="F621" s="28" t="str">
        <f>IFERROR(VLOOKUP(C621,customer_lookup!$A:$E,5,FALSE),"")</f>
        <v>Morgan</v>
      </c>
      <c r="G621" s="25" t="s">
        <v>63</v>
      </c>
      <c r="H621" s="25" t="s">
        <v>81</v>
      </c>
      <c r="I621" s="27" t="str">
        <f>IFERROR(VLOOKUP(H621,product_lookup!$A:$D,2,FALSE),"")</f>
        <v>Lemon Sparkling Beverage</v>
      </c>
      <c r="J621" s="29">
        <v>18.0</v>
      </c>
      <c r="K621" s="30">
        <v>7.0</v>
      </c>
      <c r="L621" s="31">
        <f t="shared" si="1"/>
        <v>126</v>
      </c>
      <c r="M621" s="25" t="s">
        <v>65</v>
      </c>
      <c r="N621" s="26">
        <v>46102.0</v>
      </c>
      <c r="O621" s="27">
        <f>SUMIF(inventory_snapshot!$B:$B,H621,inventory_snapshot!$E:$E)</f>
        <v>1360</v>
      </c>
      <c r="P621" s="32" t="str">
        <f t="shared" si="2"/>
        <v>OK</v>
      </c>
      <c r="Q621" s="32" t="str">
        <f t="shared" si="3"/>
        <v>OK</v>
      </c>
      <c r="R621" s="32" t="str">
        <f t="shared" si="4"/>
        <v>OK</v>
      </c>
      <c r="S621" s="32" t="str">
        <f t="shared" si="5"/>
        <v>Small</v>
      </c>
    </row>
    <row r="622" ht="15.75" customHeight="1">
      <c r="A622" s="17" t="s">
        <v>791</v>
      </c>
      <c r="B622" s="18">
        <v>46064.0</v>
      </c>
      <c r="C622" s="17" t="s">
        <v>704</v>
      </c>
      <c r="D622" s="19" t="str">
        <f>IFERROR(VLOOKUP(C622,customer_lookup!$A:$E,2,FALSE),"")</f>
        <v>CO Account 0100</v>
      </c>
      <c r="E622" s="19" t="str">
        <f>IFERROR(VLOOKUP(C622,customer_lookup!$A:$E,3,FALSE),"")</f>
        <v>CO</v>
      </c>
      <c r="F622" s="20" t="str">
        <f>IFERROR(VLOOKUP(C622,customer_lookup!$A:$E,5,FALSE),"")</f>
        <v>Morgan</v>
      </c>
      <c r="G622" s="17" t="s">
        <v>67</v>
      </c>
      <c r="H622" s="17" t="s">
        <v>108</v>
      </c>
      <c r="I622" s="19" t="str">
        <f>IFERROR(VLOOKUP(H622,product_lookup!$A:$D,2,FALSE),"")</f>
        <v>Sour Tangerine THC Gummies</v>
      </c>
      <c r="J622" s="21">
        <v>120.0</v>
      </c>
      <c r="K622" s="22">
        <v>11.66</v>
      </c>
      <c r="L622" s="23">
        <f t="shared" si="1"/>
        <v>1399.2</v>
      </c>
      <c r="M622" s="17" t="s">
        <v>100</v>
      </c>
      <c r="N622" s="18">
        <v>46071.0</v>
      </c>
      <c r="O622" s="19">
        <f>SUMIF(inventory_snapshot!$B:$B,H622,inventory_snapshot!$E:$E)</f>
        <v>1679</v>
      </c>
      <c r="P622" s="24" t="str">
        <f t="shared" si="2"/>
        <v>OK</v>
      </c>
      <c r="Q622" s="24" t="str">
        <f t="shared" si="3"/>
        <v>OK</v>
      </c>
      <c r="R622" s="24" t="str">
        <f t="shared" si="4"/>
        <v>OK</v>
      </c>
      <c r="S622" s="24" t="str">
        <f t="shared" si="5"/>
        <v>Large</v>
      </c>
    </row>
    <row r="623" ht="15.75" customHeight="1">
      <c r="A623" s="25" t="s">
        <v>792</v>
      </c>
      <c r="B623" s="26">
        <v>46071.0</v>
      </c>
      <c r="C623" s="25" t="s">
        <v>714</v>
      </c>
      <c r="D623" s="27" t="str">
        <f>IFERROR(VLOOKUP(C623,customer_lookup!$A:$E,2,FALSE),"")</f>
        <v>NV Account 0090</v>
      </c>
      <c r="E623" s="27" t="str">
        <f>IFERROR(VLOOKUP(C623,customer_lookup!$A:$E,3,FALSE),"")</f>
        <v>NV</v>
      </c>
      <c r="F623" s="28" t="str">
        <f>IFERROR(VLOOKUP(C623,customer_lookup!$A:$E,5,FALSE),"")</f>
        <v>Morgan</v>
      </c>
      <c r="G623" s="25" t="s">
        <v>63</v>
      </c>
      <c r="H623" s="25" t="s">
        <v>156</v>
      </c>
      <c r="I623" s="27" t="str">
        <f>IFERROR(VLOOKUP(H623,product_lookup!$A:$D,2,FALSE),"")</f>
        <v>Blood Orange 1:1 Gummies</v>
      </c>
      <c r="J623" s="29">
        <v>96.0</v>
      </c>
      <c r="K623" s="30">
        <v>10.81</v>
      </c>
      <c r="L623" s="31">
        <f t="shared" si="1"/>
        <v>1037.76</v>
      </c>
      <c r="M623" s="25" t="s">
        <v>65</v>
      </c>
      <c r="N623" s="26">
        <v>46072.0</v>
      </c>
      <c r="O623" s="27">
        <f>SUMIF(inventory_snapshot!$B:$B,H623,inventory_snapshot!$E:$E)</f>
        <v>1589</v>
      </c>
      <c r="P623" s="32" t="str">
        <f t="shared" si="2"/>
        <v>OK</v>
      </c>
      <c r="Q623" s="32" t="str">
        <f t="shared" si="3"/>
        <v>OK</v>
      </c>
      <c r="R623" s="32" t="str">
        <f t="shared" si="4"/>
        <v>OK</v>
      </c>
      <c r="S623" s="32" t="str">
        <f t="shared" si="5"/>
        <v>Large</v>
      </c>
    </row>
    <row r="624" ht="15.75" customHeight="1">
      <c r="A624" s="17" t="s">
        <v>793</v>
      </c>
      <c r="B624" s="18">
        <v>46111.0</v>
      </c>
      <c r="C624" s="17" t="s">
        <v>720</v>
      </c>
      <c r="D624" s="19" t="str">
        <f>IFERROR(VLOOKUP(C624,customer_lookup!$A:$E,2,FALSE),"")</f>
        <v>NM Account 0046</v>
      </c>
      <c r="E624" s="19" t="str">
        <f>IFERROR(VLOOKUP(C624,customer_lookup!$A:$E,3,FALSE),"")</f>
        <v>NM</v>
      </c>
      <c r="F624" s="20" t="str">
        <f>IFERROR(VLOOKUP(C624,customer_lookup!$A:$E,5,FALSE),"")</f>
        <v>Morgan</v>
      </c>
      <c r="G624" s="17" t="s">
        <v>63</v>
      </c>
      <c r="H624" s="17" t="s">
        <v>110</v>
      </c>
      <c r="I624" s="19" t="str">
        <f>IFERROR(VLOOKUP(H624,product_lookup!$A:$D,2,FALSE),"")</f>
        <v>Elderberry 2:1 Gummies</v>
      </c>
      <c r="J624" s="21">
        <v>60.0</v>
      </c>
      <c r="K624" s="22">
        <v>10.19</v>
      </c>
      <c r="L624" s="23">
        <f t="shared" si="1"/>
        <v>611.4</v>
      </c>
      <c r="M624" s="17" t="s">
        <v>65</v>
      </c>
      <c r="N624" s="18">
        <v>46117.0</v>
      </c>
      <c r="O624" s="19">
        <f>SUMIF(inventory_snapshot!$B:$B,H624,inventory_snapshot!$E:$E)</f>
        <v>1633</v>
      </c>
      <c r="P624" s="24" t="str">
        <f t="shared" si="2"/>
        <v>OK</v>
      </c>
      <c r="Q624" s="24" t="str">
        <f t="shared" si="3"/>
        <v>OK</v>
      </c>
      <c r="R624" s="24" t="str">
        <f t="shared" si="4"/>
        <v>OK</v>
      </c>
      <c r="S624" s="24" t="str">
        <f t="shared" si="5"/>
        <v>Medium</v>
      </c>
    </row>
    <row r="625" ht="15.75" customHeight="1">
      <c r="A625" s="25" t="s">
        <v>794</v>
      </c>
      <c r="B625" s="26">
        <v>46134.0</v>
      </c>
      <c r="C625" s="25" t="s">
        <v>717</v>
      </c>
      <c r="D625" s="27" t="str">
        <f>IFERROR(VLOOKUP(C625,customer_lookup!$A:$E,2,FALSE),"")</f>
        <v>OR Account 0109</v>
      </c>
      <c r="E625" s="27" t="str">
        <f>IFERROR(VLOOKUP(C625,customer_lookup!$A:$E,3,FALSE),"")</f>
        <v>OR</v>
      </c>
      <c r="F625" s="28" t="str">
        <f>IFERROR(VLOOKUP(C625,customer_lookup!$A:$E,5,FALSE),"")</f>
        <v>Morgan</v>
      </c>
      <c r="G625" s="25" t="s">
        <v>63</v>
      </c>
      <c r="H625" s="25" t="s">
        <v>71</v>
      </c>
      <c r="I625" s="27" t="str">
        <f>IFERROR(VLOOKUP(H625,product_lookup!$A:$D,2,FALSE),"")</f>
        <v>Pineapple Sparkling Beverage</v>
      </c>
      <c r="J625" s="29">
        <v>12.0</v>
      </c>
      <c r="K625" s="30">
        <v>7.49</v>
      </c>
      <c r="L625" s="31">
        <f t="shared" si="1"/>
        <v>89.88</v>
      </c>
      <c r="M625" s="25" t="s">
        <v>93</v>
      </c>
      <c r="N625" s="26">
        <v>46139.0</v>
      </c>
      <c r="O625" s="27">
        <f>SUMIF(inventory_snapshot!$B:$B,H625,inventory_snapshot!$E:$E)</f>
        <v>1145</v>
      </c>
      <c r="P625" s="32" t="str">
        <f t="shared" si="2"/>
        <v>OK</v>
      </c>
      <c r="Q625" s="32" t="str">
        <f t="shared" si="3"/>
        <v>OK</v>
      </c>
      <c r="R625" s="32" t="str">
        <f t="shared" si="4"/>
        <v>OK</v>
      </c>
      <c r="S625" s="32" t="str">
        <f t="shared" si="5"/>
        <v>Small</v>
      </c>
    </row>
    <row r="626" ht="15.75" customHeight="1">
      <c r="A626" s="17" t="s">
        <v>795</v>
      </c>
      <c r="B626" s="18">
        <v>46064.0</v>
      </c>
      <c r="C626" s="17" t="s">
        <v>702</v>
      </c>
      <c r="D626" s="19" t="str">
        <f>IFERROR(VLOOKUP(C626,customer_lookup!$A:$E,2,FALSE),"")</f>
        <v>NM Account 0082</v>
      </c>
      <c r="E626" s="19" t="str">
        <f>IFERROR(VLOOKUP(C626,customer_lookup!$A:$E,3,FALSE),"")</f>
        <v>NM</v>
      </c>
      <c r="F626" s="20" t="str">
        <f>IFERROR(VLOOKUP(C626,customer_lookup!$A:$E,5,FALSE),"")</f>
        <v>Morgan</v>
      </c>
      <c r="G626" s="17" t="s">
        <v>63</v>
      </c>
      <c r="H626" s="17" t="s">
        <v>162</v>
      </c>
      <c r="I626" s="19" t="str">
        <f>IFERROR(VLOOKUP(H626,product_lookup!$A:$D,2,FALSE),"")</f>
        <v>Marionberry THC Gummies</v>
      </c>
      <c r="J626" s="21">
        <v>24.0</v>
      </c>
      <c r="K626" s="22">
        <v>9.62</v>
      </c>
      <c r="L626" s="23">
        <f t="shared" si="1"/>
        <v>230.88</v>
      </c>
      <c r="M626" s="17" t="s">
        <v>97</v>
      </c>
      <c r="N626" s="18">
        <v>46072.0</v>
      </c>
      <c r="O626" s="19">
        <f>SUMIF(inventory_snapshot!$B:$B,H626,inventory_snapshot!$E:$E)</f>
        <v>1599</v>
      </c>
      <c r="P626" s="24" t="str">
        <f t="shared" si="2"/>
        <v>OK</v>
      </c>
      <c r="Q626" s="24" t="str">
        <f t="shared" si="3"/>
        <v>OK</v>
      </c>
      <c r="R626" s="24" t="str">
        <f t="shared" si="4"/>
        <v>OK</v>
      </c>
      <c r="S626" s="24" t="str">
        <f t="shared" si="5"/>
        <v>Small</v>
      </c>
    </row>
    <row r="627" ht="15.75" customHeight="1">
      <c r="A627" s="25" t="s">
        <v>796</v>
      </c>
      <c r="B627" s="26">
        <v>46101.0</v>
      </c>
      <c r="C627" s="25" t="s">
        <v>698</v>
      </c>
      <c r="D627" s="27" t="str">
        <f>IFERROR(VLOOKUP(C627,customer_lookup!$A:$E,2,FALSE),"")</f>
        <v>AZ Account 0089</v>
      </c>
      <c r="E627" s="27" t="str">
        <f>IFERROR(VLOOKUP(C627,customer_lookup!$A:$E,3,FALSE),"")</f>
        <v>AZ</v>
      </c>
      <c r="F627" s="28" t="str">
        <f>IFERROR(VLOOKUP(C627,customer_lookup!$A:$E,5,FALSE),"")</f>
        <v>Morgan</v>
      </c>
      <c r="G627" s="25" t="s">
        <v>67</v>
      </c>
      <c r="H627" s="25" t="s">
        <v>74</v>
      </c>
      <c r="I627" s="27" t="str">
        <f>IFERROR(VLOOKUP(H627,product_lookup!$A:$D,2,FALSE),"")</f>
        <v>Strawberry 20:1 Gummies</v>
      </c>
      <c r="J627" s="29">
        <v>36.0</v>
      </c>
      <c r="K627" s="30">
        <v>11.07</v>
      </c>
      <c r="L627" s="31">
        <f t="shared" si="1"/>
        <v>398.52</v>
      </c>
      <c r="M627" s="25" t="s">
        <v>65</v>
      </c>
      <c r="N627" s="26">
        <v>46110.0</v>
      </c>
      <c r="O627" s="27">
        <f>SUMIF(inventory_snapshot!$B:$B,H627,inventory_snapshot!$E:$E)</f>
        <v>2294</v>
      </c>
      <c r="P627" s="32" t="str">
        <f t="shared" si="2"/>
        <v>OK</v>
      </c>
      <c r="Q627" s="32" t="str">
        <f t="shared" si="3"/>
        <v>OK</v>
      </c>
      <c r="R627" s="32" t="str">
        <f t="shared" si="4"/>
        <v>OK</v>
      </c>
      <c r="S627" s="32" t="str">
        <f t="shared" si="5"/>
        <v>Small</v>
      </c>
    </row>
    <row r="628" ht="15.75" customHeight="1">
      <c r="A628" s="17" t="s">
        <v>797</v>
      </c>
      <c r="B628" s="18">
        <v>46123.0</v>
      </c>
      <c r="C628" s="17" t="s">
        <v>714</v>
      </c>
      <c r="D628" s="19" t="str">
        <f>IFERROR(VLOOKUP(C628,customer_lookup!$A:$E,2,FALSE),"")</f>
        <v>NV Account 0090</v>
      </c>
      <c r="E628" s="19" t="str">
        <f>IFERROR(VLOOKUP(C628,customer_lookup!$A:$E,3,FALSE),"")</f>
        <v>NV</v>
      </c>
      <c r="F628" s="20" t="str">
        <f>IFERROR(VLOOKUP(C628,customer_lookup!$A:$E,5,FALSE),"")</f>
        <v>Morgan</v>
      </c>
      <c r="G628" s="17" t="s">
        <v>63</v>
      </c>
      <c r="H628" s="17" t="s">
        <v>92</v>
      </c>
      <c r="I628" s="19" t="str">
        <f>IFERROR(VLOOKUP(H628,product_lookup!$A:$D,2,FALSE),"")</f>
        <v>Raspberry THC Gummies</v>
      </c>
      <c r="J628" s="21">
        <v>36.0</v>
      </c>
      <c r="K628" s="22">
        <v>10.4</v>
      </c>
      <c r="L628" s="23">
        <f t="shared" si="1"/>
        <v>374.4</v>
      </c>
      <c r="M628" s="17" t="s">
        <v>100</v>
      </c>
      <c r="N628" s="18">
        <v>46129.0</v>
      </c>
      <c r="O628" s="19">
        <f>SUMIF(inventory_snapshot!$B:$B,H628,inventory_snapshot!$E:$E)</f>
        <v>1417</v>
      </c>
      <c r="P628" s="24" t="str">
        <f t="shared" si="2"/>
        <v>OK</v>
      </c>
      <c r="Q628" s="24" t="str">
        <f t="shared" si="3"/>
        <v>OK</v>
      </c>
      <c r="R628" s="24" t="str">
        <f t="shared" si="4"/>
        <v>OK</v>
      </c>
      <c r="S628" s="24" t="str">
        <f t="shared" si="5"/>
        <v>Small</v>
      </c>
    </row>
    <row r="629" ht="15.75" customHeight="1">
      <c r="A629" s="25" t="s">
        <v>798</v>
      </c>
      <c r="B629" s="26">
        <v>46100.0</v>
      </c>
      <c r="C629" s="25" t="s">
        <v>706</v>
      </c>
      <c r="D629" s="27" t="str">
        <f>IFERROR(VLOOKUP(C629,customer_lookup!$A:$E,2,FALSE),"")</f>
        <v>OR Account 0037</v>
      </c>
      <c r="E629" s="27" t="str">
        <f>IFERROR(VLOOKUP(C629,customer_lookup!$A:$E,3,FALSE),"")</f>
        <v>OR</v>
      </c>
      <c r="F629" s="28" t="str">
        <f>IFERROR(VLOOKUP(C629,customer_lookup!$A:$E,5,FALSE),"")</f>
        <v>Morgan</v>
      </c>
      <c r="G629" s="25" t="s">
        <v>89</v>
      </c>
      <c r="H629" s="25" t="s">
        <v>68</v>
      </c>
      <c r="I629" s="27" t="str">
        <f>IFERROR(VLOOKUP(H629,product_lookup!$A:$D,2,FALSE),"")</f>
        <v>Sour Apple THC Gummies</v>
      </c>
      <c r="J629" s="29">
        <v>96.0</v>
      </c>
      <c r="K629" s="30">
        <v>9.72</v>
      </c>
      <c r="L629" s="31">
        <f t="shared" si="1"/>
        <v>933.12</v>
      </c>
      <c r="M629" s="25" t="s">
        <v>100</v>
      </c>
      <c r="N629" s="26">
        <v>46102.0</v>
      </c>
      <c r="O629" s="27">
        <f>SUMIF(inventory_snapshot!$B:$B,H629,inventory_snapshot!$E:$E)</f>
        <v>775</v>
      </c>
      <c r="P629" s="32" t="str">
        <f t="shared" si="2"/>
        <v>OK</v>
      </c>
      <c r="Q629" s="32" t="str">
        <f t="shared" si="3"/>
        <v>OK</v>
      </c>
      <c r="R629" s="32" t="str">
        <f t="shared" si="4"/>
        <v>OK</v>
      </c>
      <c r="S629" s="32" t="str">
        <f t="shared" si="5"/>
        <v>Medium</v>
      </c>
    </row>
    <row r="630" ht="15.75" customHeight="1">
      <c r="A630" s="17" t="s">
        <v>799</v>
      </c>
      <c r="B630" s="18">
        <v>46049.0</v>
      </c>
      <c r="C630" s="17" t="s">
        <v>710</v>
      </c>
      <c r="D630" s="19" t="str">
        <f>IFERROR(VLOOKUP(C630,customer_lookup!$A:$E,2,FALSE),"")</f>
        <v>MO Account 0009</v>
      </c>
      <c r="E630" s="19" t="str">
        <f>IFERROR(VLOOKUP(C630,customer_lookup!$A:$E,3,FALSE),"")</f>
        <v>MO</v>
      </c>
      <c r="F630" s="20" t="str">
        <f>IFERROR(VLOOKUP(C630,customer_lookup!$A:$E,5,FALSE),"")</f>
        <v>Morgan</v>
      </c>
      <c r="G630" s="17" t="s">
        <v>63</v>
      </c>
      <c r="H630" s="17" t="s">
        <v>92</v>
      </c>
      <c r="I630" s="19" t="str">
        <f>IFERROR(VLOOKUP(H630,product_lookup!$A:$D,2,FALSE),"")</f>
        <v>Raspberry THC Gummies</v>
      </c>
      <c r="J630" s="21">
        <v>96.0</v>
      </c>
      <c r="K630" s="22">
        <v>10.36</v>
      </c>
      <c r="L630" s="23">
        <f t="shared" si="1"/>
        <v>994.56</v>
      </c>
      <c r="M630" s="17" t="s">
        <v>93</v>
      </c>
      <c r="N630" s="18">
        <v>46055.0</v>
      </c>
      <c r="O630" s="19">
        <f>SUMIF(inventory_snapshot!$B:$B,H630,inventory_snapshot!$E:$E)</f>
        <v>1417</v>
      </c>
      <c r="P630" s="24" t="str">
        <f t="shared" si="2"/>
        <v>OK</v>
      </c>
      <c r="Q630" s="24" t="str">
        <f t="shared" si="3"/>
        <v>OK</v>
      </c>
      <c r="R630" s="24" t="str">
        <f t="shared" si="4"/>
        <v>OK</v>
      </c>
      <c r="S630" s="24" t="str">
        <f t="shared" si="5"/>
        <v>Medium</v>
      </c>
    </row>
    <row r="631" ht="15.75" customHeight="1">
      <c r="A631" s="25" t="s">
        <v>800</v>
      </c>
      <c r="B631" s="26">
        <v>46133.0</v>
      </c>
      <c r="C631" s="25" t="s">
        <v>720</v>
      </c>
      <c r="D631" s="27" t="str">
        <f>IFERROR(VLOOKUP(C631,customer_lookup!$A:$E,2,FALSE),"")</f>
        <v>NM Account 0046</v>
      </c>
      <c r="E631" s="27" t="str">
        <f>IFERROR(VLOOKUP(C631,customer_lookup!$A:$E,3,FALSE),"")</f>
        <v>NM</v>
      </c>
      <c r="F631" s="28" t="str">
        <f>IFERROR(VLOOKUP(C631,customer_lookup!$A:$E,5,FALSE),"")</f>
        <v>Morgan</v>
      </c>
      <c r="G631" s="25" t="s">
        <v>67</v>
      </c>
      <c r="H631" s="25" t="s">
        <v>78</v>
      </c>
      <c r="I631" s="27" t="str">
        <f>IFERROR(VLOOKUP(H631,product_lookup!$A:$D,2,FALSE),"")</f>
        <v>Grapefruit 1:1:1 Gummies</v>
      </c>
      <c r="J631" s="29">
        <v>30.0</v>
      </c>
      <c r="K631" s="30">
        <v>11.54</v>
      </c>
      <c r="L631" s="31">
        <f t="shared" si="1"/>
        <v>346.2</v>
      </c>
      <c r="M631" s="25" t="s">
        <v>97</v>
      </c>
      <c r="N631" s="26">
        <v>46140.0</v>
      </c>
      <c r="O631" s="27">
        <f>SUMIF(inventory_snapshot!$B:$B,H631,inventory_snapshot!$E:$E)</f>
        <v>1751</v>
      </c>
      <c r="P631" s="32" t="str">
        <f t="shared" si="2"/>
        <v>OK</v>
      </c>
      <c r="Q631" s="32" t="str">
        <f t="shared" si="3"/>
        <v>OK</v>
      </c>
      <c r="R631" s="32" t="str">
        <f t="shared" si="4"/>
        <v>OK</v>
      </c>
      <c r="S631" s="32" t="str">
        <f t="shared" si="5"/>
        <v>Small</v>
      </c>
    </row>
    <row r="632" ht="15.75" customHeight="1">
      <c r="A632" s="17" t="s">
        <v>801</v>
      </c>
      <c r="B632" s="18">
        <v>46042.0</v>
      </c>
      <c r="C632" s="17" t="s">
        <v>727</v>
      </c>
      <c r="D632" s="19" t="str">
        <f>IFERROR(VLOOKUP(C632,customer_lookup!$A:$E,2,FALSE),"")</f>
        <v>OK Account 0108</v>
      </c>
      <c r="E632" s="19" t="str">
        <f>IFERROR(VLOOKUP(C632,customer_lookup!$A:$E,3,FALSE),"")</f>
        <v>OK</v>
      </c>
      <c r="F632" s="20" t="str">
        <f>IFERROR(VLOOKUP(C632,customer_lookup!$A:$E,5,FALSE),"")</f>
        <v>Morgan</v>
      </c>
      <c r="G632" s="17" t="s">
        <v>63</v>
      </c>
      <c r="H632" s="17" t="s">
        <v>108</v>
      </c>
      <c r="I632" s="19" t="str">
        <f>IFERROR(VLOOKUP(H632,product_lookup!$A:$D,2,FALSE),"")</f>
        <v>Sour Tangerine THC Gummies</v>
      </c>
      <c r="J632" s="21">
        <v>30.0</v>
      </c>
      <c r="K632" s="22">
        <v>11.82</v>
      </c>
      <c r="L632" s="23">
        <f t="shared" si="1"/>
        <v>354.6</v>
      </c>
      <c r="M632" s="17" t="s">
        <v>65</v>
      </c>
      <c r="N632" s="18">
        <v>46044.0</v>
      </c>
      <c r="O632" s="19">
        <f>SUMIF(inventory_snapshot!$B:$B,H632,inventory_snapshot!$E:$E)</f>
        <v>1679</v>
      </c>
      <c r="P632" s="24" t="str">
        <f t="shared" si="2"/>
        <v>OK</v>
      </c>
      <c r="Q632" s="24" t="str">
        <f t="shared" si="3"/>
        <v>OK</v>
      </c>
      <c r="R632" s="24" t="str">
        <f t="shared" si="4"/>
        <v>OK</v>
      </c>
      <c r="S632" s="24" t="str">
        <f t="shared" si="5"/>
        <v>Small</v>
      </c>
    </row>
    <row r="633" ht="15.75" customHeight="1">
      <c r="A633" s="25" t="s">
        <v>802</v>
      </c>
      <c r="B633" s="26">
        <v>46142.0</v>
      </c>
      <c r="C633" s="25" t="s">
        <v>714</v>
      </c>
      <c r="D633" s="27" t="str">
        <f>IFERROR(VLOOKUP(C633,customer_lookup!$A:$E,2,FALSE),"")</f>
        <v>NV Account 0090</v>
      </c>
      <c r="E633" s="27" t="str">
        <f>IFERROR(VLOOKUP(C633,customer_lookup!$A:$E,3,FALSE),"")</f>
        <v>NV</v>
      </c>
      <c r="F633" s="28" t="str">
        <f>IFERROR(VLOOKUP(C633,customer_lookup!$A:$E,5,FALSE),"")</f>
        <v>Morgan</v>
      </c>
      <c r="G633" s="25" t="s">
        <v>63</v>
      </c>
      <c r="H633" s="25" t="s">
        <v>71</v>
      </c>
      <c r="I633" s="27" t="str">
        <f>IFERROR(VLOOKUP(H633,product_lookup!$A:$D,2,FALSE),"")</f>
        <v>Pineapple Sparkling Beverage</v>
      </c>
      <c r="J633" s="29">
        <v>48.0</v>
      </c>
      <c r="K633" s="30">
        <v>7.94</v>
      </c>
      <c r="L633" s="31">
        <f t="shared" si="1"/>
        <v>381.12</v>
      </c>
      <c r="M633" s="25" t="s">
        <v>137</v>
      </c>
      <c r="N633" s="26">
        <v>46150.0</v>
      </c>
      <c r="O633" s="27">
        <f>SUMIF(inventory_snapshot!$B:$B,H633,inventory_snapshot!$E:$E)</f>
        <v>1145</v>
      </c>
      <c r="P633" s="32" t="str">
        <f t="shared" si="2"/>
        <v>OK</v>
      </c>
      <c r="Q633" s="32" t="str">
        <f t="shared" si="3"/>
        <v>OK</v>
      </c>
      <c r="R633" s="32" t="str">
        <f t="shared" si="4"/>
        <v>OK</v>
      </c>
      <c r="S633" s="32" t="str">
        <f t="shared" si="5"/>
        <v>Small</v>
      </c>
    </row>
    <row r="634" ht="15.75" customHeight="1">
      <c r="A634" s="17" t="s">
        <v>803</v>
      </c>
      <c r="B634" s="18">
        <v>46049.0</v>
      </c>
      <c r="C634" s="17" t="s">
        <v>702</v>
      </c>
      <c r="D634" s="19" t="str">
        <f>IFERROR(VLOOKUP(C634,customer_lookup!$A:$E,2,FALSE),"")</f>
        <v>NM Account 0082</v>
      </c>
      <c r="E634" s="19" t="str">
        <f>IFERROR(VLOOKUP(C634,customer_lookup!$A:$E,3,FALSE),"")</f>
        <v>NM</v>
      </c>
      <c r="F634" s="20" t="str">
        <f>IFERROR(VLOOKUP(C634,customer_lookup!$A:$E,5,FALSE),"")</f>
        <v>Morgan</v>
      </c>
      <c r="G634" s="17" t="s">
        <v>63</v>
      </c>
      <c r="H634" s="17" t="s">
        <v>154</v>
      </c>
      <c r="I634" s="19" t="str">
        <f>IFERROR(VLOOKUP(H634,product_lookup!$A:$D,2,FALSE),"")</f>
        <v>Kiwi 1:1 Gummies</v>
      </c>
      <c r="J634" s="21">
        <v>96.0</v>
      </c>
      <c r="K634" s="22">
        <v>11.25</v>
      </c>
      <c r="L634" s="23">
        <f t="shared" si="1"/>
        <v>1080</v>
      </c>
      <c r="M634" s="17" t="s">
        <v>97</v>
      </c>
      <c r="N634" s="18">
        <v>46051.0</v>
      </c>
      <c r="O634" s="19">
        <f>SUMIF(inventory_snapshot!$B:$B,H634,inventory_snapshot!$E:$E)</f>
        <v>1136</v>
      </c>
      <c r="P634" s="24" t="str">
        <f t="shared" si="2"/>
        <v>OK</v>
      </c>
      <c r="Q634" s="24" t="str">
        <f t="shared" si="3"/>
        <v>OK</v>
      </c>
      <c r="R634" s="24" t="str">
        <f t="shared" si="4"/>
        <v>OK</v>
      </c>
      <c r="S634" s="24" t="str">
        <f t="shared" si="5"/>
        <v>Large</v>
      </c>
    </row>
    <row r="635" ht="15.75" customHeight="1">
      <c r="A635" s="25" t="s">
        <v>804</v>
      </c>
      <c r="B635" s="26">
        <v>46101.0</v>
      </c>
      <c r="C635" s="25" t="s">
        <v>720</v>
      </c>
      <c r="D635" s="27" t="str">
        <f>IFERROR(VLOOKUP(C635,customer_lookup!$A:$E,2,FALSE),"")</f>
        <v>NM Account 0046</v>
      </c>
      <c r="E635" s="27" t="str">
        <f>IFERROR(VLOOKUP(C635,customer_lookup!$A:$E,3,FALSE),"")</f>
        <v>NM</v>
      </c>
      <c r="F635" s="28" t="str">
        <f>IFERROR(VLOOKUP(C635,customer_lookup!$A:$E,5,FALSE),"")</f>
        <v>Morgan</v>
      </c>
      <c r="G635" s="25" t="s">
        <v>63</v>
      </c>
      <c r="H635" s="25" t="s">
        <v>108</v>
      </c>
      <c r="I635" s="27" t="str">
        <f>IFERROR(VLOOKUP(H635,product_lookup!$A:$D,2,FALSE),"")</f>
        <v>Sour Tangerine THC Gummies</v>
      </c>
      <c r="J635" s="29">
        <v>120.0</v>
      </c>
      <c r="K635" s="30">
        <v>11.52</v>
      </c>
      <c r="L635" s="31">
        <f t="shared" si="1"/>
        <v>1382.4</v>
      </c>
      <c r="M635" s="25" t="s">
        <v>97</v>
      </c>
      <c r="N635" s="26">
        <v>46103.0</v>
      </c>
      <c r="O635" s="27">
        <f>SUMIF(inventory_snapshot!$B:$B,H635,inventory_snapshot!$E:$E)</f>
        <v>1679</v>
      </c>
      <c r="P635" s="32" t="str">
        <f t="shared" si="2"/>
        <v>OK</v>
      </c>
      <c r="Q635" s="32" t="str">
        <f t="shared" si="3"/>
        <v>OK</v>
      </c>
      <c r="R635" s="32" t="str">
        <f t="shared" si="4"/>
        <v>OK</v>
      </c>
      <c r="S635" s="32" t="str">
        <f t="shared" si="5"/>
        <v>Large</v>
      </c>
    </row>
    <row r="636" ht="15.75" customHeight="1">
      <c r="A636" s="17" t="s">
        <v>805</v>
      </c>
      <c r="B636" s="18">
        <v>46045.0</v>
      </c>
      <c r="C636" s="17" t="s">
        <v>708</v>
      </c>
      <c r="D636" s="19" t="str">
        <f>IFERROR(VLOOKUP(C636,customer_lookup!$A:$E,2,FALSE),"")</f>
        <v>MO Account 0105</v>
      </c>
      <c r="E636" s="19" t="str">
        <f>IFERROR(VLOOKUP(C636,customer_lookup!$A:$E,3,FALSE),"")</f>
        <v>MO</v>
      </c>
      <c r="F636" s="20" t="str">
        <f>IFERROR(VLOOKUP(C636,customer_lookup!$A:$E,5,FALSE),"")</f>
        <v>Morgan</v>
      </c>
      <c r="G636" s="17" t="s">
        <v>63</v>
      </c>
      <c r="H636" s="17" t="s">
        <v>115</v>
      </c>
      <c r="I636" s="19" t="str">
        <f>IFERROR(VLOOKUP(H636,product_lookup!$A:$D,2,FALSE),"")</f>
        <v>Pear 1:1 Gummies</v>
      </c>
      <c r="J636" s="21">
        <v>60.0</v>
      </c>
      <c r="K636" s="22">
        <v>10.28</v>
      </c>
      <c r="L636" s="23">
        <f t="shared" si="1"/>
        <v>616.8</v>
      </c>
      <c r="M636" s="17" t="s">
        <v>93</v>
      </c>
      <c r="N636" s="18">
        <v>46052.0</v>
      </c>
      <c r="O636" s="19">
        <f>SUMIF(inventory_snapshot!$B:$B,H636,inventory_snapshot!$E:$E)</f>
        <v>981</v>
      </c>
      <c r="P636" s="24" t="str">
        <f t="shared" si="2"/>
        <v>OK</v>
      </c>
      <c r="Q636" s="24" t="str">
        <f t="shared" si="3"/>
        <v>OK</v>
      </c>
      <c r="R636" s="24" t="str">
        <f t="shared" si="4"/>
        <v>OK</v>
      </c>
      <c r="S636" s="24" t="str">
        <f t="shared" si="5"/>
        <v>Medium</v>
      </c>
    </row>
    <row r="637" ht="15.75" customHeight="1">
      <c r="A637" s="25" t="s">
        <v>806</v>
      </c>
      <c r="B637" s="26">
        <v>46110.0</v>
      </c>
      <c r="C637" s="25" t="s">
        <v>720</v>
      </c>
      <c r="D637" s="27" t="str">
        <f>IFERROR(VLOOKUP(C637,customer_lookup!$A:$E,2,FALSE),"")</f>
        <v>NM Account 0046</v>
      </c>
      <c r="E637" s="27" t="str">
        <f>IFERROR(VLOOKUP(C637,customer_lookup!$A:$E,3,FALSE),"")</f>
        <v>NM</v>
      </c>
      <c r="F637" s="28" t="str">
        <f>IFERROR(VLOOKUP(C637,customer_lookup!$A:$E,5,FALSE),"")</f>
        <v>Morgan</v>
      </c>
      <c r="G637" s="25" t="s">
        <v>89</v>
      </c>
      <c r="H637" s="25" t="s">
        <v>92</v>
      </c>
      <c r="I637" s="27" t="str">
        <f>IFERROR(VLOOKUP(H637,product_lookup!$A:$D,2,FALSE),"")</f>
        <v>Raspberry THC Gummies</v>
      </c>
      <c r="J637" s="29">
        <v>30.0</v>
      </c>
      <c r="K637" s="30">
        <v>10.29</v>
      </c>
      <c r="L637" s="31">
        <f t="shared" si="1"/>
        <v>308.7</v>
      </c>
      <c r="M637" s="25" t="s">
        <v>65</v>
      </c>
      <c r="N637" s="26">
        <v>46112.0</v>
      </c>
      <c r="O637" s="27">
        <f>SUMIF(inventory_snapshot!$B:$B,H637,inventory_snapshot!$E:$E)</f>
        <v>1417</v>
      </c>
      <c r="P637" s="32" t="str">
        <f t="shared" si="2"/>
        <v>OK</v>
      </c>
      <c r="Q637" s="32" t="str">
        <f t="shared" si="3"/>
        <v>OK</v>
      </c>
      <c r="R637" s="32" t="str">
        <f t="shared" si="4"/>
        <v>OK</v>
      </c>
      <c r="S637" s="32" t="str">
        <f t="shared" si="5"/>
        <v>Small</v>
      </c>
    </row>
    <row r="638" ht="15.75" customHeight="1">
      <c r="A638" s="17" t="s">
        <v>807</v>
      </c>
      <c r="B638" s="18">
        <v>46037.0</v>
      </c>
      <c r="C638" s="17" t="s">
        <v>710</v>
      </c>
      <c r="D638" s="19" t="str">
        <f>IFERROR(VLOOKUP(C638,customer_lookup!$A:$E,2,FALSE),"")</f>
        <v>MO Account 0009</v>
      </c>
      <c r="E638" s="19" t="str">
        <f>IFERROR(VLOOKUP(C638,customer_lookup!$A:$E,3,FALSE),"")</f>
        <v>MO</v>
      </c>
      <c r="F638" s="20" t="str">
        <f>IFERROR(VLOOKUP(C638,customer_lookup!$A:$E,5,FALSE),"")</f>
        <v>Morgan</v>
      </c>
      <c r="G638" s="17" t="s">
        <v>63</v>
      </c>
      <c r="H638" s="17" t="s">
        <v>78</v>
      </c>
      <c r="I638" s="19" t="str">
        <f>IFERROR(VLOOKUP(H638,product_lookup!$A:$D,2,FALSE),"")</f>
        <v>Grapefruit 1:1:1 Gummies</v>
      </c>
      <c r="J638" s="21">
        <v>60.0</v>
      </c>
      <c r="K638" s="22">
        <v>10.95</v>
      </c>
      <c r="L638" s="23">
        <f t="shared" si="1"/>
        <v>657</v>
      </c>
      <c r="M638" s="17" t="s">
        <v>65</v>
      </c>
      <c r="N638" s="18">
        <v>46041.0</v>
      </c>
      <c r="O638" s="19">
        <f>SUMIF(inventory_snapshot!$B:$B,H638,inventory_snapshot!$E:$E)</f>
        <v>1751</v>
      </c>
      <c r="P638" s="24" t="str">
        <f t="shared" si="2"/>
        <v>OK</v>
      </c>
      <c r="Q638" s="24" t="str">
        <f t="shared" si="3"/>
        <v>OK</v>
      </c>
      <c r="R638" s="24" t="str">
        <f t="shared" si="4"/>
        <v>OK</v>
      </c>
      <c r="S638" s="24" t="str">
        <f t="shared" si="5"/>
        <v>Medium</v>
      </c>
    </row>
    <row r="639" ht="15.75" customHeight="1">
      <c r="A639" s="25" t="s">
        <v>808</v>
      </c>
      <c r="B639" s="26">
        <v>46089.0</v>
      </c>
      <c r="C639" s="25" t="s">
        <v>702</v>
      </c>
      <c r="D639" s="27" t="str">
        <f>IFERROR(VLOOKUP(C639,customer_lookup!$A:$E,2,FALSE),"")</f>
        <v>NM Account 0082</v>
      </c>
      <c r="E639" s="27" t="str">
        <f>IFERROR(VLOOKUP(C639,customer_lookup!$A:$E,3,FALSE),"")</f>
        <v>NM</v>
      </c>
      <c r="F639" s="28" t="str">
        <f>IFERROR(VLOOKUP(C639,customer_lookup!$A:$E,5,FALSE),"")</f>
        <v>Morgan</v>
      </c>
      <c r="G639" s="25" t="s">
        <v>63</v>
      </c>
      <c r="H639" s="25" t="s">
        <v>115</v>
      </c>
      <c r="I639" s="27" t="str">
        <f>IFERROR(VLOOKUP(H639,product_lookup!$A:$D,2,FALSE),"")</f>
        <v>Pear 1:1 Gummies</v>
      </c>
      <c r="J639" s="29">
        <v>60.0</v>
      </c>
      <c r="K639" s="30">
        <v>11.05</v>
      </c>
      <c r="L639" s="31">
        <f t="shared" si="1"/>
        <v>663</v>
      </c>
      <c r="M639" s="25" t="s">
        <v>93</v>
      </c>
      <c r="N639" s="26">
        <v>46090.0</v>
      </c>
      <c r="O639" s="27">
        <f>SUMIF(inventory_snapshot!$B:$B,H639,inventory_snapshot!$E:$E)</f>
        <v>981</v>
      </c>
      <c r="P639" s="32" t="str">
        <f t="shared" si="2"/>
        <v>OK</v>
      </c>
      <c r="Q639" s="32" t="str">
        <f t="shared" si="3"/>
        <v>OK</v>
      </c>
      <c r="R639" s="32" t="str">
        <f t="shared" si="4"/>
        <v>OK</v>
      </c>
      <c r="S639" s="32" t="str">
        <f t="shared" si="5"/>
        <v>Medium</v>
      </c>
    </row>
    <row r="640" ht="15.75" customHeight="1">
      <c r="A640" s="17" t="s">
        <v>809</v>
      </c>
      <c r="B640" s="18">
        <v>46047.0</v>
      </c>
      <c r="C640" s="17" t="s">
        <v>698</v>
      </c>
      <c r="D640" s="19" t="str">
        <f>IFERROR(VLOOKUP(C640,customer_lookup!$A:$E,2,FALSE),"")</f>
        <v>AZ Account 0089</v>
      </c>
      <c r="E640" s="19" t="str">
        <f>IFERROR(VLOOKUP(C640,customer_lookup!$A:$E,3,FALSE),"")</f>
        <v>AZ</v>
      </c>
      <c r="F640" s="20" t="str">
        <f>IFERROR(VLOOKUP(C640,customer_lookup!$A:$E,5,FALSE),"")</f>
        <v>Morgan</v>
      </c>
      <c r="G640" s="17" t="s">
        <v>63</v>
      </c>
      <c r="H640" s="17" t="s">
        <v>110</v>
      </c>
      <c r="I640" s="19" t="str">
        <f>IFERROR(VLOOKUP(H640,product_lookup!$A:$D,2,FALSE),"")</f>
        <v>Elderberry 2:1 Gummies</v>
      </c>
      <c r="J640" s="21">
        <v>60.0</v>
      </c>
      <c r="K640" s="22">
        <v>10.09</v>
      </c>
      <c r="L640" s="23">
        <f t="shared" si="1"/>
        <v>605.4</v>
      </c>
      <c r="M640" s="17" t="s">
        <v>75</v>
      </c>
      <c r="N640" s="18">
        <v>46049.0</v>
      </c>
      <c r="O640" s="19">
        <f>SUMIF(inventory_snapshot!$B:$B,H640,inventory_snapshot!$E:$E)</f>
        <v>1633</v>
      </c>
      <c r="P640" s="24" t="str">
        <f t="shared" si="2"/>
        <v>OK</v>
      </c>
      <c r="Q640" s="24" t="str">
        <f t="shared" si="3"/>
        <v>OK</v>
      </c>
      <c r="R640" s="24" t="str">
        <f t="shared" si="4"/>
        <v>OK</v>
      </c>
      <c r="S640" s="24" t="str">
        <f t="shared" si="5"/>
        <v>Medium</v>
      </c>
    </row>
    <row r="641" ht="15.75" customHeight="1">
      <c r="A641" s="25" t="s">
        <v>810</v>
      </c>
      <c r="B641" s="26">
        <v>46086.0</v>
      </c>
      <c r="C641" s="25" t="s">
        <v>714</v>
      </c>
      <c r="D641" s="27" t="str">
        <f>IFERROR(VLOOKUP(C641,customer_lookup!$A:$E,2,FALSE),"")</f>
        <v>NV Account 0090</v>
      </c>
      <c r="E641" s="27" t="str">
        <f>IFERROR(VLOOKUP(C641,customer_lookup!$A:$E,3,FALSE),"")</f>
        <v>NV</v>
      </c>
      <c r="F641" s="28" t="str">
        <f>IFERROR(VLOOKUP(C641,customer_lookup!$A:$E,5,FALSE),"")</f>
        <v>Morgan</v>
      </c>
      <c r="G641" s="25" t="s">
        <v>63</v>
      </c>
      <c r="H641" s="25" t="s">
        <v>85</v>
      </c>
      <c r="I641" s="27" t="str">
        <f>IFERROR(VLOOKUP(H641,product_lookup!$A:$D,2,FALSE),"")</f>
        <v>Huckleberry THC Gummies</v>
      </c>
      <c r="J641" s="29">
        <v>18.0</v>
      </c>
      <c r="K641" s="30">
        <v>11.02</v>
      </c>
      <c r="L641" s="31">
        <f t="shared" si="1"/>
        <v>198.36</v>
      </c>
      <c r="M641" s="25" t="s">
        <v>65</v>
      </c>
      <c r="N641" s="26">
        <v>46091.0</v>
      </c>
      <c r="O641" s="27">
        <f>SUMIF(inventory_snapshot!$B:$B,H641,inventory_snapshot!$E:$E)</f>
        <v>1841</v>
      </c>
      <c r="P641" s="32" t="str">
        <f t="shared" si="2"/>
        <v>OK</v>
      </c>
      <c r="Q641" s="32" t="str">
        <f t="shared" si="3"/>
        <v>OK</v>
      </c>
      <c r="R641" s="32" t="str">
        <f t="shared" si="4"/>
        <v>OK</v>
      </c>
      <c r="S641" s="32" t="str">
        <f t="shared" si="5"/>
        <v>Small</v>
      </c>
    </row>
    <row r="642" ht="15.75" customHeight="1">
      <c r="A642" s="17" t="s">
        <v>811</v>
      </c>
      <c r="B642" s="18">
        <v>46045.0</v>
      </c>
      <c r="C642" s="17" t="s">
        <v>706</v>
      </c>
      <c r="D642" s="19" t="str">
        <f>IFERROR(VLOOKUP(C642,customer_lookup!$A:$E,2,FALSE),"")</f>
        <v>OR Account 0037</v>
      </c>
      <c r="E642" s="19" t="str">
        <f>IFERROR(VLOOKUP(C642,customer_lookup!$A:$E,3,FALSE),"")</f>
        <v>OR</v>
      </c>
      <c r="F642" s="20" t="str">
        <f>IFERROR(VLOOKUP(C642,customer_lookup!$A:$E,5,FALSE),"")</f>
        <v>Morgan</v>
      </c>
      <c r="G642" s="17" t="s">
        <v>63</v>
      </c>
      <c r="H642" s="17" t="s">
        <v>154</v>
      </c>
      <c r="I642" s="19" t="str">
        <f>IFERROR(VLOOKUP(H642,product_lookup!$A:$D,2,FALSE),"")</f>
        <v>Kiwi 1:1 Gummies</v>
      </c>
      <c r="J642" s="21">
        <v>120.0</v>
      </c>
      <c r="K642" s="22">
        <v>11.38</v>
      </c>
      <c r="L642" s="23">
        <f t="shared" si="1"/>
        <v>1365.6</v>
      </c>
      <c r="M642" s="17" t="s">
        <v>97</v>
      </c>
      <c r="N642" s="18">
        <v>46051.0</v>
      </c>
      <c r="O642" s="19">
        <f>SUMIF(inventory_snapshot!$B:$B,H642,inventory_snapshot!$E:$E)</f>
        <v>1136</v>
      </c>
      <c r="P642" s="24" t="str">
        <f t="shared" si="2"/>
        <v>OK</v>
      </c>
      <c r="Q642" s="24" t="str">
        <f t="shared" si="3"/>
        <v>OK</v>
      </c>
      <c r="R642" s="24" t="str">
        <f t="shared" si="4"/>
        <v>OK</v>
      </c>
      <c r="S642" s="24" t="str">
        <f t="shared" si="5"/>
        <v>Large</v>
      </c>
    </row>
    <row r="643" ht="15.75" customHeight="1">
      <c r="A643" s="25" t="s">
        <v>812</v>
      </c>
      <c r="B643" s="26">
        <v>46109.0</v>
      </c>
      <c r="C643" s="25" t="s">
        <v>717</v>
      </c>
      <c r="D643" s="27" t="str">
        <f>IFERROR(VLOOKUP(C643,customer_lookup!$A:$E,2,FALSE),"")</f>
        <v>OR Account 0109</v>
      </c>
      <c r="E643" s="27" t="str">
        <f>IFERROR(VLOOKUP(C643,customer_lookup!$A:$E,3,FALSE),"")</f>
        <v>OR</v>
      </c>
      <c r="F643" s="28" t="str">
        <f>IFERROR(VLOOKUP(C643,customer_lookup!$A:$E,5,FALSE),"")</f>
        <v>Morgan</v>
      </c>
      <c r="G643" s="25" t="s">
        <v>63</v>
      </c>
      <c r="H643" s="25" t="s">
        <v>74</v>
      </c>
      <c r="I643" s="27" t="str">
        <f>IFERROR(VLOOKUP(H643,product_lookup!$A:$D,2,FALSE),"")</f>
        <v>Strawberry 20:1 Gummies</v>
      </c>
      <c r="J643" s="29">
        <v>120.0</v>
      </c>
      <c r="K643" s="30">
        <v>12.55</v>
      </c>
      <c r="L643" s="31">
        <f t="shared" si="1"/>
        <v>1506</v>
      </c>
      <c r="M643" s="25" t="s">
        <v>93</v>
      </c>
      <c r="N643" s="26">
        <v>46117.0</v>
      </c>
      <c r="O643" s="27">
        <f>SUMIF(inventory_snapshot!$B:$B,H643,inventory_snapshot!$E:$E)</f>
        <v>2294</v>
      </c>
      <c r="P643" s="32" t="str">
        <f t="shared" si="2"/>
        <v>OK</v>
      </c>
      <c r="Q643" s="32" t="str">
        <f t="shared" si="3"/>
        <v>OK</v>
      </c>
      <c r="R643" s="32" t="str">
        <f t="shared" si="4"/>
        <v>OK</v>
      </c>
      <c r="S643" s="32" t="str">
        <f t="shared" si="5"/>
        <v>Large</v>
      </c>
    </row>
    <row r="644" ht="15.75" customHeight="1">
      <c r="A644" s="17" t="s">
        <v>813</v>
      </c>
      <c r="B644" s="18">
        <v>46038.0</v>
      </c>
      <c r="C644" s="17" t="s">
        <v>702</v>
      </c>
      <c r="D644" s="19" t="str">
        <f>IFERROR(VLOOKUP(C644,customer_lookup!$A:$E,2,FALSE),"")</f>
        <v>NM Account 0082</v>
      </c>
      <c r="E644" s="19" t="str">
        <f>IFERROR(VLOOKUP(C644,customer_lookup!$A:$E,3,FALSE),"")</f>
        <v>NM</v>
      </c>
      <c r="F644" s="20" t="str">
        <f>IFERROR(VLOOKUP(C644,customer_lookup!$A:$E,5,FALSE),"")</f>
        <v>Morgan</v>
      </c>
      <c r="G644" s="17" t="s">
        <v>63</v>
      </c>
      <c r="H644" s="17" t="s">
        <v>90</v>
      </c>
      <c r="I644" s="19" t="str">
        <f>IFERROR(VLOOKUP(H644,product_lookup!$A:$D,2,FALSE),"")</f>
        <v>Blackberry Sparkling Beverage</v>
      </c>
      <c r="J644" s="21">
        <v>120.0</v>
      </c>
      <c r="K644" s="22">
        <v>7.75</v>
      </c>
      <c r="L644" s="23">
        <f t="shared" si="1"/>
        <v>930</v>
      </c>
      <c r="M644" s="17" t="s">
        <v>97</v>
      </c>
      <c r="N644" s="18">
        <v>46042.0</v>
      </c>
      <c r="O644" s="19">
        <f>SUMIF(inventory_snapshot!$B:$B,H644,inventory_snapshot!$E:$E)</f>
        <v>1292</v>
      </c>
      <c r="P644" s="24" t="str">
        <f t="shared" si="2"/>
        <v>OK</v>
      </c>
      <c r="Q644" s="24" t="str">
        <f t="shared" si="3"/>
        <v>OK</v>
      </c>
      <c r="R644" s="24" t="str">
        <f t="shared" si="4"/>
        <v>OK</v>
      </c>
      <c r="S644" s="24" t="str">
        <f t="shared" si="5"/>
        <v>Medium</v>
      </c>
    </row>
    <row r="645" ht="15.75" customHeight="1">
      <c r="A645" s="25" t="s">
        <v>814</v>
      </c>
      <c r="B645" s="26">
        <v>46043.0</v>
      </c>
      <c r="C645" s="25" t="s">
        <v>723</v>
      </c>
      <c r="D645" s="27" t="str">
        <f>IFERROR(VLOOKUP(C645,customer_lookup!$A:$E,2,FALSE),"")</f>
        <v>NV Account 0018</v>
      </c>
      <c r="E645" s="27" t="str">
        <f>IFERROR(VLOOKUP(C645,customer_lookup!$A:$E,3,FALSE),"")</f>
        <v>NV</v>
      </c>
      <c r="F645" s="28" t="str">
        <f>IFERROR(VLOOKUP(C645,customer_lookup!$A:$E,5,FALSE),"")</f>
        <v>Morgan</v>
      </c>
      <c r="G645" s="25" t="s">
        <v>89</v>
      </c>
      <c r="H645" s="25" t="s">
        <v>68</v>
      </c>
      <c r="I645" s="27" t="str">
        <f>IFERROR(VLOOKUP(H645,product_lookup!$A:$D,2,FALSE),"")</f>
        <v>Sour Apple THC Gummies</v>
      </c>
      <c r="J645" s="29">
        <v>6.0</v>
      </c>
      <c r="K645" s="30">
        <v>10.02</v>
      </c>
      <c r="L645" s="31">
        <f t="shared" si="1"/>
        <v>60.12</v>
      </c>
      <c r="M645" s="25" t="s">
        <v>75</v>
      </c>
      <c r="N645" s="26">
        <v>46049.0</v>
      </c>
      <c r="O645" s="27">
        <f>SUMIF(inventory_snapshot!$B:$B,H645,inventory_snapshot!$E:$E)</f>
        <v>775</v>
      </c>
      <c r="P645" s="32" t="str">
        <f t="shared" si="2"/>
        <v>OK</v>
      </c>
      <c r="Q645" s="32" t="str">
        <f t="shared" si="3"/>
        <v>OK</v>
      </c>
      <c r="R645" s="32" t="str">
        <f t="shared" si="4"/>
        <v>OK</v>
      </c>
      <c r="S645" s="32" t="str">
        <f t="shared" si="5"/>
        <v>Small</v>
      </c>
    </row>
    <row r="646" ht="15.75" customHeight="1">
      <c r="A646" s="17" t="s">
        <v>815</v>
      </c>
      <c r="B646" s="18">
        <v>46088.0</v>
      </c>
      <c r="C646" s="17" t="s">
        <v>702</v>
      </c>
      <c r="D646" s="19" t="str">
        <f>IFERROR(VLOOKUP(C646,customer_lookup!$A:$E,2,FALSE),"")</f>
        <v>NM Account 0082</v>
      </c>
      <c r="E646" s="19" t="str">
        <f>IFERROR(VLOOKUP(C646,customer_lookup!$A:$E,3,FALSE),"")</f>
        <v>NM</v>
      </c>
      <c r="F646" s="20" t="str">
        <f>IFERROR(VLOOKUP(C646,customer_lookup!$A:$E,5,FALSE),"")</f>
        <v>Morgan</v>
      </c>
      <c r="G646" s="17" t="s">
        <v>63</v>
      </c>
      <c r="H646" s="17" t="s">
        <v>110</v>
      </c>
      <c r="I646" s="19" t="str">
        <f>IFERROR(VLOOKUP(H646,product_lookup!$A:$D,2,FALSE),"")</f>
        <v>Elderberry 2:1 Gummies</v>
      </c>
      <c r="J646" s="21">
        <v>24.0</v>
      </c>
      <c r="K646" s="22">
        <v>11.59</v>
      </c>
      <c r="L646" s="23">
        <f t="shared" si="1"/>
        <v>278.16</v>
      </c>
      <c r="M646" s="17" t="s">
        <v>97</v>
      </c>
      <c r="N646" s="18">
        <v>46091.0</v>
      </c>
      <c r="O646" s="19">
        <f>SUMIF(inventory_snapshot!$B:$B,H646,inventory_snapshot!$E:$E)</f>
        <v>1633</v>
      </c>
      <c r="P646" s="24" t="str">
        <f t="shared" si="2"/>
        <v>OK</v>
      </c>
      <c r="Q646" s="24" t="str">
        <f t="shared" si="3"/>
        <v>OK</v>
      </c>
      <c r="R646" s="24" t="str">
        <f t="shared" si="4"/>
        <v>OK</v>
      </c>
      <c r="S646" s="24" t="str">
        <f t="shared" si="5"/>
        <v>Small</v>
      </c>
    </row>
    <row r="647" ht="15.75" customHeight="1">
      <c r="A647" s="25" t="s">
        <v>816</v>
      </c>
      <c r="B647" s="26">
        <v>46120.0</v>
      </c>
      <c r="C647" s="25" t="s">
        <v>712</v>
      </c>
      <c r="D647" s="27" t="str">
        <f>IFERROR(VLOOKUP(C647,customer_lookup!$A:$E,2,FALSE),"")</f>
        <v>OR Account 0013</v>
      </c>
      <c r="E647" s="27" t="str">
        <f>IFERROR(VLOOKUP(C647,customer_lookup!$A:$E,3,FALSE),"")</f>
        <v>OR</v>
      </c>
      <c r="F647" s="28" t="str">
        <f>IFERROR(VLOOKUP(C647,customer_lookup!$A:$E,5,FALSE),"")</f>
        <v>Morgan</v>
      </c>
      <c r="G647" s="25" t="s">
        <v>89</v>
      </c>
      <c r="H647" s="25" t="s">
        <v>64</v>
      </c>
      <c r="I647" s="27" t="str">
        <f>IFERROR(VLOOKUP(H647,product_lookup!$A:$D,2,FALSE),"")</f>
        <v>Cranberry Sparkling Beverage</v>
      </c>
      <c r="J647" s="29">
        <v>6.0</v>
      </c>
      <c r="K647" s="30">
        <v>7.79</v>
      </c>
      <c r="L647" s="31">
        <f t="shared" si="1"/>
        <v>46.74</v>
      </c>
      <c r="M647" s="25" t="s">
        <v>65</v>
      </c>
      <c r="N647" s="26">
        <v>46123.0</v>
      </c>
      <c r="O647" s="27">
        <f>SUMIF(inventory_snapshot!$B:$B,H647,inventory_snapshot!$E:$E)</f>
        <v>1152</v>
      </c>
      <c r="P647" s="32" t="str">
        <f t="shared" si="2"/>
        <v>OK</v>
      </c>
      <c r="Q647" s="32" t="str">
        <f t="shared" si="3"/>
        <v>OK</v>
      </c>
      <c r="R647" s="32" t="str">
        <f t="shared" si="4"/>
        <v>OK</v>
      </c>
      <c r="S647" s="32" t="str">
        <f t="shared" si="5"/>
        <v>Small</v>
      </c>
    </row>
    <row r="648" ht="15.75" customHeight="1">
      <c r="A648" s="17" t="s">
        <v>817</v>
      </c>
      <c r="B648" s="18">
        <v>46035.0</v>
      </c>
      <c r="C648" s="17" t="s">
        <v>723</v>
      </c>
      <c r="D648" s="19" t="str">
        <f>IFERROR(VLOOKUP(C648,customer_lookup!$A:$E,2,FALSE),"")</f>
        <v>NV Account 0018</v>
      </c>
      <c r="E648" s="19" t="str">
        <f>IFERROR(VLOOKUP(C648,customer_lookup!$A:$E,3,FALSE),"")</f>
        <v>NV</v>
      </c>
      <c r="F648" s="20" t="str">
        <f>IFERROR(VLOOKUP(C648,customer_lookup!$A:$E,5,FALSE),"")</f>
        <v>Morgan</v>
      </c>
      <c r="G648" s="17" t="s">
        <v>63</v>
      </c>
      <c r="H648" s="17" t="s">
        <v>156</v>
      </c>
      <c r="I648" s="19" t="str">
        <f>IFERROR(VLOOKUP(H648,product_lookup!$A:$D,2,FALSE),"")</f>
        <v>Blood Orange 1:1 Gummies</v>
      </c>
      <c r="J648" s="21">
        <v>6.0</v>
      </c>
      <c r="K648" s="22">
        <v>10.66</v>
      </c>
      <c r="L648" s="23">
        <f t="shared" si="1"/>
        <v>63.96</v>
      </c>
      <c r="M648" s="17" t="s">
        <v>65</v>
      </c>
      <c r="N648" s="18">
        <v>46038.0</v>
      </c>
      <c r="O648" s="19">
        <f>SUMIF(inventory_snapshot!$B:$B,H648,inventory_snapshot!$E:$E)</f>
        <v>1589</v>
      </c>
      <c r="P648" s="24" t="str">
        <f t="shared" si="2"/>
        <v>OK</v>
      </c>
      <c r="Q648" s="24" t="str">
        <f t="shared" si="3"/>
        <v>OK</v>
      </c>
      <c r="R648" s="24" t="str">
        <f t="shared" si="4"/>
        <v>OK</v>
      </c>
      <c r="S648" s="24" t="str">
        <f t="shared" si="5"/>
        <v>Small</v>
      </c>
    </row>
    <row r="649" ht="15.75" customHeight="1">
      <c r="A649" s="25" t="s">
        <v>818</v>
      </c>
      <c r="B649" s="26">
        <v>46136.0</v>
      </c>
      <c r="C649" s="25" t="s">
        <v>704</v>
      </c>
      <c r="D649" s="27" t="str">
        <f>IFERROR(VLOOKUP(C649,customer_lookup!$A:$E,2,FALSE),"")</f>
        <v>CO Account 0100</v>
      </c>
      <c r="E649" s="27" t="str">
        <f>IFERROR(VLOOKUP(C649,customer_lookup!$A:$E,3,FALSE),"")</f>
        <v>CO</v>
      </c>
      <c r="F649" s="28" t="str">
        <f>IFERROR(VLOOKUP(C649,customer_lookup!$A:$E,5,FALSE),"")</f>
        <v>Morgan</v>
      </c>
      <c r="G649" s="25" t="s">
        <v>67</v>
      </c>
      <c r="H649" s="25" t="s">
        <v>102</v>
      </c>
      <c r="I649" s="27" t="str">
        <f>IFERROR(VLOOKUP(H649,product_lookup!$A:$D,2,FALSE),"")</f>
        <v>Pomegranate 1:1 Gummies</v>
      </c>
      <c r="J649" s="29">
        <v>18.0</v>
      </c>
      <c r="K649" s="30">
        <v>10.98</v>
      </c>
      <c r="L649" s="31">
        <f t="shared" si="1"/>
        <v>197.64</v>
      </c>
      <c r="M649" s="25" t="s">
        <v>97</v>
      </c>
      <c r="N649" s="26">
        <v>46144.0</v>
      </c>
      <c r="O649" s="27">
        <f>SUMIF(inventory_snapshot!$B:$B,H649,inventory_snapshot!$E:$E)</f>
        <v>1493</v>
      </c>
      <c r="P649" s="32" t="str">
        <f t="shared" si="2"/>
        <v>OK</v>
      </c>
      <c r="Q649" s="32" t="str">
        <f t="shared" si="3"/>
        <v>OK</v>
      </c>
      <c r="R649" s="32" t="str">
        <f t="shared" si="4"/>
        <v>OK</v>
      </c>
      <c r="S649" s="32" t="str">
        <f t="shared" si="5"/>
        <v>Small</v>
      </c>
    </row>
    <row r="650" ht="15.75" customHeight="1">
      <c r="A650" s="17" t="s">
        <v>819</v>
      </c>
      <c r="B650" s="18">
        <v>46125.0</v>
      </c>
      <c r="C650" s="17" t="s">
        <v>710</v>
      </c>
      <c r="D650" s="19" t="str">
        <f>IFERROR(VLOOKUP(C650,customer_lookup!$A:$E,2,FALSE),"")</f>
        <v>MO Account 0009</v>
      </c>
      <c r="E650" s="19" t="str">
        <f>IFERROR(VLOOKUP(C650,customer_lookup!$A:$E,3,FALSE),"")</f>
        <v>MO</v>
      </c>
      <c r="F650" s="20" t="str">
        <f>IFERROR(VLOOKUP(C650,customer_lookup!$A:$E,5,FALSE),"")</f>
        <v>Morgan</v>
      </c>
      <c r="G650" s="17" t="s">
        <v>67</v>
      </c>
      <c r="H650" s="17" t="s">
        <v>64</v>
      </c>
      <c r="I650" s="19" t="str">
        <f>IFERROR(VLOOKUP(H650,product_lookup!$A:$D,2,FALSE),"")</f>
        <v>Cranberry Sparkling Beverage</v>
      </c>
      <c r="J650" s="21">
        <v>72.0</v>
      </c>
      <c r="K650" s="22">
        <v>7.71</v>
      </c>
      <c r="L650" s="23">
        <f t="shared" si="1"/>
        <v>555.12</v>
      </c>
      <c r="M650" s="17" t="s">
        <v>97</v>
      </c>
      <c r="N650" s="18">
        <v>46130.0</v>
      </c>
      <c r="O650" s="19">
        <f>SUMIF(inventory_snapshot!$B:$B,H650,inventory_snapshot!$E:$E)</f>
        <v>1152</v>
      </c>
      <c r="P650" s="24" t="str">
        <f t="shared" si="2"/>
        <v>OK</v>
      </c>
      <c r="Q650" s="24" t="str">
        <f t="shared" si="3"/>
        <v>OK</v>
      </c>
      <c r="R650" s="24" t="str">
        <f t="shared" si="4"/>
        <v>OK</v>
      </c>
      <c r="S650" s="24" t="str">
        <f t="shared" si="5"/>
        <v>Medium</v>
      </c>
    </row>
    <row r="651" ht="15.75" customHeight="1">
      <c r="A651" s="25" t="s">
        <v>820</v>
      </c>
      <c r="B651" s="26">
        <v>46055.0</v>
      </c>
      <c r="C651" s="25" t="s">
        <v>706</v>
      </c>
      <c r="D651" s="27" t="str">
        <f>IFERROR(VLOOKUP(C651,customer_lookup!$A:$E,2,FALSE),"")</f>
        <v>OR Account 0037</v>
      </c>
      <c r="E651" s="27" t="str">
        <f>IFERROR(VLOOKUP(C651,customer_lookup!$A:$E,3,FALSE),"")</f>
        <v>OR</v>
      </c>
      <c r="F651" s="28" t="str">
        <f>IFERROR(VLOOKUP(C651,customer_lookup!$A:$E,5,FALSE),"")</f>
        <v>Morgan</v>
      </c>
      <c r="G651" s="25" t="s">
        <v>63</v>
      </c>
      <c r="H651" s="25" t="s">
        <v>154</v>
      </c>
      <c r="I651" s="27" t="str">
        <f>IFERROR(VLOOKUP(H651,product_lookup!$A:$D,2,FALSE),"")</f>
        <v>Kiwi 1:1 Gummies</v>
      </c>
      <c r="J651" s="29">
        <v>120.0</v>
      </c>
      <c r="K651" s="30">
        <v>10.97</v>
      </c>
      <c r="L651" s="31">
        <f t="shared" si="1"/>
        <v>1316.4</v>
      </c>
      <c r="M651" s="25" t="s">
        <v>75</v>
      </c>
      <c r="N651" s="26">
        <v>46059.0</v>
      </c>
      <c r="O651" s="27">
        <f>SUMIF(inventory_snapshot!$B:$B,H651,inventory_snapshot!$E:$E)</f>
        <v>1136</v>
      </c>
      <c r="P651" s="32" t="str">
        <f t="shared" si="2"/>
        <v>OK</v>
      </c>
      <c r="Q651" s="32" t="str">
        <f t="shared" si="3"/>
        <v>OK</v>
      </c>
      <c r="R651" s="32" t="str">
        <f t="shared" si="4"/>
        <v>OK</v>
      </c>
      <c r="S651" s="32" t="str">
        <f t="shared" si="5"/>
        <v>Large</v>
      </c>
    </row>
    <row r="652" ht="15.75" customHeight="1">
      <c r="A652" s="17" t="s">
        <v>821</v>
      </c>
      <c r="B652" s="18">
        <v>46073.0</v>
      </c>
      <c r="C652" s="17" t="s">
        <v>735</v>
      </c>
      <c r="D652" s="19" t="str">
        <f>IFERROR(VLOOKUP(C652,customer_lookup!$A:$E,2,FALSE),"")</f>
        <v>OR Account 0049</v>
      </c>
      <c r="E652" s="19" t="str">
        <f>IFERROR(VLOOKUP(C652,customer_lookup!$A:$E,3,FALSE),"")</f>
        <v>OR</v>
      </c>
      <c r="F652" s="20" t="str">
        <f>IFERROR(VLOOKUP(C652,customer_lookup!$A:$E,5,FALSE),"")</f>
        <v>Morgan</v>
      </c>
      <c r="G652" s="17" t="s">
        <v>63</v>
      </c>
      <c r="H652" s="17" t="s">
        <v>102</v>
      </c>
      <c r="I652" s="19" t="str">
        <f>IFERROR(VLOOKUP(H652,product_lookup!$A:$D,2,FALSE),"")</f>
        <v>Pomegranate 1:1 Gummies</v>
      </c>
      <c r="J652" s="21">
        <v>120.0</v>
      </c>
      <c r="K652" s="22">
        <v>10.72</v>
      </c>
      <c r="L652" s="23">
        <f t="shared" si="1"/>
        <v>1286.4</v>
      </c>
      <c r="M652" s="17" t="s">
        <v>93</v>
      </c>
      <c r="N652" s="18">
        <v>46083.0</v>
      </c>
      <c r="O652" s="19">
        <f>SUMIF(inventory_snapshot!$B:$B,H652,inventory_snapshot!$E:$E)</f>
        <v>1493</v>
      </c>
      <c r="P652" s="24" t="str">
        <f t="shared" si="2"/>
        <v>OK</v>
      </c>
      <c r="Q652" s="24" t="str">
        <f t="shared" si="3"/>
        <v>OK</v>
      </c>
      <c r="R652" s="24" t="str">
        <f t="shared" si="4"/>
        <v>OK</v>
      </c>
      <c r="S652" s="24" t="str">
        <f t="shared" si="5"/>
        <v>Large</v>
      </c>
    </row>
    <row r="653" ht="15.75" customHeight="1">
      <c r="A653" s="25" t="s">
        <v>822</v>
      </c>
      <c r="B653" s="26">
        <v>46029.0</v>
      </c>
      <c r="C653" s="25" t="s">
        <v>702</v>
      </c>
      <c r="D653" s="27" t="str">
        <f>IFERROR(VLOOKUP(C653,customer_lookup!$A:$E,2,FALSE),"")</f>
        <v>NM Account 0082</v>
      </c>
      <c r="E653" s="27" t="str">
        <f>IFERROR(VLOOKUP(C653,customer_lookup!$A:$E,3,FALSE),"")</f>
        <v>NM</v>
      </c>
      <c r="F653" s="28" t="str">
        <f>IFERROR(VLOOKUP(C653,customer_lookup!$A:$E,5,FALSE),"")</f>
        <v>Morgan</v>
      </c>
      <c r="G653" s="25" t="s">
        <v>63</v>
      </c>
      <c r="H653" s="25" t="s">
        <v>74</v>
      </c>
      <c r="I653" s="27" t="str">
        <f>IFERROR(VLOOKUP(H653,product_lookup!$A:$D,2,FALSE),"")</f>
        <v>Strawberry 20:1 Gummies</v>
      </c>
      <c r="J653" s="29">
        <v>24.0</v>
      </c>
      <c r="K653" s="30">
        <v>10.69</v>
      </c>
      <c r="L653" s="31">
        <f t="shared" si="1"/>
        <v>256.56</v>
      </c>
      <c r="M653" s="25" t="s">
        <v>97</v>
      </c>
      <c r="N653" s="26">
        <v>46034.0</v>
      </c>
      <c r="O653" s="27">
        <f>SUMIF(inventory_snapshot!$B:$B,H653,inventory_snapshot!$E:$E)</f>
        <v>2294</v>
      </c>
      <c r="P653" s="32" t="str">
        <f t="shared" si="2"/>
        <v>OK</v>
      </c>
      <c r="Q653" s="32" t="str">
        <f t="shared" si="3"/>
        <v>OK</v>
      </c>
      <c r="R653" s="32" t="str">
        <f t="shared" si="4"/>
        <v>OK</v>
      </c>
      <c r="S653" s="32" t="str">
        <f t="shared" si="5"/>
        <v>Small</v>
      </c>
    </row>
    <row r="654" ht="15.75" customHeight="1">
      <c r="A654" s="17" t="s">
        <v>823</v>
      </c>
      <c r="B654" s="18">
        <v>46063.0</v>
      </c>
      <c r="C654" s="17" t="s">
        <v>729</v>
      </c>
      <c r="D654" s="19" t="str">
        <f>IFERROR(VLOOKUP(C654,customer_lookup!$A:$E,2,FALSE),"")</f>
        <v>NV Account 0054</v>
      </c>
      <c r="E654" s="19" t="str">
        <f>IFERROR(VLOOKUP(C654,customer_lookup!$A:$E,3,FALSE),"")</f>
        <v>NV</v>
      </c>
      <c r="F654" s="20" t="str">
        <f>IFERROR(VLOOKUP(C654,customer_lookup!$A:$E,5,FALSE),"")</f>
        <v>Morgan</v>
      </c>
      <c r="G654" s="17" t="s">
        <v>63</v>
      </c>
      <c r="H654" s="17" t="s">
        <v>102</v>
      </c>
      <c r="I654" s="19" t="str">
        <f>IFERROR(VLOOKUP(H654,product_lookup!$A:$D,2,FALSE),"")</f>
        <v>Pomegranate 1:1 Gummies</v>
      </c>
      <c r="J654" s="21">
        <v>96.0</v>
      </c>
      <c r="K654" s="22">
        <v>11.49</v>
      </c>
      <c r="L654" s="23">
        <f t="shared" si="1"/>
        <v>1103.04</v>
      </c>
      <c r="M654" s="17" t="s">
        <v>65</v>
      </c>
      <c r="N654" s="18">
        <v>46068.0</v>
      </c>
      <c r="O654" s="19">
        <f>SUMIF(inventory_snapshot!$B:$B,H654,inventory_snapshot!$E:$E)</f>
        <v>1493</v>
      </c>
      <c r="P654" s="24" t="str">
        <f t="shared" si="2"/>
        <v>OK</v>
      </c>
      <c r="Q654" s="24" t="str">
        <f t="shared" si="3"/>
        <v>OK</v>
      </c>
      <c r="R654" s="24" t="str">
        <f t="shared" si="4"/>
        <v>OK</v>
      </c>
      <c r="S654" s="24" t="str">
        <f t="shared" si="5"/>
        <v>Large</v>
      </c>
    </row>
    <row r="655" ht="15.75" customHeight="1">
      <c r="A655" s="25" t="s">
        <v>824</v>
      </c>
      <c r="B655" s="26">
        <v>46069.0</v>
      </c>
      <c r="C655" s="25" t="s">
        <v>708</v>
      </c>
      <c r="D655" s="27" t="str">
        <f>IFERROR(VLOOKUP(C655,customer_lookup!$A:$E,2,FALSE),"")</f>
        <v>MO Account 0105</v>
      </c>
      <c r="E655" s="27" t="str">
        <f>IFERROR(VLOOKUP(C655,customer_lookup!$A:$E,3,FALSE),"")</f>
        <v>MO</v>
      </c>
      <c r="F655" s="28" t="str">
        <f>IFERROR(VLOOKUP(C655,customer_lookup!$A:$E,5,FALSE),"")</f>
        <v>Morgan</v>
      </c>
      <c r="G655" s="25" t="s">
        <v>89</v>
      </c>
      <c r="H655" s="25" t="s">
        <v>71</v>
      </c>
      <c r="I655" s="27" t="str">
        <f>IFERROR(VLOOKUP(H655,product_lookup!$A:$D,2,FALSE),"")</f>
        <v>Pineapple Sparkling Beverage</v>
      </c>
      <c r="J655" s="29">
        <v>120.0</v>
      </c>
      <c r="K655" s="30">
        <v>8.47</v>
      </c>
      <c r="L655" s="31">
        <f t="shared" si="1"/>
        <v>1016.4</v>
      </c>
      <c r="M655" s="25" t="s">
        <v>65</v>
      </c>
      <c r="N655" s="26">
        <v>46071.0</v>
      </c>
      <c r="O655" s="27">
        <f>SUMIF(inventory_snapshot!$B:$B,H655,inventory_snapshot!$E:$E)</f>
        <v>1145</v>
      </c>
      <c r="P655" s="32" t="str">
        <f t="shared" si="2"/>
        <v>OK</v>
      </c>
      <c r="Q655" s="32" t="str">
        <f t="shared" si="3"/>
        <v>OK</v>
      </c>
      <c r="R655" s="32" t="str">
        <f t="shared" si="4"/>
        <v>OK</v>
      </c>
      <c r="S655" s="32" t="str">
        <f t="shared" si="5"/>
        <v>Large</v>
      </c>
    </row>
    <row r="656" ht="15.75" customHeight="1">
      <c r="A656" s="17" t="s">
        <v>825</v>
      </c>
      <c r="B656" s="18">
        <v>46096.0</v>
      </c>
      <c r="C656" s="17" t="s">
        <v>700</v>
      </c>
      <c r="D656" s="19" t="str">
        <f>IFERROR(VLOOKUP(C656,customer_lookup!$A:$E,2,FALSE),"")</f>
        <v>CA Account 0003</v>
      </c>
      <c r="E656" s="19" t="str">
        <f>IFERROR(VLOOKUP(C656,customer_lookup!$A:$E,3,FALSE),"")</f>
        <v>CA</v>
      </c>
      <c r="F656" s="20" t="str">
        <f>IFERROR(VLOOKUP(C656,customer_lookup!$A:$E,5,FALSE),"")</f>
        <v>Morgan</v>
      </c>
      <c r="G656" s="17" t="s">
        <v>63</v>
      </c>
      <c r="H656" s="17" t="s">
        <v>108</v>
      </c>
      <c r="I656" s="19" t="str">
        <f>IFERROR(VLOOKUP(H656,product_lookup!$A:$D,2,FALSE),"")</f>
        <v>Sour Tangerine THC Gummies</v>
      </c>
      <c r="J656" s="21">
        <v>36.0</v>
      </c>
      <c r="K656" s="22">
        <v>10.86</v>
      </c>
      <c r="L656" s="23">
        <f t="shared" si="1"/>
        <v>390.96</v>
      </c>
      <c r="M656" s="17" t="s">
        <v>97</v>
      </c>
      <c r="N656" s="18">
        <v>46104.0</v>
      </c>
      <c r="O656" s="19">
        <f>SUMIF(inventory_snapshot!$B:$B,H656,inventory_snapshot!$E:$E)</f>
        <v>1679</v>
      </c>
      <c r="P656" s="24" t="str">
        <f t="shared" si="2"/>
        <v>OK</v>
      </c>
      <c r="Q656" s="24" t="str">
        <f t="shared" si="3"/>
        <v>OK</v>
      </c>
      <c r="R656" s="24" t="str">
        <f t="shared" si="4"/>
        <v>OK</v>
      </c>
      <c r="S656" s="24" t="str">
        <f t="shared" si="5"/>
        <v>Small</v>
      </c>
    </row>
    <row r="657" ht="15.75" customHeight="1">
      <c r="A657" s="25" t="s">
        <v>826</v>
      </c>
      <c r="B657" s="26">
        <v>46124.0</v>
      </c>
      <c r="C657" s="25" t="s">
        <v>729</v>
      </c>
      <c r="D657" s="27" t="str">
        <f>IFERROR(VLOOKUP(C657,customer_lookup!$A:$E,2,FALSE),"")</f>
        <v>NV Account 0054</v>
      </c>
      <c r="E657" s="27" t="str">
        <f>IFERROR(VLOOKUP(C657,customer_lookup!$A:$E,3,FALSE),"")</f>
        <v>NV</v>
      </c>
      <c r="F657" s="28" t="str">
        <f>IFERROR(VLOOKUP(C657,customer_lookup!$A:$E,5,FALSE),"")</f>
        <v>Morgan</v>
      </c>
      <c r="G657" s="25" t="s">
        <v>63</v>
      </c>
      <c r="H657" s="25" t="s">
        <v>68</v>
      </c>
      <c r="I657" s="27" t="str">
        <f>IFERROR(VLOOKUP(H657,product_lookup!$A:$D,2,FALSE),"")</f>
        <v>Sour Apple THC Gummies</v>
      </c>
      <c r="J657" s="29">
        <v>60.0</v>
      </c>
      <c r="K657" s="30">
        <v>11.13</v>
      </c>
      <c r="L657" s="31">
        <f t="shared" si="1"/>
        <v>667.8</v>
      </c>
      <c r="M657" s="25" t="s">
        <v>65</v>
      </c>
      <c r="N657" s="26">
        <v>46129.0</v>
      </c>
      <c r="O657" s="27">
        <f>SUMIF(inventory_snapshot!$B:$B,H657,inventory_snapshot!$E:$E)</f>
        <v>775</v>
      </c>
      <c r="P657" s="32" t="str">
        <f t="shared" si="2"/>
        <v>OK</v>
      </c>
      <c r="Q657" s="32" t="str">
        <f t="shared" si="3"/>
        <v>OK</v>
      </c>
      <c r="R657" s="32" t="str">
        <f t="shared" si="4"/>
        <v>OK</v>
      </c>
      <c r="S657" s="32" t="str">
        <f t="shared" si="5"/>
        <v>Medium</v>
      </c>
    </row>
    <row r="658" ht="15.75" customHeight="1">
      <c r="A658" s="17" t="s">
        <v>827</v>
      </c>
      <c r="B658" s="18">
        <v>46066.0</v>
      </c>
      <c r="C658" s="17" t="s">
        <v>710</v>
      </c>
      <c r="D658" s="19" t="str">
        <f>IFERROR(VLOOKUP(C658,customer_lookup!$A:$E,2,FALSE),"")</f>
        <v>MO Account 0009</v>
      </c>
      <c r="E658" s="19" t="str">
        <f>IFERROR(VLOOKUP(C658,customer_lookup!$A:$E,3,FALSE),"")</f>
        <v>MO</v>
      </c>
      <c r="F658" s="20" t="str">
        <f>IFERROR(VLOOKUP(C658,customer_lookup!$A:$E,5,FALSE),"")</f>
        <v>Morgan</v>
      </c>
      <c r="G658" s="17" t="s">
        <v>63</v>
      </c>
      <c r="H658" s="17" t="s">
        <v>110</v>
      </c>
      <c r="I658" s="19" t="str">
        <f>IFERROR(VLOOKUP(H658,product_lookup!$A:$D,2,FALSE),"")</f>
        <v>Elderberry 2:1 Gummies</v>
      </c>
      <c r="J658" s="21">
        <v>36.0</v>
      </c>
      <c r="K658" s="22">
        <v>10.78</v>
      </c>
      <c r="L658" s="23">
        <f t="shared" si="1"/>
        <v>388.08</v>
      </c>
      <c r="M658" s="17" t="s">
        <v>65</v>
      </c>
      <c r="N658" s="18">
        <v>46073.0</v>
      </c>
      <c r="O658" s="19">
        <f>SUMIF(inventory_snapshot!$B:$B,H658,inventory_snapshot!$E:$E)</f>
        <v>1633</v>
      </c>
      <c r="P658" s="24" t="str">
        <f t="shared" si="2"/>
        <v>OK</v>
      </c>
      <c r="Q658" s="24" t="str">
        <f t="shared" si="3"/>
        <v>OK</v>
      </c>
      <c r="R658" s="24" t="str">
        <f t="shared" si="4"/>
        <v>OK</v>
      </c>
      <c r="S658" s="24" t="str">
        <f t="shared" si="5"/>
        <v>Small</v>
      </c>
    </row>
    <row r="659" ht="15.75" customHeight="1">
      <c r="A659" s="25" t="s">
        <v>828</v>
      </c>
      <c r="B659" s="26">
        <v>46129.0</v>
      </c>
      <c r="C659" s="25" t="s">
        <v>735</v>
      </c>
      <c r="D659" s="27" t="str">
        <f>IFERROR(VLOOKUP(C659,customer_lookup!$A:$E,2,FALSE),"")</f>
        <v>OR Account 0049</v>
      </c>
      <c r="E659" s="27" t="str">
        <f>IFERROR(VLOOKUP(C659,customer_lookup!$A:$E,3,FALSE),"")</f>
        <v>OR</v>
      </c>
      <c r="F659" s="28" t="str">
        <f>IFERROR(VLOOKUP(C659,customer_lookup!$A:$E,5,FALSE),"")</f>
        <v>Morgan</v>
      </c>
      <c r="G659" s="25" t="s">
        <v>63</v>
      </c>
      <c r="H659" s="25" t="s">
        <v>90</v>
      </c>
      <c r="I659" s="27" t="str">
        <f>IFERROR(VLOOKUP(H659,product_lookup!$A:$D,2,FALSE),"")</f>
        <v>Blackberry Sparkling Beverage</v>
      </c>
      <c r="J659" s="29">
        <v>96.0</v>
      </c>
      <c r="K659" s="30">
        <v>6.95</v>
      </c>
      <c r="L659" s="31">
        <f t="shared" si="1"/>
        <v>667.2</v>
      </c>
      <c r="M659" s="25" t="s">
        <v>97</v>
      </c>
      <c r="N659" s="26">
        <v>46137.0</v>
      </c>
      <c r="O659" s="27">
        <f>SUMIF(inventory_snapshot!$B:$B,H659,inventory_snapshot!$E:$E)</f>
        <v>1292</v>
      </c>
      <c r="P659" s="32" t="str">
        <f t="shared" si="2"/>
        <v>OK</v>
      </c>
      <c r="Q659" s="32" t="str">
        <f t="shared" si="3"/>
        <v>OK</v>
      </c>
      <c r="R659" s="32" t="str">
        <f t="shared" si="4"/>
        <v>OK</v>
      </c>
      <c r="S659" s="32" t="str">
        <f t="shared" si="5"/>
        <v>Medium</v>
      </c>
    </row>
    <row r="660" ht="15.75" customHeight="1">
      <c r="A660" s="17" t="s">
        <v>829</v>
      </c>
      <c r="B660" s="18">
        <v>46044.0</v>
      </c>
      <c r="C660" s="17" t="s">
        <v>712</v>
      </c>
      <c r="D660" s="19" t="str">
        <f>IFERROR(VLOOKUP(C660,customer_lookup!$A:$E,2,FALSE),"")</f>
        <v>OR Account 0013</v>
      </c>
      <c r="E660" s="19" t="str">
        <f>IFERROR(VLOOKUP(C660,customer_lookup!$A:$E,3,FALSE),"")</f>
        <v>OR</v>
      </c>
      <c r="F660" s="20" t="str">
        <f>IFERROR(VLOOKUP(C660,customer_lookup!$A:$E,5,FALSE),"")</f>
        <v>Morgan</v>
      </c>
      <c r="G660" s="17" t="s">
        <v>63</v>
      </c>
      <c r="H660" s="17" t="s">
        <v>81</v>
      </c>
      <c r="I660" s="19" t="str">
        <f>IFERROR(VLOOKUP(H660,product_lookup!$A:$D,2,FALSE),"")</f>
        <v>Lemon Sparkling Beverage</v>
      </c>
      <c r="J660" s="21">
        <v>30.0</v>
      </c>
      <c r="K660" s="22">
        <v>6.73</v>
      </c>
      <c r="L660" s="23">
        <f t="shared" si="1"/>
        <v>201.9</v>
      </c>
      <c r="M660" s="17" t="s">
        <v>97</v>
      </c>
      <c r="N660" s="18">
        <v>46049.0</v>
      </c>
      <c r="O660" s="19">
        <f>SUMIF(inventory_snapshot!$B:$B,H660,inventory_snapshot!$E:$E)</f>
        <v>1360</v>
      </c>
      <c r="P660" s="24" t="str">
        <f t="shared" si="2"/>
        <v>OK</v>
      </c>
      <c r="Q660" s="24" t="str">
        <f t="shared" si="3"/>
        <v>OK</v>
      </c>
      <c r="R660" s="24" t="str">
        <f t="shared" si="4"/>
        <v>OK</v>
      </c>
      <c r="S660" s="24" t="str">
        <f t="shared" si="5"/>
        <v>Small</v>
      </c>
    </row>
    <row r="661" ht="15.75" customHeight="1">
      <c r="A661" s="25" t="s">
        <v>830</v>
      </c>
      <c r="B661" s="26">
        <v>46109.0</v>
      </c>
      <c r="C661" s="25" t="s">
        <v>708</v>
      </c>
      <c r="D661" s="27" t="str">
        <f>IFERROR(VLOOKUP(C661,customer_lookup!$A:$E,2,FALSE),"")</f>
        <v>MO Account 0105</v>
      </c>
      <c r="E661" s="27" t="str">
        <f>IFERROR(VLOOKUP(C661,customer_lookup!$A:$E,3,FALSE),"")</f>
        <v>MO</v>
      </c>
      <c r="F661" s="28" t="str">
        <f>IFERROR(VLOOKUP(C661,customer_lookup!$A:$E,5,FALSE),"")</f>
        <v>Morgan</v>
      </c>
      <c r="G661" s="25" t="s">
        <v>89</v>
      </c>
      <c r="H661" s="25" t="s">
        <v>74</v>
      </c>
      <c r="I661" s="27" t="str">
        <f>IFERROR(VLOOKUP(H661,product_lookup!$A:$D,2,FALSE),"")</f>
        <v>Strawberry 20:1 Gummies</v>
      </c>
      <c r="J661" s="29">
        <v>12.0</v>
      </c>
      <c r="K661" s="30">
        <v>11.16</v>
      </c>
      <c r="L661" s="31">
        <f t="shared" si="1"/>
        <v>133.92</v>
      </c>
      <c r="M661" s="25" t="s">
        <v>65</v>
      </c>
      <c r="N661" s="26">
        <v>46115.0</v>
      </c>
      <c r="O661" s="27">
        <f>SUMIF(inventory_snapshot!$B:$B,H661,inventory_snapshot!$E:$E)</f>
        <v>2294</v>
      </c>
      <c r="P661" s="32" t="str">
        <f t="shared" si="2"/>
        <v>OK</v>
      </c>
      <c r="Q661" s="32" t="str">
        <f t="shared" si="3"/>
        <v>OK</v>
      </c>
      <c r="R661" s="32" t="str">
        <f t="shared" si="4"/>
        <v>OK</v>
      </c>
      <c r="S661" s="32" t="str">
        <f t="shared" si="5"/>
        <v>Small</v>
      </c>
    </row>
    <row r="662" ht="15.75" customHeight="1">
      <c r="A662" s="17" t="s">
        <v>831</v>
      </c>
      <c r="B662" s="18">
        <v>46032.0</v>
      </c>
      <c r="C662" s="17" t="s">
        <v>698</v>
      </c>
      <c r="D662" s="19" t="str">
        <f>IFERROR(VLOOKUP(C662,customer_lookup!$A:$E,2,FALSE),"")</f>
        <v>AZ Account 0089</v>
      </c>
      <c r="E662" s="19" t="str">
        <f>IFERROR(VLOOKUP(C662,customer_lookup!$A:$E,3,FALSE),"")</f>
        <v>AZ</v>
      </c>
      <c r="F662" s="20" t="str">
        <f>IFERROR(VLOOKUP(C662,customer_lookup!$A:$E,5,FALSE),"")</f>
        <v>Morgan</v>
      </c>
      <c r="G662" s="17" t="s">
        <v>63</v>
      </c>
      <c r="H662" s="17" t="s">
        <v>108</v>
      </c>
      <c r="I662" s="19" t="str">
        <f>IFERROR(VLOOKUP(H662,product_lookup!$A:$D,2,FALSE),"")</f>
        <v>Sour Tangerine THC Gummies</v>
      </c>
      <c r="J662" s="21">
        <v>24.0</v>
      </c>
      <c r="K662" s="22">
        <v>10.1</v>
      </c>
      <c r="L662" s="23">
        <f t="shared" si="1"/>
        <v>242.4</v>
      </c>
      <c r="M662" s="17" t="s">
        <v>97</v>
      </c>
      <c r="N662" s="18">
        <v>46034.0</v>
      </c>
      <c r="O662" s="19">
        <f>SUMIF(inventory_snapshot!$B:$B,H662,inventory_snapshot!$E:$E)</f>
        <v>1679</v>
      </c>
      <c r="P662" s="24" t="str">
        <f t="shared" si="2"/>
        <v>OK</v>
      </c>
      <c r="Q662" s="24" t="str">
        <f t="shared" si="3"/>
        <v>OK</v>
      </c>
      <c r="R662" s="24" t="str">
        <f t="shared" si="4"/>
        <v>OK</v>
      </c>
      <c r="S662" s="24" t="str">
        <f t="shared" si="5"/>
        <v>Small</v>
      </c>
    </row>
    <row r="663" ht="15.75" customHeight="1">
      <c r="A663" s="25" t="s">
        <v>832</v>
      </c>
      <c r="B663" s="26">
        <v>46119.0</v>
      </c>
      <c r="C663" s="25" t="s">
        <v>712</v>
      </c>
      <c r="D663" s="27" t="str">
        <f>IFERROR(VLOOKUP(C663,customer_lookup!$A:$E,2,FALSE),"")</f>
        <v>OR Account 0013</v>
      </c>
      <c r="E663" s="27" t="str">
        <f>IFERROR(VLOOKUP(C663,customer_lookup!$A:$E,3,FALSE),"")</f>
        <v>OR</v>
      </c>
      <c r="F663" s="28" t="str">
        <f>IFERROR(VLOOKUP(C663,customer_lookup!$A:$E,5,FALSE),"")</f>
        <v>Morgan</v>
      </c>
      <c r="G663" s="25" t="s">
        <v>67</v>
      </c>
      <c r="H663" s="25" t="s">
        <v>71</v>
      </c>
      <c r="I663" s="27" t="str">
        <f>IFERROR(VLOOKUP(H663,product_lookup!$A:$D,2,FALSE),"")</f>
        <v>Pineapple Sparkling Beverage</v>
      </c>
      <c r="J663" s="29">
        <v>48.0</v>
      </c>
      <c r="K663" s="30">
        <v>7.34</v>
      </c>
      <c r="L663" s="31">
        <f t="shared" si="1"/>
        <v>352.32</v>
      </c>
      <c r="M663" s="25" t="s">
        <v>65</v>
      </c>
      <c r="N663" s="26">
        <v>46120.0</v>
      </c>
      <c r="O663" s="27">
        <f>SUMIF(inventory_snapshot!$B:$B,H663,inventory_snapshot!$E:$E)</f>
        <v>1145</v>
      </c>
      <c r="P663" s="32" t="str">
        <f t="shared" si="2"/>
        <v>OK</v>
      </c>
      <c r="Q663" s="32" t="str">
        <f t="shared" si="3"/>
        <v>OK</v>
      </c>
      <c r="R663" s="32" t="str">
        <f t="shared" si="4"/>
        <v>OK</v>
      </c>
      <c r="S663" s="32" t="str">
        <f t="shared" si="5"/>
        <v>Small</v>
      </c>
    </row>
    <row r="664" ht="15.75" customHeight="1">
      <c r="A664" s="17" t="s">
        <v>833</v>
      </c>
      <c r="B664" s="18">
        <v>46084.0</v>
      </c>
      <c r="C664" s="17" t="s">
        <v>720</v>
      </c>
      <c r="D664" s="19" t="str">
        <f>IFERROR(VLOOKUP(C664,customer_lookup!$A:$E,2,FALSE),"")</f>
        <v>NM Account 0046</v>
      </c>
      <c r="E664" s="19" t="str">
        <f>IFERROR(VLOOKUP(C664,customer_lookup!$A:$E,3,FALSE),"")</f>
        <v>NM</v>
      </c>
      <c r="F664" s="20" t="str">
        <f>IFERROR(VLOOKUP(C664,customer_lookup!$A:$E,5,FALSE),"")</f>
        <v>Morgan</v>
      </c>
      <c r="G664" s="17" t="s">
        <v>67</v>
      </c>
      <c r="H664" s="17" t="s">
        <v>108</v>
      </c>
      <c r="I664" s="19" t="str">
        <f>IFERROR(VLOOKUP(H664,product_lookup!$A:$D,2,FALSE),"")</f>
        <v>Sour Tangerine THC Gummies</v>
      </c>
      <c r="J664" s="21">
        <v>96.0</v>
      </c>
      <c r="K664" s="22">
        <v>10.63</v>
      </c>
      <c r="L664" s="23">
        <f t="shared" si="1"/>
        <v>1020.48</v>
      </c>
      <c r="M664" s="17" t="s">
        <v>97</v>
      </c>
      <c r="N664" s="18">
        <v>46085.0</v>
      </c>
      <c r="O664" s="19">
        <f>SUMIF(inventory_snapshot!$B:$B,H664,inventory_snapshot!$E:$E)</f>
        <v>1679</v>
      </c>
      <c r="P664" s="24" t="str">
        <f t="shared" si="2"/>
        <v>OK</v>
      </c>
      <c r="Q664" s="24" t="str">
        <f t="shared" si="3"/>
        <v>OK</v>
      </c>
      <c r="R664" s="24" t="str">
        <f t="shared" si="4"/>
        <v>OK</v>
      </c>
      <c r="S664" s="24" t="str">
        <f t="shared" si="5"/>
        <v>Large</v>
      </c>
    </row>
    <row r="665" ht="15.75" customHeight="1">
      <c r="A665" s="25" t="s">
        <v>834</v>
      </c>
      <c r="B665" s="26">
        <v>46111.0</v>
      </c>
      <c r="C665" s="25" t="s">
        <v>702</v>
      </c>
      <c r="D665" s="27" t="str">
        <f>IFERROR(VLOOKUP(C665,customer_lookup!$A:$E,2,FALSE),"")</f>
        <v>NM Account 0082</v>
      </c>
      <c r="E665" s="27" t="str">
        <f>IFERROR(VLOOKUP(C665,customer_lookup!$A:$E,3,FALSE),"")</f>
        <v>NM</v>
      </c>
      <c r="F665" s="28" t="str">
        <f>IFERROR(VLOOKUP(C665,customer_lookup!$A:$E,5,FALSE),"")</f>
        <v>Morgan</v>
      </c>
      <c r="G665" s="25" t="s">
        <v>63</v>
      </c>
      <c r="H665" s="25" t="s">
        <v>123</v>
      </c>
      <c r="I665" s="27" t="str">
        <f>IFERROR(VLOOKUP(H665,product_lookup!$A:$D,2,FALSE),"")</f>
        <v>Peach 2:1 Gummies</v>
      </c>
      <c r="J665" s="29">
        <v>24.0</v>
      </c>
      <c r="K665" s="30">
        <v>10.68</v>
      </c>
      <c r="L665" s="31">
        <f t="shared" si="1"/>
        <v>256.32</v>
      </c>
      <c r="M665" s="25" t="s">
        <v>97</v>
      </c>
      <c r="N665" s="26">
        <v>46117.0</v>
      </c>
      <c r="O665" s="27">
        <f>SUMIF(inventory_snapshot!$B:$B,H665,inventory_snapshot!$E:$E)</f>
        <v>1732</v>
      </c>
      <c r="P665" s="32" t="str">
        <f t="shared" si="2"/>
        <v>OK</v>
      </c>
      <c r="Q665" s="32" t="str">
        <f t="shared" si="3"/>
        <v>OK</v>
      </c>
      <c r="R665" s="32" t="str">
        <f t="shared" si="4"/>
        <v>OK</v>
      </c>
      <c r="S665" s="32" t="str">
        <f t="shared" si="5"/>
        <v>Small</v>
      </c>
    </row>
    <row r="666" ht="15.75" customHeight="1">
      <c r="A666" s="17" t="s">
        <v>835</v>
      </c>
      <c r="B666" s="18">
        <v>46032.0</v>
      </c>
      <c r="C666" s="17" t="s">
        <v>712</v>
      </c>
      <c r="D666" s="19" t="str">
        <f>IFERROR(VLOOKUP(C666,customer_lookup!$A:$E,2,FALSE),"")</f>
        <v>OR Account 0013</v>
      </c>
      <c r="E666" s="19" t="str">
        <f>IFERROR(VLOOKUP(C666,customer_lookup!$A:$E,3,FALSE),"")</f>
        <v>OR</v>
      </c>
      <c r="F666" s="20" t="str">
        <f>IFERROR(VLOOKUP(C666,customer_lookup!$A:$E,5,FALSE),"")</f>
        <v>Morgan</v>
      </c>
      <c r="G666" s="17" t="s">
        <v>63</v>
      </c>
      <c r="H666" s="17" t="s">
        <v>78</v>
      </c>
      <c r="I666" s="19" t="str">
        <f>IFERROR(VLOOKUP(H666,product_lookup!$A:$D,2,FALSE),"")</f>
        <v>Grapefruit 1:1:1 Gummies</v>
      </c>
      <c r="J666" s="21">
        <v>36.0</v>
      </c>
      <c r="K666" s="22">
        <v>9.76</v>
      </c>
      <c r="L666" s="23">
        <f t="shared" si="1"/>
        <v>351.36</v>
      </c>
      <c r="M666" s="17" t="s">
        <v>97</v>
      </c>
      <c r="N666" s="18">
        <v>46038.0</v>
      </c>
      <c r="O666" s="19">
        <f>SUMIF(inventory_snapshot!$B:$B,H666,inventory_snapshot!$E:$E)</f>
        <v>1751</v>
      </c>
      <c r="P666" s="24" t="str">
        <f t="shared" si="2"/>
        <v>OK</v>
      </c>
      <c r="Q666" s="24" t="str">
        <f t="shared" si="3"/>
        <v>OK</v>
      </c>
      <c r="R666" s="24" t="str">
        <f t="shared" si="4"/>
        <v>OK</v>
      </c>
      <c r="S666" s="24" t="str">
        <f t="shared" si="5"/>
        <v>Small</v>
      </c>
    </row>
    <row r="667" ht="15.75" customHeight="1">
      <c r="A667" s="25" t="s">
        <v>836</v>
      </c>
      <c r="B667" s="26">
        <v>46049.0</v>
      </c>
      <c r="C667" s="25" t="s">
        <v>714</v>
      </c>
      <c r="D667" s="27" t="str">
        <f>IFERROR(VLOOKUP(C667,customer_lookup!$A:$E,2,FALSE),"")</f>
        <v>NV Account 0090</v>
      </c>
      <c r="E667" s="27" t="str">
        <f>IFERROR(VLOOKUP(C667,customer_lookup!$A:$E,3,FALSE),"")</f>
        <v>NV</v>
      </c>
      <c r="F667" s="28" t="str">
        <f>IFERROR(VLOOKUP(C667,customer_lookup!$A:$E,5,FALSE),"")</f>
        <v>Morgan</v>
      </c>
      <c r="G667" s="25" t="s">
        <v>63</v>
      </c>
      <c r="H667" s="25" t="s">
        <v>108</v>
      </c>
      <c r="I667" s="27" t="str">
        <f>IFERROR(VLOOKUP(H667,product_lookup!$A:$D,2,FALSE),"")</f>
        <v>Sour Tangerine THC Gummies</v>
      </c>
      <c r="J667" s="29">
        <v>60.0</v>
      </c>
      <c r="K667" s="30">
        <v>10.64</v>
      </c>
      <c r="L667" s="31">
        <f t="shared" si="1"/>
        <v>638.4</v>
      </c>
      <c r="M667" s="25" t="s">
        <v>65</v>
      </c>
      <c r="N667" s="26">
        <v>46059.0</v>
      </c>
      <c r="O667" s="27">
        <f>SUMIF(inventory_snapshot!$B:$B,H667,inventory_snapshot!$E:$E)</f>
        <v>1679</v>
      </c>
      <c r="P667" s="32" t="str">
        <f t="shared" si="2"/>
        <v>OK</v>
      </c>
      <c r="Q667" s="32" t="str">
        <f t="shared" si="3"/>
        <v>OK</v>
      </c>
      <c r="R667" s="32" t="str">
        <f t="shared" si="4"/>
        <v>OK</v>
      </c>
      <c r="S667" s="32" t="str">
        <f t="shared" si="5"/>
        <v>Medium</v>
      </c>
    </row>
    <row r="668" ht="15.75" customHeight="1">
      <c r="A668" s="17" t="s">
        <v>837</v>
      </c>
      <c r="B668" s="18">
        <v>46030.0</v>
      </c>
      <c r="C668" s="17" t="s">
        <v>710</v>
      </c>
      <c r="D668" s="19" t="str">
        <f>IFERROR(VLOOKUP(C668,customer_lookup!$A:$E,2,FALSE),"")</f>
        <v>MO Account 0009</v>
      </c>
      <c r="E668" s="19" t="str">
        <f>IFERROR(VLOOKUP(C668,customer_lookup!$A:$E,3,FALSE),"")</f>
        <v>MO</v>
      </c>
      <c r="F668" s="20" t="str">
        <f>IFERROR(VLOOKUP(C668,customer_lookup!$A:$E,5,FALSE),"")</f>
        <v>Morgan</v>
      </c>
      <c r="G668" s="17" t="s">
        <v>89</v>
      </c>
      <c r="H668" s="17" t="s">
        <v>74</v>
      </c>
      <c r="I668" s="19" t="str">
        <f>IFERROR(VLOOKUP(H668,product_lookup!$A:$D,2,FALSE),"")</f>
        <v>Strawberry 20:1 Gummies</v>
      </c>
      <c r="J668" s="21">
        <v>36.0</v>
      </c>
      <c r="K668" s="22">
        <v>11.54</v>
      </c>
      <c r="L668" s="23">
        <f t="shared" si="1"/>
        <v>415.44</v>
      </c>
      <c r="M668" s="17" t="s">
        <v>97</v>
      </c>
      <c r="N668" s="18">
        <v>46037.0</v>
      </c>
      <c r="O668" s="19">
        <f>SUMIF(inventory_snapshot!$B:$B,H668,inventory_snapshot!$E:$E)</f>
        <v>2294</v>
      </c>
      <c r="P668" s="24" t="str">
        <f t="shared" si="2"/>
        <v>OK</v>
      </c>
      <c r="Q668" s="24" t="str">
        <f t="shared" si="3"/>
        <v>OK</v>
      </c>
      <c r="R668" s="24" t="str">
        <f t="shared" si="4"/>
        <v>OK</v>
      </c>
      <c r="S668" s="24" t="str">
        <f t="shared" si="5"/>
        <v>Small</v>
      </c>
    </row>
    <row r="669" ht="15.75" customHeight="1">
      <c r="A669" s="25" t="s">
        <v>838</v>
      </c>
      <c r="B669" s="26">
        <v>46076.0</v>
      </c>
      <c r="C669" s="25" t="s">
        <v>717</v>
      </c>
      <c r="D669" s="27" t="str">
        <f>IFERROR(VLOOKUP(C669,customer_lookup!$A:$E,2,FALSE),"")</f>
        <v>OR Account 0109</v>
      </c>
      <c r="E669" s="27" t="str">
        <f>IFERROR(VLOOKUP(C669,customer_lookup!$A:$E,3,FALSE),"")</f>
        <v>OR</v>
      </c>
      <c r="F669" s="28" t="str">
        <f>IFERROR(VLOOKUP(C669,customer_lookup!$A:$E,5,FALSE),"")</f>
        <v>Morgan</v>
      </c>
      <c r="G669" s="25" t="s">
        <v>63</v>
      </c>
      <c r="H669" s="25" t="s">
        <v>154</v>
      </c>
      <c r="I669" s="27" t="str">
        <f>IFERROR(VLOOKUP(H669,product_lookup!$A:$D,2,FALSE),"")</f>
        <v>Kiwi 1:1 Gummies</v>
      </c>
      <c r="J669" s="29">
        <v>24.0</v>
      </c>
      <c r="K669" s="30">
        <v>10.06</v>
      </c>
      <c r="L669" s="31">
        <f t="shared" si="1"/>
        <v>241.44</v>
      </c>
      <c r="M669" s="25" t="s">
        <v>65</v>
      </c>
      <c r="N669" s="26">
        <v>46083.0</v>
      </c>
      <c r="O669" s="27">
        <f>SUMIF(inventory_snapshot!$B:$B,H669,inventory_snapshot!$E:$E)</f>
        <v>1136</v>
      </c>
      <c r="P669" s="32" t="str">
        <f t="shared" si="2"/>
        <v>OK</v>
      </c>
      <c r="Q669" s="32" t="str">
        <f t="shared" si="3"/>
        <v>OK</v>
      </c>
      <c r="R669" s="32" t="str">
        <f t="shared" si="4"/>
        <v>OK</v>
      </c>
      <c r="S669" s="32" t="str">
        <f t="shared" si="5"/>
        <v>Small</v>
      </c>
    </row>
    <row r="670" ht="15.75" customHeight="1">
      <c r="A670" s="17" t="s">
        <v>839</v>
      </c>
      <c r="B670" s="18">
        <v>46139.0</v>
      </c>
      <c r="C670" s="17" t="s">
        <v>714</v>
      </c>
      <c r="D670" s="19" t="str">
        <f>IFERROR(VLOOKUP(C670,customer_lookup!$A:$E,2,FALSE),"")</f>
        <v>NV Account 0090</v>
      </c>
      <c r="E670" s="19" t="str">
        <f>IFERROR(VLOOKUP(C670,customer_lookup!$A:$E,3,FALSE),"")</f>
        <v>NV</v>
      </c>
      <c r="F670" s="20" t="str">
        <f>IFERROR(VLOOKUP(C670,customer_lookup!$A:$E,5,FALSE),"")</f>
        <v>Morgan</v>
      </c>
      <c r="G670" s="17" t="s">
        <v>63</v>
      </c>
      <c r="H670" s="17" t="s">
        <v>162</v>
      </c>
      <c r="I670" s="19" t="str">
        <f>IFERROR(VLOOKUP(H670,product_lookup!$A:$D,2,FALSE),"")</f>
        <v>Marionberry THC Gummies</v>
      </c>
      <c r="J670" s="21">
        <v>60.0</v>
      </c>
      <c r="K670" s="22">
        <v>10.07</v>
      </c>
      <c r="L670" s="23">
        <f t="shared" si="1"/>
        <v>604.2</v>
      </c>
      <c r="M670" s="17" t="s">
        <v>65</v>
      </c>
      <c r="N670" s="18">
        <v>46145.0</v>
      </c>
      <c r="O670" s="19">
        <f>SUMIF(inventory_snapshot!$B:$B,H670,inventory_snapshot!$E:$E)</f>
        <v>1599</v>
      </c>
      <c r="P670" s="24" t="str">
        <f t="shared" si="2"/>
        <v>OK</v>
      </c>
      <c r="Q670" s="24" t="str">
        <f t="shared" si="3"/>
        <v>OK</v>
      </c>
      <c r="R670" s="24" t="str">
        <f t="shared" si="4"/>
        <v>OK</v>
      </c>
      <c r="S670" s="24" t="str">
        <f t="shared" si="5"/>
        <v>Medium</v>
      </c>
    </row>
    <row r="671" ht="15.75" customHeight="1">
      <c r="A671" s="25" t="s">
        <v>840</v>
      </c>
      <c r="B671" s="26">
        <v>46108.0</v>
      </c>
      <c r="C671" s="25" t="s">
        <v>723</v>
      </c>
      <c r="D671" s="27" t="str">
        <f>IFERROR(VLOOKUP(C671,customer_lookup!$A:$E,2,FALSE),"")</f>
        <v>NV Account 0018</v>
      </c>
      <c r="E671" s="27" t="str">
        <f>IFERROR(VLOOKUP(C671,customer_lookup!$A:$E,3,FALSE),"")</f>
        <v>NV</v>
      </c>
      <c r="F671" s="28" t="str">
        <f>IFERROR(VLOOKUP(C671,customer_lookup!$A:$E,5,FALSE),"")</f>
        <v>Morgan</v>
      </c>
      <c r="G671" s="25" t="s">
        <v>63</v>
      </c>
      <c r="H671" s="25" t="s">
        <v>92</v>
      </c>
      <c r="I671" s="27" t="str">
        <f>IFERROR(VLOOKUP(H671,product_lookup!$A:$D,2,FALSE),"")</f>
        <v>Raspberry THC Gummies</v>
      </c>
      <c r="J671" s="29">
        <v>60.0</v>
      </c>
      <c r="K671" s="30">
        <v>10.47</v>
      </c>
      <c r="L671" s="31">
        <f t="shared" si="1"/>
        <v>628.2</v>
      </c>
      <c r="M671" s="25" t="s">
        <v>100</v>
      </c>
      <c r="N671" s="26">
        <v>46112.0</v>
      </c>
      <c r="O671" s="27">
        <f>SUMIF(inventory_snapshot!$B:$B,H671,inventory_snapshot!$E:$E)</f>
        <v>1417</v>
      </c>
      <c r="P671" s="32" t="str">
        <f t="shared" si="2"/>
        <v>OK</v>
      </c>
      <c r="Q671" s="32" t="str">
        <f t="shared" si="3"/>
        <v>OK</v>
      </c>
      <c r="R671" s="32" t="str">
        <f t="shared" si="4"/>
        <v>OK</v>
      </c>
      <c r="S671" s="32" t="str">
        <f t="shared" si="5"/>
        <v>Medium</v>
      </c>
    </row>
    <row r="672" ht="15.75" customHeight="1">
      <c r="A672" s="17" t="s">
        <v>841</v>
      </c>
      <c r="B672" s="18">
        <v>46026.0</v>
      </c>
      <c r="C672" s="17" t="s">
        <v>700</v>
      </c>
      <c r="D672" s="19" t="str">
        <f>IFERROR(VLOOKUP(C672,customer_lookup!$A:$E,2,FALSE),"")</f>
        <v>CA Account 0003</v>
      </c>
      <c r="E672" s="19" t="str">
        <f>IFERROR(VLOOKUP(C672,customer_lookup!$A:$E,3,FALSE),"")</f>
        <v>CA</v>
      </c>
      <c r="F672" s="20" t="str">
        <f>IFERROR(VLOOKUP(C672,customer_lookup!$A:$E,5,FALSE),"")</f>
        <v>Morgan</v>
      </c>
      <c r="G672" s="17" t="s">
        <v>67</v>
      </c>
      <c r="H672" s="17" t="s">
        <v>108</v>
      </c>
      <c r="I672" s="19" t="str">
        <f>IFERROR(VLOOKUP(H672,product_lookup!$A:$D,2,FALSE),"")</f>
        <v>Sour Tangerine THC Gummies</v>
      </c>
      <c r="J672" s="21">
        <v>6.0</v>
      </c>
      <c r="K672" s="22">
        <v>10.4</v>
      </c>
      <c r="L672" s="23">
        <f t="shared" si="1"/>
        <v>62.4</v>
      </c>
      <c r="M672" s="17" t="s">
        <v>97</v>
      </c>
      <c r="N672" s="18">
        <v>46030.0</v>
      </c>
      <c r="O672" s="19">
        <f>SUMIF(inventory_snapshot!$B:$B,H672,inventory_snapshot!$E:$E)</f>
        <v>1679</v>
      </c>
      <c r="P672" s="24" t="str">
        <f t="shared" si="2"/>
        <v>OK</v>
      </c>
      <c r="Q672" s="24" t="str">
        <f t="shared" si="3"/>
        <v>OK</v>
      </c>
      <c r="R672" s="24" t="str">
        <f t="shared" si="4"/>
        <v>OK</v>
      </c>
      <c r="S672" s="24" t="str">
        <f t="shared" si="5"/>
        <v>Small</v>
      </c>
    </row>
    <row r="673" ht="15.75" customHeight="1">
      <c r="A673" s="25" t="s">
        <v>842</v>
      </c>
      <c r="B673" s="26">
        <v>46131.0</v>
      </c>
      <c r="C673" s="25" t="s">
        <v>698</v>
      </c>
      <c r="D673" s="27" t="str">
        <f>IFERROR(VLOOKUP(C673,customer_lookup!$A:$E,2,FALSE),"")</f>
        <v>AZ Account 0089</v>
      </c>
      <c r="E673" s="27" t="str">
        <f>IFERROR(VLOOKUP(C673,customer_lookup!$A:$E,3,FALSE),"")</f>
        <v>AZ</v>
      </c>
      <c r="F673" s="28" t="str">
        <f>IFERROR(VLOOKUP(C673,customer_lookup!$A:$E,5,FALSE),"")</f>
        <v>Morgan</v>
      </c>
      <c r="G673" s="25" t="s">
        <v>63</v>
      </c>
      <c r="H673" s="25" t="s">
        <v>92</v>
      </c>
      <c r="I673" s="27" t="str">
        <f>IFERROR(VLOOKUP(H673,product_lookup!$A:$D,2,FALSE),"")</f>
        <v>Raspberry THC Gummies</v>
      </c>
      <c r="J673" s="29">
        <v>120.0</v>
      </c>
      <c r="K673" s="30">
        <v>10.46</v>
      </c>
      <c r="L673" s="31">
        <f t="shared" si="1"/>
        <v>1255.2</v>
      </c>
      <c r="M673" s="25" t="s">
        <v>97</v>
      </c>
      <c r="N673" s="26">
        <v>46141.0</v>
      </c>
      <c r="O673" s="27">
        <f>SUMIF(inventory_snapshot!$B:$B,H673,inventory_snapshot!$E:$E)</f>
        <v>1417</v>
      </c>
      <c r="P673" s="32" t="str">
        <f t="shared" si="2"/>
        <v>OK</v>
      </c>
      <c r="Q673" s="32" t="str">
        <f t="shared" si="3"/>
        <v>OK</v>
      </c>
      <c r="R673" s="32" t="str">
        <f t="shared" si="4"/>
        <v>OK</v>
      </c>
      <c r="S673" s="32" t="str">
        <f t="shared" si="5"/>
        <v>Large</v>
      </c>
    </row>
    <row r="674" ht="15.75" customHeight="1">
      <c r="A674" s="17" t="s">
        <v>843</v>
      </c>
      <c r="B674" s="18">
        <v>46079.0</v>
      </c>
      <c r="C674" s="17" t="s">
        <v>741</v>
      </c>
      <c r="D674" s="19" t="str">
        <f>IFERROR(VLOOKUP(C674,customer_lookup!$A:$E,2,FALSE),"")</f>
        <v>IL Account 0031</v>
      </c>
      <c r="E674" s="19" t="str">
        <f>IFERROR(VLOOKUP(C674,customer_lookup!$A:$E,3,FALSE),"")</f>
        <v>IL</v>
      </c>
      <c r="F674" s="20" t="str">
        <f>IFERROR(VLOOKUP(C674,customer_lookup!$A:$E,5,FALSE),"")</f>
        <v>Morgan</v>
      </c>
      <c r="G674" s="17" t="s">
        <v>67</v>
      </c>
      <c r="H674" s="17" t="s">
        <v>71</v>
      </c>
      <c r="I674" s="19" t="str">
        <f>IFERROR(VLOOKUP(H674,product_lookup!$A:$D,2,FALSE),"")</f>
        <v>Pineapple Sparkling Beverage</v>
      </c>
      <c r="J674" s="21">
        <v>36.0</v>
      </c>
      <c r="K674" s="22">
        <v>7.18</v>
      </c>
      <c r="L674" s="23">
        <f t="shared" si="1"/>
        <v>258.48</v>
      </c>
      <c r="M674" s="17" t="s">
        <v>97</v>
      </c>
      <c r="N674" s="18">
        <v>46080.0</v>
      </c>
      <c r="O674" s="19">
        <f>SUMIF(inventory_snapshot!$B:$B,H674,inventory_snapshot!$E:$E)</f>
        <v>1145</v>
      </c>
      <c r="P674" s="24" t="str">
        <f t="shared" si="2"/>
        <v>OK</v>
      </c>
      <c r="Q674" s="24" t="str">
        <f t="shared" si="3"/>
        <v>OK</v>
      </c>
      <c r="R674" s="24" t="str">
        <f t="shared" si="4"/>
        <v>OK</v>
      </c>
      <c r="S674" s="24" t="str">
        <f t="shared" si="5"/>
        <v>Small</v>
      </c>
    </row>
    <row r="675" ht="15.75" customHeight="1">
      <c r="A675" s="25" t="s">
        <v>844</v>
      </c>
      <c r="B675" s="26">
        <v>46112.0</v>
      </c>
      <c r="C675" s="25" t="s">
        <v>698</v>
      </c>
      <c r="D675" s="27" t="str">
        <f>IFERROR(VLOOKUP(C675,customer_lookup!$A:$E,2,FALSE),"")</f>
        <v>AZ Account 0089</v>
      </c>
      <c r="E675" s="27" t="str">
        <f>IFERROR(VLOOKUP(C675,customer_lookup!$A:$E,3,FALSE),"")</f>
        <v>AZ</v>
      </c>
      <c r="F675" s="28" t="str">
        <f>IFERROR(VLOOKUP(C675,customer_lookup!$A:$E,5,FALSE),"")</f>
        <v>Morgan</v>
      </c>
      <c r="G675" s="25" t="s">
        <v>67</v>
      </c>
      <c r="H675" s="25" t="s">
        <v>68</v>
      </c>
      <c r="I675" s="27" t="str">
        <f>IFERROR(VLOOKUP(H675,product_lookup!$A:$D,2,FALSE),"")</f>
        <v>Sour Apple THC Gummies</v>
      </c>
      <c r="J675" s="29">
        <v>6.0</v>
      </c>
      <c r="K675" s="30">
        <v>10.82</v>
      </c>
      <c r="L675" s="31">
        <f t="shared" si="1"/>
        <v>64.92</v>
      </c>
      <c r="M675" s="25" t="s">
        <v>93</v>
      </c>
      <c r="N675" s="26">
        <v>46116.0</v>
      </c>
      <c r="O675" s="27">
        <f>SUMIF(inventory_snapshot!$B:$B,H675,inventory_snapshot!$E:$E)</f>
        <v>775</v>
      </c>
      <c r="P675" s="32" t="str">
        <f t="shared" si="2"/>
        <v>OK</v>
      </c>
      <c r="Q675" s="32" t="str">
        <f t="shared" si="3"/>
        <v>OK</v>
      </c>
      <c r="R675" s="32" t="str">
        <f t="shared" si="4"/>
        <v>OK</v>
      </c>
      <c r="S675" s="32" t="str">
        <f t="shared" si="5"/>
        <v>Small</v>
      </c>
    </row>
    <row r="676" ht="15.75" customHeight="1">
      <c r="A676" s="17" t="s">
        <v>845</v>
      </c>
      <c r="B676" s="18">
        <v>46126.0</v>
      </c>
      <c r="C676" s="17" t="s">
        <v>720</v>
      </c>
      <c r="D676" s="19" t="str">
        <f>IFERROR(VLOOKUP(C676,customer_lookup!$A:$E,2,FALSE),"")</f>
        <v>NM Account 0046</v>
      </c>
      <c r="E676" s="19" t="str">
        <f>IFERROR(VLOOKUP(C676,customer_lookup!$A:$E,3,FALSE),"")</f>
        <v>NM</v>
      </c>
      <c r="F676" s="20" t="str">
        <f>IFERROR(VLOOKUP(C676,customer_lookup!$A:$E,5,FALSE),"")</f>
        <v>Morgan</v>
      </c>
      <c r="G676" s="17" t="s">
        <v>63</v>
      </c>
      <c r="H676" s="17" t="s">
        <v>92</v>
      </c>
      <c r="I676" s="19" t="str">
        <f>IFERROR(VLOOKUP(H676,product_lookup!$A:$D,2,FALSE),"")</f>
        <v>Raspberry THC Gummies</v>
      </c>
      <c r="J676" s="21">
        <v>12.0</v>
      </c>
      <c r="K676" s="22">
        <v>9.46</v>
      </c>
      <c r="L676" s="23">
        <f t="shared" si="1"/>
        <v>113.52</v>
      </c>
      <c r="M676" s="17" t="s">
        <v>65</v>
      </c>
      <c r="N676" s="18">
        <v>46129.0</v>
      </c>
      <c r="O676" s="19">
        <f>SUMIF(inventory_snapshot!$B:$B,H676,inventory_snapshot!$E:$E)</f>
        <v>1417</v>
      </c>
      <c r="P676" s="24" t="str">
        <f t="shared" si="2"/>
        <v>OK</v>
      </c>
      <c r="Q676" s="24" t="str">
        <f t="shared" si="3"/>
        <v>OK</v>
      </c>
      <c r="R676" s="24" t="str">
        <f t="shared" si="4"/>
        <v>OK</v>
      </c>
      <c r="S676" s="24" t="str">
        <f t="shared" si="5"/>
        <v>Small</v>
      </c>
    </row>
    <row r="677" ht="15.75" customHeight="1">
      <c r="A677" s="25" t="s">
        <v>846</v>
      </c>
      <c r="B677" s="26">
        <v>46058.0</v>
      </c>
      <c r="C677" s="25" t="s">
        <v>698</v>
      </c>
      <c r="D677" s="27" t="str">
        <f>IFERROR(VLOOKUP(C677,customer_lookup!$A:$E,2,FALSE),"")</f>
        <v>AZ Account 0089</v>
      </c>
      <c r="E677" s="27" t="str">
        <f>IFERROR(VLOOKUP(C677,customer_lookup!$A:$E,3,FALSE),"")</f>
        <v>AZ</v>
      </c>
      <c r="F677" s="28" t="str">
        <f>IFERROR(VLOOKUP(C677,customer_lookup!$A:$E,5,FALSE),"")</f>
        <v>Morgan</v>
      </c>
      <c r="G677" s="25" t="s">
        <v>63</v>
      </c>
      <c r="H677" s="25" t="s">
        <v>78</v>
      </c>
      <c r="I677" s="27" t="str">
        <f>IFERROR(VLOOKUP(H677,product_lookup!$A:$D,2,FALSE),"")</f>
        <v>Grapefruit 1:1:1 Gummies</v>
      </c>
      <c r="J677" s="29">
        <v>96.0</v>
      </c>
      <c r="K677" s="30">
        <v>10.7</v>
      </c>
      <c r="L677" s="31">
        <f t="shared" si="1"/>
        <v>1027.2</v>
      </c>
      <c r="M677" s="25" t="s">
        <v>65</v>
      </c>
      <c r="N677" s="26">
        <v>46065.0</v>
      </c>
      <c r="O677" s="27">
        <f>SUMIF(inventory_snapshot!$B:$B,H677,inventory_snapshot!$E:$E)</f>
        <v>1751</v>
      </c>
      <c r="P677" s="32" t="str">
        <f t="shared" si="2"/>
        <v>OK</v>
      </c>
      <c r="Q677" s="32" t="str">
        <f t="shared" si="3"/>
        <v>OK</v>
      </c>
      <c r="R677" s="32" t="str">
        <f t="shared" si="4"/>
        <v>OK</v>
      </c>
      <c r="S677" s="32" t="str">
        <f t="shared" si="5"/>
        <v>Large</v>
      </c>
    </row>
    <row r="678" ht="15.75" customHeight="1">
      <c r="A678" s="17" t="s">
        <v>847</v>
      </c>
      <c r="B678" s="18">
        <v>46094.0</v>
      </c>
      <c r="C678" s="17" t="s">
        <v>700</v>
      </c>
      <c r="D678" s="19" t="str">
        <f>IFERROR(VLOOKUP(C678,customer_lookup!$A:$E,2,FALSE),"")</f>
        <v>CA Account 0003</v>
      </c>
      <c r="E678" s="19" t="str">
        <f>IFERROR(VLOOKUP(C678,customer_lookup!$A:$E,3,FALSE),"")</f>
        <v>CA</v>
      </c>
      <c r="F678" s="20" t="str">
        <f>IFERROR(VLOOKUP(C678,customer_lookup!$A:$E,5,FALSE),"")</f>
        <v>Morgan</v>
      </c>
      <c r="G678" s="17" t="s">
        <v>63</v>
      </c>
      <c r="H678" s="17" t="s">
        <v>106</v>
      </c>
      <c r="I678" s="19" t="str">
        <f>IFERROR(VLOOKUP(H678,product_lookup!$A:$D,2,FALSE),"")</f>
        <v>Sour Cherry THC Gummies</v>
      </c>
      <c r="J678" s="21">
        <v>72.0</v>
      </c>
      <c r="K678" s="22">
        <v>11.36</v>
      </c>
      <c r="L678" s="23">
        <f t="shared" si="1"/>
        <v>817.92</v>
      </c>
      <c r="M678" s="17" t="s">
        <v>65</v>
      </c>
      <c r="N678" s="18">
        <v>46104.0</v>
      </c>
      <c r="O678" s="19">
        <f>SUMIF(inventory_snapshot!$B:$B,H678,inventory_snapshot!$E:$E)</f>
        <v>1313</v>
      </c>
      <c r="P678" s="24" t="str">
        <f t="shared" si="2"/>
        <v>OK</v>
      </c>
      <c r="Q678" s="24" t="str">
        <f t="shared" si="3"/>
        <v>OK</v>
      </c>
      <c r="R678" s="24" t="str">
        <f t="shared" si="4"/>
        <v>OK</v>
      </c>
      <c r="S678" s="24" t="str">
        <f t="shared" si="5"/>
        <v>Medium</v>
      </c>
    </row>
    <row r="679" ht="15.75" customHeight="1">
      <c r="A679" s="25" t="s">
        <v>848</v>
      </c>
      <c r="B679" s="26">
        <v>46051.0</v>
      </c>
      <c r="C679" s="25" t="s">
        <v>714</v>
      </c>
      <c r="D679" s="27" t="str">
        <f>IFERROR(VLOOKUP(C679,customer_lookup!$A:$E,2,FALSE),"")</f>
        <v>NV Account 0090</v>
      </c>
      <c r="E679" s="27" t="str">
        <f>IFERROR(VLOOKUP(C679,customer_lookup!$A:$E,3,FALSE),"")</f>
        <v>NV</v>
      </c>
      <c r="F679" s="28" t="str">
        <f>IFERROR(VLOOKUP(C679,customer_lookup!$A:$E,5,FALSE),"")</f>
        <v>Morgan</v>
      </c>
      <c r="G679" s="25" t="s">
        <v>63</v>
      </c>
      <c r="H679" s="25" t="s">
        <v>123</v>
      </c>
      <c r="I679" s="27" t="str">
        <f>IFERROR(VLOOKUP(H679,product_lookup!$A:$D,2,FALSE),"")</f>
        <v>Peach 2:1 Gummies</v>
      </c>
      <c r="J679" s="29">
        <v>60.0</v>
      </c>
      <c r="K679" s="30">
        <v>9.81</v>
      </c>
      <c r="L679" s="31">
        <f t="shared" si="1"/>
        <v>588.6</v>
      </c>
      <c r="M679" s="25" t="s">
        <v>75</v>
      </c>
      <c r="N679" s="26">
        <v>46053.0</v>
      </c>
      <c r="O679" s="27">
        <f>SUMIF(inventory_snapshot!$B:$B,H679,inventory_snapshot!$E:$E)</f>
        <v>1732</v>
      </c>
      <c r="P679" s="32" t="str">
        <f t="shared" si="2"/>
        <v>OK</v>
      </c>
      <c r="Q679" s="32" t="str">
        <f t="shared" si="3"/>
        <v>OK</v>
      </c>
      <c r="R679" s="32" t="str">
        <f t="shared" si="4"/>
        <v>OK</v>
      </c>
      <c r="S679" s="32" t="str">
        <f t="shared" si="5"/>
        <v>Medium</v>
      </c>
    </row>
    <row r="680" ht="15.75" customHeight="1">
      <c r="A680" s="17" t="s">
        <v>849</v>
      </c>
      <c r="B680" s="18">
        <v>46143.0</v>
      </c>
      <c r="C680" s="17" t="s">
        <v>712</v>
      </c>
      <c r="D680" s="19" t="str">
        <f>IFERROR(VLOOKUP(C680,customer_lookup!$A:$E,2,FALSE),"")</f>
        <v>OR Account 0013</v>
      </c>
      <c r="E680" s="19" t="str">
        <f>IFERROR(VLOOKUP(C680,customer_lookup!$A:$E,3,FALSE),"")</f>
        <v>OR</v>
      </c>
      <c r="F680" s="20" t="str">
        <f>IFERROR(VLOOKUP(C680,customer_lookup!$A:$E,5,FALSE),"")</f>
        <v>Morgan</v>
      </c>
      <c r="G680" s="17" t="s">
        <v>67</v>
      </c>
      <c r="H680" s="17" t="s">
        <v>110</v>
      </c>
      <c r="I680" s="19" t="str">
        <f>IFERROR(VLOOKUP(H680,product_lookup!$A:$D,2,FALSE),"")</f>
        <v>Elderberry 2:1 Gummies</v>
      </c>
      <c r="J680" s="21">
        <v>36.0</v>
      </c>
      <c r="K680" s="22">
        <v>10.56</v>
      </c>
      <c r="L680" s="23">
        <f t="shared" si="1"/>
        <v>380.16</v>
      </c>
      <c r="M680" s="17" t="s">
        <v>137</v>
      </c>
      <c r="N680" s="18">
        <v>46152.0</v>
      </c>
      <c r="O680" s="19">
        <f>SUMIF(inventory_snapshot!$B:$B,H680,inventory_snapshot!$E:$E)</f>
        <v>1633</v>
      </c>
      <c r="P680" s="24" t="str">
        <f t="shared" si="2"/>
        <v>OK</v>
      </c>
      <c r="Q680" s="24" t="str">
        <f t="shared" si="3"/>
        <v>OK</v>
      </c>
      <c r="R680" s="24" t="str">
        <f t="shared" si="4"/>
        <v>OK</v>
      </c>
      <c r="S680" s="24" t="str">
        <f t="shared" si="5"/>
        <v>Small</v>
      </c>
    </row>
    <row r="681" ht="15.75" customHeight="1">
      <c r="A681" s="25" t="s">
        <v>850</v>
      </c>
      <c r="B681" s="26">
        <v>46142.0</v>
      </c>
      <c r="C681" s="25" t="s">
        <v>729</v>
      </c>
      <c r="D681" s="27" t="str">
        <f>IFERROR(VLOOKUP(C681,customer_lookup!$A:$E,2,FALSE),"")</f>
        <v>NV Account 0054</v>
      </c>
      <c r="E681" s="27" t="str">
        <f>IFERROR(VLOOKUP(C681,customer_lookup!$A:$E,3,FALSE),"")</f>
        <v>NV</v>
      </c>
      <c r="F681" s="28" t="str">
        <f>IFERROR(VLOOKUP(C681,customer_lookup!$A:$E,5,FALSE),"")</f>
        <v>Morgan</v>
      </c>
      <c r="G681" s="25" t="s">
        <v>89</v>
      </c>
      <c r="H681" s="25" t="s">
        <v>190</v>
      </c>
      <c r="I681" s="27" t="str">
        <f>IFERROR(VLOOKUP(H681,product_lookup!$A:$D,2,FALSE),"")</f>
        <v>Mango Sparkling Beverage</v>
      </c>
      <c r="J681" s="29">
        <v>6.0</v>
      </c>
      <c r="K681" s="30">
        <v>7.0</v>
      </c>
      <c r="L681" s="31">
        <f t="shared" si="1"/>
        <v>42</v>
      </c>
      <c r="M681" s="25" t="s">
        <v>97</v>
      </c>
      <c r="N681" s="26">
        <v>46147.0</v>
      </c>
      <c r="O681" s="27">
        <f>SUMIF(inventory_snapshot!$B:$B,H681,inventory_snapshot!$E:$E)</f>
        <v>1502</v>
      </c>
      <c r="P681" s="32" t="str">
        <f t="shared" si="2"/>
        <v>OK</v>
      </c>
      <c r="Q681" s="32" t="str">
        <f t="shared" si="3"/>
        <v>OK</v>
      </c>
      <c r="R681" s="32" t="str">
        <f t="shared" si="4"/>
        <v>OK</v>
      </c>
      <c r="S681" s="32" t="str">
        <f t="shared" si="5"/>
        <v>Small</v>
      </c>
    </row>
    <row r="682" ht="15.75" customHeight="1">
      <c r="A682" s="17" t="s">
        <v>472</v>
      </c>
      <c r="B682" s="18">
        <v>46062.0</v>
      </c>
      <c r="C682" s="17" t="s">
        <v>706</v>
      </c>
      <c r="D682" s="19" t="str">
        <f>IFERROR(VLOOKUP(C682,customer_lookup!$A:$E,2,FALSE),"")</f>
        <v>OR Account 0037</v>
      </c>
      <c r="E682" s="19" t="str">
        <f>IFERROR(VLOOKUP(C682,customer_lookup!$A:$E,3,FALSE),"")</f>
        <v>OR</v>
      </c>
      <c r="F682" s="20" t="str">
        <f>IFERROR(VLOOKUP(C682,customer_lookup!$A:$E,5,FALSE),"")</f>
        <v>Morgan</v>
      </c>
      <c r="G682" s="17" t="s">
        <v>63</v>
      </c>
      <c r="H682" s="17" t="s">
        <v>156</v>
      </c>
      <c r="I682" s="19" t="str">
        <f>IFERROR(VLOOKUP(H682,product_lookup!$A:$D,2,FALSE),"")</f>
        <v>Blood Orange 1:1 Gummies</v>
      </c>
      <c r="J682" s="21">
        <v>48.0</v>
      </c>
      <c r="K682" s="22">
        <v>10.37</v>
      </c>
      <c r="L682" s="23">
        <f t="shared" si="1"/>
        <v>497.76</v>
      </c>
      <c r="M682" s="17" t="s">
        <v>97</v>
      </c>
      <c r="N682" s="18">
        <v>46069.0</v>
      </c>
      <c r="O682" s="19">
        <f>SUMIF(inventory_snapshot!$B:$B,H682,inventory_snapshot!$E:$E)</f>
        <v>1589</v>
      </c>
      <c r="P682" s="24" t="str">
        <f t="shared" si="2"/>
        <v>OK</v>
      </c>
      <c r="Q682" s="24" t="str">
        <f t="shared" si="3"/>
        <v>Duplicate</v>
      </c>
      <c r="R682" s="24" t="str">
        <f t="shared" si="4"/>
        <v>OK</v>
      </c>
      <c r="S682" s="24" t="str">
        <f t="shared" si="5"/>
        <v>Small</v>
      </c>
    </row>
    <row r="683" ht="15.75" customHeight="1">
      <c r="A683" s="25" t="s">
        <v>851</v>
      </c>
      <c r="B683" s="26">
        <v>46041.0</v>
      </c>
      <c r="C683" s="25" t="s">
        <v>727</v>
      </c>
      <c r="D683" s="27" t="str">
        <f>IFERROR(VLOOKUP(C683,customer_lookup!$A:$E,2,FALSE),"")</f>
        <v>OK Account 0108</v>
      </c>
      <c r="E683" s="27" t="str">
        <f>IFERROR(VLOOKUP(C683,customer_lookup!$A:$E,3,FALSE),"")</f>
        <v>OK</v>
      </c>
      <c r="F683" s="28" t="str">
        <f>IFERROR(VLOOKUP(C683,customer_lookup!$A:$E,5,FALSE),"")</f>
        <v>Morgan</v>
      </c>
      <c r="G683" s="25" t="s">
        <v>63</v>
      </c>
      <c r="H683" s="25" t="s">
        <v>108</v>
      </c>
      <c r="I683" s="27" t="str">
        <f>IFERROR(VLOOKUP(H683,product_lookup!$A:$D,2,FALSE),"")</f>
        <v>Sour Tangerine THC Gummies</v>
      </c>
      <c r="J683" s="29">
        <v>6.0</v>
      </c>
      <c r="K683" s="30">
        <v>10.16</v>
      </c>
      <c r="L683" s="31">
        <f t="shared" si="1"/>
        <v>60.96</v>
      </c>
      <c r="M683" s="25" t="s">
        <v>75</v>
      </c>
      <c r="N683" s="26">
        <v>46046.0</v>
      </c>
      <c r="O683" s="27">
        <f>SUMIF(inventory_snapshot!$B:$B,H683,inventory_snapshot!$E:$E)</f>
        <v>1679</v>
      </c>
      <c r="P683" s="32" t="str">
        <f t="shared" si="2"/>
        <v>OK</v>
      </c>
      <c r="Q683" s="32" t="str">
        <f t="shared" si="3"/>
        <v>Duplicate</v>
      </c>
      <c r="R683" s="32" t="str">
        <f t="shared" si="4"/>
        <v>OK</v>
      </c>
      <c r="S683" s="32" t="str">
        <f t="shared" si="5"/>
        <v>Small</v>
      </c>
    </row>
    <row r="684" ht="15.75" customHeight="1">
      <c r="A684" s="17" t="s">
        <v>852</v>
      </c>
      <c r="B684" s="18">
        <v>46120.0</v>
      </c>
      <c r="C684" s="17" t="s">
        <v>853</v>
      </c>
      <c r="D684" s="19" t="str">
        <f>IFERROR(VLOOKUP(C684,customer_lookup!$A:$E,2,FALSE),"")</f>
        <v>NV Account 0042</v>
      </c>
      <c r="E684" s="19" t="str">
        <f>IFERROR(VLOOKUP(C684,customer_lookup!$A:$E,3,FALSE),"")</f>
        <v>NV</v>
      </c>
      <c r="F684" s="20" t="str">
        <f>IFERROR(VLOOKUP(C684,customer_lookup!$A:$E,5,FALSE),"")</f>
        <v>Quinn</v>
      </c>
      <c r="G684" s="17" t="s">
        <v>63</v>
      </c>
      <c r="H684" s="17" t="s">
        <v>92</v>
      </c>
      <c r="I684" s="19" t="str">
        <f>IFERROR(VLOOKUP(H684,product_lookup!$A:$D,2,FALSE),"")</f>
        <v>Raspberry THC Gummies</v>
      </c>
      <c r="J684" s="21">
        <v>48.0</v>
      </c>
      <c r="K684" s="22">
        <v>10.03</v>
      </c>
      <c r="L684" s="23">
        <f t="shared" si="1"/>
        <v>481.44</v>
      </c>
      <c r="M684" s="17" t="s">
        <v>93</v>
      </c>
      <c r="N684" s="18">
        <v>46122.0</v>
      </c>
      <c r="O684" s="19">
        <f>SUMIF(inventory_snapshot!$B:$B,H684,inventory_snapshot!$E:$E)</f>
        <v>1417</v>
      </c>
      <c r="P684" s="24" t="str">
        <f t="shared" si="2"/>
        <v>OK</v>
      </c>
      <c r="Q684" s="24" t="str">
        <f t="shared" si="3"/>
        <v>OK</v>
      </c>
      <c r="R684" s="24" t="str">
        <f t="shared" si="4"/>
        <v>OK</v>
      </c>
      <c r="S684" s="24" t="str">
        <f t="shared" si="5"/>
        <v>Small</v>
      </c>
    </row>
    <row r="685" ht="15.75" customHeight="1">
      <c r="A685" s="25" t="s">
        <v>854</v>
      </c>
      <c r="B685" s="26">
        <v>46081.0</v>
      </c>
      <c r="C685" s="25" t="s">
        <v>855</v>
      </c>
      <c r="D685" s="27" t="str">
        <f>IFERROR(VLOOKUP(C685,customer_lookup!$A:$E,2,FALSE),"")</f>
        <v>OR Account 0061</v>
      </c>
      <c r="E685" s="27" t="str">
        <f>IFERROR(VLOOKUP(C685,customer_lookup!$A:$E,3,FALSE),"")</f>
        <v>OR</v>
      </c>
      <c r="F685" s="28" t="str">
        <f>IFERROR(VLOOKUP(C685,customer_lookup!$A:$E,5,FALSE),"")</f>
        <v>Quinn</v>
      </c>
      <c r="G685" s="25" t="s">
        <v>63</v>
      </c>
      <c r="H685" s="25" t="s">
        <v>123</v>
      </c>
      <c r="I685" s="27" t="str">
        <f>IFERROR(VLOOKUP(H685,product_lookup!$A:$D,2,FALSE),"")</f>
        <v>Peach 2:1 Gummies</v>
      </c>
      <c r="J685" s="29">
        <v>72.0</v>
      </c>
      <c r="K685" s="30">
        <v>9.99</v>
      </c>
      <c r="L685" s="31">
        <f t="shared" si="1"/>
        <v>719.28</v>
      </c>
      <c r="M685" s="25" t="s">
        <v>97</v>
      </c>
      <c r="N685" s="26">
        <v>46084.0</v>
      </c>
      <c r="O685" s="27">
        <f>SUMIF(inventory_snapshot!$B:$B,H685,inventory_snapshot!$E:$E)</f>
        <v>1732</v>
      </c>
      <c r="P685" s="32" t="str">
        <f t="shared" si="2"/>
        <v>OK</v>
      </c>
      <c r="Q685" s="32" t="str">
        <f t="shared" si="3"/>
        <v>OK</v>
      </c>
      <c r="R685" s="32" t="str">
        <f t="shared" si="4"/>
        <v>OK</v>
      </c>
      <c r="S685" s="32" t="str">
        <f t="shared" si="5"/>
        <v>Medium</v>
      </c>
    </row>
    <row r="686" ht="15.75" customHeight="1">
      <c r="A686" s="17" t="s">
        <v>856</v>
      </c>
      <c r="B686" s="18">
        <v>46024.0</v>
      </c>
      <c r="C686" s="17" t="s">
        <v>857</v>
      </c>
      <c r="D686" s="19" t="str">
        <f>IFERROR(VLOOKUP(C686,customer_lookup!$A:$E,2,FALSE),"")</f>
        <v>MI Account 0068</v>
      </c>
      <c r="E686" s="19" t="str">
        <f>IFERROR(VLOOKUP(C686,customer_lookup!$A:$E,3,FALSE),"")</f>
        <v>MI</v>
      </c>
      <c r="F686" s="20" t="str">
        <f>IFERROR(VLOOKUP(C686,customer_lookup!$A:$E,5,FALSE),"")</f>
        <v>Quinn</v>
      </c>
      <c r="G686" s="17" t="s">
        <v>63</v>
      </c>
      <c r="H686" s="17" t="s">
        <v>74</v>
      </c>
      <c r="I686" s="19" t="str">
        <f>IFERROR(VLOOKUP(H686,product_lookup!$A:$D,2,FALSE),"")</f>
        <v>Strawberry 20:1 Gummies</v>
      </c>
      <c r="J686" s="21">
        <v>18.0</v>
      </c>
      <c r="K686" s="22">
        <v>11.29</v>
      </c>
      <c r="L686" s="23">
        <f t="shared" si="1"/>
        <v>203.22</v>
      </c>
      <c r="M686" s="17" t="s">
        <v>65</v>
      </c>
      <c r="N686" s="18">
        <v>46032.0</v>
      </c>
      <c r="O686" s="19">
        <f>SUMIF(inventory_snapshot!$B:$B,H686,inventory_snapshot!$E:$E)</f>
        <v>2294</v>
      </c>
      <c r="P686" s="24" t="str">
        <f t="shared" si="2"/>
        <v>OK</v>
      </c>
      <c r="Q686" s="24" t="str">
        <f t="shared" si="3"/>
        <v>OK</v>
      </c>
      <c r="R686" s="24" t="str">
        <f t="shared" si="4"/>
        <v>OK</v>
      </c>
      <c r="S686" s="24" t="str">
        <f t="shared" si="5"/>
        <v>Small</v>
      </c>
    </row>
    <row r="687" ht="15.75" customHeight="1">
      <c r="A687" s="25" t="s">
        <v>858</v>
      </c>
      <c r="B687" s="26">
        <v>46024.0</v>
      </c>
      <c r="C687" s="25" t="s">
        <v>859</v>
      </c>
      <c r="D687" s="27" t="str">
        <f>IFERROR(VLOOKUP(C687,customer_lookup!$A:$E,2,FALSE),"")</f>
        <v>CA Account 0051</v>
      </c>
      <c r="E687" s="27" t="str">
        <f>IFERROR(VLOOKUP(C687,customer_lookup!$A:$E,3,FALSE),"")</f>
        <v>CA</v>
      </c>
      <c r="F687" s="28" t="str">
        <f>IFERROR(VLOOKUP(C687,customer_lookup!$A:$E,5,FALSE),"")</f>
        <v>Quinn</v>
      </c>
      <c r="G687" s="25" t="s">
        <v>89</v>
      </c>
      <c r="H687" s="25" t="s">
        <v>115</v>
      </c>
      <c r="I687" s="27" t="str">
        <f>IFERROR(VLOOKUP(H687,product_lookup!$A:$D,2,FALSE),"")</f>
        <v>Pear 1:1 Gummies</v>
      </c>
      <c r="J687" s="29">
        <v>96.0</v>
      </c>
      <c r="K687" s="30">
        <v>12.07</v>
      </c>
      <c r="L687" s="31">
        <f t="shared" si="1"/>
        <v>1158.72</v>
      </c>
      <c r="M687" s="25" t="s">
        <v>65</v>
      </c>
      <c r="N687" s="26">
        <v>46034.0</v>
      </c>
      <c r="O687" s="27">
        <f>SUMIF(inventory_snapshot!$B:$B,H687,inventory_snapshot!$E:$E)</f>
        <v>981</v>
      </c>
      <c r="P687" s="32" t="str">
        <f t="shared" si="2"/>
        <v>OK</v>
      </c>
      <c r="Q687" s="32" t="str">
        <f t="shared" si="3"/>
        <v>OK</v>
      </c>
      <c r="R687" s="32" t="str">
        <f t="shared" si="4"/>
        <v>OK</v>
      </c>
      <c r="S687" s="32" t="str">
        <f t="shared" si="5"/>
        <v>Large</v>
      </c>
    </row>
    <row r="688" ht="15.75" customHeight="1">
      <c r="A688" s="17" t="s">
        <v>860</v>
      </c>
      <c r="B688" s="18">
        <v>46122.0</v>
      </c>
      <c r="C688" s="17" t="s">
        <v>861</v>
      </c>
      <c r="D688" s="19" t="str">
        <f>IFERROR(VLOOKUP(C688,customer_lookup!$A:$E,2,FALSE),"")</f>
        <v>MI Account 0116</v>
      </c>
      <c r="E688" s="19" t="str">
        <f>IFERROR(VLOOKUP(C688,customer_lookup!$A:$E,3,FALSE),"")</f>
        <v>MI</v>
      </c>
      <c r="F688" s="20" t="str">
        <f>IFERROR(VLOOKUP(C688,customer_lookup!$A:$E,5,FALSE),"")</f>
        <v>Quinn</v>
      </c>
      <c r="G688" s="17" t="s">
        <v>63</v>
      </c>
      <c r="H688" s="17" t="s">
        <v>102</v>
      </c>
      <c r="I688" s="19" t="str">
        <f>IFERROR(VLOOKUP(H688,product_lookup!$A:$D,2,FALSE),"")</f>
        <v>Pomegranate 1:1 Gummies</v>
      </c>
      <c r="J688" s="21">
        <v>24.0</v>
      </c>
      <c r="K688" s="22">
        <v>11.24</v>
      </c>
      <c r="L688" s="23">
        <f t="shared" si="1"/>
        <v>269.76</v>
      </c>
      <c r="M688" s="17" t="s">
        <v>97</v>
      </c>
      <c r="N688" s="18">
        <v>46132.0</v>
      </c>
      <c r="O688" s="19">
        <f>SUMIF(inventory_snapshot!$B:$B,H688,inventory_snapshot!$E:$E)</f>
        <v>1493</v>
      </c>
      <c r="P688" s="24" t="str">
        <f t="shared" si="2"/>
        <v>OK</v>
      </c>
      <c r="Q688" s="24" t="str">
        <f t="shared" si="3"/>
        <v>OK</v>
      </c>
      <c r="R688" s="24" t="str">
        <f t="shared" si="4"/>
        <v>OK</v>
      </c>
      <c r="S688" s="24" t="str">
        <f t="shared" si="5"/>
        <v>Small</v>
      </c>
    </row>
    <row r="689" ht="15.75" customHeight="1">
      <c r="A689" s="25" t="s">
        <v>862</v>
      </c>
      <c r="B689" s="26">
        <v>46023.0</v>
      </c>
      <c r="C689" s="25" t="s">
        <v>861</v>
      </c>
      <c r="D689" s="27" t="str">
        <f>IFERROR(VLOOKUP(C689,customer_lookup!$A:$E,2,FALSE),"")</f>
        <v>MI Account 0116</v>
      </c>
      <c r="E689" s="27" t="str">
        <f>IFERROR(VLOOKUP(C689,customer_lookup!$A:$E,3,FALSE),"")</f>
        <v>MI</v>
      </c>
      <c r="F689" s="28" t="str">
        <f>IFERROR(VLOOKUP(C689,customer_lookup!$A:$E,5,FALSE),"")</f>
        <v>Quinn</v>
      </c>
      <c r="G689" s="25" t="s">
        <v>63</v>
      </c>
      <c r="H689" s="25" t="s">
        <v>71</v>
      </c>
      <c r="I689" s="27" t="str">
        <f>IFERROR(VLOOKUP(H689,product_lookup!$A:$D,2,FALSE),"")</f>
        <v>Pineapple Sparkling Beverage</v>
      </c>
      <c r="J689" s="29">
        <v>30.0</v>
      </c>
      <c r="K689" s="30">
        <v>8.31</v>
      </c>
      <c r="L689" s="31">
        <f t="shared" si="1"/>
        <v>249.3</v>
      </c>
      <c r="M689" s="25" t="s">
        <v>97</v>
      </c>
      <c r="N689" s="26">
        <v>46028.0</v>
      </c>
      <c r="O689" s="27">
        <f>SUMIF(inventory_snapshot!$B:$B,H689,inventory_snapshot!$E:$E)</f>
        <v>1145</v>
      </c>
      <c r="P689" s="32" t="str">
        <f t="shared" si="2"/>
        <v>OK</v>
      </c>
      <c r="Q689" s="32" t="str">
        <f t="shared" si="3"/>
        <v>OK</v>
      </c>
      <c r="R689" s="32" t="str">
        <f t="shared" si="4"/>
        <v>OK</v>
      </c>
      <c r="S689" s="32" t="str">
        <f t="shared" si="5"/>
        <v>Small</v>
      </c>
    </row>
    <row r="690" ht="15.75" customHeight="1">
      <c r="A690" s="17" t="s">
        <v>863</v>
      </c>
      <c r="B690" s="18">
        <v>46090.0</v>
      </c>
      <c r="C690" s="17" t="s">
        <v>864</v>
      </c>
      <c r="D690" s="19" t="str">
        <f>IFERROR(VLOOKUP(C690,customer_lookup!$A:$E,2,FALSE),"")</f>
        <v>NY Account 0095</v>
      </c>
      <c r="E690" s="19" t="str">
        <f>IFERROR(VLOOKUP(C690,customer_lookup!$A:$E,3,FALSE),"")</f>
        <v>NY</v>
      </c>
      <c r="F690" s="20" t="str">
        <f>IFERROR(VLOOKUP(C690,customer_lookup!$A:$E,5,FALSE),"")</f>
        <v>Quinn</v>
      </c>
      <c r="G690" s="17" t="s">
        <v>67</v>
      </c>
      <c r="H690" s="17" t="s">
        <v>108</v>
      </c>
      <c r="I690" s="19" t="str">
        <f>IFERROR(VLOOKUP(H690,product_lookup!$A:$D,2,FALSE),"")</f>
        <v>Sour Tangerine THC Gummies</v>
      </c>
      <c r="J690" s="21">
        <v>12.0</v>
      </c>
      <c r="K690" s="22">
        <v>11.28</v>
      </c>
      <c r="L690" s="23">
        <f t="shared" si="1"/>
        <v>135.36</v>
      </c>
      <c r="M690" s="17" t="s">
        <v>137</v>
      </c>
      <c r="N690" s="18">
        <v>46099.0</v>
      </c>
      <c r="O690" s="19">
        <f>SUMIF(inventory_snapshot!$B:$B,H690,inventory_snapshot!$E:$E)</f>
        <v>1679</v>
      </c>
      <c r="P690" s="24" t="str">
        <f t="shared" si="2"/>
        <v>OK</v>
      </c>
      <c r="Q690" s="24" t="str">
        <f t="shared" si="3"/>
        <v>OK</v>
      </c>
      <c r="R690" s="24" t="str">
        <f t="shared" si="4"/>
        <v>OK</v>
      </c>
      <c r="S690" s="24" t="str">
        <f t="shared" si="5"/>
        <v>Small</v>
      </c>
    </row>
    <row r="691" ht="15.75" customHeight="1">
      <c r="A691" s="25" t="s">
        <v>865</v>
      </c>
      <c r="B691" s="26">
        <v>46087.0</v>
      </c>
      <c r="C691" s="25" t="s">
        <v>866</v>
      </c>
      <c r="D691" s="27" t="str">
        <f>IFERROR(VLOOKUP(C691,customer_lookup!$A:$E,2,FALSE),"")</f>
        <v>MI Account 0092</v>
      </c>
      <c r="E691" s="27" t="str">
        <f>IFERROR(VLOOKUP(C691,customer_lookup!$A:$E,3,FALSE),"")</f>
        <v>MI</v>
      </c>
      <c r="F691" s="28" t="str">
        <f>IFERROR(VLOOKUP(C691,customer_lookup!$A:$E,5,FALSE),"")</f>
        <v>Quinn</v>
      </c>
      <c r="G691" s="25" t="s">
        <v>63</v>
      </c>
      <c r="H691" s="25" t="s">
        <v>110</v>
      </c>
      <c r="I691" s="27" t="str">
        <f>IFERROR(VLOOKUP(H691,product_lookup!$A:$D,2,FALSE),"")</f>
        <v>Elderberry 2:1 Gummies</v>
      </c>
      <c r="J691" s="29">
        <v>120.0</v>
      </c>
      <c r="K691" s="30">
        <v>10.28</v>
      </c>
      <c r="L691" s="31">
        <f t="shared" si="1"/>
        <v>1233.6</v>
      </c>
      <c r="M691" s="25" t="s">
        <v>97</v>
      </c>
      <c r="N691" s="26">
        <v>46095.0</v>
      </c>
      <c r="O691" s="27">
        <f>SUMIF(inventory_snapshot!$B:$B,H691,inventory_snapshot!$E:$E)</f>
        <v>1633</v>
      </c>
      <c r="P691" s="32" t="str">
        <f t="shared" si="2"/>
        <v>OK</v>
      </c>
      <c r="Q691" s="32" t="str">
        <f t="shared" si="3"/>
        <v>OK</v>
      </c>
      <c r="R691" s="32" t="str">
        <f t="shared" si="4"/>
        <v>OK</v>
      </c>
      <c r="S691" s="32" t="str">
        <f t="shared" si="5"/>
        <v>Large</v>
      </c>
    </row>
    <row r="692" ht="15.75" customHeight="1">
      <c r="A692" s="17" t="s">
        <v>867</v>
      </c>
      <c r="B692" s="18">
        <v>46076.0</v>
      </c>
      <c r="C692" s="17" t="s">
        <v>868</v>
      </c>
      <c r="D692" s="19" t="str">
        <f>IFERROR(VLOOKUP(C692,customer_lookup!$A:$E,2,FALSE),"")</f>
        <v>OK Account 0120</v>
      </c>
      <c r="E692" s="19" t="str">
        <f>IFERROR(VLOOKUP(C692,customer_lookup!$A:$E,3,FALSE),"")</f>
        <v>OK</v>
      </c>
      <c r="F692" s="20" t="str">
        <f>IFERROR(VLOOKUP(C692,customer_lookup!$A:$E,5,FALSE),"")</f>
        <v>Quinn</v>
      </c>
      <c r="G692" s="17" t="s">
        <v>63</v>
      </c>
      <c r="H692" s="17" t="s">
        <v>156</v>
      </c>
      <c r="I692" s="19" t="str">
        <f>IFERROR(VLOOKUP(H692,product_lookup!$A:$D,2,FALSE),"")</f>
        <v>Blood Orange 1:1 Gummies</v>
      </c>
      <c r="J692" s="21">
        <v>6.0</v>
      </c>
      <c r="K692" s="22">
        <v>9.79</v>
      </c>
      <c r="L692" s="23">
        <f t="shared" si="1"/>
        <v>58.74</v>
      </c>
      <c r="M692" s="17" t="s">
        <v>75</v>
      </c>
      <c r="N692" s="18">
        <v>46078.0</v>
      </c>
      <c r="O692" s="19">
        <f>SUMIF(inventory_snapshot!$B:$B,H692,inventory_snapshot!$E:$E)</f>
        <v>1589</v>
      </c>
      <c r="P692" s="24" t="str">
        <f t="shared" si="2"/>
        <v>OK</v>
      </c>
      <c r="Q692" s="24" t="str">
        <f t="shared" si="3"/>
        <v>Duplicate</v>
      </c>
      <c r="R692" s="24" t="str">
        <f t="shared" si="4"/>
        <v>OK</v>
      </c>
      <c r="S692" s="24" t="str">
        <f t="shared" si="5"/>
        <v>Small</v>
      </c>
    </row>
    <row r="693" ht="15.75" customHeight="1">
      <c r="A693" s="25" t="s">
        <v>869</v>
      </c>
      <c r="B693" s="26">
        <v>46130.0</v>
      </c>
      <c r="C693" s="25" t="s">
        <v>868</v>
      </c>
      <c r="D693" s="27" t="str">
        <f>IFERROR(VLOOKUP(C693,customer_lookup!$A:$E,2,FALSE),"")</f>
        <v>OK Account 0120</v>
      </c>
      <c r="E693" s="27" t="str">
        <f>IFERROR(VLOOKUP(C693,customer_lookup!$A:$E,3,FALSE),"")</f>
        <v>OK</v>
      </c>
      <c r="F693" s="28" t="str">
        <f>IFERROR(VLOOKUP(C693,customer_lookup!$A:$E,5,FALSE),"")</f>
        <v>Quinn</v>
      </c>
      <c r="G693" s="25" t="s">
        <v>63</v>
      </c>
      <c r="H693" s="25" t="s">
        <v>78</v>
      </c>
      <c r="I693" s="27" t="str">
        <f>IFERROR(VLOOKUP(H693,product_lookup!$A:$D,2,FALSE),"")</f>
        <v>Grapefruit 1:1:1 Gummies</v>
      </c>
      <c r="J693" s="29">
        <v>120.0</v>
      </c>
      <c r="K693" s="30">
        <v>10.4</v>
      </c>
      <c r="L693" s="31">
        <f t="shared" si="1"/>
        <v>1248</v>
      </c>
      <c r="M693" s="25" t="s">
        <v>97</v>
      </c>
      <c r="N693" s="26">
        <v>46138.0</v>
      </c>
      <c r="O693" s="27">
        <f>SUMIF(inventory_snapshot!$B:$B,H693,inventory_snapshot!$E:$E)</f>
        <v>1751</v>
      </c>
      <c r="P693" s="32" t="str">
        <f t="shared" si="2"/>
        <v>OK</v>
      </c>
      <c r="Q693" s="32" t="str">
        <f t="shared" si="3"/>
        <v>OK</v>
      </c>
      <c r="R693" s="32" t="str">
        <f t="shared" si="4"/>
        <v>OK</v>
      </c>
      <c r="S693" s="32" t="str">
        <f t="shared" si="5"/>
        <v>Large</v>
      </c>
    </row>
    <row r="694" ht="15.75" customHeight="1">
      <c r="A694" s="17" t="s">
        <v>870</v>
      </c>
      <c r="B694" s="18">
        <v>46037.0</v>
      </c>
      <c r="C694" s="17" t="s">
        <v>857</v>
      </c>
      <c r="D694" s="19" t="str">
        <f>IFERROR(VLOOKUP(C694,customer_lookup!$A:$E,2,FALSE),"")</f>
        <v>MI Account 0068</v>
      </c>
      <c r="E694" s="19" t="str">
        <f>IFERROR(VLOOKUP(C694,customer_lookup!$A:$E,3,FALSE),"")</f>
        <v>MI</v>
      </c>
      <c r="F694" s="20" t="str">
        <f>IFERROR(VLOOKUP(C694,customer_lookup!$A:$E,5,FALSE),"")</f>
        <v>Quinn</v>
      </c>
      <c r="G694" s="17" t="s">
        <v>63</v>
      </c>
      <c r="H694" s="17" t="s">
        <v>108</v>
      </c>
      <c r="I694" s="19" t="str">
        <f>IFERROR(VLOOKUP(H694,product_lookup!$A:$D,2,FALSE),"")</f>
        <v>Sour Tangerine THC Gummies</v>
      </c>
      <c r="J694" s="21">
        <v>30.0</v>
      </c>
      <c r="K694" s="22">
        <v>10.19</v>
      </c>
      <c r="L694" s="23">
        <f t="shared" si="1"/>
        <v>305.7</v>
      </c>
      <c r="M694" s="17" t="s">
        <v>97</v>
      </c>
      <c r="N694" s="18">
        <v>46047.0</v>
      </c>
      <c r="O694" s="19">
        <f>SUMIF(inventory_snapshot!$B:$B,H694,inventory_snapshot!$E:$E)</f>
        <v>1679</v>
      </c>
      <c r="P694" s="24" t="str">
        <f t="shared" si="2"/>
        <v>OK</v>
      </c>
      <c r="Q694" s="24" t="str">
        <f t="shared" si="3"/>
        <v>OK</v>
      </c>
      <c r="R694" s="24" t="str">
        <f t="shared" si="4"/>
        <v>OK</v>
      </c>
      <c r="S694" s="24" t="str">
        <f t="shared" si="5"/>
        <v>Small</v>
      </c>
    </row>
    <row r="695" ht="15.75" customHeight="1">
      <c r="A695" s="25" t="s">
        <v>871</v>
      </c>
      <c r="B695" s="26">
        <v>46099.0</v>
      </c>
      <c r="C695" s="25" t="s">
        <v>861</v>
      </c>
      <c r="D695" s="27" t="str">
        <f>IFERROR(VLOOKUP(C695,customer_lookup!$A:$E,2,FALSE),"")</f>
        <v>MI Account 0116</v>
      </c>
      <c r="E695" s="27" t="str">
        <f>IFERROR(VLOOKUP(C695,customer_lookup!$A:$E,3,FALSE),"")</f>
        <v>MI</v>
      </c>
      <c r="F695" s="28" t="str">
        <f>IFERROR(VLOOKUP(C695,customer_lookup!$A:$E,5,FALSE),"")</f>
        <v>Quinn</v>
      </c>
      <c r="G695" s="25" t="s">
        <v>63</v>
      </c>
      <c r="H695" s="25"/>
      <c r="I695" s="27" t="str">
        <f>IFERROR(VLOOKUP(H695,product_lookup!$A:$D,2,FALSE),"")</f>
        <v/>
      </c>
      <c r="J695" s="29">
        <v>72.0</v>
      </c>
      <c r="K695" s="30">
        <v>6.77</v>
      </c>
      <c r="L695" s="31">
        <f t="shared" si="1"/>
        <v>487.44</v>
      </c>
      <c r="M695" s="25" t="s">
        <v>65</v>
      </c>
      <c r="N695" s="26">
        <v>46102.0</v>
      </c>
      <c r="O695" s="27">
        <f>SUMIF(inventory_snapshot!$B:$B,H695,inventory_snapshot!$E:$E)</f>
        <v>0</v>
      </c>
      <c r="P695" s="32" t="str">
        <f t="shared" si="2"/>
        <v>Short</v>
      </c>
      <c r="Q695" s="32" t="str">
        <f t="shared" si="3"/>
        <v>OK</v>
      </c>
      <c r="R695" s="32" t="str">
        <f t="shared" si="4"/>
        <v>Missing Key</v>
      </c>
      <c r="S695" s="32" t="str">
        <f t="shared" si="5"/>
        <v>Small</v>
      </c>
    </row>
    <row r="696" ht="15.75" customHeight="1">
      <c r="A696" s="17" t="s">
        <v>872</v>
      </c>
      <c r="B696" s="18">
        <v>46057.0</v>
      </c>
      <c r="C696" s="17" t="s">
        <v>873</v>
      </c>
      <c r="D696" s="19" t="str">
        <f>IFERROR(VLOOKUP(C696,customer_lookup!$A:$E,2,FALSE),"")</f>
        <v>NY Account 0119</v>
      </c>
      <c r="E696" s="19" t="str">
        <f>IFERROR(VLOOKUP(C696,customer_lookup!$A:$E,3,FALSE),"")</f>
        <v>NY</v>
      </c>
      <c r="F696" s="20" t="str">
        <f>IFERROR(VLOOKUP(C696,customer_lookup!$A:$E,5,FALSE),"")</f>
        <v>Quinn</v>
      </c>
      <c r="G696" s="17" t="s">
        <v>63</v>
      </c>
      <c r="H696" s="17" t="s">
        <v>190</v>
      </c>
      <c r="I696" s="19" t="str">
        <f>IFERROR(VLOOKUP(H696,product_lookup!$A:$D,2,FALSE),"")</f>
        <v>Mango Sparkling Beverage</v>
      </c>
      <c r="J696" s="21">
        <v>12.0</v>
      </c>
      <c r="K696" s="22">
        <v>7.84</v>
      </c>
      <c r="L696" s="23">
        <f t="shared" si="1"/>
        <v>94.08</v>
      </c>
      <c r="M696" s="17" t="s">
        <v>100</v>
      </c>
      <c r="N696" s="18">
        <v>46060.0</v>
      </c>
      <c r="O696" s="19">
        <f>SUMIF(inventory_snapshot!$B:$B,H696,inventory_snapshot!$E:$E)</f>
        <v>1502</v>
      </c>
      <c r="P696" s="24" t="str">
        <f t="shared" si="2"/>
        <v>OK</v>
      </c>
      <c r="Q696" s="24" t="str">
        <f t="shared" si="3"/>
        <v>OK</v>
      </c>
      <c r="R696" s="24" t="str">
        <f t="shared" si="4"/>
        <v>OK</v>
      </c>
      <c r="S696" s="24" t="str">
        <f t="shared" si="5"/>
        <v>Small</v>
      </c>
    </row>
    <row r="697" ht="15.75" customHeight="1">
      <c r="A697" s="25" t="s">
        <v>874</v>
      </c>
      <c r="B697" s="26">
        <v>46124.0</v>
      </c>
      <c r="C697" s="25" t="s">
        <v>873</v>
      </c>
      <c r="D697" s="27" t="str">
        <f>IFERROR(VLOOKUP(C697,customer_lookup!$A:$E,2,FALSE),"")</f>
        <v>NY Account 0119</v>
      </c>
      <c r="E697" s="27" t="str">
        <f>IFERROR(VLOOKUP(C697,customer_lookup!$A:$E,3,FALSE),"")</f>
        <v>NY</v>
      </c>
      <c r="F697" s="28" t="str">
        <f>IFERROR(VLOOKUP(C697,customer_lookup!$A:$E,5,FALSE),"")</f>
        <v>Quinn</v>
      </c>
      <c r="G697" s="25" t="s">
        <v>63</v>
      </c>
      <c r="H697" s="25" t="s">
        <v>154</v>
      </c>
      <c r="I697" s="27" t="str">
        <f>IFERROR(VLOOKUP(H697,product_lookup!$A:$D,2,FALSE),"")</f>
        <v>Kiwi 1:1 Gummies</v>
      </c>
      <c r="J697" s="29">
        <v>36.0</v>
      </c>
      <c r="K697" s="30">
        <v>10.77</v>
      </c>
      <c r="L697" s="31">
        <f t="shared" si="1"/>
        <v>387.72</v>
      </c>
      <c r="M697" s="25" t="s">
        <v>97</v>
      </c>
      <c r="N697" s="26">
        <v>46127.0</v>
      </c>
      <c r="O697" s="27">
        <f>SUMIF(inventory_snapshot!$B:$B,H697,inventory_snapshot!$E:$E)</f>
        <v>1136</v>
      </c>
      <c r="P697" s="32" t="str">
        <f t="shared" si="2"/>
        <v>OK</v>
      </c>
      <c r="Q697" s="32" t="str">
        <f t="shared" si="3"/>
        <v>OK</v>
      </c>
      <c r="R697" s="32" t="str">
        <f t="shared" si="4"/>
        <v>OK</v>
      </c>
      <c r="S697" s="32" t="str">
        <f t="shared" si="5"/>
        <v>Small</v>
      </c>
    </row>
    <row r="698" ht="15.75" customHeight="1">
      <c r="A698" s="17" t="s">
        <v>875</v>
      </c>
      <c r="B698" s="18">
        <v>46090.0</v>
      </c>
      <c r="C698" s="17" t="s">
        <v>866</v>
      </c>
      <c r="D698" s="19" t="str">
        <f>IFERROR(VLOOKUP(C698,customer_lookup!$A:$E,2,FALSE),"")</f>
        <v>MI Account 0092</v>
      </c>
      <c r="E698" s="19" t="str">
        <f>IFERROR(VLOOKUP(C698,customer_lookup!$A:$E,3,FALSE),"")</f>
        <v>MI</v>
      </c>
      <c r="F698" s="20" t="str">
        <f>IFERROR(VLOOKUP(C698,customer_lookup!$A:$E,5,FALSE),"")</f>
        <v>Quinn</v>
      </c>
      <c r="G698" s="17" t="s">
        <v>63</v>
      </c>
      <c r="H698" s="17" t="s">
        <v>90</v>
      </c>
      <c r="I698" s="19" t="str">
        <f>IFERROR(VLOOKUP(H698,product_lookup!$A:$D,2,FALSE),"")</f>
        <v>Blackberry Sparkling Beverage</v>
      </c>
      <c r="J698" s="21">
        <v>48.0</v>
      </c>
      <c r="K698" s="22">
        <v>7.9</v>
      </c>
      <c r="L698" s="23">
        <f t="shared" si="1"/>
        <v>379.2</v>
      </c>
      <c r="M698" s="17" t="s">
        <v>65</v>
      </c>
      <c r="N698" s="18">
        <v>46096.0</v>
      </c>
      <c r="O698" s="19">
        <f>SUMIF(inventory_snapshot!$B:$B,H698,inventory_snapshot!$E:$E)</f>
        <v>1292</v>
      </c>
      <c r="P698" s="24" t="str">
        <f t="shared" si="2"/>
        <v>OK</v>
      </c>
      <c r="Q698" s="24" t="str">
        <f t="shared" si="3"/>
        <v>OK</v>
      </c>
      <c r="R698" s="24" t="str">
        <f t="shared" si="4"/>
        <v>OK</v>
      </c>
      <c r="S698" s="24" t="str">
        <f t="shared" si="5"/>
        <v>Small</v>
      </c>
    </row>
    <row r="699" ht="15.75" customHeight="1">
      <c r="A699" s="25" t="s">
        <v>876</v>
      </c>
      <c r="B699" s="26">
        <v>46106.0</v>
      </c>
      <c r="C699" s="25" t="s">
        <v>873</v>
      </c>
      <c r="D699" s="27" t="str">
        <f>IFERROR(VLOOKUP(C699,customer_lookup!$A:$E,2,FALSE),"")</f>
        <v>NY Account 0119</v>
      </c>
      <c r="E699" s="27" t="str">
        <f>IFERROR(VLOOKUP(C699,customer_lookup!$A:$E,3,FALSE),"")</f>
        <v>NY</v>
      </c>
      <c r="F699" s="28" t="str">
        <f>IFERROR(VLOOKUP(C699,customer_lookup!$A:$E,5,FALSE),"")</f>
        <v>Quinn</v>
      </c>
      <c r="G699" s="25" t="s">
        <v>89</v>
      </c>
      <c r="H699" s="25" t="s">
        <v>74</v>
      </c>
      <c r="I699" s="27" t="str">
        <f>IFERROR(VLOOKUP(H699,product_lookup!$A:$D,2,FALSE),"")</f>
        <v>Strawberry 20:1 Gummies</v>
      </c>
      <c r="J699" s="29">
        <v>30.0</v>
      </c>
      <c r="K699" s="30">
        <v>12.07</v>
      </c>
      <c r="L699" s="31">
        <f t="shared" si="1"/>
        <v>362.1</v>
      </c>
      <c r="M699" s="25" t="s">
        <v>97</v>
      </c>
      <c r="N699" s="26">
        <v>46111.0</v>
      </c>
      <c r="O699" s="27">
        <f>SUMIF(inventory_snapshot!$B:$B,H699,inventory_snapshot!$E:$E)</f>
        <v>2294</v>
      </c>
      <c r="P699" s="32" t="str">
        <f t="shared" si="2"/>
        <v>OK</v>
      </c>
      <c r="Q699" s="32" t="str">
        <f t="shared" si="3"/>
        <v>OK</v>
      </c>
      <c r="R699" s="32" t="str">
        <f t="shared" si="4"/>
        <v>OK</v>
      </c>
      <c r="S699" s="32" t="str">
        <f t="shared" si="5"/>
        <v>Small</v>
      </c>
    </row>
    <row r="700" ht="15.75" customHeight="1">
      <c r="A700" s="17" t="s">
        <v>877</v>
      </c>
      <c r="B700" s="18">
        <v>46039.0</v>
      </c>
      <c r="C700" s="17" t="s">
        <v>859</v>
      </c>
      <c r="D700" s="19" t="str">
        <f>IFERROR(VLOOKUP(C700,customer_lookup!$A:$E,2,FALSE),"")</f>
        <v>CA Account 0051</v>
      </c>
      <c r="E700" s="19" t="str">
        <f>IFERROR(VLOOKUP(C700,customer_lookup!$A:$E,3,FALSE),"")</f>
        <v>CA</v>
      </c>
      <c r="F700" s="20" t="str">
        <f>IFERROR(VLOOKUP(C700,customer_lookup!$A:$E,5,FALSE),"")</f>
        <v>Quinn</v>
      </c>
      <c r="G700" s="17" t="s">
        <v>89</v>
      </c>
      <c r="H700" s="17" t="s">
        <v>190</v>
      </c>
      <c r="I700" s="19" t="str">
        <f>IFERROR(VLOOKUP(H700,product_lookup!$A:$D,2,FALSE),"")</f>
        <v>Mango Sparkling Beverage</v>
      </c>
      <c r="J700" s="21">
        <v>24.0</v>
      </c>
      <c r="K700" s="22">
        <v>8.0</v>
      </c>
      <c r="L700" s="23">
        <f t="shared" si="1"/>
        <v>192</v>
      </c>
      <c r="M700" s="17" t="s">
        <v>65</v>
      </c>
      <c r="N700" s="18">
        <v>46047.0</v>
      </c>
      <c r="O700" s="19">
        <f>SUMIF(inventory_snapshot!$B:$B,H700,inventory_snapshot!$E:$E)</f>
        <v>1502</v>
      </c>
      <c r="P700" s="24" t="str">
        <f t="shared" si="2"/>
        <v>OK</v>
      </c>
      <c r="Q700" s="24" t="str">
        <f t="shared" si="3"/>
        <v>OK</v>
      </c>
      <c r="R700" s="24" t="str">
        <f t="shared" si="4"/>
        <v>OK</v>
      </c>
      <c r="S700" s="24" t="str">
        <f t="shared" si="5"/>
        <v>Small</v>
      </c>
    </row>
    <row r="701" ht="15.75" customHeight="1">
      <c r="A701" s="25" t="s">
        <v>878</v>
      </c>
      <c r="B701" s="26">
        <v>46083.0</v>
      </c>
      <c r="C701" s="25" t="s">
        <v>879</v>
      </c>
      <c r="D701" s="27" t="str">
        <f>IFERROR(VLOOKUP(C701,customer_lookup!$A:$E,2,FALSE),"")</f>
        <v>OK Account 0024</v>
      </c>
      <c r="E701" s="27" t="str">
        <f>IFERROR(VLOOKUP(C701,customer_lookup!$A:$E,3,FALSE),"")</f>
        <v>OK</v>
      </c>
      <c r="F701" s="28" t="str">
        <f>IFERROR(VLOOKUP(C701,customer_lookup!$A:$E,5,FALSE),"")</f>
        <v>Quinn</v>
      </c>
      <c r="G701" s="25" t="s">
        <v>67</v>
      </c>
      <c r="H701" s="25" t="s">
        <v>81</v>
      </c>
      <c r="I701" s="27" t="str">
        <f>IFERROR(VLOOKUP(H701,product_lookup!$A:$D,2,FALSE),"")</f>
        <v>Lemon Sparkling Beverage</v>
      </c>
      <c r="J701" s="29">
        <v>24.0</v>
      </c>
      <c r="K701" s="30">
        <v>7.76</v>
      </c>
      <c r="L701" s="31">
        <f t="shared" si="1"/>
        <v>186.24</v>
      </c>
      <c r="M701" s="25" t="s">
        <v>97</v>
      </c>
      <c r="N701" s="26">
        <v>46091.0</v>
      </c>
      <c r="O701" s="27">
        <f>SUMIF(inventory_snapshot!$B:$B,H701,inventory_snapshot!$E:$E)</f>
        <v>1360</v>
      </c>
      <c r="P701" s="32" t="str">
        <f t="shared" si="2"/>
        <v>OK</v>
      </c>
      <c r="Q701" s="32" t="str">
        <f t="shared" si="3"/>
        <v>OK</v>
      </c>
      <c r="R701" s="32" t="str">
        <f t="shared" si="4"/>
        <v>OK</v>
      </c>
      <c r="S701" s="32" t="str">
        <f t="shared" si="5"/>
        <v>Small</v>
      </c>
    </row>
    <row r="702" ht="15.75" customHeight="1">
      <c r="A702" s="17" t="s">
        <v>880</v>
      </c>
      <c r="B702" s="18">
        <v>46058.0</v>
      </c>
      <c r="C702" s="17" t="s">
        <v>853</v>
      </c>
      <c r="D702" s="19" t="str">
        <f>IFERROR(VLOOKUP(C702,customer_lookup!$A:$E,2,FALSE),"")</f>
        <v>NV Account 0042</v>
      </c>
      <c r="E702" s="19" t="str">
        <f>IFERROR(VLOOKUP(C702,customer_lookup!$A:$E,3,FALSE),"")</f>
        <v>NV</v>
      </c>
      <c r="F702" s="20" t="str">
        <f>IFERROR(VLOOKUP(C702,customer_lookup!$A:$E,5,FALSE),"")</f>
        <v>Quinn</v>
      </c>
      <c r="G702" s="17" t="s">
        <v>63</v>
      </c>
      <c r="H702" s="17" t="s">
        <v>106</v>
      </c>
      <c r="I702" s="19" t="str">
        <f>IFERROR(VLOOKUP(H702,product_lookup!$A:$D,2,FALSE),"")</f>
        <v>Sour Cherry THC Gummies</v>
      </c>
      <c r="J702" s="21">
        <v>48.0</v>
      </c>
      <c r="K702" s="22">
        <v>10.46</v>
      </c>
      <c r="L702" s="23">
        <f t="shared" si="1"/>
        <v>502.08</v>
      </c>
      <c r="M702" s="17" t="s">
        <v>93</v>
      </c>
      <c r="N702" s="18">
        <v>46067.0</v>
      </c>
      <c r="O702" s="19">
        <f>SUMIF(inventory_snapshot!$B:$B,H702,inventory_snapshot!$E:$E)</f>
        <v>1313</v>
      </c>
      <c r="P702" s="24" t="str">
        <f t="shared" si="2"/>
        <v>OK</v>
      </c>
      <c r="Q702" s="24" t="str">
        <f t="shared" si="3"/>
        <v>OK</v>
      </c>
      <c r="R702" s="24" t="str">
        <f t="shared" si="4"/>
        <v>OK</v>
      </c>
      <c r="S702" s="24" t="str">
        <f t="shared" si="5"/>
        <v>Medium</v>
      </c>
    </row>
    <row r="703" ht="15.75" customHeight="1">
      <c r="A703" s="25" t="s">
        <v>881</v>
      </c>
      <c r="B703" s="26">
        <v>46087.0</v>
      </c>
      <c r="C703" s="25" t="s">
        <v>882</v>
      </c>
      <c r="D703" s="27" t="str">
        <f>IFERROR(VLOOKUP(C703,customer_lookup!$A:$E,2,FALSE),"")</f>
        <v>CO Account 0052</v>
      </c>
      <c r="E703" s="27" t="str">
        <f>IFERROR(VLOOKUP(C703,customer_lookup!$A:$E,3,FALSE),"")</f>
        <v>CO</v>
      </c>
      <c r="F703" s="28" t="str">
        <f>IFERROR(VLOOKUP(C703,customer_lookup!$A:$E,5,FALSE),"")</f>
        <v>Quinn</v>
      </c>
      <c r="G703" s="25" t="s">
        <v>63</v>
      </c>
      <c r="H703" s="25" t="s">
        <v>81</v>
      </c>
      <c r="I703" s="27" t="str">
        <f>IFERROR(VLOOKUP(H703,product_lookup!$A:$D,2,FALSE),"")</f>
        <v>Lemon Sparkling Beverage</v>
      </c>
      <c r="J703" s="29">
        <v>48.0</v>
      </c>
      <c r="K703" s="30">
        <v>7.31</v>
      </c>
      <c r="L703" s="31">
        <f t="shared" si="1"/>
        <v>350.88</v>
      </c>
      <c r="M703" s="25" t="s">
        <v>65</v>
      </c>
      <c r="N703" s="26">
        <v>46096.0</v>
      </c>
      <c r="O703" s="27">
        <f>SUMIF(inventory_snapshot!$B:$B,H703,inventory_snapshot!$E:$E)</f>
        <v>1360</v>
      </c>
      <c r="P703" s="32" t="str">
        <f t="shared" si="2"/>
        <v>OK</v>
      </c>
      <c r="Q703" s="32" t="str">
        <f t="shared" si="3"/>
        <v>OK</v>
      </c>
      <c r="R703" s="32" t="str">
        <f t="shared" si="4"/>
        <v>OK</v>
      </c>
      <c r="S703" s="32" t="str">
        <f t="shared" si="5"/>
        <v>Small</v>
      </c>
    </row>
    <row r="704" ht="15.75" customHeight="1">
      <c r="A704" s="17" t="s">
        <v>883</v>
      </c>
      <c r="B704" s="18">
        <v>46081.0</v>
      </c>
      <c r="C704" s="17" t="s">
        <v>868</v>
      </c>
      <c r="D704" s="19" t="str">
        <f>IFERROR(VLOOKUP(C704,customer_lookup!$A:$E,2,FALSE),"")</f>
        <v>OK Account 0120</v>
      </c>
      <c r="E704" s="19" t="str">
        <f>IFERROR(VLOOKUP(C704,customer_lookup!$A:$E,3,FALSE),"")</f>
        <v>OK</v>
      </c>
      <c r="F704" s="20" t="str">
        <f>IFERROR(VLOOKUP(C704,customer_lookup!$A:$E,5,FALSE),"")</f>
        <v>Quinn</v>
      </c>
      <c r="G704" s="17" t="s">
        <v>67</v>
      </c>
      <c r="H704" s="17" t="s">
        <v>68</v>
      </c>
      <c r="I704" s="19" t="str">
        <f>IFERROR(VLOOKUP(H704,product_lookup!$A:$D,2,FALSE),"")</f>
        <v>Sour Apple THC Gummies</v>
      </c>
      <c r="J704" s="21">
        <v>60.0</v>
      </c>
      <c r="K704" s="22">
        <v>10.14</v>
      </c>
      <c r="L704" s="23">
        <f t="shared" si="1"/>
        <v>608.4</v>
      </c>
      <c r="M704" s="17" t="s">
        <v>100</v>
      </c>
      <c r="N704" s="18">
        <v>46083.0</v>
      </c>
      <c r="O704" s="19">
        <f>SUMIF(inventory_snapshot!$B:$B,H704,inventory_snapshot!$E:$E)</f>
        <v>775</v>
      </c>
      <c r="P704" s="24" t="str">
        <f t="shared" si="2"/>
        <v>OK</v>
      </c>
      <c r="Q704" s="24" t="str">
        <f t="shared" si="3"/>
        <v>OK</v>
      </c>
      <c r="R704" s="24" t="str">
        <f t="shared" si="4"/>
        <v>OK</v>
      </c>
      <c r="S704" s="24" t="str">
        <f t="shared" si="5"/>
        <v>Medium</v>
      </c>
    </row>
    <row r="705" ht="15.75" customHeight="1">
      <c r="A705" s="25" t="s">
        <v>884</v>
      </c>
      <c r="B705" s="26">
        <v>46105.0</v>
      </c>
      <c r="C705" s="25" t="s">
        <v>859</v>
      </c>
      <c r="D705" s="27" t="str">
        <f>IFERROR(VLOOKUP(C705,customer_lookup!$A:$E,2,FALSE),"")</f>
        <v>CA Account 0051</v>
      </c>
      <c r="E705" s="27" t="str">
        <f>IFERROR(VLOOKUP(C705,customer_lookup!$A:$E,3,FALSE),"")</f>
        <v>CA</v>
      </c>
      <c r="F705" s="28" t="str">
        <f>IFERROR(VLOOKUP(C705,customer_lookup!$A:$E,5,FALSE),"")</f>
        <v>Quinn</v>
      </c>
      <c r="G705" s="25" t="s">
        <v>63</v>
      </c>
      <c r="H705" s="25" t="s">
        <v>102</v>
      </c>
      <c r="I705" s="27" t="str">
        <f>IFERROR(VLOOKUP(H705,product_lookup!$A:$D,2,FALSE),"")</f>
        <v>Pomegranate 1:1 Gummies</v>
      </c>
      <c r="J705" s="29">
        <v>6.0</v>
      </c>
      <c r="K705" s="30">
        <v>11.62</v>
      </c>
      <c r="L705" s="31">
        <f t="shared" si="1"/>
        <v>69.72</v>
      </c>
      <c r="M705" s="25" t="s">
        <v>65</v>
      </c>
      <c r="N705" s="26">
        <v>46112.0</v>
      </c>
      <c r="O705" s="27">
        <f>SUMIF(inventory_snapshot!$B:$B,H705,inventory_snapshot!$E:$E)</f>
        <v>1493</v>
      </c>
      <c r="P705" s="32" t="str">
        <f t="shared" si="2"/>
        <v>OK</v>
      </c>
      <c r="Q705" s="32" t="str">
        <f t="shared" si="3"/>
        <v>OK</v>
      </c>
      <c r="R705" s="32" t="str">
        <f t="shared" si="4"/>
        <v>OK</v>
      </c>
      <c r="S705" s="32" t="str">
        <f t="shared" si="5"/>
        <v>Small</v>
      </c>
    </row>
    <row r="706" ht="15.75" customHeight="1">
      <c r="A706" s="17" t="s">
        <v>885</v>
      </c>
      <c r="B706" s="18">
        <v>46059.0</v>
      </c>
      <c r="C706" s="17" t="s">
        <v>859</v>
      </c>
      <c r="D706" s="19" t="str">
        <f>IFERROR(VLOOKUP(C706,customer_lookup!$A:$E,2,FALSE),"")</f>
        <v>CA Account 0051</v>
      </c>
      <c r="E706" s="19" t="str">
        <f>IFERROR(VLOOKUP(C706,customer_lookup!$A:$E,3,FALSE),"")</f>
        <v>CA</v>
      </c>
      <c r="F706" s="20" t="str">
        <f>IFERROR(VLOOKUP(C706,customer_lookup!$A:$E,5,FALSE),"")</f>
        <v>Quinn</v>
      </c>
      <c r="G706" s="17" t="s">
        <v>63</v>
      </c>
      <c r="H706" s="17" t="s">
        <v>190</v>
      </c>
      <c r="I706" s="19" t="str">
        <f>IFERROR(VLOOKUP(H706,product_lookup!$A:$D,2,FALSE),"")</f>
        <v>Mango Sparkling Beverage</v>
      </c>
      <c r="J706" s="21">
        <v>120.0</v>
      </c>
      <c r="K706" s="22">
        <v>7.82</v>
      </c>
      <c r="L706" s="23">
        <f t="shared" si="1"/>
        <v>938.4</v>
      </c>
      <c r="M706" s="17" t="s">
        <v>65</v>
      </c>
      <c r="N706" s="18">
        <v>46066.0</v>
      </c>
      <c r="O706" s="19">
        <f>SUMIF(inventory_snapshot!$B:$B,H706,inventory_snapshot!$E:$E)</f>
        <v>1502</v>
      </c>
      <c r="P706" s="24" t="str">
        <f t="shared" si="2"/>
        <v>OK</v>
      </c>
      <c r="Q706" s="24" t="str">
        <f t="shared" si="3"/>
        <v>OK</v>
      </c>
      <c r="R706" s="24" t="str">
        <f t="shared" si="4"/>
        <v>OK</v>
      </c>
      <c r="S706" s="24" t="str">
        <f t="shared" si="5"/>
        <v>Medium</v>
      </c>
    </row>
    <row r="707" ht="15.75" customHeight="1">
      <c r="A707" s="25" t="s">
        <v>886</v>
      </c>
      <c r="B707" s="26">
        <v>46063.0</v>
      </c>
      <c r="C707" s="25" t="s">
        <v>859</v>
      </c>
      <c r="D707" s="27" t="str">
        <f>IFERROR(VLOOKUP(C707,customer_lookup!$A:$E,2,FALSE),"")</f>
        <v>CA Account 0051</v>
      </c>
      <c r="E707" s="27" t="str">
        <f>IFERROR(VLOOKUP(C707,customer_lookup!$A:$E,3,FALSE),"")</f>
        <v>CA</v>
      </c>
      <c r="F707" s="28" t="str">
        <f>IFERROR(VLOOKUP(C707,customer_lookup!$A:$E,5,FALSE),"")</f>
        <v>Quinn</v>
      </c>
      <c r="G707" s="25" t="s">
        <v>63</v>
      </c>
      <c r="H707" s="25" t="s">
        <v>92</v>
      </c>
      <c r="I707" s="27" t="str">
        <f>IFERROR(VLOOKUP(H707,product_lookup!$A:$D,2,FALSE),"")</f>
        <v>Raspberry THC Gummies</v>
      </c>
      <c r="J707" s="29">
        <v>60.0</v>
      </c>
      <c r="K707" s="30">
        <v>10.02</v>
      </c>
      <c r="L707" s="31">
        <f t="shared" si="1"/>
        <v>601.2</v>
      </c>
      <c r="M707" s="25" t="s">
        <v>100</v>
      </c>
      <c r="N707" s="26">
        <v>46073.0</v>
      </c>
      <c r="O707" s="27">
        <f>SUMIF(inventory_snapshot!$B:$B,H707,inventory_snapshot!$E:$E)</f>
        <v>1417</v>
      </c>
      <c r="P707" s="32" t="str">
        <f t="shared" si="2"/>
        <v>OK</v>
      </c>
      <c r="Q707" s="32" t="str">
        <f t="shared" si="3"/>
        <v>OK</v>
      </c>
      <c r="R707" s="32" t="str">
        <f t="shared" si="4"/>
        <v>OK</v>
      </c>
      <c r="S707" s="32" t="str">
        <f t="shared" si="5"/>
        <v>Medium</v>
      </c>
    </row>
    <row r="708" ht="15.75" customHeight="1">
      <c r="A708" s="17" t="s">
        <v>887</v>
      </c>
      <c r="B708" s="18">
        <v>46043.0</v>
      </c>
      <c r="C708" s="17" t="s">
        <v>853</v>
      </c>
      <c r="D708" s="19" t="str">
        <f>IFERROR(VLOOKUP(C708,customer_lookup!$A:$E,2,FALSE),"")</f>
        <v>NV Account 0042</v>
      </c>
      <c r="E708" s="19" t="str">
        <f>IFERROR(VLOOKUP(C708,customer_lookup!$A:$E,3,FALSE),"")</f>
        <v>NV</v>
      </c>
      <c r="F708" s="20" t="str">
        <f>IFERROR(VLOOKUP(C708,customer_lookup!$A:$E,5,FALSE),"")</f>
        <v>Quinn</v>
      </c>
      <c r="G708" s="17" t="s">
        <v>63</v>
      </c>
      <c r="H708" s="17" t="s">
        <v>85</v>
      </c>
      <c r="I708" s="19" t="str">
        <f>IFERROR(VLOOKUP(H708,product_lookup!$A:$D,2,FALSE),"")</f>
        <v>Huckleberry THC Gummies</v>
      </c>
      <c r="J708" s="21">
        <v>48.0</v>
      </c>
      <c r="K708" s="22">
        <v>10.85</v>
      </c>
      <c r="L708" s="23">
        <f t="shared" si="1"/>
        <v>520.8</v>
      </c>
      <c r="M708" s="17" t="s">
        <v>93</v>
      </c>
      <c r="N708" s="18">
        <v>46046.0</v>
      </c>
      <c r="O708" s="19">
        <f>SUMIF(inventory_snapshot!$B:$B,H708,inventory_snapshot!$E:$E)</f>
        <v>1841</v>
      </c>
      <c r="P708" s="24" t="str">
        <f t="shared" si="2"/>
        <v>OK</v>
      </c>
      <c r="Q708" s="24" t="str">
        <f t="shared" si="3"/>
        <v>OK</v>
      </c>
      <c r="R708" s="24" t="str">
        <f t="shared" si="4"/>
        <v>OK</v>
      </c>
      <c r="S708" s="24" t="str">
        <f t="shared" si="5"/>
        <v>Medium</v>
      </c>
    </row>
    <row r="709" ht="15.75" customHeight="1">
      <c r="A709" s="25" t="s">
        <v>888</v>
      </c>
      <c r="B709" s="26">
        <v>46136.0</v>
      </c>
      <c r="C709" s="25" t="s">
        <v>879</v>
      </c>
      <c r="D709" s="27" t="str">
        <f>IFERROR(VLOOKUP(C709,customer_lookup!$A:$E,2,FALSE),"")</f>
        <v>OK Account 0024</v>
      </c>
      <c r="E709" s="27" t="str">
        <f>IFERROR(VLOOKUP(C709,customer_lookup!$A:$E,3,FALSE),"")</f>
        <v>OK</v>
      </c>
      <c r="F709" s="28" t="str">
        <f>IFERROR(VLOOKUP(C709,customer_lookup!$A:$E,5,FALSE),"")</f>
        <v>Quinn</v>
      </c>
      <c r="G709" s="25" t="s">
        <v>63</v>
      </c>
      <c r="H709" s="25" t="s">
        <v>68</v>
      </c>
      <c r="I709" s="27" t="str">
        <f>IFERROR(VLOOKUP(H709,product_lookup!$A:$D,2,FALSE),"")</f>
        <v>Sour Apple THC Gummies</v>
      </c>
      <c r="J709" s="29">
        <v>48.0</v>
      </c>
      <c r="K709" s="30">
        <v>10.23</v>
      </c>
      <c r="L709" s="31">
        <f t="shared" si="1"/>
        <v>491.04</v>
      </c>
      <c r="M709" s="25" t="s">
        <v>75</v>
      </c>
      <c r="N709" s="26">
        <v>46144.0</v>
      </c>
      <c r="O709" s="27">
        <f>SUMIF(inventory_snapshot!$B:$B,H709,inventory_snapshot!$E:$E)</f>
        <v>775</v>
      </c>
      <c r="P709" s="32" t="str">
        <f t="shared" si="2"/>
        <v>OK</v>
      </c>
      <c r="Q709" s="32" t="str">
        <f t="shared" si="3"/>
        <v>OK</v>
      </c>
      <c r="R709" s="32" t="str">
        <f t="shared" si="4"/>
        <v>OK</v>
      </c>
      <c r="S709" s="32" t="str">
        <f t="shared" si="5"/>
        <v>Small</v>
      </c>
    </row>
    <row r="710" ht="15.75" customHeight="1">
      <c r="A710" s="17" t="s">
        <v>889</v>
      </c>
      <c r="B710" s="18">
        <v>46137.0</v>
      </c>
      <c r="C710" s="17" t="s">
        <v>855</v>
      </c>
      <c r="D710" s="19" t="str">
        <f>IFERROR(VLOOKUP(C710,customer_lookup!$A:$E,2,FALSE),"")</f>
        <v>OR Account 0061</v>
      </c>
      <c r="E710" s="19" t="str">
        <f>IFERROR(VLOOKUP(C710,customer_lookup!$A:$E,3,FALSE),"")</f>
        <v>OR</v>
      </c>
      <c r="F710" s="20" t="str">
        <f>IFERROR(VLOOKUP(C710,customer_lookup!$A:$E,5,FALSE),"")</f>
        <v>Quinn</v>
      </c>
      <c r="G710" s="17" t="s">
        <v>63</v>
      </c>
      <c r="H710" s="17" t="s">
        <v>115</v>
      </c>
      <c r="I710" s="19" t="str">
        <f>IFERROR(VLOOKUP(H710,product_lookup!$A:$D,2,FALSE),"")</f>
        <v>Pear 1:1 Gummies</v>
      </c>
      <c r="J710" s="21">
        <v>36.0</v>
      </c>
      <c r="K710" s="22">
        <v>10.17</v>
      </c>
      <c r="L710" s="23">
        <f t="shared" si="1"/>
        <v>366.12</v>
      </c>
      <c r="M710" s="17" t="s">
        <v>65</v>
      </c>
      <c r="N710" s="18">
        <v>46142.0</v>
      </c>
      <c r="O710" s="19">
        <f>SUMIF(inventory_snapshot!$B:$B,H710,inventory_snapshot!$E:$E)</f>
        <v>981</v>
      </c>
      <c r="P710" s="24" t="str">
        <f t="shared" si="2"/>
        <v>OK</v>
      </c>
      <c r="Q710" s="24" t="str">
        <f t="shared" si="3"/>
        <v>OK</v>
      </c>
      <c r="R710" s="24" t="str">
        <f t="shared" si="4"/>
        <v>OK</v>
      </c>
      <c r="S710" s="24" t="str">
        <f t="shared" si="5"/>
        <v>Small</v>
      </c>
    </row>
    <row r="711" ht="15.75" customHeight="1">
      <c r="A711" s="25" t="s">
        <v>890</v>
      </c>
      <c r="B711" s="26">
        <v>46077.0</v>
      </c>
      <c r="C711" s="25" t="s">
        <v>866</v>
      </c>
      <c r="D711" s="27" t="str">
        <f>IFERROR(VLOOKUP(C711,customer_lookup!$A:$E,2,FALSE),"")</f>
        <v>MI Account 0092</v>
      </c>
      <c r="E711" s="27" t="str">
        <f>IFERROR(VLOOKUP(C711,customer_lookup!$A:$E,3,FALSE),"")</f>
        <v>MI</v>
      </c>
      <c r="F711" s="28" t="str">
        <f>IFERROR(VLOOKUP(C711,customer_lookup!$A:$E,5,FALSE),"")</f>
        <v>Quinn</v>
      </c>
      <c r="G711" s="25" t="s">
        <v>63</v>
      </c>
      <c r="H711" s="25" t="s">
        <v>115</v>
      </c>
      <c r="I711" s="27" t="str">
        <f>IFERROR(VLOOKUP(H711,product_lookup!$A:$D,2,FALSE),"")</f>
        <v>Pear 1:1 Gummies</v>
      </c>
      <c r="J711" s="29">
        <v>48.0</v>
      </c>
      <c r="K711" s="30">
        <v>12.04</v>
      </c>
      <c r="L711" s="31">
        <f t="shared" si="1"/>
        <v>577.92</v>
      </c>
      <c r="M711" s="25" t="s">
        <v>137</v>
      </c>
      <c r="N711" s="26">
        <v>46082.0</v>
      </c>
      <c r="O711" s="27">
        <f>SUMIF(inventory_snapshot!$B:$B,H711,inventory_snapshot!$E:$E)</f>
        <v>981</v>
      </c>
      <c r="P711" s="32" t="str">
        <f t="shared" si="2"/>
        <v>OK</v>
      </c>
      <c r="Q711" s="32" t="str">
        <f t="shared" si="3"/>
        <v>OK</v>
      </c>
      <c r="R711" s="32" t="str">
        <f t="shared" si="4"/>
        <v>OK</v>
      </c>
      <c r="S711" s="32" t="str">
        <f t="shared" si="5"/>
        <v>Medium</v>
      </c>
    </row>
    <row r="712" ht="15.75" customHeight="1">
      <c r="A712" s="17" t="s">
        <v>891</v>
      </c>
      <c r="B712" s="18">
        <v>46036.0</v>
      </c>
      <c r="C712" s="17" t="s">
        <v>859</v>
      </c>
      <c r="D712" s="19" t="str">
        <f>IFERROR(VLOOKUP(C712,customer_lookup!$A:$E,2,FALSE),"")</f>
        <v>CA Account 0051</v>
      </c>
      <c r="E712" s="19" t="str">
        <f>IFERROR(VLOOKUP(C712,customer_lookup!$A:$E,3,FALSE),"")</f>
        <v>CA</v>
      </c>
      <c r="F712" s="20" t="str">
        <f>IFERROR(VLOOKUP(C712,customer_lookup!$A:$E,5,FALSE),"")</f>
        <v>Quinn</v>
      </c>
      <c r="G712" s="17" t="s">
        <v>89</v>
      </c>
      <c r="H712" s="17" t="s">
        <v>64</v>
      </c>
      <c r="I712" s="19" t="str">
        <f>IFERROR(VLOOKUP(H712,product_lookup!$A:$D,2,FALSE),"")</f>
        <v>Cranberry Sparkling Beverage</v>
      </c>
      <c r="J712" s="21">
        <v>6.0</v>
      </c>
      <c r="K712" s="22">
        <v>7.77</v>
      </c>
      <c r="L712" s="23">
        <f t="shared" si="1"/>
        <v>46.62</v>
      </c>
      <c r="M712" s="17" t="s">
        <v>65</v>
      </c>
      <c r="N712" s="18">
        <v>46042.0</v>
      </c>
      <c r="O712" s="19">
        <f>SUMIF(inventory_snapshot!$B:$B,H712,inventory_snapshot!$E:$E)</f>
        <v>1152</v>
      </c>
      <c r="P712" s="24" t="str">
        <f t="shared" si="2"/>
        <v>OK</v>
      </c>
      <c r="Q712" s="24" t="str">
        <f t="shared" si="3"/>
        <v>OK</v>
      </c>
      <c r="R712" s="24" t="str">
        <f t="shared" si="4"/>
        <v>OK</v>
      </c>
      <c r="S712" s="24" t="str">
        <f t="shared" si="5"/>
        <v>Small</v>
      </c>
    </row>
    <row r="713" ht="15.75" customHeight="1">
      <c r="A713" s="25" t="s">
        <v>892</v>
      </c>
      <c r="B713" s="26">
        <v>46047.0</v>
      </c>
      <c r="C713" s="25" t="s">
        <v>866</v>
      </c>
      <c r="D713" s="27" t="str">
        <f>IFERROR(VLOOKUP(C713,customer_lookup!$A:$E,2,FALSE),"")</f>
        <v>MI Account 0092</v>
      </c>
      <c r="E713" s="27" t="str">
        <f>IFERROR(VLOOKUP(C713,customer_lookup!$A:$E,3,FALSE),"")</f>
        <v>MI</v>
      </c>
      <c r="F713" s="28" t="str">
        <f>IFERROR(VLOOKUP(C713,customer_lookup!$A:$E,5,FALSE),"")</f>
        <v>Quinn</v>
      </c>
      <c r="G713" s="25" t="s">
        <v>63</v>
      </c>
      <c r="H713" s="25" t="s">
        <v>102</v>
      </c>
      <c r="I713" s="27" t="str">
        <f>IFERROR(VLOOKUP(H713,product_lookup!$A:$D,2,FALSE),"")</f>
        <v>Pomegranate 1:1 Gummies</v>
      </c>
      <c r="J713" s="29">
        <v>18.0</v>
      </c>
      <c r="K713" s="30">
        <v>11.04</v>
      </c>
      <c r="L713" s="31">
        <f t="shared" si="1"/>
        <v>198.72</v>
      </c>
      <c r="M713" s="25" t="s">
        <v>97</v>
      </c>
      <c r="N713" s="26">
        <v>46057.0</v>
      </c>
      <c r="O713" s="27">
        <f>SUMIF(inventory_snapshot!$B:$B,H713,inventory_snapshot!$E:$E)</f>
        <v>1493</v>
      </c>
      <c r="P713" s="32" t="str">
        <f t="shared" si="2"/>
        <v>OK</v>
      </c>
      <c r="Q713" s="32" t="str">
        <f t="shared" si="3"/>
        <v>OK</v>
      </c>
      <c r="R713" s="32" t="str">
        <f t="shared" si="4"/>
        <v>OK</v>
      </c>
      <c r="S713" s="32" t="str">
        <f t="shared" si="5"/>
        <v>Small</v>
      </c>
    </row>
    <row r="714" ht="15.75" customHeight="1">
      <c r="A714" s="17" t="s">
        <v>893</v>
      </c>
      <c r="B714" s="18">
        <v>46087.0</v>
      </c>
      <c r="C714" s="17" t="s">
        <v>855</v>
      </c>
      <c r="D714" s="19" t="str">
        <f>IFERROR(VLOOKUP(C714,customer_lookup!$A:$E,2,FALSE),"")</f>
        <v>OR Account 0061</v>
      </c>
      <c r="E714" s="19" t="str">
        <f>IFERROR(VLOOKUP(C714,customer_lookup!$A:$E,3,FALSE),"")</f>
        <v>OR</v>
      </c>
      <c r="F714" s="20" t="str">
        <f>IFERROR(VLOOKUP(C714,customer_lookup!$A:$E,5,FALSE),"")</f>
        <v>Quinn</v>
      </c>
      <c r="G714" s="17" t="s">
        <v>63</v>
      </c>
      <c r="H714" s="17" t="s">
        <v>162</v>
      </c>
      <c r="I714" s="19" t="str">
        <f>IFERROR(VLOOKUP(H714,product_lookup!$A:$D,2,FALSE),"")</f>
        <v>Marionberry THC Gummies</v>
      </c>
      <c r="J714" s="21">
        <v>12.0</v>
      </c>
      <c r="K714" s="22">
        <v>11.0</v>
      </c>
      <c r="L714" s="23">
        <f t="shared" si="1"/>
        <v>132</v>
      </c>
      <c r="M714" s="17" t="s">
        <v>75</v>
      </c>
      <c r="N714" s="18">
        <v>46088.0</v>
      </c>
      <c r="O714" s="19">
        <f>SUMIF(inventory_snapshot!$B:$B,H714,inventory_snapshot!$E:$E)</f>
        <v>1599</v>
      </c>
      <c r="P714" s="24" t="str">
        <f t="shared" si="2"/>
        <v>OK</v>
      </c>
      <c r="Q714" s="24" t="str">
        <f t="shared" si="3"/>
        <v>OK</v>
      </c>
      <c r="R714" s="24" t="str">
        <f t="shared" si="4"/>
        <v>OK</v>
      </c>
      <c r="S714" s="24" t="str">
        <f t="shared" si="5"/>
        <v>Small</v>
      </c>
    </row>
    <row r="715" ht="15.75" customHeight="1">
      <c r="A715" s="25" t="s">
        <v>894</v>
      </c>
      <c r="B715" s="26">
        <v>46050.0</v>
      </c>
      <c r="C715" s="25" t="s">
        <v>868</v>
      </c>
      <c r="D715" s="27" t="str">
        <f>IFERROR(VLOOKUP(C715,customer_lookup!$A:$E,2,FALSE),"")</f>
        <v>OK Account 0120</v>
      </c>
      <c r="E715" s="27" t="str">
        <f>IFERROR(VLOOKUP(C715,customer_lookup!$A:$E,3,FALSE),"")</f>
        <v>OK</v>
      </c>
      <c r="F715" s="28" t="str">
        <f>IFERROR(VLOOKUP(C715,customer_lookup!$A:$E,5,FALSE),"")</f>
        <v>Quinn</v>
      </c>
      <c r="G715" s="25" t="s">
        <v>63</v>
      </c>
      <c r="H715" s="25" t="s">
        <v>106</v>
      </c>
      <c r="I715" s="27" t="str">
        <f>IFERROR(VLOOKUP(H715,product_lookup!$A:$D,2,FALSE),"")</f>
        <v>Sour Cherry THC Gummies</v>
      </c>
      <c r="J715" s="29">
        <v>60.0</v>
      </c>
      <c r="K715" s="30">
        <v>11.45</v>
      </c>
      <c r="L715" s="31">
        <f t="shared" si="1"/>
        <v>687</v>
      </c>
      <c r="M715" s="25" t="s">
        <v>97</v>
      </c>
      <c r="N715" s="26">
        <v>46057.0</v>
      </c>
      <c r="O715" s="27">
        <f>SUMIF(inventory_snapshot!$B:$B,H715,inventory_snapshot!$E:$E)</f>
        <v>1313</v>
      </c>
      <c r="P715" s="32" t="str">
        <f t="shared" si="2"/>
        <v>OK</v>
      </c>
      <c r="Q715" s="32" t="str">
        <f t="shared" si="3"/>
        <v>OK</v>
      </c>
      <c r="R715" s="32" t="str">
        <f t="shared" si="4"/>
        <v>OK</v>
      </c>
      <c r="S715" s="32" t="str">
        <f t="shared" si="5"/>
        <v>Medium</v>
      </c>
    </row>
    <row r="716" ht="15.75" customHeight="1">
      <c r="A716" s="17" t="s">
        <v>895</v>
      </c>
      <c r="B716" s="18">
        <v>46120.0</v>
      </c>
      <c r="C716" s="17" t="s">
        <v>853</v>
      </c>
      <c r="D716" s="19" t="str">
        <f>IFERROR(VLOOKUP(C716,customer_lookup!$A:$E,2,FALSE),"")</f>
        <v>NV Account 0042</v>
      </c>
      <c r="E716" s="19" t="str">
        <f>IFERROR(VLOOKUP(C716,customer_lookup!$A:$E,3,FALSE),"")</f>
        <v>NV</v>
      </c>
      <c r="F716" s="20" t="str">
        <f>IFERROR(VLOOKUP(C716,customer_lookup!$A:$E,5,FALSE),"")</f>
        <v>Quinn</v>
      </c>
      <c r="G716" s="17" t="s">
        <v>89</v>
      </c>
      <c r="H716" s="17" t="s">
        <v>78</v>
      </c>
      <c r="I716" s="19" t="str">
        <f>IFERROR(VLOOKUP(H716,product_lookup!$A:$D,2,FALSE),"")</f>
        <v>Grapefruit 1:1:1 Gummies</v>
      </c>
      <c r="J716" s="21">
        <v>36.0</v>
      </c>
      <c r="K716" s="22">
        <v>10.88</v>
      </c>
      <c r="L716" s="23">
        <f t="shared" si="1"/>
        <v>391.68</v>
      </c>
      <c r="M716" s="17" t="s">
        <v>65</v>
      </c>
      <c r="N716" s="18">
        <v>46127.0</v>
      </c>
      <c r="O716" s="19">
        <f>SUMIF(inventory_snapshot!$B:$B,H716,inventory_snapshot!$E:$E)</f>
        <v>1751</v>
      </c>
      <c r="P716" s="24" t="str">
        <f t="shared" si="2"/>
        <v>OK</v>
      </c>
      <c r="Q716" s="24" t="str">
        <f t="shared" si="3"/>
        <v>OK</v>
      </c>
      <c r="R716" s="24" t="str">
        <f t="shared" si="4"/>
        <v>OK</v>
      </c>
      <c r="S716" s="24" t="str">
        <f t="shared" si="5"/>
        <v>Small</v>
      </c>
    </row>
    <row r="717" ht="15.75" customHeight="1">
      <c r="A717" s="25" t="s">
        <v>896</v>
      </c>
      <c r="B717" s="26">
        <v>46058.0</v>
      </c>
      <c r="C717" s="25" t="s">
        <v>864</v>
      </c>
      <c r="D717" s="27" t="str">
        <f>IFERROR(VLOOKUP(C717,customer_lookup!$A:$E,2,FALSE),"")</f>
        <v>NY Account 0095</v>
      </c>
      <c r="E717" s="27" t="str">
        <f>IFERROR(VLOOKUP(C717,customer_lookup!$A:$E,3,FALSE),"")</f>
        <v>NY</v>
      </c>
      <c r="F717" s="28" t="str">
        <f>IFERROR(VLOOKUP(C717,customer_lookup!$A:$E,5,FALSE),"")</f>
        <v>Quinn</v>
      </c>
      <c r="G717" s="25" t="s">
        <v>89</v>
      </c>
      <c r="H717" s="25" t="s">
        <v>108</v>
      </c>
      <c r="I717" s="27" t="str">
        <f>IFERROR(VLOOKUP(H717,product_lookup!$A:$D,2,FALSE),"")</f>
        <v>Sour Tangerine THC Gummies</v>
      </c>
      <c r="J717" s="29">
        <v>36.0</v>
      </c>
      <c r="K717" s="30">
        <v>9.96</v>
      </c>
      <c r="L717" s="31">
        <f t="shared" si="1"/>
        <v>358.56</v>
      </c>
      <c r="M717" s="25" t="s">
        <v>65</v>
      </c>
      <c r="N717" s="26">
        <v>46066.0</v>
      </c>
      <c r="O717" s="27">
        <f>SUMIF(inventory_snapshot!$B:$B,H717,inventory_snapshot!$E:$E)</f>
        <v>1679</v>
      </c>
      <c r="P717" s="32" t="str">
        <f t="shared" si="2"/>
        <v>OK</v>
      </c>
      <c r="Q717" s="32" t="str">
        <f t="shared" si="3"/>
        <v>OK</v>
      </c>
      <c r="R717" s="32" t="str">
        <f t="shared" si="4"/>
        <v>OK</v>
      </c>
      <c r="S717" s="32" t="str">
        <f t="shared" si="5"/>
        <v>Small</v>
      </c>
    </row>
    <row r="718" ht="15.75" customHeight="1">
      <c r="A718" s="17" t="s">
        <v>897</v>
      </c>
      <c r="B718" s="18">
        <v>46099.0</v>
      </c>
      <c r="C718" s="17" t="s">
        <v>861</v>
      </c>
      <c r="D718" s="19" t="str">
        <f>IFERROR(VLOOKUP(C718,customer_lookup!$A:$E,2,FALSE),"")</f>
        <v>MI Account 0116</v>
      </c>
      <c r="E718" s="19" t="str">
        <f>IFERROR(VLOOKUP(C718,customer_lookup!$A:$E,3,FALSE),"")</f>
        <v>MI</v>
      </c>
      <c r="F718" s="20" t="str">
        <f>IFERROR(VLOOKUP(C718,customer_lookup!$A:$E,5,FALSE),"")</f>
        <v>Quinn</v>
      </c>
      <c r="G718" s="17" t="s">
        <v>67</v>
      </c>
      <c r="H718" s="17" t="s">
        <v>71</v>
      </c>
      <c r="I718" s="19" t="str">
        <f>IFERROR(VLOOKUP(H718,product_lookup!$A:$D,2,FALSE),"")</f>
        <v>Pineapple Sparkling Beverage</v>
      </c>
      <c r="J718" s="21">
        <v>6.0</v>
      </c>
      <c r="K718" s="22">
        <v>8.34</v>
      </c>
      <c r="L718" s="23">
        <f t="shared" si="1"/>
        <v>50.04</v>
      </c>
      <c r="M718" s="17" t="s">
        <v>65</v>
      </c>
      <c r="N718" s="18">
        <v>46101.0</v>
      </c>
      <c r="O718" s="19">
        <f>SUMIF(inventory_snapshot!$B:$B,H718,inventory_snapshot!$E:$E)</f>
        <v>1145</v>
      </c>
      <c r="P718" s="24" t="str">
        <f t="shared" si="2"/>
        <v>OK</v>
      </c>
      <c r="Q718" s="24" t="str">
        <f t="shared" si="3"/>
        <v>OK</v>
      </c>
      <c r="R718" s="24" t="str">
        <f t="shared" si="4"/>
        <v>OK</v>
      </c>
      <c r="S718" s="24" t="str">
        <f t="shared" si="5"/>
        <v>Small</v>
      </c>
    </row>
    <row r="719" ht="15.75" customHeight="1">
      <c r="A719" s="25" t="s">
        <v>898</v>
      </c>
      <c r="B719" s="26">
        <v>46023.0</v>
      </c>
      <c r="C719" s="25" t="s">
        <v>882</v>
      </c>
      <c r="D719" s="27" t="str">
        <f>IFERROR(VLOOKUP(C719,customer_lookup!$A:$E,2,FALSE),"")</f>
        <v>CO Account 0052</v>
      </c>
      <c r="E719" s="27" t="str">
        <f>IFERROR(VLOOKUP(C719,customer_lookup!$A:$E,3,FALSE),"")</f>
        <v>CO</v>
      </c>
      <c r="F719" s="28" t="str">
        <f>IFERROR(VLOOKUP(C719,customer_lookup!$A:$E,5,FALSE),"")</f>
        <v>Quinn</v>
      </c>
      <c r="G719" s="25" t="s">
        <v>63</v>
      </c>
      <c r="H719" s="25" t="s">
        <v>64</v>
      </c>
      <c r="I719" s="27" t="str">
        <f>IFERROR(VLOOKUP(H719,product_lookup!$A:$D,2,FALSE),"")</f>
        <v>Cranberry Sparkling Beverage</v>
      </c>
      <c r="J719" s="29">
        <v>30.0</v>
      </c>
      <c r="K719" s="30">
        <v>7.25</v>
      </c>
      <c r="L719" s="31">
        <f t="shared" si="1"/>
        <v>217.5</v>
      </c>
      <c r="M719" s="25" t="s">
        <v>65</v>
      </c>
      <c r="N719" s="26">
        <v>46032.0</v>
      </c>
      <c r="O719" s="27">
        <f>SUMIF(inventory_snapshot!$B:$B,H719,inventory_snapshot!$E:$E)</f>
        <v>1152</v>
      </c>
      <c r="P719" s="32" t="str">
        <f t="shared" si="2"/>
        <v>OK</v>
      </c>
      <c r="Q719" s="32" t="str">
        <f t="shared" si="3"/>
        <v>OK</v>
      </c>
      <c r="R719" s="32" t="str">
        <f t="shared" si="4"/>
        <v>OK</v>
      </c>
      <c r="S719" s="32" t="str">
        <f t="shared" si="5"/>
        <v>Small</v>
      </c>
    </row>
    <row r="720" ht="15.75" customHeight="1">
      <c r="A720" s="17" t="s">
        <v>899</v>
      </c>
      <c r="B720" s="18">
        <v>46080.0</v>
      </c>
      <c r="C720" s="17" t="s">
        <v>855</v>
      </c>
      <c r="D720" s="19" t="str">
        <f>IFERROR(VLOOKUP(C720,customer_lookup!$A:$E,2,FALSE),"")</f>
        <v>OR Account 0061</v>
      </c>
      <c r="E720" s="19" t="str">
        <f>IFERROR(VLOOKUP(C720,customer_lookup!$A:$E,3,FALSE),"")</f>
        <v>OR</v>
      </c>
      <c r="F720" s="20" t="str">
        <f>IFERROR(VLOOKUP(C720,customer_lookup!$A:$E,5,FALSE),"")</f>
        <v>Quinn</v>
      </c>
      <c r="G720" s="17" t="s">
        <v>63</v>
      </c>
      <c r="H720" s="17" t="s">
        <v>78</v>
      </c>
      <c r="I720" s="19" t="str">
        <f>IFERROR(VLOOKUP(H720,product_lookup!$A:$D,2,FALSE),"")</f>
        <v>Grapefruit 1:1:1 Gummies</v>
      </c>
      <c r="J720" s="21">
        <v>36.0</v>
      </c>
      <c r="K720" s="22">
        <v>10.23</v>
      </c>
      <c r="L720" s="23">
        <f t="shared" si="1"/>
        <v>368.28</v>
      </c>
      <c r="M720" s="17" t="s">
        <v>97</v>
      </c>
      <c r="N720" s="18">
        <v>46085.0</v>
      </c>
      <c r="O720" s="19">
        <f>SUMIF(inventory_snapshot!$B:$B,H720,inventory_snapshot!$E:$E)</f>
        <v>1751</v>
      </c>
      <c r="P720" s="24" t="str">
        <f t="shared" si="2"/>
        <v>OK</v>
      </c>
      <c r="Q720" s="24" t="str">
        <f t="shared" si="3"/>
        <v>OK</v>
      </c>
      <c r="R720" s="24" t="str">
        <f t="shared" si="4"/>
        <v>OK</v>
      </c>
      <c r="S720" s="24" t="str">
        <f t="shared" si="5"/>
        <v>Small</v>
      </c>
    </row>
    <row r="721" ht="15.75" customHeight="1">
      <c r="A721" s="25" t="s">
        <v>900</v>
      </c>
      <c r="B721" s="26">
        <v>46076.0</v>
      </c>
      <c r="C721" s="25" t="s">
        <v>873</v>
      </c>
      <c r="D721" s="27" t="str">
        <f>IFERROR(VLOOKUP(C721,customer_lookup!$A:$E,2,FALSE),"")</f>
        <v>NY Account 0119</v>
      </c>
      <c r="E721" s="27" t="str">
        <f>IFERROR(VLOOKUP(C721,customer_lookup!$A:$E,3,FALSE),"")</f>
        <v>NY</v>
      </c>
      <c r="F721" s="28" t="str">
        <f>IFERROR(VLOOKUP(C721,customer_lookup!$A:$E,5,FALSE),"")</f>
        <v>Quinn</v>
      </c>
      <c r="G721" s="25" t="s">
        <v>89</v>
      </c>
      <c r="H721" s="25" t="s">
        <v>92</v>
      </c>
      <c r="I721" s="27" t="str">
        <f>IFERROR(VLOOKUP(H721,product_lookup!$A:$D,2,FALSE),"")</f>
        <v>Raspberry THC Gummies</v>
      </c>
      <c r="J721" s="29">
        <v>120.0</v>
      </c>
      <c r="K721" s="30">
        <v>10.74</v>
      </c>
      <c r="L721" s="31">
        <f t="shared" si="1"/>
        <v>1288.8</v>
      </c>
      <c r="M721" s="25" t="s">
        <v>75</v>
      </c>
      <c r="N721" s="26">
        <v>46078.0</v>
      </c>
      <c r="O721" s="27">
        <f>SUMIF(inventory_snapshot!$B:$B,H721,inventory_snapshot!$E:$E)</f>
        <v>1417</v>
      </c>
      <c r="P721" s="32" t="str">
        <f t="shared" si="2"/>
        <v>OK</v>
      </c>
      <c r="Q721" s="32" t="str">
        <f t="shared" si="3"/>
        <v>OK</v>
      </c>
      <c r="R721" s="32" t="str">
        <f t="shared" si="4"/>
        <v>OK</v>
      </c>
      <c r="S721" s="32" t="str">
        <f t="shared" si="5"/>
        <v>Large</v>
      </c>
    </row>
    <row r="722" ht="15.75" customHeight="1">
      <c r="A722" s="17" t="s">
        <v>901</v>
      </c>
      <c r="B722" s="18">
        <v>46036.0</v>
      </c>
      <c r="C722" s="17" t="s">
        <v>857</v>
      </c>
      <c r="D722" s="19" t="str">
        <f>IFERROR(VLOOKUP(C722,customer_lookup!$A:$E,2,FALSE),"")</f>
        <v>MI Account 0068</v>
      </c>
      <c r="E722" s="19" t="str">
        <f>IFERROR(VLOOKUP(C722,customer_lookup!$A:$E,3,FALSE),"")</f>
        <v>MI</v>
      </c>
      <c r="F722" s="20" t="str">
        <f>IFERROR(VLOOKUP(C722,customer_lookup!$A:$E,5,FALSE),"")</f>
        <v>Quinn</v>
      </c>
      <c r="G722" s="17" t="s">
        <v>89</v>
      </c>
      <c r="H722" s="17" t="s">
        <v>110</v>
      </c>
      <c r="I722" s="19" t="str">
        <f>IFERROR(VLOOKUP(H722,product_lookup!$A:$D,2,FALSE),"")</f>
        <v>Elderberry 2:1 Gummies</v>
      </c>
      <c r="J722" s="21">
        <v>30.0</v>
      </c>
      <c r="K722" s="22">
        <v>11.26</v>
      </c>
      <c r="L722" s="23">
        <f t="shared" si="1"/>
        <v>337.8</v>
      </c>
      <c r="M722" s="17" t="s">
        <v>100</v>
      </c>
      <c r="N722" s="18">
        <v>46043.0</v>
      </c>
      <c r="O722" s="19">
        <f>SUMIF(inventory_snapshot!$B:$B,H722,inventory_snapshot!$E:$E)</f>
        <v>1633</v>
      </c>
      <c r="P722" s="24" t="str">
        <f t="shared" si="2"/>
        <v>OK</v>
      </c>
      <c r="Q722" s="24" t="str">
        <f t="shared" si="3"/>
        <v>OK</v>
      </c>
      <c r="R722" s="24" t="str">
        <f t="shared" si="4"/>
        <v>OK</v>
      </c>
      <c r="S722" s="24" t="str">
        <f t="shared" si="5"/>
        <v>Small</v>
      </c>
    </row>
    <row r="723" ht="15.75" customHeight="1">
      <c r="A723" s="25" t="s">
        <v>902</v>
      </c>
      <c r="B723" s="26">
        <v>46134.0</v>
      </c>
      <c r="C723" s="25" t="s">
        <v>855</v>
      </c>
      <c r="D723" s="27" t="str">
        <f>IFERROR(VLOOKUP(C723,customer_lookup!$A:$E,2,FALSE),"")</f>
        <v>OR Account 0061</v>
      </c>
      <c r="E723" s="27" t="str">
        <f>IFERROR(VLOOKUP(C723,customer_lookup!$A:$E,3,FALSE),"")</f>
        <v>OR</v>
      </c>
      <c r="F723" s="28" t="str">
        <f>IFERROR(VLOOKUP(C723,customer_lookup!$A:$E,5,FALSE),"")</f>
        <v>Quinn</v>
      </c>
      <c r="G723" s="25" t="s">
        <v>63</v>
      </c>
      <c r="H723" s="25" t="s">
        <v>74</v>
      </c>
      <c r="I723" s="27" t="str">
        <f>IFERROR(VLOOKUP(H723,product_lookup!$A:$D,2,FALSE),"")</f>
        <v>Strawberry 20:1 Gummies</v>
      </c>
      <c r="J723" s="29">
        <v>72.0</v>
      </c>
      <c r="K723" s="30">
        <v>12.5</v>
      </c>
      <c r="L723" s="31">
        <f t="shared" si="1"/>
        <v>900</v>
      </c>
      <c r="M723" s="25" t="s">
        <v>65</v>
      </c>
      <c r="N723" s="26">
        <v>46143.0</v>
      </c>
      <c r="O723" s="27">
        <f>SUMIF(inventory_snapshot!$B:$B,H723,inventory_snapshot!$E:$E)</f>
        <v>2294</v>
      </c>
      <c r="P723" s="32" t="str">
        <f t="shared" si="2"/>
        <v>OK</v>
      </c>
      <c r="Q723" s="32" t="str">
        <f t="shared" si="3"/>
        <v>OK</v>
      </c>
      <c r="R723" s="32" t="str">
        <f t="shared" si="4"/>
        <v>OK</v>
      </c>
      <c r="S723" s="32" t="str">
        <f t="shared" si="5"/>
        <v>Medium</v>
      </c>
    </row>
    <row r="724" ht="15.75" customHeight="1">
      <c r="A724" s="17" t="s">
        <v>903</v>
      </c>
      <c r="B724" s="18">
        <v>46110.0</v>
      </c>
      <c r="C724" s="17" t="s">
        <v>855</v>
      </c>
      <c r="D724" s="19" t="str">
        <f>IFERROR(VLOOKUP(C724,customer_lookup!$A:$E,2,FALSE),"")</f>
        <v>OR Account 0061</v>
      </c>
      <c r="E724" s="19" t="str">
        <f>IFERROR(VLOOKUP(C724,customer_lookup!$A:$E,3,FALSE),"")</f>
        <v>OR</v>
      </c>
      <c r="F724" s="20" t="str">
        <f>IFERROR(VLOOKUP(C724,customer_lookup!$A:$E,5,FALSE),"")</f>
        <v>Quinn</v>
      </c>
      <c r="G724" s="17" t="s">
        <v>67</v>
      </c>
      <c r="H724" s="17" t="s">
        <v>106</v>
      </c>
      <c r="I724" s="19" t="str">
        <f>IFERROR(VLOOKUP(H724,product_lookup!$A:$D,2,FALSE),"")</f>
        <v>Sour Cherry THC Gummies</v>
      </c>
      <c r="J724" s="21">
        <v>30.0</v>
      </c>
      <c r="K724" s="22">
        <v>11.69</v>
      </c>
      <c r="L724" s="23">
        <f t="shared" si="1"/>
        <v>350.7</v>
      </c>
      <c r="M724" s="17" t="s">
        <v>97</v>
      </c>
      <c r="N724" s="18">
        <v>46119.0</v>
      </c>
      <c r="O724" s="19">
        <f>SUMIF(inventory_snapshot!$B:$B,H724,inventory_snapshot!$E:$E)</f>
        <v>1313</v>
      </c>
      <c r="P724" s="24" t="str">
        <f t="shared" si="2"/>
        <v>OK</v>
      </c>
      <c r="Q724" s="24" t="str">
        <f t="shared" si="3"/>
        <v>OK</v>
      </c>
      <c r="R724" s="24" t="str">
        <f t="shared" si="4"/>
        <v>OK</v>
      </c>
      <c r="S724" s="24" t="str">
        <f t="shared" si="5"/>
        <v>Small</v>
      </c>
    </row>
    <row r="725" ht="15.75" customHeight="1">
      <c r="A725" s="25" t="s">
        <v>904</v>
      </c>
      <c r="B725" s="26">
        <v>46074.0</v>
      </c>
      <c r="C725" s="25" t="s">
        <v>879</v>
      </c>
      <c r="D725" s="27" t="str">
        <f>IFERROR(VLOOKUP(C725,customer_lookup!$A:$E,2,FALSE),"")</f>
        <v>OK Account 0024</v>
      </c>
      <c r="E725" s="27" t="str">
        <f>IFERROR(VLOOKUP(C725,customer_lookup!$A:$E,3,FALSE),"")</f>
        <v>OK</v>
      </c>
      <c r="F725" s="28" t="str">
        <f>IFERROR(VLOOKUP(C725,customer_lookup!$A:$E,5,FALSE),"")</f>
        <v>Quinn</v>
      </c>
      <c r="G725" s="25" t="s">
        <v>89</v>
      </c>
      <c r="H725" s="25" t="s">
        <v>81</v>
      </c>
      <c r="I725" s="27" t="str">
        <f>IFERROR(VLOOKUP(H725,product_lookup!$A:$D,2,FALSE),"")</f>
        <v>Lemon Sparkling Beverage</v>
      </c>
      <c r="J725" s="29">
        <v>72.0</v>
      </c>
      <c r="K725" s="30">
        <v>7.01</v>
      </c>
      <c r="L725" s="31">
        <f t="shared" si="1"/>
        <v>504.72</v>
      </c>
      <c r="M725" s="25" t="s">
        <v>97</v>
      </c>
      <c r="N725" s="26">
        <v>46082.0</v>
      </c>
      <c r="O725" s="27">
        <f>SUMIF(inventory_snapshot!$B:$B,H725,inventory_snapshot!$E:$E)</f>
        <v>1360</v>
      </c>
      <c r="P725" s="32" t="str">
        <f t="shared" si="2"/>
        <v>OK</v>
      </c>
      <c r="Q725" s="32" t="str">
        <f t="shared" si="3"/>
        <v>OK</v>
      </c>
      <c r="R725" s="32" t="str">
        <f t="shared" si="4"/>
        <v>OK</v>
      </c>
      <c r="S725" s="32" t="str">
        <f t="shared" si="5"/>
        <v>Medium</v>
      </c>
    </row>
    <row r="726" ht="15.75" customHeight="1">
      <c r="A726" s="17" t="s">
        <v>905</v>
      </c>
      <c r="B726" s="18">
        <v>46048.0</v>
      </c>
      <c r="C726" s="17" t="s">
        <v>873</v>
      </c>
      <c r="D726" s="19" t="str">
        <f>IFERROR(VLOOKUP(C726,customer_lookup!$A:$E,2,FALSE),"")</f>
        <v>NY Account 0119</v>
      </c>
      <c r="E726" s="19" t="str">
        <f>IFERROR(VLOOKUP(C726,customer_lookup!$A:$E,3,FALSE),"")</f>
        <v>NY</v>
      </c>
      <c r="F726" s="20" t="str">
        <f>IFERROR(VLOOKUP(C726,customer_lookup!$A:$E,5,FALSE),"")</f>
        <v>Quinn</v>
      </c>
      <c r="G726" s="17" t="s">
        <v>89</v>
      </c>
      <c r="H726" s="17" t="s">
        <v>123</v>
      </c>
      <c r="I726" s="19" t="str">
        <f>IFERROR(VLOOKUP(H726,product_lookup!$A:$D,2,FALSE),"")</f>
        <v>Peach 2:1 Gummies</v>
      </c>
      <c r="J726" s="21">
        <v>120.0</v>
      </c>
      <c r="K726" s="22">
        <v>10.48</v>
      </c>
      <c r="L726" s="23">
        <f t="shared" si="1"/>
        <v>1257.6</v>
      </c>
      <c r="M726" s="17" t="s">
        <v>65</v>
      </c>
      <c r="N726" s="18">
        <v>46050.0</v>
      </c>
      <c r="O726" s="19">
        <f>SUMIF(inventory_snapshot!$B:$B,H726,inventory_snapshot!$E:$E)</f>
        <v>1732</v>
      </c>
      <c r="P726" s="24" t="str">
        <f t="shared" si="2"/>
        <v>OK</v>
      </c>
      <c r="Q726" s="24" t="str">
        <f t="shared" si="3"/>
        <v>OK</v>
      </c>
      <c r="R726" s="24" t="str">
        <f t="shared" si="4"/>
        <v>OK</v>
      </c>
      <c r="S726" s="24" t="str">
        <f t="shared" si="5"/>
        <v>Large</v>
      </c>
    </row>
    <row r="727" ht="15.75" customHeight="1">
      <c r="A727" s="25" t="s">
        <v>906</v>
      </c>
      <c r="B727" s="26">
        <v>46050.0</v>
      </c>
      <c r="C727" s="25" t="s">
        <v>864</v>
      </c>
      <c r="D727" s="27" t="str">
        <f>IFERROR(VLOOKUP(C727,customer_lookup!$A:$E,2,FALSE),"")</f>
        <v>NY Account 0095</v>
      </c>
      <c r="E727" s="27" t="str">
        <f>IFERROR(VLOOKUP(C727,customer_lookup!$A:$E,3,FALSE),"")</f>
        <v>NY</v>
      </c>
      <c r="F727" s="28" t="str">
        <f>IFERROR(VLOOKUP(C727,customer_lookup!$A:$E,5,FALSE),"")</f>
        <v>Quinn</v>
      </c>
      <c r="G727" s="25" t="s">
        <v>63</v>
      </c>
      <c r="H727" s="25" t="s">
        <v>81</v>
      </c>
      <c r="I727" s="27" t="str">
        <f>IFERROR(VLOOKUP(H727,product_lookup!$A:$D,2,FALSE),"")</f>
        <v>Lemon Sparkling Beverage</v>
      </c>
      <c r="J727" s="29">
        <v>24.0</v>
      </c>
      <c r="K727" s="30">
        <v>7.32</v>
      </c>
      <c r="L727" s="31">
        <f t="shared" si="1"/>
        <v>175.68</v>
      </c>
      <c r="M727" s="25" t="s">
        <v>65</v>
      </c>
      <c r="N727" s="26">
        <v>46060.0</v>
      </c>
      <c r="O727" s="27">
        <f>SUMIF(inventory_snapshot!$B:$B,H727,inventory_snapshot!$E:$E)</f>
        <v>1360</v>
      </c>
      <c r="P727" s="32" t="str">
        <f t="shared" si="2"/>
        <v>OK</v>
      </c>
      <c r="Q727" s="32" t="str">
        <f t="shared" si="3"/>
        <v>OK</v>
      </c>
      <c r="R727" s="32" t="str">
        <f t="shared" si="4"/>
        <v>OK</v>
      </c>
      <c r="S727" s="32" t="str">
        <f t="shared" si="5"/>
        <v>Small</v>
      </c>
    </row>
    <row r="728" ht="15.75" customHeight="1">
      <c r="A728" s="17" t="s">
        <v>907</v>
      </c>
      <c r="B728" s="18">
        <v>46085.0</v>
      </c>
      <c r="C728" s="17" t="s">
        <v>861</v>
      </c>
      <c r="D728" s="19" t="str">
        <f>IFERROR(VLOOKUP(C728,customer_lookup!$A:$E,2,FALSE),"")</f>
        <v>MI Account 0116</v>
      </c>
      <c r="E728" s="19" t="str">
        <f>IFERROR(VLOOKUP(C728,customer_lookup!$A:$E,3,FALSE),"")</f>
        <v>MI</v>
      </c>
      <c r="F728" s="20" t="str">
        <f>IFERROR(VLOOKUP(C728,customer_lookup!$A:$E,5,FALSE),"")</f>
        <v>Quinn</v>
      </c>
      <c r="G728" s="17" t="s">
        <v>63</v>
      </c>
      <c r="H728" s="17" t="s">
        <v>92</v>
      </c>
      <c r="I728" s="19" t="str">
        <f>IFERROR(VLOOKUP(H728,product_lookup!$A:$D,2,FALSE),"")</f>
        <v>Raspberry THC Gummies</v>
      </c>
      <c r="J728" s="21">
        <v>96.0</v>
      </c>
      <c r="K728" s="22">
        <v>10.57</v>
      </c>
      <c r="L728" s="23">
        <f t="shared" si="1"/>
        <v>1014.72</v>
      </c>
      <c r="M728" s="17" t="s">
        <v>97</v>
      </c>
      <c r="N728" s="18">
        <v>46093.0</v>
      </c>
      <c r="O728" s="19">
        <f>SUMIF(inventory_snapshot!$B:$B,H728,inventory_snapshot!$E:$E)</f>
        <v>1417</v>
      </c>
      <c r="P728" s="24" t="str">
        <f t="shared" si="2"/>
        <v>OK</v>
      </c>
      <c r="Q728" s="24" t="str">
        <f t="shared" si="3"/>
        <v>OK</v>
      </c>
      <c r="R728" s="24" t="str">
        <f t="shared" si="4"/>
        <v>OK</v>
      </c>
      <c r="S728" s="24" t="str">
        <f t="shared" si="5"/>
        <v>Large</v>
      </c>
    </row>
    <row r="729" ht="15.75" customHeight="1">
      <c r="A729" s="25" t="s">
        <v>908</v>
      </c>
      <c r="B729" s="26">
        <v>46043.0</v>
      </c>
      <c r="C729" s="25" t="s">
        <v>855</v>
      </c>
      <c r="D729" s="27" t="str">
        <f>IFERROR(VLOOKUP(C729,customer_lookup!$A:$E,2,FALSE),"")</f>
        <v>OR Account 0061</v>
      </c>
      <c r="E729" s="27" t="str">
        <f>IFERROR(VLOOKUP(C729,customer_lookup!$A:$E,3,FALSE),"")</f>
        <v>OR</v>
      </c>
      <c r="F729" s="28" t="str">
        <f>IFERROR(VLOOKUP(C729,customer_lookup!$A:$E,5,FALSE),"")</f>
        <v>Quinn</v>
      </c>
      <c r="G729" s="25" t="s">
        <v>89</v>
      </c>
      <c r="H729" s="25" t="s">
        <v>85</v>
      </c>
      <c r="I729" s="27" t="str">
        <f>IFERROR(VLOOKUP(H729,product_lookup!$A:$D,2,FALSE),"")</f>
        <v>Huckleberry THC Gummies</v>
      </c>
      <c r="J729" s="29">
        <v>24.0</v>
      </c>
      <c r="K729" s="30">
        <v>9.69</v>
      </c>
      <c r="L729" s="31">
        <f t="shared" si="1"/>
        <v>232.56</v>
      </c>
      <c r="M729" s="25" t="s">
        <v>75</v>
      </c>
      <c r="N729" s="26">
        <v>46048.0</v>
      </c>
      <c r="O729" s="27">
        <f>SUMIF(inventory_snapshot!$B:$B,H729,inventory_snapshot!$E:$E)</f>
        <v>1841</v>
      </c>
      <c r="P729" s="32" t="str">
        <f t="shared" si="2"/>
        <v>OK</v>
      </c>
      <c r="Q729" s="32" t="str">
        <f t="shared" si="3"/>
        <v>OK</v>
      </c>
      <c r="R729" s="32" t="str">
        <f t="shared" si="4"/>
        <v>OK</v>
      </c>
      <c r="S729" s="32" t="str">
        <f t="shared" si="5"/>
        <v>Small</v>
      </c>
    </row>
    <row r="730" ht="15.75" customHeight="1">
      <c r="A730" s="17" t="s">
        <v>909</v>
      </c>
      <c r="B730" s="18">
        <v>46084.0</v>
      </c>
      <c r="C730" s="17" t="s">
        <v>857</v>
      </c>
      <c r="D730" s="19" t="str">
        <f>IFERROR(VLOOKUP(C730,customer_lookup!$A:$E,2,FALSE),"")</f>
        <v>MI Account 0068</v>
      </c>
      <c r="E730" s="19" t="str">
        <f>IFERROR(VLOOKUP(C730,customer_lookup!$A:$E,3,FALSE),"")</f>
        <v>MI</v>
      </c>
      <c r="F730" s="20" t="str">
        <f>IFERROR(VLOOKUP(C730,customer_lookup!$A:$E,5,FALSE),"")</f>
        <v>Quinn</v>
      </c>
      <c r="G730" s="17" t="s">
        <v>63</v>
      </c>
      <c r="H730" s="17" t="s">
        <v>110</v>
      </c>
      <c r="I730" s="19" t="str">
        <f>IFERROR(VLOOKUP(H730,product_lookup!$A:$D,2,FALSE),"")</f>
        <v>Elderberry 2:1 Gummies</v>
      </c>
      <c r="J730" s="21">
        <v>96.0</v>
      </c>
      <c r="K730" s="22">
        <v>11.95</v>
      </c>
      <c r="L730" s="23">
        <f t="shared" si="1"/>
        <v>1147.2</v>
      </c>
      <c r="M730" s="17" t="s">
        <v>93</v>
      </c>
      <c r="N730" s="18">
        <v>46094.0</v>
      </c>
      <c r="O730" s="19">
        <f>SUMIF(inventory_snapshot!$B:$B,H730,inventory_snapshot!$E:$E)</f>
        <v>1633</v>
      </c>
      <c r="P730" s="24" t="str">
        <f t="shared" si="2"/>
        <v>OK</v>
      </c>
      <c r="Q730" s="24" t="str">
        <f t="shared" si="3"/>
        <v>OK</v>
      </c>
      <c r="R730" s="24" t="str">
        <f t="shared" si="4"/>
        <v>OK</v>
      </c>
      <c r="S730" s="24" t="str">
        <f t="shared" si="5"/>
        <v>Large</v>
      </c>
    </row>
    <row r="731" ht="15.75" customHeight="1">
      <c r="A731" s="25" t="s">
        <v>910</v>
      </c>
      <c r="B731" s="26">
        <v>46129.0</v>
      </c>
      <c r="C731" s="25" t="s">
        <v>873</v>
      </c>
      <c r="D731" s="27" t="str">
        <f>IFERROR(VLOOKUP(C731,customer_lookup!$A:$E,2,FALSE),"")</f>
        <v>NY Account 0119</v>
      </c>
      <c r="E731" s="27" t="str">
        <f>IFERROR(VLOOKUP(C731,customer_lookup!$A:$E,3,FALSE),"")</f>
        <v>NY</v>
      </c>
      <c r="F731" s="28" t="str">
        <f>IFERROR(VLOOKUP(C731,customer_lookup!$A:$E,5,FALSE),"")</f>
        <v>Quinn</v>
      </c>
      <c r="G731" s="25" t="s">
        <v>63</v>
      </c>
      <c r="H731" s="25" t="s">
        <v>95</v>
      </c>
      <c r="I731" s="27" t="str">
        <f>IFERROR(VLOOKUP(H731,product_lookup!$A:$D,2,FALSE),"")</f>
        <v>Boysenberry 1:1:1 Gummies</v>
      </c>
      <c r="J731" s="29">
        <v>72.0</v>
      </c>
      <c r="K731" s="30">
        <v>10.08</v>
      </c>
      <c r="L731" s="31">
        <f t="shared" si="1"/>
        <v>725.76</v>
      </c>
      <c r="M731" s="25" t="s">
        <v>65</v>
      </c>
      <c r="N731" s="26">
        <v>46138.0</v>
      </c>
      <c r="O731" s="27">
        <f>SUMIF(inventory_snapshot!$B:$B,H731,inventory_snapshot!$E:$E)</f>
        <v>2007</v>
      </c>
      <c r="P731" s="32" t="str">
        <f t="shared" si="2"/>
        <v>OK</v>
      </c>
      <c r="Q731" s="32" t="str">
        <f t="shared" si="3"/>
        <v>OK</v>
      </c>
      <c r="R731" s="32" t="str">
        <f t="shared" si="4"/>
        <v>OK</v>
      </c>
      <c r="S731" s="32" t="str">
        <f t="shared" si="5"/>
        <v>Medium</v>
      </c>
    </row>
    <row r="732" ht="15.75" customHeight="1">
      <c r="A732" s="17" t="s">
        <v>911</v>
      </c>
      <c r="B732" s="18">
        <v>46036.0</v>
      </c>
      <c r="C732" s="17" t="s">
        <v>855</v>
      </c>
      <c r="D732" s="19" t="str">
        <f>IFERROR(VLOOKUP(C732,customer_lookup!$A:$E,2,FALSE),"")</f>
        <v>OR Account 0061</v>
      </c>
      <c r="E732" s="19" t="str">
        <f>IFERROR(VLOOKUP(C732,customer_lookup!$A:$E,3,FALSE),"")</f>
        <v>OR</v>
      </c>
      <c r="F732" s="20" t="str">
        <f>IFERROR(VLOOKUP(C732,customer_lookup!$A:$E,5,FALSE),"")</f>
        <v>Quinn</v>
      </c>
      <c r="G732" s="17" t="s">
        <v>63</v>
      </c>
      <c r="H732" s="17" t="s">
        <v>95</v>
      </c>
      <c r="I732" s="19" t="str">
        <f>IFERROR(VLOOKUP(H732,product_lookup!$A:$D,2,FALSE),"")</f>
        <v>Boysenberry 1:1:1 Gummies</v>
      </c>
      <c r="J732" s="21">
        <v>48.0</v>
      </c>
      <c r="K732" s="22">
        <v>9.56</v>
      </c>
      <c r="L732" s="23">
        <f t="shared" si="1"/>
        <v>458.88</v>
      </c>
      <c r="M732" s="17" t="s">
        <v>75</v>
      </c>
      <c r="N732" s="18">
        <v>46046.0</v>
      </c>
      <c r="O732" s="19">
        <f>SUMIF(inventory_snapshot!$B:$B,H732,inventory_snapshot!$E:$E)</f>
        <v>2007</v>
      </c>
      <c r="P732" s="24" t="str">
        <f t="shared" si="2"/>
        <v>OK</v>
      </c>
      <c r="Q732" s="24" t="str">
        <f t="shared" si="3"/>
        <v>OK</v>
      </c>
      <c r="R732" s="24" t="str">
        <f t="shared" si="4"/>
        <v>OK</v>
      </c>
      <c r="S732" s="24" t="str">
        <f t="shared" si="5"/>
        <v>Small</v>
      </c>
    </row>
    <row r="733" ht="15.75" customHeight="1">
      <c r="A733" s="25" t="s">
        <v>912</v>
      </c>
      <c r="B733" s="26">
        <v>46132.0</v>
      </c>
      <c r="C733" s="25" t="s">
        <v>882</v>
      </c>
      <c r="D733" s="27" t="str">
        <f>IFERROR(VLOOKUP(C733,customer_lookup!$A:$E,2,FALSE),"")</f>
        <v>CO Account 0052</v>
      </c>
      <c r="E733" s="27" t="str">
        <f>IFERROR(VLOOKUP(C733,customer_lookup!$A:$E,3,FALSE),"")</f>
        <v>CO</v>
      </c>
      <c r="F733" s="28" t="str">
        <f>IFERROR(VLOOKUP(C733,customer_lookup!$A:$E,5,FALSE),"")</f>
        <v>Quinn</v>
      </c>
      <c r="G733" s="25" t="s">
        <v>89</v>
      </c>
      <c r="H733" s="25" t="s">
        <v>85</v>
      </c>
      <c r="I733" s="27" t="str">
        <f>IFERROR(VLOOKUP(H733,product_lookup!$A:$D,2,FALSE),"")</f>
        <v>Huckleberry THC Gummies</v>
      </c>
      <c r="J733" s="29">
        <v>30.0</v>
      </c>
      <c r="K733" s="30">
        <v>9.35</v>
      </c>
      <c r="L733" s="31">
        <f t="shared" si="1"/>
        <v>280.5</v>
      </c>
      <c r="M733" s="25" t="s">
        <v>93</v>
      </c>
      <c r="N733" s="26">
        <v>46133.0</v>
      </c>
      <c r="O733" s="27">
        <f>SUMIF(inventory_snapshot!$B:$B,H733,inventory_snapshot!$E:$E)</f>
        <v>1841</v>
      </c>
      <c r="P733" s="32" t="str">
        <f t="shared" si="2"/>
        <v>OK</v>
      </c>
      <c r="Q733" s="32" t="str">
        <f t="shared" si="3"/>
        <v>OK</v>
      </c>
      <c r="R733" s="32" t="str">
        <f t="shared" si="4"/>
        <v>OK</v>
      </c>
      <c r="S733" s="32" t="str">
        <f t="shared" si="5"/>
        <v>Small</v>
      </c>
    </row>
    <row r="734" ht="15.75" customHeight="1">
      <c r="A734" s="17" t="s">
        <v>913</v>
      </c>
      <c r="B734" s="18">
        <v>46078.0</v>
      </c>
      <c r="C734" s="17" t="s">
        <v>882</v>
      </c>
      <c r="D734" s="19" t="str">
        <f>IFERROR(VLOOKUP(C734,customer_lookup!$A:$E,2,FALSE),"")</f>
        <v>CO Account 0052</v>
      </c>
      <c r="E734" s="19" t="str">
        <f>IFERROR(VLOOKUP(C734,customer_lookup!$A:$E,3,FALSE),"")</f>
        <v>CO</v>
      </c>
      <c r="F734" s="20" t="str">
        <f>IFERROR(VLOOKUP(C734,customer_lookup!$A:$E,5,FALSE),"")</f>
        <v>Quinn</v>
      </c>
      <c r="G734" s="17" t="s">
        <v>63</v>
      </c>
      <c r="H734" s="17" t="s">
        <v>106</v>
      </c>
      <c r="I734" s="19" t="str">
        <f>IFERROR(VLOOKUP(H734,product_lookup!$A:$D,2,FALSE),"")</f>
        <v>Sour Cherry THC Gummies</v>
      </c>
      <c r="J734" s="21">
        <v>72.0</v>
      </c>
      <c r="K734" s="22">
        <v>10.13</v>
      </c>
      <c r="L734" s="23">
        <f t="shared" si="1"/>
        <v>729.36</v>
      </c>
      <c r="M734" s="17" t="s">
        <v>97</v>
      </c>
      <c r="N734" s="18">
        <v>46087.0</v>
      </c>
      <c r="O734" s="19">
        <f>SUMIF(inventory_snapshot!$B:$B,H734,inventory_snapshot!$E:$E)</f>
        <v>1313</v>
      </c>
      <c r="P734" s="24" t="str">
        <f t="shared" si="2"/>
        <v>OK</v>
      </c>
      <c r="Q734" s="24" t="str">
        <f t="shared" si="3"/>
        <v>OK</v>
      </c>
      <c r="R734" s="24" t="str">
        <f t="shared" si="4"/>
        <v>OK</v>
      </c>
      <c r="S734" s="24" t="str">
        <f t="shared" si="5"/>
        <v>Medium</v>
      </c>
    </row>
    <row r="735" ht="15.75" customHeight="1">
      <c r="A735" s="25" t="s">
        <v>914</v>
      </c>
      <c r="B735" s="26">
        <v>46118.0</v>
      </c>
      <c r="C735" s="25" t="s">
        <v>873</v>
      </c>
      <c r="D735" s="27" t="str">
        <f>IFERROR(VLOOKUP(C735,customer_lookup!$A:$E,2,FALSE),"")</f>
        <v>NY Account 0119</v>
      </c>
      <c r="E735" s="27" t="str">
        <f>IFERROR(VLOOKUP(C735,customer_lookup!$A:$E,3,FALSE),"")</f>
        <v>NY</v>
      </c>
      <c r="F735" s="28" t="str">
        <f>IFERROR(VLOOKUP(C735,customer_lookup!$A:$E,5,FALSE),"")</f>
        <v>Quinn</v>
      </c>
      <c r="G735" s="25" t="s">
        <v>63</v>
      </c>
      <c r="H735" s="25" t="s">
        <v>71</v>
      </c>
      <c r="I735" s="27" t="str">
        <f>IFERROR(VLOOKUP(H735,product_lookup!$A:$D,2,FALSE),"")</f>
        <v>Pineapple Sparkling Beverage</v>
      </c>
      <c r="J735" s="29">
        <v>30.0</v>
      </c>
      <c r="K735" s="30">
        <v>8.1</v>
      </c>
      <c r="L735" s="31">
        <f t="shared" si="1"/>
        <v>243</v>
      </c>
      <c r="M735" s="25" t="s">
        <v>65</v>
      </c>
      <c r="N735" s="26">
        <v>46126.0</v>
      </c>
      <c r="O735" s="27">
        <f>SUMIF(inventory_snapshot!$B:$B,H735,inventory_snapshot!$E:$E)</f>
        <v>1145</v>
      </c>
      <c r="P735" s="32" t="str">
        <f t="shared" si="2"/>
        <v>OK</v>
      </c>
      <c r="Q735" s="32" t="str">
        <f t="shared" si="3"/>
        <v>OK</v>
      </c>
      <c r="R735" s="32" t="str">
        <f t="shared" si="4"/>
        <v>OK</v>
      </c>
      <c r="S735" s="32" t="str">
        <f t="shared" si="5"/>
        <v>Small</v>
      </c>
    </row>
    <row r="736" ht="15.75" customHeight="1">
      <c r="A736" s="17" t="s">
        <v>915</v>
      </c>
      <c r="B736" s="18">
        <v>46083.0</v>
      </c>
      <c r="C736" s="17" t="s">
        <v>855</v>
      </c>
      <c r="D736" s="19" t="str">
        <f>IFERROR(VLOOKUP(C736,customer_lookup!$A:$E,2,FALSE),"")</f>
        <v>OR Account 0061</v>
      </c>
      <c r="E736" s="19" t="str">
        <f>IFERROR(VLOOKUP(C736,customer_lookup!$A:$E,3,FALSE),"")</f>
        <v>OR</v>
      </c>
      <c r="F736" s="20" t="str">
        <f>IFERROR(VLOOKUP(C736,customer_lookup!$A:$E,5,FALSE),"")</f>
        <v>Quinn</v>
      </c>
      <c r="G736" s="17" t="s">
        <v>63</v>
      </c>
      <c r="H736" s="17" t="s">
        <v>102</v>
      </c>
      <c r="I736" s="19" t="str">
        <f>IFERROR(VLOOKUP(H736,product_lookup!$A:$D,2,FALSE),"")</f>
        <v>Pomegranate 1:1 Gummies</v>
      </c>
      <c r="J736" s="21">
        <v>72.0</v>
      </c>
      <c r="K736" s="22">
        <v>10.41</v>
      </c>
      <c r="L736" s="23">
        <f t="shared" si="1"/>
        <v>749.52</v>
      </c>
      <c r="M736" s="17" t="s">
        <v>65</v>
      </c>
      <c r="N736" s="18">
        <v>46088.0</v>
      </c>
      <c r="O736" s="19">
        <f>SUMIF(inventory_snapshot!$B:$B,H736,inventory_snapshot!$E:$E)</f>
        <v>1493</v>
      </c>
      <c r="P736" s="24" t="str">
        <f t="shared" si="2"/>
        <v>OK</v>
      </c>
      <c r="Q736" s="24" t="str">
        <f t="shared" si="3"/>
        <v>OK</v>
      </c>
      <c r="R736" s="24" t="str">
        <f t="shared" si="4"/>
        <v>OK</v>
      </c>
      <c r="S736" s="24" t="str">
        <f t="shared" si="5"/>
        <v>Medium</v>
      </c>
    </row>
    <row r="737" ht="15.75" customHeight="1">
      <c r="A737" s="25" t="s">
        <v>916</v>
      </c>
      <c r="B737" s="26">
        <v>46027.0</v>
      </c>
      <c r="C737" s="25" t="s">
        <v>873</v>
      </c>
      <c r="D737" s="27" t="str">
        <f>IFERROR(VLOOKUP(C737,customer_lookup!$A:$E,2,FALSE),"")</f>
        <v>NY Account 0119</v>
      </c>
      <c r="E737" s="27" t="str">
        <f>IFERROR(VLOOKUP(C737,customer_lookup!$A:$E,3,FALSE),"")</f>
        <v>NY</v>
      </c>
      <c r="F737" s="28" t="str">
        <f>IFERROR(VLOOKUP(C737,customer_lookup!$A:$E,5,FALSE),"")</f>
        <v>Quinn</v>
      </c>
      <c r="G737" s="25" t="s">
        <v>89</v>
      </c>
      <c r="H737" s="25" t="s">
        <v>110</v>
      </c>
      <c r="I737" s="27" t="str">
        <f>IFERROR(VLOOKUP(H737,product_lookup!$A:$D,2,FALSE),"")</f>
        <v>Elderberry 2:1 Gummies</v>
      </c>
      <c r="J737" s="29">
        <v>18.0</v>
      </c>
      <c r="K737" s="30">
        <v>10.98</v>
      </c>
      <c r="L737" s="31">
        <f t="shared" si="1"/>
        <v>197.64</v>
      </c>
      <c r="M737" s="25" t="s">
        <v>100</v>
      </c>
      <c r="N737" s="26">
        <v>46037.0</v>
      </c>
      <c r="O737" s="27">
        <f>SUMIF(inventory_snapshot!$B:$B,H737,inventory_snapshot!$E:$E)</f>
        <v>1633</v>
      </c>
      <c r="P737" s="32" t="str">
        <f t="shared" si="2"/>
        <v>OK</v>
      </c>
      <c r="Q737" s="32" t="str">
        <f t="shared" si="3"/>
        <v>OK</v>
      </c>
      <c r="R737" s="32" t="str">
        <f t="shared" si="4"/>
        <v>OK</v>
      </c>
      <c r="S737" s="32" t="str">
        <f t="shared" si="5"/>
        <v>Small</v>
      </c>
    </row>
    <row r="738" ht="15.75" customHeight="1">
      <c r="A738" s="17" t="s">
        <v>917</v>
      </c>
      <c r="B738" s="18">
        <v>46064.0</v>
      </c>
      <c r="C738" s="17" t="s">
        <v>864</v>
      </c>
      <c r="D738" s="19" t="str">
        <f>IFERROR(VLOOKUP(C738,customer_lookup!$A:$E,2,FALSE),"")</f>
        <v>NY Account 0095</v>
      </c>
      <c r="E738" s="19" t="str">
        <f>IFERROR(VLOOKUP(C738,customer_lookup!$A:$E,3,FALSE),"")</f>
        <v>NY</v>
      </c>
      <c r="F738" s="20" t="str">
        <f>IFERROR(VLOOKUP(C738,customer_lookup!$A:$E,5,FALSE),"")</f>
        <v>Quinn</v>
      </c>
      <c r="G738" s="17" t="s">
        <v>63</v>
      </c>
      <c r="H738" s="17" t="s">
        <v>106</v>
      </c>
      <c r="I738" s="19" t="str">
        <f>IFERROR(VLOOKUP(H738,product_lookup!$A:$D,2,FALSE),"")</f>
        <v>Sour Cherry THC Gummies</v>
      </c>
      <c r="J738" s="21">
        <v>12.0</v>
      </c>
      <c r="K738" s="22">
        <v>11.77</v>
      </c>
      <c r="L738" s="23">
        <f t="shared" si="1"/>
        <v>141.24</v>
      </c>
      <c r="M738" s="17" t="s">
        <v>65</v>
      </c>
      <c r="N738" s="18">
        <v>46068.0</v>
      </c>
      <c r="O738" s="19">
        <f>SUMIF(inventory_snapshot!$B:$B,H738,inventory_snapshot!$E:$E)</f>
        <v>1313</v>
      </c>
      <c r="P738" s="24" t="str">
        <f t="shared" si="2"/>
        <v>OK</v>
      </c>
      <c r="Q738" s="24" t="str">
        <f t="shared" si="3"/>
        <v>OK</v>
      </c>
      <c r="R738" s="24" t="str">
        <f t="shared" si="4"/>
        <v>OK</v>
      </c>
      <c r="S738" s="24" t="str">
        <f t="shared" si="5"/>
        <v>Small</v>
      </c>
    </row>
    <row r="739" ht="15.75" customHeight="1">
      <c r="A739" s="25" t="s">
        <v>918</v>
      </c>
      <c r="B739" s="26">
        <v>46085.0</v>
      </c>
      <c r="C739" s="25" t="s">
        <v>855</v>
      </c>
      <c r="D739" s="27" t="str">
        <f>IFERROR(VLOOKUP(C739,customer_lookup!$A:$E,2,FALSE),"")</f>
        <v>OR Account 0061</v>
      </c>
      <c r="E739" s="27" t="str">
        <f>IFERROR(VLOOKUP(C739,customer_lookup!$A:$E,3,FALSE),"")</f>
        <v>OR</v>
      </c>
      <c r="F739" s="28" t="str">
        <f>IFERROR(VLOOKUP(C739,customer_lookup!$A:$E,5,FALSE),"")</f>
        <v>Quinn</v>
      </c>
      <c r="G739" s="25" t="s">
        <v>89</v>
      </c>
      <c r="H739" s="25" t="s">
        <v>64</v>
      </c>
      <c r="I739" s="27" t="str">
        <f>IFERROR(VLOOKUP(H739,product_lookup!$A:$D,2,FALSE),"")</f>
        <v>Cranberry Sparkling Beverage</v>
      </c>
      <c r="J739" s="29">
        <v>6.0</v>
      </c>
      <c r="K739" s="30">
        <v>8.36</v>
      </c>
      <c r="L739" s="31">
        <f t="shared" si="1"/>
        <v>50.16</v>
      </c>
      <c r="M739" s="25" t="s">
        <v>97</v>
      </c>
      <c r="N739" s="26">
        <v>46093.0</v>
      </c>
      <c r="O739" s="27">
        <f>SUMIF(inventory_snapshot!$B:$B,H739,inventory_snapshot!$E:$E)</f>
        <v>1152</v>
      </c>
      <c r="P739" s="32" t="str">
        <f t="shared" si="2"/>
        <v>OK</v>
      </c>
      <c r="Q739" s="32" t="str">
        <f t="shared" si="3"/>
        <v>OK</v>
      </c>
      <c r="R739" s="32" t="str">
        <f t="shared" si="4"/>
        <v>OK</v>
      </c>
      <c r="S739" s="32" t="str">
        <f t="shared" si="5"/>
        <v>Small</v>
      </c>
    </row>
    <row r="740" ht="15.75" customHeight="1">
      <c r="A740" s="17" t="s">
        <v>919</v>
      </c>
      <c r="B740" s="18">
        <v>46058.0</v>
      </c>
      <c r="C740" s="17" t="s">
        <v>855</v>
      </c>
      <c r="D740" s="19" t="str">
        <f>IFERROR(VLOOKUP(C740,customer_lookup!$A:$E,2,FALSE),"")</f>
        <v>OR Account 0061</v>
      </c>
      <c r="E740" s="19" t="str">
        <f>IFERROR(VLOOKUP(C740,customer_lookup!$A:$E,3,FALSE),"")</f>
        <v>OR</v>
      </c>
      <c r="F740" s="20" t="str">
        <f>IFERROR(VLOOKUP(C740,customer_lookup!$A:$E,5,FALSE),"")</f>
        <v>Quinn</v>
      </c>
      <c r="G740" s="17" t="s">
        <v>63</v>
      </c>
      <c r="H740" s="17" t="s">
        <v>74</v>
      </c>
      <c r="I740" s="19" t="str">
        <f>IFERROR(VLOOKUP(H740,product_lookup!$A:$D,2,FALSE),"")</f>
        <v>Strawberry 20:1 Gummies</v>
      </c>
      <c r="J740" s="21">
        <v>6.0</v>
      </c>
      <c r="K740" s="22">
        <v>12.03</v>
      </c>
      <c r="L740" s="23">
        <f t="shared" si="1"/>
        <v>72.18</v>
      </c>
      <c r="M740" s="17" t="s">
        <v>65</v>
      </c>
      <c r="N740" s="18">
        <v>46064.0</v>
      </c>
      <c r="O740" s="19">
        <f>SUMIF(inventory_snapshot!$B:$B,H740,inventory_snapshot!$E:$E)</f>
        <v>2294</v>
      </c>
      <c r="P740" s="24" t="str">
        <f t="shared" si="2"/>
        <v>OK</v>
      </c>
      <c r="Q740" s="24" t="str">
        <f t="shared" si="3"/>
        <v>OK</v>
      </c>
      <c r="R740" s="24" t="str">
        <f t="shared" si="4"/>
        <v>OK</v>
      </c>
      <c r="S740" s="24" t="str">
        <f t="shared" si="5"/>
        <v>Small</v>
      </c>
    </row>
    <row r="741" ht="15.75" customHeight="1">
      <c r="A741" s="25" t="s">
        <v>920</v>
      </c>
      <c r="B741" s="26">
        <v>46042.0</v>
      </c>
      <c r="C741" s="25" t="s">
        <v>873</v>
      </c>
      <c r="D741" s="27" t="str">
        <f>IFERROR(VLOOKUP(C741,customer_lookup!$A:$E,2,FALSE),"")</f>
        <v>NY Account 0119</v>
      </c>
      <c r="E741" s="27" t="str">
        <f>IFERROR(VLOOKUP(C741,customer_lookup!$A:$E,3,FALSE),"")</f>
        <v>NY</v>
      </c>
      <c r="F741" s="28" t="str">
        <f>IFERROR(VLOOKUP(C741,customer_lookup!$A:$E,5,FALSE),"")</f>
        <v>Quinn</v>
      </c>
      <c r="G741" s="25" t="s">
        <v>63</v>
      </c>
      <c r="H741" s="25" t="s">
        <v>64</v>
      </c>
      <c r="I741" s="27" t="str">
        <f>IFERROR(VLOOKUP(H741,product_lookup!$A:$D,2,FALSE),"")</f>
        <v>Cranberry Sparkling Beverage</v>
      </c>
      <c r="J741" s="29">
        <v>96.0</v>
      </c>
      <c r="K741" s="30">
        <v>8.37</v>
      </c>
      <c r="L741" s="31">
        <f t="shared" si="1"/>
        <v>803.52</v>
      </c>
      <c r="M741" s="25" t="s">
        <v>75</v>
      </c>
      <c r="N741" s="26">
        <v>46050.0</v>
      </c>
      <c r="O741" s="27">
        <f>SUMIF(inventory_snapshot!$B:$B,H741,inventory_snapshot!$E:$E)</f>
        <v>1152</v>
      </c>
      <c r="P741" s="32" t="str">
        <f t="shared" si="2"/>
        <v>OK</v>
      </c>
      <c r="Q741" s="32" t="str">
        <f t="shared" si="3"/>
        <v>OK</v>
      </c>
      <c r="R741" s="32" t="str">
        <f t="shared" si="4"/>
        <v>OK</v>
      </c>
      <c r="S741" s="32" t="str">
        <f t="shared" si="5"/>
        <v>Medium</v>
      </c>
    </row>
    <row r="742" ht="15.75" customHeight="1">
      <c r="A742" s="17" t="s">
        <v>921</v>
      </c>
      <c r="B742" s="18">
        <v>46137.0</v>
      </c>
      <c r="C742" s="17" t="s">
        <v>853</v>
      </c>
      <c r="D742" s="19" t="str">
        <f>IFERROR(VLOOKUP(C742,customer_lookup!$A:$E,2,FALSE),"")</f>
        <v>NV Account 0042</v>
      </c>
      <c r="E742" s="19" t="str">
        <f>IFERROR(VLOOKUP(C742,customer_lookup!$A:$E,3,FALSE),"")</f>
        <v>NV</v>
      </c>
      <c r="F742" s="20" t="str">
        <f>IFERROR(VLOOKUP(C742,customer_lookup!$A:$E,5,FALSE),"")</f>
        <v>Quinn</v>
      </c>
      <c r="G742" s="17" t="s">
        <v>63</v>
      </c>
      <c r="H742" s="17" t="s">
        <v>68</v>
      </c>
      <c r="I742" s="19" t="str">
        <f>IFERROR(VLOOKUP(H742,product_lookup!$A:$D,2,FALSE),"")</f>
        <v>Sour Apple THC Gummies</v>
      </c>
      <c r="J742" s="21">
        <v>30.0</v>
      </c>
      <c r="K742" s="22">
        <v>10.51</v>
      </c>
      <c r="L742" s="23">
        <f t="shared" si="1"/>
        <v>315.3</v>
      </c>
      <c r="M742" s="17" t="s">
        <v>75</v>
      </c>
      <c r="N742" s="18">
        <v>46143.0</v>
      </c>
      <c r="O742" s="19">
        <f>SUMIF(inventory_snapshot!$B:$B,H742,inventory_snapshot!$E:$E)</f>
        <v>775</v>
      </c>
      <c r="P742" s="24" t="str">
        <f t="shared" si="2"/>
        <v>OK</v>
      </c>
      <c r="Q742" s="24" t="str">
        <f t="shared" si="3"/>
        <v>OK</v>
      </c>
      <c r="R742" s="24" t="str">
        <f t="shared" si="4"/>
        <v>OK</v>
      </c>
      <c r="S742" s="24" t="str">
        <f t="shared" si="5"/>
        <v>Small</v>
      </c>
    </row>
    <row r="743" ht="15.75" customHeight="1">
      <c r="A743" s="25" t="s">
        <v>922</v>
      </c>
      <c r="B743" s="26">
        <v>46083.0</v>
      </c>
      <c r="C743" s="25" t="s">
        <v>857</v>
      </c>
      <c r="D743" s="27" t="str">
        <f>IFERROR(VLOOKUP(C743,customer_lookup!$A:$E,2,FALSE),"")</f>
        <v>MI Account 0068</v>
      </c>
      <c r="E743" s="27" t="str">
        <f>IFERROR(VLOOKUP(C743,customer_lookup!$A:$E,3,FALSE),"")</f>
        <v>MI</v>
      </c>
      <c r="F743" s="28" t="str">
        <f>IFERROR(VLOOKUP(C743,customer_lookup!$A:$E,5,FALSE),"")</f>
        <v>Quinn</v>
      </c>
      <c r="G743" s="25" t="s">
        <v>63</v>
      </c>
      <c r="H743" s="25" t="s">
        <v>78</v>
      </c>
      <c r="I743" s="27" t="str">
        <f>IFERROR(VLOOKUP(H743,product_lookup!$A:$D,2,FALSE),"")</f>
        <v>Grapefruit 1:1:1 Gummies</v>
      </c>
      <c r="J743" s="29">
        <v>72.0</v>
      </c>
      <c r="K743" s="30">
        <v>11.13</v>
      </c>
      <c r="L743" s="31">
        <f t="shared" si="1"/>
        <v>801.36</v>
      </c>
      <c r="M743" s="25" t="s">
        <v>65</v>
      </c>
      <c r="N743" s="26">
        <v>46093.0</v>
      </c>
      <c r="O743" s="27">
        <f>SUMIF(inventory_snapshot!$B:$B,H743,inventory_snapshot!$E:$E)</f>
        <v>1751</v>
      </c>
      <c r="P743" s="32" t="str">
        <f t="shared" si="2"/>
        <v>OK</v>
      </c>
      <c r="Q743" s="32" t="str">
        <f t="shared" si="3"/>
        <v>OK</v>
      </c>
      <c r="R743" s="32" t="str">
        <f t="shared" si="4"/>
        <v>OK</v>
      </c>
      <c r="S743" s="32" t="str">
        <f t="shared" si="5"/>
        <v>Medium</v>
      </c>
    </row>
    <row r="744" ht="15.75" customHeight="1">
      <c r="A744" s="17" t="s">
        <v>923</v>
      </c>
      <c r="B744" s="18">
        <v>46083.0</v>
      </c>
      <c r="C744" s="17" t="s">
        <v>868</v>
      </c>
      <c r="D744" s="19" t="str">
        <f>IFERROR(VLOOKUP(C744,customer_lookup!$A:$E,2,FALSE),"")</f>
        <v>OK Account 0120</v>
      </c>
      <c r="E744" s="19" t="str">
        <f>IFERROR(VLOOKUP(C744,customer_lookup!$A:$E,3,FALSE),"")</f>
        <v>OK</v>
      </c>
      <c r="F744" s="20" t="str">
        <f>IFERROR(VLOOKUP(C744,customer_lookup!$A:$E,5,FALSE),"")</f>
        <v>Quinn</v>
      </c>
      <c r="G744" s="17" t="s">
        <v>63</v>
      </c>
      <c r="H744" s="17" t="s">
        <v>85</v>
      </c>
      <c r="I744" s="19" t="str">
        <f>IFERROR(VLOOKUP(H744,product_lookup!$A:$D,2,FALSE),"")</f>
        <v>Huckleberry THC Gummies</v>
      </c>
      <c r="J744" s="21">
        <v>36.0</v>
      </c>
      <c r="K744" s="22">
        <v>10.09</v>
      </c>
      <c r="L744" s="23">
        <f t="shared" si="1"/>
        <v>363.24</v>
      </c>
      <c r="M744" s="17" t="s">
        <v>65</v>
      </c>
      <c r="N744" s="18">
        <v>46087.0</v>
      </c>
      <c r="O744" s="19">
        <f>SUMIF(inventory_snapshot!$B:$B,H744,inventory_snapshot!$E:$E)</f>
        <v>1841</v>
      </c>
      <c r="P744" s="24" t="str">
        <f t="shared" si="2"/>
        <v>OK</v>
      </c>
      <c r="Q744" s="24" t="str">
        <f t="shared" si="3"/>
        <v>OK</v>
      </c>
      <c r="R744" s="24" t="str">
        <f t="shared" si="4"/>
        <v>OK</v>
      </c>
      <c r="S744" s="24" t="str">
        <f t="shared" si="5"/>
        <v>Small</v>
      </c>
    </row>
    <row r="745" ht="15.75" customHeight="1">
      <c r="A745" s="25" t="s">
        <v>924</v>
      </c>
      <c r="B745" s="26">
        <v>46079.0</v>
      </c>
      <c r="C745" s="25" t="s">
        <v>857</v>
      </c>
      <c r="D745" s="27" t="str">
        <f>IFERROR(VLOOKUP(C745,customer_lookup!$A:$E,2,FALSE),"")</f>
        <v>MI Account 0068</v>
      </c>
      <c r="E745" s="27" t="str">
        <f>IFERROR(VLOOKUP(C745,customer_lookup!$A:$E,3,FALSE),"")</f>
        <v>MI</v>
      </c>
      <c r="F745" s="28" t="str">
        <f>IFERROR(VLOOKUP(C745,customer_lookup!$A:$E,5,FALSE),"")</f>
        <v>Quinn</v>
      </c>
      <c r="G745" s="25" t="s">
        <v>67</v>
      </c>
      <c r="H745" s="25" t="s">
        <v>81</v>
      </c>
      <c r="I745" s="27" t="str">
        <f>IFERROR(VLOOKUP(H745,product_lookup!$A:$D,2,FALSE),"")</f>
        <v>Lemon Sparkling Beverage</v>
      </c>
      <c r="J745" s="29">
        <v>60.0</v>
      </c>
      <c r="K745" s="30">
        <v>6.97</v>
      </c>
      <c r="L745" s="31">
        <f t="shared" si="1"/>
        <v>418.2</v>
      </c>
      <c r="M745" s="25" t="s">
        <v>97</v>
      </c>
      <c r="N745" s="26">
        <v>46082.0</v>
      </c>
      <c r="O745" s="27">
        <f>SUMIF(inventory_snapshot!$B:$B,H745,inventory_snapshot!$E:$E)</f>
        <v>1360</v>
      </c>
      <c r="P745" s="32" t="str">
        <f t="shared" si="2"/>
        <v>OK</v>
      </c>
      <c r="Q745" s="32" t="str">
        <f t="shared" si="3"/>
        <v>OK</v>
      </c>
      <c r="R745" s="32" t="str">
        <f t="shared" si="4"/>
        <v>OK</v>
      </c>
      <c r="S745" s="32" t="str">
        <f t="shared" si="5"/>
        <v>Small</v>
      </c>
    </row>
    <row r="746" ht="15.75" customHeight="1">
      <c r="A746" s="17" t="s">
        <v>925</v>
      </c>
      <c r="B746" s="18">
        <v>46040.0</v>
      </c>
      <c r="C746" s="17" t="s">
        <v>861</v>
      </c>
      <c r="D746" s="19" t="str">
        <f>IFERROR(VLOOKUP(C746,customer_lookup!$A:$E,2,FALSE),"")</f>
        <v>MI Account 0116</v>
      </c>
      <c r="E746" s="19" t="str">
        <f>IFERROR(VLOOKUP(C746,customer_lookup!$A:$E,3,FALSE),"")</f>
        <v>MI</v>
      </c>
      <c r="F746" s="20" t="str">
        <f>IFERROR(VLOOKUP(C746,customer_lookup!$A:$E,5,FALSE),"")</f>
        <v>Quinn</v>
      </c>
      <c r="G746" s="17" t="s">
        <v>63</v>
      </c>
      <c r="H746" s="17" t="s">
        <v>95</v>
      </c>
      <c r="I746" s="19" t="str">
        <f>IFERROR(VLOOKUP(H746,product_lookup!$A:$D,2,FALSE),"")</f>
        <v>Boysenberry 1:1:1 Gummies</v>
      </c>
      <c r="J746" s="21">
        <v>120.0</v>
      </c>
      <c r="K746" s="22">
        <v>10.61</v>
      </c>
      <c r="L746" s="23">
        <f t="shared" si="1"/>
        <v>1273.2</v>
      </c>
      <c r="M746" s="17" t="s">
        <v>97</v>
      </c>
      <c r="N746" s="18">
        <v>46044.0</v>
      </c>
      <c r="O746" s="19">
        <f>SUMIF(inventory_snapshot!$B:$B,H746,inventory_snapshot!$E:$E)</f>
        <v>2007</v>
      </c>
      <c r="P746" s="24" t="str">
        <f t="shared" si="2"/>
        <v>OK</v>
      </c>
      <c r="Q746" s="24" t="str">
        <f t="shared" si="3"/>
        <v>OK</v>
      </c>
      <c r="R746" s="24" t="str">
        <f t="shared" si="4"/>
        <v>OK</v>
      </c>
      <c r="S746" s="24" t="str">
        <f t="shared" si="5"/>
        <v>Large</v>
      </c>
    </row>
    <row r="747" ht="15.75" customHeight="1">
      <c r="A747" s="25" t="s">
        <v>926</v>
      </c>
      <c r="B747" s="26">
        <v>46031.0</v>
      </c>
      <c r="C747" s="25" t="s">
        <v>857</v>
      </c>
      <c r="D747" s="27" t="str">
        <f>IFERROR(VLOOKUP(C747,customer_lookup!$A:$E,2,FALSE),"")</f>
        <v>MI Account 0068</v>
      </c>
      <c r="E747" s="27" t="str">
        <f>IFERROR(VLOOKUP(C747,customer_lookup!$A:$E,3,FALSE),"")</f>
        <v>MI</v>
      </c>
      <c r="F747" s="28" t="str">
        <f>IFERROR(VLOOKUP(C747,customer_lookup!$A:$E,5,FALSE),"")</f>
        <v>Quinn</v>
      </c>
      <c r="G747" s="25" t="s">
        <v>63</v>
      </c>
      <c r="H747" s="25" t="s">
        <v>92</v>
      </c>
      <c r="I747" s="27" t="str">
        <f>IFERROR(VLOOKUP(H747,product_lookup!$A:$D,2,FALSE),"")</f>
        <v>Raspberry THC Gummies</v>
      </c>
      <c r="J747" s="29">
        <v>96.0</v>
      </c>
      <c r="K747" s="30">
        <v>11.04</v>
      </c>
      <c r="L747" s="31">
        <f t="shared" si="1"/>
        <v>1059.84</v>
      </c>
      <c r="M747" s="25" t="s">
        <v>100</v>
      </c>
      <c r="N747" s="26">
        <v>46036.0</v>
      </c>
      <c r="O747" s="27">
        <f>SUMIF(inventory_snapshot!$B:$B,H747,inventory_snapshot!$E:$E)</f>
        <v>1417</v>
      </c>
      <c r="P747" s="32" t="str">
        <f t="shared" si="2"/>
        <v>OK</v>
      </c>
      <c r="Q747" s="32" t="str">
        <f t="shared" si="3"/>
        <v>OK</v>
      </c>
      <c r="R747" s="32" t="str">
        <f t="shared" si="4"/>
        <v>OK</v>
      </c>
      <c r="S747" s="32" t="str">
        <f t="shared" si="5"/>
        <v>Large</v>
      </c>
    </row>
    <row r="748" ht="15.75" customHeight="1">
      <c r="A748" s="17" t="s">
        <v>927</v>
      </c>
      <c r="B748" s="18">
        <v>46088.0</v>
      </c>
      <c r="C748" s="17" t="s">
        <v>882</v>
      </c>
      <c r="D748" s="19" t="str">
        <f>IFERROR(VLOOKUP(C748,customer_lookup!$A:$E,2,FALSE),"")</f>
        <v>CO Account 0052</v>
      </c>
      <c r="E748" s="19" t="str">
        <f>IFERROR(VLOOKUP(C748,customer_lookup!$A:$E,3,FALSE),"")</f>
        <v>CO</v>
      </c>
      <c r="F748" s="20" t="str">
        <f>IFERROR(VLOOKUP(C748,customer_lookup!$A:$E,5,FALSE),"")</f>
        <v>Quinn</v>
      </c>
      <c r="G748" s="17" t="s">
        <v>63</v>
      </c>
      <c r="H748" s="17" t="s">
        <v>90</v>
      </c>
      <c r="I748" s="19" t="str">
        <f>IFERROR(VLOOKUP(H748,product_lookup!$A:$D,2,FALSE),"")</f>
        <v>Blackberry Sparkling Beverage</v>
      </c>
      <c r="J748" s="21">
        <v>30.0</v>
      </c>
      <c r="K748" s="22">
        <v>6.97</v>
      </c>
      <c r="L748" s="23">
        <f t="shared" si="1"/>
        <v>209.1</v>
      </c>
      <c r="M748" s="17" t="s">
        <v>137</v>
      </c>
      <c r="N748" s="18">
        <v>46096.0</v>
      </c>
      <c r="O748" s="19">
        <f>SUMIF(inventory_snapshot!$B:$B,H748,inventory_snapshot!$E:$E)</f>
        <v>1292</v>
      </c>
      <c r="P748" s="24" t="str">
        <f t="shared" si="2"/>
        <v>OK</v>
      </c>
      <c r="Q748" s="24" t="str">
        <f t="shared" si="3"/>
        <v>OK</v>
      </c>
      <c r="R748" s="24" t="str">
        <f t="shared" si="4"/>
        <v>OK</v>
      </c>
      <c r="S748" s="24" t="str">
        <f t="shared" si="5"/>
        <v>Small</v>
      </c>
    </row>
    <row r="749" ht="15.75" customHeight="1">
      <c r="A749" s="25" t="s">
        <v>928</v>
      </c>
      <c r="B749" s="26">
        <v>46053.0</v>
      </c>
      <c r="C749" s="25" t="s">
        <v>859</v>
      </c>
      <c r="D749" s="27" t="str">
        <f>IFERROR(VLOOKUP(C749,customer_lookup!$A:$E,2,FALSE),"")</f>
        <v>CA Account 0051</v>
      </c>
      <c r="E749" s="27" t="str">
        <f>IFERROR(VLOOKUP(C749,customer_lookup!$A:$E,3,FALSE),"")</f>
        <v>CA</v>
      </c>
      <c r="F749" s="28" t="str">
        <f>IFERROR(VLOOKUP(C749,customer_lookup!$A:$E,5,FALSE),"")</f>
        <v>Quinn</v>
      </c>
      <c r="G749" s="25" t="s">
        <v>63</v>
      </c>
      <c r="H749" s="25" t="s">
        <v>85</v>
      </c>
      <c r="I749" s="27" t="str">
        <f>IFERROR(VLOOKUP(H749,product_lookup!$A:$D,2,FALSE),"")</f>
        <v>Huckleberry THC Gummies</v>
      </c>
      <c r="J749" s="29">
        <v>12.0</v>
      </c>
      <c r="K749" s="30">
        <v>10.4</v>
      </c>
      <c r="L749" s="31">
        <f t="shared" si="1"/>
        <v>124.8</v>
      </c>
      <c r="M749" s="25" t="s">
        <v>65</v>
      </c>
      <c r="N749" s="26">
        <v>46063.0</v>
      </c>
      <c r="O749" s="27">
        <f>SUMIF(inventory_snapshot!$B:$B,H749,inventory_snapshot!$E:$E)</f>
        <v>1841</v>
      </c>
      <c r="P749" s="32" t="str">
        <f t="shared" si="2"/>
        <v>OK</v>
      </c>
      <c r="Q749" s="32" t="str">
        <f t="shared" si="3"/>
        <v>OK</v>
      </c>
      <c r="R749" s="32" t="str">
        <f t="shared" si="4"/>
        <v>OK</v>
      </c>
      <c r="S749" s="32" t="str">
        <f t="shared" si="5"/>
        <v>Small</v>
      </c>
    </row>
    <row r="750" ht="15.75" customHeight="1">
      <c r="A750" s="17" t="s">
        <v>929</v>
      </c>
      <c r="B750" s="18">
        <v>46111.0</v>
      </c>
      <c r="C750" s="17" t="s">
        <v>853</v>
      </c>
      <c r="D750" s="19" t="str">
        <f>IFERROR(VLOOKUP(C750,customer_lookup!$A:$E,2,FALSE),"")</f>
        <v>NV Account 0042</v>
      </c>
      <c r="E750" s="19" t="str">
        <f>IFERROR(VLOOKUP(C750,customer_lookup!$A:$E,3,FALSE),"")</f>
        <v>NV</v>
      </c>
      <c r="F750" s="20" t="str">
        <f>IFERROR(VLOOKUP(C750,customer_lookup!$A:$E,5,FALSE),"")</f>
        <v>Quinn</v>
      </c>
      <c r="G750" s="17" t="s">
        <v>63</v>
      </c>
      <c r="H750" s="17" t="s">
        <v>74</v>
      </c>
      <c r="I750" s="19" t="str">
        <f>IFERROR(VLOOKUP(H750,product_lookup!$A:$D,2,FALSE),"")</f>
        <v>Strawberry 20:1 Gummies</v>
      </c>
      <c r="J750" s="21">
        <v>6.0</v>
      </c>
      <c r="K750" s="22">
        <v>12.1</v>
      </c>
      <c r="L750" s="23">
        <f t="shared" si="1"/>
        <v>72.6</v>
      </c>
      <c r="M750" s="17" t="s">
        <v>65</v>
      </c>
      <c r="N750" s="18">
        <v>46119.0</v>
      </c>
      <c r="O750" s="19">
        <f>SUMIF(inventory_snapshot!$B:$B,H750,inventory_snapshot!$E:$E)</f>
        <v>2294</v>
      </c>
      <c r="P750" s="24" t="str">
        <f t="shared" si="2"/>
        <v>OK</v>
      </c>
      <c r="Q750" s="24" t="str">
        <f t="shared" si="3"/>
        <v>OK</v>
      </c>
      <c r="R750" s="24" t="str">
        <f t="shared" si="4"/>
        <v>OK</v>
      </c>
      <c r="S750" s="24" t="str">
        <f t="shared" si="5"/>
        <v>Small</v>
      </c>
    </row>
    <row r="751" ht="15.75" customHeight="1">
      <c r="A751" s="25" t="s">
        <v>930</v>
      </c>
      <c r="B751" s="26">
        <v>46103.0</v>
      </c>
      <c r="C751" s="25" t="s">
        <v>882</v>
      </c>
      <c r="D751" s="27" t="str">
        <f>IFERROR(VLOOKUP(C751,customer_lookup!$A:$E,2,FALSE),"")</f>
        <v>CO Account 0052</v>
      </c>
      <c r="E751" s="27" t="str">
        <f>IFERROR(VLOOKUP(C751,customer_lookup!$A:$E,3,FALSE),"")</f>
        <v>CO</v>
      </c>
      <c r="F751" s="28" t="str">
        <f>IFERROR(VLOOKUP(C751,customer_lookup!$A:$E,5,FALSE),"")</f>
        <v>Quinn</v>
      </c>
      <c r="G751" s="25" t="s">
        <v>63</v>
      </c>
      <c r="H751" s="25" t="s">
        <v>162</v>
      </c>
      <c r="I751" s="27" t="str">
        <f>IFERROR(VLOOKUP(H751,product_lookup!$A:$D,2,FALSE),"")</f>
        <v>Marionberry THC Gummies</v>
      </c>
      <c r="J751" s="29">
        <v>30.0</v>
      </c>
      <c r="K751" s="30">
        <v>9.87</v>
      </c>
      <c r="L751" s="31">
        <f t="shared" si="1"/>
        <v>296.1</v>
      </c>
      <c r="M751" s="25" t="s">
        <v>100</v>
      </c>
      <c r="N751" s="26">
        <v>46112.0</v>
      </c>
      <c r="O751" s="27">
        <f>SUMIF(inventory_snapshot!$B:$B,H751,inventory_snapshot!$E:$E)</f>
        <v>1599</v>
      </c>
      <c r="P751" s="32" t="str">
        <f t="shared" si="2"/>
        <v>OK</v>
      </c>
      <c r="Q751" s="32" t="str">
        <f t="shared" si="3"/>
        <v>OK</v>
      </c>
      <c r="R751" s="32" t="str">
        <f t="shared" si="4"/>
        <v>OK</v>
      </c>
      <c r="S751" s="32" t="str">
        <f t="shared" si="5"/>
        <v>Small</v>
      </c>
    </row>
    <row r="752" ht="15.75" customHeight="1">
      <c r="A752" s="17" t="s">
        <v>931</v>
      </c>
      <c r="B752" s="18">
        <v>46024.0</v>
      </c>
      <c r="C752" s="17" t="s">
        <v>859</v>
      </c>
      <c r="D752" s="19" t="str">
        <f>IFERROR(VLOOKUP(C752,customer_lookup!$A:$E,2,FALSE),"")</f>
        <v>CA Account 0051</v>
      </c>
      <c r="E752" s="19" t="str">
        <f>IFERROR(VLOOKUP(C752,customer_lookup!$A:$E,3,FALSE),"")</f>
        <v>CA</v>
      </c>
      <c r="F752" s="20" t="str">
        <f>IFERROR(VLOOKUP(C752,customer_lookup!$A:$E,5,FALSE),"")</f>
        <v>Quinn</v>
      </c>
      <c r="G752" s="17" t="s">
        <v>63</v>
      </c>
      <c r="H752" s="17" t="s">
        <v>78</v>
      </c>
      <c r="I752" s="19" t="str">
        <f>IFERROR(VLOOKUP(H752,product_lookup!$A:$D,2,FALSE),"")</f>
        <v>Grapefruit 1:1:1 Gummies</v>
      </c>
      <c r="J752" s="21">
        <v>18.0</v>
      </c>
      <c r="K752" s="22">
        <v>11.08</v>
      </c>
      <c r="L752" s="23">
        <f t="shared" si="1"/>
        <v>199.44</v>
      </c>
      <c r="M752" s="17" t="s">
        <v>137</v>
      </c>
      <c r="N752" s="18">
        <v>46034.0</v>
      </c>
      <c r="O752" s="19">
        <f>SUMIF(inventory_snapshot!$B:$B,H752,inventory_snapshot!$E:$E)</f>
        <v>1751</v>
      </c>
      <c r="P752" s="24" t="str">
        <f t="shared" si="2"/>
        <v>OK</v>
      </c>
      <c r="Q752" s="24" t="str">
        <f t="shared" si="3"/>
        <v>OK</v>
      </c>
      <c r="R752" s="24" t="str">
        <f t="shared" si="4"/>
        <v>OK</v>
      </c>
      <c r="S752" s="24" t="str">
        <f t="shared" si="5"/>
        <v>Small</v>
      </c>
    </row>
    <row r="753" ht="15.75" customHeight="1">
      <c r="A753" s="25" t="s">
        <v>932</v>
      </c>
      <c r="B753" s="26">
        <v>46085.0</v>
      </c>
      <c r="C753" s="25" t="s">
        <v>864</v>
      </c>
      <c r="D753" s="27" t="str">
        <f>IFERROR(VLOOKUP(C753,customer_lookup!$A:$E,2,FALSE),"")</f>
        <v>NY Account 0095</v>
      </c>
      <c r="E753" s="27" t="str">
        <f>IFERROR(VLOOKUP(C753,customer_lookup!$A:$E,3,FALSE),"")</f>
        <v>NY</v>
      </c>
      <c r="F753" s="28" t="str">
        <f>IFERROR(VLOOKUP(C753,customer_lookup!$A:$E,5,FALSE),"")</f>
        <v>Quinn</v>
      </c>
      <c r="G753" s="25" t="s">
        <v>63</v>
      </c>
      <c r="H753" s="25" t="s">
        <v>74</v>
      </c>
      <c r="I753" s="27" t="str">
        <f>IFERROR(VLOOKUP(H753,product_lookup!$A:$D,2,FALSE),"")</f>
        <v>Strawberry 20:1 Gummies</v>
      </c>
      <c r="J753" s="29">
        <v>60.0</v>
      </c>
      <c r="K753" s="30">
        <v>10.4</v>
      </c>
      <c r="L753" s="31">
        <f t="shared" si="1"/>
        <v>624</v>
      </c>
      <c r="M753" s="25" t="s">
        <v>75</v>
      </c>
      <c r="N753" s="26">
        <v>46090.0</v>
      </c>
      <c r="O753" s="27">
        <f>SUMIF(inventory_snapshot!$B:$B,H753,inventory_snapshot!$E:$E)</f>
        <v>2294</v>
      </c>
      <c r="P753" s="32" t="str">
        <f t="shared" si="2"/>
        <v>OK</v>
      </c>
      <c r="Q753" s="32" t="str">
        <f t="shared" si="3"/>
        <v>OK</v>
      </c>
      <c r="R753" s="32" t="str">
        <f t="shared" si="4"/>
        <v>OK</v>
      </c>
      <c r="S753" s="32" t="str">
        <f t="shared" si="5"/>
        <v>Medium</v>
      </c>
    </row>
    <row r="754" ht="15.75" customHeight="1">
      <c r="A754" s="17" t="s">
        <v>933</v>
      </c>
      <c r="B754" s="18">
        <v>46080.0</v>
      </c>
      <c r="C754" s="17" t="s">
        <v>855</v>
      </c>
      <c r="D754" s="19" t="str">
        <f>IFERROR(VLOOKUP(C754,customer_lookup!$A:$E,2,FALSE),"")</f>
        <v>OR Account 0061</v>
      </c>
      <c r="E754" s="19" t="str">
        <f>IFERROR(VLOOKUP(C754,customer_lookup!$A:$E,3,FALSE),"")</f>
        <v>OR</v>
      </c>
      <c r="F754" s="20" t="str">
        <f>IFERROR(VLOOKUP(C754,customer_lookup!$A:$E,5,FALSE),"")</f>
        <v>Quinn</v>
      </c>
      <c r="G754" s="17" t="s">
        <v>63</v>
      </c>
      <c r="H754" s="17" t="s">
        <v>162</v>
      </c>
      <c r="I754" s="19" t="str">
        <f>IFERROR(VLOOKUP(H754,product_lookup!$A:$D,2,FALSE),"")</f>
        <v>Marionberry THC Gummies</v>
      </c>
      <c r="J754" s="21">
        <v>12.0</v>
      </c>
      <c r="K754" s="22">
        <v>9.98</v>
      </c>
      <c r="L754" s="23">
        <f t="shared" si="1"/>
        <v>119.76</v>
      </c>
      <c r="M754" s="17" t="s">
        <v>65</v>
      </c>
      <c r="N754" s="18">
        <v>46089.0</v>
      </c>
      <c r="O754" s="19">
        <f>SUMIF(inventory_snapshot!$B:$B,H754,inventory_snapshot!$E:$E)</f>
        <v>1599</v>
      </c>
      <c r="P754" s="24" t="str">
        <f t="shared" si="2"/>
        <v>OK</v>
      </c>
      <c r="Q754" s="24" t="str">
        <f t="shared" si="3"/>
        <v>OK</v>
      </c>
      <c r="R754" s="24" t="str">
        <f t="shared" si="4"/>
        <v>OK</v>
      </c>
      <c r="S754" s="24" t="str">
        <f t="shared" si="5"/>
        <v>Small</v>
      </c>
    </row>
    <row r="755" ht="15.75" customHeight="1">
      <c r="A755" s="25" t="s">
        <v>934</v>
      </c>
      <c r="B755" s="26">
        <v>46066.0</v>
      </c>
      <c r="C755" s="25" t="s">
        <v>868</v>
      </c>
      <c r="D755" s="27" t="str">
        <f>IFERROR(VLOOKUP(C755,customer_lookup!$A:$E,2,FALSE),"")</f>
        <v>OK Account 0120</v>
      </c>
      <c r="E755" s="27" t="str">
        <f>IFERROR(VLOOKUP(C755,customer_lookup!$A:$E,3,FALSE),"")</f>
        <v>OK</v>
      </c>
      <c r="F755" s="28" t="str">
        <f>IFERROR(VLOOKUP(C755,customer_lookup!$A:$E,5,FALSE),"")</f>
        <v>Quinn</v>
      </c>
      <c r="G755" s="25" t="s">
        <v>63</v>
      </c>
      <c r="H755" s="25" t="s">
        <v>156</v>
      </c>
      <c r="I755" s="27" t="str">
        <f>IFERROR(VLOOKUP(H755,product_lookup!$A:$D,2,FALSE),"")</f>
        <v>Blood Orange 1:1 Gummies</v>
      </c>
      <c r="J755" s="29">
        <v>48.0</v>
      </c>
      <c r="K755" s="30">
        <v>9.36</v>
      </c>
      <c r="L755" s="31">
        <f t="shared" si="1"/>
        <v>449.28</v>
      </c>
      <c r="M755" s="25" t="s">
        <v>100</v>
      </c>
      <c r="N755" s="26">
        <v>46073.0</v>
      </c>
      <c r="O755" s="27">
        <f>SUMIF(inventory_snapshot!$B:$B,H755,inventory_snapshot!$E:$E)</f>
        <v>1589</v>
      </c>
      <c r="P755" s="32" t="str">
        <f t="shared" si="2"/>
        <v>OK</v>
      </c>
      <c r="Q755" s="32" t="str">
        <f t="shared" si="3"/>
        <v>OK</v>
      </c>
      <c r="R755" s="32" t="str">
        <f t="shared" si="4"/>
        <v>OK</v>
      </c>
      <c r="S755" s="32" t="str">
        <f t="shared" si="5"/>
        <v>Small</v>
      </c>
    </row>
    <row r="756" ht="15.75" customHeight="1">
      <c r="A756" s="17" t="s">
        <v>935</v>
      </c>
      <c r="B756" s="18">
        <v>46128.0</v>
      </c>
      <c r="C756" s="17" t="s">
        <v>882</v>
      </c>
      <c r="D756" s="19" t="str">
        <f>IFERROR(VLOOKUP(C756,customer_lookup!$A:$E,2,FALSE),"")</f>
        <v>CO Account 0052</v>
      </c>
      <c r="E756" s="19" t="str">
        <f>IFERROR(VLOOKUP(C756,customer_lookup!$A:$E,3,FALSE),"")</f>
        <v>CO</v>
      </c>
      <c r="F756" s="20" t="str">
        <f>IFERROR(VLOOKUP(C756,customer_lookup!$A:$E,5,FALSE),"")</f>
        <v>Quinn</v>
      </c>
      <c r="G756" s="17" t="s">
        <v>63</v>
      </c>
      <c r="H756" s="17" t="s">
        <v>154</v>
      </c>
      <c r="I756" s="19" t="str">
        <f>IFERROR(VLOOKUP(H756,product_lookup!$A:$D,2,FALSE),"")</f>
        <v>Kiwi 1:1 Gummies</v>
      </c>
      <c r="J756" s="21">
        <v>6.0</v>
      </c>
      <c r="K756" s="22">
        <v>10.46</v>
      </c>
      <c r="L756" s="23">
        <f t="shared" si="1"/>
        <v>62.76</v>
      </c>
      <c r="M756" s="17" t="s">
        <v>100</v>
      </c>
      <c r="N756" s="18">
        <v>46130.0</v>
      </c>
      <c r="O756" s="19">
        <f>SUMIF(inventory_snapshot!$B:$B,H756,inventory_snapshot!$E:$E)</f>
        <v>1136</v>
      </c>
      <c r="P756" s="24" t="str">
        <f t="shared" si="2"/>
        <v>OK</v>
      </c>
      <c r="Q756" s="24" t="str">
        <f t="shared" si="3"/>
        <v>OK</v>
      </c>
      <c r="R756" s="24" t="str">
        <f t="shared" si="4"/>
        <v>OK</v>
      </c>
      <c r="S756" s="24" t="str">
        <f t="shared" si="5"/>
        <v>Small</v>
      </c>
    </row>
    <row r="757" ht="15.75" customHeight="1">
      <c r="A757" s="25" t="s">
        <v>936</v>
      </c>
      <c r="B757" s="26">
        <v>46086.0</v>
      </c>
      <c r="C757" s="25" t="s">
        <v>864</v>
      </c>
      <c r="D757" s="27" t="str">
        <f>IFERROR(VLOOKUP(C757,customer_lookup!$A:$E,2,FALSE),"")</f>
        <v>NY Account 0095</v>
      </c>
      <c r="E757" s="27" t="str">
        <f>IFERROR(VLOOKUP(C757,customer_lookup!$A:$E,3,FALSE),"")</f>
        <v>NY</v>
      </c>
      <c r="F757" s="28" t="str">
        <f>IFERROR(VLOOKUP(C757,customer_lookup!$A:$E,5,FALSE),"")</f>
        <v>Quinn</v>
      </c>
      <c r="G757" s="25" t="s">
        <v>63</v>
      </c>
      <c r="H757" s="25" t="s">
        <v>156</v>
      </c>
      <c r="I757" s="27" t="str">
        <f>IFERROR(VLOOKUP(H757,product_lookup!$A:$D,2,FALSE),"")</f>
        <v>Blood Orange 1:1 Gummies</v>
      </c>
      <c r="J757" s="29">
        <v>120.0</v>
      </c>
      <c r="K757" s="30">
        <v>10.67</v>
      </c>
      <c r="L757" s="31">
        <f t="shared" si="1"/>
        <v>1280.4</v>
      </c>
      <c r="M757" s="25" t="s">
        <v>97</v>
      </c>
      <c r="N757" s="26">
        <v>46093.0</v>
      </c>
      <c r="O757" s="27">
        <f>SUMIF(inventory_snapshot!$B:$B,H757,inventory_snapshot!$E:$E)</f>
        <v>1589</v>
      </c>
      <c r="P757" s="32" t="str">
        <f t="shared" si="2"/>
        <v>OK</v>
      </c>
      <c r="Q757" s="32" t="str">
        <f t="shared" si="3"/>
        <v>OK</v>
      </c>
      <c r="R757" s="32" t="str">
        <f t="shared" si="4"/>
        <v>OK</v>
      </c>
      <c r="S757" s="32" t="str">
        <f t="shared" si="5"/>
        <v>Large</v>
      </c>
    </row>
    <row r="758" ht="15.75" customHeight="1">
      <c r="A758" s="17" t="s">
        <v>937</v>
      </c>
      <c r="B758" s="18">
        <v>46130.0</v>
      </c>
      <c r="C758" s="17" t="s">
        <v>855</v>
      </c>
      <c r="D758" s="19" t="str">
        <f>IFERROR(VLOOKUP(C758,customer_lookup!$A:$E,2,FALSE),"")</f>
        <v>OR Account 0061</v>
      </c>
      <c r="E758" s="19" t="str">
        <f>IFERROR(VLOOKUP(C758,customer_lookup!$A:$E,3,FALSE),"")</f>
        <v>OR</v>
      </c>
      <c r="F758" s="20" t="str">
        <f>IFERROR(VLOOKUP(C758,customer_lookup!$A:$E,5,FALSE),"")</f>
        <v>Quinn</v>
      </c>
      <c r="G758" s="17" t="s">
        <v>63</v>
      </c>
      <c r="H758" s="17" t="s">
        <v>115</v>
      </c>
      <c r="I758" s="19" t="str">
        <f>IFERROR(VLOOKUP(H758,product_lookup!$A:$D,2,FALSE),"")</f>
        <v>Pear 1:1 Gummies</v>
      </c>
      <c r="J758" s="21">
        <v>18.0</v>
      </c>
      <c r="K758" s="22">
        <v>10.51</v>
      </c>
      <c r="L758" s="23">
        <f t="shared" si="1"/>
        <v>189.18</v>
      </c>
      <c r="M758" s="17" t="s">
        <v>100</v>
      </c>
      <c r="N758" s="18">
        <v>46135.0</v>
      </c>
      <c r="O758" s="19">
        <f>SUMIF(inventory_snapshot!$B:$B,H758,inventory_snapshot!$E:$E)</f>
        <v>981</v>
      </c>
      <c r="P758" s="24" t="str">
        <f t="shared" si="2"/>
        <v>OK</v>
      </c>
      <c r="Q758" s="24" t="str">
        <f t="shared" si="3"/>
        <v>OK</v>
      </c>
      <c r="R758" s="24" t="str">
        <f t="shared" si="4"/>
        <v>OK</v>
      </c>
      <c r="S758" s="24" t="str">
        <f t="shared" si="5"/>
        <v>Small</v>
      </c>
    </row>
    <row r="759" ht="15.75" customHeight="1">
      <c r="A759" s="25" t="s">
        <v>938</v>
      </c>
      <c r="B759" s="26">
        <v>46087.0</v>
      </c>
      <c r="C759" s="25" t="s">
        <v>864</v>
      </c>
      <c r="D759" s="27" t="str">
        <f>IFERROR(VLOOKUP(C759,customer_lookup!$A:$E,2,FALSE),"")</f>
        <v>NY Account 0095</v>
      </c>
      <c r="E759" s="27" t="str">
        <f>IFERROR(VLOOKUP(C759,customer_lookup!$A:$E,3,FALSE),"")</f>
        <v>NY</v>
      </c>
      <c r="F759" s="28" t="str">
        <f>IFERROR(VLOOKUP(C759,customer_lookup!$A:$E,5,FALSE),"")</f>
        <v>Quinn</v>
      </c>
      <c r="G759" s="25" t="s">
        <v>63</v>
      </c>
      <c r="H759" s="25" t="s">
        <v>123</v>
      </c>
      <c r="I759" s="27" t="str">
        <f>IFERROR(VLOOKUP(H759,product_lookup!$A:$D,2,FALSE),"")</f>
        <v>Peach 2:1 Gummies</v>
      </c>
      <c r="J759" s="29">
        <v>96.0</v>
      </c>
      <c r="K759" s="30">
        <v>11.19</v>
      </c>
      <c r="L759" s="31">
        <f t="shared" si="1"/>
        <v>1074.24</v>
      </c>
      <c r="M759" s="25" t="s">
        <v>100</v>
      </c>
      <c r="N759" s="26">
        <v>46089.0</v>
      </c>
      <c r="O759" s="27">
        <f>SUMIF(inventory_snapshot!$B:$B,H759,inventory_snapshot!$E:$E)</f>
        <v>1732</v>
      </c>
      <c r="P759" s="32" t="str">
        <f t="shared" si="2"/>
        <v>OK</v>
      </c>
      <c r="Q759" s="32" t="str">
        <f t="shared" si="3"/>
        <v>OK</v>
      </c>
      <c r="R759" s="32" t="str">
        <f t="shared" si="4"/>
        <v>OK</v>
      </c>
      <c r="S759" s="32" t="str">
        <f t="shared" si="5"/>
        <v>Large</v>
      </c>
    </row>
    <row r="760" ht="15.75" customHeight="1">
      <c r="A760" s="17" t="s">
        <v>939</v>
      </c>
      <c r="B760" s="18">
        <v>46048.0</v>
      </c>
      <c r="C760" s="17" t="s">
        <v>866</v>
      </c>
      <c r="D760" s="19" t="str">
        <f>IFERROR(VLOOKUP(C760,customer_lookup!$A:$E,2,FALSE),"")</f>
        <v>MI Account 0092</v>
      </c>
      <c r="E760" s="19" t="str">
        <f>IFERROR(VLOOKUP(C760,customer_lookup!$A:$E,3,FALSE),"")</f>
        <v>MI</v>
      </c>
      <c r="F760" s="20" t="str">
        <f>IFERROR(VLOOKUP(C760,customer_lookup!$A:$E,5,FALSE),"")</f>
        <v>Quinn</v>
      </c>
      <c r="G760" s="17" t="s">
        <v>89</v>
      </c>
      <c r="H760" s="17" t="s">
        <v>90</v>
      </c>
      <c r="I760" s="19" t="str">
        <f>IFERROR(VLOOKUP(H760,product_lookup!$A:$D,2,FALSE),"")</f>
        <v>Blackberry Sparkling Beverage</v>
      </c>
      <c r="J760" s="21">
        <v>18.0</v>
      </c>
      <c r="K760" s="22">
        <v>8.12</v>
      </c>
      <c r="L760" s="23">
        <f t="shared" si="1"/>
        <v>146.16</v>
      </c>
      <c r="M760" s="17" t="s">
        <v>100</v>
      </c>
      <c r="N760" s="18">
        <v>46054.0</v>
      </c>
      <c r="O760" s="19">
        <f>SUMIF(inventory_snapshot!$B:$B,H760,inventory_snapshot!$E:$E)</f>
        <v>1292</v>
      </c>
      <c r="P760" s="24" t="str">
        <f t="shared" si="2"/>
        <v>OK</v>
      </c>
      <c r="Q760" s="24" t="str">
        <f t="shared" si="3"/>
        <v>OK</v>
      </c>
      <c r="R760" s="24" t="str">
        <f t="shared" si="4"/>
        <v>OK</v>
      </c>
      <c r="S760" s="24" t="str">
        <f t="shared" si="5"/>
        <v>Small</v>
      </c>
    </row>
    <row r="761" ht="15.75" customHeight="1">
      <c r="A761" s="25" t="s">
        <v>940</v>
      </c>
      <c r="B761" s="26">
        <v>46072.0</v>
      </c>
      <c r="C761" s="25" t="s">
        <v>859</v>
      </c>
      <c r="D761" s="27" t="str">
        <f>IFERROR(VLOOKUP(C761,customer_lookup!$A:$E,2,FALSE),"")</f>
        <v>CA Account 0051</v>
      </c>
      <c r="E761" s="27" t="str">
        <f>IFERROR(VLOOKUP(C761,customer_lookup!$A:$E,3,FALSE),"")</f>
        <v>CA</v>
      </c>
      <c r="F761" s="28" t="str">
        <f>IFERROR(VLOOKUP(C761,customer_lookup!$A:$E,5,FALSE),"")</f>
        <v>Quinn</v>
      </c>
      <c r="G761" s="25" t="s">
        <v>63</v>
      </c>
      <c r="H761" s="25" t="s">
        <v>68</v>
      </c>
      <c r="I761" s="27" t="str">
        <f>IFERROR(VLOOKUP(H761,product_lookup!$A:$D,2,FALSE),"")</f>
        <v>Sour Apple THC Gummies</v>
      </c>
      <c r="J761" s="29">
        <v>60.0</v>
      </c>
      <c r="K761" s="30">
        <v>10.1</v>
      </c>
      <c r="L761" s="31">
        <f t="shared" si="1"/>
        <v>606</v>
      </c>
      <c r="M761" s="25" t="s">
        <v>93</v>
      </c>
      <c r="N761" s="26">
        <v>46073.0</v>
      </c>
      <c r="O761" s="27">
        <f>SUMIF(inventory_snapshot!$B:$B,H761,inventory_snapshot!$E:$E)</f>
        <v>775</v>
      </c>
      <c r="P761" s="32" t="str">
        <f t="shared" si="2"/>
        <v>OK</v>
      </c>
      <c r="Q761" s="32" t="str">
        <f t="shared" si="3"/>
        <v>OK</v>
      </c>
      <c r="R761" s="32" t="str">
        <f t="shared" si="4"/>
        <v>OK</v>
      </c>
      <c r="S761" s="32" t="str">
        <f t="shared" si="5"/>
        <v>Medium</v>
      </c>
    </row>
    <row r="762" ht="15.75" customHeight="1">
      <c r="A762" s="17" t="s">
        <v>941</v>
      </c>
      <c r="B762" s="18">
        <v>46043.0</v>
      </c>
      <c r="C762" s="17" t="s">
        <v>868</v>
      </c>
      <c r="D762" s="19" t="str">
        <f>IFERROR(VLOOKUP(C762,customer_lookup!$A:$E,2,FALSE),"")</f>
        <v>OK Account 0120</v>
      </c>
      <c r="E762" s="19" t="str">
        <f>IFERROR(VLOOKUP(C762,customer_lookup!$A:$E,3,FALSE),"")</f>
        <v>OK</v>
      </c>
      <c r="F762" s="20" t="str">
        <f>IFERROR(VLOOKUP(C762,customer_lookup!$A:$E,5,FALSE),"")</f>
        <v>Quinn</v>
      </c>
      <c r="G762" s="17" t="s">
        <v>67</v>
      </c>
      <c r="H762" s="17" t="s">
        <v>64</v>
      </c>
      <c r="I762" s="19" t="str">
        <f>IFERROR(VLOOKUP(H762,product_lookup!$A:$D,2,FALSE),"")</f>
        <v>Cranberry Sparkling Beverage</v>
      </c>
      <c r="J762" s="21">
        <v>24.0</v>
      </c>
      <c r="K762" s="22">
        <v>8.16</v>
      </c>
      <c r="L762" s="23">
        <f t="shared" si="1"/>
        <v>195.84</v>
      </c>
      <c r="M762" s="17" t="s">
        <v>93</v>
      </c>
      <c r="N762" s="18">
        <v>46049.0</v>
      </c>
      <c r="O762" s="19">
        <f>SUMIF(inventory_snapshot!$B:$B,H762,inventory_snapshot!$E:$E)</f>
        <v>1152</v>
      </c>
      <c r="P762" s="24" t="str">
        <f t="shared" si="2"/>
        <v>OK</v>
      </c>
      <c r="Q762" s="24" t="str">
        <f t="shared" si="3"/>
        <v>OK</v>
      </c>
      <c r="R762" s="24" t="str">
        <f t="shared" si="4"/>
        <v>OK</v>
      </c>
      <c r="S762" s="24" t="str">
        <f t="shared" si="5"/>
        <v>Small</v>
      </c>
    </row>
    <row r="763" ht="15.75" customHeight="1">
      <c r="A763" s="25" t="s">
        <v>942</v>
      </c>
      <c r="B763" s="26">
        <v>46112.0</v>
      </c>
      <c r="C763" s="25" t="s">
        <v>857</v>
      </c>
      <c r="D763" s="27" t="str">
        <f>IFERROR(VLOOKUP(C763,customer_lookup!$A:$E,2,FALSE),"")</f>
        <v>MI Account 0068</v>
      </c>
      <c r="E763" s="27" t="str">
        <f>IFERROR(VLOOKUP(C763,customer_lookup!$A:$E,3,FALSE),"")</f>
        <v>MI</v>
      </c>
      <c r="F763" s="28" t="str">
        <f>IFERROR(VLOOKUP(C763,customer_lookup!$A:$E,5,FALSE),"")</f>
        <v>Quinn</v>
      </c>
      <c r="G763" s="25" t="s">
        <v>67</v>
      </c>
      <c r="H763" s="25" t="s">
        <v>115</v>
      </c>
      <c r="I763" s="27" t="str">
        <f>IFERROR(VLOOKUP(H763,product_lookup!$A:$D,2,FALSE),"")</f>
        <v>Pear 1:1 Gummies</v>
      </c>
      <c r="J763" s="29">
        <v>24.0</v>
      </c>
      <c r="K763" s="30">
        <v>10.95</v>
      </c>
      <c r="L763" s="31">
        <f t="shared" si="1"/>
        <v>262.8</v>
      </c>
      <c r="M763" s="25" t="s">
        <v>65</v>
      </c>
      <c r="N763" s="26">
        <v>46120.0</v>
      </c>
      <c r="O763" s="27">
        <f>SUMIF(inventory_snapshot!$B:$B,H763,inventory_snapshot!$E:$E)</f>
        <v>981</v>
      </c>
      <c r="P763" s="32" t="str">
        <f t="shared" si="2"/>
        <v>OK</v>
      </c>
      <c r="Q763" s="32" t="str">
        <f t="shared" si="3"/>
        <v>OK</v>
      </c>
      <c r="R763" s="32" t="str">
        <f t="shared" si="4"/>
        <v>OK</v>
      </c>
      <c r="S763" s="32" t="str">
        <f t="shared" si="5"/>
        <v>Small</v>
      </c>
    </row>
    <row r="764" ht="15.75" customHeight="1">
      <c r="A764" s="17" t="s">
        <v>943</v>
      </c>
      <c r="B764" s="18">
        <v>46116.0</v>
      </c>
      <c r="C764" s="17" t="s">
        <v>861</v>
      </c>
      <c r="D764" s="19" t="str">
        <f>IFERROR(VLOOKUP(C764,customer_lookup!$A:$E,2,FALSE),"")</f>
        <v>MI Account 0116</v>
      </c>
      <c r="E764" s="19" t="str">
        <f>IFERROR(VLOOKUP(C764,customer_lookup!$A:$E,3,FALSE),"")</f>
        <v>MI</v>
      </c>
      <c r="F764" s="20" t="str">
        <f>IFERROR(VLOOKUP(C764,customer_lookup!$A:$E,5,FALSE),"")</f>
        <v>Quinn</v>
      </c>
      <c r="G764" s="17" t="s">
        <v>63</v>
      </c>
      <c r="H764" s="17" t="s">
        <v>78</v>
      </c>
      <c r="I764" s="19" t="str">
        <f>IFERROR(VLOOKUP(H764,product_lookup!$A:$D,2,FALSE),"")</f>
        <v>Grapefruit 1:1:1 Gummies</v>
      </c>
      <c r="J764" s="21">
        <v>48.0</v>
      </c>
      <c r="K764" s="22">
        <v>10.31</v>
      </c>
      <c r="L764" s="23">
        <f t="shared" si="1"/>
        <v>494.88</v>
      </c>
      <c r="M764" s="17" t="s">
        <v>97</v>
      </c>
      <c r="N764" s="18">
        <v>46125.0</v>
      </c>
      <c r="O764" s="19">
        <f>SUMIF(inventory_snapshot!$B:$B,H764,inventory_snapshot!$E:$E)</f>
        <v>1751</v>
      </c>
      <c r="P764" s="24" t="str">
        <f t="shared" si="2"/>
        <v>OK</v>
      </c>
      <c r="Q764" s="24" t="str">
        <f t="shared" si="3"/>
        <v>OK</v>
      </c>
      <c r="R764" s="24" t="str">
        <f t="shared" si="4"/>
        <v>OK</v>
      </c>
      <c r="S764" s="24" t="str">
        <f t="shared" si="5"/>
        <v>Small</v>
      </c>
    </row>
    <row r="765" ht="15.75" customHeight="1">
      <c r="A765" s="25" t="s">
        <v>944</v>
      </c>
      <c r="B765" s="26">
        <v>46027.0</v>
      </c>
      <c r="C765" s="25" t="s">
        <v>866</v>
      </c>
      <c r="D765" s="27" t="str">
        <f>IFERROR(VLOOKUP(C765,customer_lookup!$A:$E,2,FALSE),"")</f>
        <v>MI Account 0092</v>
      </c>
      <c r="E765" s="27" t="str">
        <f>IFERROR(VLOOKUP(C765,customer_lookup!$A:$E,3,FALSE),"")</f>
        <v>MI</v>
      </c>
      <c r="F765" s="28" t="str">
        <f>IFERROR(VLOOKUP(C765,customer_lookup!$A:$E,5,FALSE),"")</f>
        <v>Quinn</v>
      </c>
      <c r="G765" s="25" t="s">
        <v>89</v>
      </c>
      <c r="H765" s="25" t="s">
        <v>190</v>
      </c>
      <c r="I765" s="27" t="str">
        <f>IFERROR(VLOOKUP(H765,product_lookup!$A:$D,2,FALSE),"")</f>
        <v>Mango Sparkling Beverage</v>
      </c>
      <c r="J765" s="29">
        <v>18.0</v>
      </c>
      <c r="K765" s="30">
        <v>7.5</v>
      </c>
      <c r="L765" s="31">
        <f t="shared" si="1"/>
        <v>135</v>
      </c>
      <c r="M765" s="25" t="s">
        <v>100</v>
      </c>
      <c r="N765" s="26">
        <v>46036.0</v>
      </c>
      <c r="O765" s="27">
        <f>SUMIF(inventory_snapshot!$B:$B,H765,inventory_snapshot!$E:$E)</f>
        <v>1502</v>
      </c>
      <c r="P765" s="32" t="str">
        <f t="shared" si="2"/>
        <v>OK</v>
      </c>
      <c r="Q765" s="32" t="str">
        <f t="shared" si="3"/>
        <v>OK</v>
      </c>
      <c r="R765" s="32" t="str">
        <f t="shared" si="4"/>
        <v>OK</v>
      </c>
      <c r="S765" s="32" t="str">
        <f t="shared" si="5"/>
        <v>Small</v>
      </c>
    </row>
    <row r="766" ht="15.75" customHeight="1">
      <c r="A766" s="17" t="s">
        <v>945</v>
      </c>
      <c r="B766" s="18">
        <v>46059.0</v>
      </c>
      <c r="C766" s="17" t="s">
        <v>857</v>
      </c>
      <c r="D766" s="19" t="str">
        <f>IFERROR(VLOOKUP(C766,customer_lookup!$A:$E,2,FALSE),"")</f>
        <v>MI Account 0068</v>
      </c>
      <c r="E766" s="19" t="str">
        <f>IFERROR(VLOOKUP(C766,customer_lookup!$A:$E,3,FALSE),"")</f>
        <v>MI</v>
      </c>
      <c r="F766" s="20" t="str">
        <f>IFERROR(VLOOKUP(C766,customer_lookup!$A:$E,5,FALSE),"")</f>
        <v>Quinn</v>
      </c>
      <c r="G766" s="17" t="s">
        <v>63</v>
      </c>
      <c r="H766" s="17" t="s">
        <v>102</v>
      </c>
      <c r="I766" s="19" t="str">
        <f>IFERROR(VLOOKUP(H766,product_lookup!$A:$D,2,FALSE),"")</f>
        <v>Pomegranate 1:1 Gummies</v>
      </c>
      <c r="J766" s="21">
        <v>24.0</v>
      </c>
      <c r="K766" s="22">
        <v>11.44</v>
      </c>
      <c r="L766" s="23">
        <f t="shared" si="1"/>
        <v>274.56</v>
      </c>
      <c r="M766" s="17" t="s">
        <v>65</v>
      </c>
      <c r="N766" s="18">
        <v>46065.0</v>
      </c>
      <c r="O766" s="19">
        <f>SUMIF(inventory_snapshot!$B:$B,H766,inventory_snapshot!$E:$E)</f>
        <v>1493</v>
      </c>
      <c r="P766" s="24" t="str">
        <f t="shared" si="2"/>
        <v>OK</v>
      </c>
      <c r="Q766" s="24" t="str">
        <f t="shared" si="3"/>
        <v>OK</v>
      </c>
      <c r="R766" s="24" t="str">
        <f t="shared" si="4"/>
        <v>OK</v>
      </c>
      <c r="S766" s="24" t="str">
        <f t="shared" si="5"/>
        <v>Small</v>
      </c>
    </row>
    <row r="767" ht="15.75" customHeight="1">
      <c r="A767" s="25" t="s">
        <v>946</v>
      </c>
      <c r="B767" s="26">
        <v>46045.0</v>
      </c>
      <c r="C767" s="25" t="s">
        <v>873</v>
      </c>
      <c r="D767" s="27" t="str">
        <f>IFERROR(VLOOKUP(C767,customer_lookup!$A:$E,2,FALSE),"")</f>
        <v>NY Account 0119</v>
      </c>
      <c r="E767" s="27" t="str">
        <f>IFERROR(VLOOKUP(C767,customer_lookup!$A:$E,3,FALSE),"")</f>
        <v>NY</v>
      </c>
      <c r="F767" s="28" t="str">
        <f>IFERROR(VLOOKUP(C767,customer_lookup!$A:$E,5,FALSE),"")</f>
        <v>Quinn</v>
      </c>
      <c r="G767" s="25" t="s">
        <v>89</v>
      </c>
      <c r="H767" s="25" t="s">
        <v>78</v>
      </c>
      <c r="I767" s="27" t="str">
        <f>IFERROR(VLOOKUP(H767,product_lookup!$A:$D,2,FALSE),"")</f>
        <v>Grapefruit 1:1:1 Gummies</v>
      </c>
      <c r="J767" s="29">
        <v>72.0</v>
      </c>
      <c r="K767" s="30">
        <v>11.24</v>
      </c>
      <c r="L767" s="31">
        <f t="shared" si="1"/>
        <v>809.28</v>
      </c>
      <c r="M767" s="25" t="s">
        <v>97</v>
      </c>
      <c r="N767" s="26">
        <v>46053.0</v>
      </c>
      <c r="O767" s="27">
        <f>SUMIF(inventory_snapshot!$B:$B,H767,inventory_snapshot!$E:$E)</f>
        <v>1751</v>
      </c>
      <c r="P767" s="32" t="str">
        <f t="shared" si="2"/>
        <v>OK</v>
      </c>
      <c r="Q767" s="32" t="str">
        <f t="shared" si="3"/>
        <v>OK</v>
      </c>
      <c r="R767" s="32" t="str">
        <f t="shared" si="4"/>
        <v>OK</v>
      </c>
      <c r="S767" s="32" t="str">
        <f t="shared" si="5"/>
        <v>Medium</v>
      </c>
    </row>
    <row r="768" ht="15.75" customHeight="1">
      <c r="A768" s="17" t="s">
        <v>947</v>
      </c>
      <c r="B768" s="18">
        <v>46115.0</v>
      </c>
      <c r="C768" s="17" t="s">
        <v>882</v>
      </c>
      <c r="D768" s="19" t="str">
        <f>IFERROR(VLOOKUP(C768,customer_lookup!$A:$E,2,FALSE),"")</f>
        <v>CO Account 0052</v>
      </c>
      <c r="E768" s="19" t="str">
        <f>IFERROR(VLOOKUP(C768,customer_lookup!$A:$E,3,FALSE),"")</f>
        <v>CO</v>
      </c>
      <c r="F768" s="20" t="str">
        <f>IFERROR(VLOOKUP(C768,customer_lookup!$A:$E,5,FALSE),"")</f>
        <v>Quinn</v>
      </c>
      <c r="G768" s="17" t="s">
        <v>63</v>
      </c>
      <c r="H768" s="17" t="s">
        <v>78</v>
      </c>
      <c r="I768" s="19" t="str">
        <f>IFERROR(VLOOKUP(H768,product_lookup!$A:$D,2,FALSE),"")</f>
        <v>Grapefruit 1:1:1 Gummies</v>
      </c>
      <c r="J768" s="21">
        <v>6.0</v>
      </c>
      <c r="K768" s="22">
        <v>10.97</v>
      </c>
      <c r="L768" s="23">
        <f t="shared" si="1"/>
        <v>65.82</v>
      </c>
      <c r="M768" s="17" t="s">
        <v>75</v>
      </c>
      <c r="N768" s="18">
        <v>46116.0</v>
      </c>
      <c r="O768" s="19">
        <f>SUMIF(inventory_snapshot!$B:$B,H768,inventory_snapshot!$E:$E)</f>
        <v>1751</v>
      </c>
      <c r="P768" s="24" t="str">
        <f t="shared" si="2"/>
        <v>OK</v>
      </c>
      <c r="Q768" s="24" t="str">
        <f t="shared" si="3"/>
        <v>OK</v>
      </c>
      <c r="R768" s="24" t="str">
        <f t="shared" si="4"/>
        <v>OK</v>
      </c>
      <c r="S768" s="24" t="str">
        <f t="shared" si="5"/>
        <v>Small</v>
      </c>
    </row>
    <row r="769" ht="15.75" customHeight="1">
      <c r="A769" s="25" t="s">
        <v>948</v>
      </c>
      <c r="B769" s="26">
        <v>46132.0</v>
      </c>
      <c r="C769" s="25" t="s">
        <v>864</v>
      </c>
      <c r="D769" s="27" t="str">
        <f>IFERROR(VLOOKUP(C769,customer_lookup!$A:$E,2,FALSE),"")</f>
        <v>NY Account 0095</v>
      </c>
      <c r="E769" s="27" t="str">
        <f>IFERROR(VLOOKUP(C769,customer_lookup!$A:$E,3,FALSE),"")</f>
        <v>NY</v>
      </c>
      <c r="F769" s="28" t="str">
        <f>IFERROR(VLOOKUP(C769,customer_lookup!$A:$E,5,FALSE),"")</f>
        <v>Quinn</v>
      </c>
      <c r="G769" s="25" t="s">
        <v>89</v>
      </c>
      <c r="H769" s="25" t="s">
        <v>92</v>
      </c>
      <c r="I769" s="27" t="str">
        <f>IFERROR(VLOOKUP(H769,product_lookup!$A:$D,2,FALSE),"")</f>
        <v>Raspberry THC Gummies</v>
      </c>
      <c r="J769" s="29">
        <v>24.0</v>
      </c>
      <c r="K769" s="30">
        <v>9.74</v>
      </c>
      <c r="L769" s="31">
        <f t="shared" si="1"/>
        <v>233.76</v>
      </c>
      <c r="M769" s="25" t="s">
        <v>65</v>
      </c>
      <c r="N769" s="26">
        <v>46135.0</v>
      </c>
      <c r="O769" s="27">
        <f>SUMIF(inventory_snapshot!$B:$B,H769,inventory_snapshot!$E:$E)</f>
        <v>1417</v>
      </c>
      <c r="P769" s="32" t="str">
        <f t="shared" si="2"/>
        <v>OK</v>
      </c>
      <c r="Q769" s="32" t="str">
        <f t="shared" si="3"/>
        <v>OK</v>
      </c>
      <c r="R769" s="32" t="str">
        <f t="shared" si="4"/>
        <v>OK</v>
      </c>
      <c r="S769" s="32" t="str">
        <f t="shared" si="5"/>
        <v>Small</v>
      </c>
    </row>
    <row r="770" ht="15.75" customHeight="1">
      <c r="A770" s="17" t="s">
        <v>571</v>
      </c>
      <c r="B770" s="18">
        <v>46137.0</v>
      </c>
      <c r="C770" s="17" t="s">
        <v>873</v>
      </c>
      <c r="D770" s="19" t="str">
        <f>IFERROR(VLOOKUP(C770,customer_lookup!$A:$E,2,FALSE),"")</f>
        <v>NY Account 0119</v>
      </c>
      <c r="E770" s="19" t="str">
        <f>IFERROR(VLOOKUP(C770,customer_lookup!$A:$E,3,FALSE),"")</f>
        <v>NY</v>
      </c>
      <c r="F770" s="20" t="str">
        <f>IFERROR(VLOOKUP(C770,customer_lookup!$A:$E,5,FALSE),"")</f>
        <v>Quinn</v>
      </c>
      <c r="G770" s="17" t="s">
        <v>63</v>
      </c>
      <c r="H770" s="17" t="s">
        <v>110</v>
      </c>
      <c r="I770" s="19" t="str">
        <f>IFERROR(VLOOKUP(H770,product_lookup!$A:$D,2,FALSE),"")</f>
        <v>Elderberry 2:1 Gummies</v>
      </c>
      <c r="J770" s="21">
        <v>18.0</v>
      </c>
      <c r="K770" s="22">
        <v>10.84</v>
      </c>
      <c r="L770" s="23">
        <f t="shared" si="1"/>
        <v>195.12</v>
      </c>
      <c r="M770" s="17" t="s">
        <v>97</v>
      </c>
      <c r="N770" s="18">
        <v>46144.0</v>
      </c>
      <c r="O770" s="19">
        <f>SUMIF(inventory_snapshot!$B:$B,H770,inventory_snapshot!$E:$E)</f>
        <v>1633</v>
      </c>
      <c r="P770" s="24" t="str">
        <f t="shared" si="2"/>
        <v>OK</v>
      </c>
      <c r="Q770" s="24" t="str">
        <f t="shared" si="3"/>
        <v>Duplicate</v>
      </c>
      <c r="R770" s="24" t="str">
        <f t="shared" si="4"/>
        <v>OK</v>
      </c>
      <c r="S770" s="24" t="str">
        <f t="shared" si="5"/>
        <v>Small</v>
      </c>
    </row>
    <row r="771" ht="15.75" customHeight="1">
      <c r="A771" s="25" t="s">
        <v>949</v>
      </c>
      <c r="B771" s="26">
        <v>46112.0</v>
      </c>
      <c r="C771" s="25" t="s">
        <v>950</v>
      </c>
      <c r="D771" s="27" t="str">
        <f>IFERROR(VLOOKUP(C771,customer_lookup!$A:$E,2,FALSE),"")</f>
        <v>WA Account 0050</v>
      </c>
      <c r="E771" s="27" t="str">
        <f>IFERROR(VLOOKUP(C771,customer_lookup!$A:$E,3,FALSE),"")</f>
        <v>WA</v>
      </c>
      <c r="F771" s="28" t="str">
        <f>IFERROR(VLOOKUP(C771,customer_lookup!$A:$E,5,FALSE),"")</f>
        <v>Riley</v>
      </c>
      <c r="G771" s="25" t="s">
        <v>63</v>
      </c>
      <c r="H771" s="25" t="s">
        <v>64</v>
      </c>
      <c r="I771" s="27" t="str">
        <f>IFERROR(VLOOKUP(H771,product_lookup!$A:$D,2,FALSE),"")</f>
        <v>Cranberry Sparkling Beverage</v>
      </c>
      <c r="J771" s="29">
        <v>6.0</v>
      </c>
      <c r="K771" s="30">
        <v>8.3</v>
      </c>
      <c r="L771" s="31">
        <f t="shared" si="1"/>
        <v>49.8</v>
      </c>
      <c r="M771" s="25" t="s">
        <v>65</v>
      </c>
      <c r="N771" s="26">
        <v>46113.0</v>
      </c>
      <c r="O771" s="27">
        <f>SUMIF(inventory_snapshot!$B:$B,H771,inventory_snapshot!$E:$E)</f>
        <v>1152</v>
      </c>
      <c r="P771" s="32" t="str">
        <f t="shared" si="2"/>
        <v>OK</v>
      </c>
      <c r="Q771" s="32" t="str">
        <f t="shared" si="3"/>
        <v>OK</v>
      </c>
      <c r="R771" s="32" t="str">
        <f t="shared" si="4"/>
        <v>OK</v>
      </c>
      <c r="S771" s="32" t="str">
        <f t="shared" si="5"/>
        <v>Small</v>
      </c>
    </row>
    <row r="772" ht="15.75" customHeight="1">
      <c r="A772" s="17" t="s">
        <v>951</v>
      </c>
      <c r="B772" s="18">
        <v>46091.0</v>
      </c>
      <c r="C772" s="17" t="s">
        <v>950</v>
      </c>
      <c r="D772" s="19" t="str">
        <f>IFERROR(VLOOKUP(C772,customer_lookup!$A:$E,2,FALSE),"")</f>
        <v>WA Account 0050</v>
      </c>
      <c r="E772" s="19" t="str">
        <f>IFERROR(VLOOKUP(C772,customer_lookup!$A:$E,3,FALSE),"")</f>
        <v>WA</v>
      </c>
      <c r="F772" s="20" t="str">
        <f>IFERROR(VLOOKUP(C772,customer_lookup!$A:$E,5,FALSE),"")</f>
        <v>Riley</v>
      </c>
      <c r="G772" s="17" t="s">
        <v>63</v>
      </c>
      <c r="H772" s="17" t="s">
        <v>108</v>
      </c>
      <c r="I772" s="19" t="str">
        <f>IFERROR(VLOOKUP(H772,product_lookup!$A:$D,2,FALSE),"")</f>
        <v>Sour Tangerine THC Gummies</v>
      </c>
      <c r="J772" s="21">
        <v>72.0</v>
      </c>
      <c r="K772" s="22">
        <v>11.39</v>
      </c>
      <c r="L772" s="23">
        <f t="shared" si="1"/>
        <v>820.08</v>
      </c>
      <c r="M772" s="17" t="s">
        <v>93</v>
      </c>
      <c r="N772" s="18">
        <v>46096.0</v>
      </c>
      <c r="O772" s="19">
        <f>SUMIF(inventory_snapshot!$B:$B,H772,inventory_snapshot!$E:$E)</f>
        <v>1679</v>
      </c>
      <c r="P772" s="24" t="str">
        <f t="shared" si="2"/>
        <v>OK</v>
      </c>
      <c r="Q772" s="24" t="str">
        <f t="shared" si="3"/>
        <v>OK</v>
      </c>
      <c r="R772" s="24" t="str">
        <f t="shared" si="4"/>
        <v>OK</v>
      </c>
      <c r="S772" s="24" t="str">
        <f t="shared" si="5"/>
        <v>Medium</v>
      </c>
    </row>
    <row r="773" ht="15.75" customHeight="1">
      <c r="A773" s="25" t="s">
        <v>952</v>
      </c>
      <c r="B773" s="26">
        <v>46033.0</v>
      </c>
      <c r="C773" s="25" t="s">
        <v>953</v>
      </c>
      <c r="D773" s="27" t="str">
        <f>IFERROR(VLOOKUP(C773,customer_lookup!$A:$E,2,FALSE),"")</f>
        <v>OR Account 0073</v>
      </c>
      <c r="E773" s="27" t="str">
        <f>IFERROR(VLOOKUP(C773,customer_lookup!$A:$E,3,FALSE),"")</f>
        <v>OR</v>
      </c>
      <c r="F773" s="28" t="str">
        <f>IFERROR(VLOOKUP(C773,customer_lookup!$A:$E,5,FALSE),"")</f>
        <v>Riley</v>
      </c>
      <c r="G773" s="25" t="s">
        <v>63</v>
      </c>
      <c r="H773" s="25" t="s">
        <v>156</v>
      </c>
      <c r="I773" s="27" t="str">
        <f>IFERROR(VLOOKUP(H773,product_lookup!$A:$D,2,FALSE),"")</f>
        <v>Blood Orange 1:1 Gummies</v>
      </c>
      <c r="J773" s="29">
        <v>120.0</v>
      </c>
      <c r="K773" s="30">
        <v>9.86</v>
      </c>
      <c r="L773" s="31">
        <f t="shared" si="1"/>
        <v>1183.2</v>
      </c>
      <c r="M773" s="25" t="s">
        <v>65</v>
      </c>
      <c r="N773" s="26">
        <v>46038.0</v>
      </c>
      <c r="O773" s="27">
        <f>SUMIF(inventory_snapshot!$B:$B,H773,inventory_snapshot!$E:$E)</f>
        <v>1589</v>
      </c>
      <c r="P773" s="32" t="str">
        <f t="shared" si="2"/>
        <v>OK</v>
      </c>
      <c r="Q773" s="32" t="str">
        <f t="shared" si="3"/>
        <v>OK</v>
      </c>
      <c r="R773" s="32" t="str">
        <f t="shared" si="4"/>
        <v>OK</v>
      </c>
      <c r="S773" s="32" t="str">
        <f t="shared" si="5"/>
        <v>Large</v>
      </c>
    </row>
    <row r="774" ht="15.75" customHeight="1">
      <c r="A774" s="17" t="s">
        <v>954</v>
      </c>
      <c r="B774" s="18">
        <v>46054.0</v>
      </c>
      <c r="C774" s="17" t="s">
        <v>955</v>
      </c>
      <c r="D774" s="19" t="str">
        <f>IFERROR(VLOOKUP(C774,customer_lookup!$A:$E,2,FALSE),"")</f>
        <v>AZ Account 0113</v>
      </c>
      <c r="E774" s="19" t="str">
        <f>IFERROR(VLOOKUP(C774,customer_lookup!$A:$E,3,FALSE),"")</f>
        <v>AZ</v>
      </c>
      <c r="F774" s="20" t="str">
        <f>IFERROR(VLOOKUP(C774,customer_lookup!$A:$E,5,FALSE),"")</f>
        <v>Riley</v>
      </c>
      <c r="G774" s="17" t="s">
        <v>63</v>
      </c>
      <c r="H774" s="17" t="s">
        <v>74</v>
      </c>
      <c r="I774" s="19" t="str">
        <f>IFERROR(VLOOKUP(H774,product_lookup!$A:$D,2,FALSE),"")</f>
        <v>Strawberry 20:1 Gummies</v>
      </c>
      <c r="J774" s="21">
        <v>60.0</v>
      </c>
      <c r="K774" s="22">
        <v>11.66</v>
      </c>
      <c r="L774" s="23">
        <f t="shared" si="1"/>
        <v>699.6</v>
      </c>
      <c r="M774" s="17" t="s">
        <v>65</v>
      </c>
      <c r="N774" s="18">
        <v>46062.0</v>
      </c>
      <c r="O774" s="19">
        <f>SUMIF(inventory_snapshot!$B:$B,H774,inventory_snapshot!$E:$E)</f>
        <v>2294</v>
      </c>
      <c r="P774" s="24" t="str">
        <f t="shared" si="2"/>
        <v>OK</v>
      </c>
      <c r="Q774" s="24" t="str">
        <f t="shared" si="3"/>
        <v>OK</v>
      </c>
      <c r="R774" s="24" t="str">
        <f t="shared" si="4"/>
        <v>OK</v>
      </c>
      <c r="S774" s="24" t="str">
        <f t="shared" si="5"/>
        <v>Medium</v>
      </c>
    </row>
    <row r="775" ht="15.75" customHeight="1">
      <c r="A775" s="25" t="s">
        <v>956</v>
      </c>
      <c r="B775" s="26">
        <v>46066.0</v>
      </c>
      <c r="C775" s="25" t="s">
        <v>957</v>
      </c>
      <c r="D775" s="27" t="str">
        <f>IFERROR(VLOOKUP(C775,customer_lookup!$A:$E,2,FALSE),"")</f>
        <v>NV Account 0102</v>
      </c>
      <c r="E775" s="27" t="str">
        <f>IFERROR(VLOOKUP(C775,customer_lookup!$A:$E,3,FALSE),"")</f>
        <v>NV</v>
      </c>
      <c r="F775" s="28" t="str">
        <f>IFERROR(VLOOKUP(C775,customer_lookup!$A:$E,5,FALSE),"")</f>
        <v>Riley</v>
      </c>
      <c r="G775" s="25" t="s">
        <v>67</v>
      </c>
      <c r="H775" s="25" t="s">
        <v>108</v>
      </c>
      <c r="I775" s="27" t="str">
        <f>IFERROR(VLOOKUP(H775,product_lookup!$A:$D,2,FALSE),"")</f>
        <v>Sour Tangerine THC Gummies</v>
      </c>
      <c r="J775" s="29">
        <v>72.0</v>
      </c>
      <c r="K775" s="30">
        <v>10.25</v>
      </c>
      <c r="L775" s="31">
        <f t="shared" si="1"/>
        <v>738</v>
      </c>
      <c r="M775" s="25" t="s">
        <v>100</v>
      </c>
      <c r="N775" s="26">
        <v>46076.0</v>
      </c>
      <c r="O775" s="27">
        <f>SUMIF(inventory_snapshot!$B:$B,H775,inventory_snapshot!$E:$E)</f>
        <v>1679</v>
      </c>
      <c r="P775" s="32" t="str">
        <f t="shared" si="2"/>
        <v>OK</v>
      </c>
      <c r="Q775" s="32" t="str">
        <f t="shared" si="3"/>
        <v>OK</v>
      </c>
      <c r="R775" s="32" t="str">
        <f t="shared" si="4"/>
        <v>OK</v>
      </c>
      <c r="S775" s="32" t="str">
        <f t="shared" si="5"/>
        <v>Medium</v>
      </c>
    </row>
    <row r="776" ht="15.75" customHeight="1">
      <c r="A776" s="17" t="s">
        <v>958</v>
      </c>
      <c r="B776" s="18">
        <v>46086.0</v>
      </c>
      <c r="C776" s="17" t="s">
        <v>950</v>
      </c>
      <c r="D776" s="19" t="str">
        <f>IFERROR(VLOOKUP(C776,customer_lookup!$A:$E,2,FALSE),"")</f>
        <v>WA Account 0050</v>
      </c>
      <c r="E776" s="19" t="str">
        <f>IFERROR(VLOOKUP(C776,customer_lookup!$A:$E,3,FALSE),"")</f>
        <v>WA</v>
      </c>
      <c r="F776" s="20" t="str">
        <f>IFERROR(VLOOKUP(C776,customer_lookup!$A:$E,5,FALSE),"")</f>
        <v>Riley</v>
      </c>
      <c r="G776" s="17" t="s">
        <v>63</v>
      </c>
      <c r="H776" s="17" t="s">
        <v>85</v>
      </c>
      <c r="I776" s="19" t="str">
        <f>IFERROR(VLOOKUP(H776,product_lookup!$A:$D,2,FALSE),"")</f>
        <v>Huckleberry THC Gummies</v>
      </c>
      <c r="J776" s="21">
        <v>6.0</v>
      </c>
      <c r="K776" s="22">
        <v>9.48</v>
      </c>
      <c r="L776" s="23">
        <f t="shared" si="1"/>
        <v>56.88</v>
      </c>
      <c r="M776" s="17" t="s">
        <v>93</v>
      </c>
      <c r="N776" s="18">
        <v>46088.0</v>
      </c>
      <c r="O776" s="19">
        <f>SUMIF(inventory_snapshot!$B:$B,H776,inventory_snapshot!$E:$E)</f>
        <v>1841</v>
      </c>
      <c r="P776" s="24" t="str">
        <f t="shared" si="2"/>
        <v>OK</v>
      </c>
      <c r="Q776" s="24" t="str">
        <f t="shared" si="3"/>
        <v>OK</v>
      </c>
      <c r="R776" s="24" t="str">
        <f t="shared" si="4"/>
        <v>OK</v>
      </c>
      <c r="S776" s="24" t="str">
        <f t="shared" si="5"/>
        <v>Small</v>
      </c>
    </row>
    <row r="777" ht="15.75" customHeight="1">
      <c r="A777" s="25" t="s">
        <v>959</v>
      </c>
      <c r="B777" s="26">
        <v>46060.0</v>
      </c>
      <c r="C777" s="25" t="s">
        <v>957</v>
      </c>
      <c r="D777" s="27" t="str">
        <f>IFERROR(VLOOKUP(C777,customer_lookup!$A:$E,2,FALSE),"")</f>
        <v>NV Account 0102</v>
      </c>
      <c r="E777" s="27" t="str">
        <f>IFERROR(VLOOKUP(C777,customer_lookup!$A:$E,3,FALSE),"")</f>
        <v>NV</v>
      </c>
      <c r="F777" s="28" t="str">
        <f>IFERROR(VLOOKUP(C777,customer_lookup!$A:$E,5,FALSE),"")</f>
        <v>Riley</v>
      </c>
      <c r="G777" s="25" t="s">
        <v>63</v>
      </c>
      <c r="H777" s="25" t="s">
        <v>95</v>
      </c>
      <c r="I777" s="27" t="str">
        <f>IFERROR(VLOOKUP(H777,product_lookup!$A:$D,2,FALSE),"")</f>
        <v>Boysenberry 1:1:1 Gummies</v>
      </c>
      <c r="J777" s="29">
        <v>36.0</v>
      </c>
      <c r="K777" s="30">
        <v>10.24</v>
      </c>
      <c r="L777" s="31">
        <f t="shared" si="1"/>
        <v>368.64</v>
      </c>
      <c r="M777" s="25" t="s">
        <v>97</v>
      </c>
      <c r="N777" s="26">
        <v>46070.0</v>
      </c>
      <c r="O777" s="27">
        <f>SUMIF(inventory_snapshot!$B:$B,H777,inventory_snapshot!$E:$E)</f>
        <v>2007</v>
      </c>
      <c r="P777" s="32" t="str">
        <f t="shared" si="2"/>
        <v>OK</v>
      </c>
      <c r="Q777" s="32" t="str">
        <f t="shared" si="3"/>
        <v>OK</v>
      </c>
      <c r="R777" s="32" t="str">
        <f t="shared" si="4"/>
        <v>OK</v>
      </c>
      <c r="S777" s="32" t="str">
        <f t="shared" si="5"/>
        <v>Small</v>
      </c>
    </row>
    <row r="778" ht="15.75" customHeight="1">
      <c r="A778" s="17" t="s">
        <v>960</v>
      </c>
      <c r="B778" s="18">
        <v>46108.0</v>
      </c>
      <c r="C778" s="17" t="s">
        <v>961</v>
      </c>
      <c r="D778" s="19" t="str">
        <f>IFERROR(VLOOKUP(C778,customer_lookup!$A:$E,2,FALSE),"")</f>
        <v>NY Account 0059</v>
      </c>
      <c r="E778" s="19" t="str">
        <f>IFERROR(VLOOKUP(C778,customer_lookup!$A:$E,3,FALSE),"")</f>
        <v>NY</v>
      </c>
      <c r="F778" s="20" t="str">
        <f>IFERROR(VLOOKUP(C778,customer_lookup!$A:$E,5,FALSE),"")</f>
        <v>Riley</v>
      </c>
      <c r="G778" s="17" t="s">
        <v>63</v>
      </c>
      <c r="H778" s="17" t="s">
        <v>115</v>
      </c>
      <c r="I778" s="19" t="str">
        <f>IFERROR(VLOOKUP(H778,product_lookup!$A:$D,2,FALSE),"")</f>
        <v>Pear 1:1 Gummies</v>
      </c>
      <c r="J778" s="21">
        <v>6.0</v>
      </c>
      <c r="K778" s="22">
        <v>12.15</v>
      </c>
      <c r="L778" s="23">
        <f t="shared" si="1"/>
        <v>72.9</v>
      </c>
      <c r="M778" s="17" t="s">
        <v>137</v>
      </c>
      <c r="N778" s="18">
        <v>46117.0</v>
      </c>
      <c r="O778" s="19">
        <f>SUMIF(inventory_snapshot!$B:$B,H778,inventory_snapshot!$E:$E)</f>
        <v>981</v>
      </c>
      <c r="P778" s="24" t="str">
        <f t="shared" si="2"/>
        <v>OK</v>
      </c>
      <c r="Q778" s="24" t="str">
        <f t="shared" si="3"/>
        <v>OK</v>
      </c>
      <c r="R778" s="24" t="str">
        <f t="shared" si="4"/>
        <v>OK</v>
      </c>
      <c r="S778" s="24" t="str">
        <f t="shared" si="5"/>
        <v>Small</v>
      </c>
    </row>
    <row r="779" ht="15.75" customHeight="1">
      <c r="A779" s="25" t="s">
        <v>962</v>
      </c>
      <c r="B779" s="26">
        <v>46061.0</v>
      </c>
      <c r="C779" s="25" t="s">
        <v>963</v>
      </c>
      <c r="D779" s="27" t="str">
        <f>IFERROR(VLOOKUP(C779,customer_lookup!$A:$E,2,FALSE),"")</f>
        <v>MO Account 0045</v>
      </c>
      <c r="E779" s="27" t="str">
        <f>IFERROR(VLOOKUP(C779,customer_lookup!$A:$E,3,FALSE),"")</f>
        <v>MO</v>
      </c>
      <c r="F779" s="28" t="str">
        <f>IFERROR(VLOOKUP(C779,customer_lookup!$A:$E,5,FALSE),"")</f>
        <v>Riley</v>
      </c>
      <c r="G779" s="25" t="s">
        <v>63</v>
      </c>
      <c r="H779" s="25" t="s">
        <v>64</v>
      </c>
      <c r="I779" s="27" t="str">
        <f>IFERROR(VLOOKUP(H779,product_lookup!$A:$D,2,FALSE),"")</f>
        <v>Cranberry Sparkling Beverage</v>
      </c>
      <c r="J779" s="29">
        <v>120.0</v>
      </c>
      <c r="K779" s="30">
        <v>8.47</v>
      </c>
      <c r="L779" s="31">
        <f t="shared" si="1"/>
        <v>1016.4</v>
      </c>
      <c r="M779" s="25" t="s">
        <v>65</v>
      </c>
      <c r="N779" s="26">
        <v>46066.0</v>
      </c>
      <c r="O779" s="27">
        <f>SUMIF(inventory_snapshot!$B:$B,H779,inventory_snapshot!$E:$E)</f>
        <v>1152</v>
      </c>
      <c r="P779" s="32" t="str">
        <f t="shared" si="2"/>
        <v>OK</v>
      </c>
      <c r="Q779" s="32" t="str">
        <f t="shared" si="3"/>
        <v>OK</v>
      </c>
      <c r="R779" s="32" t="str">
        <f t="shared" si="4"/>
        <v>OK</v>
      </c>
      <c r="S779" s="32" t="str">
        <f t="shared" si="5"/>
        <v>Large</v>
      </c>
    </row>
    <row r="780" ht="15.75" customHeight="1">
      <c r="A780" s="17" t="s">
        <v>964</v>
      </c>
      <c r="B780" s="18">
        <v>46124.0</v>
      </c>
      <c r="C780" s="17" t="s">
        <v>965</v>
      </c>
      <c r="D780" s="19" t="str">
        <f>IFERROR(VLOOKUP(C780,customer_lookup!$A:$E,2,FALSE),"")</f>
        <v>NY Account 0047</v>
      </c>
      <c r="E780" s="19" t="str">
        <f>IFERROR(VLOOKUP(C780,customer_lookup!$A:$E,3,FALSE),"")</f>
        <v>NY</v>
      </c>
      <c r="F780" s="20" t="str">
        <f>IFERROR(VLOOKUP(C780,customer_lookup!$A:$E,5,FALSE),"")</f>
        <v>Riley</v>
      </c>
      <c r="G780" s="17" t="s">
        <v>63</v>
      </c>
      <c r="H780" s="17" t="s">
        <v>110</v>
      </c>
      <c r="I780" s="19" t="str">
        <f>IFERROR(VLOOKUP(H780,product_lookup!$A:$D,2,FALSE),"")</f>
        <v>Elderberry 2:1 Gummies</v>
      </c>
      <c r="J780" s="21">
        <v>48.0</v>
      </c>
      <c r="K780" s="22">
        <v>9.93</v>
      </c>
      <c r="L780" s="23">
        <f t="shared" si="1"/>
        <v>476.64</v>
      </c>
      <c r="M780" s="17" t="s">
        <v>65</v>
      </c>
      <c r="N780" s="18">
        <v>46129.0</v>
      </c>
      <c r="O780" s="19">
        <f>SUMIF(inventory_snapshot!$B:$B,H780,inventory_snapshot!$E:$E)</f>
        <v>1633</v>
      </c>
      <c r="P780" s="24" t="str">
        <f t="shared" si="2"/>
        <v>OK</v>
      </c>
      <c r="Q780" s="24" t="str">
        <f t="shared" si="3"/>
        <v>OK</v>
      </c>
      <c r="R780" s="24" t="str">
        <f t="shared" si="4"/>
        <v>OK</v>
      </c>
      <c r="S780" s="24" t="str">
        <f t="shared" si="5"/>
        <v>Small</v>
      </c>
    </row>
    <row r="781" ht="15.75" customHeight="1">
      <c r="A781" s="25" t="s">
        <v>966</v>
      </c>
      <c r="B781" s="26">
        <v>46033.0</v>
      </c>
      <c r="C781" s="25" t="s">
        <v>953</v>
      </c>
      <c r="D781" s="27" t="str">
        <f>IFERROR(VLOOKUP(C781,customer_lookup!$A:$E,2,FALSE),"")</f>
        <v>OR Account 0073</v>
      </c>
      <c r="E781" s="27" t="str">
        <f>IFERROR(VLOOKUP(C781,customer_lookup!$A:$E,3,FALSE),"")</f>
        <v>OR</v>
      </c>
      <c r="F781" s="28" t="str">
        <f>IFERROR(VLOOKUP(C781,customer_lookup!$A:$E,5,FALSE),"")</f>
        <v>Riley</v>
      </c>
      <c r="G781" s="25" t="s">
        <v>63</v>
      </c>
      <c r="H781" s="25" t="s">
        <v>71</v>
      </c>
      <c r="I781" s="27" t="str">
        <f>IFERROR(VLOOKUP(H781,product_lookup!$A:$D,2,FALSE),"")</f>
        <v>Pineapple Sparkling Beverage</v>
      </c>
      <c r="J781" s="29">
        <v>6.0</v>
      </c>
      <c r="K781" s="30">
        <v>7.22</v>
      </c>
      <c r="L781" s="31">
        <f t="shared" si="1"/>
        <v>43.32</v>
      </c>
      <c r="M781" s="25" t="s">
        <v>65</v>
      </c>
      <c r="N781" s="26">
        <v>46035.0</v>
      </c>
      <c r="O781" s="27">
        <f>SUMIF(inventory_snapshot!$B:$B,H781,inventory_snapshot!$E:$E)</f>
        <v>1145</v>
      </c>
      <c r="P781" s="32" t="str">
        <f t="shared" si="2"/>
        <v>OK</v>
      </c>
      <c r="Q781" s="32" t="str">
        <f t="shared" si="3"/>
        <v>OK</v>
      </c>
      <c r="R781" s="32" t="str">
        <f t="shared" si="4"/>
        <v>OK</v>
      </c>
      <c r="S781" s="32" t="str">
        <f t="shared" si="5"/>
        <v>Small</v>
      </c>
    </row>
    <row r="782" ht="15.75" customHeight="1">
      <c r="A782" s="17" t="s">
        <v>967</v>
      </c>
      <c r="B782" s="18">
        <v>46064.0</v>
      </c>
      <c r="C782" s="17" t="s">
        <v>968</v>
      </c>
      <c r="D782" s="19" t="str">
        <f>IFERROR(VLOOKUP(C782,customer_lookup!$A:$E,2,FALSE),"")</f>
        <v>NY Account 0083</v>
      </c>
      <c r="E782" s="19" t="str">
        <f>IFERROR(VLOOKUP(C782,customer_lookup!$A:$E,3,FALSE),"")</f>
        <v>NY</v>
      </c>
      <c r="F782" s="20" t="str">
        <f>IFERROR(VLOOKUP(C782,customer_lookup!$A:$E,5,FALSE),"")</f>
        <v>Riley</v>
      </c>
      <c r="G782" s="17" t="s">
        <v>63</v>
      </c>
      <c r="H782" s="17" t="s">
        <v>71</v>
      </c>
      <c r="I782" s="19" t="str">
        <f>IFERROR(VLOOKUP(H782,product_lookup!$A:$D,2,FALSE),"")</f>
        <v>Pineapple Sparkling Beverage</v>
      </c>
      <c r="J782" s="21">
        <v>120.0</v>
      </c>
      <c r="K782" s="22">
        <v>7.47</v>
      </c>
      <c r="L782" s="23">
        <f t="shared" si="1"/>
        <v>896.4</v>
      </c>
      <c r="M782" s="17" t="s">
        <v>75</v>
      </c>
      <c r="N782" s="18">
        <v>46069.0</v>
      </c>
      <c r="O782" s="19">
        <f>SUMIF(inventory_snapshot!$B:$B,H782,inventory_snapshot!$E:$E)</f>
        <v>1145</v>
      </c>
      <c r="P782" s="24" t="str">
        <f t="shared" si="2"/>
        <v>OK</v>
      </c>
      <c r="Q782" s="24" t="str">
        <f t="shared" si="3"/>
        <v>OK</v>
      </c>
      <c r="R782" s="24" t="str">
        <f t="shared" si="4"/>
        <v>OK</v>
      </c>
      <c r="S782" s="24" t="str">
        <f t="shared" si="5"/>
        <v>Medium</v>
      </c>
    </row>
    <row r="783" ht="15.75" customHeight="1">
      <c r="A783" s="25" t="s">
        <v>969</v>
      </c>
      <c r="B783" s="26">
        <v>46140.0</v>
      </c>
      <c r="C783" s="25" t="s">
        <v>965</v>
      </c>
      <c r="D783" s="27" t="str">
        <f>IFERROR(VLOOKUP(C783,customer_lookup!$A:$E,2,FALSE),"")</f>
        <v>NY Account 0047</v>
      </c>
      <c r="E783" s="27" t="str">
        <f>IFERROR(VLOOKUP(C783,customer_lookup!$A:$E,3,FALSE),"")</f>
        <v>NY</v>
      </c>
      <c r="F783" s="28" t="str">
        <f>IFERROR(VLOOKUP(C783,customer_lookup!$A:$E,5,FALSE),"")</f>
        <v>Riley</v>
      </c>
      <c r="G783" s="25" t="s">
        <v>67</v>
      </c>
      <c r="H783" s="25" t="s">
        <v>68</v>
      </c>
      <c r="I783" s="27" t="str">
        <f>IFERROR(VLOOKUP(H783,product_lookup!$A:$D,2,FALSE),"")</f>
        <v>Sour Apple THC Gummies</v>
      </c>
      <c r="J783" s="29">
        <v>30.0</v>
      </c>
      <c r="K783" s="30">
        <v>10.26</v>
      </c>
      <c r="L783" s="31">
        <f t="shared" si="1"/>
        <v>307.8</v>
      </c>
      <c r="M783" s="25" t="s">
        <v>65</v>
      </c>
      <c r="N783" s="26">
        <v>46141.0</v>
      </c>
      <c r="O783" s="27">
        <f>SUMIF(inventory_snapshot!$B:$B,H783,inventory_snapshot!$E:$E)</f>
        <v>775</v>
      </c>
      <c r="P783" s="32" t="str">
        <f t="shared" si="2"/>
        <v>OK</v>
      </c>
      <c r="Q783" s="32" t="str">
        <f t="shared" si="3"/>
        <v>OK</v>
      </c>
      <c r="R783" s="32" t="str">
        <f t="shared" si="4"/>
        <v>OK</v>
      </c>
      <c r="S783" s="32" t="str">
        <f t="shared" si="5"/>
        <v>Small</v>
      </c>
    </row>
    <row r="784" ht="15.75" customHeight="1">
      <c r="A784" s="17" t="s">
        <v>970</v>
      </c>
      <c r="B784" s="18">
        <v>46060.0</v>
      </c>
      <c r="C784" s="17" t="s">
        <v>961</v>
      </c>
      <c r="D784" s="19" t="str">
        <f>IFERROR(VLOOKUP(C784,customer_lookup!$A:$E,2,FALSE),"")</f>
        <v>NY Account 0059</v>
      </c>
      <c r="E784" s="19" t="str">
        <f>IFERROR(VLOOKUP(C784,customer_lookup!$A:$E,3,FALSE),"")</f>
        <v>NY</v>
      </c>
      <c r="F784" s="20" t="str">
        <f>IFERROR(VLOOKUP(C784,customer_lookup!$A:$E,5,FALSE),"")</f>
        <v>Riley</v>
      </c>
      <c r="G784" s="17" t="s">
        <v>63</v>
      </c>
      <c r="H784" s="17" t="s">
        <v>95</v>
      </c>
      <c r="I784" s="19" t="str">
        <f>IFERROR(VLOOKUP(H784,product_lookup!$A:$D,2,FALSE),"")</f>
        <v>Boysenberry 1:1:1 Gummies</v>
      </c>
      <c r="J784" s="21">
        <v>24.0</v>
      </c>
      <c r="K784" s="22">
        <v>9.54</v>
      </c>
      <c r="L784" s="23">
        <f t="shared" si="1"/>
        <v>228.96</v>
      </c>
      <c r="M784" s="17" t="s">
        <v>97</v>
      </c>
      <c r="N784" s="18">
        <v>46065.0</v>
      </c>
      <c r="O784" s="19">
        <f>SUMIF(inventory_snapshot!$B:$B,H784,inventory_snapshot!$E:$E)</f>
        <v>2007</v>
      </c>
      <c r="P784" s="24" t="str">
        <f t="shared" si="2"/>
        <v>OK</v>
      </c>
      <c r="Q784" s="24" t="str">
        <f t="shared" si="3"/>
        <v>OK</v>
      </c>
      <c r="R784" s="24" t="str">
        <f t="shared" si="4"/>
        <v>OK</v>
      </c>
      <c r="S784" s="24" t="str">
        <f t="shared" si="5"/>
        <v>Small</v>
      </c>
    </row>
    <row r="785" ht="15.75" customHeight="1">
      <c r="A785" s="25" t="s">
        <v>971</v>
      </c>
      <c r="B785" s="26">
        <v>46072.0</v>
      </c>
      <c r="C785" s="25" t="s">
        <v>965</v>
      </c>
      <c r="D785" s="27" t="str">
        <f>IFERROR(VLOOKUP(C785,customer_lookup!$A:$E,2,FALSE),"")</f>
        <v>NY Account 0047</v>
      </c>
      <c r="E785" s="27" t="str">
        <f>IFERROR(VLOOKUP(C785,customer_lookup!$A:$E,3,FALSE),"")</f>
        <v>NY</v>
      </c>
      <c r="F785" s="28" t="str">
        <f>IFERROR(VLOOKUP(C785,customer_lookup!$A:$E,5,FALSE),"")</f>
        <v>Riley</v>
      </c>
      <c r="G785" s="25" t="s">
        <v>63</v>
      </c>
      <c r="H785" s="25" t="s">
        <v>68</v>
      </c>
      <c r="I785" s="27" t="str">
        <f>IFERROR(VLOOKUP(H785,product_lookup!$A:$D,2,FALSE),"")</f>
        <v>Sour Apple THC Gummies</v>
      </c>
      <c r="J785" s="29">
        <v>96.0</v>
      </c>
      <c r="K785" s="30">
        <v>9.52</v>
      </c>
      <c r="L785" s="31">
        <f t="shared" si="1"/>
        <v>913.92</v>
      </c>
      <c r="M785" s="25" t="s">
        <v>97</v>
      </c>
      <c r="N785" s="26">
        <v>46078.0</v>
      </c>
      <c r="O785" s="27">
        <f>SUMIF(inventory_snapshot!$B:$B,H785,inventory_snapshot!$E:$E)</f>
        <v>775</v>
      </c>
      <c r="P785" s="32" t="str">
        <f t="shared" si="2"/>
        <v>OK</v>
      </c>
      <c r="Q785" s="32" t="str">
        <f t="shared" si="3"/>
        <v>OK</v>
      </c>
      <c r="R785" s="32" t="str">
        <f t="shared" si="4"/>
        <v>OK</v>
      </c>
      <c r="S785" s="32" t="str">
        <f t="shared" si="5"/>
        <v>Medium</v>
      </c>
    </row>
    <row r="786" ht="15.75" customHeight="1">
      <c r="A786" s="17" t="s">
        <v>972</v>
      </c>
      <c r="B786" s="18">
        <v>46096.0</v>
      </c>
      <c r="C786" s="17" t="s">
        <v>965</v>
      </c>
      <c r="D786" s="19" t="str">
        <f>IFERROR(VLOOKUP(C786,customer_lookup!$A:$E,2,FALSE),"")</f>
        <v>NY Account 0047</v>
      </c>
      <c r="E786" s="19" t="str">
        <f>IFERROR(VLOOKUP(C786,customer_lookup!$A:$E,3,FALSE),"")</f>
        <v>NY</v>
      </c>
      <c r="F786" s="20" t="str">
        <f>IFERROR(VLOOKUP(C786,customer_lookup!$A:$E,5,FALSE),"")</f>
        <v>Riley</v>
      </c>
      <c r="G786" s="17" t="s">
        <v>63</v>
      </c>
      <c r="H786" s="17" t="s">
        <v>81</v>
      </c>
      <c r="I786" s="19" t="str">
        <f>IFERROR(VLOOKUP(H786,product_lookup!$A:$D,2,FALSE),"")</f>
        <v>Lemon Sparkling Beverage</v>
      </c>
      <c r="J786" s="21">
        <v>36.0</v>
      </c>
      <c r="K786" s="22">
        <v>7.2</v>
      </c>
      <c r="L786" s="23">
        <f t="shared" si="1"/>
        <v>259.2</v>
      </c>
      <c r="M786" s="17" t="s">
        <v>93</v>
      </c>
      <c r="N786" s="18">
        <v>46098.0</v>
      </c>
      <c r="O786" s="19">
        <f>SUMIF(inventory_snapshot!$B:$B,H786,inventory_snapshot!$E:$E)</f>
        <v>1360</v>
      </c>
      <c r="P786" s="24" t="str">
        <f t="shared" si="2"/>
        <v>OK</v>
      </c>
      <c r="Q786" s="24" t="str">
        <f t="shared" si="3"/>
        <v>OK</v>
      </c>
      <c r="R786" s="24" t="str">
        <f t="shared" si="4"/>
        <v>OK</v>
      </c>
      <c r="S786" s="24" t="str">
        <f t="shared" si="5"/>
        <v>Small</v>
      </c>
    </row>
    <row r="787" ht="15.75" customHeight="1">
      <c r="A787" s="25" t="s">
        <v>973</v>
      </c>
      <c r="B787" s="26">
        <v>46067.0</v>
      </c>
      <c r="C787" s="25" t="s">
        <v>974</v>
      </c>
      <c r="D787" s="27" t="str">
        <f>IFERROR(VLOOKUP(C787,customer_lookup!$A:$E,2,FALSE),"")</f>
        <v>CO Account 0088</v>
      </c>
      <c r="E787" s="27" t="str">
        <f>IFERROR(VLOOKUP(C787,customer_lookup!$A:$E,3,FALSE),"")</f>
        <v>CO</v>
      </c>
      <c r="F787" s="28" t="str">
        <f>IFERROR(VLOOKUP(C787,customer_lookup!$A:$E,5,FALSE),"")</f>
        <v>Riley</v>
      </c>
      <c r="G787" s="25" t="s">
        <v>63</v>
      </c>
      <c r="H787" s="25" t="s">
        <v>190</v>
      </c>
      <c r="I787" s="27" t="str">
        <f>IFERROR(VLOOKUP(H787,product_lookup!$A:$D,2,FALSE),"")</f>
        <v>Mango Sparkling Beverage</v>
      </c>
      <c r="J787" s="29">
        <v>18.0</v>
      </c>
      <c r="K787" s="30">
        <v>8.07</v>
      </c>
      <c r="L787" s="31">
        <f t="shared" si="1"/>
        <v>145.26</v>
      </c>
      <c r="M787" s="25" t="s">
        <v>65</v>
      </c>
      <c r="N787" s="26">
        <v>46070.0</v>
      </c>
      <c r="O787" s="27">
        <f>SUMIF(inventory_snapshot!$B:$B,H787,inventory_snapshot!$E:$E)</f>
        <v>1502</v>
      </c>
      <c r="P787" s="32" t="str">
        <f t="shared" si="2"/>
        <v>OK</v>
      </c>
      <c r="Q787" s="32" t="str">
        <f t="shared" si="3"/>
        <v>OK</v>
      </c>
      <c r="R787" s="32" t="str">
        <f t="shared" si="4"/>
        <v>OK</v>
      </c>
      <c r="S787" s="32" t="str">
        <f t="shared" si="5"/>
        <v>Small</v>
      </c>
    </row>
    <row r="788" ht="15.75" customHeight="1">
      <c r="A788" s="17" t="s">
        <v>975</v>
      </c>
      <c r="B788" s="18">
        <v>46061.0</v>
      </c>
      <c r="C788" s="17" t="s">
        <v>974</v>
      </c>
      <c r="D788" s="19" t="str">
        <f>IFERROR(VLOOKUP(C788,customer_lookup!$A:$E,2,FALSE),"")</f>
        <v>CO Account 0088</v>
      </c>
      <c r="E788" s="19" t="str">
        <f>IFERROR(VLOOKUP(C788,customer_lookup!$A:$E,3,FALSE),"")</f>
        <v>CO</v>
      </c>
      <c r="F788" s="20" t="str">
        <f>IFERROR(VLOOKUP(C788,customer_lookup!$A:$E,5,FALSE),"")</f>
        <v>Riley</v>
      </c>
      <c r="G788" s="17" t="s">
        <v>63</v>
      </c>
      <c r="H788" s="17" t="s">
        <v>106</v>
      </c>
      <c r="I788" s="19" t="str">
        <f>IFERROR(VLOOKUP(H788,product_lookup!$A:$D,2,FALSE),"")</f>
        <v>Sour Cherry THC Gummies</v>
      </c>
      <c r="J788" s="21">
        <v>60.0</v>
      </c>
      <c r="K788" s="22">
        <v>9.83</v>
      </c>
      <c r="L788" s="23">
        <f t="shared" si="1"/>
        <v>589.8</v>
      </c>
      <c r="M788" s="17" t="s">
        <v>100</v>
      </c>
      <c r="N788" s="18">
        <v>46069.0</v>
      </c>
      <c r="O788" s="19">
        <f>SUMIF(inventory_snapshot!$B:$B,H788,inventory_snapshot!$E:$E)</f>
        <v>1313</v>
      </c>
      <c r="P788" s="24" t="str">
        <f t="shared" si="2"/>
        <v>OK</v>
      </c>
      <c r="Q788" s="24" t="str">
        <f t="shared" si="3"/>
        <v>OK</v>
      </c>
      <c r="R788" s="24" t="str">
        <f t="shared" si="4"/>
        <v>OK</v>
      </c>
      <c r="S788" s="24" t="str">
        <f t="shared" si="5"/>
        <v>Medium</v>
      </c>
    </row>
    <row r="789" ht="15.75" customHeight="1">
      <c r="A789" s="25" t="s">
        <v>976</v>
      </c>
      <c r="B789" s="26">
        <v>46059.0</v>
      </c>
      <c r="C789" s="25" t="s">
        <v>965</v>
      </c>
      <c r="D789" s="27" t="str">
        <f>IFERROR(VLOOKUP(C789,customer_lookup!$A:$E,2,FALSE),"")</f>
        <v>NY Account 0047</v>
      </c>
      <c r="E789" s="27" t="str">
        <f>IFERROR(VLOOKUP(C789,customer_lookup!$A:$E,3,FALSE),"")</f>
        <v>NY</v>
      </c>
      <c r="F789" s="28" t="str">
        <f>IFERROR(VLOOKUP(C789,customer_lookup!$A:$E,5,FALSE),"")</f>
        <v>Riley</v>
      </c>
      <c r="G789" s="25" t="s">
        <v>63</v>
      </c>
      <c r="H789" s="25" t="s">
        <v>81</v>
      </c>
      <c r="I789" s="27" t="str">
        <f>IFERROR(VLOOKUP(H789,product_lookup!$A:$D,2,FALSE),"")</f>
        <v>Lemon Sparkling Beverage</v>
      </c>
      <c r="J789" s="29">
        <v>12.0</v>
      </c>
      <c r="K789" s="30">
        <v>7.09</v>
      </c>
      <c r="L789" s="31">
        <f t="shared" si="1"/>
        <v>85.08</v>
      </c>
      <c r="M789" s="25" t="s">
        <v>137</v>
      </c>
      <c r="N789" s="26">
        <v>46069.0</v>
      </c>
      <c r="O789" s="27">
        <f>SUMIF(inventory_snapshot!$B:$B,H789,inventory_snapshot!$E:$E)</f>
        <v>1360</v>
      </c>
      <c r="P789" s="32" t="str">
        <f t="shared" si="2"/>
        <v>OK</v>
      </c>
      <c r="Q789" s="32" t="str">
        <f t="shared" si="3"/>
        <v>OK</v>
      </c>
      <c r="R789" s="32" t="str">
        <f t="shared" si="4"/>
        <v>OK</v>
      </c>
      <c r="S789" s="32" t="str">
        <f t="shared" si="5"/>
        <v>Small</v>
      </c>
    </row>
    <row r="790" ht="15.75" customHeight="1">
      <c r="A790" s="17" t="s">
        <v>977</v>
      </c>
      <c r="B790" s="18">
        <v>46036.0</v>
      </c>
      <c r="C790" s="17" t="s">
        <v>953</v>
      </c>
      <c r="D790" s="19" t="str">
        <f>IFERROR(VLOOKUP(C790,customer_lookup!$A:$E,2,FALSE),"")</f>
        <v>OR Account 0073</v>
      </c>
      <c r="E790" s="19" t="str">
        <f>IFERROR(VLOOKUP(C790,customer_lookup!$A:$E,3,FALSE),"")</f>
        <v>OR</v>
      </c>
      <c r="F790" s="20" t="str">
        <f>IFERROR(VLOOKUP(C790,customer_lookup!$A:$E,5,FALSE),"")</f>
        <v>Riley</v>
      </c>
      <c r="G790" s="17" t="s">
        <v>63</v>
      </c>
      <c r="H790" s="17" t="s">
        <v>71</v>
      </c>
      <c r="I790" s="19" t="str">
        <f>IFERROR(VLOOKUP(H790,product_lookup!$A:$D,2,FALSE),"")</f>
        <v>Pineapple Sparkling Beverage</v>
      </c>
      <c r="J790" s="21">
        <v>36.0</v>
      </c>
      <c r="K790" s="22">
        <v>7.42</v>
      </c>
      <c r="L790" s="23">
        <f t="shared" si="1"/>
        <v>267.12</v>
      </c>
      <c r="M790" s="17" t="s">
        <v>93</v>
      </c>
      <c r="N790" s="18">
        <v>46044.0</v>
      </c>
      <c r="O790" s="19">
        <f>SUMIF(inventory_snapshot!$B:$B,H790,inventory_snapshot!$E:$E)</f>
        <v>1145</v>
      </c>
      <c r="P790" s="24" t="str">
        <f t="shared" si="2"/>
        <v>OK</v>
      </c>
      <c r="Q790" s="24" t="str">
        <f t="shared" si="3"/>
        <v>OK</v>
      </c>
      <c r="R790" s="24" t="str">
        <f t="shared" si="4"/>
        <v>OK</v>
      </c>
      <c r="S790" s="24" t="str">
        <f t="shared" si="5"/>
        <v>Small</v>
      </c>
    </row>
    <row r="791" ht="15.75" customHeight="1">
      <c r="A791" s="25" t="s">
        <v>978</v>
      </c>
      <c r="B791" s="26">
        <v>46124.0</v>
      </c>
      <c r="C791" s="25" t="s">
        <v>950</v>
      </c>
      <c r="D791" s="27" t="str">
        <f>IFERROR(VLOOKUP(C791,customer_lookup!$A:$E,2,FALSE),"")</f>
        <v>WA Account 0050</v>
      </c>
      <c r="E791" s="27" t="str">
        <f>IFERROR(VLOOKUP(C791,customer_lookup!$A:$E,3,FALSE),"")</f>
        <v>WA</v>
      </c>
      <c r="F791" s="28" t="str">
        <f>IFERROR(VLOOKUP(C791,customer_lookup!$A:$E,5,FALSE),"")</f>
        <v>Riley</v>
      </c>
      <c r="G791" s="25" t="s">
        <v>63</v>
      </c>
      <c r="H791" s="25" t="s">
        <v>85</v>
      </c>
      <c r="I791" s="27" t="str">
        <f>IFERROR(VLOOKUP(H791,product_lookup!$A:$D,2,FALSE),"")</f>
        <v>Huckleberry THC Gummies</v>
      </c>
      <c r="J791" s="29">
        <v>12.0</v>
      </c>
      <c r="K791" s="30">
        <v>10.25</v>
      </c>
      <c r="L791" s="31">
        <f t="shared" si="1"/>
        <v>123</v>
      </c>
      <c r="M791" s="25" t="s">
        <v>93</v>
      </c>
      <c r="N791" s="26">
        <v>46131.0</v>
      </c>
      <c r="O791" s="27">
        <f>SUMIF(inventory_snapshot!$B:$B,H791,inventory_snapshot!$E:$E)</f>
        <v>1841</v>
      </c>
      <c r="P791" s="32" t="str">
        <f t="shared" si="2"/>
        <v>OK</v>
      </c>
      <c r="Q791" s="32" t="str">
        <f t="shared" si="3"/>
        <v>OK</v>
      </c>
      <c r="R791" s="32" t="str">
        <f t="shared" si="4"/>
        <v>OK</v>
      </c>
      <c r="S791" s="32" t="str">
        <f t="shared" si="5"/>
        <v>Small</v>
      </c>
    </row>
    <row r="792" ht="15.75" customHeight="1">
      <c r="A792" s="17" t="s">
        <v>979</v>
      </c>
      <c r="B792" s="18">
        <v>46057.0</v>
      </c>
      <c r="C792" s="17" t="s">
        <v>980</v>
      </c>
      <c r="D792" s="19" t="str">
        <f>IFERROR(VLOOKUP(C792,customer_lookup!$A:$E,2,FALSE),"")</f>
        <v>NY Account 0035</v>
      </c>
      <c r="E792" s="19" t="str">
        <f>IFERROR(VLOOKUP(C792,customer_lookup!$A:$E,3,FALSE),"")</f>
        <v>NY</v>
      </c>
      <c r="F792" s="20" t="str">
        <f>IFERROR(VLOOKUP(C792,customer_lookup!$A:$E,5,FALSE),"")</f>
        <v>Riley</v>
      </c>
      <c r="G792" s="17" t="s">
        <v>63</v>
      </c>
      <c r="H792" s="17" t="s">
        <v>102</v>
      </c>
      <c r="I792" s="19" t="str">
        <f>IFERROR(VLOOKUP(H792,product_lookup!$A:$D,2,FALSE),"")</f>
        <v>Pomegranate 1:1 Gummies</v>
      </c>
      <c r="J792" s="21">
        <v>60.0</v>
      </c>
      <c r="K792" s="22">
        <v>10.22</v>
      </c>
      <c r="L792" s="23">
        <f t="shared" si="1"/>
        <v>613.2</v>
      </c>
      <c r="M792" s="17" t="s">
        <v>97</v>
      </c>
      <c r="N792" s="18">
        <v>46062.0</v>
      </c>
      <c r="O792" s="19">
        <f>SUMIF(inventory_snapshot!$B:$B,H792,inventory_snapshot!$E:$E)</f>
        <v>1493</v>
      </c>
      <c r="P792" s="24" t="str">
        <f t="shared" si="2"/>
        <v>OK</v>
      </c>
      <c r="Q792" s="24" t="str">
        <f t="shared" si="3"/>
        <v>OK</v>
      </c>
      <c r="R792" s="24" t="str">
        <f t="shared" si="4"/>
        <v>OK</v>
      </c>
      <c r="S792" s="24" t="str">
        <f t="shared" si="5"/>
        <v>Medium</v>
      </c>
    </row>
    <row r="793" ht="15.75" customHeight="1">
      <c r="A793" s="25" t="s">
        <v>981</v>
      </c>
      <c r="B793" s="26">
        <v>46036.0</v>
      </c>
      <c r="C793" s="25" t="s">
        <v>957</v>
      </c>
      <c r="D793" s="27" t="str">
        <f>IFERROR(VLOOKUP(C793,customer_lookup!$A:$E,2,FALSE),"")</f>
        <v>NV Account 0102</v>
      </c>
      <c r="E793" s="27" t="str">
        <f>IFERROR(VLOOKUP(C793,customer_lookup!$A:$E,3,FALSE),"")</f>
        <v>NV</v>
      </c>
      <c r="F793" s="28" t="str">
        <f>IFERROR(VLOOKUP(C793,customer_lookup!$A:$E,5,FALSE),"")</f>
        <v>Riley</v>
      </c>
      <c r="G793" s="25" t="s">
        <v>67</v>
      </c>
      <c r="H793" s="25" t="s">
        <v>108</v>
      </c>
      <c r="I793" s="27" t="str">
        <f>IFERROR(VLOOKUP(H793,product_lookup!$A:$D,2,FALSE),"")</f>
        <v>Sour Tangerine THC Gummies</v>
      </c>
      <c r="J793" s="29">
        <v>6.0</v>
      </c>
      <c r="K793" s="30">
        <v>9.89</v>
      </c>
      <c r="L793" s="31">
        <f t="shared" si="1"/>
        <v>59.34</v>
      </c>
      <c r="M793" s="25" t="s">
        <v>97</v>
      </c>
      <c r="N793" s="26">
        <v>46045.0</v>
      </c>
      <c r="O793" s="27">
        <f>SUMIF(inventory_snapshot!$B:$B,H793,inventory_snapshot!$E:$E)</f>
        <v>1679</v>
      </c>
      <c r="P793" s="32" t="str">
        <f t="shared" si="2"/>
        <v>OK</v>
      </c>
      <c r="Q793" s="32" t="str">
        <f t="shared" si="3"/>
        <v>OK</v>
      </c>
      <c r="R793" s="32" t="str">
        <f t="shared" si="4"/>
        <v>OK</v>
      </c>
      <c r="S793" s="32" t="str">
        <f t="shared" si="5"/>
        <v>Small</v>
      </c>
    </row>
    <row r="794" ht="15.75" customHeight="1">
      <c r="A794" s="17" t="s">
        <v>982</v>
      </c>
      <c r="B794" s="18">
        <v>46071.0</v>
      </c>
      <c r="C794" s="17" t="s">
        <v>980</v>
      </c>
      <c r="D794" s="19" t="str">
        <f>IFERROR(VLOOKUP(C794,customer_lookup!$A:$E,2,FALSE),"")</f>
        <v>NY Account 0035</v>
      </c>
      <c r="E794" s="19" t="str">
        <f>IFERROR(VLOOKUP(C794,customer_lookup!$A:$E,3,FALSE),"")</f>
        <v>NY</v>
      </c>
      <c r="F794" s="20" t="str">
        <f>IFERROR(VLOOKUP(C794,customer_lookup!$A:$E,5,FALSE),"")</f>
        <v>Riley</v>
      </c>
      <c r="G794" s="17" t="s">
        <v>67</v>
      </c>
      <c r="H794" s="17" t="s">
        <v>108</v>
      </c>
      <c r="I794" s="19" t="str">
        <f>IFERROR(VLOOKUP(H794,product_lookup!$A:$D,2,FALSE),"")</f>
        <v>Sour Tangerine THC Gummies</v>
      </c>
      <c r="J794" s="21">
        <v>60.0</v>
      </c>
      <c r="K794" s="22">
        <v>9.84</v>
      </c>
      <c r="L794" s="23">
        <f t="shared" si="1"/>
        <v>590.4</v>
      </c>
      <c r="M794" s="17" t="s">
        <v>65</v>
      </c>
      <c r="N794" s="18">
        <v>46078.0</v>
      </c>
      <c r="O794" s="19">
        <f>SUMIF(inventory_snapshot!$B:$B,H794,inventory_snapshot!$E:$E)</f>
        <v>1679</v>
      </c>
      <c r="P794" s="24" t="str">
        <f t="shared" si="2"/>
        <v>OK</v>
      </c>
      <c r="Q794" s="24" t="str">
        <f t="shared" si="3"/>
        <v>OK</v>
      </c>
      <c r="R794" s="24" t="str">
        <f t="shared" si="4"/>
        <v>OK</v>
      </c>
      <c r="S794" s="24" t="str">
        <f t="shared" si="5"/>
        <v>Medium</v>
      </c>
    </row>
    <row r="795" ht="15.75" customHeight="1">
      <c r="A795" s="25" t="s">
        <v>983</v>
      </c>
      <c r="B795" s="26">
        <v>46131.0</v>
      </c>
      <c r="C795" s="25" t="s">
        <v>984</v>
      </c>
      <c r="D795" s="27" t="str">
        <f>IFERROR(VLOOKUP(C795,customer_lookup!$A:$E,2,FALSE),"")</f>
        <v>WA Account 0086</v>
      </c>
      <c r="E795" s="27" t="str">
        <f>IFERROR(VLOOKUP(C795,customer_lookup!$A:$E,3,FALSE),"")</f>
        <v>WA</v>
      </c>
      <c r="F795" s="28" t="str">
        <f>IFERROR(VLOOKUP(C795,customer_lookup!$A:$E,5,FALSE),"")</f>
        <v>Riley</v>
      </c>
      <c r="G795" s="25" t="s">
        <v>89</v>
      </c>
      <c r="H795" s="25" t="s">
        <v>68</v>
      </c>
      <c r="I795" s="27" t="str">
        <f>IFERROR(VLOOKUP(H795,product_lookup!$A:$D,2,FALSE),"")</f>
        <v>Sour Apple THC Gummies</v>
      </c>
      <c r="J795" s="29">
        <v>12.0</v>
      </c>
      <c r="K795" s="30">
        <v>11.12</v>
      </c>
      <c r="L795" s="31">
        <f t="shared" si="1"/>
        <v>133.44</v>
      </c>
      <c r="M795" s="25" t="s">
        <v>75</v>
      </c>
      <c r="N795" s="26">
        <v>46135.0</v>
      </c>
      <c r="O795" s="27">
        <f>SUMIF(inventory_snapshot!$B:$B,H795,inventory_snapshot!$E:$E)</f>
        <v>775</v>
      </c>
      <c r="P795" s="32" t="str">
        <f t="shared" si="2"/>
        <v>OK</v>
      </c>
      <c r="Q795" s="32" t="str">
        <f t="shared" si="3"/>
        <v>OK</v>
      </c>
      <c r="R795" s="32" t="str">
        <f t="shared" si="4"/>
        <v>OK</v>
      </c>
      <c r="S795" s="32" t="str">
        <f t="shared" si="5"/>
        <v>Small</v>
      </c>
    </row>
    <row r="796" ht="15.75" customHeight="1">
      <c r="A796" s="17" t="s">
        <v>985</v>
      </c>
      <c r="B796" s="18">
        <v>46024.0</v>
      </c>
      <c r="C796" s="17" t="s">
        <v>974</v>
      </c>
      <c r="D796" s="19" t="str">
        <f>IFERROR(VLOOKUP(C796,customer_lookup!$A:$E,2,FALSE),"")</f>
        <v>CO Account 0088</v>
      </c>
      <c r="E796" s="19" t="str">
        <f>IFERROR(VLOOKUP(C796,customer_lookup!$A:$E,3,FALSE),"")</f>
        <v>CO</v>
      </c>
      <c r="F796" s="20" t="str">
        <f>IFERROR(VLOOKUP(C796,customer_lookup!$A:$E,5,FALSE),"")</f>
        <v>Riley</v>
      </c>
      <c r="G796" s="17" t="s">
        <v>89</v>
      </c>
      <c r="H796" s="17" t="s">
        <v>74</v>
      </c>
      <c r="I796" s="19" t="str">
        <f>IFERROR(VLOOKUP(H796,product_lookup!$A:$D,2,FALSE),"")</f>
        <v>Strawberry 20:1 Gummies</v>
      </c>
      <c r="J796" s="21">
        <v>6.0</v>
      </c>
      <c r="K796" s="22">
        <v>11.95</v>
      </c>
      <c r="L796" s="23">
        <f t="shared" si="1"/>
        <v>71.7</v>
      </c>
      <c r="M796" s="17" t="s">
        <v>65</v>
      </c>
      <c r="N796" s="18">
        <v>46031.0</v>
      </c>
      <c r="O796" s="19">
        <f>SUMIF(inventory_snapshot!$B:$B,H796,inventory_snapshot!$E:$E)</f>
        <v>2294</v>
      </c>
      <c r="P796" s="24" t="str">
        <f t="shared" si="2"/>
        <v>OK</v>
      </c>
      <c r="Q796" s="24" t="str">
        <f t="shared" si="3"/>
        <v>OK</v>
      </c>
      <c r="R796" s="24" t="str">
        <f t="shared" si="4"/>
        <v>OK</v>
      </c>
      <c r="S796" s="24" t="str">
        <f t="shared" si="5"/>
        <v>Small</v>
      </c>
    </row>
    <row r="797" ht="15.75" customHeight="1">
      <c r="A797" s="25" t="s">
        <v>986</v>
      </c>
      <c r="B797" s="26">
        <v>46077.0</v>
      </c>
      <c r="C797" s="25" t="s">
        <v>950</v>
      </c>
      <c r="D797" s="27" t="str">
        <f>IFERROR(VLOOKUP(C797,customer_lookup!$A:$E,2,FALSE),"")</f>
        <v>WA Account 0050</v>
      </c>
      <c r="E797" s="27" t="str">
        <f>IFERROR(VLOOKUP(C797,customer_lookup!$A:$E,3,FALSE),"")</f>
        <v>WA</v>
      </c>
      <c r="F797" s="28" t="str">
        <f>IFERROR(VLOOKUP(C797,customer_lookup!$A:$E,5,FALSE),"")</f>
        <v>Riley</v>
      </c>
      <c r="G797" s="25" t="s">
        <v>63</v>
      </c>
      <c r="H797" s="25" t="s">
        <v>68</v>
      </c>
      <c r="I797" s="27" t="str">
        <f>IFERROR(VLOOKUP(H797,product_lookup!$A:$D,2,FALSE),"")</f>
        <v>Sour Apple THC Gummies</v>
      </c>
      <c r="J797" s="29">
        <v>36.0</v>
      </c>
      <c r="K797" s="30">
        <v>11.11</v>
      </c>
      <c r="L797" s="31">
        <f t="shared" si="1"/>
        <v>399.96</v>
      </c>
      <c r="M797" s="25" t="s">
        <v>97</v>
      </c>
      <c r="N797" s="26">
        <v>46081.0</v>
      </c>
      <c r="O797" s="27">
        <f>SUMIF(inventory_snapshot!$B:$B,H797,inventory_snapshot!$E:$E)</f>
        <v>775</v>
      </c>
      <c r="P797" s="32" t="str">
        <f t="shared" si="2"/>
        <v>OK</v>
      </c>
      <c r="Q797" s="32" t="str">
        <f t="shared" si="3"/>
        <v>OK</v>
      </c>
      <c r="R797" s="32" t="str">
        <f t="shared" si="4"/>
        <v>OK</v>
      </c>
      <c r="S797" s="32" t="str">
        <f t="shared" si="5"/>
        <v>Small</v>
      </c>
    </row>
    <row r="798" ht="15.75" customHeight="1">
      <c r="A798" s="17" t="s">
        <v>987</v>
      </c>
      <c r="B798" s="18">
        <v>46067.0</v>
      </c>
      <c r="C798" s="17" t="s">
        <v>988</v>
      </c>
      <c r="D798" s="19" t="str">
        <f>IFERROR(VLOOKUP(C798,customer_lookup!$A:$E,2,FALSE),"")</f>
        <v>MO Account 0021</v>
      </c>
      <c r="E798" s="19" t="str">
        <f>IFERROR(VLOOKUP(C798,customer_lookup!$A:$E,3,FALSE),"")</f>
        <v>MO</v>
      </c>
      <c r="F798" s="20" t="str">
        <f>IFERROR(VLOOKUP(C798,customer_lookup!$A:$E,5,FALSE),"")</f>
        <v>Riley</v>
      </c>
      <c r="G798" s="17" t="s">
        <v>63</v>
      </c>
      <c r="H798" s="17" t="s">
        <v>90</v>
      </c>
      <c r="I798" s="19" t="str">
        <f>IFERROR(VLOOKUP(H798,product_lookup!$A:$D,2,FALSE),"")</f>
        <v>Blackberry Sparkling Beverage</v>
      </c>
      <c r="J798" s="21">
        <v>72.0</v>
      </c>
      <c r="K798" s="22">
        <v>7.53</v>
      </c>
      <c r="L798" s="23">
        <f t="shared" si="1"/>
        <v>542.16</v>
      </c>
      <c r="M798" s="17" t="s">
        <v>65</v>
      </c>
      <c r="N798" s="18">
        <v>46073.0</v>
      </c>
      <c r="O798" s="19">
        <f>SUMIF(inventory_snapshot!$B:$B,H798,inventory_snapshot!$E:$E)</f>
        <v>1292</v>
      </c>
      <c r="P798" s="24" t="str">
        <f t="shared" si="2"/>
        <v>OK</v>
      </c>
      <c r="Q798" s="24" t="str">
        <f t="shared" si="3"/>
        <v>OK</v>
      </c>
      <c r="R798" s="24" t="str">
        <f t="shared" si="4"/>
        <v>OK</v>
      </c>
      <c r="S798" s="24" t="str">
        <f t="shared" si="5"/>
        <v>Medium</v>
      </c>
    </row>
    <row r="799" ht="15.75" customHeight="1">
      <c r="A799" s="25" t="s">
        <v>989</v>
      </c>
      <c r="B799" s="26">
        <v>46121.0</v>
      </c>
      <c r="C799" s="25" t="s">
        <v>980</v>
      </c>
      <c r="D799" s="27" t="str">
        <f>IFERROR(VLOOKUP(C799,customer_lookup!$A:$E,2,FALSE),"")</f>
        <v>NY Account 0035</v>
      </c>
      <c r="E799" s="27" t="str">
        <f>IFERROR(VLOOKUP(C799,customer_lookup!$A:$E,3,FALSE),"")</f>
        <v>NY</v>
      </c>
      <c r="F799" s="28" t="str">
        <f>IFERROR(VLOOKUP(C799,customer_lookup!$A:$E,5,FALSE),"")</f>
        <v>Riley</v>
      </c>
      <c r="G799" s="25" t="s">
        <v>63</v>
      </c>
      <c r="H799" s="25" t="s">
        <v>78</v>
      </c>
      <c r="I799" s="27" t="str">
        <f>IFERROR(VLOOKUP(H799,product_lookup!$A:$D,2,FALSE),"")</f>
        <v>Grapefruit 1:1:1 Gummies</v>
      </c>
      <c r="J799" s="29">
        <v>6.0</v>
      </c>
      <c r="K799" s="30">
        <v>10.4</v>
      </c>
      <c r="L799" s="31">
        <f t="shared" si="1"/>
        <v>62.4</v>
      </c>
      <c r="M799" s="25" t="s">
        <v>75</v>
      </c>
      <c r="N799" s="26">
        <v>46126.0</v>
      </c>
      <c r="O799" s="27">
        <f>SUMIF(inventory_snapshot!$B:$B,H799,inventory_snapshot!$E:$E)</f>
        <v>1751</v>
      </c>
      <c r="P799" s="32" t="str">
        <f t="shared" si="2"/>
        <v>OK</v>
      </c>
      <c r="Q799" s="32" t="str">
        <f t="shared" si="3"/>
        <v>OK</v>
      </c>
      <c r="R799" s="32" t="str">
        <f t="shared" si="4"/>
        <v>OK</v>
      </c>
      <c r="S799" s="32" t="str">
        <f t="shared" si="5"/>
        <v>Small</v>
      </c>
    </row>
    <row r="800" ht="15.75" customHeight="1">
      <c r="A800" s="17" t="s">
        <v>990</v>
      </c>
      <c r="B800" s="18">
        <v>46045.0</v>
      </c>
      <c r="C800" s="17" t="s">
        <v>950</v>
      </c>
      <c r="D800" s="19" t="str">
        <f>IFERROR(VLOOKUP(C800,customer_lookup!$A:$E,2,FALSE),"")</f>
        <v>WA Account 0050</v>
      </c>
      <c r="E800" s="19" t="str">
        <f>IFERROR(VLOOKUP(C800,customer_lookup!$A:$E,3,FALSE),"")</f>
        <v>WA</v>
      </c>
      <c r="F800" s="20" t="str">
        <f>IFERROR(VLOOKUP(C800,customer_lookup!$A:$E,5,FALSE),"")</f>
        <v>Riley</v>
      </c>
      <c r="G800" s="17" t="s">
        <v>67</v>
      </c>
      <c r="H800" s="17" t="s">
        <v>85</v>
      </c>
      <c r="I800" s="19" t="str">
        <f>IFERROR(VLOOKUP(H800,product_lookup!$A:$D,2,FALSE),"")</f>
        <v>Huckleberry THC Gummies</v>
      </c>
      <c r="J800" s="21">
        <v>6.0</v>
      </c>
      <c r="K800" s="22">
        <v>10.36</v>
      </c>
      <c r="L800" s="23">
        <f t="shared" si="1"/>
        <v>62.16</v>
      </c>
      <c r="M800" s="17" t="s">
        <v>93</v>
      </c>
      <c r="N800" s="18">
        <v>46052.0</v>
      </c>
      <c r="O800" s="19">
        <f>SUMIF(inventory_snapshot!$B:$B,H800,inventory_snapshot!$E:$E)</f>
        <v>1841</v>
      </c>
      <c r="P800" s="24" t="str">
        <f t="shared" si="2"/>
        <v>OK</v>
      </c>
      <c r="Q800" s="24" t="str">
        <f t="shared" si="3"/>
        <v>OK</v>
      </c>
      <c r="R800" s="24" t="str">
        <f t="shared" si="4"/>
        <v>OK</v>
      </c>
      <c r="S800" s="24" t="str">
        <f t="shared" si="5"/>
        <v>Small</v>
      </c>
    </row>
    <row r="801" ht="15.75" customHeight="1">
      <c r="A801" s="25" t="s">
        <v>991</v>
      </c>
      <c r="B801" s="26">
        <v>46065.0</v>
      </c>
      <c r="C801" s="25" t="s">
        <v>955</v>
      </c>
      <c r="D801" s="27" t="str">
        <f>IFERROR(VLOOKUP(C801,customer_lookup!$A:$E,2,FALSE),"")</f>
        <v>AZ Account 0113</v>
      </c>
      <c r="E801" s="27" t="str">
        <f>IFERROR(VLOOKUP(C801,customer_lookup!$A:$E,3,FALSE),"")</f>
        <v>AZ</v>
      </c>
      <c r="F801" s="28" t="str">
        <f>IFERROR(VLOOKUP(C801,customer_lookup!$A:$E,5,FALSE),"")</f>
        <v>Riley</v>
      </c>
      <c r="G801" s="25" t="s">
        <v>67</v>
      </c>
      <c r="H801" s="25" t="s">
        <v>156</v>
      </c>
      <c r="I801" s="27" t="str">
        <f>IFERROR(VLOOKUP(H801,product_lookup!$A:$D,2,FALSE),"")</f>
        <v>Blood Orange 1:1 Gummies</v>
      </c>
      <c r="J801" s="29">
        <v>6.0</v>
      </c>
      <c r="K801" s="30">
        <v>10.52</v>
      </c>
      <c r="L801" s="31">
        <f t="shared" si="1"/>
        <v>63.12</v>
      </c>
      <c r="M801" s="25" t="s">
        <v>75</v>
      </c>
      <c r="N801" s="26">
        <v>46070.0</v>
      </c>
      <c r="O801" s="27">
        <f>SUMIF(inventory_snapshot!$B:$B,H801,inventory_snapshot!$E:$E)</f>
        <v>1589</v>
      </c>
      <c r="P801" s="32" t="str">
        <f t="shared" si="2"/>
        <v>OK</v>
      </c>
      <c r="Q801" s="32" t="str">
        <f t="shared" si="3"/>
        <v>OK</v>
      </c>
      <c r="R801" s="32" t="str">
        <f t="shared" si="4"/>
        <v>OK</v>
      </c>
      <c r="S801" s="32" t="str">
        <f t="shared" si="5"/>
        <v>Small</v>
      </c>
    </row>
    <row r="802" ht="15.75" customHeight="1">
      <c r="A802" s="17" t="s">
        <v>992</v>
      </c>
      <c r="B802" s="18">
        <v>46127.0</v>
      </c>
      <c r="C802" s="17" t="s">
        <v>980</v>
      </c>
      <c r="D802" s="19" t="str">
        <f>IFERROR(VLOOKUP(C802,customer_lookup!$A:$E,2,FALSE),"")</f>
        <v>NY Account 0035</v>
      </c>
      <c r="E802" s="19" t="str">
        <f>IFERROR(VLOOKUP(C802,customer_lookup!$A:$E,3,FALSE),"")</f>
        <v>NY</v>
      </c>
      <c r="F802" s="20" t="str">
        <f>IFERROR(VLOOKUP(C802,customer_lookup!$A:$E,5,FALSE),"")</f>
        <v>Riley</v>
      </c>
      <c r="G802" s="17" t="s">
        <v>63</v>
      </c>
      <c r="H802" s="17" t="s">
        <v>81</v>
      </c>
      <c r="I802" s="19" t="str">
        <f>IFERROR(VLOOKUP(H802,product_lookup!$A:$D,2,FALSE),"")</f>
        <v>Lemon Sparkling Beverage</v>
      </c>
      <c r="J802" s="21">
        <v>6.0</v>
      </c>
      <c r="K802" s="22">
        <v>7.63</v>
      </c>
      <c r="L802" s="23">
        <f t="shared" si="1"/>
        <v>45.78</v>
      </c>
      <c r="M802" s="17" t="s">
        <v>93</v>
      </c>
      <c r="N802" s="18">
        <v>46134.0</v>
      </c>
      <c r="O802" s="19">
        <f>SUMIF(inventory_snapshot!$B:$B,H802,inventory_snapshot!$E:$E)</f>
        <v>1360</v>
      </c>
      <c r="P802" s="24" t="str">
        <f t="shared" si="2"/>
        <v>OK</v>
      </c>
      <c r="Q802" s="24" t="str">
        <f t="shared" si="3"/>
        <v>OK</v>
      </c>
      <c r="R802" s="24" t="str">
        <f t="shared" si="4"/>
        <v>OK</v>
      </c>
      <c r="S802" s="24" t="str">
        <f t="shared" si="5"/>
        <v>Small</v>
      </c>
    </row>
    <row r="803" ht="15.75" customHeight="1">
      <c r="A803" s="25" t="s">
        <v>993</v>
      </c>
      <c r="B803" s="26">
        <v>46041.0</v>
      </c>
      <c r="C803" s="25" t="s">
        <v>953</v>
      </c>
      <c r="D803" s="27" t="str">
        <f>IFERROR(VLOOKUP(C803,customer_lookup!$A:$E,2,FALSE),"")</f>
        <v>OR Account 0073</v>
      </c>
      <c r="E803" s="27" t="str">
        <f>IFERROR(VLOOKUP(C803,customer_lookup!$A:$E,3,FALSE),"")</f>
        <v>OR</v>
      </c>
      <c r="F803" s="28" t="str">
        <f>IFERROR(VLOOKUP(C803,customer_lookup!$A:$E,5,FALSE),"")</f>
        <v>Riley</v>
      </c>
      <c r="G803" s="25" t="s">
        <v>89</v>
      </c>
      <c r="H803" s="25" t="s">
        <v>64</v>
      </c>
      <c r="I803" s="27" t="str">
        <f>IFERROR(VLOOKUP(H803,product_lookup!$A:$D,2,FALSE),"")</f>
        <v>Cranberry Sparkling Beverage</v>
      </c>
      <c r="J803" s="29">
        <v>96.0</v>
      </c>
      <c r="K803" s="30">
        <v>8.44</v>
      </c>
      <c r="L803" s="31">
        <f t="shared" si="1"/>
        <v>810.24</v>
      </c>
      <c r="M803" s="25" t="s">
        <v>65</v>
      </c>
      <c r="N803" s="26">
        <v>46049.0</v>
      </c>
      <c r="O803" s="27">
        <f>SUMIF(inventory_snapshot!$B:$B,H803,inventory_snapshot!$E:$E)</f>
        <v>1152</v>
      </c>
      <c r="P803" s="32" t="str">
        <f t="shared" si="2"/>
        <v>OK</v>
      </c>
      <c r="Q803" s="32" t="str">
        <f t="shared" si="3"/>
        <v>OK</v>
      </c>
      <c r="R803" s="32" t="str">
        <f t="shared" si="4"/>
        <v>OK</v>
      </c>
      <c r="S803" s="32" t="str">
        <f t="shared" si="5"/>
        <v>Medium</v>
      </c>
    </row>
    <row r="804" ht="15.75" customHeight="1">
      <c r="A804" s="17" t="s">
        <v>994</v>
      </c>
      <c r="B804" s="18">
        <v>46123.0</v>
      </c>
      <c r="C804" s="17" t="s">
        <v>963</v>
      </c>
      <c r="D804" s="19" t="str">
        <f>IFERROR(VLOOKUP(C804,customer_lookup!$A:$E,2,FALSE),"")</f>
        <v>MO Account 0045</v>
      </c>
      <c r="E804" s="19" t="str">
        <f>IFERROR(VLOOKUP(C804,customer_lookup!$A:$E,3,FALSE),"")</f>
        <v>MO</v>
      </c>
      <c r="F804" s="20" t="str">
        <f>IFERROR(VLOOKUP(C804,customer_lookup!$A:$E,5,FALSE),"")</f>
        <v>Riley</v>
      </c>
      <c r="G804" s="17" t="s">
        <v>63</v>
      </c>
      <c r="H804" s="17" t="s">
        <v>115</v>
      </c>
      <c r="I804" s="19" t="str">
        <f>IFERROR(VLOOKUP(H804,product_lookup!$A:$D,2,FALSE),"")</f>
        <v>Pear 1:1 Gummies</v>
      </c>
      <c r="J804" s="21">
        <v>12.0</v>
      </c>
      <c r="K804" s="22">
        <v>11.75</v>
      </c>
      <c r="L804" s="23">
        <f t="shared" si="1"/>
        <v>141</v>
      </c>
      <c r="M804" s="17" t="s">
        <v>100</v>
      </c>
      <c r="N804" s="18">
        <v>46130.0</v>
      </c>
      <c r="O804" s="19">
        <f>SUMIF(inventory_snapshot!$B:$B,H804,inventory_snapshot!$E:$E)</f>
        <v>981</v>
      </c>
      <c r="P804" s="24" t="str">
        <f t="shared" si="2"/>
        <v>OK</v>
      </c>
      <c r="Q804" s="24" t="str">
        <f t="shared" si="3"/>
        <v>OK</v>
      </c>
      <c r="R804" s="24" t="str">
        <f t="shared" si="4"/>
        <v>OK</v>
      </c>
      <c r="S804" s="24" t="str">
        <f t="shared" si="5"/>
        <v>Small</v>
      </c>
    </row>
    <row r="805" ht="15.75" customHeight="1">
      <c r="A805" s="25" t="s">
        <v>995</v>
      </c>
      <c r="B805" s="26">
        <v>46032.0</v>
      </c>
      <c r="C805" s="25" t="s">
        <v>988</v>
      </c>
      <c r="D805" s="27" t="str">
        <f>IFERROR(VLOOKUP(C805,customer_lookup!$A:$E,2,FALSE),"")</f>
        <v>MO Account 0021</v>
      </c>
      <c r="E805" s="27" t="str">
        <f>IFERROR(VLOOKUP(C805,customer_lookup!$A:$E,3,FALSE),"")</f>
        <v>MO</v>
      </c>
      <c r="F805" s="28" t="str">
        <f>IFERROR(VLOOKUP(C805,customer_lookup!$A:$E,5,FALSE),"")</f>
        <v>Riley</v>
      </c>
      <c r="G805" s="25" t="s">
        <v>89</v>
      </c>
      <c r="H805" s="25" t="s">
        <v>74</v>
      </c>
      <c r="I805" s="27" t="str">
        <f>IFERROR(VLOOKUP(H805,product_lookup!$A:$D,2,FALSE),"")</f>
        <v>Strawberry 20:1 Gummies</v>
      </c>
      <c r="J805" s="29">
        <v>6.0</v>
      </c>
      <c r="K805" s="30">
        <v>11.03</v>
      </c>
      <c r="L805" s="31">
        <f t="shared" si="1"/>
        <v>66.18</v>
      </c>
      <c r="M805" s="25" t="s">
        <v>97</v>
      </c>
      <c r="N805" s="26">
        <v>46034.0</v>
      </c>
      <c r="O805" s="27">
        <f>SUMIF(inventory_snapshot!$B:$B,H805,inventory_snapshot!$E:$E)</f>
        <v>2294</v>
      </c>
      <c r="P805" s="32" t="str">
        <f t="shared" si="2"/>
        <v>OK</v>
      </c>
      <c r="Q805" s="32" t="str">
        <f t="shared" si="3"/>
        <v>OK</v>
      </c>
      <c r="R805" s="32" t="str">
        <f t="shared" si="4"/>
        <v>OK</v>
      </c>
      <c r="S805" s="32" t="str">
        <f t="shared" si="5"/>
        <v>Small</v>
      </c>
    </row>
    <row r="806" ht="15.75" customHeight="1">
      <c r="A806" s="17" t="s">
        <v>996</v>
      </c>
      <c r="B806" s="18">
        <v>46093.0</v>
      </c>
      <c r="C806" s="17" t="s">
        <v>988</v>
      </c>
      <c r="D806" s="19" t="str">
        <f>IFERROR(VLOOKUP(C806,customer_lookup!$A:$E,2,FALSE),"")</f>
        <v>MO Account 0021</v>
      </c>
      <c r="E806" s="19" t="str">
        <f>IFERROR(VLOOKUP(C806,customer_lookup!$A:$E,3,FALSE),"")</f>
        <v>MO</v>
      </c>
      <c r="F806" s="20" t="str">
        <f>IFERROR(VLOOKUP(C806,customer_lookup!$A:$E,5,FALSE),"")</f>
        <v>Riley</v>
      </c>
      <c r="G806" s="17" t="s">
        <v>89</v>
      </c>
      <c r="H806" s="17" t="s">
        <v>110</v>
      </c>
      <c r="I806" s="19" t="str">
        <f>IFERROR(VLOOKUP(H806,product_lookup!$A:$D,2,FALSE),"")</f>
        <v>Elderberry 2:1 Gummies</v>
      </c>
      <c r="J806" s="21">
        <v>12.0</v>
      </c>
      <c r="K806" s="22">
        <v>10.64</v>
      </c>
      <c r="L806" s="23">
        <f t="shared" si="1"/>
        <v>127.68</v>
      </c>
      <c r="M806" s="17" t="s">
        <v>93</v>
      </c>
      <c r="N806" s="18">
        <v>46094.0</v>
      </c>
      <c r="O806" s="19">
        <f>SUMIF(inventory_snapshot!$B:$B,H806,inventory_snapshot!$E:$E)</f>
        <v>1633</v>
      </c>
      <c r="P806" s="24" t="str">
        <f t="shared" si="2"/>
        <v>OK</v>
      </c>
      <c r="Q806" s="24" t="str">
        <f t="shared" si="3"/>
        <v>OK</v>
      </c>
      <c r="R806" s="24" t="str">
        <f t="shared" si="4"/>
        <v>OK</v>
      </c>
      <c r="S806" s="24" t="str">
        <f t="shared" si="5"/>
        <v>Small</v>
      </c>
    </row>
    <row r="807" ht="15.75" customHeight="1">
      <c r="A807" s="25" t="s">
        <v>997</v>
      </c>
      <c r="B807" s="26">
        <v>46042.0</v>
      </c>
      <c r="C807" s="25" t="s">
        <v>953</v>
      </c>
      <c r="D807" s="27" t="str">
        <f>IFERROR(VLOOKUP(C807,customer_lookup!$A:$E,2,FALSE),"")</f>
        <v>OR Account 0073</v>
      </c>
      <c r="E807" s="27" t="str">
        <f>IFERROR(VLOOKUP(C807,customer_lookup!$A:$E,3,FALSE),"")</f>
        <v>OR</v>
      </c>
      <c r="F807" s="28" t="str">
        <f>IFERROR(VLOOKUP(C807,customer_lookup!$A:$E,5,FALSE),"")</f>
        <v>Riley</v>
      </c>
      <c r="G807" s="25" t="s">
        <v>89</v>
      </c>
      <c r="H807" s="25" t="s">
        <v>95</v>
      </c>
      <c r="I807" s="27" t="str">
        <f>IFERROR(VLOOKUP(H807,product_lookup!$A:$D,2,FALSE),"")</f>
        <v>Boysenberry 1:1:1 Gummies</v>
      </c>
      <c r="J807" s="29">
        <v>120.0</v>
      </c>
      <c r="K807" s="30">
        <v>9.65</v>
      </c>
      <c r="L807" s="31">
        <f t="shared" si="1"/>
        <v>1158</v>
      </c>
      <c r="M807" s="25" t="s">
        <v>65</v>
      </c>
      <c r="N807" s="26">
        <v>46049.0</v>
      </c>
      <c r="O807" s="27">
        <f>SUMIF(inventory_snapshot!$B:$B,H807,inventory_snapshot!$E:$E)</f>
        <v>2007</v>
      </c>
      <c r="P807" s="32" t="str">
        <f t="shared" si="2"/>
        <v>OK</v>
      </c>
      <c r="Q807" s="32" t="str">
        <f t="shared" si="3"/>
        <v>OK</v>
      </c>
      <c r="R807" s="32" t="str">
        <f t="shared" si="4"/>
        <v>OK</v>
      </c>
      <c r="S807" s="32" t="str">
        <f t="shared" si="5"/>
        <v>Large</v>
      </c>
    </row>
    <row r="808" ht="15.75" customHeight="1">
      <c r="A808" s="17" t="s">
        <v>998</v>
      </c>
      <c r="B808" s="18">
        <v>46041.0</v>
      </c>
      <c r="C808" s="17" t="s">
        <v>999</v>
      </c>
      <c r="D808" s="19" t="str">
        <f>IFERROR(VLOOKUP(C808,customer_lookup!$A:$E,2,FALSE),"")</f>
        <v>OK Account 0036</v>
      </c>
      <c r="E808" s="19" t="str">
        <f>IFERROR(VLOOKUP(C808,customer_lookup!$A:$E,3,FALSE),"")</f>
        <v>OK</v>
      </c>
      <c r="F808" s="20" t="str">
        <f>IFERROR(VLOOKUP(C808,customer_lookup!$A:$E,5,FALSE),"")</f>
        <v>Riley</v>
      </c>
      <c r="G808" s="17" t="s">
        <v>63</v>
      </c>
      <c r="H808" s="17" t="s">
        <v>106</v>
      </c>
      <c r="I808" s="19" t="str">
        <f>IFERROR(VLOOKUP(H808,product_lookup!$A:$D,2,FALSE),"")</f>
        <v>Sour Cherry THC Gummies</v>
      </c>
      <c r="J808" s="21">
        <v>96.0</v>
      </c>
      <c r="K808" s="22">
        <v>10.98</v>
      </c>
      <c r="L808" s="23">
        <f t="shared" si="1"/>
        <v>1054.08</v>
      </c>
      <c r="M808" s="17" t="s">
        <v>65</v>
      </c>
      <c r="N808" s="18">
        <v>46047.0</v>
      </c>
      <c r="O808" s="19">
        <f>SUMIF(inventory_snapshot!$B:$B,H808,inventory_snapshot!$E:$E)</f>
        <v>1313</v>
      </c>
      <c r="P808" s="24" t="str">
        <f t="shared" si="2"/>
        <v>OK</v>
      </c>
      <c r="Q808" s="24" t="str">
        <f t="shared" si="3"/>
        <v>OK</v>
      </c>
      <c r="R808" s="24" t="str">
        <f t="shared" si="4"/>
        <v>OK</v>
      </c>
      <c r="S808" s="24" t="str">
        <f t="shared" si="5"/>
        <v>Large</v>
      </c>
    </row>
    <row r="809" ht="15.75" customHeight="1">
      <c r="A809" s="25" t="s">
        <v>1000</v>
      </c>
      <c r="B809" s="26">
        <v>46134.0</v>
      </c>
      <c r="C809" s="25" t="s">
        <v>974</v>
      </c>
      <c r="D809" s="27" t="str">
        <f>IFERROR(VLOOKUP(C809,customer_lookup!$A:$E,2,FALSE),"")</f>
        <v>CO Account 0088</v>
      </c>
      <c r="E809" s="27" t="str">
        <f>IFERROR(VLOOKUP(C809,customer_lookup!$A:$E,3,FALSE),"")</f>
        <v>CO</v>
      </c>
      <c r="F809" s="28" t="str">
        <f>IFERROR(VLOOKUP(C809,customer_lookup!$A:$E,5,FALSE),"")</f>
        <v>Riley</v>
      </c>
      <c r="G809" s="25" t="s">
        <v>63</v>
      </c>
      <c r="H809" s="25" t="s">
        <v>78</v>
      </c>
      <c r="I809" s="27" t="str">
        <f>IFERROR(VLOOKUP(H809,product_lookup!$A:$D,2,FALSE),"")</f>
        <v>Grapefruit 1:1:1 Gummies</v>
      </c>
      <c r="J809" s="29">
        <v>24.0</v>
      </c>
      <c r="K809" s="30">
        <v>9.96</v>
      </c>
      <c r="L809" s="31">
        <f t="shared" si="1"/>
        <v>239.04</v>
      </c>
      <c r="M809" s="25" t="s">
        <v>93</v>
      </c>
      <c r="N809" s="26">
        <v>46140.0</v>
      </c>
      <c r="O809" s="27">
        <f>SUMIF(inventory_snapshot!$B:$B,H809,inventory_snapshot!$E:$E)</f>
        <v>1751</v>
      </c>
      <c r="P809" s="32" t="str">
        <f t="shared" si="2"/>
        <v>OK</v>
      </c>
      <c r="Q809" s="32" t="str">
        <f t="shared" si="3"/>
        <v>OK</v>
      </c>
      <c r="R809" s="32" t="str">
        <f t="shared" si="4"/>
        <v>OK</v>
      </c>
      <c r="S809" s="32" t="str">
        <f t="shared" si="5"/>
        <v>Small</v>
      </c>
    </row>
    <row r="810" ht="15.75" customHeight="1">
      <c r="A810" s="17" t="s">
        <v>1001</v>
      </c>
      <c r="B810" s="18">
        <v>46047.0</v>
      </c>
      <c r="C810" s="17" t="s">
        <v>968</v>
      </c>
      <c r="D810" s="19" t="str">
        <f>IFERROR(VLOOKUP(C810,customer_lookup!$A:$E,2,FALSE),"")</f>
        <v>NY Account 0083</v>
      </c>
      <c r="E810" s="19" t="str">
        <f>IFERROR(VLOOKUP(C810,customer_lookup!$A:$E,3,FALSE),"")</f>
        <v>NY</v>
      </c>
      <c r="F810" s="20" t="str">
        <f>IFERROR(VLOOKUP(C810,customer_lookup!$A:$E,5,FALSE),"")</f>
        <v>Riley</v>
      </c>
      <c r="G810" s="17" t="s">
        <v>67</v>
      </c>
      <c r="H810" s="17" t="s">
        <v>110</v>
      </c>
      <c r="I810" s="19" t="str">
        <f>IFERROR(VLOOKUP(H810,product_lookup!$A:$D,2,FALSE),"")</f>
        <v>Elderberry 2:1 Gummies</v>
      </c>
      <c r="J810" s="21">
        <v>60.0</v>
      </c>
      <c r="K810" s="22">
        <v>10.37</v>
      </c>
      <c r="L810" s="23">
        <f t="shared" si="1"/>
        <v>622.2</v>
      </c>
      <c r="M810" s="17" t="s">
        <v>65</v>
      </c>
      <c r="N810" s="18">
        <v>46056.0</v>
      </c>
      <c r="O810" s="19">
        <f>SUMIF(inventory_snapshot!$B:$B,H810,inventory_snapshot!$E:$E)</f>
        <v>1633</v>
      </c>
      <c r="P810" s="24" t="str">
        <f t="shared" si="2"/>
        <v>OK</v>
      </c>
      <c r="Q810" s="24" t="str">
        <f t="shared" si="3"/>
        <v>OK</v>
      </c>
      <c r="R810" s="24" t="str">
        <f t="shared" si="4"/>
        <v>OK</v>
      </c>
      <c r="S810" s="24" t="str">
        <f t="shared" si="5"/>
        <v>Medium</v>
      </c>
    </row>
    <row r="811" ht="15.75" customHeight="1">
      <c r="A811" s="25" t="s">
        <v>1002</v>
      </c>
      <c r="B811" s="26">
        <v>46122.0</v>
      </c>
      <c r="C811" s="25" t="s">
        <v>988</v>
      </c>
      <c r="D811" s="27" t="str">
        <f>IFERROR(VLOOKUP(C811,customer_lookup!$A:$E,2,FALSE),"")</f>
        <v>MO Account 0021</v>
      </c>
      <c r="E811" s="27" t="str">
        <f>IFERROR(VLOOKUP(C811,customer_lookup!$A:$E,3,FALSE),"")</f>
        <v>MO</v>
      </c>
      <c r="F811" s="28" t="str">
        <f>IFERROR(VLOOKUP(C811,customer_lookup!$A:$E,5,FALSE),"")</f>
        <v>Riley</v>
      </c>
      <c r="G811" s="25" t="s">
        <v>67</v>
      </c>
      <c r="H811" s="25" t="s">
        <v>64</v>
      </c>
      <c r="I811" s="27" t="str">
        <f>IFERROR(VLOOKUP(H811,product_lookup!$A:$D,2,FALSE),"")</f>
        <v>Cranberry Sparkling Beverage</v>
      </c>
      <c r="J811" s="29">
        <v>24.0</v>
      </c>
      <c r="K811" s="30">
        <v>8.3</v>
      </c>
      <c r="L811" s="31">
        <f t="shared" si="1"/>
        <v>199.2</v>
      </c>
      <c r="M811" s="25" t="s">
        <v>65</v>
      </c>
      <c r="N811" s="26">
        <v>46127.0</v>
      </c>
      <c r="O811" s="27">
        <f>SUMIF(inventory_snapshot!$B:$B,H811,inventory_snapshot!$E:$E)</f>
        <v>1152</v>
      </c>
      <c r="P811" s="32" t="str">
        <f t="shared" si="2"/>
        <v>OK</v>
      </c>
      <c r="Q811" s="32" t="str">
        <f t="shared" si="3"/>
        <v>OK</v>
      </c>
      <c r="R811" s="32" t="str">
        <f t="shared" si="4"/>
        <v>OK</v>
      </c>
      <c r="S811" s="32" t="str">
        <f t="shared" si="5"/>
        <v>Small</v>
      </c>
    </row>
    <row r="812" ht="15.75" customHeight="1">
      <c r="A812" s="17" t="s">
        <v>1003</v>
      </c>
      <c r="B812" s="18">
        <v>46106.0</v>
      </c>
      <c r="C812" s="17" t="s">
        <v>974</v>
      </c>
      <c r="D812" s="19" t="str">
        <f>IFERROR(VLOOKUP(C812,customer_lookup!$A:$E,2,FALSE),"")</f>
        <v>CO Account 0088</v>
      </c>
      <c r="E812" s="19" t="str">
        <f>IFERROR(VLOOKUP(C812,customer_lookup!$A:$E,3,FALSE),"")</f>
        <v>CO</v>
      </c>
      <c r="F812" s="20" t="str">
        <f>IFERROR(VLOOKUP(C812,customer_lookup!$A:$E,5,FALSE),"")</f>
        <v>Riley</v>
      </c>
      <c r="G812" s="17" t="s">
        <v>89</v>
      </c>
      <c r="H812" s="17" t="s">
        <v>92</v>
      </c>
      <c r="I812" s="19" t="str">
        <f>IFERROR(VLOOKUP(H812,product_lookup!$A:$D,2,FALSE),"")</f>
        <v>Raspberry THC Gummies</v>
      </c>
      <c r="J812" s="21">
        <v>12.0</v>
      </c>
      <c r="K812" s="22">
        <v>9.92</v>
      </c>
      <c r="L812" s="23">
        <f t="shared" si="1"/>
        <v>119.04</v>
      </c>
      <c r="M812" s="17" t="s">
        <v>97</v>
      </c>
      <c r="N812" s="18">
        <v>46113.0</v>
      </c>
      <c r="O812" s="19">
        <f>SUMIF(inventory_snapshot!$B:$B,H812,inventory_snapshot!$E:$E)</f>
        <v>1417</v>
      </c>
      <c r="P812" s="24" t="str">
        <f t="shared" si="2"/>
        <v>OK</v>
      </c>
      <c r="Q812" s="24" t="str">
        <f t="shared" si="3"/>
        <v>OK</v>
      </c>
      <c r="R812" s="24" t="str">
        <f t="shared" si="4"/>
        <v>OK</v>
      </c>
      <c r="S812" s="24" t="str">
        <f t="shared" si="5"/>
        <v>Small</v>
      </c>
    </row>
    <row r="813" ht="15.75" customHeight="1">
      <c r="A813" s="25" t="s">
        <v>1004</v>
      </c>
      <c r="B813" s="26">
        <v>46125.0</v>
      </c>
      <c r="C813" s="25" t="s">
        <v>961</v>
      </c>
      <c r="D813" s="27" t="str">
        <f>IFERROR(VLOOKUP(C813,customer_lookup!$A:$E,2,FALSE),"")</f>
        <v>NY Account 0059</v>
      </c>
      <c r="E813" s="27" t="str">
        <f>IFERROR(VLOOKUP(C813,customer_lookup!$A:$E,3,FALSE),"")</f>
        <v>NY</v>
      </c>
      <c r="F813" s="28" t="str">
        <f>IFERROR(VLOOKUP(C813,customer_lookup!$A:$E,5,FALSE),"")</f>
        <v>Riley</v>
      </c>
      <c r="G813" s="25" t="s">
        <v>63</v>
      </c>
      <c r="H813" s="25" t="s">
        <v>74</v>
      </c>
      <c r="I813" s="27" t="str">
        <f>IFERROR(VLOOKUP(H813,product_lookup!$A:$D,2,FALSE),"")</f>
        <v>Strawberry 20:1 Gummies</v>
      </c>
      <c r="J813" s="29">
        <v>96.0</v>
      </c>
      <c r="K813" s="30">
        <v>11.38</v>
      </c>
      <c r="L813" s="31">
        <f t="shared" si="1"/>
        <v>1092.48</v>
      </c>
      <c r="M813" s="25" t="s">
        <v>65</v>
      </c>
      <c r="N813" s="26">
        <v>46127.0</v>
      </c>
      <c r="O813" s="27">
        <f>SUMIF(inventory_snapshot!$B:$B,H813,inventory_snapshot!$E:$E)</f>
        <v>2294</v>
      </c>
      <c r="P813" s="32" t="str">
        <f t="shared" si="2"/>
        <v>OK</v>
      </c>
      <c r="Q813" s="32" t="str">
        <f t="shared" si="3"/>
        <v>OK</v>
      </c>
      <c r="R813" s="32" t="str">
        <f t="shared" si="4"/>
        <v>OK</v>
      </c>
      <c r="S813" s="32" t="str">
        <f t="shared" si="5"/>
        <v>Large</v>
      </c>
    </row>
    <row r="814" ht="15.75" customHeight="1">
      <c r="A814" s="17" t="s">
        <v>1005</v>
      </c>
      <c r="B814" s="18">
        <v>46059.0</v>
      </c>
      <c r="C814" s="17" t="s">
        <v>980</v>
      </c>
      <c r="D814" s="19" t="str">
        <f>IFERROR(VLOOKUP(C814,customer_lookup!$A:$E,2,FALSE),"")</f>
        <v>NY Account 0035</v>
      </c>
      <c r="E814" s="19" t="str">
        <f>IFERROR(VLOOKUP(C814,customer_lookup!$A:$E,3,FALSE),"")</f>
        <v>NY</v>
      </c>
      <c r="F814" s="20" t="str">
        <f>IFERROR(VLOOKUP(C814,customer_lookup!$A:$E,5,FALSE),"")</f>
        <v>Riley</v>
      </c>
      <c r="G814" s="17" t="s">
        <v>67</v>
      </c>
      <c r="H814" s="17" t="s">
        <v>154</v>
      </c>
      <c r="I814" s="19" t="str">
        <f>IFERROR(VLOOKUP(H814,product_lookup!$A:$D,2,FALSE),"")</f>
        <v>Kiwi 1:1 Gummies</v>
      </c>
      <c r="J814" s="21">
        <v>120.0</v>
      </c>
      <c r="K814" s="22">
        <v>10.21</v>
      </c>
      <c r="L814" s="23">
        <f t="shared" si="1"/>
        <v>1225.2</v>
      </c>
      <c r="M814" s="17" t="s">
        <v>65</v>
      </c>
      <c r="N814" s="18">
        <v>46064.0</v>
      </c>
      <c r="O814" s="19">
        <f>SUMIF(inventory_snapshot!$B:$B,H814,inventory_snapshot!$E:$E)</f>
        <v>1136</v>
      </c>
      <c r="P814" s="24" t="str">
        <f t="shared" si="2"/>
        <v>OK</v>
      </c>
      <c r="Q814" s="24" t="str">
        <f t="shared" si="3"/>
        <v>OK</v>
      </c>
      <c r="R814" s="24" t="str">
        <f t="shared" si="4"/>
        <v>OK</v>
      </c>
      <c r="S814" s="24" t="str">
        <f t="shared" si="5"/>
        <v>Large</v>
      </c>
    </row>
    <row r="815" ht="15.75" customHeight="1">
      <c r="A815" s="25" t="s">
        <v>1006</v>
      </c>
      <c r="B815" s="26">
        <v>46111.0</v>
      </c>
      <c r="C815" s="25" t="s">
        <v>957</v>
      </c>
      <c r="D815" s="27" t="str">
        <f>IFERROR(VLOOKUP(C815,customer_lookup!$A:$E,2,FALSE),"")</f>
        <v>NV Account 0102</v>
      </c>
      <c r="E815" s="27" t="str">
        <f>IFERROR(VLOOKUP(C815,customer_lookup!$A:$E,3,FALSE),"")</f>
        <v>NV</v>
      </c>
      <c r="F815" s="28" t="str">
        <f>IFERROR(VLOOKUP(C815,customer_lookup!$A:$E,5,FALSE),"")</f>
        <v>Riley</v>
      </c>
      <c r="G815" s="25" t="s">
        <v>63</v>
      </c>
      <c r="H815" s="25" t="s">
        <v>102</v>
      </c>
      <c r="I815" s="27" t="str">
        <f>IFERROR(VLOOKUP(H815,product_lookup!$A:$D,2,FALSE),"")</f>
        <v>Pomegranate 1:1 Gummies</v>
      </c>
      <c r="J815" s="29">
        <v>120.0</v>
      </c>
      <c r="K815" s="30">
        <v>10.0</v>
      </c>
      <c r="L815" s="31">
        <f t="shared" si="1"/>
        <v>1200</v>
      </c>
      <c r="M815" s="25" t="s">
        <v>75</v>
      </c>
      <c r="N815" s="26">
        <v>46117.0</v>
      </c>
      <c r="O815" s="27">
        <f>SUMIF(inventory_snapshot!$B:$B,H815,inventory_snapshot!$E:$E)</f>
        <v>1493</v>
      </c>
      <c r="P815" s="32" t="str">
        <f t="shared" si="2"/>
        <v>OK</v>
      </c>
      <c r="Q815" s="32" t="str">
        <f t="shared" si="3"/>
        <v>OK</v>
      </c>
      <c r="R815" s="32" t="str">
        <f t="shared" si="4"/>
        <v>OK</v>
      </c>
      <c r="S815" s="32" t="str">
        <f t="shared" si="5"/>
        <v>Large</v>
      </c>
    </row>
    <row r="816" ht="15.75" customHeight="1">
      <c r="A816" s="17" t="s">
        <v>1007</v>
      </c>
      <c r="B816" s="18">
        <v>46119.0</v>
      </c>
      <c r="C816" s="17" t="s">
        <v>968</v>
      </c>
      <c r="D816" s="19" t="str">
        <f>IFERROR(VLOOKUP(C816,customer_lookup!$A:$E,2,FALSE),"")</f>
        <v>NY Account 0083</v>
      </c>
      <c r="E816" s="19" t="str">
        <f>IFERROR(VLOOKUP(C816,customer_lookup!$A:$E,3,FALSE),"")</f>
        <v>NY</v>
      </c>
      <c r="F816" s="20" t="str">
        <f>IFERROR(VLOOKUP(C816,customer_lookup!$A:$E,5,FALSE),"")</f>
        <v>Riley</v>
      </c>
      <c r="G816" s="17" t="s">
        <v>67</v>
      </c>
      <c r="H816" s="17" t="s">
        <v>68</v>
      </c>
      <c r="I816" s="19" t="str">
        <f>IFERROR(VLOOKUP(H816,product_lookup!$A:$D,2,FALSE),"")</f>
        <v>Sour Apple THC Gummies</v>
      </c>
      <c r="J816" s="21">
        <v>96.0</v>
      </c>
      <c r="K816" s="22">
        <v>10.6</v>
      </c>
      <c r="L816" s="23">
        <f t="shared" si="1"/>
        <v>1017.6</v>
      </c>
      <c r="M816" s="17" t="s">
        <v>65</v>
      </c>
      <c r="N816" s="18">
        <v>46123.0</v>
      </c>
      <c r="O816" s="19">
        <f>SUMIF(inventory_snapshot!$B:$B,H816,inventory_snapshot!$E:$E)</f>
        <v>775</v>
      </c>
      <c r="P816" s="24" t="str">
        <f t="shared" si="2"/>
        <v>OK</v>
      </c>
      <c r="Q816" s="24" t="str">
        <f t="shared" si="3"/>
        <v>OK</v>
      </c>
      <c r="R816" s="24" t="str">
        <f t="shared" si="4"/>
        <v>OK</v>
      </c>
      <c r="S816" s="24" t="str">
        <f t="shared" si="5"/>
        <v>Large</v>
      </c>
    </row>
    <row r="817" ht="15.75" customHeight="1">
      <c r="A817" s="25" t="s">
        <v>1008</v>
      </c>
      <c r="B817" s="26">
        <v>46046.0</v>
      </c>
      <c r="C817" s="25" t="s">
        <v>974</v>
      </c>
      <c r="D817" s="27" t="str">
        <f>IFERROR(VLOOKUP(C817,customer_lookup!$A:$E,2,FALSE),"")</f>
        <v>CO Account 0088</v>
      </c>
      <c r="E817" s="27" t="str">
        <f>IFERROR(VLOOKUP(C817,customer_lookup!$A:$E,3,FALSE),"")</f>
        <v>CO</v>
      </c>
      <c r="F817" s="28" t="str">
        <f>IFERROR(VLOOKUP(C817,customer_lookup!$A:$E,5,FALSE),"")</f>
        <v>Riley</v>
      </c>
      <c r="G817" s="25" t="s">
        <v>63</v>
      </c>
      <c r="H817" s="25" t="s">
        <v>110</v>
      </c>
      <c r="I817" s="27" t="str">
        <f>IFERROR(VLOOKUP(H817,product_lookup!$A:$D,2,FALSE),"")</f>
        <v>Elderberry 2:1 Gummies</v>
      </c>
      <c r="J817" s="29">
        <v>18.0</v>
      </c>
      <c r="K817" s="30">
        <v>11.52</v>
      </c>
      <c r="L817" s="31">
        <f t="shared" si="1"/>
        <v>207.36</v>
      </c>
      <c r="M817" s="25" t="s">
        <v>100</v>
      </c>
      <c r="N817" s="26">
        <v>46051.0</v>
      </c>
      <c r="O817" s="27">
        <f>SUMIF(inventory_snapshot!$B:$B,H817,inventory_snapshot!$E:$E)</f>
        <v>1633</v>
      </c>
      <c r="P817" s="32" t="str">
        <f t="shared" si="2"/>
        <v>OK</v>
      </c>
      <c r="Q817" s="32" t="str">
        <f t="shared" si="3"/>
        <v>OK</v>
      </c>
      <c r="R817" s="32" t="str">
        <f t="shared" si="4"/>
        <v>OK</v>
      </c>
      <c r="S817" s="32" t="str">
        <f t="shared" si="5"/>
        <v>Small</v>
      </c>
    </row>
    <row r="818" ht="15.75" customHeight="1">
      <c r="A818" s="17" t="s">
        <v>1009</v>
      </c>
      <c r="B818" s="18">
        <v>46136.0</v>
      </c>
      <c r="C818" s="17" t="s">
        <v>957</v>
      </c>
      <c r="D818" s="19" t="str">
        <f>IFERROR(VLOOKUP(C818,customer_lookup!$A:$E,2,FALSE),"")</f>
        <v>NV Account 0102</v>
      </c>
      <c r="E818" s="19" t="str">
        <f>IFERROR(VLOOKUP(C818,customer_lookup!$A:$E,3,FALSE),"")</f>
        <v>NV</v>
      </c>
      <c r="F818" s="20" t="str">
        <f>IFERROR(VLOOKUP(C818,customer_lookup!$A:$E,5,FALSE),"")</f>
        <v>Riley</v>
      </c>
      <c r="G818" s="17" t="s">
        <v>63</v>
      </c>
      <c r="H818" s="17" t="s">
        <v>90</v>
      </c>
      <c r="I818" s="19" t="str">
        <f>IFERROR(VLOOKUP(H818,product_lookup!$A:$D,2,FALSE),"")</f>
        <v>Blackberry Sparkling Beverage</v>
      </c>
      <c r="J818" s="21">
        <v>96.0</v>
      </c>
      <c r="K818" s="22">
        <v>6.76</v>
      </c>
      <c r="L818" s="23">
        <f t="shared" si="1"/>
        <v>648.96</v>
      </c>
      <c r="M818" s="17" t="s">
        <v>93</v>
      </c>
      <c r="N818" s="18">
        <v>46140.0</v>
      </c>
      <c r="O818" s="19">
        <f>SUMIF(inventory_snapshot!$B:$B,H818,inventory_snapshot!$E:$E)</f>
        <v>1292</v>
      </c>
      <c r="P818" s="24" t="str">
        <f t="shared" si="2"/>
        <v>OK</v>
      </c>
      <c r="Q818" s="24" t="str">
        <f t="shared" si="3"/>
        <v>OK</v>
      </c>
      <c r="R818" s="24" t="str">
        <f t="shared" si="4"/>
        <v>OK</v>
      </c>
      <c r="S818" s="24" t="str">
        <f t="shared" si="5"/>
        <v>Medium</v>
      </c>
    </row>
    <row r="819" ht="15.75" customHeight="1">
      <c r="A819" s="25" t="s">
        <v>1010</v>
      </c>
      <c r="B819" s="26">
        <v>46058.0</v>
      </c>
      <c r="C819" s="25" t="s">
        <v>965</v>
      </c>
      <c r="D819" s="27" t="str">
        <f>IFERROR(VLOOKUP(C819,customer_lookup!$A:$E,2,FALSE),"")</f>
        <v>NY Account 0047</v>
      </c>
      <c r="E819" s="27" t="str">
        <f>IFERROR(VLOOKUP(C819,customer_lookup!$A:$E,3,FALSE),"")</f>
        <v>NY</v>
      </c>
      <c r="F819" s="28" t="str">
        <f>IFERROR(VLOOKUP(C819,customer_lookup!$A:$E,5,FALSE),"")</f>
        <v>Riley</v>
      </c>
      <c r="G819" s="25" t="s">
        <v>63</v>
      </c>
      <c r="H819" s="25" t="s">
        <v>71</v>
      </c>
      <c r="I819" s="27" t="str">
        <f>IFERROR(VLOOKUP(H819,product_lookup!$A:$D,2,FALSE),"")</f>
        <v>Pineapple Sparkling Beverage</v>
      </c>
      <c r="J819" s="29">
        <v>120.0</v>
      </c>
      <c r="K819" s="30">
        <v>7.59</v>
      </c>
      <c r="L819" s="31">
        <f t="shared" si="1"/>
        <v>910.8</v>
      </c>
      <c r="M819" s="25" t="s">
        <v>97</v>
      </c>
      <c r="N819" s="26">
        <v>46067.0</v>
      </c>
      <c r="O819" s="27">
        <f>SUMIF(inventory_snapshot!$B:$B,H819,inventory_snapshot!$E:$E)</f>
        <v>1145</v>
      </c>
      <c r="P819" s="32" t="str">
        <f t="shared" si="2"/>
        <v>OK</v>
      </c>
      <c r="Q819" s="32" t="str">
        <f t="shared" si="3"/>
        <v>OK</v>
      </c>
      <c r="R819" s="32" t="str">
        <f t="shared" si="4"/>
        <v>OK</v>
      </c>
      <c r="S819" s="32" t="str">
        <f t="shared" si="5"/>
        <v>Medium</v>
      </c>
    </row>
    <row r="820" ht="15.75" customHeight="1">
      <c r="A820" s="17" t="s">
        <v>1011</v>
      </c>
      <c r="B820" s="18">
        <v>46068.0</v>
      </c>
      <c r="C820" s="17" t="s">
        <v>999</v>
      </c>
      <c r="D820" s="19" t="str">
        <f>IFERROR(VLOOKUP(C820,customer_lookup!$A:$E,2,FALSE),"")</f>
        <v>OK Account 0036</v>
      </c>
      <c r="E820" s="19" t="str">
        <f>IFERROR(VLOOKUP(C820,customer_lookup!$A:$E,3,FALSE),"")</f>
        <v>OK</v>
      </c>
      <c r="F820" s="20" t="str">
        <f>IFERROR(VLOOKUP(C820,customer_lookup!$A:$E,5,FALSE),"")</f>
        <v>Riley</v>
      </c>
      <c r="G820" s="17" t="s">
        <v>63</v>
      </c>
      <c r="H820" s="17" t="s">
        <v>106</v>
      </c>
      <c r="I820" s="19" t="str">
        <f>IFERROR(VLOOKUP(H820,product_lookup!$A:$D,2,FALSE),"")</f>
        <v>Sour Cherry THC Gummies</v>
      </c>
      <c r="J820" s="21">
        <v>120.0</v>
      </c>
      <c r="K820" s="22">
        <v>10.52</v>
      </c>
      <c r="L820" s="23">
        <f t="shared" si="1"/>
        <v>1262.4</v>
      </c>
      <c r="M820" s="17" t="s">
        <v>65</v>
      </c>
      <c r="N820" s="18">
        <v>46070.0</v>
      </c>
      <c r="O820" s="19">
        <f>SUMIF(inventory_snapshot!$B:$B,H820,inventory_snapshot!$E:$E)</f>
        <v>1313</v>
      </c>
      <c r="P820" s="24" t="str">
        <f t="shared" si="2"/>
        <v>OK</v>
      </c>
      <c r="Q820" s="24" t="str">
        <f t="shared" si="3"/>
        <v>OK</v>
      </c>
      <c r="R820" s="24" t="str">
        <f t="shared" si="4"/>
        <v>OK</v>
      </c>
      <c r="S820" s="24" t="str">
        <f t="shared" si="5"/>
        <v>Large</v>
      </c>
    </row>
    <row r="821" ht="15.75" customHeight="1">
      <c r="A821" s="25" t="s">
        <v>1012</v>
      </c>
      <c r="B821" s="26">
        <v>46112.0</v>
      </c>
      <c r="C821" s="25" t="s">
        <v>961</v>
      </c>
      <c r="D821" s="27" t="str">
        <f>IFERROR(VLOOKUP(C821,customer_lookup!$A:$E,2,FALSE),"")</f>
        <v>NY Account 0059</v>
      </c>
      <c r="E821" s="27" t="str">
        <f>IFERROR(VLOOKUP(C821,customer_lookup!$A:$E,3,FALSE),"")</f>
        <v>NY</v>
      </c>
      <c r="F821" s="28" t="str">
        <f>IFERROR(VLOOKUP(C821,customer_lookup!$A:$E,5,FALSE),"")</f>
        <v>Riley</v>
      </c>
      <c r="G821" s="25" t="s">
        <v>63</v>
      </c>
      <c r="H821" s="25" t="s">
        <v>78</v>
      </c>
      <c r="I821" s="27" t="str">
        <f>IFERROR(VLOOKUP(H821,product_lookup!$A:$D,2,FALSE),"")</f>
        <v>Grapefruit 1:1:1 Gummies</v>
      </c>
      <c r="J821" s="29">
        <v>72.0</v>
      </c>
      <c r="K821" s="30">
        <v>10.66</v>
      </c>
      <c r="L821" s="31">
        <f t="shared" si="1"/>
        <v>767.52</v>
      </c>
      <c r="M821" s="25" t="s">
        <v>65</v>
      </c>
      <c r="N821" s="26">
        <v>46116.0</v>
      </c>
      <c r="O821" s="27">
        <f>SUMIF(inventory_snapshot!$B:$B,H821,inventory_snapshot!$E:$E)</f>
        <v>1751</v>
      </c>
      <c r="P821" s="32" t="str">
        <f t="shared" si="2"/>
        <v>OK</v>
      </c>
      <c r="Q821" s="32" t="str">
        <f t="shared" si="3"/>
        <v>OK</v>
      </c>
      <c r="R821" s="32" t="str">
        <f t="shared" si="4"/>
        <v>OK</v>
      </c>
      <c r="S821" s="32" t="str">
        <f t="shared" si="5"/>
        <v>Medium</v>
      </c>
    </row>
    <row r="822" ht="15.75" customHeight="1">
      <c r="A822" s="17" t="s">
        <v>1013</v>
      </c>
      <c r="B822" s="18">
        <v>46133.0</v>
      </c>
      <c r="C822" s="17" t="s">
        <v>965</v>
      </c>
      <c r="D822" s="19" t="str">
        <f>IFERROR(VLOOKUP(C822,customer_lookup!$A:$E,2,FALSE),"")</f>
        <v>NY Account 0047</v>
      </c>
      <c r="E822" s="19" t="str">
        <f>IFERROR(VLOOKUP(C822,customer_lookup!$A:$E,3,FALSE),"")</f>
        <v>NY</v>
      </c>
      <c r="F822" s="20" t="str">
        <f>IFERROR(VLOOKUP(C822,customer_lookup!$A:$E,5,FALSE),"")</f>
        <v>Riley</v>
      </c>
      <c r="G822" s="17" t="s">
        <v>63</v>
      </c>
      <c r="H822" s="17" t="s">
        <v>71</v>
      </c>
      <c r="I822" s="19" t="str">
        <f>IFERROR(VLOOKUP(H822,product_lookup!$A:$D,2,FALSE),"")</f>
        <v>Pineapple Sparkling Beverage</v>
      </c>
      <c r="J822" s="21">
        <v>30.0</v>
      </c>
      <c r="K822" s="22">
        <v>7.27</v>
      </c>
      <c r="L822" s="23">
        <f t="shared" si="1"/>
        <v>218.1</v>
      </c>
      <c r="M822" s="17" t="s">
        <v>97</v>
      </c>
      <c r="N822" s="18">
        <v>46143.0</v>
      </c>
      <c r="O822" s="19">
        <f>SUMIF(inventory_snapshot!$B:$B,H822,inventory_snapshot!$E:$E)</f>
        <v>1145</v>
      </c>
      <c r="P822" s="24" t="str">
        <f t="shared" si="2"/>
        <v>OK</v>
      </c>
      <c r="Q822" s="24" t="str">
        <f t="shared" si="3"/>
        <v>OK</v>
      </c>
      <c r="R822" s="24" t="str">
        <f t="shared" si="4"/>
        <v>OK</v>
      </c>
      <c r="S822" s="24" t="str">
        <f t="shared" si="5"/>
        <v>Small</v>
      </c>
    </row>
    <row r="823" ht="15.75" customHeight="1">
      <c r="A823" s="25" t="s">
        <v>1014</v>
      </c>
      <c r="B823" s="26">
        <v>46048.0</v>
      </c>
      <c r="C823" s="25" t="s">
        <v>963</v>
      </c>
      <c r="D823" s="27" t="str">
        <f>IFERROR(VLOOKUP(C823,customer_lookup!$A:$E,2,FALSE),"")</f>
        <v>MO Account 0045</v>
      </c>
      <c r="E823" s="27" t="str">
        <f>IFERROR(VLOOKUP(C823,customer_lookup!$A:$E,3,FALSE),"")</f>
        <v>MO</v>
      </c>
      <c r="F823" s="28" t="str">
        <f>IFERROR(VLOOKUP(C823,customer_lookup!$A:$E,5,FALSE),"")</f>
        <v>Riley</v>
      </c>
      <c r="G823" s="25" t="s">
        <v>63</v>
      </c>
      <c r="H823" s="25" t="s">
        <v>71</v>
      </c>
      <c r="I823" s="27" t="str">
        <f>IFERROR(VLOOKUP(H823,product_lookup!$A:$D,2,FALSE),"")</f>
        <v>Pineapple Sparkling Beverage</v>
      </c>
      <c r="J823" s="29">
        <v>96.0</v>
      </c>
      <c r="K823" s="30">
        <v>7.87</v>
      </c>
      <c r="L823" s="31">
        <f t="shared" si="1"/>
        <v>755.52</v>
      </c>
      <c r="M823" s="25" t="s">
        <v>65</v>
      </c>
      <c r="N823" s="26">
        <v>46053.0</v>
      </c>
      <c r="O823" s="27">
        <f>SUMIF(inventory_snapshot!$B:$B,H823,inventory_snapshot!$E:$E)</f>
        <v>1145</v>
      </c>
      <c r="P823" s="32" t="str">
        <f t="shared" si="2"/>
        <v>OK</v>
      </c>
      <c r="Q823" s="32" t="str">
        <f t="shared" si="3"/>
        <v>OK</v>
      </c>
      <c r="R823" s="32" t="str">
        <f t="shared" si="4"/>
        <v>OK</v>
      </c>
      <c r="S823" s="32" t="str">
        <f t="shared" si="5"/>
        <v>Medium</v>
      </c>
    </row>
    <row r="824" ht="15.75" customHeight="1">
      <c r="A824" s="17" t="s">
        <v>1015</v>
      </c>
      <c r="B824" s="18">
        <v>46140.0</v>
      </c>
      <c r="C824" s="17" t="s">
        <v>999</v>
      </c>
      <c r="D824" s="19" t="str">
        <f>IFERROR(VLOOKUP(C824,customer_lookup!$A:$E,2,FALSE),"")</f>
        <v>OK Account 0036</v>
      </c>
      <c r="E824" s="19" t="str">
        <f>IFERROR(VLOOKUP(C824,customer_lookup!$A:$E,3,FALSE),"")</f>
        <v>OK</v>
      </c>
      <c r="F824" s="20" t="str">
        <f>IFERROR(VLOOKUP(C824,customer_lookup!$A:$E,5,FALSE),"")</f>
        <v>Riley</v>
      </c>
      <c r="G824" s="17" t="s">
        <v>63</v>
      </c>
      <c r="H824" s="17" t="s">
        <v>71</v>
      </c>
      <c r="I824" s="19" t="str">
        <f>IFERROR(VLOOKUP(H824,product_lookup!$A:$D,2,FALSE),"")</f>
        <v>Pineapple Sparkling Beverage</v>
      </c>
      <c r="J824" s="21">
        <v>72.0</v>
      </c>
      <c r="K824" s="22">
        <v>7.22</v>
      </c>
      <c r="L824" s="23">
        <f t="shared" si="1"/>
        <v>519.84</v>
      </c>
      <c r="M824" s="17" t="s">
        <v>65</v>
      </c>
      <c r="N824" s="18">
        <v>46145.0</v>
      </c>
      <c r="O824" s="19">
        <f>SUMIF(inventory_snapshot!$B:$B,H824,inventory_snapshot!$E:$E)</f>
        <v>1145</v>
      </c>
      <c r="P824" s="24" t="str">
        <f t="shared" si="2"/>
        <v>OK</v>
      </c>
      <c r="Q824" s="24" t="str">
        <f t="shared" si="3"/>
        <v>OK</v>
      </c>
      <c r="R824" s="24" t="str">
        <f t="shared" si="4"/>
        <v>OK</v>
      </c>
      <c r="S824" s="24" t="str">
        <f t="shared" si="5"/>
        <v>Medium</v>
      </c>
    </row>
    <row r="825" ht="15.75" customHeight="1">
      <c r="A825" s="25" t="s">
        <v>1016</v>
      </c>
      <c r="B825" s="26">
        <v>46037.0</v>
      </c>
      <c r="C825" s="25" t="s">
        <v>968</v>
      </c>
      <c r="D825" s="27" t="str">
        <f>IFERROR(VLOOKUP(C825,customer_lookup!$A:$E,2,FALSE),"")</f>
        <v>NY Account 0083</v>
      </c>
      <c r="E825" s="27" t="str">
        <f>IFERROR(VLOOKUP(C825,customer_lookup!$A:$E,3,FALSE),"")</f>
        <v>NY</v>
      </c>
      <c r="F825" s="28" t="str">
        <f>IFERROR(VLOOKUP(C825,customer_lookup!$A:$E,5,FALSE),"")</f>
        <v>Riley</v>
      </c>
      <c r="G825" s="25" t="s">
        <v>89</v>
      </c>
      <c r="H825" s="25" t="s">
        <v>92</v>
      </c>
      <c r="I825" s="27" t="str">
        <f>IFERROR(VLOOKUP(H825,product_lookup!$A:$D,2,FALSE),"")</f>
        <v>Raspberry THC Gummies</v>
      </c>
      <c r="J825" s="29">
        <v>12.0</v>
      </c>
      <c r="K825" s="30">
        <v>10.55</v>
      </c>
      <c r="L825" s="31">
        <f t="shared" si="1"/>
        <v>126.6</v>
      </c>
      <c r="M825" s="25" t="s">
        <v>100</v>
      </c>
      <c r="N825" s="26">
        <v>46040.0</v>
      </c>
      <c r="O825" s="27">
        <f>SUMIF(inventory_snapshot!$B:$B,H825,inventory_snapshot!$E:$E)</f>
        <v>1417</v>
      </c>
      <c r="P825" s="32" t="str">
        <f t="shared" si="2"/>
        <v>OK</v>
      </c>
      <c r="Q825" s="32" t="str">
        <f t="shared" si="3"/>
        <v>OK</v>
      </c>
      <c r="R825" s="32" t="str">
        <f t="shared" si="4"/>
        <v>OK</v>
      </c>
      <c r="S825" s="32" t="str">
        <f t="shared" si="5"/>
        <v>Small</v>
      </c>
    </row>
    <row r="826" ht="15.75" customHeight="1">
      <c r="A826" s="17" t="s">
        <v>1017</v>
      </c>
      <c r="B826" s="18">
        <v>46027.0</v>
      </c>
      <c r="C826" s="17" t="s">
        <v>968</v>
      </c>
      <c r="D826" s="19" t="str">
        <f>IFERROR(VLOOKUP(C826,customer_lookup!$A:$E,2,FALSE),"")</f>
        <v>NY Account 0083</v>
      </c>
      <c r="E826" s="19" t="str">
        <f>IFERROR(VLOOKUP(C826,customer_lookup!$A:$E,3,FALSE),"")</f>
        <v>NY</v>
      </c>
      <c r="F826" s="20" t="str">
        <f>IFERROR(VLOOKUP(C826,customer_lookup!$A:$E,5,FALSE),"")</f>
        <v>Riley</v>
      </c>
      <c r="G826" s="17" t="s">
        <v>89</v>
      </c>
      <c r="H826" s="17" t="s">
        <v>102</v>
      </c>
      <c r="I826" s="19" t="str">
        <f>IFERROR(VLOOKUP(H826,product_lookup!$A:$D,2,FALSE),"")</f>
        <v>Pomegranate 1:1 Gummies</v>
      </c>
      <c r="J826" s="21">
        <v>96.0</v>
      </c>
      <c r="K826" s="22">
        <v>10.74</v>
      </c>
      <c r="L826" s="23">
        <f t="shared" si="1"/>
        <v>1031.04</v>
      </c>
      <c r="M826" s="17" t="s">
        <v>65</v>
      </c>
      <c r="N826" s="18">
        <v>46033.0</v>
      </c>
      <c r="O826" s="19">
        <f>SUMIF(inventory_snapshot!$B:$B,H826,inventory_snapshot!$E:$E)</f>
        <v>1493</v>
      </c>
      <c r="P826" s="24" t="str">
        <f t="shared" si="2"/>
        <v>OK</v>
      </c>
      <c r="Q826" s="24" t="str">
        <f t="shared" si="3"/>
        <v>OK</v>
      </c>
      <c r="R826" s="24" t="str">
        <f t="shared" si="4"/>
        <v>OK</v>
      </c>
      <c r="S826" s="24" t="str">
        <f t="shared" si="5"/>
        <v>Large</v>
      </c>
    </row>
    <row r="827" ht="15.75" customHeight="1">
      <c r="A827" s="25" t="s">
        <v>1018</v>
      </c>
      <c r="B827" s="26">
        <v>46106.0</v>
      </c>
      <c r="C827" s="25" t="s">
        <v>963</v>
      </c>
      <c r="D827" s="27" t="str">
        <f>IFERROR(VLOOKUP(C827,customer_lookup!$A:$E,2,FALSE),"")</f>
        <v>MO Account 0045</v>
      </c>
      <c r="E827" s="27" t="str">
        <f>IFERROR(VLOOKUP(C827,customer_lookup!$A:$E,3,FALSE),"")</f>
        <v>MO</v>
      </c>
      <c r="F827" s="28" t="str">
        <f>IFERROR(VLOOKUP(C827,customer_lookup!$A:$E,5,FALSE),"")</f>
        <v>Riley</v>
      </c>
      <c r="G827" s="25" t="s">
        <v>63</v>
      </c>
      <c r="H827" s="25" t="s">
        <v>71</v>
      </c>
      <c r="I827" s="27" t="str">
        <f>IFERROR(VLOOKUP(H827,product_lookup!$A:$D,2,FALSE),"")</f>
        <v>Pineapple Sparkling Beverage</v>
      </c>
      <c r="J827" s="29">
        <v>6.0</v>
      </c>
      <c r="K827" s="30">
        <v>8.17</v>
      </c>
      <c r="L827" s="31">
        <f t="shared" si="1"/>
        <v>49.02</v>
      </c>
      <c r="M827" s="25" t="s">
        <v>97</v>
      </c>
      <c r="N827" s="26">
        <v>46114.0</v>
      </c>
      <c r="O827" s="27">
        <f>SUMIF(inventory_snapshot!$B:$B,H827,inventory_snapshot!$E:$E)</f>
        <v>1145</v>
      </c>
      <c r="P827" s="32" t="str">
        <f t="shared" si="2"/>
        <v>OK</v>
      </c>
      <c r="Q827" s="32" t="str">
        <f t="shared" si="3"/>
        <v>OK</v>
      </c>
      <c r="R827" s="32" t="str">
        <f t="shared" si="4"/>
        <v>OK</v>
      </c>
      <c r="S827" s="32" t="str">
        <f t="shared" si="5"/>
        <v>Small</v>
      </c>
    </row>
    <row r="828" ht="15.75" customHeight="1">
      <c r="A828" s="17" t="s">
        <v>1019</v>
      </c>
      <c r="B828" s="18">
        <v>46025.0</v>
      </c>
      <c r="C828" s="17" t="s">
        <v>965</v>
      </c>
      <c r="D828" s="19" t="str">
        <f>IFERROR(VLOOKUP(C828,customer_lookup!$A:$E,2,FALSE),"")</f>
        <v>NY Account 0047</v>
      </c>
      <c r="E828" s="19" t="str">
        <f>IFERROR(VLOOKUP(C828,customer_lookup!$A:$E,3,FALSE),"")</f>
        <v>NY</v>
      </c>
      <c r="F828" s="20" t="str">
        <f>IFERROR(VLOOKUP(C828,customer_lookup!$A:$E,5,FALSE),"")</f>
        <v>Riley</v>
      </c>
      <c r="G828" s="17" t="s">
        <v>63</v>
      </c>
      <c r="H828" s="17" t="s">
        <v>78</v>
      </c>
      <c r="I828" s="19" t="str">
        <f>IFERROR(VLOOKUP(H828,product_lookup!$A:$D,2,FALSE),"")</f>
        <v>Grapefruit 1:1:1 Gummies</v>
      </c>
      <c r="J828" s="21">
        <v>30.0</v>
      </c>
      <c r="K828" s="22">
        <v>11.54</v>
      </c>
      <c r="L828" s="23">
        <f t="shared" si="1"/>
        <v>346.2</v>
      </c>
      <c r="M828" s="17" t="s">
        <v>65</v>
      </c>
      <c r="N828" s="18">
        <v>46032.0</v>
      </c>
      <c r="O828" s="19">
        <f>SUMIF(inventory_snapshot!$B:$B,H828,inventory_snapshot!$E:$E)</f>
        <v>1751</v>
      </c>
      <c r="P828" s="24" t="str">
        <f t="shared" si="2"/>
        <v>OK</v>
      </c>
      <c r="Q828" s="24" t="str">
        <f t="shared" si="3"/>
        <v>OK</v>
      </c>
      <c r="R828" s="24" t="str">
        <f t="shared" si="4"/>
        <v>OK</v>
      </c>
      <c r="S828" s="24" t="str">
        <f t="shared" si="5"/>
        <v>Small</v>
      </c>
    </row>
    <row r="829" ht="15.75" customHeight="1">
      <c r="A829" s="25" t="s">
        <v>1020</v>
      </c>
      <c r="B829" s="26">
        <v>46119.0</v>
      </c>
      <c r="C829" s="25" t="s">
        <v>984</v>
      </c>
      <c r="D829" s="27" t="str">
        <f>IFERROR(VLOOKUP(C829,customer_lookup!$A:$E,2,FALSE),"")</f>
        <v>WA Account 0086</v>
      </c>
      <c r="E829" s="27" t="str">
        <f>IFERROR(VLOOKUP(C829,customer_lookup!$A:$E,3,FALSE),"")</f>
        <v>WA</v>
      </c>
      <c r="F829" s="28" t="str">
        <f>IFERROR(VLOOKUP(C829,customer_lookup!$A:$E,5,FALSE),"")</f>
        <v>Riley</v>
      </c>
      <c r="G829" s="25" t="s">
        <v>89</v>
      </c>
      <c r="H829" s="25" t="s">
        <v>162</v>
      </c>
      <c r="I829" s="27" t="str">
        <f>IFERROR(VLOOKUP(H829,product_lookup!$A:$D,2,FALSE),"")</f>
        <v>Marionberry THC Gummies</v>
      </c>
      <c r="J829" s="29">
        <v>24.0</v>
      </c>
      <c r="K829" s="30">
        <v>9.36</v>
      </c>
      <c r="L829" s="31">
        <f t="shared" si="1"/>
        <v>224.64</v>
      </c>
      <c r="M829" s="25" t="s">
        <v>93</v>
      </c>
      <c r="N829" s="26">
        <v>46129.0</v>
      </c>
      <c r="O829" s="27">
        <f>SUMIF(inventory_snapshot!$B:$B,H829,inventory_snapshot!$E:$E)</f>
        <v>1599</v>
      </c>
      <c r="P829" s="32" t="str">
        <f t="shared" si="2"/>
        <v>OK</v>
      </c>
      <c r="Q829" s="32" t="str">
        <f t="shared" si="3"/>
        <v>OK</v>
      </c>
      <c r="R829" s="32" t="str">
        <f t="shared" si="4"/>
        <v>OK</v>
      </c>
      <c r="S829" s="32" t="str">
        <f t="shared" si="5"/>
        <v>Small</v>
      </c>
    </row>
    <row r="830" ht="15.75" customHeight="1">
      <c r="A830" s="17" t="s">
        <v>1021</v>
      </c>
      <c r="B830" s="18">
        <v>46077.0</v>
      </c>
      <c r="C830" s="17" t="s">
        <v>961</v>
      </c>
      <c r="D830" s="19" t="str">
        <f>IFERROR(VLOOKUP(C830,customer_lookup!$A:$E,2,FALSE),"")</f>
        <v>NY Account 0059</v>
      </c>
      <c r="E830" s="19" t="str">
        <f>IFERROR(VLOOKUP(C830,customer_lookup!$A:$E,3,FALSE),"")</f>
        <v>NY</v>
      </c>
      <c r="F830" s="20" t="str">
        <f>IFERROR(VLOOKUP(C830,customer_lookup!$A:$E,5,FALSE),"")</f>
        <v>Riley</v>
      </c>
      <c r="G830" s="17" t="s">
        <v>89</v>
      </c>
      <c r="H830" s="17" t="s">
        <v>123</v>
      </c>
      <c r="I830" s="19" t="str">
        <f>IFERROR(VLOOKUP(H830,product_lookup!$A:$D,2,FALSE),"")</f>
        <v>Peach 2:1 Gummies</v>
      </c>
      <c r="J830" s="21">
        <v>48.0</v>
      </c>
      <c r="K830" s="22">
        <v>11.34</v>
      </c>
      <c r="L830" s="23">
        <f t="shared" si="1"/>
        <v>544.32</v>
      </c>
      <c r="M830" s="17" t="s">
        <v>65</v>
      </c>
      <c r="N830" s="18">
        <v>46083.0</v>
      </c>
      <c r="O830" s="19">
        <f>SUMIF(inventory_snapshot!$B:$B,H830,inventory_snapshot!$E:$E)</f>
        <v>1732</v>
      </c>
      <c r="P830" s="24" t="str">
        <f t="shared" si="2"/>
        <v>OK</v>
      </c>
      <c r="Q830" s="24" t="str">
        <f t="shared" si="3"/>
        <v>OK</v>
      </c>
      <c r="R830" s="24" t="str">
        <f t="shared" si="4"/>
        <v>OK</v>
      </c>
      <c r="S830" s="24" t="str">
        <f t="shared" si="5"/>
        <v>Medium</v>
      </c>
    </row>
    <row r="831" ht="15.75" customHeight="1">
      <c r="A831" s="25" t="s">
        <v>1022</v>
      </c>
      <c r="B831" s="26">
        <v>46034.0</v>
      </c>
      <c r="C831" s="25" t="s">
        <v>955</v>
      </c>
      <c r="D831" s="27" t="str">
        <f>IFERROR(VLOOKUP(C831,customer_lookup!$A:$E,2,FALSE),"")</f>
        <v>AZ Account 0113</v>
      </c>
      <c r="E831" s="27" t="str">
        <f>IFERROR(VLOOKUP(C831,customer_lookup!$A:$E,3,FALSE),"")</f>
        <v>AZ</v>
      </c>
      <c r="F831" s="28" t="str">
        <f>IFERROR(VLOOKUP(C831,customer_lookup!$A:$E,5,FALSE),"")</f>
        <v>Riley</v>
      </c>
      <c r="G831" s="25" t="s">
        <v>67</v>
      </c>
      <c r="H831" s="25" t="s">
        <v>74</v>
      </c>
      <c r="I831" s="27" t="str">
        <f>IFERROR(VLOOKUP(H831,product_lookup!$A:$D,2,FALSE),"")</f>
        <v>Strawberry 20:1 Gummies</v>
      </c>
      <c r="J831" s="29">
        <v>30.0</v>
      </c>
      <c r="K831" s="30">
        <v>11.1</v>
      </c>
      <c r="L831" s="31">
        <f t="shared" si="1"/>
        <v>333</v>
      </c>
      <c r="M831" s="25" t="s">
        <v>65</v>
      </c>
      <c r="N831" s="26">
        <v>46037.0</v>
      </c>
      <c r="O831" s="27">
        <f>SUMIF(inventory_snapshot!$B:$B,H831,inventory_snapshot!$E:$E)</f>
        <v>2294</v>
      </c>
      <c r="P831" s="32" t="str">
        <f t="shared" si="2"/>
        <v>OK</v>
      </c>
      <c r="Q831" s="32" t="str">
        <f t="shared" si="3"/>
        <v>OK</v>
      </c>
      <c r="R831" s="32" t="str">
        <f t="shared" si="4"/>
        <v>OK</v>
      </c>
      <c r="S831" s="32" t="str">
        <f t="shared" si="5"/>
        <v>Small</v>
      </c>
    </row>
    <row r="832" ht="15.75" customHeight="1">
      <c r="A832" s="17" t="s">
        <v>1023</v>
      </c>
      <c r="B832" s="18">
        <v>46090.0</v>
      </c>
      <c r="C832" s="17" t="s">
        <v>999</v>
      </c>
      <c r="D832" s="19" t="str">
        <f>IFERROR(VLOOKUP(C832,customer_lookup!$A:$E,2,FALSE),"")</f>
        <v>OK Account 0036</v>
      </c>
      <c r="E832" s="19" t="str">
        <f>IFERROR(VLOOKUP(C832,customer_lookup!$A:$E,3,FALSE),"")</f>
        <v>OK</v>
      </c>
      <c r="F832" s="20" t="str">
        <f>IFERROR(VLOOKUP(C832,customer_lookup!$A:$E,5,FALSE),"")</f>
        <v>Riley</v>
      </c>
      <c r="G832" s="17" t="s">
        <v>63</v>
      </c>
      <c r="H832" s="17" t="s">
        <v>92</v>
      </c>
      <c r="I832" s="19" t="str">
        <f>IFERROR(VLOOKUP(H832,product_lookup!$A:$D,2,FALSE),"")</f>
        <v>Raspberry THC Gummies</v>
      </c>
      <c r="J832" s="21">
        <v>48.0</v>
      </c>
      <c r="K832" s="22">
        <v>10.55</v>
      </c>
      <c r="L832" s="23">
        <f t="shared" si="1"/>
        <v>506.4</v>
      </c>
      <c r="M832" s="17" t="s">
        <v>65</v>
      </c>
      <c r="N832" s="18">
        <v>46092.0</v>
      </c>
      <c r="O832" s="19">
        <f>SUMIF(inventory_snapshot!$B:$B,H832,inventory_snapshot!$E:$E)</f>
        <v>1417</v>
      </c>
      <c r="P832" s="24" t="str">
        <f t="shared" si="2"/>
        <v>OK</v>
      </c>
      <c r="Q832" s="24" t="str">
        <f t="shared" si="3"/>
        <v>OK</v>
      </c>
      <c r="R832" s="24" t="str">
        <f t="shared" si="4"/>
        <v>OK</v>
      </c>
      <c r="S832" s="24" t="str">
        <f t="shared" si="5"/>
        <v>Medium</v>
      </c>
    </row>
    <row r="833" ht="15.75" customHeight="1">
      <c r="A833" s="25" t="s">
        <v>1024</v>
      </c>
      <c r="B833" s="26">
        <v>46084.0</v>
      </c>
      <c r="C833" s="25" t="s">
        <v>968</v>
      </c>
      <c r="D833" s="27" t="str">
        <f>IFERROR(VLOOKUP(C833,customer_lookup!$A:$E,2,FALSE),"")</f>
        <v>NY Account 0083</v>
      </c>
      <c r="E833" s="27" t="str">
        <f>IFERROR(VLOOKUP(C833,customer_lookup!$A:$E,3,FALSE),"")</f>
        <v>NY</v>
      </c>
      <c r="F833" s="28" t="str">
        <f>IFERROR(VLOOKUP(C833,customer_lookup!$A:$E,5,FALSE),"")</f>
        <v>Riley</v>
      </c>
      <c r="G833" s="25" t="s">
        <v>63</v>
      </c>
      <c r="H833" s="25" t="s">
        <v>85</v>
      </c>
      <c r="I833" s="27" t="str">
        <f>IFERROR(VLOOKUP(H833,product_lookup!$A:$D,2,FALSE),"")</f>
        <v>Huckleberry THC Gummies</v>
      </c>
      <c r="J833" s="29">
        <v>18.0</v>
      </c>
      <c r="K833" s="30">
        <v>10.51</v>
      </c>
      <c r="L833" s="31">
        <f t="shared" si="1"/>
        <v>189.18</v>
      </c>
      <c r="M833" s="25" t="s">
        <v>93</v>
      </c>
      <c r="N833" s="26">
        <v>46090.0</v>
      </c>
      <c r="O833" s="27">
        <f>SUMIF(inventory_snapshot!$B:$B,H833,inventory_snapshot!$E:$E)</f>
        <v>1841</v>
      </c>
      <c r="P833" s="32" t="str">
        <f t="shared" si="2"/>
        <v>OK</v>
      </c>
      <c r="Q833" s="32" t="str">
        <f t="shared" si="3"/>
        <v>OK</v>
      </c>
      <c r="R833" s="32" t="str">
        <f t="shared" si="4"/>
        <v>OK</v>
      </c>
      <c r="S833" s="32" t="str">
        <f t="shared" si="5"/>
        <v>Small</v>
      </c>
    </row>
    <row r="834" ht="15.75" customHeight="1">
      <c r="A834" s="17" t="s">
        <v>1025</v>
      </c>
      <c r="B834" s="18">
        <v>46099.0</v>
      </c>
      <c r="C834" s="17" t="s">
        <v>950</v>
      </c>
      <c r="D834" s="19" t="str">
        <f>IFERROR(VLOOKUP(C834,customer_lookup!$A:$E,2,FALSE),"")</f>
        <v>WA Account 0050</v>
      </c>
      <c r="E834" s="19" t="str">
        <f>IFERROR(VLOOKUP(C834,customer_lookup!$A:$E,3,FALSE),"")</f>
        <v>WA</v>
      </c>
      <c r="F834" s="20" t="str">
        <f>IFERROR(VLOOKUP(C834,customer_lookup!$A:$E,5,FALSE),"")</f>
        <v>Riley</v>
      </c>
      <c r="G834" s="17" t="s">
        <v>67</v>
      </c>
      <c r="H834" s="17" t="s">
        <v>154</v>
      </c>
      <c r="I834" s="19" t="str">
        <f>IFERROR(VLOOKUP(H834,product_lookup!$A:$D,2,FALSE),"")</f>
        <v>Kiwi 1:1 Gummies</v>
      </c>
      <c r="J834" s="21">
        <v>12.0</v>
      </c>
      <c r="K834" s="22">
        <v>11.53</v>
      </c>
      <c r="L834" s="23">
        <f t="shared" si="1"/>
        <v>138.36</v>
      </c>
      <c r="M834" s="17" t="s">
        <v>65</v>
      </c>
      <c r="N834" s="18">
        <v>46105.0</v>
      </c>
      <c r="O834" s="19">
        <f>SUMIF(inventory_snapshot!$B:$B,H834,inventory_snapshot!$E:$E)</f>
        <v>1136</v>
      </c>
      <c r="P834" s="24" t="str">
        <f t="shared" si="2"/>
        <v>OK</v>
      </c>
      <c r="Q834" s="24" t="str">
        <f t="shared" si="3"/>
        <v>OK</v>
      </c>
      <c r="R834" s="24" t="str">
        <f t="shared" si="4"/>
        <v>OK</v>
      </c>
      <c r="S834" s="24" t="str">
        <f t="shared" si="5"/>
        <v>Small</v>
      </c>
    </row>
    <row r="835" ht="15.75" customHeight="1">
      <c r="A835" s="25" t="s">
        <v>1026</v>
      </c>
      <c r="B835" s="26">
        <v>46037.0</v>
      </c>
      <c r="C835" s="25" t="s">
        <v>988</v>
      </c>
      <c r="D835" s="27" t="str">
        <f>IFERROR(VLOOKUP(C835,customer_lookup!$A:$E,2,FALSE),"")</f>
        <v>MO Account 0021</v>
      </c>
      <c r="E835" s="27" t="str">
        <f>IFERROR(VLOOKUP(C835,customer_lookup!$A:$E,3,FALSE),"")</f>
        <v>MO</v>
      </c>
      <c r="F835" s="28" t="str">
        <f>IFERROR(VLOOKUP(C835,customer_lookup!$A:$E,5,FALSE),"")</f>
        <v>Riley</v>
      </c>
      <c r="G835" s="25" t="s">
        <v>63</v>
      </c>
      <c r="H835" s="25" t="s">
        <v>115</v>
      </c>
      <c r="I835" s="27" t="str">
        <f>IFERROR(VLOOKUP(H835,product_lookup!$A:$D,2,FALSE),"")</f>
        <v>Pear 1:1 Gummies</v>
      </c>
      <c r="J835" s="29">
        <v>6.0</v>
      </c>
      <c r="K835" s="30">
        <v>12.28</v>
      </c>
      <c r="L835" s="31">
        <f t="shared" si="1"/>
        <v>73.68</v>
      </c>
      <c r="M835" s="25" t="s">
        <v>65</v>
      </c>
      <c r="N835" s="26">
        <v>46046.0</v>
      </c>
      <c r="O835" s="27">
        <f>SUMIF(inventory_snapshot!$B:$B,H835,inventory_snapshot!$E:$E)</f>
        <v>981</v>
      </c>
      <c r="P835" s="32" t="str">
        <f t="shared" si="2"/>
        <v>OK</v>
      </c>
      <c r="Q835" s="32" t="str">
        <f t="shared" si="3"/>
        <v>OK</v>
      </c>
      <c r="R835" s="32" t="str">
        <f t="shared" si="4"/>
        <v>OK</v>
      </c>
      <c r="S835" s="32" t="str">
        <f t="shared" si="5"/>
        <v>Small</v>
      </c>
    </row>
    <row r="836" ht="15.75" customHeight="1">
      <c r="A836" s="17" t="s">
        <v>1027</v>
      </c>
      <c r="B836" s="18">
        <v>46091.0</v>
      </c>
      <c r="C836" s="17" t="s">
        <v>957</v>
      </c>
      <c r="D836" s="19" t="str">
        <f>IFERROR(VLOOKUP(C836,customer_lookup!$A:$E,2,FALSE),"")</f>
        <v>NV Account 0102</v>
      </c>
      <c r="E836" s="19" t="str">
        <f>IFERROR(VLOOKUP(C836,customer_lookup!$A:$E,3,FALSE),"")</f>
        <v>NV</v>
      </c>
      <c r="F836" s="20" t="str">
        <f>IFERROR(VLOOKUP(C836,customer_lookup!$A:$E,5,FALSE),"")</f>
        <v>Riley</v>
      </c>
      <c r="G836" s="17" t="s">
        <v>63</v>
      </c>
      <c r="H836" s="17" t="s">
        <v>102</v>
      </c>
      <c r="I836" s="19" t="str">
        <f>IFERROR(VLOOKUP(H836,product_lookup!$A:$D,2,FALSE),"")</f>
        <v>Pomegranate 1:1 Gummies</v>
      </c>
      <c r="J836" s="21">
        <v>60.0</v>
      </c>
      <c r="K836" s="22">
        <v>10.78</v>
      </c>
      <c r="L836" s="23">
        <f t="shared" si="1"/>
        <v>646.8</v>
      </c>
      <c r="M836" s="17" t="s">
        <v>75</v>
      </c>
      <c r="N836" s="18">
        <v>46100.0</v>
      </c>
      <c r="O836" s="19">
        <f>SUMIF(inventory_snapshot!$B:$B,H836,inventory_snapshot!$E:$E)</f>
        <v>1493</v>
      </c>
      <c r="P836" s="24" t="str">
        <f t="shared" si="2"/>
        <v>OK</v>
      </c>
      <c r="Q836" s="24" t="str">
        <f t="shared" si="3"/>
        <v>OK</v>
      </c>
      <c r="R836" s="24" t="str">
        <f t="shared" si="4"/>
        <v>OK</v>
      </c>
      <c r="S836" s="24" t="str">
        <f t="shared" si="5"/>
        <v>Medium</v>
      </c>
    </row>
    <row r="837" ht="15.75" customHeight="1">
      <c r="A837" s="25" t="s">
        <v>1028</v>
      </c>
      <c r="B837" s="26">
        <v>46027.0</v>
      </c>
      <c r="C837" s="25" t="s">
        <v>965</v>
      </c>
      <c r="D837" s="27" t="str">
        <f>IFERROR(VLOOKUP(C837,customer_lookup!$A:$E,2,FALSE),"")</f>
        <v>NY Account 0047</v>
      </c>
      <c r="E837" s="27" t="str">
        <f>IFERROR(VLOOKUP(C837,customer_lookup!$A:$E,3,FALSE),"")</f>
        <v>NY</v>
      </c>
      <c r="F837" s="28" t="str">
        <f>IFERROR(VLOOKUP(C837,customer_lookup!$A:$E,5,FALSE),"")</f>
        <v>Riley</v>
      </c>
      <c r="G837" s="25" t="s">
        <v>63</v>
      </c>
      <c r="H837" s="25" t="s">
        <v>95</v>
      </c>
      <c r="I837" s="27" t="str">
        <f>IFERROR(VLOOKUP(H837,product_lookup!$A:$D,2,FALSE),"")</f>
        <v>Boysenberry 1:1:1 Gummies</v>
      </c>
      <c r="J837" s="29">
        <v>96.0</v>
      </c>
      <c r="K837" s="30">
        <v>10.46</v>
      </c>
      <c r="L837" s="31">
        <f t="shared" si="1"/>
        <v>1004.16</v>
      </c>
      <c r="M837" s="25" t="s">
        <v>97</v>
      </c>
      <c r="N837" s="26">
        <v>46029.0</v>
      </c>
      <c r="O837" s="27">
        <f>SUMIF(inventory_snapshot!$B:$B,H837,inventory_snapshot!$E:$E)</f>
        <v>2007</v>
      </c>
      <c r="P837" s="32" t="str">
        <f t="shared" si="2"/>
        <v>OK</v>
      </c>
      <c r="Q837" s="32" t="str">
        <f t="shared" si="3"/>
        <v>OK</v>
      </c>
      <c r="R837" s="32" t="str">
        <f t="shared" si="4"/>
        <v>OK</v>
      </c>
      <c r="S837" s="32" t="str">
        <f t="shared" si="5"/>
        <v>Large</v>
      </c>
    </row>
    <row r="838" ht="15.75" customHeight="1">
      <c r="A838" s="17" t="s">
        <v>1029</v>
      </c>
      <c r="B838" s="18">
        <v>46110.0</v>
      </c>
      <c r="C838" s="17" t="s">
        <v>984</v>
      </c>
      <c r="D838" s="19" t="str">
        <f>IFERROR(VLOOKUP(C838,customer_lookup!$A:$E,2,FALSE),"")</f>
        <v>WA Account 0086</v>
      </c>
      <c r="E838" s="19" t="str">
        <f>IFERROR(VLOOKUP(C838,customer_lookup!$A:$E,3,FALSE),"")</f>
        <v>WA</v>
      </c>
      <c r="F838" s="20" t="str">
        <f>IFERROR(VLOOKUP(C838,customer_lookup!$A:$E,5,FALSE),"")</f>
        <v>Riley</v>
      </c>
      <c r="G838" s="17" t="s">
        <v>63</v>
      </c>
      <c r="H838" s="17" t="s">
        <v>110</v>
      </c>
      <c r="I838" s="19" t="str">
        <f>IFERROR(VLOOKUP(H838,product_lookup!$A:$D,2,FALSE),"")</f>
        <v>Elderberry 2:1 Gummies</v>
      </c>
      <c r="J838" s="21">
        <v>120.0</v>
      </c>
      <c r="K838" s="22">
        <v>11.09</v>
      </c>
      <c r="L838" s="23">
        <f t="shared" si="1"/>
        <v>1330.8</v>
      </c>
      <c r="M838" s="17" t="s">
        <v>65</v>
      </c>
      <c r="N838" s="18">
        <v>46116.0</v>
      </c>
      <c r="O838" s="19">
        <f>SUMIF(inventory_snapshot!$B:$B,H838,inventory_snapshot!$E:$E)</f>
        <v>1633</v>
      </c>
      <c r="P838" s="24" t="str">
        <f t="shared" si="2"/>
        <v>OK</v>
      </c>
      <c r="Q838" s="24" t="str">
        <f t="shared" si="3"/>
        <v>OK</v>
      </c>
      <c r="R838" s="24" t="str">
        <f t="shared" si="4"/>
        <v>OK</v>
      </c>
      <c r="S838" s="24" t="str">
        <f t="shared" si="5"/>
        <v>Large</v>
      </c>
    </row>
    <row r="839" ht="15.75" customHeight="1">
      <c r="A839" s="25" t="s">
        <v>1030</v>
      </c>
      <c r="B839" s="26">
        <v>46138.0</v>
      </c>
      <c r="C839" s="25" t="s">
        <v>961</v>
      </c>
      <c r="D839" s="27" t="str">
        <f>IFERROR(VLOOKUP(C839,customer_lookup!$A:$E,2,FALSE),"")</f>
        <v>NY Account 0059</v>
      </c>
      <c r="E839" s="27" t="str">
        <f>IFERROR(VLOOKUP(C839,customer_lookup!$A:$E,3,FALSE),"")</f>
        <v>NY</v>
      </c>
      <c r="F839" s="28" t="str">
        <f>IFERROR(VLOOKUP(C839,customer_lookup!$A:$E,5,FALSE),"")</f>
        <v>Riley</v>
      </c>
      <c r="G839" s="25" t="s">
        <v>63</v>
      </c>
      <c r="H839" s="25" t="s">
        <v>190</v>
      </c>
      <c r="I839" s="27" t="str">
        <f>IFERROR(VLOOKUP(H839,product_lookup!$A:$D,2,FALSE),"")</f>
        <v>Mango Sparkling Beverage</v>
      </c>
      <c r="J839" s="29">
        <v>60.0</v>
      </c>
      <c r="K839" s="30">
        <v>7.61</v>
      </c>
      <c r="L839" s="31">
        <f t="shared" si="1"/>
        <v>456.6</v>
      </c>
      <c r="M839" s="25" t="s">
        <v>97</v>
      </c>
      <c r="N839" s="26">
        <v>46143.0</v>
      </c>
      <c r="O839" s="27">
        <f>SUMIF(inventory_snapshot!$B:$B,H839,inventory_snapshot!$E:$E)</f>
        <v>1502</v>
      </c>
      <c r="P839" s="32" t="str">
        <f t="shared" si="2"/>
        <v>OK</v>
      </c>
      <c r="Q839" s="32" t="str">
        <f t="shared" si="3"/>
        <v>OK</v>
      </c>
      <c r="R839" s="32" t="str">
        <f t="shared" si="4"/>
        <v>OK</v>
      </c>
      <c r="S839" s="32" t="str">
        <f t="shared" si="5"/>
        <v>Small</v>
      </c>
    </row>
    <row r="840" ht="15.75" customHeight="1">
      <c r="A840" s="17" t="s">
        <v>1031</v>
      </c>
      <c r="B840" s="18">
        <v>46055.0</v>
      </c>
      <c r="C840" s="17" t="s">
        <v>984</v>
      </c>
      <c r="D840" s="19" t="str">
        <f>IFERROR(VLOOKUP(C840,customer_lookup!$A:$E,2,FALSE),"")</f>
        <v>WA Account 0086</v>
      </c>
      <c r="E840" s="19" t="str">
        <f>IFERROR(VLOOKUP(C840,customer_lookup!$A:$E,3,FALSE),"")</f>
        <v>WA</v>
      </c>
      <c r="F840" s="20" t="str">
        <f>IFERROR(VLOOKUP(C840,customer_lookup!$A:$E,5,FALSE),"")</f>
        <v>Riley</v>
      </c>
      <c r="G840" s="17" t="s">
        <v>63</v>
      </c>
      <c r="H840" s="17" t="s">
        <v>92</v>
      </c>
      <c r="I840" s="19" t="str">
        <f>IFERROR(VLOOKUP(H840,product_lookup!$A:$D,2,FALSE),"")</f>
        <v>Raspberry THC Gummies</v>
      </c>
      <c r="J840" s="21">
        <v>18.0</v>
      </c>
      <c r="K840" s="22">
        <v>11.09</v>
      </c>
      <c r="L840" s="23">
        <f t="shared" si="1"/>
        <v>199.62</v>
      </c>
      <c r="M840" s="17" t="s">
        <v>97</v>
      </c>
      <c r="N840" s="18">
        <v>46062.0</v>
      </c>
      <c r="O840" s="19">
        <f>SUMIF(inventory_snapshot!$B:$B,H840,inventory_snapshot!$E:$E)</f>
        <v>1417</v>
      </c>
      <c r="P840" s="24" t="str">
        <f t="shared" si="2"/>
        <v>OK</v>
      </c>
      <c r="Q840" s="24" t="str">
        <f t="shared" si="3"/>
        <v>OK</v>
      </c>
      <c r="R840" s="24" t="str">
        <f t="shared" si="4"/>
        <v>OK</v>
      </c>
      <c r="S840" s="24" t="str">
        <f t="shared" si="5"/>
        <v>Small</v>
      </c>
    </row>
    <row r="841" ht="15.75" customHeight="1">
      <c r="A841" s="25" t="s">
        <v>1032</v>
      </c>
      <c r="B841" s="26">
        <v>46112.0</v>
      </c>
      <c r="C841" s="25" t="s">
        <v>980</v>
      </c>
      <c r="D841" s="27" t="str">
        <f>IFERROR(VLOOKUP(C841,customer_lookup!$A:$E,2,FALSE),"")</f>
        <v>NY Account 0035</v>
      </c>
      <c r="E841" s="27" t="str">
        <f>IFERROR(VLOOKUP(C841,customer_lookup!$A:$E,3,FALSE),"")</f>
        <v>NY</v>
      </c>
      <c r="F841" s="28" t="str">
        <f>IFERROR(VLOOKUP(C841,customer_lookup!$A:$E,5,FALSE),"")</f>
        <v>Riley</v>
      </c>
      <c r="G841" s="25" t="s">
        <v>63</v>
      </c>
      <c r="H841" s="25" t="s">
        <v>85</v>
      </c>
      <c r="I841" s="27" t="str">
        <f>IFERROR(VLOOKUP(H841,product_lookup!$A:$D,2,FALSE),"")</f>
        <v>Huckleberry THC Gummies</v>
      </c>
      <c r="J841" s="29">
        <v>36.0</v>
      </c>
      <c r="K841" s="30">
        <v>11.08</v>
      </c>
      <c r="L841" s="31">
        <f t="shared" si="1"/>
        <v>398.88</v>
      </c>
      <c r="M841" s="25" t="s">
        <v>65</v>
      </c>
      <c r="N841" s="26">
        <v>46120.0</v>
      </c>
      <c r="O841" s="27">
        <f>SUMIF(inventory_snapshot!$B:$B,H841,inventory_snapshot!$E:$E)</f>
        <v>1841</v>
      </c>
      <c r="P841" s="32" t="str">
        <f t="shared" si="2"/>
        <v>OK</v>
      </c>
      <c r="Q841" s="32" t="str">
        <f t="shared" si="3"/>
        <v>OK</v>
      </c>
      <c r="R841" s="32" t="str">
        <f t="shared" si="4"/>
        <v>OK</v>
      </c>
      <c r="S841" s="32" t="str">
        <f t="shared" si="5"/>
        <v>Small</v>
      </c>
    </row>
    <row r="842" ht="15.75" customHeight="1">
      <c r="A842" s="17" t="s">
        <v>1033</v>
      </c>
      <c r="B842" s="18">
        <v>46110.0</v>
      </c>
      <c r="C842" s="17" t="s">
        <v>957</v>
      </c>
      <c r="D842" s="19" t="str">
        <f>IFERROR(VLOOKUP(C842,customer_lookup!$A:$E,2,FALSE),"")</f>
        <v>NV Account 0102</v>
      </c>
      <c r="E842" s="19" t="str">
        <f>IFERROR(VLOOKUP(C842,customer_lookup!$A:$E,3,FALSE),"")</f>
        <v>NV</v>
      </c>
      <c r="F842" s="20" t="str">
        <f>IFERROR(VLOOKUP(C842,customer_lookup!$A:$E,5,FALSE),"")</f>
        <v>Riley</v>
      </c>
      <c r="G842" s="17" t="s">
        <v>89</v>
      </c>
      <c r="H842" s="17" t="s">
        <v>85</v>
      </c>
      <c r="I842" s="19" t="str">
        <f>IFERROR(VLOOKUP(H842,product_lookup!$A:$D,2,FALSE),"")</f>
        <v>Huckleberry THC Gummies</v>
      </c>
      <c r="J842" s="21">
        <v>60.0</v>
      </c>
      <c r="K842" s="22">
        <v>10.24</v>
      </c>
      <c r="L842" s="23">
        <f t="shared" si="1"/>
        <v>614.4</v>
      </c>
      <c r="M842" s="17" t="s">
        <v>97</v>
      </c>
      <c r="N842" s="18">
        <v>46111.0</v>
      </c>
      <c r="O842" s="19">
        <f>SUMIF(inventory_snapshot!$B:$B,H842,inventory_snapshot!$E:$E)</f>
        <v>1841</v>
      </c>
      <c r="P842" s="24" t="str">
        <f t="shared" si="2"/>
        <v>OK</v>
      </c>
      <c r="Q842" s="24" t="str">
        <f t="shared" si="3"/>
        <v>OK</v>
      </c>
      <c r="R842" s="24" t="str">
        <f t="shared" si="4"/>
        <v>OK</v>
      </c>
      <c r="S842" s="24" t="str">
        <f t="shared" si="5"/>
        <v>Medium</v>
      </c>
    </row>
    <row r="843" ht="15.75" customHeight="1">
      <c r="A843" s="25" t="s">
        <v>1034</v>
      </c>
      <c r="B843" s="26">
        <v>46103.0</v>
      </c>
      <c r="C843" s="25" t="s">
        <v>961</v>
      </c>
      <c r="D843" s="27" t="str">
        <f>IFERROR(VLOOKUP(C843,customer_lookup!$A:$E,2,FALSE),"")</f>
        <v>NY Account 0059</v>
      </c>
      <c r="E843" s="27" t="str">
        <f>IFERROR(VLOOKUP(C843,customer_lookup!$A:$E,3,FALSE),"")</f>
        <v>NY</v>
      </c>
      <c r="F843" s="28" t="str">
        <f>IFERROR(VLOOKUP(C843,customer_lookup!$A:$E,5,FALSE),"")</f>
        <v>Riley</v>
      </c>
      <c r="G843" s="25" t="s">
        <v>63</v>
      </c>
      <c r="H843" s="25" t="s">
        <v>162</v>
      </c>
      <c r="I843" s="27" t="str">
        <f>IFERROR(VLOOKUP(H843,product_lookup!$A:$D,2,FALSE),"")</f>
        <v>Marionberry THC Gummies</v>
      </c>
      <c r="J843" s="29">
        <v>36.0</v>
      </c>
      <c r="K843" s="30">
        <v>11.22</v>
      </c>
      <c r="L843" s="31">
        <f t="shared" si="1"/>
        <v>403.92</v>
      </c>
      <c r="M843" s="25" t="s">
        <v>97</v>
      </c>
      <c r="N843" s="26">
        <v>46113.0</v>
      </c>
      <c r="O843" s="27">
        <f>SUMIF(inventory_snapshot!$B:$B,H843,inventory_snapshot!$E:$E)</f>
        <v>1599</v>
      </c>
      <c r="P843" s="32" t="str">
        <f t="shared" si="2"/>
        <v>OK</v>
      </c>
      <c r="Q843" s="32" t="str">
        <f t="shared" si="3"/>
        <v>OK</v>
      </c>
      <c r="R843" s="32" t="str">
        <f t="shared" si="4"/>
        <v>OK</v>
      </c>
      <c r="S843" s="32" t="str">
        <f t="shared" si="5"/>
        <v>Small</v>
      </c>
    </row>
    <row r="844" ht="15.75" customHeight="1">
      <c r="A844" s="17" t="s">
        <v>1035</v>
      </c>
      <c r="B844" s="18">
        <v>46103.0</v>
      </c>
      <c r="C844" s="17" t="s">
        <v>957</v>
      </c>
      <c r="D844" s="19" t="str">
        <f>IFERROR(VLOOKUP(C844,customer_lookup!$A:$E,2,FALSE),"")</f>
        <v>NV Account 0102</v>
      </c>
      <c r="E844" s="19" t="str">
        <f>IFERROR(VLOOKUP(C844,customer_lookup!$A:$E,3,FALSE),"")</f>
        <v>NV</v>
      </c>
      <c r="F844" s="20" t="str">
        <f>IFERROR(VLOOKUP(C844,customer_lookup!$A:$E,5,FALSE),"")</f>
        <v>Riley</v>
      </c>
      <c r="G844" s="17" t="s">
        <v>63</v>
      </c>
      <c r="H844" s="17" t="s">
        <v>68</v>
      </c>
      <c r="I844" s="19" t="str">
        <f>IFERROR(VLOOKUP(H844,product_lookup!$A:$D,2,FALSE),"")</f>
        <v>Sour Apple THC Gummies</v>
      </c>
      <c r="J844" s="21">
        <v>60.0</v>
      </c>
      <c r="K844" s="22">
        <v>10.93</v>
      </c>
      <c r="L844" s="23">
        <f t="shared" si="1"/>
        <v>655.8</v>
      </c>
      <c r="M844" s="17" t="s">
        <v>100</v>
      </c>
      <c r="N844" s="18">
        <v>46110.0</v>
      </c>
      <c r="O844" s="19">
        <f>SUMIF(inventory_snapshot!$B:$B,H844,inventory_snapshot!$E:$E)</f>
        <v>775</v>
      </c>
      <c r="P844" s="24" t="str">
        <f t="shared" si="2"/>
        <v>OK</v>
      </c>
      <c r="Q844" s="24" t="str">
        <f t="shared" si="3"/>
        <v>OK</v>
      </c>
      <c r="R844" s="24" t="str">
        <f t="shared" si="4"/>
        <v>OK</v>
      </c>
      <c r="S844" s="24" t="str">
        <f t="shared" si="5"/>
        <v>Medium</v>
      </c>
    </row>
    <row r="845" ht="15.75" customHeight="1">
      <c r="A845" s="25" t="s">
        <v>1036</v>
      </c>
      <c r="B845" s="26">
        <v>46117.0</v>
      </c>
      <c r="C845" s="25" t="s">
        <v>955</v>
      </c>
      <c r="D845" s="27" t="str">
        <f>IFERROR(VLOOKUP(C845,customer_lookup!$A:$E,2,FALSE),"")</f>
        <v>AZ Account 0113</v>
      </c>
      <c r="E845" s="27" t="str">
        <f>IFERROR(VLOOKUP(C845,customer_lookup!$A:$E,3,FALSE),"")</f>
        <v>AZ</v>
      </c>
      <c r="F845" s="28" t="str">
        <f>IFERROR(VLOOKUP(C845,customer_lookup!$A:$E,5,FALSE),"")</f>
        <v>Riley</v>
      </c>
      <c r="G845" s="25" t="s">
        <v>63</v>
      </c>
      <c r="H845" s="25" t="s">
        <v>92</v>
      </c>
      <c r="I845" s="27" t="str">
        <f>IFERROR(VLOOKUP(H845,product_lookup!$A:$D,2,FALSE),"")</f>
        <v>Raspberry THC Gummies</v>
      </c>
      <c r="J845" s="29">
        <v>6.0</v>
      </c>
      <c r="K845" s="30">
        <v>10.53</v>
      </c>
      <c r="L845" s="31">
        <f t="shared" si="1"/>
        <v>63.18</v>
      </c>
      <c r="M845" s="25" t="s">
        <v>93</v>
      </c>
      <c r="N845" s="26">
        <v>46118.0</v>
      </c>
      <c r="O845" s="27">
        <f>SUMIF(inventory_snapshot!$B:$B,H845,inventory_snapshot!$E:$E)</f>
        <v>1417</v>
      </c>
      <c r="P845" s="32" t="str">
        <f t="shared" si="2"/>
        <v>OK</v>
      </c>
      <c r="Q845" s="32" t="str">
        <f t="shared" si="3"/>
        <v>OK</v>
      </c>
      <c r="R845" s="32" t="str">
        <f t="shared" si="4"/>
        <v>OK</v>
      </c>
      <c r="S845" s="32" t="str">
        <f t="shared" si="5"/>
        <v>Small</v>
      </c>
    </row>
    <row r="846" ht="15.75" customHeight="1">
      <c r="A846" s="17" t="s">
        <v>1037</v>
      </c>
      <c r="B846" s="18">
        <v>46061.0</v>
      </c>
      <c r="C846" s="17" t="s">
        <v>988</v>
      </c>
      <c r="D846" s="19" t="str">
        <f>IFERROR(VLOOKUP(C846,customer_lookup!$A:$E,2,FALSE),"")</f>
        <v>MO Account 0021</v>
      </c>
      <c r="E846" s="19" t="str">
        <f>IFERROR(VLOOKUP(C846,customer_lookup!$A:$E,3,FALSE),"")</f>
        <v>MO</v>
      </c>
      <c r="F846" s="20" t="str">
        <f>IFERROR(VLOOKUP(C846,customer_lookup!$A:$E,5,FALSE),"")</f>
        <v>Riley</v>
      </c>
      <c r="G846" s="17" t="s">
        <v>63</v>
      </c>
      <c r="H846" s="17" t="s">
        <v>81</v>
      </c>
      <c r="I846" s="19" t="str">
        <f>IFERROR(VLOOKUP(H846,product_lookup!$A:$D,2,FALSE),"")</f>
        <v>Lemon Sparkling Beverage</v>
      </c>
      <c r="J846" s="21">
        <v>12.0</v>
      </c>
      <c r="K846" s="22">
        <v>7.86</v>
      </c>
      <c r="L846" s="23">
        <f t="shared" si="1"/>
        <v>94.32</v>
      </c>
      <c r="M846" s="17" t="s">
        <v>75</v>
      </c>
      <c r="N846" s="18">
        <v>46064.0</v>
      </c>
      <c r="O846" s="19">
        <f>SUMIF(inventory_snapshot!$B:$B,H846,inventory_snapshot!$E:$E)</f>
        <v>1360</v>
      </c>
      <c r="P846" s="24" t="str">
        <f t="shared" si="2"/>
        <v>OK</v>
      </c>
      <c r="Q846" s="24" t="str">
        <f t="shared" si="3"/>
        <v>OK</v>
      </c>
      <c r="R846" s="24" t="str">
        <f t="shared" si="4"/>
        <v>OK</v>
      </c>
      <c r="S846" s="24" t="str">
        <f t="shared" si="5"/>
        <v>Small</v>
      </c>
    </row>
    <row r="847" ht="15.75" customHeight="1">
      <c r="A847" s="25" t="s">
        <v>1038</v>
      </c>
      <c r="B847" s="26">
        <v>46057.0</v>
      </c>
      <c r="C847" s="25" t="s">
        <v>1039</v>
      </c>
      <c r="D847" s="27" t="str">
        <f>IFERROR(VLOOKUP(C847,customer_lookup!$A:$E,2,FALSE),"")</f>
        <v>NM Account 0106</v>
      </c>
      <c r="E847" s="27" t="str">
        <f>IFERROR(VLOOKUP(C847,customer_lookup!$A:$E,3,FALSE),"")</f>
        <v>NM</v>
      </c>
      <c r="F847" s="28" t="str">
        <f>IFERROR(VLOOKUP(C847,customer_lookup!$A:$E,5,FALSE),"")</f>
        <v>Riley</v>
      </c>
      <c r="G847" s="25" t="s">
        <v>63</v>
      </c>
      <c r="H847" s="25" t="s">
        <v>102</v>
      </c>
      <c r="I847" s="27" t="str">
        <f>IFERROR(VLOOKUP(H847,product_lookup!$A:$D,2,FALSE),"")</f>
        <v>Pomegranate 1:1 Gummies</v>
      </c>
      <c r="J847" s="29">
        <v>120.0</v>
      </c>
      <c r="K847" s="30">
        <v>11.44</v>
      </c>
      <c r="L847" s="31">
        <f t="shared" si="1"/>
        <v>1372.8</v>
      </c>
      <c r="M847" s="25" t="s">
        <v>97</v>
      </c>
      <c r="N847" s="26">
        <v>46063.0</v>
      </c>
      <c r="O847" s="27">
        <f>SUMIF(inventory_snapshot!$B:$B,H847,inventory_snapshot!$E:$E)</f>
        <v>1493</v>
      </c>
      <c r="P847" s="32" t="str">
        <f t="shared" si="2"/>
        <v>OK</v>
      </c>
      <c r="Q847" s="32" t="str">
        <f t="shared" si="3"/>
        <v>OK</v>
      </c>
      <c r="R847" s="32" t="str">
        <f t="shared" si="4"/>
        <v>OK</v>
      </c>
      <c r="S847" s="32" t="str">
        <f t="shared" si="5"/>
        <v>Large</v>
      </c>
    </row>
    <row r="848" ht="15.75" customHeight="1">
      <c r="A848" s="17" t="s">
        <v>1040</v>
      </c>
      <c r="B848" s="18">
        <v>46126.0</v>
      </c>
      <c r="C848" s="17" t="s">
        <v>965</v>
      </c>
      <c r="D848" s="19" t="str">
        <f>IFERROR(VLOOKUP(C848,customer_lookup!$A:$E,2,FALSE),"")</f>
        <v>NY Account 0047</v>
      </c>
      <c r="E848" s="19" t="str">
        <f>IFERROR(VLOOKUP(C848,customer_lookup!$A:$E,3,FALSE),"")</f>
        <v>NY</v>
      </c>
      <c r="F848" s="20" t="str">
        <f>IFERROR(VLOOKUP(C848,customer_lookup!$A:$E,5,FALSE),"")</f>
        <v>Riley</v>
      </c>
      <c r="G848" s="17" t="s">
        <v>63</v>
      </c>
      <c r="H848" s="17" t="s">
        <v>68</v>
      </c>
      <c r="I848" s="19" t="str">
        <f>IFERROR(VLOOKUP(H848,product_lookup!$A:$D,2,FALSE),"")</f>
        <v>Sour Apple THC Gummies</v>
      </c>
      <c r="J848" s="21">
        <v>96.0</v>
      </c>
      <c r="K848" s="22">
        <v>9.51</v>
      </c>
      <c r="L848" s="23">
        <f t="shared" si="1"/>
        <v>912.96</v>
      </c>
      <c r="M848" s="17" t="s">
        <v>93</v>
      </c>
      <c r="N848" s="18">
        <v>46128.0</v>
      </c>
      <c r="O848" s="19">
        <f>SUMIF(inventory_snapshot!$B:$B,H848,inventory_snapshot!$E:$E)</f>
        <v>775</v>
      </c>
      <c r="P848" s="24" t="str">
        <f t="shared" si="2"/>
        <v>OK</v>
      </c>
      <c r="Q848" s="24" t="str">
        <f t="shared" si="3"/>
        <v>OK</v>
      </c>
      <c r="R848" s="24" t="str">
        <f t="shared" si="4"/>
        <v>OK</v>
      </c>
      <c r="S848" s="24" t="str">
        <f t="shared" si="5"/>
        <v>Medium</v>
      </c>
    </row>
    <row r="849" ht="15.75" customHeight="1">
      <c r="A849" s="25" t="s">
        <v>1041</v>
      </c>
      <c r="B849" s="26">
        <v>46112.0</v>
      </c>
      <c r="C849" s="25" t="s">
        <v>980</v>
      </c>
      <c r="D849" s="27" t="str">
        <f>IFERROR(VLOOKUP(C849,customer_lookup!$A:$E,2,FALSE),"")</f>
        <v>NY Account 0035</v>
      </c>
      <c r="E849" s="27" t="str">
        <f>IFERROR(VLOOKUP(C849,customer_lookup!$A:$E,3,FALSE),"")</f>
        <v>NY</v>
      </c>
      <c r="F849" s="28" t="str">
        <f>IFERROR(VLOOKUP(C849,customer_lookup!$A:$E,5,FALSE),"")</f>
        <v>Riley</v>
      </c>
      <c r="G849" s="25" t="s">
        <v>63</v>
      </c>
      <c r="H849" s="25" t="s">
        <v>156</v>
      </c>
      <c r="I849" s="27" t="str">
        <f>IFERROR(VLOOKUP(H849,product_lookup!$A:$D,2,FALSE),"")</f>
        <v>Blood Orange 1:1 Gummies</v>
      </c>
      <c r="J849" s="29">
        <v>60.0</v>
      </c>
      <c r="K849" s="30">
        <v>10.18</v>
      </c>
      <c r="L849" s="31">
        <f t="shared" si="1"/>
        <v>610.8</v>
      </c>
      <c r="M849" s="25" t="s">
        <v>93</v>
      </c>
      <c r="N849" s="26">
        <v>46119.0</v>
      </c>
      <c r="O849" s="27">
        <f>SUMIF(inventory_snapshot!$B:$B,H849,inventory_snapshot!$E:$E)</f>
        <v>1589</v>
      </c>
      <c r="P849" s="32" t="str">
        <f t="shared" si="2"/>
        <v>OK</v>
      </c>
      <c r="Q849" s="32" t="str">
        <f t="shared" si="3"/>
        <v>OK</v>
      </c>
      <c r="R849" s="32" t="str">
        <f t="shared" si="4"/>
        <v>OK</v>
      </c>
      <c r="S849" s="32" t="str">
        <f t="shared" si="5"/>
        <v>Medium</v>
      </c>
    </row>
    <row r="850" ht="15.75" customHeight="1">
      <c r="A850" s="17" t="s">
        <v>1042</v>
      </c>
      <c r="B850" s="18">
        <v>46069.0</v>
      </c>
      <c r="C850" s="17" t="s">
        <v>999</v>
      </c>
      <c r="D850" s="19" t="str">
        <f>IFERROR(VLOOKUP(C850,customer_lookup!$A:$E,2,FALSE),"")</f>
        <v>OK Account 0036</v>
      </c>
      <c r="E850" s="19" t="str">
        <f>IFERROR(VLOOKUP(C850,customer_lookup!$A:$E,3,FALSE),"")</f>
        <v>OK</v>
      </c>
      <c r="F850" s="20" t="str">
        <f>IFERROR(VLOOKUP(C850,customer_lookup!$A:$E,5,FALSE),"")</f>
        <v>Riley</v>
      </c>
      <c r="G850" s="17" t="s">
        <v>63</v>
      </c>
      <c r="H850" s="17" t="s">
        <v>85</v>
      </c>
      <c r="I850" s="19" t="str">
        <f>IFERROR(VLOOKUP(H850,product_lookup!$A:$D,2,FALSE),"")</f>
        <v>Huckleberry THC Gummies</v>
      </c>
      <c r="J850" s="21">
        <v>60.0</v>
      </c>
      <c r="K850" s="22">
        <v>10.69</v>
      </c>
      <c r="L850" s="23">
        <f t="shared" si="1"/>
        <v>641.4</v>
      </c>
      <c r="M850" s="17" t="s">
        <v>65</v>
      </c>
      <c r="N850" s="18">
        <v>46079.0</v>
      </c>
      <c r="O850" s="19">
        <f>SUMIF(inventory_snapshot!$B:$B,H850,inventory_snapshot!$E:$E)</f>
        <v>1841</v>
      </c>
      <c r="P850" s="24" t="str">
        <f t="shared" si="2"/>
        <v>OK</v>
      </c>
      <c r="Q850" s="24" t="str">
        <f t="shared" si="3"/>
        <v>OK</v>
      </c>
      <c r="R850" s="24" t="str">
        <f t="shared" si="4"/>
        <v>OK</v>
      </c>
      <c r="S850" s="24" t="str">
        <f t="shared" si="5"/>
        <v>Medium</v>
      </c>
    </row>
    <row r="851" ht="15.75" customHeight="1">
      <c r="A851" s="25" t="s">
        <v>1043</v>
      </c>
      <c r="B851" s="26">
        <v>46024.0</v>
      </c>
      <c r="C851" s="25" t="s">
        <v>953</v>
      </c>
      <c r="D851" s="27" t="str">
        <f>IFERROR(VLOOKUP(C851,customer_lookup!$A:$E,2,FALSE),"")</f>
        <v>OR Account 0073</v>
      </c>
      <c r="E851" s="27" t="str">
        <f>IFERROR(VLOOKUP(C851,customer_lookup!$A:$E,3,FALSE),"")</f>
        <v>OR</v>
      </c>
      <c r="F851" s="28" t="str">
        <f>IFERROR(VLOOKUP(C851,customer_lookup!$A:$E,5,FALSE),"")</f>
        <v>Riley</v>
      </c>
      <c r="G851" s="25" t="s">
        <v>63</v>
      </c>
      <c r="H851" s="25" t="s">
        <v>78</v>
      </c>
      <c r="I851" s="27" t="str">
        <f>IFERROR(VLOOKUP(H851,product_lookup!$A:$D,2,FALSE),"")</f>
        <v>Grapefruit 1:1:1 Gummies</v>
      </c>
      <c r="J851" s="29">
        <v>72.0</v>
      </c>
      <c r="K851" s="30">
        <v>10.61</v>
      </c>
      <c r="L851" s="31">
        <f t="shared" si="1"/>
        <v>763.92</v>
      </c>
      <c r="M851" s="25" t="s">
        <v>93</v>
      </c>
      <c r="N851" s="26">
        <v>46032.0</v>
      </c>
      <c r="O851" s="27">
        <f>SUMIF(inventory_snapshot!$B:$B,H851,inventory_snapshot!$E:$E)</f>
        <v>1751</v>
      </c>
      <c r="P851" s="32" t="str">
        <f t="shared" si="2"/>
        <v>OK</v>
      </c>
      <c r="Q851" s="32" t="str">
        <f t="shared" si="3"/>
        <v>OK</v>
      </c>
      <c r="R851" s="32" t="str">
        <f t="shared" si="4"/>
        <v>OK</v>
      </c>
      <c r="S851" s="32" t="str">
        <f t="shared" si="5"/>
        <v>Medium</v>
      </c>
    </row>
    <row r="852" ht="15.75" customHeight="1">
      <c r="A852" s="17" t="s">
        <v>1044</v>
      </c>
      <c r="B852" s="18">
        <v>46142.0</v>
      </c>
      <c r="C852" s="17" t="s">
        <v>968</v>
      </c>
      <c r="D852" s="19" t="str">
        <f>IFERROR(VLOOKUP(C852,customer_lookup!$A:$E,2,FALSE),"")</f>
        <v>NY Account 0083</v>
      </c>
      <c r="E852" s="19" t="str">
        <f>IFERROR(VLOOKUP(C852,customer_lookup!$A:$E,3,FALSE),"")</f>
        <v>NY</v>
      </c>
      <c r="F852" s="20" t="str">
        <f>IFERROR(VLOOKUP(C852,customer_lookup!$A:$E,5,FALSE),"")</f>
        <v>Riley</v>
      </c>
      <c r="G852" s="17" t="s">
        <v>63</v>
      </c>
      <c r="H852" s="17" t="s">
        <v>85</v>
      </c>
      <c r="I852" s="19" t="str">
        <f>IFERROR(VLOOKUP(H852,product_lookup!$A:$D,2,FALSE),"")</f>
        <v>Huckleberry THC Gummies</v>
      </c>
      <c r="J852" s="21">
        <v>60.0</v>
      </c>
      <c r="K852" s="22">
        <v>10.31</v>
      </c>
      <c r="L852" s="23">
        <f t="shared" si="1"/>
        <v>618.6</v>
      </c>
      <c r="M852" s="17" t="s">
        <v>65</v>
      </c>
      <c r="N852" s="18">
        <v>46150.0</v>
      </c>
      <c r="O852" s="19">
        <f>SUMIF(inventory_snapshot!$B:$B,H852,inventory_snapshot!$E:$E)</f>
        <v>1841</v>
      </c>
      <c r="P852" s="24" t="str">
        <f t="shared" si="2"/>
        <v>OK</v>
      </c>
      <c r="Q852" s="24" t="str">
        <f t="shared" si="3"/>
        <v>OK</v>
      </c>
      <c r="R852" s="24" t="str">
        <f t="shared" si="4"/>
        <v>OK</v>
      </c>
      <c r="S852" s="24" t="str">
        <f t="shared" si="5"/>
        <v>Medium</v>
      </c>
    </row>
    <row r="853" ht="15.75" customHeight="1">
      <c r="A853" s="25" t="s">
        <v>1045</v>
      </c>
      <c r="B853" s="26">
        <v>46047.0</v>
      </c>
      <c r="C853" s="25" t="s">
        <v>957</v>
      </c>
      <c r="D853" s="27" t="str">
        <f>IFERROR(VLOOKUP(C853,customer_lookup!$A:$E,2,FALSE),"")</f>
        <v>NV Account 0102</v>
      </c>
      <c r="E853" s="27" t="str">
        <f>IFERROR(VLOOKUP(C853,customer_lookup!$A:$E,3,FALSE),"")</f>
        <v>NV</v>
      </c>
      <c r="F853" s="28" t="str">
        <f>IFERROR(VLOOKUP(C853,customer_lookup!$A:$E,5,FALSE),"")</f>
        <v>Riley</v>
      </c>
      <c r="G853" s="25" t="s">
        <v>63</v>
      </c>
      <c r="H853" s="25" t="s">
        <v>81</v>
      </c>
      <c r="I853" s="27" t="str">
        <f>IFERROR(VLOOKUP(H853,product_lookup!$A:$D,2,FALSE),"")</f>
        <v>Lemon Sparkling Beverage</v>
      </c>
      <c r="J853" s="29">
        <v>12.0</v>
      </c>
      <c r="K853" s="30">
        <v>6.96</v>
      </c>
      <c r="L853" s="31">
        <f t="shared" si="1"/>
        <v>83.52</v>
      </c>
      <c r="M853" s="25" t="s">
        <v>137</v>
      </c>
      <c r="N853" s="26">
        <v>46048.0</v>
      </c>
      <c r="O853" s="27">
        <f>SUMIF(inventory_snapshot!$B:$B,H853,inventory_snapshot!$E:$E)</f>
        <v>1360</v>
      </c>
      <c r="P853" s="32" t="str">
        <f t="shared" si="2"/>
        <v>OK</v>
      </c>
      <c r="Q853" s="32" t="str">
        <f t="shared" si="3"/>
        <v>OK</v>
      </c>
      <c r="R853" s="32" t="str">
        <f t="shared" si="4"/>
        <v>OK</v>
      </c>
      <c r="S853" s="32" t="str">
        <f t="shared" si="5"/>
        <v>Small</v>
      </c>
    </row>
    <row r="854" ht="15.75" customHeight="1">
      <c r="A854" s="17" t="s">
        <v>1046</v>
      </c>
      <c r="B854" s="18">
        <v>46080.0</v>
      </c>
      <c r="C854" s="17" t="s">
        <v>968</v>
      </c>
      <c r="D854" s="19" t="str">
        <f>IFERROR(VLOOKUP(C854,customer_lookup!$A:$E,2,FALSE),"")</f>
        <v>NY Account 0083</v>
      </c>
      <c r="E854" s="19" t="str">
        <f>IFERROR(VLOOKUP(C854,customer_lookup!$A:$E,3,FALSE),"")</f>
        <v>NY</v>
      </c>
      <c r="F854" s="20" t="str">
        <f>IFERROR(VLOOKUP(C854,customer_lookup!$A:$E,5,FALSE),"")</f>
        <v>Riley</v>
      </c>
      <c r="G854" s="17" t="s">
        <v>63</v>
      </c>
      <c r="H854" s="17" t="s">
        <v>68</v>
      </c>
      <c r="I854" s="19" t="str">
        <f>IFERROR(VLOOKUP(H854,product_lookup!$A:$D,2,FALSE),"")</f>
        <v>Sour Apple THC Gummies</v>
      </c>
      <c r="J854" s="21">
        <v>48.0</v>
      </c>
      <c r="K854" s="22">
        <v>9.49</v>
      </c>
      <c r="L854" s="23">
        <f t="shared" si="1"/>
        <v>455.52</v>
      </c>
      <c r="M854" s="17" t="s">
        <v>97</v>
      </c>
      <c r="N854" s="18">
        <v>46086.0</v>
      </c>
      <c r="O854" s="19">
        <f>SUMIF(inventory_snapshot!$B:$B,H854,inventory_snapshot!$E:$E)</f>
        <v>775</v>
      </c>
      <c r="P854" s="24" t="str">
        <f t="shared" si="2"/>
        <v>OK</v>
      </c>
      <c r="Q854" s="24" t="str">
        <f t="shared" si="3"/>
        <v>OK</v>
      </c>
      <c r="R854" s="24" t="str">
        <f t="shared" si="4"/>
        <v>OK</v>
      </c>
      <c r="S854" s="24" t="str">
        <f t="shared" si="5"/>
        <v>Small</v>
      </c>
    </row>
    <row r="855" ht="15.75" customHeight="1">
      <c r="A855" s="25" t="s">
        <v>1047</v>
      </c>
      <c r="B855" s="26">
        <v>46138.0</v>
      </c>
      <c r="C855" s="25" t="s">
        <v>968</v>
      </c>
      <c r="D855" s="27" t="str">
        <f>IFERROR(VLOOKUP(C855,customer_lookup!$A:$E,2,FALSE),"")</f>
        <v>NY Account 0083</v>
      </c>
      <c r="E855" s="27" t="str">
        <f>IFERROR(VLOOKUP(C855,customer_lookup!$A:$E,3,FALSE),"")</f>
        <v>NY</v>
      </c>
      <c r="F855" s="28" t="str">
        <f>IFERROR(VLOOKUP(C855,customer_lookup!$A:$E,5,FALSE),"")</f>
        <v>Riley</v>
      </c>
      <c r="G855" s="25" t="s">
        <v>67</v>
      </c>
      <c r="H855" s="25" t="s">
        <v>85</v>
      </c>
      <c r="I855" s="27" t="str">
        <f>IFERROR(VLOOKUP(H855,product_lookup!$A:$D,2,FALSE),"")</f>
        <v>Huckleberry THC Gummies</v>
      </c>
      <c r="J855" s="29">
        <v>96.0</v>
      </c>
      <c r="K855" s="30">
        <v>9.34</v>
      </c>
      <c r="L855" s="31">
        <f t="shared" si="1"/>
        <v>896.64</v>
      </c>
      <c r="M855" s="25" t="s">
        <v>65</v>
      </c>
      <c r="N855" s="26">
        <v>46147.0</v>
      </c>
      <c r="O855" s="27">
        <f>SUMIF(inventory_snapshot!$B:$B,H855,inventory_snapshot!$E:$E)</f>
        <v>1841</v>
      </c>
      <c r="P855" s="32" t="str">
        <f t="shared" si="2"/>
        <v>OK</v>
      </c>
      <c r="Q855" s="32" t="str">
        <f t="shared" si="3"/>
        <v>OK</v>
      </c>
      <c r="R855" s="32" t="str">
        <f t="shared" si="4"/>
        <v>OK</v>
      </c>
      <c r="S855" s="32" t="str">
        <f t="shared" si="5"/>
        <v>Medium</v>
      </c>
    </row>
    <row r="856" ht="15.75" customHeight="1">
      <c r="A856" s="17" t="s">
        <v>1048</v>
      </c>
      <c r="B856" s="18">
        <v>46117.0</v>
      </c>
      <c r="C856" s="17" t="s">
        <v>984</v>
      </c>
      <c r="D856" s="19" t="str">
        <f>IFERROR(VLOOKUP(C856,customer_lookup!$A:$E,2,FALSE),"")</f>
        <v>WA Account 0086</v>
      </c>
      <c r="E856" s="19" t="str">
        <f>IFERROR(VLOOKUP(C856,customer_lookup!$A:$E,3,FALSE),"")</f>
        <v>WA</v>
      </c>
      <c r="F856" s="20" t="str">
        <f>IFERROR(VLOOKUP(C856,customer_lookup!$A:$E,5,FALSE),"")</f>
        <v>Riley</v>
      </c>
      <c r="G856" s="17" t="s">
        <v>67</v>
      </c>
      <c r="H856" s="17" t="s">
        <v>74</v>
      </c>
      <c r="I856" s="19" t="str">
        <f>IFERROR(VLOOKUP(H856,product_lookup!$A:$D,2,FALSE),"")</f>
        <v>Strawberry 20:1 Gummies</v>
      </c>
      <c r="J856" s="21">
        <v>30.0</v>
      </c>
      <c r="K856" s="22">
        <v>11.84</v>
      </c>
      <c r="L856" s="23">
        <f t="shared" si="1"/>
        <v>355.2</v>
      </c>
      <c r="M856" s="17" t="s">
        <v>65</v>
      </c>
      <c r="N856" s="18">
        <v>46127.0</v>
      </c>
      <c r="O856" s="19">
        <f>SUMIF(inventory_snapshot!$B:$B,H856,inventory_snapshot!$E:$E)</f>
        <v>2294</v>
      </c>
      <c r="P856" s="24" t="str">
        <f t="shared" si="2"/>
        <v>OK</v>
      </c>
      <c r="Q856" s="24" t="str">
        <f t="shared" si="3"/>
        <v>OK</v>
      </c>
      <c r="R856" s="24" t="str">
        <f t="shared" si="4"/>
        <v>OK</v>
      </c>
      <c r="S856" s="24" t="str">
        <f t="shared" si="5"/>
        <v>Small</v>
      </c>
    </row>
    <row r="857" ht="15.75" customHeight="1">
      <c r="A857" s="25" t="s">
        <v>1049</v>
      </c>
      <c r="B857" s="26">
        <v>46047.0</v>
      </c>
      <c r="C857" s="25" t="s">
        <v>953</v>
      </c>
      <c r="D857" s="27" t="str">
        <f>IFERROR(VLOOKUP(C857,customer_lookup!$A:$E,2,FALSE),"")</f>
        <v>OR Account 0073</v>
      </c>
      <c r="E857" s="27" t="str">
        <f>IFERROR(VLOOKUP(C857,customer_lookup!$A:$E,3,FALSE),"")</f>
        <v>OR</v>
      </c>
      <c r="F857" s="28" t="str">
        <f>IFERROR(VLOOKUP(C857,customer_lookup!$A:$E,5,FALSE),"")</f>
        <v>Riley</v>
      </c>
      <c r="G857" s="25" t="s">
        <v>67</v>
      </c>
      <c r="H857" s="25" t="s">
        <v>190</v>
      </c>
      <c r="I857" s="27" t="str">
        <f>IFERROR(VLOOKUP(H857,product_lookup!$A:$D,2,FALSE),"")</f>
        <v>Mango Sparkling Beverage</v>
      </c>
      <c r="J857" s="29">
        <v>60.0</v>
      </c>
      <c r="K857" s="30">
        <v>7.5</v>
      </c>
      <c r="L857" s="31">
        <f t="shared" si="1"/>
        <v>450</v>
      </c>
      <c r="M857" s="25" t="s">
        <v>100</v>
      </c>
      <c r="N857" s="26">
        <v>46056.0</v>
      </c>
      <c r="O857" s="27">
        <f>SUMIF(inventory_snapshot!$B:$B,H857,inventory_snapshot!$E:$E)</f>
        <v>1502</v>
      </c>
      <c r="P857" s="32" t="str">
        <f t="shared" si="2"/>
        <v>OK</v>
      </c>
      <c r="Q857" s="32" t="str">
        <f t="shared" si="3"/>
        <v>OK</v>
      </c>
      <c r="R857" s="32" t="str">
        <f t="shared" si="4"/>
        <v>OK</v>
      </c>
      <c r="S857" s="32" t="str">
        <f t="shared" si="5"/>
        <v>Small</v>
      </c>
    </row>
    <row r="858" ht="15.75" customHeight="1">
      <c r="A858" s="17" t="s">
        <v>1050</v>
      </c>
      <c r="B858" s="18">
        <v>46057.0</v>
      </c>
      <c r="C858" s="17" t="s">
        <v>950</v>
      </c>
      <c r="D858" s="19" t="str">
        <f>IFERROR(VLOOKUP(C858,customer_lookup!$A:$E,2,FALSE),"")</f>
        <v>WA Account 0050</v>
      </c>
      <c r="E858" s="19" t="str">
        <f>IFERROR(VLOOKUP(C858,customer_lookup!$A:$E,3,FALSE),"")</f>
        <v>WA</v>
      </c>
      <c r="F858" s="20" t="str">
        <f>IFERROR(VLOOKUP(C858,customer_lookup!$A:$E,5,FALSE),"")</f>
        <v>Riley</v>
      </c>
      <c r="G858" s="17" t="s">
        <v>63</v>
      </c>
      <c r="H858" s="17" t="s">
        <v>78</v>
      </c>
      <c r="I858" s="19" t="str">
        <f>IFERROR(VLOOKUP(H858,product_lookup!$A:$D,2,FALSE),"")</f>
        <v>Grapefruit 1:1:1 Gummies</v>
      </c>
      <c r="J858" s="21">
        <v>6.0</v>
      </c>
      <c r="K858" s="22">
        <v>10.36</v>
      </c>
      <c r="L858" s="23">
        <f t="shared" si="1"/>
        <v>62.16</v>
      </c>
      <c r="M858" s="17" t="s">
        <v>65</v>
      </c>
      <c r="N858" s="18">
        <v>46058.0</v>
      </c>
      <c r="O858" s="19">
        <f>SUMIF(inventory_snapshot!$B:$B,H858,inventory_snapshot!$E:$E)</f>
        <v>1751</v>
      </c>
      <c r="P858" s="24" t="str">
        <f t="shared" si="2"/>
        <v>OK</v>
      </c>
      <c r="Q858" s="24" t="str">
        <f t="shared" si="3"/>
        <v>OK</v>
      </c>
      <c r="R858" s="24" t="str">
        <f t="shared" si="4"/>
        <v>OK</v>
      </c>
      <c r="S858" s="24" t="str">
        <f t="shared" si="5"/>
        <v>Small</v>
      </c>
    </row>
    <row r="859" ht="15.75" customHeight="1">
      <c r="A859" s="25" t="s">
        <v>1051</v>
      </c>
      <c r="B859" s="26">
        <v>46080.0</v>
      </c>
      <c r="C859" s="25" t="s">
        <v>953</v>
      </c>
      <c r="D859" s="27" t="str">
        <f>IFERROR(VLOOKUP(C859,customer_lookup!$A:$E,2,FALSE),"")</f>
        <v>OR Account 0073</v>
      </c>
      <c r="E859" s="27" t="str">
        <f>IFERROR(VLOOKUP(C859,customer_lookup!$A:$E,3,FALSE),"")</f>
        <v>OR</v>
      </c>
      <c r="F859" s="28" t="str">
        <f>IFERROR(VLOOKUP(C859,customer_lookup!$A:$E,5,FALSE),"")</f>
        <v>Riley</v>
      </c>
      <c r="G859" s="25" t="s">
        <v>67</v>
      </c>
      <c r="H859" s="25" t="s">
        <v>108</v>
      </c>
      <c r="I859" s="27" t="str">
        <f>IFERROR(VLOOKUP(H859,product_lookup!$A:$D,2,FALSE),"")</f>
        <v>Sour Tangerine THC Gummies</v>
      </c>
      <c r="J859" s="29">
        <v>12.0</v>
      </c>
      <c r="K859" s="30">
        <v>11.49</v>
      </c>
      <c r="L859" s="31">
        <f t="shared" si="1"/>
        <v>137.88</v>
      </c>
      <c r="M859" s="25" t="s">
        <v>65</v>
      </c>
      <c r="N859" s="26">
        <v>46083.0</v>
      </c>
      <c r="O859" s="27">
        <f>SUMIF(inventory_snapshot!$B:$B,H859,inventory_snapshot!$E:$E)</f>
        <v>1679</v>
      </c>
      <c r="P859" s="32" t="str">
        <f t="shared" si="2"/>
        <v>OK</v>
      </c>
      <c r="Q859" s="32" t="str">
        <f t="shared" si="3"/>
        <v>OK</v>
      </c>
      <c r="R859" s="32" t="str">
        <f t="shared" si="4"/>
        <v>OK</v>
      </c>
      <c r="S859" s="32" t="str">
        <f t="shared" si="5"/>
        <v>Small</v>
      </c>
    </row>
    <row r="860" ht="15.75" customHeight="1">
      <c r="A860" s="17" t="s">
        <v>1052</v>
      </c>
      <c r="B860" s="18">
        <v>46104.0</v>
      </c>
      <c r="C860" s="17" t="s">
        <v>974</v>
      </c>
      <c r="D860" s="19" t="str">
        <f>IFERROR(VLOOKUP(C860,customer_lookup!$A:$E,2,FALSE),"")</f>
        <v>CO Account 0088</v>
      </c>
      <c r="E860" s="19" t="str">
        <f>IFERROR(VLOOKUP(C860,customer_lookup!$A:$E,3,FALSE),"")</f>
        <v>CO</v>
      </c>
      <c r="F860" s="20" t="str">
        <f>IFERROR(VLOOKUP(C860,customer_lookup!$A:$E,5,FALSE),"")</f>
        <v>Riley</v>
      </c>
      <c r="G860" s="17" t="s">
        <v>63</v>
      </c>
      <c r="H860" s="17" t="s">
        <v>92</v>
      </c>
      <c r="I860" s="19" t="str">
        <f>IFERROR(VLOOKUP(H860,product_lookup!$A:$D,2,FALSE),"")</f>
        <v>Raspberry THC Gummies</v>
      </c>
      <c r="J860" s="21">
        <v>30.0</v>
      </c>
      <c r="K860" s="22">
        <v>11.51</v>
      </c>
      <c r="L860" s="23">
        <f t="shared" si="1"/>
        <v>345.3</v>
      </c>
      <c r="M860" s="17" t="s">
        <v>65</v>
      </c>
      <c r="N860" s="18">
        <v>46110.0</v>
      </c>
      <c r="O860" s="19">
        <f>SUMIF(inventory_snapshot!$B:$B,H860,inventory_snapshot!$E:$E)</f>
        <v>1417</v>
      </c>
      <c r="P860" s="24" t="str">
        <f t="shared" si="2"/>
        <v>OK</v>
      </c>
      <c r="Q860" s="24" t="str">
        <f t="shared" si="3"/>
        <v>OK</v>
      </c>
      <c r="R860" s="24" t="str">
        <f t="shared" si="4"/>
        <v>OK</v>
      </c>
      <c r="S860" s="24" t="str">
        <f t="shared" si="5"/>
        <v>Small</v>
      </c>
    </row>
    <row r="861" ht="15.75" customHeight="1">
      <c r="A861" s="25" t="s">
        <v>1053</v>
      </c>
      <c r="B861" s="26">
        <v>46058.0</v>
      </c>
      <c r="C861" s="25" t="s">
        <v>965</v>
      </c>
      <c r="D861" s="27" t="str">
        <f>IFERROR(VLOOKUP(C861,customer_lookup!$A:$E,2,FALSE),"")</f>
        <v>NY Account 0047</v>
      </c>
      <c r="E861" s="27" t="str">
        <f>IFERROR(VLOOKUP(C861,customer_lookup!$A:$E,3,FALSE),"")</f>
        <v>NY</v>
      </c>
      <c r="F861" s="28" t="str">
        <f>IFERROR(VLOOKUP(C861,customer_lookup!$A:$E,5,FALSE),"")</f>
        <v>Riley</v>
      </c>
      <c r="G861" s="25" t="s">
        <v>63</v>
      </c>
      <c r="H861" s="25" t="s">
        <v>95</v>
      </c>
      <c r="I861" s="27" t="str">
        <f>IFERROR(VLOOKUP(H861,product_lookup!$A:$D,2,FALSE),"")</f>
        <v>Boysenberry 1:1:1 Gummies</v>
      </c>
      <c r="J861" s="29">
        <v>60.0</v>
      </c>
      <c r="K861" s="30">
        <v>11.35</v>
      </c>
      <c r="L861" s="31">
        <f t="shared" si="1"/>
        <v>681</v>
      </c>
      <c r="M861" s="25" t="s">
        <v>65</v>
      </c>
      <c r="N861" s="26">
        <v>46062.0</v>
      </c>
      <c r="O861" s="27">
        <f>SUMIF(inventory_snapshot!$B:$B,H861,inventory_snapshot!$E:$E)</f>
        <v>2007</v>
      </c>
      <c r="P861" s="32" t="str">
        <f t="shared" si="2"/>
        <v>OK</v>
      </c>
      <c r="Q861" s="32" t="str">
        <f t="shared" si="3"/>
        <v>OK</v>
      </c>
      <c r="R861" s="32" t="str">
        <f t="shared" si="4"/>
        <v>OK</v>
      </c>
      <c r="S861" s="32" t="str">
        <f t="shared" si="5"/>
        <v>Medium</v>
      </c>
    </row>
    <row r="862" ht="15.75" customHeight="1">
      <c r="A862" s="17" t="s">
        <v>1054</v>
      </c>
      <c r="B862" s="18">
        <v>46131.0</v>
      </c>
      <c r="C862" s="17" t="s">
        <v>999</v>
      </c>
      <c r="D862" s="19" t="str">
        <f>IFERROR(VLOOKUP(C862,customer_lookup!$A:$E,2,FALSE),"")</f>
        <v>OK Account 0036</v>
      </c>
      <c r="E862" s="19" t="str">
        <f>IFERROR(VLOOKUP(C862,customer_lookup!$A:$E,3,FALSE),"")</f>
        <v>OK</v>
      </c>
      <c r="F862" s="20" t="str">
        <f>IFERROR(VLOOKUP(C862,customer_lookup!$A:$E,5,FALSE),"")</f>
        <v>Riley</v>
      </c>
      <c r="G862" s="17" t="s">
        <v>67</v>
      </c>
      <c r="H862" s="17" t="s">
        <v>162</v>
      </c>
      <c r="I862" s="19" t="str">
        <f>IFERROR(VLOOKUP(H862,product_lookup!$A:$D,2,FALSE),"")</f>
        <v>Marionberry THC Gummies</v>
      </c>
      <c r="J862" s="21">
        <v>120.0</v>
      </c>
      <c r="K862" s="22">
        <v>9.27</v>
      </c>
      <c r="L862" s="23">
        <f t="shared" si="1"/>
        <v>1112.4</v>
      </c>
      <c r="M862" s="17" t="s">
        <v>93</v>
      </c>
      <c r="N862" s="18">
        <v>46141.0</v>
      </c>
      <c r="O862" s="19">
        <f>SUMIF(inventory_snapshot!$B:$B,H862,inventory_snapshot!$E:$E)</f>
        <v>1599</v>
      </c>
      <c r="P862" s="24" t="str">
        <f t="shared" si="2"/>
        <v>OK</v>
      </c>
      <c r="Q862" s="24" t="str">
        <f t="shared" si="3"/>
        <v>OK</v>
      </c>
      <c r="R862" s="24" t="str">
        <f t="shared" si="4"/>
        <v>OK</v>
      </c>
      <c r="S862" s="24" t="str">
        <f t="shared" si="5"/>
        <v>Large</v>
      </c>
    </row>
    <row r="863" ht="15.75" customHeight="1">
      <c r="A863" s="25" t="s">
        <v>1055</v>
      </c>
      <c r="B863" s="26">
        <v>46143.0</v>
      </c>
      <c r="C863" s="25" t="s">
        <v>961</v>
      </c>
      <c r="D863" s="27" t="str">
        <f>IFERROR(VLOOKUP(C863,customer_lookup!$A:$E,2,FALSE),"")</f>
        <v>NY Account 0059</v>
      </c>
      <c r="E863" s="27" t="str">
        <f>IFERROR(VLOOKUP(C863,customer_lookup!$A:$E,3,FALSE),"")</f>
        <v>NY</v>
      </c>
      <c r="F863" s="28" t="str">
        <f>IFERROR(VLOOKUP(C863,customer_lookup!$A:$E,5,FALSE),"")</f>
        <v>Riley</v>
      </c>
      <c r="G863" s="25" t="s">
        <v>63</v>
      </c>
      <c r="H863" s="25" t="s">
        <v>156</v>
      </c>
      <c r="I863" s="27" t="str">
        <f>IFERROR(VLOOKUP(H863,product_lookup!$A:$D,2,FALSE),"")</f>
        <v>Blood Orange 1:1 Gummies</v>
      </c>
      <c r="J863" s="29">
        <v>48.0</v>
      </c>
      <c r="K863" s="30">
        <v>10.28</v>
      </c>
      <c r="L863" s="31">
        <f t="shared" si="1"/>
        <v>493.44</v>
      </c>
      <c r="M863" s="25" t="s">
        <v>93</v>
      </c>
      <c r="N863" s="26">
        <v>46149.0</v>
      </c>
      <c r="O863" s="27">
        <f>SUMIF(inventory_snapshot!$B:$B,H863,inventory_snapshot!$E:$E)</f>
        <v>1589</v>
      </c>
      <c r="P863" s="32" t="str">
        <f t="shared" si="2"/>
        <v>OK</v>
      </c>
      <c r="Q863" s="32" t="str">
        <f t="shared" si="3"/>
        <v>OK</v>
      </c>
      <c r="R863" s="32" t="str">
        <f t="shared" si="4"/>
        <v>OK</v>
      </c>
      <c r="S863" s="32" t="str">
        <f t="shared" si="5"/>
        <v>Small</v>
      </c>
    </row>
    <row r="864" ht="15.75" customHeight="1">
      <c r="A864" s="17" t="s">
        <v>1056</v>
      </c>
      <c r="B864" s="18">
        <v>46110.0</v>
      </c>
      <c r="C864" s="17" t="s">
        <v>999</v>
      </c>
      <c r="D864" s="19" t="str">
        <f>IFERROR(VLOOKUP(C864,customer_lookup!$A:$E,2,FALSE),"")</f>
        <v>OK Account 0036</v>
      </c>
      <c r="E864" s="19" t="str">
        <f>IFERROR(VLOOKUP(C864,customer_lookup!$A:$E,3,FALSE),"")</f>
        <v>OK</v>
      </c>
      <c r="F864" s="20" t="str">
        <f>IFERROR(VLOOKUP(C864,customer_lookup!$A:$E,5,FALSE),"")</f>
        <v>Riley</v>
      </c>
      <c r="G864" s="17" t="s">
        <v>67</v>
      </c>
      <c r="H864" s="17" t="s">
        <v>78</v>
      </c>
      <c r="I864" s="19" t="str">
        <f>IFERROR(VLOOKUP(H864,product_lookup!$A:$D,2,FALSE),"")</f>
        <v>Grapefruit 1:1:1 Gummies</v>
      </c>
      <c r="J864" s="21">
        <v>72.0</v>
      </c>
      <c r="K864" s="22">
        <v>10.68</v>
      </c>
      <c r="L864" s="23">
        <f t="shared" si="1"/>
        <v>768.96</v>
      </c>
      <c r="M864" s="17" t="s">
        <v>97</v>
      </c>
      <c r="N864" s="18">
        <v>46114.0</v>
      </c>
      <c r="O864" s="19">
        <f>SUMIF(inventory_snapshot!$B:$B,H864,inventory_snapshot!$E:$E)</f>
        <v>1751</v>
      </c>
      <c r="P864" s="24" t="str">
        <f t="shared" si="2"/>
        <v>OK</v>
      </c>
      <c r="Q864" s="24" t="str">
        <f t="shared" si="3"/>
        <v>OK</v>
      </c>
      <c r="R864" s="24" t="str">
        <f t="shared" si="4"/>
        <v>OK</v>
      </c>
      <c r="S864" s="24" t="str">
        <f t="shared" si="5"/>
        <v>Medium</v>
      </c>
    </row>
    <row r="865" ht="15.75" customHeight="1">
      <c r="A865" s="25" t="s">
        <v>1057</v>
      </c>
      <c r="B865" s="26">
        <v>46070.0</v>
      </c>
      <c r="C865" s="25" t="s">
        <v>968</v>
      </c>
      <c r="D865" s="27" t="str">
        <f>IFERROR(VLOOKUP(C865,customer_lookup!$A:$E,2,FALSE),"")</f>
        <v>NY Account 0083</v>
      </c>
      <c r="E865" s="27" t="str">
        <f>IFERROR(VLOOKUP(C865,customer_lookup!$A:$E,3,FALSE),"")</f>
        <v>NY</v>
      </c>
      <c r="F865" s="28" t="str">
        <f>IFERROR(VLOOKUP(C865,customer_lookup!$A:$E,5,FALSE),"")</f>
        <v>Riley</v>
      </c>
      <c r="G865" s="25" t="s">
        <v>67</v>
      </c>
      <c r="H865" s="25" t="s">
        <v>190</v>
      </c>
      <c r="I865" s="27" t="str">
        <f>IFERROR(VLOOKUP(H865,product_lookup!$A:$D,2,FALSE),"")</f>
        <v>Mango Sparkling Beverage</v>
      </c>
      <c r="J865" s="29">
        <v>60.0</v>
      </c>
      <c r="K865" s="30">
        <v>7.53</v>
      </c>
      <c r="L865" s="31">
        <f t="shared" si="1"/>
        <v>451.8</v>
      </c>
      <c r="M865" s="25" t="s">
        <v>97</v>
      </c>
      <c r="N865" s="26">
        <v>46079.0</v>
      </c>
      <c r="O865" s="27">
        <f>SUMIF(inventory_snapshot!$B:$B,H865,inventory_snapshot!$E:$E)</f>
        <v>1502</v>
      </c>
      <c r="P865" s="32" t="str">
        <f t="shared" si="2"/>
        <v>OK</v>
      </c>
      <c r="Q865" s="32" t="str">
        <f t="shared" si="3"/>
        <v>OK</v>
      </c>
      <c r="R865" s="32" t="str">
        <f t="shared" si="4"/>
        <v>OK</v>
      </c>
      <c r="S865" s="32" t="str">
        <f t="shared" si="5"/>
        <v>Small</v>
      </c>
    </row>
    <row r="866" ht="15.75" customHeight="1">
      <c r="A866" s="17" t="s">
        <v>1058</v>
      </c>
      <c r="B866" s="18">
        <v>46073.0</v>
      </c>
      <c r="C866" s="17" t="s">
        <v>953</v>
      </c>
      <c r="D866" s="19" t="str">
        <f>IFERROR(VLOOKUP(C866,customer_lookup!$A:$E,2,FALSE),"")</f>
        <v>OR Account 0073</v>
      </c>
      <c r="E866" s="19" t="str">
        <f>IFERROR(VLOOKUP(C866,customer_lookup!$A:$E,3,FALSE),"")</f>
        <v>OR</v>
      </c>
      <c r="F866" s="20" t="str">
        <f>IFERROR(VLOOKUP(C866,customer_lookup!$A:$E,5,FALSE),"")</f>
        <v>Riley</v>
      </c>
      <c r="G866" s="17" t="s">
        <v>63</v>
      </c>
      <c r="H866" s="17" t="s">
        <v>78</v>
      </c>
      <c r="I866" s="19" t="str">
        <f>IFERROR(VLOOKUP(H866,product_lookup!$A:$D,2,FALSE),"")</f>
        <v>Grapefruit 1:1:1 Gummies</v>
      </c>
      <c r="J866" s="21">
        <v>6.0</v>
      </c>
      <c r="K866" s="22">
        <v>10.19</v>
      </c>
      <c r="L866" s="23">
        <f t="shared" si="1"/>
        <v>61.14</v>
      </c>
      <c r="M866" s="17" t="s">
        <v>65</v>
      </c>
      <c r="N866" s="18">
        <v>46082.0</v>
      </c>
      <c r="O866" s="19">
        <f>SUMIF(inventory_snapshot!$B:$B,H866,inventory_snapshot!$E:$E)</f>
        <v>1751</v>
      </c>
      <c r="P866" s="24" t="str">
        <f t="shared" si="2"/>
        <v>OK</v>
      </c>
      <c r="Q866" s="24" t="str">
        <f t="shared" si="3"/>
        <v>OK</v>
      </c>
      <c r="R866" s="24" t="str">
        <f t="shared" si="4"/>
        <v>OK</v>
      </c>
      <c r="S866" s="24" t="str">
        <f t="shared" si="5"/>
        <v>Small</v>
      </c>
    </row>
    <row r="867" ht="15.75" customHeight="1">
      <c r="A867" s="25" t="s">
        <v>1059</v>
      </c>
      <c r="B867" s="26">
        <v>46119.0</v>
      </c>
      <c r="C867" s="25" t="s">
        <v>968</v>
      </c>
      <c r="D867" s="27" t="str">
        <f>IFERROR(VLOOKUP(C867,customer_lookup!$A:$E,2,FALSE),"")</f>
        <v>NY Account 0083</v>
      </c>
      <c r="E867" s="27" t="str">
        <f>IFERROR(VLOOKUP(C867,customer_lookup!$A:$E,3,FALSE),"")</f>
        <v>NY</v>
      </c>
      <c r="F867" s="28" t="str">
        <f>IFERROR(VLOOKUP(C867,customer_lookup!$A:$E,5,FALSE),"")</f>
        <v>Riley</v>
      </c>
      <c r="G867" s="25" t="s">
        <v>63</v>
      </c>
      <c r="H867" s="25" t="s">
        <v>102</v>
      </c>
      <c r="I867" s="27" t="str">
        <f>IFERROR(VLOOKUP(H867,product_lookup!$A:$D,2,FALSE),"")</f>
        <v>Pomegranate 1:1 Gummies</v>
      </c>
      <c r="J867" s="29">
        <v>6.0</v>
      </c>
      <c r="K867" s="30">
        <v>10.4</v>
      </c>
      <c r="L867" s="31">
        <f t="shared" si="1"/>
        <v>62.4</v>
      </c>
      <c r="M867" s="25" t="s">
        <v>65</v>
      </c>
      <c r="N867" s="26">
        <v>46123.0</v>
      </c>
      <c r="O867" s="27">
        <f>SUMIF(inventory_snapshot!$B:$B,H867,inventory_snapshot!$E:$E)</f>
        <v>1493</v>
      </c>
      <c r="P867" s="32" t="str">
        <f t="shared" si="2"/>
        <v>OK</v>
      </c>
      <c r="Q867" s="32" t="str">
        <f t="shared" si="3"/>
        <v>OK</v>
      </c>
      <c r="R867" s="32" t="str">
        <f t="shared" si="4"/>
        <v>OK</v>
      </c>
      <c r="S867" s="32" t="str">
        <f t="shared" si="5"/>
        <v>Small</v>
      </c>
    </row>
    <row r="868" ht="15.75" customHeight="1">
      <c r="A868" s="17" t="s">
        <v>1060</v>
      </c>
      <c r="B868" s="18">
        <v>46125.0</v>
      </c>
      <c r="C868" s="17" t="s">
        <v>984</v>
      </c>
      <c r="D868" s="19" t="str">
        <f>IFERROR(VLOOKUP(C868,customer_lookup!$A:$E,2,FALSE),"")</f>
        <v>WA Account 0086</v>
      </c>
      <c r="E868" s="19" t="str">
        <f>IFERROR(VLOOKUP(C868,customer_lookup!$A:$E,3,FALSE),"")</f>
        <v>WA</v>
      </c>
      <c r="F868" s="20" t="str">
        <f>IFERROR(VLOOKUP(C868,customer_lookup!$A:$E,5,FALSE),"")</f>
        <v>Riley</v>
      </c>
      <c r="G868" s="17" t="s">
        <v>89</v>
      </c>
      <c r="H868" s="17" t="s">
        <v>123</v>
      </c>
      <c r="I868" s="19" t="str">
        <f>IFERROR(VLOOKUP(H868,product_lookup!$A:$D,2,FALSE),"")</f>
        <v>Peach 2:1 Gummies</v>
      </c>
      <c r="J868" s="21">
        <v>120.0</v>
      </c>
      <c r="K868" s="22">
        <v>11.17</v>
      </c>
      <c r="L868" s="23">
        <f t="shared" si="1"/>
        <v>1340.4</v>
      </c>
      <c r="M868" s="17" t="s">
        <v>97</v>
      </c>
      <c r="N868" s="18">
        <v>46134.0</v>
      </c>
      <c r="O868" s="19">
        <f>SUMIF(inventory_snapshot!$B:$B,H868,inventory_snapshot!$E:$E)</f>
        <v>1732</v>
      </c>
      <c r="P868" s="24" t="str">
        <f t="shared" si="2"/>
        <v>OK</v>
      </c>
      <c r="Q868" s="24" t="str">
        <f t="shared" si="3"/>
        <v>OK</v>
      </c>
      <c r="R868" s="24" t="str">
        <f t="shared" si="4"/>
        <v>OK</v>
      </c>
      <c r="S868" s="24" t="str">
        <f t="shared" si="5"/>
        <v>Large</v>
      </c>
    </row>
    <row r="869" ht="15.75" customHeight="1">
      <c r="A869" s="25" t="s">
        <v>1061</v>
      </c>
      <c r="B869" s="26">
        <v>46025.0</v>
      </c>
      <c r="C869" s="25" t="s">
        <v>957</v>
      </c>
      <c r="D869" s="27" t="str">
        <f>IFERROR(VLOOKUP(C869,customer_lookup!$A:$E,2,FALSE),"")</f>
        <v>NV Account 0102</v>
      </c>
      <c r="E869" s="27" t="str">
        <f>IFERROR(VLOOKUP(C869,customer_lookup!$A:$E,3,FALSE),"")</f>
        <v>NV</v>
      </c>
      <c r="F869" s="28" t="str">
        <f>IFERROR(VLOOKUP(C869,customer_lookup!$A:$E,5,FALSE),"")</f>
        <v>Riley</v>
      </c>
      <c r="G869" s="25" t="s">
        <v>89</v>
      </c>
      <c r="H869" s="25" t="s">
        <v>90</v>
      </c>
      <c r="I869" s="27" t="str">
        <f>IFERROR(VLOOKUP(H869,product_lookup!$A:$D,2,FALSE),"")</f>
        <v>Blackberry Sparkling Beverage</v>
      </c>
      <c r="J869" s="29">
        <v>48.0</v>
      </c>
      <c r="K869" s="30">
        <v>7.39</v>
      </c>
      <c r="L869" s="31">
        <f t="shared" si="1"/>
        <v>354.72</v>
      </c>
      <c r="M869" s="25" t="s">
        <v>100</v>
      </c>
      <c r="N869" s="26">
        <v>46030.0</v>
      </c>
      <c r="O869" s="27">
        <f>SUMIF(inventory_snapshot!$B:$B,H869,inventory_snapshot!$E:$E)</f>
        <v>1292</v>
      </c>
      <c r="P869" s="32" t="str">
        <f t="shared" si="2"/>
        <v>OK</v>
      </c>
      <c r="Q869" s="32" t="str">
        <f t="shared" si="3"/>
        <v>OK</v>
      </c>
      <c r="R869" s="32" t="str">
        <f t="shared" si="4"/>
        <v>OK</v>
      </c>
      <c r="S869" s="32" t="str">
        <f t="shared" si="5"/>
        <v>Small</v>
      </c>
    </row>
    <row r="870" ht="15.75" customHeight="1">
      <c r="A870" s="17" t="s">
        <v>1062</v>
      </c>
      <c r="B870" s="18">
        <v>46112.0</v>
      </c>
      <c r="C870" s="17" t="s">
        <v>965</v>
      </c>
      <c r="D870" s="19" t="str">
        <f>IFERROR(VLOOKUP(C870,customer_lookup!$A:$E,2,FALSE),"")</f>
        <v>NY Account 0047</v>
      </c>
      <c r="E870" s="19" t="str">
        <f>IFERROR(VLOOKUP(C870,customer_lookup!$A:$E,3,FALSE),"")</f>
        <v>NY</v>
      </c>
      <c r="F870" s="20" t="str">
        <f>IFERROR(VLOOKUP(C870,customer_lookup!$A:$E,5,FALSE),"")</f>
        <v>Riley</v>
      </c>
      <c r="G870" s="17" t="s">
        <v>63</v>
      </c>
      <c r="H870" s="17" t="s">
        <v>156</v>
      </c>
      <c r="I870" s="19" t="str">
        <f>IFERROR(VLOOKUP(H870,product_lookup!$A:$D,2,FALSE),"")</f>
        <v>Blood Orange 1:1 Gummies</v>
      </c>
      <c r="J870" s="21">
        <v>120.0</v>
      </c>
      <c r="K870" s="22">
        <v>10.29</v>
      </c>
      <c r="L870" s="23">
        <f t="shared" si="1"/>
        <v>1234.8</v>
      </c>
      <c r="M870" s="17" t="s">
        <v>97</v>
      </c>
      <c r="N870" s="18">
        <v>46115.0</v>
      </c>
      <c r="O870" s="19">
        <f>SUMIF(inventory_snapshot!$B:$B,H870,inventory_snapshot!$E:$E)</f>
        <v>1589</v>
      </c>
      <c r="P870" s="24" t="str">
        <f t="shared" si="2"/>
        <v>OK</v>
      </c>
      <c r="Q870" s="24" t="str">
        <f t="shared" si="3"/>
        <v>OK</v>
      </c>
      <c r="R870" s="24" t="str">
        <f t="shared" si="4"/>
        <v>OK</v>
      </c>
      <c r="S870" s="24" t="str">
        <f t="shared" si="5"/>
        <v>Large</v>
      </c>
    </row>
    <row r="871" ht="15.75" customHeight="1">
      <c r="A871" s="25" t="s">
        <v>1063</v>
      </c>
      <c r="B871" s="26">
        <v>46108.0</v>
      </c>
      <c r="C871" s="25" t="s">
        <v>984</v>
      </c>
      <c r="D871" s="27" t="str">
        <f>IFERROR(VLOOKUP(C871,customer_lookup!$A:$E,2,FALSE),"")</f>
        <v>WA Account 0086</v>
      </c>
      <c r="E871" s="27" t="str">
        <f>IFERROR(VLOOKUP(C871,customer_lookup!$A:$E,3,FALSE),"")</f>
        <v>WA</v>
      </c>
      <c r="F871" s="28" t="str">
        <f>IFERROR(VLOOKUP(C871,customer_lookup!$A:$E,5,FALSE),"")</f>
        <v>Riley</v>
      </c>
      <c r="G871" s="25" t="s">
        <v>63</v>
      </c>
      <c r="H871" s="25" t="s">
        <v>78</v>
      </c>
      <c r="I871" s="27" t="str">
        <f>IFERROR(VLOOKUP(H871,product_lookup!$A:$D,2,FALSE),"")</f>
        <v>Grapefruit 1:1:1 Gummies</v>
      </c>
      <c r="J871" s="29">
        <v>18.0</v>
      </c>
      <c r="K871" s="30">
        <v>11.66</v>
      </c>
      <c r="L871" s="31">
        <f t="shared" si="1"/>
        <v>209.88</v>
      </c>
      <c r="M871" s="25" t="s">
        <v>65</v>
      </c>
      <c r="N871" s="26">
        <v>46114.0</v>
      </c>
      <c r="O871" s="27">
        <f>SUMIF(inventory_snapshot!$B:$B,H871,inventory_snapshot!$E:$E)</f>
        <v>1751</v>
      </c>
      <c r="P871" s="32" t="str">
        <f t="shared" si="2"/>
        <v>OK</v>
      </c>
      <c r="Q871" s="32" t="str">
        <f t="shared" si="3"/>
        <v>OK</v>
      </c>
      <c r="R871" s="32" t="str">
        <f t="shared" si="4"/>
        <v>OK</v>
      </c>
      <c r="S871" s="32" t="str">
        <f t="shared" si="5"/>
        <v>Small</v>
      </c>
    </row>
    <row r="872" ht="15.75" customHeight="1">
      <c r="A872" s="17" t="s">
        <v>1064</v>
      </c>
      <c r="B872" s="18">
        <v>46099.0</v>
      </c>
      <c r="C872" s="17" t="s">
        <v>961</v>
      </c>
      <c r="D872" s="19" t="str">
        <f>IFERROR(VLOOKUP(C872,customer_lookup!$A:$E,2,FALSE),"")</f>
        <v>NY Account 0059</v>
      </c>
      <c r="E872" s="19" t="str">
        <f>IFERROR(VLOOKUP(C872,customer_lookup!$A:$E,3,FALSE),"")</f>
        <v>NY</v>
      </c>
      <c r="F872" s="20" t="str">
        <f>IFERROR(VLOOKUP(C872,customer_lookup!$A:$E,5,FALSE),"")</f>
        <v>Riley</v>
      </c>
      <c r="G872" s="17" t="s">
        <v>89</v>
      </c>
      <c r="H872" s="17" t="s">
        <v>85</v>
      </c>
      <c r="I872" s="19" t="str">
        <f>IFERROR(VLOOKUP(H872,product_lookup!$A:$D,2,FALSE),"")</f>
        <v>Huckleberry THC Gummies</v>
      </c>
      <c r="J872" s="21">
        <v>30.0</v>
      </c>
      <c r="K872" s="22">
        <v>9.52</v>
      </c>
      <c r="L872" s="23">
        <f t="shared" si="1"/>
        <v>285.6</v>
      </c>
      <c r="M872" s="17" t="s">
        <v>65</v>
      </c>
      <c r="N872" s="18">
        <v>46100.0</v>
      </c>
      <c r="O872" s="19">
        <f>SUMIF(inventory_snapshot!$B:$B,H872,inventory_snapshot!$E:$E)</f>
        <v>1841</v>
      </c>
      <c r="P872" s="24" t="str">
        <f t="shared" si="2"/>
        <v>OK</v>
      </c>
      <c r="Q872" s="24" t="str">
        <f t="shared" si="3"/>
        <v>OK</v>
      </c>
      <c r="R872" s="24" t="str">
        <f t="shared" si="4"/>
        <v>OK</v>
      </c>
      <c r="S872" s="24" t="str">
        <f t="shared" si="5"/>
        <v>Small</v>
      </c>
    </row>
    <row r="873" ht="15.75" customHeight="1">
      <c r="A873" s="25" t="s">
        <v>1065</v>
      </c>
      <c r="B873" s="26">
        <v>46134.0</v>
      </c>
      <c r="C873" s="25" t="s">
        <v>980</v>
      </c>
      <c r="D873" s="27" t="str">
        <f>IFERROR(VLOOKUP(C873,customer_lookup!$A:$E,2,FALSE),"")</f>
        <v>NY Account 0035</v>
      </c>
      <c r="E873" s="27" t="str">
        <f>IFERROR(VLOOKUP(C873,customer_lookup!$A:$E,3,FALSE),"")</f>
        <v>NY</v>
      </c>
      <c r="F873" s="28" t="str">
        <f>IFERROR(VLOOKUP(C873,customer_lookup!$A:$E,5,FALSE),"")</f>
        <v>Riley</v>
      </c>
      <c r="G873" s="25" t="s">
        <v>89</v>
      </c>
      <c r="H873" s="25" t="s">
        <v>85</v>
      </c>
      <c r="I873" s="27" t="str">
        <f>IFERROR(VLOOKUP(H873,product_lookup!$A:$D,2,FALSE),"")</f>
        <v>Huckleberry THC Gummies</v>
      </c>
      <c r="J873" s="29">
        <v>24.0</v>
      </c>
      <c r="K873" s="30">
        <v>9.79</v>
      </c>
      <c r="L873" s="31">
        <f t="shared" si="1"/>
        <v>234.96</v>
      </c>
      <c r="M873" s="25" t="s">
        <v>100</v>
      </c>
      <c r="N873" s="26">
        <v>46138.0</v>
      </c>
      <c r="O873" s="27">
        <f>SUMIF(inventory_snapshot!$B:$B,H873,inventory_snapshot!$E:$E)</f>
        <v>1841</v>
      </c>
      <c r="P873" s="32" t="str">
        <f t="shared" si="2"/>
        <v>OK</v>
      </c>
      <c r="Q873" s="32" t="str">
        <f t="shared" si="3"/>
        <v>OK</v>
      </c>
      <c r="R873" s="32" t="str">
        <f t="shared" si="4"/>
        <v>OK</v>
      </c>
      <c r="S873" s="32" t="str">
        <f t="shared" si="5"/>
        <v>Small</v>
      </c>
    </row>
    <row r="874" ht="15.75" customHeight="1">
      <c r="A874" s="17" t="s">
        <v>1066</v>
      </c>
      <c r="B874" s="18">
        <v>46079.0</v>
      </c>
      <c r="C874" s="17" t="s">
        <v>961</v>
      </c>
      <c r="D874" s="19" t="str">
        <f>IFERROR(VLOOKUP(C874,customer_lookup!$A:$E,2,FALSE),"")</f>
        <v>NY Account 0059</v>
      </c>
      <c r="E874" s="19" t="str">
        <f>IFERROR(VLOOKUP(C874,customer_lookup!$A:$E,3,FALSE),"")</f>
        <v>NY</v>
      </c>
      <c r="F874" s="20" t="str">
        <f>IFERROR(VLOOKUP(C874,customer_lookup!$A:$E,5,FALSE),"")</f>
        <v>Riley</v>
      </c>
      <c r="G874" s="17" t="s">
        <v>63</v>
      </c>
      <c r="H874" s="17" t="s">
        <v>154</v>
      </c>
      <c r="I874" s="19" t="str">
        <f>IFERROR(VLOOKUP(H874,product_lookup!$A:$D,2,FALSE),"")</f>
        <v>Kiwi 1:1 Gummies</v>
      </c>
      <c r="J874" s="21">
        <v>60.0</v>
      </c>
      <c r="K874" s="22">
        <v>10.75</v>
      </c>
      <c r="L874" s="23">
        <f t="shared" si="1"/>
        <v>645</v>
      </c>
      <c r="M874" s="17" t="s">
        <v>97</v>
      </c>
      <c r="N874" s="18">
        <v>46083.0</v>
      </c>
      <c r="O874" s="19">
        <f>SUMIF(inventory_snapshot!$B:$B,H874,inventory_snapshot!$E:$E)</f>
        <v>1136</v>
      </c>
      <c r="P874" s="24" t="str">
        <f t="shared" si="2"/>
        <v>OK</v>
      </c>
      <c r="Q874" s="24" t="str">
        <f t="shared" si="3"/>
        <v>OK</v>
      </c>
      <c r="R874" s="24" t="str">
        <f t="shared" si="4"/>
        <v>OK</v>
      </c>
      <c r="S874" s="24" t="str">
        <f t="shared" si="5"/>
        <v>Medium</v>
      </c>
    </row>
    <row r="875" ht="15.75" customHeight="1">
      <c r="A875" s="25" t="s">
        <v>1067</v>
      </c>
      <c r="B875" s="26">
        <v>46088.0</v>
      </c>
      <c r="C875" s="25" t="s">
        <v>965</v>
      </c>
      <c r="D875" s="27" t="str">
        <f>IFERROR(VLOOKUP(C875,customer_lookup!$A:$E,2,FALSE),"")</f>
        <v>NY Account 0047</v>
      </c>
      <c r="E875" s="27" t="str">
        <f>IFERROR(VLOOKUP(C875,customer_lookup!$A:$E,3,FALSE),"")</f>
        <v>NY</v>
      </c>
      <c r="F875" s="28" t="str">
        <f>IFERROR(VLOOKUP(C875,customer_lookup!$A:$E,5,FALSE),"")</f>
        <v>Riley</v>
      </c>
      <c r="G875" s="25" t="s">
        <v>63</v>
      </c>
      <c r="H875" s="25" t="s">
        <v>85</v>
      </c>
      <c r="I875" s="27" t="str">
        <f>IFERROR(VLOOKUP(H875,product_lookup!$A:$D,2,FALSE),"")</f>
        <v>Huckleberry THC Gummies</v>
      </c>
      <c r="J875" s="29">
        <v>6.0</v>
      </c>
      <c r="K875" s="30">
        <v>10.09</v>
      </c>
      <c r="L875" s="31">
        <f t="shared" si="1"/>
        <v>60.54</v>
      </c>
      <c r="M875" s="25" t="s">
        <v>75</v>
      </c>
      <c r="N875" s="26">
        <v>46090.0</v>
      </c>
      <c r="O875" s="27">
        <f>SUMIF(inventory_snapshot!$B:$B,H875,inventory_snapshot!$E:$E)</f>
        <v>1841</v>
      </c>
      <c r="P875" s="32" t="str">
        <f t="shared" si="2"/>
        <v>OK</v>
      </c>
      <c r="Q875" s="32" t="str">
        <f t="shared" si="3"/>
        <v>OK</v>
      </c>
      <c r="R875" s="32" t="str">
        <f t="shared" si="4"/>
        <v>OK</v>
      </c>
      <c r="S875" s="32" t="str">
        <f t="shared" si="5"/>
        <v>Small</v>
      </c>
    </row>
    <row r="876" ht="15.75" customHeight="1">
      <c r="A876" s="17" t="s">
        <v>1068</v>
      </c>
      <c r="B876" s="18">
        <v>46084.0</v>
      </c>
      <c r="C876" s="17" t="s">
        <v>988</v>
      </c>
      <c r="D876" s="19" t="str">
        <f>IFERROR(VLOOKUP(C876,customer_lookup!$A:$E,2,FALSE),"")</f>
        <v>MO Account 0021</v>
      </c>
      <c r="E876" s="19" t="str">
        <f>IFERROR(VLOOKUP(C876,customer_lookup!$A:$E,3,FALSE),"")</f>
        <v>MO</v>
      </c>
      <c r="F876" s="20" t="str">
        <f>IFERROR(VLOOKUP(C876,customer_lookup!$A:$E,5,FALSE),"")</f>
        <v>Riley</v>
      </c>
      <c r="G876" s="17" t="s">
        <v>63</v>
      </c>
      <c r="H876" s="17" t="s">
        <v>162</v>
      </c>
      <c r="I876" s="19" t="str">
        <f>IFERROR(VLOOKUP(H876,product_lookup!$A:$D,2,FALSE),"")</f>
        <v>Marionberry THC Gummies</v>
      </c>
      <c r="J876" s="21">
        <v>30.0</v>
      </c>
      <c r="K876" s="22">
        <v>9.47</v>
      </c>
      <c r="L876" s="23">
        <f t="shared" si="1"/>
        <v>284.1</v>
      </c>
      <c r="M876" s="17" t="s">
        <v>65</v>
      </c>
      <c r="N876" s="18">
        <v>46087.0</v>
      </c>
      <c r="O876" s="19">
        <f>SUMIF(inventory_snapshot!$B:$B,H876,inventory_snapshot!$E:$E)</f>
        <v>1599</v>
      </c>
      <c r="P876" s="24" t="str">
        <f t="shared" si="2"/>
        <v>OK</v>
      </c>
      <c r="Q876" s="24" t="str">
        <f t="shared" si="3"/>
        <v>OK</v>
      </c>
      <c r="R876" s="24" t="str">
        <f t="shared" si="4"/>
        <v>OK</v>
      </c>
      <c r="S876" s="24" t="str">
        <f t="shared" si="5"/>
        <v>Small</v>
      </c>
    </row>
    <row r="877" ht="15.75" customHeight="1">
      <c r="A877" s="25" t="s">
        <v>1069</v>
      </c>
      <c r="B877" s="26">
        <v>46087.0</v>
      </c>
      <c r="C877" s="25" t="s">
        <v>955</v>
      </c>
      <c r="D877" s="27" t="str">
        <f>IFERROR(VLOOKUP(C877,customer_lookup!$A:$E,2,FALSE),"")</f>
        <v>AZ Account 0113</v>
      </c>
      <c r="E877" s="27" t="str">
        <f>IFERROR(VLOOKUP(C877,customer_lookup!$A:$E,3,FALSE),"")</f>
        <v>AZ</v>
      </c>
      <c r="F877" s="28" t="str">
        <f>IFERROR(VLOOKUP(C877,customer_lookup!$A:$E,5,FALSE),"")</f>
        <v>Riley</v>
      </c>
      <c r="G877" s="25" t="s">
        <v>67</v>
      </c>
      <c r="H877" s="25" t="s">
        <v>106</v>
      </c>
      <c r="I877" s="27" t="str">
        <f>IFERROR(VLOOKUP(H877,product_lookup!$A:$D,2,FALSE),"")</f>
        <v>Sour Cherry THC Gummies</v>
      </c>
      <c r="J877" s="29">
        <v>48.0</v>
      </c>
      <c r="K877" s="30">
        <v>9.96</v>
      </c>
      <c r="L877" s="31">
        <f t="shared" si="1"/>
        <v>478.08</v>
      </c>
      <c r="M877" s="25" t="s">
        <v>93</v>
      </c>
      <c r="N877" s="26">
        <v>46090.0</v>
      </c>
      <c r="O877" s="27">
        <f>SUMIF(inventory_snapshot!$B:$B,H877,inventory_snapshot!$E:$E)</f>
        <v>1313</v>
      </c>
      <c r="P877" s="32" t="str">
        <f t="shared" si="2"/>
        <v>OK</v>
      </c>
      <c r="Q877" s="32" t="str">
        <f t="shared" si="3"/>
        <v>OK</v>
      </c>
      <c r="R877" s="32" t="str">
        <f t="shared" si="4"/>
        <v>OK</v>
      </c>
      <c r="S877" s="32" t="str">
        <f t="shared" si="5"/>
        <v>Small</v>
      </c>
    </row>
    <row r="878" ht="15.75" customHeight="1">
      <c r="A878" s="17" t="s">
        <v>1070</v>
      </c>
      <c r="B878" s="18">
        <v>46048.0</v>
      </c>
      <c r="C878" s="17" t="s">
        <v>1039</v>
      </c>
      <c r="D878" s="19" t="str">
        <f>IFERROR(VLOOKUP(C878,customer_lookup!$A:$E,2,FALSE),"")</f>
        <v>NM Account 0106</v>
      </c>
      <c r="E878" s="19" t="str">
        <f>IFERROR(VLOOKUP(C878,customer_lookup!$A:$E,3,FALSE),"")</f>
        <v>NM</v>
      </c>
      <c r="F878" s="20" t="str">
        <f>IFERROR(VLOOKUP(C878,customer_lookup!$A:$E,5,FALSE),"")</f>
        <v>Riley</v>
      </c>
      <c r="G878" s="17" t="s">
        <v>63</v>
      </c>
      <c r="H878" s="17" t="s">
        <v>108</v>
      </c>
      <c r="I878" s="19" t="str">
        <f>IFERROR(VLOOKUP(H878,product_lookup!$A:$D,2,FALSE),"")</f>
        <v>Sour Tangerine THC Gummies</v>
      </c>
      <c r="J878" s="21">
        <v>12.0</v>
      </c>
      <c r="K878" s="22">
        <v>11.18</v>
      </c>
      <c r="L878" s="23">
        <f t="shared" si="1"/>
        <v>134.16</v>
      </c>
      <c r="M878" s="17" t="s">
        <v>65</v>
      </c>
      <c r="N878" s="18">
        <v>46058.0</v>
      </c>
      <c r="O878" s="19">
        <f>SUMIF(inventory_snapshot!$B:$B,H878,inventory_snapshot!$E:$E)</f>
        <v>1679</v>
      </c>
      <c r="P878" s="24" t="str">
        <f t="shared" si="2"/>
        <v>OK</v>
      </c>
      <c r="Q878" s="24" t="str">
        <f t="shared" si="3"/>
        <v>OK</v>
      </c>
      <c r="R878" s="24" t="str">
        <f t="shared" si="4"/>
        <v>OK</v>
      </c>
      <c r="S878" s="24" t="str">
        <f t="shared" si="5"/>
        <v>Small</v>
      </c>
    </row>
    <row r="879" ht="15.75" customHeight="1">
      <c r="A879" s="25" t="s">
        <v>1071</v>
      </c>
      <c r="B879" s="26">
        <v>46054.0</v>
      </c>
      <c r="C879" s="25" t="s">
        <v>963</v>
      </c>
      <c r="D879" s="27" t="str">
        <f>IFERROR(VLOOKUP(C879,customer_lookup!$A:$E,2,FALSE),"")</f>
        <v>MO Account 0045</v>
      </c>
      <c r="E879" s="27" t="str">
        <f>IFERROR(VLOOKUP(C879,customer_lookup!$A:$E,3,FALSE),"")</f>
        <v>MO</v>
      </c>
      <c r="F879" s="28" t="str">
        <f>IFERROR(VLOOKUP(C879,customer_lookup!$A:$E,5,FALSE),"")</f>
        <v>Riley</v>
      </c>
      <c r="G879" s="25" t="s">
        <v>67</v>
      </c>
      <c r="H879" s="25" t="s">
        <v>108</v>
      </c>
      <c r="I879" s="27" t="str">
        <f>IFERROR(VLOOKUP(H879,product_lookup!$A:$D,2,FALSE),"")</f>
        <v>Sour Tangerine THC Gummies</v>
      </c>
      <c r="J879" s="29">
        <v>6.0</v>
      </c>
      <c r="K879" s="30">
        <v>10.07</v>
      </c>
      <c r="L879" s="31">
        <f t="shared" si="1"/>
        <v>60.42</v>
      </c>
      <c r="M879" s="25" t="s">
        <v>100</v>
      </c>
      <c r="N879" s="26">
        <v>46060.0</v>
      </c>
      <c r="O879" s="27">
        <f>SUMIF(inventory_snapshot!$B:$B,H879,inventory_snapshot!$E:$E)</f>
        <v>1679</v>
      </c>
      <c r="P879" s="32" t="str">
        <f t="shared" si="2"/>
        <v>OK</v>
      </c>
      <c r="Q879" s="32" t="str">
        <f t="shared" si="3"/>
        <v>OK</v>
      </c>
      <c r="R879" s="32" t="str">
        <f t="shared" si="4"/>
        <v>OK</v>
      </c>
      <c r="S879" s="32" t="str">
        <f t="shared" si="5"/>
        <v>Small</v>
      </c>
    </row>
    <row r="880" ht="15.75" customHeight="1">
      <c r="A880" s="17" t="s">
        <v>643</v>
      </c>
      <c r="B880" s="18">
        <v>46136.0</v>
      </c>
      <c r="C880" s="17" t="s">
        <v>950</v>
      </c>
      <c r="D880" s="19" t="str">
        <f>IFERROR(VLOOKUP(C880,customer_lookup!$A:$E,2,FALSE),"")</f>
        <v>WA Account 0050</v>
      </c>
      <c r="E880" s="19" t="str">
        <f>IFERROR(VLOOKUP(C880,customer_lookup!$A:$E,3,FALSE),"")</f>
        <v>WA</v>
      </c>
      <c r="F880" s="20" t="str">
        <f>IFERROR(VLOOKUP(C880,customer_lookup!$A:$E,5,FALSE),"")</f>
        <v>Riley</v>
      </c>
      <c r="G880" s="17" t="s">
        <v>89</v>
      </c>
      <c r="H880" s="17" t="s">
        <v>110</v>
      </c>
      <c r="I880" s="19" t="str">
        <f>IFERROR(VLOOKUP(H880,product_lookup!$A:$D,2,FALSE),"")</f>
        <v>Elderberry 2:1 Gummies</v>
      </c>
      <c r="J880" s="21">
        <v>96.0</v>
      </c>
      <c r="K880" s="22">
        <v>10.16</v>
      </c>
      <c r="L880" s="23">
        <f t="shared" si="1"/>
        <v>975.36</v>
      </c>
      <c r="M880" s="17" t="s">
        <v>65</v>
      </c>
      <c r="N880" s="18">
        <v>46140.0</v>
      </c>
      <c r="O880" s="19">
        <f>SUMIF(inventory_snapshot!$B:$B,H880,inventory_snapshot!$E:$E)</f>
        <v>1633</v>
      </c>
      <c r="P880" s="24" t="str">
        <f t="shared" si="2"/>
        <v>OK</v>
      </c>
      <c r="Q880" s="24" t="str">
        <f t="shared" si="3"/>
        <v>Duplicate</v>
      </c>
      <c r="R880" s="24" t="str">
        <f t="shared" si="4"/>
        <v>OK</v>
      </c>
      <c r="S880" s="24" t="str">
        <f t="shared" si="5"/>
        <v>Medium</v>
      </c>
    </row>
    <row r="881" ht="15.75" customHeight="1">
      <c r="A881" s="25" t="s">
        <v>1072</v>
      </c>
      <c r="B881" s="26">
        <v>46117.0</v>
      </c>
      <c r="C881" s="25" t="s">
        <v>957</v>
      </c>
      <c r="D881" s="27" t="str">
        <f>IFERROR(VLOOKUP(C881,customer_lookup!$A:$E,2,FALSE),"")</f>
        <v>NV Account 0102</v>
      </c>
      <c r="E881" s="27" t="str">
        <f>IFERROR(VLOOKUP(C881,customer_lookup!$A:$E,3,FALSE),"")</f>
        <v>NV</v>
      </c>
      <c r="F881" s="28" t="str">
        <f>IFERROR(VLOOKUP(C881,customer_lookup!$A:$E,5,FALSE),"")</f>
        <v>Riley</v>
      </c>
      <c r="G881" s="25" t="s">
        <v>89</v>
      </c>
      <c r="H881" s="25" t="s">
        <v>162</v>
      </c>
      <c r="I881" s="27" t="str">
        <f>IFERROR(VLOOKUP(H881,product_lookup!$A:$D,2,FALSE),"")</f>
        <v>Marionberry THC Gummies</v>
      </c>
      <c r="J881" s="29">
        <v>60.0</v>
      </c>
      <c r="K881" s="30">
        <v>10.63</v>
      </c>
      <c r="L881" s="31">
        <f t="shared" si="1"/>
        <v>637.8</v>
      </c>
      <c r="M881" s="25" t="s">
        <v>65</v>
      </c>
      <c r="N881" s="26">
        <v>46120.0</v>
      </c>
      <c r="O881" s="27">
        <f>SUMIF(inventory_snapshot!$B:$B,H881,inventory_snapshot!$E:$E)</f>
        <v>1599</v>
      </c>
      <c r="P881" s="32" t="str">
        <f t="shared" si="2"/>
        <v>OK</v>
      </c>
      <c r="Q881" s="32" t="str">
        <f t="shared" si="3"/>
        <v>OK</v>
      </c>
      <c r="R881" s="32" t="str">
        <f t="shared" si="4"/>
        <v>OK</v>
      </c>
      <c r="S881" s="32" t="str">
        <f t="shared" si="5"/>
        <v>Medium</v>
      </c>
    </row>
    <row r="882" ht="15.75" customHeight="1">
      <c r="A882" s="17" t="s">
        <v>1073</v>
      </c>
      <c r="B882" s="18">
        <v>46113.0</v>
      </c>
      <c r="C882" s="17" t="s">
        <v>961</v>
      </c>
      <c r="D882" s="19" t="str">
        <f>IFERROR(VLOOKUP(C882,customer_lookup!$A:$E,2,FALSE),"")</f>
        <v>NY Account 0059</v>
      </c>
      <c r="E882" s="19" t="str">
        <f>IFERROR(VLOOKUP(C882,customer_lookup!$A:$E,3,FALSE),"")</f>
        <v>NY</v>
      </c>
      <c r="F882" s="20" t="str">
        <f>IFERROR(VLOOKUP(C882,customer_lookup!$A:$E,5,FALSE),"")</f>
        <v>Riley</v>
      </c>
      <c r="G882" s="17" t="s">
        <v>67</v>
      </c>
      <c r="H882" s="17" t="s">
        <v>190</v>
      </c>
      <c r="I882" s="19" t="str">
        <f>IFERROR(VLOOKUP(H882,product_lookup!$A:$D,2,FALSE),"")</f>
        <v>Mango Sparkling Beverage</v>
      </c>
      <c r="J882" s="21">
        <v>30.0</v>
      </c>
      <c r="K882" s="22">
        <v>7.21</v>
      </c>
      <c r="L882" s="23">
        <f t="shared" si="1"/>
        <v>216.3</v>
      </c>
      <c r="M882" s="17" t="s">
        <v>97</v>
      </c>
      <c r="N882" s="18">
        <v>46122.0</v>
      </c>
      <c r="O882" s="19">
        <f>SUMIF(inventory_snapshot!$B:$B,H882,inventory_snapshot!$E:$E)</f>
        <v>1502</v>
      </c>
      <c r="P882" s="24" t="str">
        <f t="shared" si="2"/>
        <v>OK</v>
      </c>
      <c r="Q882" s="24" t="str">
        <f t="shared" si="3"/>
        <v>OK</v>
      </c>
      <c r="R882" s="24" t="str">
        <f t="shared" si="4"/>
        <v>OK</v>
      </c>
      <c r="S882" s="24" t="str">
        <f t="shared" si="5"/>
        <v>Small</v>
      </c>
    </row>
    <row r="883" ht="15.75" customHeight="1">
      <c r="A883" s="25" t="s">
        <v>867</v>
      </c>
      <c r="B883" s="26">
        <v>46085.0</v>
      </c>
      <c r="C883" s="25" t="s">
        <v>950</v>
      </c>
      <c r="D883" s="27" t="str">
        <f>IFERROR(VLOOKUP(C883,customer_lookup!$A:$E,2,FALSE),"")</f>
        <v>WA Account 0050</v>
      </c>
      <c r="E883" s="27" t="str">
        <f>IFERROR(VLOOKUP(C883,customer_lookup!$A:$E,3,FALSE),"")</f>
        <v>WA</v>
      </c>
      <c r="F883" s="28" t="str">
        <f>IFERROR(VLOOKUP(C883,customer_lookup!$A:$E,5,FALSE),"")</f>
        <v>Riley</v>
      </c>
      <c r="G883" s="25" t="s">
        <v>63</v>
      </c>
      <c r="H883" s="25" t="s">
        <v>78</v>
      </c>
      <c r="I883" s="27" t="str">
        <f>IFERROR(VLOOKUP(H883,product_lookup!$A:$D,2,FALSE),"")</f>
        <v>Grapefruit 1:1:1 Gummies</v>
      </c>
      <c r="J883" s="29">
        <v>24.0</v>
      </c>
      <c r="K883" s="30">
        <v>9.89</v>
      </c>
      <c r="L883" s="31">
        <f t="shared" si="1"/>
        <v>237.36</v>
      </c>
      <c r="M883" s="25" t="s">
        <v>93</v>
      </c>
      <c r="N883" s="26">
        <v>46095.0</v>
      </c>
      <c r="O883" s="27">
        <f>SUMIF(inventory_snapshot!$B:$B,H883,inventory_snapshot!$E:$E)</f>
        <v>1751</v>
      </c>
      <c r="P883" s="32" t="str">
        <f t="shared" si="2"/>
        <v>OK</v>
      </c>
      <c r="Q883" s="32" t="str">
        <f t="shared" si="3"/>
        <v>Duplicate</v>
      </c>
      <c r="R883" s="32" t="str">
        <f t="shared" si="4"/>
        <v>OK</v>
      </c>
      <c r="S883" s="32" t="str">
        <f t="shared" si="5"/>
        <v>Small</v>
      </c>
    </row>
    <row r="884" ht="15.75" customHeight="1">
      <c r="A884" s="17" t="s">
        <v>1074</v>
      </c>
      <c r="B884" s="18">
        <v>46047.0</v>
      </c>
      <c r="C884" s="17" t="s">
        <v>1075</v>
      </c>
      <c r="D884" s="19" t="str">
        <f>IFERROR(VLOOKUP(C884,customer_lookup!$A:$E,2,FALSE),"")</f>
        <v>WA Account 0098</v>
      </c>
      <c r="E884" s="19" t="str">
        <f>IFERROR(VLOOKUP(C884,customer_lookup!$A:$E,3,FALSE),"")</f>
        <v>WA</v>
      </c>
      <c r="F884" s="20" t="str">
        <f>IFERROR(VLOOKUP(C884,customer_lookup!$A:$E,5,FALSE),"")</f>
        <v>Sam</v>
      </c>
      <c r="G884" s="17" t="s">
        <v>63</v>
      </c>
      <c r="H884" s="17" t="s">
        <v>154</v>
      </c>
      <c r="I884" s="19" t="str">
        <f>IFERROR(VLOOKUP(H884,product_lookup!$A:$D,2,FALSE),"")</f>
        <v>Kiwi 1:1 Gummies</v>
      </c>
      <c r="J884" s="21">
        <v>24.0</v>
      </c>
      <c r="K884" s="22">
        <v>11.26</v>
      </c>
      <c r="L884" s="23">
        <f t="shared" si="1"/>
        <v>270.24</v>
      </c>
      <c r="M884" s="17" t="s">
        <v>97</v>
      </c>
      <c r="N884" s="18">
        <v>46056.0</v>
      </c>
      <c r="O884" s="19">
        <f>SUMIF(inventory_snapshot!$B:$B,H884,inventory_snapshot!$E:$E)</f>
        <v>1136</v>
      </c>
      <c r="P884" s="24" t="str">
        <f t="shared" si="2"/>
        <v>OK</v>
      </c>
      <c r="Q884" s="24" t="str">
        <f t="shared" si="3"/>
        <v>OK</v>
      </c>
      <c r="R884" s="24" t="str">
        <f t="shared" si="4"/>
        <v>OK</v>
      </c>
      <c r="S884" s="24" t="str">
        <f t="shared" si="5"/>
        <v>Small</v>
      </c>
    </row>
    <row r="885" ht="15.75" customHeight="1">
      <c r="A885" s="25" t="s">
        <v>1076</v>
      </c>
      <c r="B885" s="26">
        <v>46140.0</v>
      </c>
      <c r="C885" s="25" t="s">
        <v>1077</v>
      </c>
      <c r="D885" s="27" t="str">
        <f>IFERROR(VLOOKUP(C885,customer_lookup!$A:$E,2,FALSE),"")</f>
        <v>IL Account 0067</v>
      </c>
      <c r="E885" s="27" t="str">
        <f>IFERROR(VLOOKUP(C885,customer_lookup!$A:$E,3,FALSE),"")</f>
        <v>IL</v>
      </c>
      <c r="F885" s="28" t="str">
        <f>IFERROR(VLOOKUP(C885,customer_lookup!$A:$E,5,FALSE),"")</f>
        <v>Sam</v>
      </c>
      <c r="G885" s="25" t="s">
        <v>63</v>
      </c>
      <c r="H885" s="25" t="s">
        <v>74</v>
      </c>
      <c r="I885" s="27" t="str">
        <f>IFERROR(VLOOKUP(H885,product_lookup!$A:$D,2,FALSE),"")</f>
        <v>Strawberry 20:1 Gummies</v>
      </c>
      <c r="J885" s="29">
        <v>30.0</v>
      </c>
      <c r="K885" s="30">
        <v>10.77</v>
      </c>
      <c r="L885" s="31">
        <f t="shared" si="1"/>
        <v>323.1</v>
      </c>
      <c r="M885" s="25" t="s">
        <v>65</v>
      </c>
      <c r="N885" s="26">
        <v>46148.0</v>
      </c>
      <c r="O885" s="27">
        <f>SUMIF(inventory_snapshot!$B:$B,H885,inventory_snapshot!$E:$E)</f>
        <v>2294</v>
      </c>
      <c r="P885" s="32" t="str">
        <f t="shared" si="2"/>
        <v>OK</v>
      </c>
      <c r="Q885" s="32" t="str">
        <f t="shared" si="3"/>
        <v>OK</v>
      </c>
      <c r="R885" s="32" t="str">
        <f t="shared" si="4"/>
        <v>OK</v>
      </c>
      <c r="S885" s="32" t="str">
        <f t="shared" si="5"/>
        <v>Small</v>
      </c>
    </row>
    <row r="886" ht="15.75" customHeight="1">
      <c r="A886" s="17" t="s">
        <v>1078</v>
      </c>
      <c r="B886" s="18">
        <v>46129.0</v>
      </c>
      <c r="C886" s="17" t="s">
        <v>1079</v>
      </c>
      <c r="D886" s="19" t="str">
        <f>IFERROR(VLOOKUP(C886,customer_lookup!$A:$E,2,FALSE),"")</f>
        <v>AZ Account 0065</v>
      </c>
      <c r="E886" s="19" t="str">
        <f>IFERROR(VLOOKUP(C886,customer_lookup!$A:$E,3,FALSE),"")</f>
        <v>AZ</v>
      </c>
      <c r="F886" s="20" t="str">
        <f>IFERROR(VLOOKUP(C886,customer_lookup!$A:$E,5,FALSE),"")</f>
        <v>Sam</v>
      </c>
      <c r="G886" s="17" t="s">
        <v>63</v>
      </c>
      <c r="H886" s="17" t="s">
        <v>115</v>
      </c>
      <c r="I886" s="19" t="str">
        <f>IFERROR(VLOOKUP(H886,product_lookup!$A:$D,2,FALSE),"")</f>
        <v>Pear 1:1 Gummies</v>
      </c>
      <c r="J886" s="21">
        <v>18.0</v>
      </c>
      <c r="K886" s="22">
        <v>10.7</v>
      </c>
      <c r="L886" s="23">
        <f t="shared" si="1"/>
        <v>192.6</v>
      </c>
      <c r="M886" s="17" t="s">
        <v>65</v>
      </c>
      <c r="N886" s="18">
        <v>46134.0</v>
      </c>
      <c r="O886" s="19">
        <f>SUMIF(inventory_snapshot!$B:$B,H886,inventory_snapshot!$E:$E)</f>
        <v>981</v>
      </c>
      <c r="P886" s="24" t="str">
        <f t="shared" si="2"/>
        <v>OK</v>
      </c>
      <c r="Q886" s="24" t="str">
        <f t="shared" si="3"/>
        <v>OK</v>
      </c>
      <c r="R886" s="24" t="str">
        <f t="shared" si="4"/>
        <v>OK</v>
      </c>
      <c r="S886" s="24" t="str">
        <f t="shared" si="5"/>
        <v>Small</v>
      </c>
    </row>
    <row r="887" ht="15.75" customHeight="1">
      <c r="A887" s="25" t="s">
        <v>1080</v>
      </c>
      <c r="B887" s="26">
        <v>46106.0</v>
      </c>
      <c r="C887" s="25" t="s">
        <v>1081</v>
      </c>
      <c r="D887" s="27" t="str">
        <f>IFERROR(VLOOKUP(C887,customer_lookup!$A:$E,2,FALSE),"")</f>
        <v>MI Account 0020</v>
      </c>
      <c r="E887" s="27" t="str">
        <f>IFERROR(VLOOKUP(C887,customer_lookup!$A:$E,3,FALSE),"")</f>
        <v>MI</v>
      </c>
      <c r="F887" s="28" t="str">
        <f>IFERROR(VLOOKUP(C887,customer_lookup!$A:$E,5,FALSE),"")</f>
        <v>Sam</v>
      </c>
      <c r="G887" s="25" t="s">
        <v>89</v>
      </c>
      <c r="H887" s="25" t="s">
        <v>108</v>
      </c>
      <c r="I887" s="27" t="str">
        <f>IFERROR(VLOOKUP(H887,product_lookup!$A:$D,2,FALSE),"")</f>
        <v>Sour Tangerine THC Gummies</v>
      </c>
      <c r="J887" s="29">
        <v>12.0</v>
      </c>
      <c r="K887" s="30">
        <v>11.47</v>
      </c>
      <c r="L887" s="31">
        <f t="shared" si="1"/>
        <v>137.64</v>
      </c>
      <c r="M887" s="25" t="s">
        <v>65</v>
      </c>
      <c r="N887" s="26">
        <v>46111.0</v>
      </c>
      <c r="O887" s="27">
        <f>SUMIF(inventory_snapshot!$B:$B,H887,inventory_snapshot!$E:$E)</f>
        <v>1679</v>
      </c>
      <c r="P887" s="32" t="str">
        <f t="shared" si="2"/>
        <v>OK</v>
      </c>
      <c r="Q887" s="32" t="str">
        <f t="shared" si="3"/>
        <v>OK</v>
      </c>
      <c r="R887" s="32" t="str">
        <f t="shared" si="4"/>
        <v>OK</v>
      </c>
      <c r="S887" s="32" t="str">
        <f t="shared" si="5"/>
        <v>Small</v>
      </c>
    </row>
    <row r="888" ht="15.75" customHeight="1">
      <c r="A888" s="17" t="s">
        <v>1082</v>
      </c>
      <c r="B888" s="18">
        <v>46034.0</v>
      </c>
      <c r="C888" s="17" t="s">
        <v>1083</v>
      </c>
      <c r="D888" s="19" t="str">
        <f>IFERROR(VLOOKUP(C888,customer_lookup!$A:$E,2,FALSE),"")</f>
        <v>CO Account 0016</v>
      </c>
      <c r="E888" s="19" t="str">
        <f>IFERROR(VLOOKUP(C888,customer_lookup!$A:$E,3,FALSE),"")</f>
        <v>CO</v>
      </c>
      <c r="F888" s="20" t="str">
        <f>IFERROR(VLOOKUP(C888,customer_lookup!$A:$E,5,FALSE),"")</f>
        <v>Sam</v>
      </c>
      <c r="G888" s="17" t="s">
        <v>89</v>
      </c>
      <c r="H888" s="17" t="s">
        <v>74</v>
      </c>
      <c r="I888" s="19" t="str">
        <f>IFERROR(VLOOKUP(H888,product_lookup!$A:$D,2,FALSE),"")</f>
        <v>Strawberry 20:1 Gummies</v>
      </c>
      <c r="J888" s="21">
        <v>120.0</v>
      </c>
      <c r="K888" s="22">
        <v>10.84</v>
      </c>
      <c r="L888" s="23">
        <f t="shared" si="1"/>
        <v>1300.8</v>
      </c>
      <c r="M888" s="17" t="s">
        <v>65</v>
      </c>
      <c r="N888" s="18">
        <v>46035.0</v>
      </c>
      <c r="O888" s="19">
        <f>SUMIF(inventory_snapshot!$B:$B,H888,inventory_snapshot!$E:$E)</f>
        <v>2294</v>
      </c>
      <c r="P888" s="24" t="str">
        <f t="shared" si="2"/>
        <v>OK</v>
      </c>
      <c r="Q888" s="24" t="str">
        <f t="shared" si="3"/>
        <v>OK</v>
      </c>
      <c r="R888" s="24" t="str">
        <f t="shared" si="4"/>
        <v>OK</v>
      </c>
      <c r="S888" s="24" t="str">
        <f t="shared" si="5"/>
        <v>Large</v>
      </c>
    </row>
    <row r="889" ht="15.75" customHeight="1">
      <c r="A889" s="25" t="s">
        <v>1084</v>
      </c>
      <c r="B889" s="26">
        <v>46031.0</v>
      </c>
      <c r="C889" s="25" t="s">
        <v>1081</v>
      </c>
      <c r="D889" s="27" t="str">
        <f>IFERROR(VLOOKUP(C889,customer_lookup!$A:$E,2,FALSE),"")</f>
        <v>MI Account 0020</v>
      </c>
      <c r="E889" s="27" t="str">
        <f>IFERROR(VLOOKUP(C889,customer_lookup!$A:$E,3,FALSE),"")</f>
        <v>MI</v>
      </c>
      <c r="F889" s="28" t="str">
        <f>IFERROR(VLOOKUP(C889,customer_lookup!$A:$E,5,FALSE),"")</f>
        <v>Sam</v>
      </c>
      <c r="G889" s="25" t="s">
        <v>63</v>
      </c>
      <c r="H889" s="25" t="s">
        <v>90</v>
      </c>
      <c r="I889" s="27" t="str">
        <f>IFERROR(VLOOKUP(H889,product_lookup!$A:$D,2,FALSE),"")</f>
        <v>Blackberry Sparkling Beverage</v>
      </c>
      <c r="J889" s="29">
        <v>12.0</v>
      </c>
      <c r="K889" s="30">
        <v>8.0</v>
      </c>
      <c r="L889" s="31">
        <f t="shared" si="1"/>
        <v>96</v>
      </c>
      <c r="M889" s="25" t="s">
        <v>100</v>
      </c>
      <c r="N889" s="26">
        <v>46037.0</v>
      </c>
      <c r="O889" s="27">
        <f>SUMIF(inventory_snapshot!$B:$B,H889,inventory_snapshot!$E:$E)</f>
        <v>1292</v>
      </c>
      <c r="P889" s="32" t="str">
        <f t="shared" si="2"/>
        <v>OK</v>
      </c>
      <c r="Q889" s="32" t="str">
        <f t="shared" si="3"/>
        <v>OK</v>
      </c>
      <c r="R889" s="32" t="str">
        <f t="shared" si="4"/>
        <v>OK</v>
      </c>
      <c r="S889" s="32" t="str">
        <f t="shared" si="5"/>
        <v>Small</v>
      </c>
    </row>
    <row r="890" ht="15.75" customHeight="1">
      <c r="A890" s="17" t="s">
        <v>1085</v>
      </c>
      <c r="B890" s="18">
        <v>46045.0</v>
      </c>
      <c r="C890" s="17" t="s">
        <v>1075</v>
      </c>
      <c r="D890" s="19" t="str">
        <f>IFERROR(VLOOKUP(C890,customer_lookup!$A:$E,2,FALSE),"")</f>
        <v>WA Account 0098</v>
      </c>
      <c r="E890" s="19" t="str">
        <f>IFERROR(VLOOKUP(C890,customer_lookup!$A:$E,3,FALSE),"")</f>
        <v>WA</v>
      </c>
      <c r="F890" s="20" t="str">
        <f>IFERROR(VLOOKUP(C890,customer_lookup!$A:$E,5,FALSE),"")</f>
        <v>Sam</v>
      </c>
      <c r="G890" s="17" t="s">
        <v>67</v>
      </c>
      <c r="H890" s="17" t="s">
        <v>110</v>
      </c>
      <c r="I890" s="19" t="str">
        <f>IFERROR(VLOOKUP(H890,product_lookup!$A:$D,2,FALSE),"")</f>
        <v>Elderberry 2:1 Gummies</v>
      </c>
      <c r="J890" s="21">
        <v>120.0</v>
      </c>
      <c r="K890" s="22">
        <v>10.99</v>
      </c>
      <c r="L890" s="23">
        <f t="shared" si="1"/>
        <v>1318.8</v>
      </c>
      <c r="M890" s="17" t="s">
        <v>65</v>
      </c>
      <c r="N890" s="18">
        <v>46053.0</v>
      </c>
      <c r="O890" s="19">
        <f>SUMIF(inventory_snapshot!$B:$B,H890,inventory_snapshot!$E:$E)</f>
        <v>1633</v>
      </c>
      <c r="P890" s="24" t="str">
        <f t="shared" si="2"/>
        <v>OK</v>
      </c>
      <c r="Q890" s="24" t="str">
        <f t="shared" si="3"/>
        <v>OK</v>
      </c>
      <c r="R890" s="24" t="str">
        <f t="shared" si="4"/>
        <v>OK</v>
      </c>
      <c r="S890" s="24" t="str">
        <f t="shared" si="5"/>
        <v>Large</v>
      </c>
    </row>
    <row r="891" ht="15.75" customHeight="1">
      <c r="A891" s="25" t="s">
        <v>1086</v>
      </c>
      <c r="B891" s="26">
        <v>46060.0</v>
      </c>
      <c r="C891" s="25" t="s">
        <v>1081</v>
      </c>
      <c r="D891" s="27" t="str">
        <f>IFERROR(VLOOKUP(C891,customer_lookup!$A:$E,2,FALSE),"")</f>
        <v>MI Account 0020</v>
      </c>
      <c r="E891" s="27" t="str">
        <f>IFERROR(VLOOKUP(C891,customer_lookup!$A:$E,3,FALSE),"")</f>
        <v>MI</v>
      </c>
      <c r="F891" s="28" t="str">
        <f>IFERROR(VLOOKUP(C891,customer_lookup!$A:$E,5,FALSE),"")</f>
        <v>Sam</v>
      </c>
      <c r="G891" s="25" t="s">
        <v>67</v>
      </c>
      <c r="H891" s="25" t="s">
        <v>110</v>
      </c>
      <c r="I891" s="27" t="str">
        <f>IFERROR(VLOOKUP(H891,product_lookup!$A:$D,2,FALSE),"")</f>
        <v>Elderberry 2:1 Gummies</v>
      </c>
      <c r="J891" s="29">
        <v>12.0</v>
      </c>
      <c r="K891" s="30">
        <v>11.02</v>
      </c>
      <c r="L891" s="31">
        <f t="shared" si="1"/>
        <v>132.24</v>
      </c>
      <c r="M891" s="25" t="s">
        <v>65</v>
      </c>
      <c r="N891" s="26">
        <v>46069.0</v>
      </c>
      <c r="O891" s="27">
        <f>SUMIF(inventory_snapshot!$B:$B,H891,inventory_snapshot!$E:$E)</f>
        <v>1633</v>
      </c>
      <c r="P891" s="32" t="str">
        <f t="shared" si="2"/>
        <v>OK</v>
      </c>
      <c r="Q891" s="32" t="str">
        <f t="shared" si="3"/>
        <v>OK</v>
      </c>
      <c r="R891" s="32" t="str">
        <f t="shared" si="4"/>
        <v>OK</v>
      </c>
      <c r="S891" s="32" t="str">
        <f t="shared" si="5"/>
        <v>Small</v>
      </c>
    </row>
    <row r="892" ht="15.75" customHeight="1">
      <c r="A892" s="17" t="s">
        <v>1087</v>
      </c>
      <c r="B892" s="18">
        <v>46057.0</v>
      </c>
      <c r="C892" s="17" t="s">
        <v>1075</v>
      </c>
      <c r="D892" s="19" t="str">
        <f>IFERROR(VLOOKUP(C892,customer_lookup!$A:$E,2,FALSE),"")</f>
        <v>WA Account 0098</v>
      </c>
      <c r="E892" s="19" t="str">
        <f>IFERROR(VLOOKUP(C892,customer_lookup!$A:$E,3,FALSE),"")</f>
        <v>WA</v>
      </c>
      <c r="F892" s="20" t="str">
        <f>IFERROR(VLOOKUP(C892,customer_lookup!$A:$E,5,FALSE),"")</f>
        <v>Sam</v>
      </c>
      <c r="G892" s="17" t="s">
        <v>63</v>
      </c>
      <c r="H892" s="17" t="s">
        <v>154</v>
      </c>
      <c r="I892" s="19" t="str">
        <f>IFERROR(VLOOKUP(H892,product_lookup!$A:$D,2,FALSE),"")</f>
        <v>Kiwi 1:1 Gummies</v>
      </c>
      <c r="J892" s="21">
        <v>60.0</v>
      </c>
      <c r="K892" s="22">
        <v>11.62</v>
      </c>
      <c r="L892" s="23">
        <f t="shared" si="1"/>
        <v>697.2</v>
      </c>
      <c r="M892" s="17" t="s">
        <v>97</v>
      </c>
      <c r="N892" s="18">
        <v>46061.0</v>
      </c>
      <c r="O892" s="19">
        <f>SUMIF(inventory_snapshot!$B:$B,H892,inventory_snapshot!$E:$E)</f>
        <v>1136</v>
      </c>
      <c r="P892" s="24" t="str">
        <f t="shared" si="2"/>
        <v>OK</v>
      </c>
      <c r="Q892" s="24" t="str">
        <f t="shared" si="3"/>
        <v>OK</v>
      </c>
      <c r="R892" s="24" t="str">
        <f t="shared" si="4"/>
        <v>OK</v>
      </c>
      <c r="S892" s="24" t="str">
        <f t="shared" si="5"/>
        <v>Medium</v>
      </c>
    </row>
    <row r="893" ht="15.75" customHeight="1">
      <c r="A893" s="25" t="s">
        <v>1088</v>
      </c>
      <c r="B893" s="26">
        <v>46093.0</v>
      </c>
      <c r="C893" s="25" t="s">
        <v>1079</v>
      </c>
      <c r="D893" s="27" t="str">
        <f>IFERROR(VLOOKUP(C893,customer_lookup!$A:$E,2,FALSE),"")</f>
        <v>AZ Account 0065</v>
      </c>
      <c r="E893" s="27" t="str">
        <f>IFERROR(VLOOKUP(C893,customer_lookup!$A:$E,3,FALSE),"")</f>
        <v>AZ</v>
      </c>
      <c r="F893" s="28" t="str">
        <f>IFERROR(VLOOKUP(C893,customer_lookup!$A:$E,5,FALSE),"")</f>
        <v>Sam</v>
      </c>
      <c r="G893" s="25" t="s">
        <v>63</v>
      </c>
      <c r="H893" s="25" t="s">
        <v>190</v>
      </c>
      <c r="I893" s="27" t="str">
        <f>IFERROR(VLOOKUP(H893,product_lookup!$A:$D,2,FALSE),"")</f>
        <v>Mango Sparkling Beverage</v>
      </c>
      <c r="J893" s="29">
        <v>6.0</v>
      </c>
      <c r="K893" s="30">
        <v>7.34</v>
      </c>
      <c r="L893" s="31">
        <f t="shared" si="1"/>
        <v>44.04</v>
      </c>
      <c r="M893" s="25" t="s">
        <v>137</v>
      </c>
      <c r="N893" s="26">
        <v>46099.0</v>
      </c>
      <c r="O893" s="27">
        <f>SUMIF(inventory_snapshot!$B:$B,H893,inventory_snapshot!$E:$E)</f>
        <v>1502</v>
      </c>
      <c r="P893" s="32" t="str">
        <f t="shared" si="2"/>
        <v>OK</v>
      </c>
      <c r="Q893" s="32" t="str">
        <f t="shared" si="3"/>
        <v>OK</v>
      </c>
      <c r="R893" s="32" t="str">
        <f t="shared" si="4"/>
        <v>OK</v>
      </c>
      <c r="S893" s="32" t="str">
        <f t="shared" si="5"/>
        <v>Small</v>
      </c>
    </row>
    <row r="894" ht="15.75" customHeight="1">
      <c r="A894" s="17" t="s">
        <v>1089</v>
      </c>
      <c r="B894" s="18">
        <v>46078.0</v>
      </c>
      <c r="C894" s="17" t="s">
        <v>1083</v>
      </c>
      <c r="D894" s="19" t="str">
        <f>IFERROR(VLOOKUP(C894,customer_lookup!$A:$E,2,FALSE),"")</f>
        <v>CO Account 0016</v>
      </c>
      <c r="E894" s="19" t="str">
        <f>IFERROR(VLOOKUP(C894,customer_lookup!$A:$E,3,FALSE),"")</f>
        <v>CO</v>
      </c>
      <c r="F894" s="20" t="str">
        <f>IFERROR(VLOOKUP(C894,customer_lookup!$A:$E,5,FALSE),"")</f>
        <v>Sam</v>
      </c>
      <c r="G894" s="17" t="s">
        <v>63</v>
      </c>
      <c r="H894" s="17" t="s">
        <v>68</v>
      </c>
      <c r="I894" s="19" t="str">
        <f>IFERROR(VLOOKUP(H894,product_lookup!$A:$D,2,FALSE),"")</f>
        <v>Sour Apple THC Gummies</v>
      </c>
      <c r="J894" s="21">
        <v>48.0</v>
      </c>
      <c r="K894" s="22">
        <v>11.01</v>
      </c>
      <c r="L894" s="23">
        <f t="shared" si="1"/>
        <v>528.48</v>
      </c>
      <c r="M894" s="17" t="s">
        <v>93</v>
      </c>
      <c r="N894" s="18">
        <v>46081.0</v>
      </c>
      <c r="O894" s="19">
        <f>SUMIF(inventory_snapshot!$B:$B,H894,inventory_snapshot!$E:$E)</f>
        <v>775</v>
      </c>
      <c r="P894" s="24" t="str">
        <f t="shared" si="2"/>
        <v>OK</v>
      </c>
      <c r="Q894" s="24" t="str">
        <f t="shared" si="3"/>
        <v>OK</v>
      </c>
      <c r="R894" s="24" t="str">
        <f t="shared" si="4"/>
        <v>OK</v>
      </c>
      <c r="S894" s="24" t="str">
        <f t="shared" si="5"/>
        <v>Medium</v>
      </c>
    </row>
    <row r="895" ht="15.75" customHeight="1">
      <c r="A895" s="25" t="s">
        <v>1090</v>
      </c>
      <c r="B895" s="26">
        <v>46139.0</v>
      </c>
      <c r="C895" s="25" t="s">
        <v>1077</v>
      </c>
      <c r="D895" s="27" t="str">
        <f>IFERROR(VLOOKUP(C895,customer_lookup!$A:$E,2,FALSE),"")</f>
        <v>IL Account 0067</v>
      </c>
      <c r="E895" s="27" t="str">
        <f>IFERROR(VLOOKUP(C895,customer_lookup!$A:$E,3,FALSE),"")</f>
        <v>IL</v>
      </c>
      <c r="F895" s="28" t="str">
        <f>IFERROR(VLOOKUP(C895,customer_lookup!$A:$E,5,FALSE),"")</f>
        <v>Sam</v>
      </c>
      <c r="G895" s="25" t="s">
        <v>67</v>
      </c>
      <c r="H895" s="25" t="s">
        <v>106</v>
      </c>
      <c r="I895" s="27" t="str">
        <f>IFERROR(VLOOKUP(H895,product_lookup!$A:$D,2,FALSE),"")</f>
        <v>Sour Cherry THC Gummies</v>
      </c>
      <c r="J895" s="29">
        <v>72.0</v>
      </c>
      <c r="K895" s="30">
        <v>9.93</v>
      </c>
      <c r="L895" s="31">
        <f t="shared" si="1"/>
        <v>714.96</v>
      </c>
      <c r="M895" s="25" t="s">
        <v>65</v>
      </c>
      <c r="N895" s="26">
        <v>46143.0</v>
      </c>
      <c r="O895" s="27">
        <f>SUMIF(inventory_snapshot!$B:$B,H895,inventory_snapshot!$E:$E)</f>
        <v>1313</v>
      </c>
      <c r="P895" s="32" t="str">
        <f t="shared" si="2"/>
        <v>OK</v>
      </c>
      <c r="Q895" s="32" t="str">
        <f t="shared" si="3"/>
        <v>OK</v>
      </c>
      <c r="R895" s="32" t="str">
        <f t="shared" si="4"/>
        <v>OK</v>
      </c>
      <c r="S895" s="32" t="str">
        <f t="shared" si="5"/>
        <v>Medium</v>
      </c>
    </row>
    <row r="896" ht="15.75" customHeight="1">
      <c r="A896" s="17" t="s">
        <v>1091</v>
      </c>
      <c r="B896" s="18">
        <v>46129.0</v>
      </c>
      <c r="C896" s="17" t="s">
        <v>1079</v>
      </c>
      <c r="D896" s="19" t="str">
        <f>IFERROR(VLOOKUP(C896,customer_lookup!$A:$E,2,FALSE),"")</f>
        <v>AZ Account 0065</v>
      </c>
      <c r="E896" s="19" t="str">
        <f>IFERROR(VLOOKUP(C896,customer_lookup!$A:$E,3,FALSE),"")</f>
        <v>AZ</v>
      </c>
      <c r="F896" s="20" t="str">
        <f>IFERROR(VLOOKUP(C896,customer_lookup!$A:$E,5,FALSE),"")</f>
        <v>Sam</v>
      </c>
      <c r="G896" s="17" t="s">
        <v>63</v>
      </c>
      <c r="H896" s="17" t="s">
        <v>95</v>
      </c>
      <c r="I896" s="19" t="str">
        <f>IFERROR(VLOOKUP(H896,product_lookup!$A:$D,2,FALSE),"")</f>
        <v>Boysenberry 1:1:1 Gummies</v>
      </c>
      <c r="J896" s="21">
        <v>12.0</v>
      </c>
      <c r="K896" s="22">
        <v>10.54</v>
      </c>
      <c r="L896" s="23">
        <f t="shared" si="1"/>
        <v>126.48</v>
      </c>
      <c r="M896" s="17" t="s">
        <v>97</v>
      </c>
      <c r="N896" s="18">
        <v>46133.0</v>
      </c>
      <c r="O896" s="19">
        <f>SUMIF(inventory_snapshot!$B:$B,H896,inventory_snapshot!$E:$E)</f>
        <v>2007</v>
      </c>
      <c r="P896" s="24" t="str">
        <f t="shared" si="2"/>
        <v>OK</v>
      </c>
      <c r="Q896" s="24" t="str">
        <f t="shared" si="3"/>
        <v>OK</v>
      </c>
      <c r="R896" s="24" t="str">
        <f t="shared" si="4"/>
        <v>OK</v>
      </c>
      <c r="S896" s="24" t="str">
        <f t="shared" si="5"/>
        <v>Small</v>
      </c>
    </row>
    <row r="897" ht="15.75" customHeight="1">
      <c r="A897" s="25" t="s">
        <v>1092</v>
      </c>
      <c r="B897" s="26">
        <v>46057.0</v>
      </c>
      <c r="C897" s="25" t="s">
        <v>1079</v>
      </c>
      <c r="D897" s="27" t="str">
        <f>IFERROR(VLOOKUP(C897,customer_lookup!$A:$E,2,FALSE),"")</f>
        <v>AZ Account 0065</v>
      </c>
      <c r="E897" s="27" t="str">
        <f>IFERROR(VLOOKUP(C897,customer_lookup!$A:$E,3,FALSE),"")</f>
        <v>AZ</v>
      </c>
      <c r="F897" s="28" t="str">
        <f>IFERROR(VLOOKUP(C897,customer_lookup!$A:$E,5,FALSE),"")</f>
        <v>Sam</v>
      </c>
      <c r="G897" s="25" t="s">
        <v>67</v>
      </c>
      <c r="H897" s="25" t="s">
        <v>74</v>
      </c>
      <c r="I897" s="27" t="str">
        <f>IFERROR(VLOOKUP(H897,product_lookup!$A:$D,2,FALSE),"")</f>
        <v>Strawberry 20:1 Gummies</v>
      </c>
      <c r="J897" s="29">
        <v>24.0</v>
      </c>
      <c r="K897" s="30">
        <v>12.21</v>
      </c>
      <c r="L897" s="31">
        <f t="shared" si="1"/>
        <v>293.04</v>
      </c>
      <c r="M897" s="25" t="s">
        <v>97</v>
      </c>
      <c r="N897" s="26">
        <v>46062.0</v>
      </c>
      <c r="O897" s="27">
        <f>SUMIF(inventory_snapshot!$B:$B,H897,inventory_snapshot!$E:$E)</f>
        <v>2294</v>
      </c>
      <c r="P897" s="32" t="str">
        <f t="shared" si="2"/>
        <v>OK</v>
      </c>
      <c r="Q897" s="32" t="str">
        <f t="shared" si="3"/>
        <v>OK</v>
      </c>
      <c r="R897" s="32" t="str">
        <f t="shared" si="4"/>
        <v>OK</v>
      </c>
      <c r="S897" s="32" t="str">
        <f t="shared" si="5"/>
        <v>Small</v>
      </c>
    </row>
    <row r="898" ht="15.75" customHeight="1">
      <c r="A898" s="17" t="s">
        <v>1093</v>
      </c>
      <c r="B898" s="18">
        <v>46062.0</v>
      </c>
      <c r="C898" s="17" t="s">
        <v>1083</v>
      </c>
      <c r="D898" s="19" t="str">
        <f>IFERROR(VLOOKUP(C898,customer_lookup!$A:$E,2,FALSE),"")</f>
        <v>CO Account 0016</v>
      </c>
      <c r="E898" s="19" t="str">
        <f>IFERROR(VLOOKUP(C898,customer_lookup!$A:$E,3,FALSE),"")</f>
        <v>CO</v>
      </c>
      <c r="F898" s="20" t="str">
        <f>IFERROR(VLOOKUP(C898,customer_lookup!$A:$E,5,FALSE),"")</f>
        <v>Sam</v>
      </c>
      <c r="G898" s="17" t="s">
        <v>89</v>
      </c>
      <c r="H898" s="17" t="s">
        <v>74</v>
      </c>
      <c r="I898" s="19" t="str">
        <f>IFERROR(VLOOKUP(H898,product_lookup!$A:$D,2,FALSE),"")</f>
        <v>Strawberry 20:1 Gummies</v>
      </c>
      <c r="J898" s="21">
        <v>18.0</v>
      </c>
      <c r="K898" s="22">
        <v>11.28</v>
      </c>
      <c r="L898" s="23">
        <f t="shared" si="1"/>
        <v>203.04</v>
      </c>
      <c r="M898" s="17" t="s">
        <v>65</v>
      </c>
      <c r="N898" s="18">
        <v>46067.0</v>
      </c>
      <c r="O898" s="19">
        <f>SUMIF(inventory_snapshot!$B:$B,H898,inventory_snapshot!$E:$E)</f>
        <v>2294</v>
      </c>
      <c r="P898" s="24" t="str">
        <f t="shared" si="2"/>
        <v>OK</v>
      </c>
      <c r="Q898" s="24" t="str">
        <f t="shared" si="3"/>
        <v>OK</v>
      </c>
      <c r="R898" s="24" t="str">
        <f t="shared" si="4"/>
        <v>OK</v>
      </c>
      <c r="S898" s="24" t="str">
        <f t="shared" si="5"/>
        <v>Small</v>
      </c>
    </row>
    <row r="899" ht="15.75" customHeight="1">
      <c r="A899" s="25" t="s">
        <v>1094</v>
      </c>
      <c r="B899" s="26">
        <v>46115.0</v>
      </c>
      <c r="C899" s="25" t="s">
        <v>1075</v>
      </c>
      <c r="D899" s="27" t="str">
        <f>IFERROR(VLOOKUP(C899,customer_lookup!$A:$E,2,FALSE),"")</f>
        <v>WA Account 0098</v>
      </c>
      <c r="E899" s="27" t="str">
        <f>IFERROR(VLOOKUP(C899,customer_lookup!$A:$E,3,FALSE),"")</f>
        <v>WA</v>
      </c>
      <c r="F899" s="28" t="str">
        <f>IFERROR(VLOOKUP(C899,customer_lookup!$A:$E,5,FALSE),"")</f>
        <v>Sam</v>
      </c>
      <c r="G899" s="25" t="s">
        <v>89</v>
      </c>
      <c r="H899" s="25" t="s">
        <v>64</v>
      </c>
      <c r="I899" s="27" t="str">
        <f>IFERROR(VLOOKUP(H899,product_lookup!$A:$D,2,FALSE),"")</f>
        <v>Cranberry Sparkling Beverage</v>
      </c>
      <c r="J899" s="29">
        <v>120.0</v>
      </c>
      <c r="K899" s="30">
        <v>7.84</v>
      </c>
      <c r="L899" s="31">
        <f t="shared" si="1"/>
        <v>940.8</v>
      </c>
      <c r="M899" s="25" t="s">
        <v>137</v>
      </c>
      <c r="N899" s="26">
        <v>46121.0</v>
      </c>
      <c r="O899" s="27">
        <f>SUMIF(inventory_snapshot!$B:$B,H899,inventory_snapshot!$E:$E)</f>
        <v>1152</v>
      </c>
      <c r="P899" s="32" t="str">
        <f t="shared" si="2"/>
        <v>OK</v>
      </c>
      <c r="Q899" s="32" t="str">
        <f t="shared" si="3"/>
        <v>OK</v>
      </c>
      <c r="R899" s="32" t="str">
        <f t="shared" si="4"/>
        <v>OK</v>
      </c>
      <c r="S899" s="32" t="str">
        <f t="shared" si="5"/>
        <v>Medium</v>
      </c>
    </row>
    <row r="900" ht="15.75" customHeight="1">
      <c r="A900" s="17" t="s">
        <v>1095</v>
      </c>
      <c r="B900" s="18">
        <v>46067.0</v>
      </c>
      <c r="C900" s="17" t="s">
        <v>1077</v>
      </c>
      <c r="D900" s="19" t="str">
        <f>IFERROR(VLOOKUP(C900,customer_lookup!$A:$E,2,FALSE),"")</f>
        <v>IL Account 0067</v>
      </c>
      <c r="E900" s="19" t="str">
        <f>IFERROR(VLOOKUP(C900,customer_lookup!$A:$E,3,FALSE),"")</f>
        <v>IL</v>
      </c>
      <c r="F900" s="20" t="str">
        <f>IFERROR(VLOOKUP(C900,customer_lookup!$A:$E,5,FALSE),"")</f>
        <v>Sam</v>
      </c>
      <c r="G900" s="17" t="s">
        <v>63</v>
      </c>
      <c r="H900" s="17" t="s">
        <v>90</v>
      </c>
      <c r="I900" s="19" t="str">
        <f>IFERROR(VLOOKUP(H900,product_lookup!$A:$D,2,FALSE),"")</f>
        <v>Blackberry Sparkling Beverage</v>
      </c>
      <c r="J900" s="21">
        <v>60.0</v>
      </c>
      <c r="K900" s="22">
        <v>6.9</v>
      </c>
      <c r="L900" s="23">
        <f t="shared" si="1"/>
        <v>414</v>
      </c>
      <c r="M900" s="17" t="s">
        <v>65</v>
      </c>
      <c r="N900" s="18">
        <v>46069.0</v>
      </c>
      <c r="O900" s="19">
        <f>SUMIF(inventory_snapshot!$B:$B,H900,inventory_snapshot!$E:$E)</f>
        <v>1292</v>
      </c>
      <c r="P900" s="24" t="str">
        <f t="shared" si="2"/>
        <v>OK</v>
      </c>
      <c r="Q900" s="24" t="str">
        <f t="shared" si="3"/>
        <v>OK</v>
      </c>
      <c r="R900" s="24" t="str">
        <f t="shared" si="4"/>
        <v>OK</v>
      </c>
      <c r="S900" s="24" t="str">
        <f t="shared" si="5"/>
        <v>Small</v>
      </c>
    </row>
    <row r="901" ht="15.75" customHeight="1">
      <c r="A901" s="25" t="s">
        <v>1096</v>
      </c>
      <c r="B901" s="26">
        <v>46101.0</v>
      </c>
      <c r="C901" s="25" t="s">
        <v>1081</v>
      </c>
      <c r="D901" s="27" t="str">
        <f>IFERROR(VLOOKUP(C901,customer_lookup!$A:$E,2,FALSE),"")</f>
        <v>MI Account 0020</v>
      </c>
      <c r="E901" s="27" t="str">
        <f>IFERROR(VLOOKUP(C901,customer_lookup!$A:$E,3,FALSE),"")</f>
        <v>MI</v>
      </c>
      <c r="F901" s="28" t="str">
        <f>IFERROR(VLOOKUP(C901,customer_lookup!$A:$E,5,FALSE),"")</f>
        <v>Sam</v>
      </c>
      <c r="G901" s="25" t="s">
        <v>89</v>
      </c>
      <c r="H901" s="25" t="s">
        <v>108</v>
      </c>
      <c r="I901" s="27" t="str">
        <f>IFERROR(VLOOKUP(H901,product_lookup!$A:$D,2,FALSE),"")</f>
        <v>Sour Tangerine THC Gummies</v>
      </c>
      <c r="J901" s="29">
        <v>120.0</v>
      </c>
      <c r="K901" s="30">
        <v>10.63</v>
      </c>
      <c r="L901" s="31">
        <f t="shared" si="1"/>
        <v>1275.6</v>
      </c>
      <c r="M901" s="25" t="s">
        <v>97</v>
      </c>
      <c r="N901" s="26">
        <v>46104.0</v>
      </c>
      <c r="O901" s="27">
        <f>SUMIF(inventory_snapshot!$B:$B,H901,inventory_snapshot!$E:$E)</f>
        <v>1679</v>
      </c>
      <c r="P901" s="32" t="str">
        <f t="shared" si="2"/>
        <v>OK</v>
      </c>
      <c r="Q901" s="32" t="str">
        <f t="shared" si="3"/>
        <v>OK</v>
      </c>
      <c r="R901" s="32" t="str">
        <f t="shared" si="4"/>
        <v>OK</v>
      </c>
      <c r="S901" s="32" t="str">
        <f t="shared" si="5"/>
        <v>Large</v>
      </c>
    </row>
    <row r="902" ht="15.75" customHeight="1">
      <c r="A902" s="17" t="s">
        <v>1097</v>
      </c>
      <c r="B902" s="18">
        <v>46112.0</v>
      </c>
      <c r="C902" s="17" t="s">
        <v>1077</v>
      </c>
      <c r="D902" s="19" t="str">
        <f>IFERROR(VLOOKUP(C902,customer_lookup!$A:$E,2,FALSE),"")</f>
        <v>IL Account 0067</v>
      </c>
      <c r="E902" s="19" t="str">
        <f>IFERROR(VLOOKUP(C902,customer_lookup!$A:$E,3,FALSE),"")</f>
        <v>IL</v>
      </c>
      <c r="F902" s="20" t="str">
        <f>IFERROR(VLOOKUP(C902,customer_lookup!$A:$E,5,FALSE),"")</f>
        <v>Sam</v>
      </c>
      <c r="G902" s="17" t="s">
        <v>63</v>
      </c>
      <c r="H902" s="17" t="s">
        <v>108</v>
      </c>
      <c r="I902" s="19" t="str">
        <f>IFERROR(VLOOKUP(H902,product_lookup!$A:$D,2,FALSE),"")</f>
        <v>Sour Tangerine THC Gummies</v>
      </c>
      <c r="J902" s="21">
        <v>36.0</v>
      </c>
      <c r="K902" s="22">
        <v>10.66</v>
      </c>
      <c r="L902" s="23">
        <f t="shared" si="1"/>
        <v>383.76</v>
      </c>
      <c r="M902" s="17" t="s">
        <v>65</v>
      </c>
      <c r="N902" s="18">
        <v>46121.0</v>
      </c>
      <c r="O902" s="19">
        <f>SUMIF(inventory_snapshot!$B:$B,H902,inventory_snapshot!$E:$E)</f>
        <v>1679</v>
      </c>
      <c r="P902" s="24" t="str">
        <f t="shared" si="2"/>
        <v>OK</v>
      </c>
      <c r="Q902" s="24" t="str">
        <f t="shared" si="3"/>
        <v>OK</v>
      </c>
      <c r="R902" s="24" t="str">
        <f t="shared" si="4"/>
        <v>OK</v>
      </c>
      <c r="S902" s="24" t="str">
        <f t="shared" si="5"/>
        <v>Small</v>
      </c>
    </row>
    <row r="903" ht="15.75" customHeight="1">
      <c r="A903" s="25" t="s">
        <v>1098</v>
      </c>
      <c r="B903" s="26">
        <v>46043.0</v>
      </c>
      <c r="C903" s="25" t="s">
        <v>1083</v>
      </c>
      <c r="D903" s="27" t="str">
        <f>IFERROR(VLOOKUP(C903,customer_lookup!$A:$E,2,FALSE),"")</f>
        <v>CO Account 0016</v>
      </c>
      <c r="E903" s="27" t="str">
        <f>IFERROR(VLOOKUP(C903,customer_lookup!$A:$E,3,FALSE),"")</f>
        <v>CO</v>
      </c>
      <c r="F903" s="28" t="str">
        <f>IFERROR(VLOOKUP(C903,customer_lookup!$A:$E,5,FALSE),"")</f>
        <v>Sam</v>
      </c>
      <c r="G903" s="25" t="s">
        <v>63</v>
      </c>
      <c r="H903" s="25" t="s">
        <v>110</v>
      </c>
      <c r="I903" s="27" t="str">
        <f>IFERROR(VLOOKUP(H903,product_lookup!$A:$D,2,FALSE),"")</f>
        <v>Elderberry 2:1 Gummies</v>
      </c>
      <c r="J903" s="29">
        <v>120.0</v>
      </c>
      <c r="K903" s="30">
        <v>10.57</v>
      </c>
      <c r="L903" s="31">
        <f t="shared" si="1"/>
        <v>1268.4</v>
      </c>
      <c r="M903" s="25" t="s">
        <v>65</v>
      </c>
      <c r="N903" s="26">
        <v>46047.0</v>
      </c>
      <c r="O903" s="27">
        <f>SUMIF(inventory_snapshot!$B:$B,H903,inventory_snapshot!$E:$E)</f>
        <v>1633</v>
      </c>
      <c r="P903" s="32" t="str">
        <f t="shared" si="2"/>
        <v>OK</v>
      </c>
      <c r="Q903" s="32" t="str">
        <f t="shared" si="3"/>
        <v>OK</v>
      </c>
      <c r="R903" s="32" t="str">
        <f t="shared" si="4"/>
        <v>OK</v>
      </c>
      <c r="S903" s="32" t="str">
        <f t="shared" si="5"/>
        <v>Large</v>
      </c>
    </row>
    <row r="904" ht="15.75" customHeight="1">
      <c r="A904" s="17" t="s">
        <v>1099</v>
      </c>
      <c r="B904" s="18">
        <v>46104.0</v>
      </c>
      <c r="C904" s="17" t="s">
        <v>1079</v>
      </c>
      <c r="D904" s="19" t="str">
        <f>IFERROR(VLOOKUP(C904,customer_lookup!$A:$E,2,FALSE),"")</f>
        <v>AZ Account 0065</v>
      </c>
      <c r="E904" s="19" t="str">
        <f>IFERROR(VLOOKUP(C904,customer_lookup!$A:$E,3,FALSE),"")</f>
        <v>AZ</v>
      </c>
      <c r="F904" s="20" t="str">
        <f>IFERROR(VLOOKUP(C904,customer_lookup!$A:$E,5,FALSE),"")</f>
        <v>Sam</v>
      </c>
      <c r="G904" s="17" t="s">
        <v>63</v>
      </c>
      <c r="H904" s="17" t="s">
        <v>106</v>
      </c>
      <c r="I904" s="19" t="str">
        <f>IFERROR(VLOOKUP(H904,product_lookup!$A:$D,2,FALSE),"")</f>
        <v>Sour Cherry THC Gummies</v>
      </c>
      <c r="J904" s="21">
        <v>12.0</v>
      </c>
      <c r="K904" s="22">
        <v>11.14</v>
      </c>
      <c r="L904" s="23">
        <f t="shared" si="1"/>
        <v>133.68</v>
      </c>
      <c r="M904" s="17" t="s">
        <v>97</v>
      </c>
      <c r="N904" s="18">
        <v>46112.0</v>
      </c>
      <c r="O904" s="19">
        <f>SUMIF(inventory_snapshot!$B:$B,H904,inventory_snapshot!$E:$E)</f>
        <v>1313</v>
      </c>
      <c r="P904" s="24" t="str">
        <f t="shared" si="2"/>
        <v>OK</v>
      </c>
      <c r="Q904" s="24" t="str">
        <f t="shared" si="3"/>
        <v>OK</v>
      </c>
      <c r="R904" s="24" t="str">
        <f t="shared" si="4"/>
        <v>OK</v>
      </c>
      <c r="S904" s="24" t="str">
        <f t="shared" si="5"/>
        <v>Small</v>
      </c>
    </row>
    <row r="905" ht="15.75" customHeight="1">
      <c r="A905" s="25" t="s">
        <v>1100</v>
      </c>
      <c r="B905" s="26">
        <v>46111.0</v>
      </c>
      <c r="C905" s="25" t="s">
        <v>1081</v>
      </c>
      <c r="D905" s="27" t="str">
        <f>IFERROR(VLOOKUP(C905,customer_lookup!$A:$E,2,FALSE),"")</f>
        <v>MI Account 0020</v>
      </c>
      <c r="E905" s="27" t="str">
        <f>IFERROR(VLOOKUP(C905,customer_lookup!$A:$E,3,FALSE),"")</f>
        <v>MI</v>
      </c>
      <c r="F905" s="28" t="str">
        <f>IFERROR(VLOOKUP(C905,customer_lookup!$A:$E,5,FALSE),"")</f>
        <v>Sam</v>
      </c>
      <c r="G905" s="25" t="s">
        <v>67</v>
      </c>
      <c r="H905" s="25" t="s">
        <v>162</v>
      </c>
      <c r="I905" s="27" t="str">
        <f>IFERROR(VLOOKUP(H905,product_lookup!$A:$D,2,FALSE),"")</f>
        <v>Marionberry THC Gummies</v>
      </c>
      <c r="J905" s="29">
        <v>120.0</v>
      </c>
      <c r="K905" s="30">
        <v>10.52</v>
      </c>
      <c r="L905" s="31">
        <f t="shared" si="1"/>
        <v>1262.4</v>
      </c>
      <c r="M905" s="25" t="s">
        <v>97</v>
      </c>
      <c r="N905" s="26">
        <v>46120.0</v>
      </c>
      <c r="O905" s="27">
        <f>SUMIF(inventory_snapshot!$B:$B,H905,inventory_snapshot!$E:$E)</f>
        <v>1599</v>
      </c>
      <c r="P905" s="32" t="str">
        <f t="shared" si="2"/>
        <v>OK</v>
      </c>
      <c r="Q905" s="32" t="str">
        <f t="shared" si="3"/>
        <v>OK</v>
      </c>
      <c r="R905" s="32" t="str">
        <f t="shared" si="4"/>
        <v>OK</v>
      </c>
      <c r="S905" s="32" t="str">
        <f t="shared" si="5"/>
        <v>Large</v>
      </c>
    </row>
    <row r="906" ht="15.75" customHeight="1">
      <c r="A906" s="17" t="s">
        <v>1101</v>
      </c>
      <c r="B906" s="18">
        <v>46024.0</v>
      </c>
      <c r="C906" s="17" t="s">
        <v>1075</v>
      </c>
      <c r="D906" s="19" t="str">
        <f>IFERROR(VLOOKUP(C906,customer_lookup!$A:$E,2,FALSE),"")</f>
        <v>WA Account 0098</v>
      </c>
      <c r="E906" s="19" t="str">
        <f>IFERROR(VLOOKUP(C906,customer_lookup!$A:$E,3,FALSE),"")</f>
        <v>WA</v>
      </c>
      <c r="F906" s="20" t="str">
        <f>IFERROR(VLOOKUP(C906,customer_lookup!$A:$E,5,FALSE),"")</f>
        <v>Sam</v>
      </c>
      <c r="G906" s="17" t="s">
        <v>63</v>
      </c>
      <c r="H906" s="17" t="s">
        <v>95</v>
      </c>
      <c r="I906" s="19" t="str">
        <f>IFERROR(VLOOKUP(H906,product_lookup!$A:$D,2,FALSE),"")</f>
        <v>Boysenberry 1:1:1 Gummies</v>
      </c>
      <c r="J906" s="21">
        <v>18.0</v>
      </c>
      <c r="K906" s="22">
        <v>10.84</v>
      </c>
      <c r="L906" s="23">
        <f t="shared" si="1"/>
        <v>195.12</v>
      </c>
      <c r="M906" s="17" t="s">
        <v>97</v>
      </c>
      <c r="N906" s="18">
        <v>46032.0</v>
      </c>
      <c r="O906" s="19">
        <f>SUMIF(inventory_snapshot!$B:$B,H906,inventory_snapshot!$E:$E)</f>
        <v>2007</v>
      </c>
      <c r="P906" s="24" t="str">
        <f t="shared" si="2"/>
        <v>OK</v>
      </c>
      <c r="Q906" s="24" t="str">
        <f t="shared" si="3"/>
        <v>OK</v>
      </c>
      <c r="R906" s="24" t="str">
        <f t="shared" si="4"/>
        <v>OK</v>
      </c>
      <c r="S906" s="24" t="str">
        <f t="shared" si="5"/>
        <v>Small</v>
      </c>
    </row>
    <row r="907" ht="15.75" customHeight="1">
      <c r="A907" s="25" t="s">
        <v>1102</v>
      </c>
      <c r="B907" s="26">
        <v>46095.0</v>
      </c>
      <c r="C907" s="25" t="s">
        <v>1081</v>
      </c>
      <c r="D907" s="27" t="str">
        <f>IFERROR(VLOOKUP(C907,customer_lookup!$A:$E,2,FALSE),"")</f>
        <v>MI Account 0020</v>
      </c>
      <c r="E907" s="27" t="str">
        <f>IFERROR(VLOOKUP(C907,customer_lookup!$A:$E,3,FALSE),"")</f>
        <v>MI</v>
      </c>
      <c r="F907" s="28" t="str">
        <f>IFERROR(VLOOKUP(C907,customer_lookup!$A:$E,5,FALSE),"")</f>
        <v>Sam</v>
      </c>
      <c r="G907" s="25" t="s">
        <v>63</v>
      </c>
      <c r="H907" s="25" t="s">
        <v>64</v>
      </c>
      <c r="I907" s="27" t="str">
        <f>IFERROR(VLOOKUP(H907,product_lookup!$A:$D,2,FALSE),"")</f>
        <v>Cranberry Sparkling Beverage</v>
      </c>
      <c r="J907" s="29">
        <v>36.0</v>
      </c>
      <c r="K907" s="30">
        <v>8.23</v>
      </c>
      <c r="L907" s="31">
        <f t="shared" si="1"/>
        <v>296.28</v>
      </c>
      <c r="M907" s="25" t="s">
        <v>93</v>
      </c>
      <c r="N907" s="26">
        <v>46101.0</v>
      </c>
      <c r="O907" s="27">
        <f>SUMIF(inventory_snapshot!$B:$B,H907,inventory_snapshot!$E:$E)</f>
        <v>1152</v>
      </c>
      <c r="P907" s="32" t="str">
        <f t="shared" si="2"/>
        <v>OK</v>
      </c>
      <c r="Q907" s="32" t="str">
        <f t="shared" si="3"/>
        <v>OK</v>
      </c>
      <c r="R907" s="32" t="str">
        <f t="shared" si="4"/>
        <v>OK</v>
      </c>
      <c r="S907" s="32" t="str">
        <f t="shared" si="5"/>
        <v>Small</v>
      </c>
    </row>
    <row r="908" ht="15.75" customHeight="1">
      <c r="A908" s="17" t="s">
        <v>1103</v>
      </c>
      <c r="B908" s="18">
        <v>46099.0</v>
      </c>
      <c r="C908" s="17" t="s">
        <v>1077</v>
      </c>
      <c r="D908" s="19" t="str">
        <f>IFERROR(VLOOKUP(C908,customer_lookup!$A:$E,2,FALSE),"")</f>
        <v>IL Account 0067</v>
      </c>
      <c r="E908" s="19" t="str">
        <f>IFERROR(VLOOKUP(C908,customer_lookup!$A:$E,3,FALSE),"")</f>
        <v>IL</v>
      </c>
      <c r="F908" s="20" t="str">
        <f>IFERROR(VLOOKUP(C908,customer_lookup!$A:$E,5,FALSE),"")</f>
        <v>Sam</v>
      </c>
      <c r="G908" s="17" t="s">
        <v>67</v>
      </c>
      <c r="H908" s="17" t="s">
        <v>106</v>
      </c>
      <c r="I908" s="19" t="str">
        <f>IFERROR(VLOOKUP(H908,product_lookup!$A:$D,2,FALSE),"")</f>
        <v>Sour Cherry THC Gummies</v>
      </c>
      <c r="J908" s="21">
        <v>96.0</v>
      </c>
      <c r="K908" s="22">
        <v>11.05</v>
      </c>
      <c r="L908" s="23">
        <f t="shared" si="1"/>
        <v>1060.8</v>
      </c>
      <c r="M908" s="17" t="s">
        <v>65</v>
      </c>
      <c r="N908" s="18">
        <v>46104.0</v>
      </c>
      <c r="O908" s="19">
        <f>SUMIF(inventory_snapshot!$B:$B,H908,inventory_snapshot!$E:$E)</f>
        <v>1313</v>
      </c>
      <c r="P908" s="24" t="str">
        <f t="shared" si="2"/>
        <v>OK</v>
      </c>
      <c r="Q908" s="24" t="str">
        <f t="shared" si="3"/>
        <v>OK</v>
      </c>
      <c r="R908" s="24" t="str">
        <f t="shared" si="4"/>
        <v>OK</v>
      </c>
      <c r="S908" s="24" t="str">
        <f t="shared" si="5"/>
        <v>Large</v>
      </c>
    </row>
    <row r="909" ht="15.75" customHeight="1">
      <c r="A909" s="25" t="s">
        <v>1104</v>
      </c>
      <c r="B909" s="26">
        <v>46035.0</v>
      </c>
      <c r="C909" s="25" t="s">
        <v>1075</v>
      </c>
      <c r="D909" s="27" t="str">
        <f>IFERROR(VLOOKUP(C909,customer_lookup!$A:$E,2,FALSE),"")</f>
        <v>WA Account 0098</v>
      </c>
      <c r="E909" s="27" t="str">
        <f>IFERROR(VLOOKUP(C909,customer_lookup!$A:$E,3,FALSE),"")</f>
        <v>WA</v>
      </c>
      <c r="F909" s="28" t="str">
        <f>IFERROR(VLOOKUP(C909,customer_lookup!$A:$E,5,FALSE),"")</f>
        <v>Sam</v>
      </c>
      <c r="G909" s="25" t="s">
        <v>63</v>
      </c>
      <c r="H909" s="25" t="s">
        <v>64</v>
      </c>
      <c r="I909" s="27" t="str">
        <f>IFERROR(VLOOKUP(H909,product_lookup!$A:$D,2,FALSE),"")</f>
        <v>Cranberry Sparkling Beverage</v>
      </c>
      <c r="J909" s="29">
        <v>48.0</v>
      </c>
      <c r="K909" s="30">
        <v>7.18</v>
      </c>
      <c r="L909" s="31">
        <f t="shared" si="1"/>
        <v>344.64</v>
      </c>
      <c r="M909" s="25" t="s">
        <v>137</v>
      </c>
      <c r="N909" s="26">
        <v>46037.0</v>
      </c>
      <c r="O909" s="27">
        <f>SUMIF(inventory_snapshot!$B:$B,H909,inventory_snapshot!$E:$E)</f>
        <v>1152</v>
      </c>
      <c r="P909" s="32" t="str">
        <f t="shared" si="2"/>
        <v>OK</v>
      </c>
      <c r="Q909" s="32" t="str">
        <f t="shared" si="3"/>
        <v>OK</v>
      </c>
      <c r="R909" s="32" t="str">
        <f t="shared" si="4"/>
        <v>OK</v>
      </c>
      <c r="S909" s="32" t="str">
        <f t="shared" si="5"/>
        <v>Small</v>
      </c>
    </row>
    <row r="910" ht="15.75" customHeight="1">
      <c r="A910" s="17" t="s">
        <v>1105</v>
      </c>
      <c r="B910" s="18">
        <v>46126.0</v>
      </c>
      <c r="C910" s="17" t="s">
        <v>1081</v>
      </c>
      <c r="D910" s="19" t="str">
        <f>IFERROR(VLOOKUP(C910,customer_lookup!$A:$E,2,FALSE),"")</f>
        <v>MI Account 0020</v>
      </c>
      <c r="E910" s="19" t="str">
        <f>IFERROR(VLOOKUP(C910,customer_lookup!$A:$E,3,FALSE),"")</f>
        <v>MI</v>
      </c>
      <c r="F910" s="20" t="str">
        <f>IFERROR(VLOOKUP(C910,customer_lookup!$A:$E,5,FALSE),"")</f>
        <v>Sam</v>
      </c>
      <c r="G910" s="17" t="s">
        <v>89</v>
      </c>
      <c r="H910" s="17" t="s">
        <v>90</v>
      </c>
      <c r="I910" s="19" t="str">
        <f>IFERROR(VLOOKUP(H910,product_lookup!$A:$D,2,FALSE),"")</f>
        <v>Blackberry Sparkling Beverage</v>
      </c>
      <c r="J910" s="21">
        <v>6.0</v>
      </c>
      <c r="K910" s="22">
        <v>7.01</v>
      </c>
      <c r="L910" s="23">
        <f t="shared" si="1"/>
        <v>42.06</v>
      </c>
      <c r="M910" s="17" t="s">
        <v>65</v>
      </c>
      <c r="N910" s="18">
        <v>46135.0</v>
      </c>
      <c r="O910" s="19">
        <f>SUMIF(inventory_snapshot!$B:$B,H910,inventory_snapshot!$E:$E)</f>
        <v>1292</v>
      </c>
      <c r="P910" s="24" t="str">
        <f t="shared" si="2"/>
        <v>OK</v>
      </c>
      <c r="Q910" s="24" t="str">
        <f t="shared" si="3"/>
        <v>OK</v>
      </c>
      <c r="R910" s="24" t="str">
        <f t="shared" si="4"/>
        <v>OK</v>
      </c>
      <c r="S910" s="24" t="str">
        <f t="shared" si="5"/>
        <v>Small</v>
      </c>
    </row>
    <row r="911" ht="15.75" customHeight="1">
      <c r="A911" s="25" t="s">
        <v>1106</v>
      </c>
      <c r="B911" s="26">
        <v>46030.0</v>
      </c>
      <c r="C911" s="25" t="s">
        <v>1075</v>
      </c>
      <c r="D911" s="27" t="str">
        <f>IFERROR(VLOOKUP(C911,customer_lookup!$A:$E,2,FALSE),"")</f>
        <v>WA Account 0098</v>
      </c>
      <c r="E911" s="27" t="str">
        <f>IFERROR(VLOOKUP(C911,customer_lookup!$A:$E,3,FALSE),"")</f>
        <v>WA</v>
      </c>
      <c r="F911" s="28" t="str">
        <f>IFERROR(VLOOKUP(C911,customer_lookup!$A:$E,5,FALSE),"")</f>
        <v>Sam</v>
      </c>
      <c r="G911" s="25" t="s">
        <v>67</v>
      </c>
      <c r="H911" s="25" t="s">
        <v>95</v>
      </c>
      <c r="I911" s="27" t="str">
        <f>IFERROR(VLOOKUP(H911,product_lookup!$A:$D,2,FALSE),"")</f>
        <v>Boysenberry 1:1:1 Gummies</v>
      </c>
      <c r="J911" s="29">
        <v>36.0</v>
      </c>
      <c r="K911" s="30">
        <v>10.8</v>
      </c>
      <c r="L911" s="31">
        <f t="shared" si="1"/>
        <v>388.8</v>
      </c>
      <c r="M911" s="25" t="s">
        <v>65</v>
      </c>
      <c r="N911" s="26">
        <v>46033.0</v>
      </c>
      <c r="O911" s="27">
        <f>SUMIF(inventory_snapshot!$B:$B,H911,inventory_snapshot!$E:$E)</f>
        <v>2007</v>
      </c>
      <c r="P911" s="32" t="str">
        <f t="shared" si="2"/>
        <v>OK</v>
      </c>
      <c r="Q911" s="32" t="str">
        <f t="shared" si="3"/>
        <v>OK</v>
      </c>
      <c r="R911" s="32" t="str">
        <f t="shared" si="4"/>
        <v>OK</v>
      </c>
      <c r="S911" s="32" t="str">
        <f t="shared" si="5"/>
        <v>Small</v>
      </c>
    </row>
    <row r="912" ht="15.75" customHeight="1">
      <c r="A912" s="17" t="s">
        <v>1107</v>
      </c>
      <c r="B912" s="18">
        <v>46095.0</v>
      </c>
      <c r="C912" s="17" t="s">
        <v>1075</v>
      </c>
      <c r="D912" s="19" t="str">
        <f>IFERROR(VLOOKUP(C912,customer_lookup!$A:$E,2,FALSE),"")</f>
        <v>WA Account 0098</v>
      </c>
      <c r="E912" s="19" t="str">
        <f>IFERROR(VLOOKUP(C912,customer_lookup!$A:$E,3,FALSE),"")</f>
        <v>WA</v>
      </c>
      <c r="F912" s="20" t="str">
        <f>IFERROR(VLOOKUP(C912,customer_lookup!$A:$E,5,FALSE),"")</f>
        <v>Sam</v>
      </c>
      <c r="G912" s="17" t="s">
        <v>67</v>
      </c>
      <c r="H912" s="17" t="s">
        <v>74</v>
      </c>
      <c r="I912" s="19" t="str">
        <f>IFERROR(VLOOKUP(H912,product_lookup!$A:$D,2,FALSE),"")</f>
        <v>Strawberry 20:1 Gummies</v>
      </c>
      <c r="J912" s="21">
        <v>18.0</v>
      </c>
      <c r="K912" s="22">
        <v>10.56</v>
      </c>
      <c r="L912" s="23">
        <f t="shared" si="1"/>
        <v>190.08</v>
      </c>
      <c r="M912" s="17" t="s">
        <v>65</v>
      </c>
      <c r="N912" s="18">
        <v>46097.0</v>
      </c>
      <c r="O912" s="19">
        <f>SUMIF(inventory_snapshot!$B:$B,H912,inventory_snapshot!$E:$E)</f>
        <v>2294</v>
      </c>
      <c r="P912" s="24" t="str">
        <f t="shared" si="2"/>
        <v>OK</v>
      </c>
      <c r="Q912" s="24" t="str">
        <f t="shared" si="3"/>
        <v>OK</v>
      </c>
      <c r="R912" s="24" t="str">
        <f t="shared" si="4"/>
        <v>OK</v>
      </c>
      <c r="S912" s="24" t="str">
        <f t="shared" si="5"/>
        <v>Small</v>
      </c>
    </row>
    <row r="913" ht="15.75" customHeight="1">
      <c r="A913" s="25" t="s">
        <v>1108</v>
      </c>
      <c r="B913" s="26">
        <v>46126.0</v>
      </c>
      <c r="C913" s="25" t="s">
        <v>1083</v>
      </c>
      <c r="D913" s="27" t="str">
        <f>IFERROR(VLOOKUP(C913,customer_lookup!$A:$E,2,FALSE),"")</f>
        <v>CO Account 0016</v>
      </c>
      <c r="E913" s="27" t="str">
        <f>IFERROR(VLOOKUP(C913,customer_lookup!$A:$E,3,FALSE),"")</f>
        <v>CO</v>
      </c>
      <c r="F913" s="28" t="str">
        <f>IFERROR(VLOOKUP(C913,customer_lookup!$A:$E,5,FALSE),"")</f>
        <v>Sam</v>
      </c>
      <c r="G913" s="25" t="s">
        <v>67</v>
      </c>
      <c r="H913" s="25" t="s">
        <v>162</v>
      </c>
      <c r="I913" s="27" t="str">
        <f>IFERROR(VLOOKUP(H913,product_lookup!$A:$D,2,FALSE),"")</f>
        <v>Marionberry THC Gummies</v>
      </c>
      <c r="J913" s="29">
        <v>120.0</v>
      </c>
      <c r="K913" s="30">
        <v>10.59</v>
      </c>
      <c r="L913" s="31">
        <f t="shared" si="1"/>
        <v>1270.8</v>
      </c>
      <c r="M913" s="25" t="s">
        <v>137</v>
      </c>
      <c r="N913" s="26">
        <v>46135.0</v>
      </c>
      <c r="O913" s="27">
        <f>SUMIF(inventory_snapshot!$B:$B,H913,inventory_snapshot!$E:$E)</f>
        <v>1599</v>
      </c>
      <c r="P913" s="32" t="str">
        <f t="shared" si="2"/>
        <v>OK</v>
      </c>
      <c r="Q913" s="32" t="str">
        <f t="shared" si="3"/>
        <v>OK</v>
      </c>
      <c r="R913" s="32" t="str">
        <f t="shared" si="4"/>
        <v>OK</v>
      </c>
      <c r="S913" s="32" t="str">
        <f t="shared" si="5"/>
        <v>Large</v>
      </c>
    </row>
    <row r="914" ht="15.75" customHeight="1">
      <c r="A914" s="17" t="s">
        <v>1109</v>
      </c>
      <c r="B914" s="18">
        <v>46117.0</v>
      </c>
      <c r="C914" s="17" t="s">
        <v>1081</v>
      </c>
      <c r="D914" s="19" t="str">
        <f>IFERROR(VLOOKUP(C914,customer_lookup!$A:$E,2,FALSE),"")</f>
        <v>MI Account 0020</v>
      </c>
      <c r="E914" s="19" t="str">
        <f>IFERROR(VLOOKUP(C914,customer_lookup!$A:$E,3,FALSE),"")</f>
        <v>MI</v>
      </c>
      <c r="F914" s="20" t="str">
        <f>IFERROR(VLOOKUP(C914,customer_lookup!$A:$E,5,FALSE),"")</f>
        <v>Sam</v>
      </c>
      <c r="G914" s="17" t="s">
        <v>67</v>
      </c>
      <c r="H914" s="17" t="s">
        <v>156</v>
      </c>
      <c r="I914" s="19" t="str">
        <f>IFERROR(VLOOKUP(H914,product_lookup!$A:$D,2,FALSE),"")</f>
        <v>Blood Orange 1:1 Gummies</v>
      </c>
      <c r="J914" s="21">
        <v>72.0</v>
      </c>
      <c r="K914" s="22">
        <v>10.95</v>
      </c>
      <c r="L914" s="23">
        <f t="shared" si="1"/>
        <v>788.4</v>
      </c>
      <c r="M914" s="17" t="s">
        <v>97</v>
      </c>
      <c r="N914" s="18">
        <v>46125.0</v>
      </c>
      <c r="O914" s="19">
        <f>SUMIF(inventory_snapshot!$B:$B,H914,inventory_snapshot!$E:$E)</f>
        <v>1589</v>
      </c>
      <c r="P914" s="24" t="str">
        <f t="shared" si="2"/>
        <v>OK</v>
      </c>
      <c r="Q914" s="24" t="str">
        <f t="shared" si="3"/>
        <v>OK</v>
      </c>
      <c r="R914" s="24" t="str">
        <f t="shared" si="4"/>
        <v>OK</v>
      </c>
      <c r="S914" s="24" t="str">
        <f t="shared" si="5"/>
        <v>Medium</v>
      </c>
    </row>
    <row r="915" ht="15.75" customHeight="1">
      <c r="A915" s="25" t="s">
        <v>1110</v>
      </c>
      <c r="B915" s="26">
        <v>46070.0</v>
      </c>
      <c r="C915" s="25" t="s">
        <v>1077</v>
      </c>
      <c r="D915" s="27" t="str">
        <f>IFERROR(VLOOKUP(C915,customer_lookup!$A:$E,2,FALSE),"")</f>
        <v>IL Account 0067</v>
      </c>
      <c r="E915" s="27" t="str">
        <f>IFERROR(VLOOKUP(C915,customer_lookup!$A:$E,3,FALSE),"")</f>
        <v>IL</v>
      </c>
      <c r="F915" s="28" t="str">
        <f>IFERROR(VLOOKUP(C915,customer_lookup!$A:$E,5,FALSE),"")</f>
        <v>Sam</v>
      </c>
      <c r="G915" s="25" t="s">
        <v>63</v>
      </c>
      <c r="H915" s="25" t="s">
        <v>102</v>
      </c>
      <c r="I915" s="27" t="str">
        <f>IFERROR(VLOOKUP(H915,product_lookup!$A:$D,2,FALSE),"")</f>
        <v>Pomegranate 1:1 Gummies</v>
      </c>
      <c r="J915" s="29">
        <v>60.0</v>
      </c>
      <c r="K915" s="30">
        <v>10.81</v>
      </c>
      <c r="L915" s="31">
        <f t="shared" si="1"/>
        <v>648.6</v>
      </c>
      <c r="M915" s="25" t="s">
        <v>93</v>
      </c>
      <c r="N915" s="26">
        <v>46074.0</v>
      </c>
      <c r="O915" s="27">
        <f>SUMIF(inventory_snapshot!$B:$B,H915,inventory_snapshot!$E:$E)</f>
        <v>1493</v>
      </c>
      <c r="P915" s="32" t="str">
        <f t="shared" si="2"/>
        <v>OK</v>
      </c>
      <c r="Q915" s="32" t="str">
        <f t="shared" si="3"/>
        <v>OK</v>
      </c>
      <c r="R915" s="32" t="str">
        <f t="shared" si="4"/>
        <v>OK</v>
      </c>
      <c r="S915" s="32" t="str">
        <f t="shared" si="5"/>
        <v>Medium</v>
      </c>
    </row>
    <row r="916" ht="15.75" customHeight="1">
      <c r="A916" s="17" t="s">
        <v>1111</v>
      </c>
      <c r="B916" s="18">
        <v>46045.0</v>
      </c>
      <c r="C916" s="17" t="s">
        <v>1075</v>
      </c>
      <c r="D916" s="19" t="str">
        <f>IFERROR(VLOOKUP(C916,customer_lookup!$A:$E,2,FALSE),"")</f>
        <v>WA Account 0098</v>
      </c>
      <c r="E916" s="19" t="str">
        <f>IFERROR(VLOOKUP(C916,customer_lookup!$A:$E,3,FALSE),"")</f>
        <v>WA</v>
      </c>
      <c r="F916" s="20" t="str">
        <f>IFERROR(VLOOKUP(C916,customer_lookup!$A:$E,5,FALSE),"")</f>
        <v>Sam</v>
      </c>
      <c r="G916" s="17" t="s">
        <v>63</v>
      </c>
      <c r="H916" s="17" t="s">
        <v>92</v>
      </c>
      <c r="I916" s="19" t="str">
        <f>IFERROR(VLOOKUP(H916,product_lookup!$A:$D,2,FALSE),"")</f>
        <v>Raspberry THC Gummies</v>
      </c>
      <c r="J916" s="21">
        <v>30.0</v>
      </c>
      <c r="K916" s="22">
        <v>9.51</v>
      </c>
      <c r="L916" s="23">
        <f t="shared" si="1"/>
        <v>285.3</v>
      </c>
      <c r="M916" s="17" t="s">
        <v>65</v>
      </c>
      <c r="N916" s="18">
        <v>46048.0</v>
      </c>
      <c r="O916" s="19">
        <f>SUMIF(inventory_snapshot!$B:$B,H916,inventory_snapshot!$E:$E)</f>
        <v>1417</v>
      </c>
      <c r="P916" s="24" t="str">
        <f t="shared" si="2"/>
        <v>OK</v>
      </c>
      <c r="Q916" s="24" t="str">
        <f t="shared" si="3"/>
        <v>OK</v>
      </c>
      <c r="R916" s="24" t="str">
        <f t="shared" si="4"/>
        <v>OK</v>
      </c>
      <c r="S916" s="24" t="str">
        <f t="shared" si="5"/>
        <v>Small</v>
      </c>
    </row>
    <row r="917" ht="15.75" customHeight="1">
      <c r="A917" s="25" t="s">
        <v>1112</v>
      </c>
      <c r="B917" s="26">
        <v>46037.0</v>
      </c>
      <c r="C917" s="25" t="s">
        <v>1083</v>
      </c>
      <c r="D917" s="27" t="str">
        <f>IFERROR(VLOOKUP(C917,customer_lookup!$A:$E,2,FALSE),"")</f>
        <v>CO Account 0016</v>
      </c>
      <c r="E917" s="27" t="str">
        <f>IFERROR(VLOOKUP(C917,customer_lookup!$A:$E,3,FALSE),"")</f>
        <v>CO</v>
      </c>
      <c r="F917" s="28" t="str">
        <f>IFERROR(VLOOKUP(C917,customer_lookup!$A:$E,5,FALSE),"")</f>
        <v>Sam</v>
      </c>
      <c r="G917" s="25" t="s">
        <v>67</v>
      </c>
      <c r="H917" s="25" t="s">
        <v>74</v>
      </c>
      <c r="I917" s="27" t="str">
        <f>IFERROR(VLOOKUP(H917,product_lookup!$A:$D,2,FALSE),"")</f>
        <v>Strawberry 20:1 Gummies</v>
      </c>
      <c r="J917" s="29">
        <v>72.0</v>
      </c>
      <c r="K917" s="30">
        <v>10.66</v>
      </c>
      <c r="L917" s="31">
        <f t="shared" si="1"/>
        <v>767.52</v>
      </c>
      <c r="M917" s="25" t="s">
        <v>65</v>
      </c>
      <c r="N917" s="26">
        <v>46046.0</v>
      </c>
      <c r="O917" s="27">
        <f>SUMIF(inventory_snapshot!$B:$B,H917,inventory_snapshot!$E:$E)</f>
        <v>2294</v>
      </c>
      <c r="P917" s="32" t="str">
        <f t="shared" si="2"/>
        <v>OK</v>
      </c>
      <c r="Q917" s="32" t="str">
        <f t="shared" si="3"/>
        <v>OK</v>
      </c>
      <c r="R917" s="32" t="str">
        <f t="shared" si="4"/>
        <v>OK</v>
      </c>
      <c r="S917" s="32" t="str">
        <f t="shared" si="5"/>
        <v>Medium</v>
      </c>
    </row>
    <row r="918" ht="15.75" customHeight="1">
      <c r="A918" s="17" t="s">
        <v>1113</v>
      </c>
      <c r="B918" s="18">
        <v>46102.0</v>
      </c>
      <c r="C918" s="17" t="s">
        <v>1081</v>
      </c>
      <c r="D918" s="19" t="str">
        <f>IFERROR(VLOOKUP(C918,customer_lookup!$A:$E,2,FALSE),"")</f>
        <v>MI Account 0020</v>
      </c>
      <c r="E918" s="19" t="str">
        <f>IFERROR(VLOOKUP(C918,customer_lookup!$A:$E,3,FALSE),"")</f>
        <v>MI</v>
      </c>
      <c r="F918" s="20" t="str">
        <f>IFERROR(VLOOKUP(C918,customer_lookup!$A:$E,5,FALSE),"")</f>
        <v>Sam</v>
      </c>
      <c r="G918" s="17" t="s">
        <v>67</v>
      </c>
      <c r="H918" s="17" t="s">
        <v>102</v>
      </c>
      <c r="I918" s="19" t="str">
        <f>IFERROR(VLOOKUP(H918,product_lookup!$A:$D,2,FALSE),"")</f>
        <v>Pomegranate 1:1 Gummies</v>
      </c>
      <c r="J918" s="21">
        <v>96.0</v>
      </c>
      <c r="K918" s="22">
        <v>10.11</v>
      </c>
      <c r="L918" s="23">
        <f t="shared" si="1"/>
        <v>970.56</v>
      </c>
      <c r="M918" s="17" t="s">
        <v>100</v>
      </c>
      <c r="N918" s="18">
        <v>46110.0</v>
      </c>
      <c r="O918" s="19">
        <f>SUMIF(inventory_snapshot!$B:$B,H918,inventory_snapshot!$E:$E)</f>
        <v>1493</v>
      </c>
      <c r="P918" s="24" t="str">
        <f t="shared" si="2"/>
        <v>OK</v>
      </c>
      <c r="Q918" s="24" t="str">
        <f t="shared" si="3"/>
        <v>OK</v>
      </c>
      <c r="R918" s="24" t="str">
        <f t="shared" si="4"/>
        <v>OK</v>
      </c>
      <c r="S918" s="24" t="str">
        <f t="shared" si="5"/>
        <v>Medium</v>
      </c>
    </row>
    <row r="919" ht="15.75" customHeight="1">
      <c r="A919" s="25" t="s">
        <v>1114</v>
      </c>
      <c r="B919" s="26">
        <v>46131.0</v>
      </c>
      <c r="C919" s="25" t="s">
        <v>1081</v>
      </c>
      <c r="D919" s="27" t="str">
        <f>IFERROR(VLOOKUP(C919,customer_lookup!$A:$E,2,FALSE),"")</f>
        <v>MI Account 0020</v>
      </c>
      <c r="E919" s="27" t="str">
        <f>IFERROR(VLOOKUP(C919,customer_lookup!$A:$E,3,FALSE),"")</f>
        <v>MI</v>
      </c>
      <c r="F919" s="28" t="str">
        <f>IFERROR(VLOOKUP(C919,customer_lookup!$A:$E,5,FALSE),"")</f>
        <v>Sam</v>
      </c>
      <c r="G919" s="25" t="s">
        <v>89</v>
      </c>
      <c r="H919" s="25" t="s">
        <v>102</v>
      </c>
      <c r="I919" s="27" t="str">
        <f>IFERROR(VLOOKUP(H919,product_lookup!$A:$D,2,FALSE),"")</f>
        <v>Pomegranate 1:1 Gummies</v>
      </c>
      <c r="J919" s="29">
        <v>48.0</v>
      </c>
      <c r="K919" s="30">
        <v>10.8</v>
      </c>
      <c r="L919" s="31">
        <f t="shared" si="1"/>
        <v>518.4</v>
      </c>
      <c r="M919" s="25" t="s">
        <v>65</v>
      </c>
      <c r="N919" s="26">
        <v>46135.0</v>
      </c>
      <c r="O919" s="27">
        <f>SUMIF(inventory_snapshot!$B:$B,H919,inventory_snapshot!$E:$E)</f>
        <v>1493</v>
      </c>
      <c r="P919" s="32" t="str">
        <f t="shared" si="2"/>
        <v>OK</v>
      </c>
      <c r="Q919" s="32" t="str">
        <f t="shared" si="3"/>
        <v>OK</v>
      </c>
      <c r="R919" s="32" t="str">
        <f t="shared" si="4"/>
        <v>OK</v>
      </c>
      <c r="S919" s="32" t="str">
        <f t="shared" si="5"/>
        <v>Medium</v>
      </c>
    </row>
    <row r="920" ht="15.75" customHeight="1">
      <c r="A920" s="17" t="s">
        <v>1115</v>
      </c>
      <c r="B920" s="18">
        <v>46061.0</v>
      </c>
      <c r="C920" s="17" t="s">
        <v>1081</v>
      </c>
      <c r="D920" s="19" t="str">
        <f>IFERROR(VLOOKUP(C920,customer_lookup!$A:$E,2,FALSE),"")</f>
        <v>MI Account 0020</v>
      </c>
      <c r="E920" s="19" t="str">
        <f>IFERROR(VLOOKUP(C920,customer_lookup!$A:$E,3,FALSE),"")</f>
        <v>MI</v>
      </c>
      <c r="F920" s="20" t="str">
        <f>IFERROR(VLOOKUP(C920,customer_lookup!$A:$E,5,FALSE),"")</f>
        <v>Sam</v>
      </c>
      <c r="G920" s="17" t="s">
        <v>89</v>
      </c>
      <c r="H920" s="17" t="s">
        <v>78</v>
      </c>
      <c r="I920" s="19" t="str">
        <f>IFERROR(VLOOKUP(H920,product_lookup!$A:$D,2,FALSE),"")</f>
        <v>Grapefruit 1:1:1 Gummies</v>
      </c>
      <c r="J920" s="21">
        <v>60.0</v>
      </c>
      <c r="K920" s="22">
        <v>11.4</v>
      </c>
      <c r="L920" s="23">
        <f t="shared" si="1"/>
        <v>684</v>
      </c>
      <c r="M920" s="17" t="s">
        <v>65</v>
      </c>
      <c r="N920" s="18">
        <v>46071.0</v>
      </c>
      <c r="O920" s="19">
        <f>SUMIF(inventory_snapshot!$B:$B,H920,inventory_snapshot!$E:$E)</f>
        <v>1751</v>
      </c>
      <c r="P920" s="24" t="str">
        <f t="shared" si="2"/>
        <v>OK</v>
      </c>
      <c r="Q920" s="24" t="str">
        <f t="shared" si="3"/>
        <v>OK</v>
      </c>
      <c r="R920" s="24" t="str">
        <f t="shared" si="4"/>
        <v>OK</v>
      </c>
      <c r="S920" s="24" t="str">
        <f t="shared" si="5"/>
        <v>Medium</v>
      </c>
    </row>
    <row r="921" ht="15.75" customHeight="1">
      <c r="A921" s="25" t="s">
        <v>1116</v>
      </c>
      <c r="B921" s="26">
        <v>46067.0</v>
      </c>
      <c r="C921" s="25" t="s">
        <v>1083</v>
      </c>
      <c r="D921" s="27" t="str">
        <f>IFERROR(VLOOKUP(C921,customer_lookup!$A:$E,2,FALSE),"")</f>
        <v>CO Account 0016</v>
      </c>
      <c r="E921" s="27" t="str">
        <f>IFERROR(VLOOKUP(C921,customer_lookup!$A:$E,3,FALSE),"")</f>
        <v>CO</v>
      </c>
      <c r="F921" s="28" t="str">
        <f>IFERROR(VLOOKUP(C921,customer_lookup!$A:$E,5,FALSE),"")</f>
        <v>Sam</v>
      </c>
      <c r="G921" s="25" t="s">
        <v>63</v>
      </c>
      <c r="H921" s="25" t="s">
        <v>81</v>
      </c>
      <c r="I921" s="27" t="str">
        <f>IFERROR(VLOOKUP(H921,product_lookup!$A:$D,2,FALSE),"")</f>
        <v>Lemon Sparkling Beverage</v>
      </c>
      <c r="J921" s="29">
        <v>12.0</v>
      </c>
      <c r="K921" s="30">
        <v>7.79</v>
      </c>
      <c r="L921" s="31">
        <f t="shared" si="1"/>
        <v>93.48</v>
      </c>
      <c r="M921" s="25" t="s">
        <v>75</v>
      </c>
      <c r="N921" s="26">
        <v>46077.0</v>
      </c>
      <c r="O921" s="27">
        <f>SUMIF(inventory_snapshot!$B:$B,H921,inventory_snapshot!$E:$E)</f>
        <v>1360</v>
      </c>
      <c r="P921" s="32" t="str">
        <f t="shared" si="2"/>
        <v>OK</v>
      </c>
      <c r="Q921" s="32" t="str">
        <f t="shared" si="3"/>
        <v>OK</v>
      </c>
      <c r="R921" s="32" t="str">
        <f t="shared" si="4"/>
        <v>OK</v>
      </c>
      <c r="S921" s="32" t="str">
        <f t="shared" si="5"/>
        <v>Small</v>
      </c>
    </row>
    <row r="922" ht="15.75" customHeight="1">
      <c r="A922" s="17" t="s">
        <v>1117</v>
      </c>
      <c r="B922" s="18">
        <v>46115.0</v>
      </c>
      <c r="C922" s="17" t="s">
        <v>1083</v>
      </c>
      <c r="D922" s="19" t="str">
        <f>IFERROR(VLOOKUP(C922,customer_lookup!$A:$E,2,FALSE),"")</f>
        <v>CO Account 0016</v>
      </c>
      <c r="E922" s="19" t="str">
        <f>IFERROR(VLOOKUP(C922,customer_lookup!$A:$E,3,FALSE),"")</f>
        <v>CO</v>
      </c>
      <c r="F922" s="20" t="str">
        <f>IFERROR(VLOOKUP(C922,customer_lookup!$A:$E,5,FALSE),"")</f>
        <v>Sam</v>
      </c>
      <c r="G922" s="17" t="s">
        <v>63</v>
      </c>
      <c r="H922" s="17" t="s">
        <v>85</v>
      </c>
      <c r="I922" s="19" t="str">
        <f>IFERROR(VLOOKUP(H922,product_lookup!$A:$D,2,FALSE),"")</f>
        <v>Huckleberry THC Gummies</v>
      </c>
      <c r="J922" s="21">
        <v>72.0</v>
      </c>
      <c r="K922" s="22">
        <v>11.27</v>
      </c>
      <c r="L922" s="23">
        <f t="shared" si="1"/>
        <v>811.44</v>
      </c>
      <c r="M922" s="17" t="s">
        <v>65</v>
      </c>
      <c r="N922" s="18">
        <v>46124.0</v>
      </c>
      <c r="O922" s="19">
        <f>SUMIF(inventory_snapshot!$B:$B,H922,inventory_snapshot!$E:$E)</f>
        <v>1841</v>
      </c>
      <c r="P922" s="24" t="str">
        <f t="shared" si="2"/>
        <v>OK</v>
      </c>
      <c r="Q922" s="24" t="str">
        <f t="shared" si="3"/>
        <v>OK</v>
      </c>
      <c r="R922" s="24" t="str">
        <f t="shared" si="4"/>
        <v>OK</v>
      </c>
      <c r="S922" s="24" t="str">
        <f t="shared" si="5"/>
        <v>Medium</v>
      </c>
    </row>
    <row r="923" ht="15.75" customHeight="1">
      <c r="A923" s="25" t="s">
        <v>1118</v>
      </c>
      <c r="B923" s="26">
        <v>46131.0</v>
      </c>
      <c r="C923" s="25" t="s">
        <v>1081</v>
      </c>
      <c r="D923" s="27" t="str">
        <f>IFERROR(VLOOKUP(C923,customer_lookup!$A:$E,2,FALSE),"")</f>
        <v>MI Account 0020</v>
      </c>
      <c r="E923" s="27" t="str">
        <f>IFERROR(VLOOKUP(C923,customer_lookup!$A:$E,3,FALSE),"")</f>
        <v>MI</v>
      </c>
      <c r="F923" s="28" t="str">
        <f>IFERROR(VLOOKUP(C923,customer_lookup!$A:$E,5,FALSE),"")</f>
        <v>Sam</v>
      </c>
      <c r="G923" s="25" t="s">
        <v>89</v>
      </c>
      <c r="H923" s="25" t="s">
        <v>162</v>
      </c>
      <c r="I923" s="27" t="str">
        <f>IFERROR(VLOOKUP(H923,product_lookup!$A:$D,2,FALSE),"")</f>
        <v>Marionberry THC Gummies</v>
      </c>
      <c r="J923" s="29">
        <v>24.0</v>
      </c>
      <c r="K923" s="30">
        <v>10.66</v>
      </c>
      <c r="L923" s="31">
        <f t="shared" si="1"/>
        <v>255.84</v>
      </c>
      <c r="M923" s="25" t="s">
        <v>100</v>
      </c>
      <c r="N923" s="26">
        <v>46134.0</v>
      </c>
      <c r="O923" s="27">
        <f>SUMIF(inventory_snapshot!$B:$B,H923,inventory_snapshot!$E:$E)</f>
        <v>1599</v>
      </c>
      <c r="P923" s="32" t="str">
        <f t="shared" si="2"/>
        <v>OK</v>
      </c>
      <c r="Q923" s="32" t="str">
        <f t="shared" si="3"/>
        <v>OK</v>
      </c>
      <c r="R923" s="32" t="str">
        <f t="shared" si="4"/>
        <v>OK</v>
      </c>
      <c r="S923" s="32" t="str">
        <f t="shared" si="5"/>
        <v>Small</v>
      </c>
    </row>
    <row r="924" ht="15.75" customHeight="1">
      <c r="A924" s="17" t="s">
        <v>1119</v>
      </c>
      <c r="B924" s="18">
        <v>46107.0</v>
      </c>
      <c r="C924" s="17" t="s">
        <v>1077</v>
      </c>
      <c r="D924" s="19" t="str">
        <f>IFERROR(VLOOKUP(C924,customer_lookup!$A:$E,2,FALSE),"")</f>
        <v>IL Account 0067</v>
      </c>
      <c r="E924" s="19" t="str">
        <f>IFERROR(VLOOKUP(C924,customer_lookup!$A:$E,3,FALSE),"")</f>
        <v>IL</v>
      </c>
      <c r="F924" s="20" t="str">
        <f>IFERROR(VLOOKUP(C924,customer_lookup!$A:$E,5,FALSE),"")</f>
        <v>Sam</v>
      </c>
      <c r="G924" s="17" t="s">
        <v>67</v>
      </c>
      <c r="H924" s="17" t="s">
        <v>102</v>
      </c>
      <c r="I924" s="19" t="str">
        <f>IFERROR(VLOOKUP(H924,product_lookup!$A:$D,2,FALSE),"")</f>
        <v>Pomegranate 1:1 Gummies</v>
      </c>
      <c r="J924" s="21">
        <v>72.0</v>
      </c>
      <c r="K924" s="22">
        <v>10.88</v>
      </c>
      <c r="L924" s="23">
        <f t="shared" si="1"/>
        <v>783.36</v>
      </c>
      <c r="M924" s="17" t="s">
        <v>65</v>
      </c>
      <c r="N924" s="18">
        <v>46116.0</v>
      </c>
      <c r="O924" s="19">
        <f>SUMIF(inventory_snapshot!$B:$B,H924,inventory_snapshot!$E:$E)</f>
        <v>1493</v>
      </c>
      <c r="P924" s="24" t="str">
        <f t="shared" si="2"/>
        <v>OK</v>
      </c>
      <c r="Q924" s="24" t="str">
        <f t="shared" si="3"/>
        <v>OK</v>
      </c>
      <c r="R924" s="24" t="str">
        <f t="shared" si="4"/>
        <v>OK</v>
      </c>
      <c r="S924" s="24" t="str">
        <f t="shared" si="5"/>
        <v>Medium</v>
      </c>
    </row>
    <row r="925" ht="15.75" customHeight="1">
      <c r="A925" s="25" t="s">
        <v>1120</v>
      </c>
      <c r="B925" s="26">
        <v>46054.0</v>
      </c>
      <c r="C925" s="25" t="s">
        <v>1075</v>
      </c>
      <c r="D925" s="27" t="str">
        <f>IFERROR(VLOOKUP(C925,customer_lookup!$A:$E,2,FALSE),"")</f>
        <v>WA Account 0098</v>
      </c>
      <c r="E925" s="27" t="str">
        <f>IFERROR(VLOOKUP(C925,customer_lookup!$A:$E,3,FALSE),"")</f>
        <v>WA</v>
      </c>
      <c r="F925" s="28" t="str">
        <f>IFERROR(VLOOKUP(C925,customer_lookup!$A:$E,5,FALSE),"")</f>
        <v>Sam</v>
      </c>
      <c r="G925" s="25" t="s">
        <v>63</v>
      </c>
      <c r="H925" s="25" t="s">
        <v>108</v>
      </c>
      <c r="I925" s="27" t="str">
        <f>IFERROR(VLOOKUP(H925,product_lookup!$A:$D,2,FALSE),"")</f>
        <v>Sour Tangerine THC Gummies</v>
      </c>
      <c r="J925" s="29">
        <v>72.0</v>
      </c>
      <c r="K925" s="30">
        <v>10.08</v>
      </c>
      <c r="L925" s="31">
        <f t="shared" si="1"/>
        <v>725.76</v>
      </c>
      <c r="M925" s="25" t="s">
        <v>97</v>
      </c>
      <c r="N925" s="26">
        <v>46059.0</v>
      </c>
      <c r="O925" s="27">
        <f>SUMIF(inventory_snapshot!$B:$B,H925,inventory_snapshot!$E:$E)</f>
        <v>1679</v>
      </c>
      <c r="P925" s="32" t="str">
        <f t="shared" si="2"/>
        <v>OK</v>
      </c>
      <c r="Q925" s="32" t="str">
        <f t="shared" si="3"/>
        <v>OK</v>
      </c>
      <c r="R925" s="32" t="str">
        <f t="shared" si="4"/>
        <v>OK</v>
      </c>
      <c r="S925" s="32" t="str">
        <f t="shared" si="5"/>
        <v>Medium</v>
      </c>
    </row>
    <row r="926" ht="15.75" customHeight="1">
      <c r="A926" s="17" t="s">
        <v>475</v>
      </c>
      <c r="B926" s="18">
        <v>46074.0</v>
      </c>
      <c r="C926" s="17" t="s">
        <v>1083</v>
      </c>
      <c r="D926" s="19" t="str">
        <f>IFERROR(VLOOKUP(C926,customer_lookup!$A:$E,2,FALSE),"")</f>
        <v>CO Account 0016</v>
      </c>
      <c r="E926" s="19" t="str">
        <f>IFERROR(VLOOKUP(C926,customer_lookup!$A:$E,3,FALSE),"")</f>
        <v>CO</v>
      </c>
      <c r="F926" s="20" t="str">
        <f>IFERROR(VLOOKUP(C926,customer_lookup!$A:$E,5,FALSE),"")</f>
        <v>Sam</v>
      </c>
      <c r="G926" s="17" t="s">
        <v>63</v>
      </c>
      <c r="H926" s="17" t="s">
        <v>85</v>
      </c>
      <c r="I926" s="19" t="str">
        <f>IFERROR(VLOOKUP(H926,product_lookup!$A:$D,2,FALSE),"")</f>
        <v>Huckleberry THC Gummies</v>
      </c>
      <c r="J926" s="21">
        <v>18.0</v>
      </c>
      <c r="K926" s="22">
        <v>10.1</v>
      </c>
      <c r="L926" s="23">
        <f t="shared" si="1"/>
        <v>181.8</v>
      </c>
      <c r="M926" s="17" t="s">
        <v>65</v>
      </c>
      <c r="N926" s="18">
        <v>46075.0</v>
      </c>
      <c r="O926" s="19">
        <f>SUMIF(inventory_snapshot!$B:$B,H926,inventory_snapshot!$E:$E)</f>
        <v>1841</v>
      </c>
      <c r="P926" s="24" t="str">
        <f t="shared" si="2"/>
        <v>OK</v>
      </c>
      <c r="Q926" s="24" t="str">
        <f t="shared" si="3"/>
        <v>Duplicate</v>
      </c>
      <c r="R926" s="24" t="str">
        <f t="shared" si="4"/>
        <v>OK</v>
      </c>
      <c r="S926" s="24" t="str">
        <f t="shared" si="5"/>
        <v>Small</v>
      </c>
    </row>
    <row r="927" ht="15.75" customHeight="1">
      <c r="A927" s="25" t="s">
        <v>1121</v>
      </c>
      <c r="B927" s="26">
        <v>46080.0</v>
      </c>
      <c r="C927" s="25" t="s">
        <v>1122</v>
      </c>
      <c r="D927" s="27" t="str">
        <f>IFERROR(VLOOKUP(C927,customer_lookup!$A:$E,2,FALSE),"")</f>
        <v>CA Account 0111</v>
      </c>
      <c r="E927" s="27" t="str">
        <f>IFERROR(VLOOKUP(C927,customer_lookup!$A:$E,3,FALSE),"")</f>
        <v>CA</v>
      </c>
      <c r="F927" s="28" t="str">
        <f>IFERROR(VLOOKUP(C927,customer_lookup!$A:$E,5,FALSE),"")</f>
        <v>Taylor</v>
      </c>
      <c r="G927" s="25" t="s">
        <v>63</v>
      </c>
      <c r="H927" s="25" t="s">
        <v>90</v>
      </c>
      <c r="I927" s="27" t="str">
        <f>IFERROR(VLOOKUP(H927,product_lookup!$A:$D,2,FALSE),"")</f>
        <v>Blackberry Sparkling Beverage</v>
      </c>
      <c r="J927" s="29">
        <v>30.0</v>
      </c>
      <c r="K927" s="30">
        <v>7.88</v>
      </c>
      <c r="L927" s="31">
        <f t="shared" si="1"/>
        <v>236.4</v>
      </c>
      <c r="M927" s="25" t="s">
        <v>65</v>
      </c>
      <c r="N927" s="26">
        <v>46089.0</v>
      </c>
      <c r="O927" s="27">
        <f>SUMIF(inventory_snapshot!$B:$B,H927,inventory_snapshot!$E:$E)</f>
        <v>1292</v>
      </c>
      <c r="P927" s="32" t="str">
        <f t="shared" si="2"/>
        <v>OK</v>
      </c>
      <c r="Q927" s="32" t="str">
        <f t="shared" si="3"/>
        <v>OK</v>
      </c>
      <c r="R927" s="32" t="str">
        <f t="shared" si="4"/>
        <v>OK</v>
      </c>
      <c r="S927" s="32" t="str">
        <f t="shared" si="5"/>
        <v>Small</v>
      </c>
    </row>
    <row r="928" ht="15.75" customHeight="1">
      <c r="A928" s="17" t="s">
        <v>1123</v>
      </c>
      <c r="B928" s="18">
        <v>46051.0</v>
      </c>
      <c r="C928" s="17" t="s">
        <v>1124</v>
      </c>
      <c r="D928" s="19" t="str">
        <f>IFERROR(VLOOKUP(C928,customer_lookup!$A:$E,2,FALSE),"")</f>
        <v>IL Account 0007</v>
      </c>
      <c r="E928" s="19" t="str">
        <f>IFERROR(VLOOKUP(C928,customer_lookup!$A:$E,3,FALSE),"")</f>
        <v>IL</v>
      </c>
      <c r="F928" s="20" t="str">
        <f>IFERROR(VLOOKUP(C928,customer_lookup!$A:$E,5,FALSE),"")</f>
        <v>Taylor</v>
      </c>
      <c r="G928" s="17" t="s">
        <v>63</v>
      </c>
      <c r="H928" s="17" t="s">
        <v>68</v>
      </c>
      <c r="I928" s="19" t="str">
        <f>IFERROR(VLOOKUP(H928,product_lookup!$A:$D,2,FALSE),"")</f>
        <v>Sour Apple THC Gummies</v>
      </c>
      <c r="J928" s="21">
        <v>120.0</v>
      </c>
      <c r="K928" s="22">
        <v>9.59</v>
      </c>
      <c r="L928" s="23">
        <f t="shared" si="1"/>
        <v>1150.8</v>
      </c>
      <c r="M928" s="17" t="s">
        <v>93</v>
      </c>
      <c r="N928" s="18">
        <v>46052.0</v>
      </c>
      <c r="O928" s="19">
        <f>SUMIF(inventory_snapshot!$B:$B,H928,inventory_snapshot!$E:$E)</f>
        <v>775</v>
      </c>
      <c r="P928" s="24" t="str">
        <f t="shared" si="2"/>
        <v>OK</v>
      </c>
      <c r="Q928" s="24" t="str">
        <f t="shared" si="3"/>
        <v>OK</v>
      </c>
      <c r="R928" s="24" t="str">
        <f t="shared" si="4"/>
        <v>OK</v>
      </c>
      <c r="S928" s="24" t="str">
        <f t="shared" si="5"/>
        <v>Large</v>
      </c>
    </row>
    <row r="929" ht="15.75" customHeight="1">
      <c r="A929" s="25" t="s">
        <v>1125</v>
      </c>
      <c r="B929" s="26">
        <v>46098.0</v>
      </c>
      <c r="C929" s="25" t="s">
        <v>1126</v>
      </c>
      <c r="D929" s="27" t="str">
        <f>IFERROR(VLOOKUP(C929,customer_lookup!$A:$E,2,FALSE),"")</f>
        <v>CA Account 0087</v>
      </c>
      <c r="E929" s="27" t="str">
        <f>IFERROR(VLOOKUP(C929,customer_lookup!$A:$E,3,FALSE),"")</f>
        <v>CA</v>
      </c>
      <c r="F929" s="28" t="str">
        <f>IFERROR(VLOOKUP(C929,customer_lookup!$A:$E,5,FALSE),"")</f>
        <v>Taylor</v>
      </c>
      <c r="G929" s="25" t="s">
        <v>63</v>
      </c>
      <c r="H929" s="25" t="s">
        <v>64</v>
      </c>
      <c r="I929" s="27" t="str">
        <f>IFERROR(VLOOKUP(H929,product_lookup!$A:$D,2,FALSE),"")</f>
        <v>Cranberry Sparkling Beverage</v>
      </c>
      <c r="J929" s="29">
        <v>6.0</v>
      </c>
      <c r="K929" s="30">
        <v>8.52</v>
      </c>
      <c r="L929" s="31">
        <f t="shared" si="1"/>
        <v>51.12</v>
      </c>
      <c r="M929" s="25" t="s">
        <v>65</v>
      </c>
      <c r="N929" s="26">
        <v>46099.0</v>
      </c>
      <c r="O929" s="27">
        <f>SUMIF(inventory_snapshot!$B:$B,H929,inventory_snapshot!$E:$E)</f>
        <v>1152</v>
      </c>
      <c r="P929" s="32" t="str">
        <f t="shared" si="2"/>
        <v>OK</v>
      </c>
      <c r="Q929" s="32" t="str">
        <f t="shared" si="3"/>
        <v>OK</v>
      </c>
      <c r="R929" s="32" t="str">
        <f t="shared" si="4"/>
        <v>OK</v>
      </c>
      <c r="S929" s="32" t="str">
        <f t="shared" si="5"/>
        <v>Small</v>
      </c>
    </row>
    <row r="930" ht="15.75" customHeight="1">
      <c r="A930" s="17" t="s">
        <v>1127</v>
      </c>
      <c r="B930" s="18">
        <v>46080.0</v>
      </c>
      <c r="C930" s="17" t="s">
        <v>1122</v>
      </c>
      <c r="D930" s="19" t="str">
        <f>IFERROR(VLOOKUP(C930,customer_lookup!$A:$E,2,FALSE),"")</f>
        <v>CA Account 0111</v>
      </c>
      <c r="E930" s="19" t="str">
        <f>IFERROR(VLOOKUP(C930,customer_lookup!$A:$E,3,FALSE),"")</f>
        <v>CA</v>
      </c>
      <c r="F930" s="20" t="str">
        <f>IFERROR(VLOOKUP(C930,customer_lookup!$A:$E,5,FALSE),"")</f>
        <v>Taylor</v>
      </c>
      <c r="G930" s="17" t="s">
        <v>67</v>
      </c>
      <c r="H930" s="17" t="s">
        <v>85</v>
      </c>
      <c r="I930" s="19" t="str">
        <f>IFERROR(VLOOKUP(H930,product_lookup!$A:$D,2,FALSE),"")</f>
        <v>Huckleberry THC Gummies</v>
      </c>
      <c r="J930" s="21">
        <v>72.0</v>
      </c>
      <c r="K930" s="22">
        <v>10.22</v>
      </c>
      <c r="L930" s="23">
        <f t="shared" si="1"/>
        <v>735.84</v>
      </c>
      <c r="M930" s="17" t="s">
        <v>97</v>
      </c>
      <c r="N930" s="18">
        <v>46087.0</v>
      </c>
      <c r="O930" s="19">
        <f>SUMIF(inventory_snapshot!$B:$B,H930,inventory_snapshot!$E:$E)</f>
        <v>1841</v>
      </c>
      <c r="P930" s="24" t="str">
        <f t="shared" si="2"/>
        <v>OK</v>
      </c>
      <c r="Q930" s="24" t="str">
        <f t="shared" si="3"/>
        <v>OK</v>
      </c>
      <c r="R930" s="24" t="str">
        <f t="shared" si="4"/>
        <v>OK</v>
      </c>
      <c r="S930" s="24" t="str">
        <f t="shared" si="5"/>
        <v>Medium</v>
      </c>
    </row>
    <row r="931" ht="15.75" customHeight="1">
      <c r="A931" s="25" t="s">
        <v>1128</v>
      </c>
      <c r="B931" s="26">
        <v>46101.0</v>
      </c>
      <c r="C931" s="25" t="s">
        <v>1129</v>
      </c>
      <c r="D931" s="27" t="str">
        <f>IFERROR(VLOOKUP(C931,customer_lookup!$A:$E,2,FALSE),"")</f>
        <v>NY Account 0023</v>
      </c>
      <c r="E931" s="27" t="str">
        <f>IFERROR(VLOOKUP(C931,customer_lookup!$A:$E,3,FALSE),"")</f>
        <v>NY</v>
      </c>
      <c r="F931" s="28" t="str">
        <f>IFERROR(VLOOKUP(C931,customer_lookup!$A:$E,5,FALSE),"")</f>
        <v>Taylor</v>
      </c>
      <c r="G931" s="25" t="s">
        <v>89</v>
      </c>
      <c r="H931" s="25" t="s">
        <v>110</v>
      </c>
      <c r="I931" s="27" t="str">
        <f>IFERROR(VLOOKUP(H931,product_lookup!$A:$D,2,FALSE),"")</f>
        <v>Elderberry 2:1 Gummies</v>
      </c>
      <c r="J931" s="29">
        <v>48.0</v>
      </c>
      <c r="K931" s="30">
        <v>11.26</v>
      </c>
      <c r="L931" s="31">
        <f t="shared" si="1"/>
        <v>540.48</v>
      </c>
      <c r="M931" s="25" t="s">
        <v>97</v>
      </c>
      <c r="N931" s="26">
        <v>46104.0</v>
      </c>
      <c r="O931" s="27">
        <f>SUMIF(inventory_snapshot!$B:$B,H931,inventory_snapshot!$E:$E)</f>
        <v>1633</v>
      </c>
      <c r="P931" s="32" t="str">
        <f t="shared" si="2"/>
        <v>OK</v>
      </c>
      <c r="Q931" s="32" t="str">
        <f t="shared" si="3"/>
        <v>OK</v>
      </c>
      <c r="R931" s="32" t="str">
        <f t="shared" si="4"/>
        <v>OK</v>
      </c>
      <c r="S931" s="32" t="str">
        <f t="shared" si="5"/>
        <v>Medium</v>
      </c>
    </row>
    <row r="932" ht="15.75" customHeight="1">
      <c r="A932" s="17" t="s">
        <v>1130</v>
      </c>
      <c r="B932" s="18">
        <v>46053.0</v>
      </c>
      <c r="C932" s="17" t="s">
        <v>1131</v>
      </c>
      <c r="D932" s="19" t="str">
        <f>IFERROR(VLOOKUP(C932,customer_lookup!$A:$E,2,FALSE),"")</f>
        <v>WA Account 0062</v>
      </c>
      <c r="E932" s="19" t="str">
        <f>IFERROR(VLOOKUP(C932,customer_lookup!$A:$E,3,FALSE),"")</f>
        <v>WA</v>
      </c>
      <c r="F932" s="20" t="str">
        <f>IFERROR(VLOOKUP(C932,customer_lookup!$A:$E,5,FALSE),"")</f>
        <v>Taylor</v>
      </c>
      <c r="G932" s="17" t="s">
        <v>89</v>
      </c>
      <c r="H932" s="17" t="s">
        <v>78</v>
      </c>
      <c r="I932" s="19" t="str">
        <f>IFERROR(VLOOKUP(H932,product_lookup!$A:$D,2,FALSE),"")</f>
        <v>Grapefruit 1:1:1 Gummies</v>
      </c>
      <c r="J932" s="21">
        <v>48.0</v>
      </c>
      <c r="K932" s="22">
        <v>10.9</v>
      </c>
      <c r="L932" s="23">
        <f t="shared" si="1"/>
        <v>523.2</v>
      </c>
      <c r="M932" s="17" t="s">
        <v>65</v>
      </c>
      <c r="N932" s="18">
        <v>46058.0</v>
      </c>
      <c r="O932" s="19">
        <f>SUMIF(inventory_snapshot!$B:$B,H932,inventory_snapshot!$E:$E)</f>
        <v>1751</v>
      </c>
      <c r="P932" s="24" t="str">
        <f t="shared" si="2"/>
        <v>OK</v>
      </c>
      <c r="Q932" s="24" t="str">
        <f t="shared" si="3"/>
        <v>OK</v>
      </c>
      <c r="R932" s="24" t="str">
        <f t="shared" si="4"/>
        <v>OK</v>
      </c>
      <c r="S932" s="24" t="str">
        <f t="shared" si="5"/>
        <v>Medium</v>
      </c>
    </row>
    <row r="933" ht="15.75" customHeight="1">
      <c r="A933" s="25" t="s">
        <v>1132</v>
      </c>
      <c r="B933" s="26">
        <v>46032.0</v>
      </c>
      <c r="C933" s="25" t="s">
        <v>1133</v>
      </c>
      <c r="D933" s="27" t="str">
        <f>IFERROR(VLOOKUP(C933,customer_lookup!$A:$E,2,FALSE),"")</f>
        <v>CA Account 0015</v>
      </c>
      <c r="E933" s="27" t="str">
        <f>IFERROR(VLOOKUP(C933,customer_lookup!$A:$E,3,FALSE),"")</f>
        <v>CA</v>
      </c>
      <c r="F933" s="28" t="str">
        <f>IFERROR(VLOOKUP(C933,customer_lookup!$A:$E,5,FALSE),"")</f>
        <v>Taylor</v>
      </c>
      <c r="G933" s="25" t="s">
        <v>67</v>
      </c>
      <c r="H933" s="25" t="s">
        <v>74</v>
      </c>
      <c r="I933" s="27" t="str">
        <f>IFERROR(VLOOKUP(H933,product_lookup!$A:$D,2,FALSE),"")</f>
        <v>Strawberry 20:1 Gummies</v>
      </c>
      <c r="J933" s="29">
        <v>18.0</v>
      </c>
      <c r="K933" s="30">
        <v>12.08</v>
      </c>
      <c r="L933" s="31">
        <f t="shared" si="1"/>
        <v>217.44</v>
      </c>
      <c r="M933" s="25" t="s">
        <v>97</v>
      </c>
      <c r="N933" s="26">
        <v>46039.0</v>
      </c>
      <c r="O933" s="27">
        <f>SUMIF(inventory_snapshot!$B:$B,H933,inventory_snapshot!$E:$E)</f>
        <v>2294</v>
      </c>
      <c r="P933" s="32" t="str">
        <f t="shared" si="2"/>
        <v>OK</v>
      </c>
      <c r="Q933" s="32" t="str">
        <f t="shared" si="3"/>
        <v>OK</v>
      </c>
      <c r="R933" s="32" t="str">
        <f t="shared" si="4"/>
        <v>OK</v>
      </c>
      <c r="S933" s="32" t="str">
        <f t="shared" si="5"/>
        <v>Small</v>
      </c>
    </row>
    <row r="934" ht="15.75" customHeight="1">
      <c r="A934" s="17" t="s">
        <v>1134</v>
      </c>
      <c r="B934" s="18">
        <v>46039.0</v>
      </c>
      <c r="C934" s="17" t="s">
        <v>1122</v>
      </c>
      <c r="D934" s="19" t="str">
        <f>IFERROR(VLOOKUP(C934,customer_lookup!$A:$E,2,FALSE),"")</f>
        <v>CA Account 0111</v>
      </c>
      <c r="E934" s="19" t="str">
        <f>IFERROR(VLOOKUP(C934,customer_lookup!$A:$E,3,FALSE),"")</f>
        <v>CA</v>
      </c>
      <c r="F934" s="20" t="str">
        <f>IFERROR(VLOOKUP(C934,customer_lookup!$A:$E,5,FALSE),"")</f>
        <v>Taylor</v>
      </c>
      <c r="G934" s="17" t="s">
        <v>63</v>
      </c>
      <c r="H934" s="17" t="s">
        <v>156</v>
      </c>
      <c r="I934" s="19" t="str">
        <f>IFERROR(VLOOKUP(H934,product_lookup!$A:$D,2,FALSE),"")</f>
        <v>Blood Orange 1:1 Gummies</v>
      </c>
      <c r="J934" s="21">
        <v>6.0</v>
      </c>
      <c r="K934" s="22">
        <v>9.72</v>
      </c>
      <c r="L934" s="23">
        <f t="shared" si="1"/>
        <v>58.32</v>
      </c>
      <c r="M934" s="17" t="s">
        <v>65</v>
      </c>
      <c r="N934" s="18">
        <v>46040.0</v>
      </c>
      <c r="O934" s="19">
        <f>SUMIF(inventory_snapshot!$B:$B,H934,inventory_snapshot!$E:$E)</f>
        <v>1589</v>
      </c>
      <c r="P934" s="24" t="str">
        <f t="shared" si="2"/>
        <v>OK</v>
      </c>
      <c r="Q934" s="24" t="str">
        <f t="shared" si="3"/>
        <v>OK</v>
      </c>
      <c r="R934" s="24" t="str">
        <f t="shared" si="4"/>
        <v>OK</v>
      </c>
      <c r="S934" s="24" t="str">
        <f t="shared" si="5"/>
        <v>Small</v>
      </c>
    </row>
    <row r="935" ht="15.75" customHeight="1">
      <c r="A935" s="25" t="s">
        <v>1135</v>
      </c>
      <c r="B935" s="26">
        <v>46094.0</v>
      </c>
      <c r="C935" s="25" t="s">
        <v>1136</v>
      </c>
      <c r="D935" s="27" t="str">
        <f>IFERROR(VLOOKUP(C935,customer_lookup!$A:$E,2,FALSE),"")</f>
        <v>CO Account 0076</v>
      </c>
      <c r="E935" s="27" t="str">
        <f>IFERROR(VLOOKUP(C935,customer_lookup!$A:$E,3,FALSE),"")</f>
        <v>CO</v>
      </c>
      <c r="F935" s="28" t="str">
        <f>IFERROR(VLOOKUP(C935,customer_lookup!$A:$E,5,FALSE),"")</f>
        <v>Taylor</v>
      </c>
      <c r="G935" s="25" t="s">
        <v>89</v>
      </c>
      <c r="H935" s="25" t="s">
        <v>81</v>
      </c>
      <c r="I935" s="27" t="str">
        <f>IFERROR(VLOOKUP(H935,product_lookup!$A:$D,2,FALSE),"")</f>
        <v>Lemon Sparkling Beverage</v>
      </c>
      <c r="J935" s="29">
        <v>36.0</v>
      </c>
      <c r="K935" s="30">
        <v>7.5</v>
      </c>
      <c r="L935" s="31">
        <f t="shared" si="1"/>
        <v>270</v>
      </c>
      <c r="M935" s="25" t="s">
        <v>75</v>
      </c>
      <c r="N935" s="26">
        <v>46101.0</v>
      </c>
      <c r="O935" s="27">
        <f>SUMIF(inventory_snapshot!$B:$B,H935,inventory_snapshot!$E:$E)</f>
        <v>1360</v>
      </c>
      <c r="P935" s="32" t="str">
        <f t="shared" si="2"/>
        <v>OK</v>
      </c>
      <c r="Q935" s="32" t="str">
        <f t="shared" si="3"/>
        <v>OK</v>
      </c>
      <c r="R935" s="32" t="str">
        <f t="shared" si="4"/>
        <v>OK</v>
      </c>
      <c r="S935" s="32" t="str">
        <f t="shared" si="5"/>
        <v>Small</v>
      </c>
    </row>
    <row r="936" ht="15.75" customHeight="1">
      <c r="A936" s="17" t="s">
        <v>1137</v>
      </c>
      <c r="B936" s="18">
        <v>46090.0</v>
      </c>
      <c r="C936" s="17" t="s">
        <v>1136</v>
      </c>
      <c r="D936" s="19" t="str">
        <f>IFERROR(VLOOKUP(C936,customer_lookup!$A:$E,2,FALSE),"")</f>
        <v>CO Account 0076</v>
      </c>
      <c r="E936" s="19" t="str">
        <f>IFERROR(VLOOKUP(C936,customer_lookup!$A:$E,3,FALSE),"")</f>
        <v>CO</v>
      </c>
      <c r="F936" s="20" t="str">
        <f>IFERROR(VLOOKUP(C936,customer_lookup!$A:$E,5,FALSE),"")</f>
        <v>Taylor</v>
      </c>
      <c r="G936" s="17" t="s">
        <v>89</v>
      </c>
      <c r="H936" s="17" t="s">
        <v>90</v>
      </c>
      <c r="I936" s="19" t="str">
        <f>IFERROR(VLOOKUP(H936,product_lookup!$A:$D,2,FALSE),"")</f>
        <v>Blackberry Sparkling Beverage</v>
      </c>
      <c r="J936" s="21">
        <v>120.0</v>
      </c>
      <c r="K936" s="22">
        <v>7.21</v>
      </c>
      <c r="L936" s="23">
        <f t="shared" si="1"/>
        <v>865.2</v>
      </c>
      <c r="M936" s="17" t="s">
        <v>97</v>
      </c>
      <c r="N936" s="18">
        <v>46091.0</v>
      </c>
      <c r="O936" s="19">
        <f>SUMIF(inventory_snapshot!$B:$B,H936,inventory_snapshot!$E:$E)</f>
        <v>1292</v>
      </c>
      <c r="P936" s="24" t="str">
        <f t="shared" si="2"/>
        <v>OK</v>
      </c>
      <c r="Q936" s="24" t="str">
        <f t="shared" si="3"/>
        <v>OK</v>
      </c>
      <c r="R936" s="24" t="str">
        <f t="shared" si="4"/>
        <v>OK</v>
      </c>
      <c r="S936" s="24" t="str">
        <f t="shared" si="5"/>
        <v>Medium</v>
      </c>
    </row>
    <row r="937" ht="15.75" customHeight="1">
      <c r="A937" s="25" t="s">
        <v>1138</v>
      </c>
      <c r="B937" s="26">
        <v>46055.0</v>
      </c>
      <c r="C937" s="25" t="s">
        <v>1139</v>
      </c>
      <c r="D937" s="27" t="str">
        <f>IFERROR(VLOOKUP(C937,customer_lookup!$A:$E,2,FALSE),"")</f>
        <v>NM Account 0070</v>
      </c>
      <c r="E937" s="27" t="str">
        <f>IFERROR(VLOOKUP(C937,customer_lookup!$A:$E,3,FALSE),"")</f>
        <v>NM</v>
      </c>
      <c r="F937" s="28" t="str">
        <f>IFERROR(VLOOKUP(C937,customer_lookup!$A:$E,5,FALSE),"")</f>
        <v>Taylor</v>
      </c>
      <c r="G937" s="25" t="s">
        <v>63</v>
      </c>
      <c r="H937" s="25" t="s">
        <v>90</v>
      </c>
      <c r="I937" s="27" t="str">
        <f>IFERROR(VLOOKUP(H937,product_lookup!$A:$D,2,FALSE),"")</f>
        <v>Blackberry Sparkling Beverage</v>
      </c>
      <c r="J937" s="29">
        <v>6.0</v>
      </c>
      <c r="K937" s="30">
        <v>7.88</v>
      </c>
      <c r="L937" s="31">
        <f t="shared" si="1"/>
        <v>47.28</v>
      </c>
      <c r="M937" s="25" t="s">
        <v>97</v>
      </c>
      <c r="N937" s="26">
        <v>46056.0</v>
      </c>
      <c r="O937" s="27">
        <f>SUMIF(inventory_snapshot!$B:$B,H937,inventory_snapshot!$E:$E)</f>
        <v>1292</v>
      </c>
      <c r="P937" s="32" t="str">
        <f t="shared" si="2"/>
        <v>OK</v>
      </c>
      <c r="Q937" s="32" t="str">
        <f t="shared" si="3"/>
        <v>OK</v>
      </c>
      <c r="R937" s="32" t="str">
        <f t="shared" si="4"/>
        <v>OK</v>
      </c>
      <c r="S937" s="32" t="str">
        <f t="shared" si="5"/>
        <v>Small</v>
      </c>
    </row>
    <row r="938" ht="15.75" customHeight="1">
      <c r="A938" s="17" t="s">
        <v>1140</v>
      </c>
      <c r="B938" s="18">
        <v>46139.0</v>
      </c>
      <c r="C938" s="17" t="s">
        <v>1129</v>
      </c>
      <c r="D938" s="19" t="str">
        <f>IFERROR(VLOOKUP(C938,customer_lookup!$A:$E,2,FALSE),"")</f>
        <v>NY Account 0023</v>
      </c>
      <c r="E938" s="19" t="str">
        <f>IFERROR(VLOOKUP(C938,customer_lookup!$A:$E,3,FALSE),"")</f>
        <v>NY</v>
      </c>
      <c r="F938" s="20" t="str">
        <f>IFERROR(VLOOKUP(C938,customer_lookup!$A:$E,5,FALSE),"")</f>
        <v>Taylor</v>
      </c>
      <c r="G938" s="17" t="s">
        <v>67</v>
      </c>
      <c r="H938" s="17" t="s">
        <v>74</v>
      </c>
      <c r="I938" s="19" t="str">
        <f>IFERROR(VLOOKUP(H938,product_lookup!$A:$D,2,FALSE),"")</f>
        <v>Strawberry 20:1 Gummies</v>
      </c>
      <c r="J938" s="21">
        <v>72.0</v>
      </c>
      <c r="K938" s="22">
        <v>11.14</v>
      </c>
      <c r="L938" s="23">
        <f t="shared" si="1"/>
        <v>802.08</v>
      </c>
      <c r="M938" s="17" t="s">
        <v>97</v>
      </c>
      <c r="N938" s="18">
        <v>46144.0</v>
      </c>
      <c r="O938" s="19">
        <f>SUMIF(inventory_snapshot!$B:$B,H938,inventory_snapshot!$E:$E)</f>
        <v>2294</v>
      </c>
      <c r="P938" s="24" t="str">
        <f t="shared" si="2"/>
        <v>OK</v>
      </c>
      <c r="Q938" s="24" t="str">
        <f t="shared" si="3"/>
        <v>OK</v>
      </c>
      <c r="R938" s="24" t="str">
        <f t="shared" si="4"/>
        <v>OK</v>
      </c>
      <c r="S938" s="24" t="str">
        <f t="shared" si="5"/>
        <v>Medium</v>
      </c>
    </row>
    <row r="939" ht="15.75" customHeight="1">
      <c r="A939" s="25" t="s">
        <v>1141</v>
      </c>
      <c r="B939" s="26">
        <v>46090.0</v>
      </c>
      <c r="C939" s="25" t="s">
        <v>1139</v>
      </c>
      <c r="D939" s="27" t="str">
        <f>IFERROR(VLOOKUP(C939,customer_lookup!$A:$E,2,FALSE),"")</f>
        <v>NM Account 0070</v>
      </c>
      <c r="E939" s="27" t="str">
        <f>IFERROR(VLOOKUP(C939,customer_lookup!$A:$E,3,FALSE),"")</f>
        <v>NM</v>
      </c>
      <c r="F939" s="28" t="str">
        <f>IFERROR(VLOOKUP(C939,customer_lookup!$A:$E,5,FALSE),"")</f>
        <v>Taylor</v>
      </c>
      <c r="G939" s="25" t="s">
        <v>89</v>
      </c>
      <c r="H939" s="25" t="s">
        <v>95</v>
      </c>
      <c r="I939" s="27" t="str">
        <f>IFERROR(VLOOKUP(H939,product_lookup!$A:$D,2,FALSE),"")</f>
        <v>Boysenberry 1:1:1 Gummies</v>
      </c>
      <c r="J939" s="29">
        <v>6.0</v>
      </c>
      <c r="K939" s="30">
        <v>11.21</v>
      </c>
      <c r="L939" s="31">
        <f t="shared" si="1"/>
        <v>67.26</v>
      </c>
      <c r="M939" s="25" t="s">
        <v>100</v>
      </c>
      <c r="N939" s="26">
        <v>46091.0</v>
      </c>
      <c r="O939" s="27">
        <f>SUMIF(inventory_snapshot!$B:$B,H939,inventory_snapshot!$E:$E)</f>
        <v>2007</v>
      </c>
      <c r="P939" s="32" t="str">
        <f t="shared" si="2"/>
        <v>OK</v>
      </c>
      <c r="Q939" s="32" t="str">
        <f t="shared" si="3"/>
        <v>OK</v>
      </c>
      <c r="R939" s="32" t="str">
        <f t="shared" si="4"/>
        <v>OK</v>
      </c>
      <c r="S939" s="32" t="str">
        <f t="shared" si="5"/>
        <v>Small</v>
      </c>
    </row>
    <row r="940" ht="15.75" customHeight="1">
      <c r="A940" s="17" t="s">
        <v>851</v>
      </c>
      <c r="B940" s="18">
        <v>46131.0</v>
      </c>
      <c r="C940" s="17" t="s">
        <v>1133</v>
      </c>
      <c r="D940" s="19" t="str">
        <f>IFERROR(VLOOKUP(C940,customer_lookup!$A:$E,2,FALSE),"")</f>
        <v>CA Account 0015</v>
      </c>
      <c r="E940" s="19" t="str">
        <f>IFERROR(VLOOKUP(C940,customer_lookup!$A:$E,3,FALSE),"")</f>
        <v>CA</v>
      </c>
      <c r="F940" s="20" t="str">
        <f>IFERROR(VLOOKUP(C940,customer_lookup!$A:$E,5,FALSE),"")</f>
        <v>Taylor</v>
      </c>
      <c r="G940" s="17" t="s">
        <v>63</v>
      </c>
      <c r="H940" s="17" t="s">
        <v>156</v>
      </c>
      <c r="I940" s="19" t="str">
        <f>IFERROR(VLOOKUP(H940,product_lookup!$A:$D,2,FALSE),"")</f>
        <v>Blood Orange 1:1 Gummies</v>
      </c>
      <c r="J940" s="21">
        <v>36.0</v>
      </c>
      <c r="K940" s="22">
        <v>10.3</v>
      </c>
      <c r="L940" s="23">
        <f t="shared" si="1"/>
        <v>370.8</v>
      </c>
      <c r="M940" s="17" t="s">
        <v>65</v>
      </c>
      <c r="N940" s="18">
        <v>46135.0</v>
      </c>
      <c r="O940" s="19">
        <f>SUMIF(inventory_snapshot!$B:$B,H940,inventory_snapshot!$E:$E)</f>
        <v>1589</v>
      </c>
      <c r="P940" s="24" t="str">
        <f t="shared" si="2"/>
        <v>OK</v>
      </c>
      <c r="Q940" s="24" t="str">
        <f t="shared" si="3"/>
        <v>Duplicate</v>
      </c>
      <c r="R940" s="24" t="str">
        <f t="shared" si="4"/>
        <v>OK</v>
      </c>
      <c r="S940" s="24" t="str">
        <f t="shared" si="5"/>
        <v>Small</v>
      </c>
    </row>
    <row r="941" ht="15.75" customHeight="1">
      <c r="A941" s="25" t="s">
        <v>1142</v>
      </c>
      <c r="B941" s="26">
        <v>46112.0</v>
      </c>
      <c r="C941" s="25" t="s">
        <v>1122</v>
      </c>
      <c r="D941" s="27" t="str">
        <f>IFERROR(VLOOKUP(C941,customer_lookup!$A:$E,2,FALSE),"")</f>
        <v>CA Account 0111</v>
      </c>
      <c r="E941" s="27" t="str">
        <f>IFERROR(VLOOKUP(C941,customer_lookup!$A:$E,3,FALSE),"")</f>
        <v>CA</v>
      </c>
      <c r="F941" s="28" t="str">
        <f>IFERROR(VLOOKUP(C941,customer_lookup!$A:$E,5,FALSE),"")</f>
        <v>Taylor</v>
      </c>
      <c r="G941" s="25" t="s">
        <v>89</v>
      </c>
      <c r="H941" s="25" t="s">
        <v>85</v>
      </c>
      <c r="I941" s="27" t="str">
        <f>IFERROR(VLOOKUP(H941,product_lookup!$A:$D,2,FALSE),"")</f>
        <v>Huckleberry THC Gummies</v>
      </c>
      <c r="J941" s="29">
        <v>18.0</v>
      </c>
      <c r="K941" s="30">
        <v>9.74</v>
      </c>
      <c r="L941" s="31">
        <f t="shared" si="1"/>
        <v>175.32</v>
      </c>
      <c r="M941" s="25" t="s">
        <v>65</v>
      </c>
      <c r="N941" s="26">
        <v>46119.0</v>
      </c>
      <c r="O941" s="27">
        <f>SUMIF(inventory_snapshot!$B:$B,H941,inventory_snapshot!$E:$E)</f>
        <v>1841</v>
      </c>
      <c r="P941" s="32" t="str">
        <f t="shared" si="2"/>
        <v>OK</v>
      </c>
      <c r="Q941" s="32" t="str">
        <f t="shared" si="3"/>
        <v>OK</v>
      </c>
      <c r="R941" s="32" t="str">
        <f t="shared" si="4"/>
        <v>OK</v>
      </c>
      <c r="S941" s="32" t="str">
        <f t="shared" si="5"/>
        <v>Small</v>
      </c>
    </row>
    <row r="942" ht="15.75" customHeight="1">
      <c r="A942" s="17" t="s">
        <v>1143</v>
      </c>
      <c r="B942" s="18">
        <v>46121.0</v>
      </c>
      <c r="C942" s="17" t="s">
        <v>1129</v>
      </c>
      <c r="D942" s="19" t="str">
        <f>IFERROR(VLOOKUP(C942,customer_lookup!$A:$E,2,FALSE),"")</f>
        <v>NY Account 0023</v>
      </c>
      <c r="E942" s="19" t="str">
        <f>IFERROR(VLOOKUP(C942,customer_lookup!$A:$E,3,FALSE),"")</f>
        <v>NY</v>
      </c>
      <c r="F942" s="20" t="str">
        <f>IFERROR(VLOOKUP(C942,customer_lookup!$A:$E,5,FALSE),"")</f>
        <v>Taylor</v>
      </c>
      <c r="G942" s="17" t="s">
        <v>63</v>
      </c>
      <c r="H942" s="17" t="s">
        <v>90</v>
      </c>
      <c r="I942" s="19" t="str">
        <f>IFERROR(VLOOKUP(H942,product_lookup!$A:$D,2,FALSE),"")</f>
        <v>Blackberry Sparkling Beverage</v>
      </c>
      <c r="J942" s="21">
        <v>12.0</v>
      </c>
      <c r="K942" s="22">
        <v>6.78</v>
      </c>
      <c r="L942" s="23">
        <f t="shared" si="1"/>
        <v>81.36</v>
      </c>
      <c r="M942" s="17" t="s">
        <v>100</v>
      </c>
      <c r="N942" s="18">
        <v>46122.0</v>
      </c>
      <c r="O942" s="19">
        <f>SUMIF(inventory_snapshot!$B:$B,H942,inventory_snapshot!$E:$E)</f>
        <v>1292</v>
      </c>
      <c r="P942" s="24" t="str">
        <f t="shared" si="2"/>
        <v>OK</v>
      </c>
      <c r="Q942" s="24" t="str">
        <f t="shared" si="3"/>
        <v>OK</v>
      </c>
      <c r="R942" s="24" t="str">
        <f t="shared" si="4"/>
        <v>OK</v>
      </c>
      <c r="S942" s="24" t="str">
        <f t="shared" si="5"/>
        <v>Small</v>
      </c>
    </row>
    <row r="943" ht="15.75" customHeight="1">
      <c r="A943" s="25" t="s">
        <v>1144</v>
      </c>
      <c r="B943" s="26">
        <v>46067.0</v>
      </c>
      <c r="C943" s="25" t="s">
        <v>1139</v>
      </c>
      <c r="D943" s="27" t="str">
        <f>IFERROR(VLOOKUP(C943,customer_lookup!$A:$E,2,FALSE),"")</f>
        <v>NM Account 0070</v>
      </c>
      <c r="E943" s="27" t="str">
        <f>IFERROR(VLOOKUP(C943,customer_lookup!$A:$E,3,FALSE),"")</f>
        <v>NM</v>
      </c>
      <c r="F943" s="28" t="str">
        <f>IFERROR(VLOOKUP(C943,customer_lookup!$A:$E,5,FALSE),"")</f>
        <v>Taylor</v>
      </c>
      <c r="G943" s="25" t="s">
        <v>63</v>
      </c>
      <c r="H943" s="25" t="s">
        <v>90</v>
      </c>
      <c r="I943" s="27" t="str">
        <f>IFERROR(VLOOKUP(H943,product_lookup!$A:$D,2,FALSE),"")</f>
        <v>Blackberry Sparkling Beverage</v>
      </c>
      <c r="J943" s="29">
        <v>96.0</v>
      </c>
      <c r="K943" s="30">
        <v>7.5</v>
      </c>
      <c r="L943" s="31">
        <f t="shared" si="1"/>
        <v>720</v>
      </c>
      <c r="M943" s="25" t="s">
        <v>75</v>
      </c>
      <c r="N943" s="26">
        <v>46073.0</v>
      </c>
      <c r="O943" s="27">
        <f>SUMIF(inventory_snapshot!$B:$B,H943,inventory_snapshot!$E:$E)</f>
        <v>1292</v>
      </c>
      <c r="P943" s="32" t="str">
        <f t="shared" si="2"/>
        <v>OK</v>
      </c>
      <c r="Q943" s="32" t="str">
        <f t="shared" si="3"/>
        <v>OK</v>
      </c>
      <c r="R943" s="32" t="str">
        <f t="shared" si="4"/>
        <v>OK</v>
      </c>
      <c r="S943" s="32" t="str">
        <f t="shared" si="5"/>
        <v>Medium</v>
      </c>
    </row>
    <row r="944" ht="15.75" customHeight="1">
      <c r="A944" s="17" t="s">
        <v>1145</v>
      </c>
      <c r="B944" s="18">
        <v>46112.0</v>
      </c>
      <c r="C944" s="17" t="s">
        <v>1129</v>
      </c>
      <c r="D944" s="19" t="str">
        <f>IFERROR(VLOOKUP(C944,customer_lookup!$A:$E,2,FALSE),"")</f>
        <v>NY Account 0023</v>
      </c>
      <c r="E944" s="19" t="str">
        <f>IFERROR(VLOOKUP(C944,customer_lookup!$A:$E,3,FALSE),"")</f>
        <v>NY</v>
      </c>
      <c r="F944" s="20" t="str">
        <f>IFERROR(VLOOKUP(C944,customer_lookup!$A:$E,5,FALSE),"")</f>
        <v>Taylor</v>
      </c>
      <c r="G944" s="17" t="s">
        <v>89</v>
      </c>
      <c r="H944" s="17" t="s">
        <v>156</v>
      </c>
      <c r="I944" s="19" t="str">
        <f>IFERROR(VLOOKUP(H944,product_lookup!$A:$D,2,FALSE),"")</f>
        <v>Blood Orange 1:1 Gummies</v>
      </c>
      <c r="J944" s="21">
        <v>96.0</v>
      </c>
      <c r="K944" s="22">
        <v>9.78</v>
      </c>
      <c r="L944" s="23">
        <f t="shared" si="1"/>
        <v>938.88</v>
      </c>
      <c r="M944" s="17" t="s">
        <v>93</v>
      </c>
      <c r="N944" s="18">
        <v>46113.0</v>
      </c>
      <c r="O944" s="19">
        <f>SUMIF(inventory_snapshot!$B:$B,H944,inventory_snapshot!$E:$E)</f>
        <v>1589</v>
      </c>
      <c r="P944" s="24" t="str">
        <f t="shared" si="2"/>
        <v>OK</v>
      </c>
      <c r="Q944" s="24" t="str">
        <f t="shared" si="3"/>
        <v>OK</v>
      </c>
      <c r="R944" s="24" t="str">
        <f t="shared" si="4"/>
        <v>OK</v>
      </c>
      <c r="S944" s="24" t="str">
        <f t="shared" si="5"/>
        <v>Medium</v>
      </c>
    </row>
    <row r="945" ht="15.75" customHeight="1">
      <c r="A945" s="25" t="s">
        <v>1146</v>
      </c>
      <c r="B945" s="26">
        <v>46067.0</v>
      </c>
      <c r="C945" s="25" t="s">
        <v>1136</v>
      </c>
      <c r="D945" s="27" t="str">
        <f>IFERROR(VLOOKUP(C945,customer_lookup!$A:$E,2,FALSE),"")</f>
        <v>CO Account 0076</v>
      </c>
      <c r="E945" s="27" t="str">
        <f>IFERROR(VLOOKUP(C945,customer_lookup!$A:$E,3,FALSE),"")</f>
        <v>CO</v>
      </c>
      <c r="F945" s="28" t="str">
        <f>IFERROR(VLOOKUP(C945,customer_lookup!$A:$E,5,FALSE),"")</f>
        <v>Taylor</v>
      </c>
      <c r="G945" s="25" t="s">
        <v>67</v>
      </c>
      <c r="H945" s="25" t="s">
        <v>81</v>
      </c>
      <c r="I945" s="27" t="str">
        <f>IFERROR(VLOOKUP(H945,product_lookup!$A:$D,2,FALSE),"")</f>
        <v>Lemon Sparkling Beverage</v>
      </c>
      <c r="J945" s="29">
        <v>36.0</v>
      </c>
      <c r="K945" s="30">
        <v>6.76</v>
      </c>
      <c r="L945" s="31">
        <f t="shared" si="1"/>
        <v>243.36</v>
      </c>
      <c r="M945" s="25" t="s">
        <v>93</v>
      </c>
      <c r="N945" s="26">
        <v>46069.0</v>
      </c>
      <c r="O945" s="27">
        <f>SUMIF(inventory_snapshot!$B:$B,H945,inventory_snapshot!$E:$E)</f>
        <v>1360</v>
      </c>
      <c r="P945" s="32" t="str">
        <f t="shared" si="2"/>
        <v>OK</v>
      </c>
      <c r="Q945" s="32" t="str">
        <f t="shared" si="3"/>
        <v>OK</v>
      </c>
      <c r="R945" s="32" t="str">
        <f t="shared" si="4"/>
        <v>OK</v>
      </c>
      <c r="S945" s="32" t="str">
        <f t="shared" si="5"/>
        <v>Small</v>
      </c>
    </row>
    <row r="946" ht="15.75" customHeight="1">
      <c r="A946" s="17" t="s">
        <v>1147</v>
      </c>
      <c r="B946" s="18">
        <v>46083.0</v>
      </c>
      <c r="C946" s="17" t="s">
        <v>1122</v>
      </c>
      <c r="D946" s="19" t="str">
        <f>IFERROR(VLOOKUP(C946,customer_lookup!$A:$E,2,FALSE),"")</f>
        <v>CA Account 0111</v>
      </c>
      <c r="E946" s="19" t="str">
        <f>IFERROR(VLOOKUP(C946,customer_lookup!$A:$E,3,FALSE),"")</f>
        <v>CA</v>
      </c>
      <c r="F946" s="20" t="str">
        <f>IFERROR(VLOOKUP(C946,customer_lookup!$A:$E,5,FALSE),"")</f>
        <v>Taylor</v>
      </c>
      <c r="G946" s="17" t="s">
        <v>63</v>
      </c>
      <c r="H946" s="17" t="s">
        <v>156</v>
      </c>
      <c r="I946" s="19" t="str">
        <f>IFERROR(VLOOKUP(H946,product_lookup!$A:$D,2,FALSE),"")</f>
        <v>Blood Orange 1:1 Gummies</v>
      </c>
      <c r="J946" s="21">
        <v>18.0</v>
      </c>
      <c r="K946" s="22">
        <v>10.29</v>
      </c>
      <c r="L946" s="23">
        <f t="shared" si="1"/>
        <v>185.22</v>
      </c>
      <c r="M946" s="17" t="s">
        <v>65</v>
      </c>
      <c r="N946" s="18">
        <v>46088.0</v>
      </c>
      <c r="O946" s="19">
        <f>SUMIF(inventory_snapshot!$B:$B,H946,inventory_snapshot!$E:$E)</f>
        <v>1589</v>
      </c>
      <c r="P946" s="24" t="str">
        <f t="shared" si="2"/>
        <v>OK</v>
      </c>
      <c r="Q946" s="24" t="str">
        <f t="shared" si="3"/>
        <v>OK</v>
      </c>
      <c r="R946" s="24" t="str">
        <f t="shared" si="4"/>
        <v>OK</v>
      </c>
      <c r="S946" s="24" t="str">
        <f t="shared" si="5"/>
        <v>Small</v>
      </c>
    </row>
    <row r="947" ht="15.75" customHeight="1">
      <c r="A947" s="25" t="s">
        <v>1148</v>
      </c>
      <c r="B947" s="26">
        <v>46106.0</v>
      </c>
      <c r="C947" s="25" t="s">
        <v>1124</v>
      </c>
      <c r="D947" s="27" t="str">
        <f>IFERROR(VLOOKUP(C947,customer_lookup!$A:$E,2,FALSE),"")</f>
        <v>IL Account 0007</v>
      </c>
      <c r="E947" s="27" t="str">
        <f>IFERROR(VLOOKUP(C947,customer_lookup!$A:$E,3,FALSE),"")</f>
        <v>IL</v>
      </c>
      <c r="F947" s="28" t="str">
        <f>IFERROR(VLOOKUP(C947,customer_lookup!$A:$E,5,FALSE),"")</f>
        <v>Taylor</v>
      </c>
      <c r="G947" s="25" t="s">
        <v>63</v>
      </c>
      <c r="H947" s="25" t="s">
        <v>78</v>
      </c>
      <c r="I947" s="27" t="str">
        <f>IFERROR(VLOOKUP(H947,product_lookup!$A:$D,2,FALSE),"")</f>
        <v>Grapefruit 1:1:1 Gummies</v>
      </c>
      <c r="J947" s="29">
        <v>6.0</v>
      </c>
      <c r="K947" s="30">
        <v>9.78</v>
      </c>
      <c r="L947" s="31">
        <f t="shared" si="1"/>
        <v>58.68</v>
      </c>
      <c r="M947" s="25" t="s">
        <v>100</v>
      </c>
      <c r="N947" s="26">
        <v>46108.0</v>
      </c>
      <c r="O947" s="27">
        <f>SUMIF(inventory_snapshot!$B:$B,H947,inventory_snapshot!$E:$E)</f>
        <v>1751</v>
      </c>
      <c r="P947" s="32" t="str">
        <f t="shared" si="2"/>
        <v>OK</v>
      </c>
      <c r="Q947" s="32" t="str">
        <f t="shared" si="3"/>
        <v>OK</v>
      </c>
      <c r="R947" s="32" t="str">
        <f t="shared" si="4"/>
        <v>OK</v>
      </c>
      <c r="S947" s="32" t="str">
        <f t="shared" si="5"/>
        <v>Small</v>
      </c>
    </row>
    <row r="948" ht="15.75" customHeight="1">
      <c r="A948" s="17" t="s">
        <v>1149</v>
      </c>
      <c r="B948" s="18">
        <v>46106.0</v>
      </c>
      <c r="C948" s="17" t="s">
        <v>1131</v>
      </c>
      <c r="D948" s="19" t="str">
        <f>IFERROR(VLOOKUP(C948,customer_lookup!$A:$E,2,FALSE),"")</f>
        <v>WA Account 0062</v>
      </c>
      <c r="E948" s="19" t="str">
        <f>IFERROR(VLOOKUP(C948,customer_lookup!$A:$E,3,FALSE),"")</f>
        <v>WA</v>
      </c>
      <c r="F948" s="20" t="str">
        <f>IFERROR(VLOOKUP(C948,customer_lookup!$A:$E,5,FALSE),"")</f>
        <v>Taylor</v>
      </c>
      <c r="G948" s="17" t="s">
        <v>63</v>
      </c>
      <c r="H948" s="17" t="s">
        <v>108</v>
      </c>
      <c r="I948" s="19" t="str">
        <f>IFERROR(VLOOKUP(H948,product_lookup!$A:$D,2,FALSE),"")</f>
        <v>Sour Tangerine THC Gummies</v>
      </c>
      <c r="J948" s="21">
        <v>18.0</v>
      </c>
      <c r="K948" s="22">
        <v>9.92</v>
      </c>
      <c r="L948" s="23">
        <f t="shared" si="1"/>
        <v>178.56</v>
      </c>
      <c r="M948" s="17" t="s">
        <v>65</v>
      </c>
      <c r="N948" s="18">
        <v>46109.0</v>
      </c>
      <c r="O948" s="19">
        <f>SUMIF(inventory_snapshot!$B:$B,H948,inventory_snapshot!$E:$E)</f>
        <v>1679</v>
      </c>
      <c r="P948" s="24" t="str">
        <f t="shared" si="2"/>
        <v>OK</v>
      </c>
      <c r="Q948" s="24" t="str">
        <f t="shared" si="3"/>
        <v>OK</v>
      </c>
      <c r="R948" s="24" t="str">
        <f t="shared" si="4"/>
        <v>OK</v>
      </c>
      <c r="S948" s="24" t="str">
        <f t="shared" si="5"/>
        <v>Small</v>
      </c>
    </row>
    <row r="949" ht="15.75" customHeight="1">
      <c r="A949" s="25" t="s">
        <v>1150</v>
      </c>
      <c r="B949" s="26">
        <v>46109.0</v>
      </c>
      <c r="C949" s="25" t="s">
        <v>1131</v>
      </c>
      <c r="D949" s="27" t="str">
        <f>IFERROR(VLOOKUP(C949,customer_lookup!$A:$E,2,FALSE),"")</f>
        <v>WA Account 0062</v>
      </c>
      <c r="E949" s="27" t="str">
        <f>IFERROR(VLOOKUP(C949,customer_lookup!$A:$E,3,FALSE),"")</f>
        <v>WA</v>
      </c>
      <c r="F949" s="28" t="str">
        <f>IFERROR(VLOOKUP(C949,customer_lookup!$A:$E,5,FALSE),"")</f>
        <v>Taylor</v>
      </c>
      <c r="G949" s="25" t="s">
        <v>63</v>
      </c>
      <c r="H949" s="25" t="s">
        <v>64</v>
      </c>
      <c r="I949" s="27" t="str">
        <f>IFERROR(VLOOKUP(H949,product_lookup!$A:$D,2,FALSE),"")</f>
        <v>Cranberry Sparkling Beverage</v>
      </c>
      <c r="J949" s="29">
        <v>60.0</v>
      </c>
      <c r="K949" s="30">
        <v>7.26</v>
      </c>
      <c r="L949" s="31">
        <f t="shared" si="1"/>
        <v>435.6</v>
      </c>
      <c r="M949" s="25" t="s">
        <v>75</v>
      </c>
      <c r="N949" s="26">
        <v>46110.0</v>
      </c>
      <c r="O949" s="27">
        <f>SUMIF(inventory_snapshot!$B:$B,H949,inventory_snapshot!$E:$E)</f>
        <v>1152</v>
      </c>
      <c r="P949" s="32" t="str">
        <f t="shared" si="2"/>
        <v>OK</v>
      </c>
      <c r="Q949" s="32" t="str">
        <f t="shared" si="3"/>
        <v>OK</v>
      </c>
      <c r="R949" s="32" t="str">
        <f t="shared" si="4"/>
        <v>OK</v>
      </c>
      <c r="S949" s="32" t="str">
        <f t="shared" si="5"/>
        <v>Small</v>
      </c>
    </row>
    <row r="950" ht="15.75" customHeight="1">
      <c r="A950" s="17" t="s">
        <v>1151</v>
      </c>
      <c r="B950" s="18">
        <v>46089.0</v>
      </c>
      <c r="C950" s="17" t="s">
        <v>1136</v>
      </c>
      <c r="D950" s="19" t="str">
        <f>IFERROR(VLOOKUP(C950,customer_lookup!$A:$E,2,FALSE),"")</f>
        <v>CO Account 0076</v>
      </c>
      <c r="E950" s="19" t="str">
        <f>IFERROR(VLOOKUP(C950,customer_lookup!$A:$E,3,FALSE),"")</f>
        <v>CO</v>
      </c>
      <c r="F950" s="20" t="str">
        <f>IFERROR(VLOOKUP(C950,customer_lookup!$A:$E,5,FALSE),"")</f>
        <v>Taylor</v>
      </c>
      <c r="G950" s="17" t="s">
        <v>63</v>
      </c>
      <c r="H950" s="17" t="s">
        <v>110</v>
      </c>
      <c r="I950" s="19" t="str">
        <f>IFERROR(VLOOKUP(H950,product_lookup!$A:$D,2,FALSE),"")</f>
        <v>Elderberry 2:1 Gummies</v>
      </c>
      <c r="J950" s="21">
        <v>30.0</v>
      </c>
      <c r="K950" s="22">
        <v>10.73</v>
      </c>
      <c r="L950" s="23">
        <f t="shared" si="1"/>
        <v>321.9</v>
      </c>
      <c r="M950" s="17" t="s">
        <v>93</v>
      </c>
      <c r="N950" s="18">
        <v>46095.0</v>
      </c>
      <c r="O950" s="19">
        <f>SUMIF(inventory_snapshot!$B:$B,H950,inventory_snapshot!$E:$E)</f>
        <v>1633</v>
      </c>
      <c r="P950" s="24" t="str">
        <f t="shared" si="2"/>
        <v>OK</v>
      </c>
      <c r="Q950" s="24" t="str">
        <f t="shared" si="3"/>
        <v>OK</v>
      </c>
      <c r="R950" s="24" t="str">
        <f t="shared" si="4"/>
        <v>OK</v>
      </c>
      <c r="S950" s="24" t="str">
        <f t="shared" si="5"/>
        <v>Small</v>
      </c>
    </row>
    <row r="951" ht="15.75" customHeight="1">
      <c r="A951" s="25" t="s">
        <v>1152</v>
      </c>
      <c r="B951" s="26">
        <v>46109.0</v>
      </c>
      <c r="C951" s="25" t="s">
        <v>1133</v>
      </c>
      <c r="D951" s="27" t="str">
        <f>IFERROR(VLOOKUP(C951,customer_lookup!$A:$E,2,FALSE),"")</f>
        <v>CA Account 0015</v>
      </c>
      <c r="E951" s="27" t="str">
        <f>IFERROR(VLOOKUP(C951,customer_lookup!$A:$E,3,FALSE),"")</f>
        <v>CA</v>
      </c>
      <c r="F951" s="28" t="str">
        <f>IFERROR(VLOOKUP(C951,customer_lookup!$A:$E,5,FALSE),"")</f>
        <v>Taylor</v>
      </c>
      <c r="G951" s="25" t="s">
        <v>63</v>
      </c>
      <c r="H951" s="25" t="s">
        <v>90</v>
      </c>
      <c r="I951" s="27" t="str">
        <f>IFERROR(VLOOKUP(H951,product_lookup!$A:$D,2,FALSE),"")</f>
        <v>Blackberry Sparkling Beverage</v>
      </c>
      <c r="J951" s="29">
        <v>60.0</v>
      </c>
      <c r="K951" s="30">
        <v>7.47</v>
      </c>
      <c r="L951" s="31">
        <f t="shared" si="1"/>
        <v>448.2</v>
      </c>
      <c r="M951" s="25" t="s">
        <v>65</v>
      </c>
      <c r="N951" s="26">
        <v>46116.0</v>
      </c>
      <c r="O951" s="27">
        <f>SUMIF(inventory_snapshot!$B:$B,H951,inventory_snapshot!$E:$E)</f>
        <v>1292</v>
      </c>
      <c r="P951" s="32" t="str">
        <f t="shared" si="2"/>
        <v>OK</v>
      </c>
      <c r="Q951" s="32" t="str">
        <f t="shared" si="3"/>
        <v>OK</v>
      </c>
      <c r="R951" s="32" t="str">
        <f t="shared" si="4"/>
        <v>OK</v>
      </c>
      <c r="S951" s="32" t="str">
        <f t="shared" si="5"/>
        <v>Small</v>
      </c>
    </row>
    <row r="952" ht="15.75" customHeight="1">
      <c r="A952" s="17" t="s">
        <v>1153</v>
      </c>
      <c r="B952" s="18">
        <v>46056.0</v>
      </c>
      <c r="C952" s="17" t="s">
        <v>1154</v>
      </c>
      <c r="D952" s="19" t="str">
        <f>IFERROR(VLOOKUP(C952,customer_lookup!$A:$E,2,FALSE),"")</f>
        <v>OR Account 0085</v>
      </c>
      <c r="E952" s="19" t="str">
        <f>IFERROR(VLOOKUP(C952,customer_lookup!$A:$E,3,FALSE),"")</f>
        <v>OR</v>
      </c>
      <c r="F952" s="20" t="str">
        <f>IFERROR(VLOOKUP(C952,customer_lookup!$A:$E,5,FALSE),"")</f>
        <v>Taylor</v>
      </c>
      <c r="G952" s="17" t="s">
        <v>63</v>
      </c>
      <c r="H952" s="17" t="s">
        <v>190</v>
      </c>
      <c r="I952" s="19" t="str">
        <f>IFERROR(VLOOKUP(H952,product_lookup!$A:$D,2,FALSE),"")</f>
        <v>Mango Sparkling Beverage</v>
      </c>
      <c r="J952" s="21">
        <v>18.0</v>
      </c>
      <c r="K952" s="22">
        <v>7.84</v>
      </c>
      <c r="L952" s="23">
        <f t="shared" si="1"/>
        <v>141.12</v>
      </c>
      <c r="M952" s="17" t="s">
        <v>97</v>
      </c>
      <c r="N952" s="18">
        <v>46066.0</v>
      </c>
      <c r="O952" s="19">
        <f>SUMIF(inventory_snapshot!$B:$B,H952,inventory_snapshot!$E:$E)</f>
        <v>1502</v>
      </c>
      <c r="P952" s="24" t="str">
        <f t="shared" si="2"/>
        <v>OK</v>
      </c>
      <c r="Q952" s="24" t="str">
        <f t="shared" si="3"/>
        <v>OK</v>
      </c>
      <c r="R952" s="24" t="str">
        <f t="shared" si="4"/>
        <v>OK</v>
      </c>
      <c r="S952" s="24" t="str">
        <f t="shared" si="5"/>
        <v>Small</v>
      </c>
    </row>
    <row r="953" ht="15.75" customHeight="1">
      <c r="A953" s="25" t="s">
        <v>1155</v>
      </c>
      <c r="B953" s="26">
        <v>46072.0</v>
      </c>
      <c r="C953" s="25" t="s">
        <v>1124</v>
      </c>
      <c r="D953" s="27" t="str">
        <f>IFERROR(VLOOKUP(C953,customer_lookup!$A:$E,2,FALSE),"")</f>
        <v>IL Account 0007</v>
      </c>
      <c r="E953" s="27" t="str">
        <f>IFERROR(VLOOKUP(C953,customer_lookup!$A:$E,3,FALSE),"")</f>
        <v>IL</v>
      </c>
      <c r="F953" s="28" t="str">
        <f>IFERROR(VLOOKUP(C953,customer_lookup!$A:$E,5,FALSE),"")</f>
        <v>Taylor</v>
      </c>
      <c r="G953" s="25" t="s">
        <v>63</v>
      </c>
      <c r="H953" s="25" t="s">
        <v>154</v>
      </c>
      <c r="I953" s="27" t="str">
        <f>IFERROR(VLOOKUP(H953,product_lookup!$A:$D,2,FALSE),"")</f>
        <v>Kiwi 1:1 Gummies</v>
      </c>
      <c r="J953" s="29">
        <v>120.0</v>
      </c>
      <c r="K953" s="30">
        <v>9.69</v>
      </c>
      <c r="L953" s="31">
        <f t="shared" si="1"/>
        <v>1162.8</v>
      </c>
      <c r="M953" s="25" t="s">
        <v>100</v>
      </c>
      <c r="N953" s="26">
        <v>46082.0</v>
      </c>
      <c r="O953" s="27">
        <f>SUMIF(inventory_snapshot!$B:$B,H953,inventory_snapshot!$E:$E)</f>
        <v>1136</v>
      </c>
      <c r="P953" s="32" t="str">
        <f t="shared" si="2"/>
        <v>OK</v>
      </c>
      <c r="Q953" s="32" t="str">
        <f t="shared" si="3"/>
        <v>OK</v>
      </c>
      <c r="R953" s="32" t="str">
        <f t="shared" si="4"/>
        <v>OK</v>
      </c>
      <c r="S953" s="32" t="str">
        <f t="shared" si="5"/>
        <v>Large</v>
      </c>
    </row>
    <row r="954" ht="15.75" customHeight="1">
      <c r="A954" s="17" t="s">
        <v>1156</v>
      </c>
      <c r="B954" s="18">
        <v>46046.0</v>
      </c>
      <c r="C954" s="17" t="s">
        <v>1139</v>
      </c>
      <c r="D954" s="19" t="str">
        <f>IFERROR(VLOOKUP(C954,customer_lookup!$A:$E,2,FALSE),"")</f>
        <v>NM Account 0070</v>
      </c>
      <c r="E954" s="19" t="str">
        <f>IFERROR(VLOOKUP(C954,customer_lookup!$A:$E,3,FALSE),"")</f>
        <v>NM</v>
      </c>
      <c r="F954" s="20" t="str">
        <f>IFERROR(VLOOKUP(C954,customer_lookup!$A:$E,5,FALSE),"")</f>
        <v>Taylor</v>
      </c>
      <c r="G954" s="17" t="s">
        <v>63</v>
      </c>
      <c r="H954" s="17" t="s">
        <v>90</v>
      </c>
      <c r="I954" s="19" t="str">
        <f>IFERROR(VLOOKUP(H954,product_lookup!$A:$D,2,FALSE),"")</f>
        <v>Blackberry Sparkling Beverage</v>
      </c>
      <c r="J954" s="21">
        <v>24.0</v>
      </c>
      <c r="K954" s="22">
        <v>8.09</v>
      </c>
      <c r="L954" s="23">
        <f t="shared" si="1"/>
        <v>194.16</v>
      </c>
      <c r="M954" s="17" t="s">
        <v>97</v>
      </c>
      <c r="N954" s="18">
        <v>46047.0</v>
      </c>
      <c r="O954" s="19">
        <f>SUMIF(inventory_snapshot!$B:$B,H954,inventory_snapshot!$E:$E)</f>
        <v>1292</v>
      </c>
      <c r="P954" s="24" t="str">
        <f t="shared" si="2"/>
        <v>OK</v>
      </c>
      <c r="Q954" s="24" t="str">
        <f t="shared" si="3"/>
        <v>OK</v>
      </c>
      <c r="R954" s="24" t="str">
        <f t="shared" si="4"/>
        <v>OK</v>
      </c>
      <c r="S954" s="24" t="str">
        <f t="shared" si="5"/>
        <v>Small</v>
      </c>
    </row>
    <row r="955" ht="15.75" customHeight="1">
      <c r="A955" s="25" t="s">
        <v>1157</v>
      </c>
      <c r="B955" s="26">
        <v>46127.0</v>
      </c>
      <c r="C955" s="25" t="s">
        <v>1154</v>
      </c>
      <c r="D955" s="27" t="str">
        <f>IFERROR(VLOOKUP(C955,customer_lookup!$A:$E,2,FALSE),"")</f>
        <v>OR Account 0085</v>
      </c>
      <c r="E955" s="27" t="str">
        <f>IFERROR(VLOOKUP(C955,customer_lookup!$A:$E,3,FALSE),"")</f>
        <v>OR</v>
      </c>
      <c r="F955" s="28" t="str">
        <f>IFERROR(VLOOKUP(C955,customer_lookup!$A:$E,5,FALSE),"")</f>
        <v>Taylor</v>
      </c>
      <c r="G955" s="25" t="s">
        <v>67</v>
      </c>
      <c r="H955" s="25" t="s">
        <v>81</v>
      </c>
      <c r="I955" s="27" t="str">
        <f>IFERROR(VLOOKUP(H955,product_lookup!$A:$D,2,FALSE),"")</f>
        <v>Lemon Sparkling Beverage</v>
      </c>
      <c r="J955" s="29">
        <v>48.0</v>
      </c>
      <c r="K955" s="30">
        <v>6.8</v>
      </c>
      <c r="L955" s="31">
        <f t="shared" si="1"/>
        <v>326.4</v>
      </c>
      <c r="M955" s="25" t="s">
        <v>65</v>
      </c>
      <c r="N955" s="26">
        <v>46130.0</v>
      </c>
      <c r="O955" s="27">
        <f>SUMIF(inventory_snapshot!$B:$B,H955,inventory_snapshot!$E:$E)</f>
        <v>1360</v>
      </c>
      <c r="P955" s="32" t="str">
        <f t="shared" si="2"/>
        <v>OK</v>
      </c>
      <c r="Q955" s="32" t="str">
        <f t="shared" si="3"/>
        <v>OK</v>
      </c>
      <c r="R955" s="32" t="str">
        <f t="shared" si="4"/>
        <v>OK</v>
      </c>
      <c r="S955" s="32" t="str">
        <f t="shared" si="5"/>
        <v>Small</v>
      </c>
    </row>
    <row r="956" ht="15.75" customHeight="1">
      <c r="A956" s="17" t="s">
        <v>1158</v>
      </c>
      <c r="B956" s="18">
        <v>46074.0</v>
      </c>
      <c r="C956" s="17" t="s">
        <v>1124</v>
      </c>
      <c r="D956" s="19" t="str">
        <f>IFERROR(VLOOKUP(C956,customer_lookup!$A:$E,2,FALSE),"")</f>
        <v>IL Account 0007</v>
      </c>
      <c r="E956" s="19" t="str">
        <f>IFERROR(VLOOKUP(C956,customer_lookup!$A:$E,3,FALSE),"")</f>
        <v>IL</v>
      </c>
      <c r="F956" s="20" t="str">
        <f>IFERROR(VLOOKUP(C956,customer_lookup!$A:$E,5,FALSE),"")</f>
        <v>Taylor</v>
      </c>
      <c r="G956" s="17" t="s">
        <v>67</v>
      </c>
      <c r="H956" s="17" t="s">
        <v>81</v>
      </c>
      <c r="I956" s="19" t="str">
        <f>IFERROR(VLOOKUP(H956,product_lookup!$A:$D,2,FALSE),"")</f>
        <v>Lemon Sparkling Beverage</v>
      </c>
      <c r="J956" s="21">
        <v>30.0</v>
      </c>
      <c r="K956" s="22">
        <v>6.65</v>
      </c>
      <c r="L956" s="23">
        <f t="shared" si="1"/>
        <v>199.5</v>
      </c>
      <c r="M956" s="17" t="s">
        <v>65</v>
      </c>
      <c r="N956" s="18">
        <v>46077.0</v>
      </c>
      <c r="O956" s="19">
        <f>SUMIF(inventory_snapshot!$B:$B,H956,inventory_snapshot!$E:$E)</f>
        <v>1360</v>
      </c>
      <c r="P956" s="24" t="str">
        <f t="shared" si="2"/>
        <v>OK</v>
      </c>
      <c r="Q956" s="24" t="str">
        <f t="shared" si="3"/>
        <v>OK</v>
      </c>
      <c r="R956" s="24" t="str">
        <f t="shared" si="4"/>
        <v>OK</v>
      </c>
      <c r="S956" s="24" t="str">
        <f t="shared" si="5"/>
        <v>Small</v>
      </c>
    </row>
    <row r="957" ht="15.75" customHeight="1">
      <c r="A957" s="25" t="s">
        <v>1159</v>
      </c>
      <c r="B957" s="26">
        <v>46134.0</v>
      </c>
      <c r="C957" s="25" t="s">
        <v>1126</v>
      </c>
      <c r="D957" s="27" t="str">
        <f>IFERROR(VLOOKUP(C957,customer_lookup!$A:$E,2,FALSE),"")</f>
        <v>CA Account 0087</v>
      </c>
      <c r="E957" s="27" t="str">
        <f>IFERROR(VLOOKUP(C957,customer_lookup!$A:$E,3,FALSE),"")</f>
        <v>CA</v>
      </c>
      <c r="F957" s="28" t="str">
        <f>IFERROR(VLOOKUP(C957,customer_lookup!$A:$E,5,FALSE),"")</f>
        <v>Taylor</v>
      </c>
      <c r="G957" s="25" t="s">
        <v>63</v>
      </c>
      <c r="H957" s="25" t="s">
        <v>71</v>
      </c>
      <c r="I957" s="27" t="str">
        <f>IFERROR(VLOOKUP(H957,product_lookup!$A:$D,2,FALSE),"")</f>
        <v>Pineapple Sparkling Beverage</v>
      </c>
      <c r="J957" s="29">
        <v>120.0</v>
      </c>
      <c r="K957" s="30">
        <v>8.04</v>
      </c>
      <c r="L957" s="31">
        <f t="shared" si="1"/>
        <v>964.8</v>
      </c>
      <c r="M957" s="25" t="s">
        <v>75</v>
      </c>
      <c r="N957" s="26">
        <v>46141.0</v>
      </c>
      <c r="O957" s="27">
        <f>SUMIF(inventory_snapshot!$B:$B,H957,inventory_snapshot!$E:$E)</f>
        <v>1145</v>
      </c>
      <c r="P957" s="32" t="str">
        <f t="shared" si="2"/>
        <v>OK</v>
      </c>
      <c r="Q957" s="32" t="str">
        <f t="shared" si="3"/>
        <v>OK</v>
      </c>
      <c r="R957" s="32" t="str">
        <f t="shared" si="4"/>
        <v>OK</v>
      </c>
      <c r="S957" s="32" t="str">
        <f t="shared" si="5"/>
        <v>Medium</v>
      </c>
    </row>
    <row r="958" ht="15.75" customHeight="1">
      <c r="A958" s="17" t="s">
        <v>1160</v>
      </c>
      <c r="B958" s="18">
        <v>46138.0</v>
      </c>
      <c r="C958" s="17" t="s">
        <v>1124</v>
      </c>
      <c r="D958" s="19" t="str">
        <f>IFERROR(VLOOKUP(C958,customer_lookup!$A:$E,2,FALSE),"")</f>
        <v>IL Account 0007</v>
      </c>
      <c r="E958" s="19" t="str">
        <f>IFERROR(VLOOKUP(C958,customer_lookup!$A:$E,3,FALSE),"")</f>
        <v>IL</v>
      </c>
      <c r="F958" s="20" t="str">
        <f>IFERROR(VLOOKUP(C958,customer_lookup!$A:$E,5,FALSE),"")</f>
        <v>Taylor</v>
      </c>
      <c r="G958" s="17" t="s">
        <v>63</v>
      </c>
      <c r="H958" s="17" t="s">
        <v>190</v>
      </c>
      <c r="I958" s="19" t="str">
        <f>IFERROR(VLOOKUP(H958,product_lookup!$A:$D,2,FALSE),"")</f>
        <v>Mango Sparkling Beverage</v>
      </c>
      <c r="J958" s="21">
        <v>18.0</v>
      </c>
      <c r="K958" s="22">
        <v>7.45</v>
      </c>
      <c r="L958" s="23">
        <f t="shared" si="1"/>
        <v>134.1</v>
      </c>
      <c r="M958" s="17" t="s">
        <v>65</v>
      </c>
      <c r="N958" s="18">
        <v>46147.0</v>
      </c>
      <c r="O958" s="19">
        <f>SUMIF(inventory_snapshot!$B:$B,H958,inventory_snapshot!$E:$E)</f>
        <v>1502</v>
      </c>
      <c r="P958" s="24" t="str">
        <f t="shared" si="2"/>
        <v>OK</v>
      </c>
      <c r="Q958" s="24" t="str">
        <f t="shared" si="3"/>
        <v>OK</v>
      </c>
      <c r="R958" s="24" t="str">
        <f t="shared" si="4"/>
        <v>OK</v>
      </c>
      <c r="S958" s="24" t="str">
        <f t="shared" si="5"/>
        <v>Small</v>
      </c>
    </row>
    <row r="959" ht="15.75" customHeight="1">
      <c r="A959" s="25" t="s">
        <v>1161</v>
      </c>
      <c r="B959" s="26">
        <v>46104.0</v>
      </c>
      <c r="C959" s="25" t="s">
        <v>1133</v>
      </c>
      <c r="D959" s="27" t="str">
        <f>IFERROR(VLOOKUP(C959,customer_lookup!$A:$E,2,FALSE),"")</f>
        <v>CA Account 0015</v>
      </c>
      <c r="E959" s="27" t="str">
        <f>IFERROR(VLOOKUP(C959,customer_lookup!$A:$E,3,FALSE),"")</f>
        <v>CA</v>
      </c>
      <c r="F959" s="28" t="str">
        <f>IFERROR(VLOOKUP(C959,customer_lookup!$A:$E,5,FALSE),"")</f>
        <v>Taylor</v>
      </c>
      <c r="G959" s="25" t="s">
        <v>67</v>
      </c>
      <c r="H959" s="25" t="s">
        <v>74</v>
      </c>
      <c r="I959" s="27" t="str">
        <f>IFERROR(VLOOKUP(H959,product_lookup!$A:$D,2,FALSE),"")</f>
        <v>Strawberry 20:1 Gummies</v>
      </c>
      <c r="J959" s="29">
        <v>36.0</v>
      </c>
      <c r="K959" s="30">
        <v>10.55</v>
      </c>
      <c r="L959" s="31">
        <f t="shared" si="1"/>
        <v>379.8</v>
      </c>
      <c r="M959" s="25" t="s">
        <v>65</v>
      </c>
      <c r="N959" s="26">
        <v>46113.0</v>
      </c>
      <c r="O959" s="27">
        <f>SUMIF(inventory_snapshot!$B:$B,H959,inventory_snapshot!$E:$E)</f>
        <v>2294</v>
      </c>
      <c r="P959" s="32" t="str">
        <f t="shared" si="2"/>
        <v>OK</v>
      </c>
      <c r="Q959" s="32" t="str">
        <f t="shared" si="3"/>
        <v>OK</v>
      </c>
      <c r="R959" s="32" t="str">
        <f t="shared" si="4"/>
        <v>OK</v>
      </c>
      <c r="S959" s="32" t="str">
        <f t="shared" si="5"/>
        <v>Small</v>
      </c>
    </row>
    <row r="960" ht="15.75" customHeight="1">
      <c r="A960" s="17" t="s">
        <v>1162</v>
      </c>
      <c r="B960" s="18">
        <v>46096.0</v>
      </c>
      <c r="C960" s="17" t="s">
        <v>1154</v>
      </c>
      <c r="D960" s="19" t="str">
        <f>IFERROR(VLOOKUP(C960,customer_lookup!$A:$E,2,FALSE),"")</f>
        <v>OR Account 0085</v>
      </c>
      <c r="E960" s="19" t="str">
        <f>IFERROR(VLOOKUP(C960,customer_lookup!$A:$E,3,FALSE),"")</f>
        <v>OR</v>
      </c>
      <c r="F960" s="20" t="str">
        <f>IFERROR(VLOOKUP(C960,customer_lookup!$A:$E,5,FALSE),"")</f>
        <v>Taylor</v>
      </c>
      <c r="G960" s="17" t="s">
        <v>63</v>
      </c>
      <c r="H960" s="17" t="s">
        <v>71</v>
      </c>
      <c r="I960" s="19" t="str">
        <f>IFERROR(VLOOKUP(H960,product_lookup!$A:$D,2,FALSE),"")</f>
        <v>Pineapple Sparkling Beverage</v>
      </c>
      <c r="J960" s="21">
        <v>72.0</v>
      </c>
      <c r="K960" s="22">
        <v>7.25</v>
      </c>
      <c r="L960" s="23">
        <f t="shared" si="1"/>
        <v>522</v>
      </c>
      <c r="M960" s="17" t="s">
        <v>137</v>
      </c>
      <c r="N960" s="18">
        <v>46097.0</v>
      </c>
      <c r="O960" s="19">
        <f>SUMIF(inventory_snapshot!$B:$B,H960,inventory_snapshot!$E:$E)</f>
        <v>1145</v>
      </c>
      <c r="P960" s="24" t="str">
        <f t="shared" si="2"/>
        <v>OK</v>
      </c>
      <c r="Q960" s="24" t="str">
        <f t="shared" si="3"/>
        <v>OK</v>
      </c>
      <c r="R960" s="24" t="str">
        <f t="shared" si="4"/>
        <v>OK</v>
      </c>
      <c r="S960" s="24" t="str">
        <f t="shared" si="5"/>
        <v>Medium</v>
      </c>
    </row>
    <row r="961" ht="15.75" customHeight="1">
      <c r="A961" s="25" t="s">
        <v>1163</v>
      </c>
      <c r="B961" s="26">
        <v>46049.0</v>
      </c>
      <c r="C961" s="25" t="s">
        <v>1126</v>
      </c>
      <c r="D961" s="27" t="str">
        <f>IFERROR(VLOOKUP(C961,customer_lookup!$A:$E,2,FALSE),"")</f>
        <v>CA Account 0087</v>
      </c>
      <c r="E961" s="27" t="str">
        <f>IFERROR(VLOOKUP(C961,customer_lookup!$A:$E,3,FALSE),"")</f>
        <v>CA</v>
      </c>
      <c r="F961" s="28" t="str">
        <f>IFERROR(VLOOKUP(C961,customer_lookup!$A:$E,5,FALSE),"")</f>
        <v>Taylor</v>
      </c>
      <c r="G961" s="25" t="s">
        <v>63</v>
      </c>
      <c r="H961" s="25" t="s">
        <v>85</v>
      </c>
      <c r="I961" s="27" t="str">
        <f>IFERROR(VLOOKUP(H961,product_lookup!$A:$D,2,FALSE),"")</f>
        <v>Huckleberry THC Gummies</v>
      </c>
      <c r="J961" s="29">
        <v>6.0</v>
      </c>
      <c r="K961" s="30">
        <v>10.17</v>
      </c>
      <c r="L961" s="31">
        <f t="shared" si="1"/>
        <v>61.02</v>
      </c>
      <c r="M961" s="25" t="s">
        <v>65</v>
      </c>
      <c r="N961" s="26">
        <v>46050.0</v>
      </c>
      <c r="O961" s="27">
        <f>SUMIF(inventory_snapshot!$B:$B,H961,inventory_snapshot!$E:$E)</f>
        <v>1841</v>
      </c>
      <c r="P961" s="32" t="str">
        <f t="shared" si="2"/>
        <v>OK</v>
      </c>
      <c r="Q961" s="32" t="str">
        <f t="shared" si="3"/>
        <v>OK</v>
      </c>
      <c r="R961" s="32" t="str">
        <f t="shared" si="4"/>
        <v>OK</v>
      </c>
      <c r="S961" s="32" t="str">
        <f t="shared" si="5"/>
        <v>Small</v>
      </c>
    </row>
    <row r="962" ht="15.75" customHeight="1">
      <c r="A962" s="17" t="s">
        <v>1164</v>
      </c>
      <c r="B962" s="18">
        <v>46117.0</v>
      </c>
      <c r="C962" s="17" t="s">
        <v>1154</v>
      </c>
      <c r="D962" s="19" t="str">
        <f>IFERROR(VLOOKUP(C962,customer_lookup!$A:$E,2,FALSE),"")</f>
        <v>OR Account 0085</v>
      </c>
      <c r="E962" s="19" t="str">
        <f>IFERROR(VLOOKUP(C962,customer_lookup!$A:$E,3,FALSE),"")</f>
        <v>OR</v>
      </c>
      <c r="F962" s="20" t="str">
        <f>IFERROR(VLOOKUP(C962,customer_lookup!$A:$E,5,FALSE),"")</f>
        <v>Taylor</v>
      </c>
      <c r="G962" s="17" t="s">
        <v>63</v>
      </c>
      <c r="H962" s="17" t="s">
        <v>110</v>
      </c>
      <c r="I962" s="19" t="str">
        <f>IFERROR(VLOOKUP(H962,product_lookup!$A:$D,2,FALSE),"")</f>
        <v>Elderberry 2:1 Gummies</v>
      </c>
      <c r="J962" s="21">
        <v>96.0</v>
      </c>
      <c r="K962" s="22">
        <v>11.74</v>
      </c>
      <c r="L962" s="23">
        <f t="shared" si="1"/>
        <v>1127.04</v>
      </c>
      <c r="M962" s="17" t="s">
        <v>100</v>
      </c>
      <c r="N962" s="18">
        <v>46123.0</v>
      </c>
      <c r="O962" s="19">
        <f>SUMIF(inventory_snapshot!$B:$B,H962,inventory_snapshot!$E:$E)</f>
        <v>1633</v>
      </c>
      <c r="P962" s="24" t="str">
        <f t="shared" si="2"/>
        <v>OK</v>
      </c>
      <c r="Q962" s="24" t="str">
        <f t="shared" si="3"/>
        <v>OK</v>
      </c>
      <c r="R962" s="24" t="str">
        <f t="shared" si="4"/>
        <v>OK</v>
      </c>
      <c r="S962" s="24" t="str">
        <f t="shared" si="5"/>
        <v>Large</v>
      </c>
    </row>
    <row r="963" ht="15.75" customHeight="1">
      <c r="A963" s="25" t="s">
        <v>1165</v>
      </c>
      <c r="B963" s="26">
        <v>46074.0</v>
      </c>
      <c r="C963" s="25" t="s">
        <v>1129</v>
      </c>
      <c r="D963" s="27" t="str">
        <f>IFERROR(VLOOKUP(C963,customer_lookup!$A:$E,2,FALSE),"")</f>
        <v>NY Account 0023</v>
      </c>
      <c r="E963" s="27" t="str">
        <f>IFERROR(VLOOKUP(C963,customer_lookup!$A:$E,3,FALSE),"")</f>
        <v>NY</v>
      </c>
      <c r="F963" s="28" t="str">
        <f>IFERROR(VLOOKUP(C963,customer_lookup!$A:$E,5,FALSE),"")</f>
        <v>Taylor</v>
      </c>
      <c r="G963" s="25" t="s">
        <v>63</v>
      </c>
      <c r="H963" s="25" t="s">
        <v>102</v>
      </c>
      <c r="I963" s="27" t="str">
        <f>IFERROR(VLOOKUP(H963,product_lookup!$A:$D,2,FALSE),"")</f>
        <v>Pomegranate 1:1 Gummies</v>
      </c>
      <c r="J963" s="29">
        <v>12.0</v>
      </c>
      <c r="K963" s="30">
        <v>11.22</v>
      </c>
      <c r="L963" s="31">
        <f t="shared" si="1"/>
        <v>134.64</v>
      </c>
      <c r="M963" s="25" t="s">
        <v>65</v>
      </c>
      <c r="N963" s="26">
        <v>46081.0</v>
      </c>
      <c r="O963" s="27">
        <f>SUMIF(inventory_snapshot!$B:$B,H963,inventory_snapshot!$E:$E)</f>
        <v>1493</v>
      </c>
      <c r="P963" s="32" t="str">
        <f t="shared" si="2"/>
        <v>OK</v>
      </c>
      <c r="Q963" s="32" t="str">
        <f t="shared" si="3"/>
        <v>OK</v>
      </c>
      <c r="R963" s="32" t="str">
        <f t="shared" si="4"/>
        <v>OK</v>
      </c>
      <c r="S963" s="32" t="str">
        <f t="shared" si="5"/>
        <v>Small</v>
      </c>
    </row>
    <row r="964" ht="15.75" customHeight="1">
      <c r="A964" s="17" t="s">
        <v>1166</v>
      </c>
      <c r="B964" s="18">
        <v>46140.0</v>
      </c>
      <c r="C964" s="17" t="s">
        <v>1126</v>
      </c>
      <c r="D964" s="19" t="str">
        <f>IFERROR(VLOOKUP(C964,customer_lookup!$A:$E,2,FALSE),"")</f>
        <v>CA Account 0087</v>
      </c>
      <c r="E964" s="19" t="str">
        <f>IFERROR(VLOOKUP(C964,customer_lookup!$A:$E,3,FALSE),"")</f>
        <v>CA</v>
      </c>
      <c r="F964" s="20" t="str">
        <f>IFERROR(VLOOKUP(C964,customer_lookup!$A:$E,5,FALSE),"")</f>
        <v>Taylor</v>
      </c>
      <c r="G964" s="17" t="s">
        <v>89</v>
      </c>
      <c r="H964" s="17" t="s">
        <v>102</v>
      </c>
      <c r="I964" s="19" t="str">
        <f>IFERROR(VLOOKUP(H964,product_lookup!$A:$D,2,FALSE),"")</f>
        <v>Pomegranate 1:1 Gummies</v>
      </c>
      <c r="J964" s="21">
        <v>48.0</v>
      </c>
      <c r="K964" s="22">
        <v>11.48</v>
      </c>
      <c r="L964" s="23">
        <f t="shared" si="1"/>
        <v>551.04</v>
      </c>
      <c r="M964" s="17" t="s">
        <v>93</v>
      </c>
      <c r="N964" s="18">
        <v>46150.0</v>
      </c>
      <c r="O964" s="19">
        <f>SUMIF(inventory_snapshot!$B:$B,H964,inventory_snapshot!$E:$E)</f>
        <v>1493</v>
      </c>
      <c r="P964" s="24" t="str">
        <f t="shared" si="2"/>
        <v>OK</v>
      </c>
      <c r="Q964" s="24" t="str">
        <f t="shared" si="3"/>
        <v>OK</v>
      </c>
      <c r="R964" s="24" t="str">
        <f t="shared" si="4"/>
        <v>OK</v>
      </c>
      <c r="S964" s="24" t="str">
        <f t="shared" si="5"/>
        <v>Medium</v>
      </c>
    </row>
    <row r="965" ht="15.75" customHeight="1">
      <c r="A965" s="25" t="s">
        <v>1167</v>
      </c>
      <c r="B965" s="26">
        <v>46126.0</v>
      </c>
      <c r="C965" s="25" t="s">
        <v>1154</v>
      </c>
      <c r="D965" s="27" t="str">
        <f>IFERROR(VLOOKUP(C965,customer_lookup!$A:$E,2,FALSE),"")</f>
        <v>OR Account 0085</v>
      </c>
      <c r="E965" s="27" t="str">
        <f>IFERROR(VLOOKUP(C965,customer_lookup!$A:$E,3,FALSE),"")</f>
        <v>OR</v>
      </c>
      <c r="F965" s="28" t="str">
        <f>IFERROR(VLOOKUP(C965,customer_lookup!$A:$E,5,FALSE),"")</f>
        <v>Taylor</v>
      </c>
      <c r="G965" s="25" t="s">
        <v>63</v>
      </c>
      <c r="H965" s="25" t="s">
        <v>102</v>
      </c>
      <c r="I965" s="27" t="str">
        <f>IFERROR(VLOOKUP(H965,product_lookup!$A:$D,2,FALSE),"")</f>
        <v>Pomegranate 1:1 Gummies</v>
      </c>
      <c r="J965" s="29">
        <v>96.0</v>
      </c>
      <c r="K965" s="30">
        <v>9.96</v>
      </c>
      <c r="L965" s="31">
        <f t="shared" si="1"/>
        <v>956.16</v>
      </c>
      <c r="M965" s="25" t="s">
        <v>65</v>
      </c>
      <c r="N965" s="26">
        <v>46128.0</v>
      </c>
      <c r="O965" s="27">
        <f>SUMIF(inventory_snapshot!$B:$B,H965,inventory_snapshot!$E:$E)</f>
        <v>1493</v>
      </c>
      <c r="P965" s="32" t="str">
        <f t="shared" si="2"/>
        <v>OK</v>
      </c>
      <c r="Q965" s="32" t="str">
        <f t="shared" si="3"/>
        <v>OK</v>
      </c>
      <c r="R965" s="32" t="str">
        <f t="shared" si="4"/>
        <v>OK</v>
      </c>
      <c r="S965" s="32" t="str">
        <f t="shared" si="5"/>
        <v>Medium</v>
      </c>
    </row>
    <row r="966" ht="15.75" customHeight="1">
      <c r="A966" s="17" t="s">
        <v>1168</v>
      </c>
      <c r="B966" s="18">
        <v>46070.0</v>
      </c>
      <c r="C966" s="17" t="s">
        <v>1154</v>
      </c>
      <c r="D966" s="19" t="str">
        <f>IFERROR(VLOOKUP(C966,customer_lookup!$A:$E,2,FALSE),"")</f>
        <v>OR Account 0085</v>
      </c>
      <c r="E966" s="19" t="str">
        <f>IFERROR(VLOOKUP(C966,customer_lookup!$A:$E,3,FALSE),"")</f>
        <v>OR</v>
      </c>
      <c r="F966" s="20" t="str">
        <f>IFERROR(VLOOKUP(C966,customer_lookup!$A:$E,5,FALSE),"")</f>
        <v>Taylor</v>
      </c>
      <c r="G966" s="17" t="s">
        <v>63</v>
      </c>
      <c r="H966" s="17" t="s">
        <v>74</v>
      </c>
      <c r="I966" s="19" t="str">
        <f>IFERROR(VLOOKUP(H966,product_lookup!$A:$D,2,FALSE),"")</f>
        <v>Strawberry 20:1 Gummies</v>
      </c>
      <c r="J966" s="21">
        <v>18.0</v>
      </c>
      <c r="K966" s="22">
        <v>10.95</v>
      </c>
      <c r="L966" s="23">
        <f t="shared" si="1"/>
        <v>197.1</v>
      </c>
      <c r="M966" s="17" t="s">
        <v>65</v>
      </c>
      <c r="N966" s="18">
        <v>46079.0</v>
      </c>
      <c r="O966" s="19">
        <f>SUMIF(inventory_snapshot!$B:$B,H966,inventory_snapshot!$E:$E)</f>
        <v>2294</v>
      </c>
      <c r="P966" s="24" t="str">
        <f t="shared" si="2"/>
        <v>OK</v>
      </c>
      <c r="Q966" s="24" t="str">
        <f t="shared" si="3"/>
        <v>OK</v>
      </c>
      <c r="R966" s="24" t="str">
        <f t="shared" si="4"/>
        <v>OK</v>
      </c>
      <c r="S966" s="24" t="str">
        <f t="shared" si="5"/>
        <v>Small</v>
      </c>
    </row>
    <row r="967" ht="15.75" customHeight="1">
      <c r="A967" s="25" t="s">
        <v>1169</v>
      </c>
      <c r="B967" s="26">
        <v>46055.0</v>
      </c>
      <c r="C967" s="25" t="s">
        <v>1133</v>
      </c>
      <c r="D967" s="27" t="str">
        <f>IFERROR(VLOOKUP(C967,customer_lookup!$A:$E,2,FALSE),"")</f>
        <v>CA Account 0015</v>
      </c>
      <c r="E967" s="27" t="str">
        <f>IFERROR(VLOOKUP(C967,customer_lookup!$A:$E,3,FALSE),"")</f>
        <v>CA</v>
      </c>
      <c r="F967" s="28" t="str">
        <f>IFERROR(VLOOKUP(C967,customer_lookup!$A:$E,5,FALSE),"")</f>
        <v>Taylor</v>
      </c>
      <c r="G967" s="25" t="s">
        <v>63</v>
      </c>
      <c r="H967" s="25" t="s">
        <v>154</v>
      </c>
      <c r="I967" s="27" t="str">
        <f>IFERROR(VLOOKUP(H967,product_lookup!$A:$D,2,FALSE),"")</f>
        <v>Kiwi 1:1 Gummies</v>
      </c>
      <c r="J967" s="29">
        <v>30.0</v>
      </c>
      <c r="K967" s="30">
        <v>10.68</v>
      </c>
      <c r="L967" s="31">
        <f t="shared" si="1"/>
        <v>320.4</v>
      </c>
      <c r="M967" s="25" t="s">
        <v>93</v>
      </c>
      <c r="N967" s="26">
        <v>46060.0</v>
      </c>
      <c r="O967" s="27">
        <f>SUMIF(inventory_snapshot!$B:$B,H967,inventory_snapshot!$E:$E)</f>
        <v>1136</v>
      </c>
      <c r="P967" s="32" t="str">
        <f t="shared" si="2"/>
        <v>OK</v>
      </c>
      <c r="Q967" s="32" t="str">
        <f t="shared" si="3"/>
        <v>OK</v>
      </c>
      <c r="R967" s="32" t="str">
        <f t="shared" si="4"/>
        <v>OK</v>
      </c>
      <c r="S967" s="32" t="str">
        <f t="shared" si="5"/>
        <v>Small</v>
      </c>
    </row>
    <row r="968" ht="15.75" customHeight="1">
      <c r="A968" s="17" t="s">
        <v>1170</v>
      </c>
      <c r="B968" s="18">
        <v>46106.0</v>
      </c>
      <c r="C968" s="17" t="s">
        <v>1139</v>
      </c>
      <c r="D968" s="19" t="str">
        <f>IFERROR(VLOOKUP(C968,customer_lookup!$A:$E,2,FALSE),"")</f>
        <v>NM Account 0070</v>
      </c>
      <c r="E968" s="19" t="str">
        <f>IFERROR(VLOOKUP(C968,customer_lookup!$A:$E,3,FALSE),"")</f>
        <v>NM</v>
      </c>
      <c r="F968" s="20" t="str">
        <f>IFERROR(VLOOKUP(C968,customer_lookup!$A:$E,5,FALSE),"")</f>
        <v>Taylor</v>
      </c>
      <c r="G968" s="17" t="s">
        <v>89</v>
      </c>
      <c r="H968" s="17" t="s">
        <v>78</v>
      </c>
      <c r="I968" s="19" t="str">
        <f>IFERROR(VLOOKUP(H968,product_lookup!$A:$D,2,FALSE),"")</f>
        <v>Grapefruit 1:1:1 Gummies</v>
      </c>
      <c r="J968" s="21">
        <v>60.0</v>
      </c>
      <c r="K968" s="22">
        <v>11.26</v>
      </c>
      <c r="L968" s="23">
        <f t="shared" si="1"/>
        <v>675.6</v>
      </c>
      <c r="M968" s="17" t="s">
        <v>65</v>
      </c>
      <c r="N968" s="18">
        <v>46110.0</v>
      </c>
      <c r="O968" s="19">
        <f>SUMIF(inventory_snapshot!$B:$B,H968,inventory_snapshot!$E:$E)</f>
        <v>1751</v>
      </c>
      <c r="P968" s="24" t="str">
        <f t="shared" si="2"/>
        <v>OK</v>
      </c>
      <c r="Q968" s="24" t="str">
        <f t="shared" si="3"/>
        <v>OK</v>
      </c>
      <c r="R968" s="24" t="str">
        <f t="shared" si="4"/>
        <v>OK</v>
      </c>
      <c r="S968" s="24" t="str">
        <f t="shared" si="5"/>
        <v>Medium</v>
      </c>
    </row>
    <row r="969" ht="15.75" customHeight="1">
      <c r="A969" s="25" t="s">
        <v>1171</v>
      </c>
      <c r="B969" s="26">
        <v>46141.0</v>
      </c>
      <c r="C969" s="25" t="s">
        <v>1133</v>
      </c>
      <c r="D969" s="27" t="str">
        <f>IFERROR(VLOOKUP(C969,customer_lookup!$A:$E,2,FALSE),"")</f>
        <v>CA Account 0015</v>
      </c>
      <c r="E969" s="27" t="str">
        <f>IFERROR(VLOOKUP(C969,customer_lookup!$A:$E,3,FALSE),"")</f>
        <v>CA</v>
      </c>
      <c r="F969" s="28" t="str">
        <f>IFERROR(VLOOKUP(C969,customer_lookup!$A:$E,5,FALSE),"")</f>
        <v>Taylor</v>
      </c>
      <c r="G969" s="25" t="s">
        <v>63</v>
      </c>
      <c r="H969" s="25" t="s">
        <v>85</v>
      </c>
      <c r="I969" s="27" t="str">
        <f>IFERROR(VLOOKUP(H969,product_lookup!$A:$D,2,FALSE),"")</f>
        <v>Huckleberry THC Gummies</v>
      </c>
      <c r="J969" s="29">
        <v>6.0</v>
      </c>
      <c r="K969" s="30">
        <v>10.21</v>
      </c>
      <c r="L969" s="31">
        <f t="shared" si="1"/>
        <v>61.26</v>
      </c>
      <c r="M969" s="25" t="s">
        <v>97</v>
      </c>
      <c r="N969" s="26">
        <v>46149.0</v>
      </c>
      <c r="O969" s="27">
        <f>SUMIF(inventory_snapshot!$B:$B,H969,inventory_snapshot!$E:$E)</f>
        <v>1841</v>
      </c>
      <c r="P969" s="32" t="str">
        <f t="shared" si="2"/>
        <v>OK</v>
      </c>
      <c r="Q969" s="32" t="str">
        <f t="shared" si="3"/>
        <v>OK</v>
      </c>
      <c r="R969" s="32" t="str">
        <f t="shared" si="4"/>
        <v>OK</v>
      </c>
      <c r="S969" s="32" t="str">
        <f t="shared" si="5"/>
        <v>Small</v>
      </c>
    </row>
    <row r="970" ht="15.75" customHeight="1">
      <c r="A970" s="17" t="s">
        <v>1172</v>
      </c>
      <c r="B970" s="18">
        <v>46085.0</v>
      </c>
      <c r="C970" s="17" t="s">
        <v>1154</v>
      </c>
      <c r="D970" s="19" t="str">
        <f>IFERROR(VLOOKUP(C970,customer_lookup!$A:$E,2,FALSE),"")</f>
        <v>OR Account 0085</v>
      </c>
      <c r="E970" s="19" t="str">
        <f>IFERROR(VLOOKUP(C970,customer_lookup!$A:$E,3,FALSE),"")</f>
        <v>OR</v>
      </c>
      <c r="F970" s="20" t="str">
        <f>IFERROR(VLOOKUP(C970,customer_lookup!$A:$E,5,FALSE),"")</f>
        <v>Taylor</v>
      </c>
      <c r="G970" s="17" t="s">
        <v>89</v>
      </c>
      <c r="H970" s="17" t="s">
        <v>90</v>
      </c>
      <c r="I970" s="19" t="str">
        <f>IFERROR(VLOOKUP(H970,product_lookup!$A:$D,2,FALSE),"")</f>
        <v>Blackberry Sparkling Beverage</v>
      </c>
      <c r="J970" s="21">
        <v>72.0</v>
      </c>
      <c r="K970" s="22">
        <v>7.14</v>
      </c>
      <c r="L970" s="23">
        <f t="shared" si="1"/>
        <v>514.08</v>
      </c>
      <c r="M970" s="17" t="s">
        <v>97</v>
      </c>
      <c r="N970" s="18">
        <v>46094.0</v>
      </c>
      <c r="O970" s="19">
        <f>SUMIF(inventory_snapshot!$B:$B,H970,inventory_snapshot!$E:$E)</f>
        <v>1292</v>
      </c>
      <c r="P970" s="24" t="str">
        <f t="shared" si="2"/>
        <v>OK</v>
      </c>
      <c r="Q970" s="24" t="str">
        <f t="shared" si="3"/>
        <v>OK</v>
      </c>
      <c r="R970" s="24" t="str">
        <f t="shared" si="4"/>
        <v>OK</v>
      </c>
      <c r="S970" s="24" t="str">
        <f t="shared" si="5"/>
        <v>Medium</v>
      </c>
    </row>
    <row r="971" ht="15.75" customHeight="1">
      <c r="A971" s="25" t="s">
        <v>1173</v>
      </c>
      <c r="B971" s="26">
        <v>46101.0</v>
      </c>
      <c r="C971" s="25" t="s">
        <v>1136</v>
      </c>
      <c r="D971" s="27" t="str">
        <f>IFERROR(VLOOKUP(C971,customer_lookup!$A:$E,2,FALSE),"")</f>
        <v>CO Account 0076</v>
      </c>
      <c r="E971" s="27" t="str">
        <f>IFERROR(VLOOKUP(C971,customer_lookup!$A:$E,3,FALSE),"")</f>
        <v>CO</v>
      </c>
      <c r="F971" s="28" t="str">
        <f>IFERROR(VLOOKUP(C971,customer_lookup!$A:$E,5,FALSE),"")</f>
        <v>Taylor</v>
      </c>
      <c r="G971" s="25" t="s">
        <v>63</v>
      </c>
      <c r="H971" s="25" t="s">
        <v>106</v>
      </c>
      <c r="I971" s="27" t="str">
        <f>IFERROR(VLOOKUP(H971,product_lookup!$A:$D,2,FALSE),"")</f>
        <v>Sour Cherry THC Gummies</v>
      </c>
      <c r="J971" s="29">
        <v>120.0</v>
      </c>
      <c r="K971" s="30">
        <v>10.43</v>
      </c>
      <c r="L971" s="31">
        <f t="shared" si="1"/>
        <v>1251.6</v>
      </c>
      <c r="M971" s="25" t="s">
        <v>93</v>
      </c>
      <c r="N971" s="26">
        <v>46102.0</v>
      </c>
      <c r="O971" s="27">
        <f>SUMIF(inventory_snapshot!$B:$B,H971,inventory_snapshot!$E:$E)</f>
        <v>1313</v>
      </c>
      <c r="P971" s="32" t="str">
        <f t="shared" si="2"/>
        <v>OK</v>
      </c>
      <c r="Q971" s="32" t="str">
        <f t="shared" si="3"/>
        <v>OK</v>
      </c>
      <c r="R971" s="32" t="str">
        <f t="shared" si="4"/>
        <v>OK</v>
      </c>
      <c r="S971" s="32" t="str">
        <f t="shared" si="5"/>
        <v>Large</v>
      </c>
    </row>
    <row r="972" ht="15.75" customHeight="1">
      <c r="A972" s="17" t="s">
        <v>1174</v>
      </c>
      <c r="B972" s="18">
        <v>46063.0</v>
      </c>
      <c r="C972" s="17" t="s">
        <v>1154</v>
      </c>
      <c r="D972" s="19" t="str">
        <f>IFERROR(VLOOKUP(C972,customer_lookup!$A:$E,2,FALSE),"")</f>
        <v>OR Account 0085</v>
      </c>
      <c r="E972" s="19" t="str">
        <f>IFERROR(VLOOKUP(C972,customer_lookup!$A:$E,3,FALSE),"")</f>
        <v>OR</v>
      </c>
      <c r="F972" s="20" t="str">
        <f>IFERROR(VLOOKUP(C972,customer_lookup!$A:$E,5,FALSE),"")</f>
        <v>Taylor</v>
      </c>
      <c r="G972" s="17" t="s">
        <v>63</v>
      </c>
      <c r="H972" s="17" t="s">
        <v>81</v>
      </c>
      <c r="I972" s="19" t="str">
        <f>IFERROR(VLOOKUP(H972,product_lookup!$A:$D,2,FALSE),"")</f>
        <v>Lemon Sparkling Beverage</v>
      </c>
      <c r="J972" s="21">
        <v>24.0</v>
      </c>
      <c r="K972" s="22">
        <v>7.13</v>
      </c>
      <c r="L972" s="23">
        <f t="shared" si="1"/>
        <v>171.12</v>
      </c>
      <c r="M972" s="17" t="s">
        <v>97</v>
      </c>
      <c r="N972" s="18">
        <v>46072.0</v>
      </c>
      <c r="O972" s="19">
        <f>SUMIF(inventory_snapshot!$B:$B,H972,inventory_snapshot!$E:$E)</f>
        <v>1360</v>
      </c>
      <c r="P972" s="24" t="str">
        <f t="shared" si="2"/>
        <v>OK</v>
      </c>
      <c r="Q972" s="24" t="str">
        <f t="shared" si="3"/>
        <v>OK</v>
      </c>
      <c r="R972" s="24" t="str">
        <f t="shared" si="4"/>
        <v>OK</v>
      </c>
      <c r="S972" s="24" t="str">
        <f t="shared" si="5"/>
        <v>Small</v>
      </c>
    </row>
    <row r="973" ht="15.75" customHeight="1">
      <c r="A973" s="25" t="s">
        <v>1175</v>
      </c>
      <c r="B973" s="26">
        <v>46085.0</v>
      </c>
      <c r="C973" s="25" t="s">
        <v>1136</v>
      </c>
      <c r="D973" s="27" t="str">
        <f>IFERROR(VLOOKUP(C973,customer_lookup!$A:$E,2,FALSE),"")</f>
        <v>CO Account 0076</v>
      </c>
      <c r="E973" s="27" t="str">
        <f>IFERROR(VLOOKUP(C973,customer_lookup!$A:$E,3,FALSE),"")</f>
        <v>CO</v>
      </c>
      <c r="F973" s="28" t="str">
        <f>IFERROR(VLOOKUP(C973,customer_lookup!$A:$E,5,FALSE),"")</f>
        <v>Taylor</v>
      </c>
      <c r="G973" s="25" t="s">
        <v>63</v>
      </c>
      <c r="H973" s="25" t="s">
        <v>95</v>
      </c>
      <c r="I973" s="27" t="str">
        <f>IFERROR(VLOOKUP(H973,product_lookup!$A:$D,2,FALSE),"")</f>
        <v>Boysenberry 1:1:1 Gummies</v>
      </c>
      <c r="J973" s="29">
        <v>72.0</v>
      </c>
      <c r="K973" s="30">
        <v>10.24</v>
      </c>
      <c r="L973" s="31">
        <f t="shared" si="1"/>
        <v>737.28</v>
      </c>
      <c r="M973" s="25" t="s">
        <v>93</v>
      </c>
      <c r="N973" s="26">
        <v>46092.0</v>
      </c>
      <c r="O973" s="27">
        <f>SUMIF(inventory_snapshot!$B:$B,H973,inventory_snapshot!$E:$E)</f>
        <v>2007</v>
      </c>
      <c r="P973" s="32" t="str">
        <f t="shared" si="2"/>
        <v>OK</v>
      </c>
      <c r="Q973" s="32" t="str">
        <f t="shared" si="3"/>
        <v>OK</v>
      </c>
      <c r="R973" s="32" t="str">
        <f t="shared" si="4"/>
        <v>OK</v>
      </c>
      <c r="S973" s="32" t="str">
        <f t="shared" si="5"/>
        <v>Medium</v>
      </c>
    </row>
    <row r="974" ht="15.75" customHeight="1">
      <c r="A974" s="17" t="s">
        <v>1176</v>
      </c>
      <c r="B974" s="18">
        <v>46128.0</v>
      </c>
      <c r="C974" s="17" t="s">
        <v>1129</v>
      </c>
      <c r="D974" s="19" t="str">
        <f>IFERROR(VLOOKUP(C974,customer_lookup!$A:$E,2,FALSE),"")</f>
        <v>NY Account 0023</v>
      </c>
      <c r="E974" s="19" t="str">
        <f>IFERROR(VLOOKUP(C974,customer_lookup!$A:$E,3,FALSE),"")</f>
        <v>NY</v>
      </c>
      <c r="F974" s="20" t="str">
        <f>IFERROR(VLOOKUP(C974,customer_lookup!$A:$E,5,FALSE),"")</f>
        <v>Taylor</v>
      </c>
      <c r="G974" s="17" t="s">
        <v>63</v>
      </c>
      <c r="H974" s="17" t="s">
        <v>64</v>
      </c>
      <c r="I974" s="19" t="str">
        <f>IFERROR(VLOOKUP(H974,product_lookup!$A:$D,2,FALSE),"")</f>
        <v>Cranberry Sparkling Beverage</v>
      </c>
      <c r="J974" s="21">
        <v>36.0</v>
      </c>
      <c r="K974" s="22">
        <v>8.21</v>
      </c>
      <c r="L974" s="23">
        <f t="shared" si="1"/>
        <v>295.56</v>
      </c>
      <c r="M974" s="17" t="s">
        <v>97</v>
      </c>
      <c r="N974" s="18">
        <v>46131.0</v>
      </c>
      <c r="O974" s="19">
        <f>SUMIF(inventory_snapshot!$B:$B,H974,inventory_snapshot!$E:$E)</f>
        <v>1152</v>
      </c>
      <c r="P974" s="24" t="str">
        <f t="shared" si="2"/>
        <v>OK</v>
      </c>
      <c r="Q974" s="24" t="str">
        <f t="shared" si="3"/>
        <v>OK</v>
      </c>
      <c r="R974" s="24" t="str">
        <f t="shared" si="4"/>
        <v>OK</v>
      </c>
      <c r="S974" s="24" t="str">
        <f t="shared" si="5"/>
        <v>Small</v>
      </c>
    </row>
    <row r="975" ht="15.75" customHeight="1">
      <c r="A975" s="25" t="s">
        <v>1177</v>
      </c>
      <c r="B975" s="26">
        <v>46076.0</v>
      </c>
      <c r="C975" s="25" t="s">
        <v>1126</v>
      </c>
      <c r="D975" s="27" t="str">
        <f>IFERROR(VLOOKUP(C975,customer_lookup!$A:$E,2,FALSE),"")</f>
        <v>CA Account 0087</v>
      </c>
      <c r="E975" s="27" t="str">
        <f>IFERROR(VLOOKUP(C975,customer_lookup!$A:$E,3,FALSE),"")</f>
        <v>CA</v>
      </c>
      <c r="F975" s="28" t="str">
        <f>IFERROR(VLOOKUP(C975,customer_lookup!$A:$E,5,FALSE),"")</f>
        <v>Taylor</v>
      </c>
      <c r="G975" s="25" t="s">
        <v>63</v>
      </c>
      <c r="H975" s="25" t="s">
        <v>162</v>
      </c>
      <c r="I975" s="27" t="str">
        <f>IFERROR(VLOOKUP(H975,product_lookup!$A:$D,2,FALSE),"")</f>
        <v>Marionberry THC Gummies</v>
      </c>
      <c r="J975" s="29">
        <v>18.0</v>
      </c>
      <c r="K975" s="30">
        <v>10.06</v>
      </c>
      <c r="L975" s="31">
        <f t="shared" si="1"/>
        <v>181.08</v>
      </c>
      <c r="M975" s="25" t="s">
        <v>97</v>
      </c>
      <c r="N975" s="26">
        <v>46081.0</v>
      </c>
      <c r="O975" s="27">
        <f>SUMIF(inventory_snapshot!$B:$B,H975,inventory_snapshot!$E:$E)</f>
        <v>1599</v>
      </c>
      <c r="P975" s="32" t="str">
        <f t="shared" si="2"/>
        <v>OK</v>
      </c>
      <c r="Q975" s="32" t="str">
        <f t="shared" si="3"/>
        <v>OK</v>
      </c>
      <c r="R975" s="32" t="str">
        <f t="shared" si="4"/>
        <v>OK</v>
      </c>
      <c r="S975" s="32" t="str">
        <f t="shared" si="5"/>
        <v>Small</v>
      </c>
    </row>
    <row r="976" ht="15.75" customHeight="1">
      <c r="A976" s="17" t="s">
        <v>1178</v>
      </c>
      <c r="B976" s="18">
        <v>46028.0</v>
      </c>
      <c r="C976" s="17" t="s">
        <v>1133</v>
      </c>
      <c r="D976" s="19" t="str">
        <f>IFERROR(VLOOKUP(C976,customer_lookup!$A:$E,2,FALSE),"")</f>
        <v>CA Account 0015</v>
      </c>
      <c r="E976" s="19" t="str">
        <f>IFERROR(VLOOKUP(C976,customer_lookup!$A:$E,3,FALSE),"")</f>
        <v>CA</v>
      </c>
      <c r="F976" s="20" t="str">
        <f>IFERROR(VLOOKUP(C976,customer_lookup!$A:$E,5,FALSE),"")</f>
        <v>Taylor</v>
      </c>
      <c r="G976" s="17" t="s">
        <v>63</v>
      </c>
      <c r="H976" s="17" t="s">
        <v>90</v>
      </c>
      <c r="I976" s="19" t="str">
        <f>IFERROR(VLOOKUP(H976,product_lookup!$A:$D,2,FALSE),"")</f>
        <v>Blackberry Sparkling Beverage</v>
      </c>
      <c r="J976" s="21">
        <v>60.0</v>
      </c>
      <c r="K976" s="22">
        <v>7.28</v>
      </c>
      <c r="L976" s="23">
        <f t="shared" si="1"/>
        <v>436.8</v>
      </c>
      <c r="M976" s="17" t="s">
        <v>65</v>
      </c>
      <c r="N976" s="18">
        <v>46036.0</v>
      </c>
      <c r="O976" s="19">
        <f>SUMIF(inventory_snapshot!$B:$B,H976,inventory_snapshot!$E:$E)</f>
        <v>1292</v>
      </c>
      <c r="P976" s="24" t="str">
        <f t="shared" si="2"/>
        <v>OK</v>
      </c>
      <c r="Q976" s="24" t="str">
        <f t="shared" si="3"/>
        <v>OK</v>
      </c>
      <c r="R976" s="24" t="str">
        <f t="shared" si="4"/>
        <v>OK</v>
      </c>
      <c r="S976" s="24" t="str">
        <f t="shared" si="5"/>
        <v>Small</v>
      </c>
    </row>
    <row r="977" ht="15.75" customHeight="1">
      <c r="A977" s="25" t="s">
        <v>1179</v>
      </c>
      <c r="B977" s="26">
        <v>46050.0</v>
      </c>
      <c r="C977" s="25" t="s">
        <v>1154</v>
      </c>
      <c r="D977" s="27" t="str">
        <f>IFERROR(VLOOKUP(C977,customer_lookup!$A:$E,2,FALSE),"")</f>
        <v>OR Account 0085</v>
      </c>
      <c r="E977" s="27" t="str">
        <f>IFERROR(VLOOKUP(C977,customer_lookup!$A:$E,3,FALSE),"")</f>
        <v>OR</v>
      </c>
      <c r="F977" s="28" t="str">
        <f>IFERROR(VLOOKUP(C977,customer_lookup!$A:$E,5,FALSE),"")</f>
        <v>Taylor</v>
      </c>
      <c r="G977" s="25" t="s">
        <v>67</v>
      </c>
      <c r="H977" s="25" t="s">
        <v>64</v>
      </c>
      <c r="I977" s="27" t="str">
        <f>IFERROR(VLOOKUP(H977,product_lookup!$A:$D,2,FALSE),"")</f>
        <v>Cranberry Sparkling Beverage</v>
      </c>
      <c r="J977" s="29">
        <v>96.0</v>
      </c>
      <c r="K977" s="30">
        <v>8.52</v>
      </c>
      <c r="L977" s="31">
        <f t="shared" si="1"/>
        <v>817.92</v>
      </c>
      <c r="M977" s="25" t="s">
        <v>100</v>
      </c>
      <c r="N977" s="26">
        <v>46053.0</v>
      </c>
      <c r="O977" s="27">
        <f>SUMIF(inventory_snapshot!$B:$B,H977,inventory_snapshot!$E:$E)</f>
        <v>1152</v>
      </c>
      <c r="P977" s="32" t="str">
        <f t="shared" si="2"/>
        <v>OK</v>
      </c>
      <c r="Q977" s="32" t="str">
        <f t="shared" si="3"/>
        <v>OK</v>
      </c>
      <c r="R977" s="32" t="str">
        <f t="shared" si="4"/>
        <v>OK</v>
      </c>
      <c r="S977" s="32" t="str">
        <f t="shared" si="5"/>
        <v>Medium</v>
      </c>
    </row>
    <row r="978" ht="15.75" customHeight="1">
      <c r="A978" s="17" t="s">
        <v>1180</v>
      </c>
      <c r="B978" s="18">
        <v>46065.0</v>
      </c>
      <c r="C978" s="17" t="s">
        <v>1154</v>
      </c>
      <c r="D978" s="19" t="str">
        <f>IFERROR(VLOOKUP(C978,customer_lookup!$A:$E,2,FALSE),"")</f>
        <v>OR Account 0085</v>
      </c>
      <c r="E978" s="19" t="str">
        <f>IFERROR(VLOOKUP(C978,customer_lookup!$A:$E,3,FALSE),"")</f>
        <v>OR</v>
      </c>
      <c r="F978" s="20" t="str">
        <f>IFERROR(VLOOKUP(C978,customer_lookup!$A:$E,5,FALSE),"")</f>
        <v>Taylor</v>
      </c>
      <c r="G978" s="17" t="s">
        <v>63</v>
      </c>
      <c r="H978" s="17" t="s">
        <v>156</v>
      </c>
      <c r="I978" s="19" t="str">
        <f>IFERROR(VLOOKUP(H978,product_lookup!$A:$D,2,FALSE),"")</f>
        <v>Blood Orange 1:1 Gummies</v>
      </c>
      <c r="J978" s="21">
        <v>6.0</v>
      </c>
      <c r="K978" s="22">
        <v>10.31</v>
      </c>
      <c r="L978" s="23">
        <f t="shared" si="1"/>
        <v>61.86</v>
      </c>
      <c r="M978" s="17" t="s">
        <v>93</v>
      </c>
      <c r="N978" s="18">
        <v>46075.0</v>
      </c>
      <c r="O978" s="19">
        <f>SUMIF(inventory_snapshot!$B:$B,H978,inventory_snapshot!$E:$E)</f>
        <v>1589</v>
      </c>
      <c r="P978" s="24" t="str">
        <f t="shared" si="2"/>
        <v>OK</v>
      </c>
      <c r="Q978" s="24" t="str">
        <f t="shared" si="3"/>
        <v>OK</v>
      </c>
      <c r="R978" s="24" t="str">
        <f t="shared" si="4"/>
        <v>OK</v>
      </c>
      <c r="S978" s="24" t="str">
        <f t="shared" si="5"/>
        <v>Small</v>
      </c>
    </row>
    <row r="979" ht="15.75" customHeight="1">
      <c r="A979" s="25" t="s">
        <v>1181</v>
      </c>
      <c r="B979" s="26">
        <v>46042.0</v>
      </c>
      <c r="C979" s="25" t="s">
        <v>1131</v>
      </c>
      <c r="D979" s="27" t="str">
        <f>IFERROR(VLOOKUP(C979,customer_lookup!$A:$E,2,FALSE),"")</f>
        <v>WA Account 0062</v>
      </c>
      <c r="E979" s="27" t="str">
        <f>IFERROR(VLOOKUP(C979,customer_lookup!$A:$E,3,FALSE),"")</f>
        <v>WA</v>
      </c>
      <c r="F979" s="28" t="str">
        <f>IFERROR(VLOOKUP(C979,customer_lookup!$A:$E,5,FALSE),"")</f>
        <v>Taylor</v>
      </c>
      <c r="G979" s="25" t="s">
        <v>63</v>
      </c>
      <c r="H979" s="25" t="s">
        <v>102</v>
      </c>
      <c r="I979" s="27" t="str">
        <f>IFERROR(VLOOKUP(H979,product_lookup!$A:$D,2,FALSE),"")</f>
        <v>Pomegranate 1:1 Gummies</v>
      </c>
      <c r="J979" s="29">
        <v>18.0</v>
      </c>
      <c r="K979" s="30">
        <v>11.41</v>
      </c>
      <c r="L979" s="31">
        <f t="shared" si="1"/>
        <v>205.38</v>
      </c>
      <c r="M979" s="25" t="s">
        <v>97</v>
      </c>
      <c r="N979" s="26">
        <v>46049.0</v>
      </c>
      <c r="O979" s="27">
        <f>SUMIF(inventory_snapshot!$B:$B,H979,inventory_snapshot!$E:$E)</f>
        <v>1493</v>
      </c>
      <c r="P979" s="32" t="str">
        <f t="shared" si="2"/>
        <v>OK</v>
      </c>
      <c r="Q979" s="32" t="str">
        <f t="shared" si="3"/>
        <v>OK</v>
      </c>
      <c r="R979" s="32" t="str">
        <f t="shared" si="4"/>
        <v>OK</v>
      </c>
      <c r="S979" s="32" t="str">
        <f t="shared" si="5"/>
        <v>Small</v>
      </c>
    </row>
    <row r="980" ht="15.75" customHeight="1">
      <c r="A980" s="17" t="s">
        <v>1182</v>
      </c>
      <c r="B980" s="18">
        <v>46112.0</v>
      </c>
      <c r="C980" s="17" t="s">
        <v>1133</v>
      </c>
      <c r="D980" s="19" t="str">
        <f>IFERROR(VLOOKUP(C980,customer_lookup!$A:$E,2,FALSE),"")</f>
        <v>CA Account 0015</v>
      </c>
      <c r="E980" s="19" t="str">
        <f>IFERROR(VLOOKUP(C980,customer_lookup!$A:$E,3,FALSE),"")</f>
        <v>CA</v>
      </c>
      <c r="F980" s="20" t="str">
        <f>IFERROR(VLOOKUP(C980,customer_lookup!$A:$E,5,FALSE),"")</f>
        <v>Taylor</v>
      </c>
      <c r="G980" s="17" t="s">
        <v>63</v>
      </c>
      <c r="H980" s="17" t="s">
        <v>156</v>
      </c>
      <c r="I980" s="19" t="str">
        <f>IFERROR(VLOOKUP(H980,product_lookup!$A:$D,2,FALSE),"")</f>
        <v>Blood Orange 1:1 Gummies</v>
      </c>
      <c r="J980" s="21">
        <v>24.0</v>
      </c>
      <c r="K980" s="22">
        <v>10.72</v>
      </c>
      <c r="L980" s="23">
        <f t="shared" si="1"/>
        <v>257.28</v>
      </c>
      <c r="M980" s="17" t="s">
        <v>97</v>
      </c>
      <c r="N980" s="18">
        <v>46116.0</v>
      </c>
      <c r="O980" s="19">
        <f>SUMIF(inventory_snapshot!$B:$B,H980,inventory_snapshot!$E:$E)</f>
        <v>1589</v>
      </c>
      <c r="P980" s="24" t="str">
        <f t="shared" si="2"/>
        <v>OK</v>
      </c>
      <c r="Q980" s="24" t="str">
        <f t="shared" si="3"/>
        <v>OK</v>
      </c>
      <c r="R980" s="24" t="str">
        <f t="shared" si="4"/>
        <v>OK</v>
      </c>
      <c r="S980" s="24" t="str">
        <f t="shared" si="5"/>
        <v>Small</v>
      </c>
    </row>
    <row r="981" ht="15.75" customHeight="1">
      <c r="A981" s="25" t="s">
        <v>1183</v>
      </c>
      <c r="B981" s="26">
        <v>46024.0</v>
      </c>
      <c r="C981" s="25" t="s">
        <v>1124</v>
      </c>
      <c r="D981" s="27" t="str">
        <f>IFERROR(VLOOKUP(C981,customer_lookup!$A:$E,2,FALSE),"")</f>
        <v>IL Account 0007</v>
      </c>
      <c r="E981" s="27" t="str">
        <f>IFERROR(VLOOKUP(C981,customer_lookup!$A:$E,3,FALSE),"")</f>
        <v>IL</v>
      </c>
      <c r="F981" s="28" t="str">
        <f>IFERROR(VLOOKUP(C981,customer_lookup!$A:$E,5,FALSE),"")</f>
        <v>Taylor</v>
      </c>
      <c r="G981" s="25" t="s">
        <v>89</v>
      </c>
      <c r="H981" s="25" t="s">
        <v>92</v>
      </c>
      <c r="I981" s="27" t="str">
        <f>IFERROR(VLOOKUP(H981,product_lookup!$A:$D,2,FALSE),"")</f>
        <v>Raspberry THC Gummies</v>
      </c>
      <c r="J981" s="29">
        <v>12.0</v>
      </c>
      <c r="K981" s="30">
        <v>10.77</v>
      </c>
      <c r="L981" s="31">
        <f t="shared" si="1"/>
        <v>129.24</v>
      </c>
      <c r="M981" s="25" t="s">
        <v>65</v>
      </c>
      <c r="N981" s="26">
        <v>46032.0</v>
      </c>
      <c r="O981" s="27">
        <f>SUMIF(inventory_snapshot!$B:$B,H981,inventory_snapshot!$E:$E)</f>
        <v>1417</v>
      </c>
      <c r="P981" s="32" t="str">
        <f t="shared" si="2"/>
        <v>OK</v>
      </c>
      <c r="Q981" s="32" t="str">
        <f t="shared" si="3"/>
        <v>OK</v>
      </c>
      <c r="R981" s="32" t="str">
        <f t="shared" si="4"/>
        <v>OK</v>
      </c>
      <c r="S981" s="32" t="str">
        <f t="shared" si="5"/>
        <v>Small</v>
      </c>
    </row>
    <row r="982" ht="15.75" customHeight="1">
      <c r="A982" s="17" t="s">
        <v>1184</v>
      </c>
      <c r="B982" s="18">
        <v>46140.0</v>
      </c>
      <c r="C982" s="17" t="s">
        <v>1136</v>
      </c>
      <c r="D982" s="19" t="str">
        <f>IFERROR(VLOOKUP(C982,customer_lookup!$A:$E,2,FALSE),"")</f>
        <v>CO Account 0076</v>
      </c>
      <c r="E982" s="19" t="str">
        <f>IFERROR(VLOOKUP(C982,customer_lookup!$A:$E,3,FALSE),"")</f>
        <v>CO</v>
      </c>
      <c r="F982" s="20" t="str">
        <f>IFERROR(VLOOKUP(C982,customer_lookup!$A:$E,5,FALSE),"")</f>
        <v>Taylor</v>
      </c>
      <c r="G982" s="17" t="s">
        <v>63</v>
      </c>
      <c r="H982" s="17" t="s">
        <v>92</v>
      </c>
      <c r="I982" s="19" t="str">
        <f>IFERROR(VLOOKUP(H982,product_lookup!$A:$D,2,FALSE),"")</f>
        <v>Raspberry THC Gummies</v>
      </c>
      <c r="J982" s="21">
        <v>96.0</v>
      </c>
      <c r="K982" s="22">
        <v>11.24</v>
      </c>
      <c r="L982" s="23">
        <f t="shared" si="1"/>
        <v>1079.04</v>
      </c>
      <c r="M982" s="17" t="s">
        <v>65</v>
      </c>
      <c r="N982" s="18">
        <v>46145.0</v>
      </c>
      <c r="O982" s="19">
        <f>SUMIF(inventory_snapshot!$B:$B,H982,inventory_snapshot!$E:$E)</f>
        <v>1417</v>
      </c>
      <c r="P982" s="24" t="str">
        <f t="shared" si="2"/>
        <v>OK</v>
      </c>
      <c r="Q982" s="24" t="str">
        <f t="shared" si="3"/>
        <v>OK</v>
      </c>
      <c r="R982" s="24" t="str">
        <f t="shared" si="4"/>
        <v>OK</v>
      </c>
      <c r="S982" s="24" t="str">
        <f t="shared" si="5"/>
        <v>Large</v>
      </c>
    </row>
    <row r="983" ht="15.75" customHeight="1">
      <c r="A983" s="25" t="s">
        <v>1185</v>
      </c>
      <c r="B983" s="26">
        <v>46045.0</v>
      </c>
      <c r="C983" s="25" t="s">
        <v>1131</v>
      </c>
      <c r="D983" s="27" t="str">
        <f>IFERROR(VLOOKUP(C983,customer_lookup!$A:$E,2,FALSE),"")</f>
        <v>WA Account 0062</v>
      </c>
      <c r="E983" s="27" t="str">
        <f>IFERROR(VLOOKUP(C983,customer_lookup!$A:$E,3,FALSE),"")</f>
        <v>WA</v>
      </c>
      <c r="F983" s="28" t="str">
        <f>IFERROR(VLOOKUP(C983,customer_lookup!$A:$E,5,FALSE),"")</f>
        <v>Taylor</v>
      </c>
      <c r="G983" s="25" t="s">
        <v>67</v>
      </c>
      <c r="H983" s="25" t="s">
        <v>85</v>
      </c>
      <c r="I983" s="27" t="str">
        <f>IFERROR(VLOOKUP(H983,product_lookup!$A:$D,2,FALSE),"")</f>
        <v>Huckleberry THC Gummies</v>
      </c>
      <c r="J983" s="29">
        <v>24.0</v>
      </c>
      <c r="K983" s="30">
        <v>9.55</v>
      </c>
      <c r="L983" s="31">
        <f t="shared" si="1"/>
        <v>229.2</v>
      </c>
      <c r="M983" s="25" t="s">
        <v>65</v>
      </c>
      <c r="N983" s="26">
        <v>46053.0</v>
      </c>
      <c r="O983" s="27">
        <f>SUMIF(inventory_snapshot!$B:$B,H983,inventory_snapshot!$E:$E)</f>
        <v>1841</v>
      </c>
      <c r="P983" s="32" t="str">
        <f t="shared" si="2"/>
        <v>OK</v>
      </c>
      <c r="Q983" s="32" t="str">
        <f t="shared" si="3"/>
        <v>OK</v>
      </c>
      <c r="R983" s="32" t="str">
        <f t="shared" si="4"/>
        <v>OK</v>
      </c>
      <c r="S983" s="32" t="str">
        <f t="shared" si="5"/>
        <v>Small</v>
      </c>
    </row>
    <row r="984" ht="15.75" customHeight="1">
      <c r="A984" s="17" t="s">
        <v>1186</v>
      </c>
      <c r="B984" s="18">
        <v>46068.0</v>
      </c>
      <c r="C984" s="17" t="s">
        <v>1124</v>
      </c>
      <c r="D984" s="19" t="str">
        <f>IFERROR(VLOOKUP(C984,customer_lookup!$A:$E,2,FALSE),"")</f>
        <v>IL Account 0007</v>
      </c>
      <c r="E984" s="19" t="str">
        <f>IFERROR(VLOOKUP(C984,customer_lookup!$A:$E,3,FALSE),"")</f>
        <v>IL</v>
      </c>
      <c r="F984" s="20" t="str">
        <f>IFERROR(VLOOKUP(C984,customer_lookup!$A:$E,5,FALSE),"")</f>
        <v>Taylor</v>
      </c>
      <c r="G984" s="17" t="s">
        <v>89</v>
      </c>
      <c r="H984" s="17" t="s">
        <v>156</v>
      </c>
      <c r="I984" s="19" t="str">
        <f>IFERROR(VLOOKUP(H984,product_lookup!$A:$D,2,FALSE),"")</f>
        <v>Blood Orange 1:1 Gummies</v>
      </c>
      <c r="J984" s="21">
        <v>30.0</v>
      </c>
      <c r="K984" s="22">
        <v>9.71</v>
      </c>
      <c r="L984" s="23">
        <f t="shared" si="1"/>
        <v>291.3</v>
      </c>
      <c r="M984" s="17" t="s">
        <v>97</v>
      </c>
      <c r="N984" s="18">
        <v>46077.0</v>
      </c>
      <c r="O984" s="19">
        <f>SUMIF(inventory_snapshot!$B:$B,H984,inventory_snapshot!$E:$E)</f>
        <v>1589</v>
      </c>
      <c r="P984" s="24" t="str">
        <f t="shared" si="2"/>
        <v>OK</v>
      </c>
      <c r="Q984" s="24" t="str">
        <f t="shared" si="3"/>
        <v>OK</v>
      </c>
      <c r="R984" s="24" t="str">
        <f t="shared" si="4"/>
        <v>OK</v>
      </c>
      <c r="S984" s="24" t="str">
        <f t="shared" si="5"/>
        <v>Small</v>
      </c>
    </row>
    <row r="985" ht="15.75" customHeight="1">
      <c r="A985" s="25" t="s">
        <v>1187</v>
      </c>
      <c r="B985" s="26">
        <v>46095.0</v>
      </c>
      <c r="C985" s="25" t="s">
        <v>1133</v>
      </c>
      <c r="D985" s="27" t="str">
        <f>IFERROR(VLOOKUP(C985,customer_lookup!$A:$E,2,FALSE),"")</f>
        <v>CA Account 0015</v>
      </c>
      <c r="E985" s="27" t="str">
        <f>IFERROR(VLOOKUP(C985,customer_lookup!$A:$E,3,FALSE),"")</f>
        <v>CA</v>
      </c>
      <c r="F985" s="28" t="str">
        <f>IFERROR(VLOOKUP(C985,customer_lookup!$A:$E,5,FALSE),"")</f>
        <v>Taylor</v>
      </c>
      <c r="G985" s="25" t="s">
        <v>67</v>
      </c>
      <c r="H985" s="25" t="s">
        <v>115</v>
      </c>
      <c r="I985" s="27" t="str">
        <f>IFERROR(VLOOKUP(H985,product_lookup!$A:$D,2,FALSE),"")</f>
        <v>Pear 1:1 Gummies</v>
      </c>
      <c r="J985" s="29">
        <v>72.0</v>
      </c>
      <c r="K985" s="30">
        <v>11.24</v>
      </c>
      <c r="L985" s="31">
        <f t="shared" si="1"/>
        <v>809.28</v>
      </c>
      <c r="M985" s="25" t="s">
        <v>65</v>
      </c>
      <c r="N985" s="26">
        <v>46105.0</v>
      </c>
      <c r="O985" s="27">
        <f>SUMIF(inventory_snapshot!$B:$B,H985,inventory_snapshot!$E:$E)</f>
        <v>981</v>
      </c>
      <c r="P985" s="32" t="str">
        <f t="shared" si="2"/>
        <v>OK</v>
      </c>
      <c r="Q985" s="32" t="str">
        <f t="shared" si="3"/>
        <v>OK</v>
      </c>
      <c r="R985" s="32" t="str">
        <f t="shared" si="4"/>
        <v>OK</v>
      </c>
      <c r="S985" s="32" t="str">
        <f t="shared" si="5"/>
        <v>Medium</v>
      </c>
    </row>
    <row r="986" ht="15.75" customHeight="1">
      <c r="A986" s="17" t="s">
        <v>1188</v>
      </c>
      <c r="B986" s="18">
        <v>46098.0</v>
      </c>
      <c r="C986" s="17" t="s">
        <v>1129</v>
      </c>
      <c r="D986" s="19" t="str">
        <f>IFERROR(VLOOKUP(C986,customer_lookup!$A:$E,2,FALSE),"")</f>
        <v>NY Account 0023</v>
      </c>
      <c r="E986" s="19" t="str">
        <f>IFERROR(VLOOKUP(C986,customer_lookup!$A:$E,3,FALSE),"")</f>
        <v>NY</v>
      </c>
      <c r="F986" s="20" t="str">
        <f>IFERROR(VLOOKUP(C986,customer_lookup!$A:$E,5,FALSE),"")</f>
        <v>Taylor</v>
      </c>
      <c r="G986" s="17" t="s">
        <v>89</v>
      </c>
      <c r="H986" s="17" t="s">
        <v>110</v>
      </c>
      <c r="I986" s="19" t="str">
        <f>IFERROR(VLOOKUP(H986,product_lookup!$A:$D,2,FALSE),"")</f>
        <v>Elderberry 2:1 Gummies</v>
      </c>
      <c r="J986" s="21">
        <v>18.0</v>
      </c>
      <c r="K986" s="22">
        <v>11.54</v>
      </c>
      <c r="L986" s="23">
        <f t="shared" si="1"/>
        <v>207.72</v>
      </c>
      <c r="M986" s="17" t="s">
        <v>97</v>
      </c>
      <c r="N986" s="18">
        <v>46102.0</v>
      </c>
      <c r="O986" s="19">
        <f>SUMIF(inventory_snapshot!$B:$B,H986,inventory_snapshot!$E:$E)</f>
        <v>1633</v>
      </c>
      <c r="P986" s="24" t="str">
        <f t="shared" si="2"/>
        <v>OK</v>
      </c>
      <c r="Q986" s="24" t="str">
        <f t="shared" si="3"/>
        <v>OK</v>
      </c>
      <c r="R986" s="24" t="str">
        <f t="shared" si="4"/>
        <v>OK</v>
      </c>
      <c r="S986" s="24" t="str">
        <f t="shared" si="5"/>
        <v>Small</v>
      </c>
    </row>
    <row r="987" ht="15.75" customHeight="1">
      <c r="A987" s="25" t="s">
        <v>1189</v>
      </c>
      <c r="B987" s="26">
        <v>46089.0</v>
      </c>
      <c r="C987" s="25" t="s">
        <v>1124</v>
      </c>
      <c r="D987" s="27" t="str">
        <f>IFERROR(VLOOKUP(C987,customer_lookup!$A:$E,2,FALSE),"")</f>
        <v>IL Account 0007</v>
      </c>
      <c r="E987" s="27" t="str">
        <f>IFERROR(VLOOKUP(C987,customer_lookup!$A:$E,3,FALSE),"")</f>
        <v>IL</v>
      </c>
      <c r="F987" s="28" t="str">
        <f>IFERROR(VLOOKUP(C987,customer_lookup!$A:$E,5,FALSE),"")</f>
        <v>Taylor</v>
      </c>
      <c r="G987" s="25" t="s">
        <v>63</v>
      </c>
      <c r="H987" s="25" t="s">
        <v>92</v>
      </c>
      <c r="I987" s="27" t="str">
        <f>IFERROR(VLOOKUP(H987,product_lookup!$A:$D,2,FALSE),"")</f>
        <v>Raspberry THC Gummies</v>
      </c>
      <c r="J987" s="29">
        <v>24.0</v>
      </c>
      <c r="K987" s="30">
        <v>11.43</v>
      </c>
      <c r="L987" s="31">
        <f t="shared" si="1"/>
        <v>274.32</v>
      </c>
      <c r="M987" s="25" t="s">
        <v>65</v>
      </c>
      <c r="N987" s="26">
        <v>46091.0</v>
      </c>
      <c r="O987" s="27">
        <f>SUMIF(inventory_snapshot!$B:$B,H987,inventory_snapshot!$E:$E)</f>
        <v>1417</v>
      </c>
      <c r="P987" s="32" t="str">
        <f t="shared" si="2"/>
        <v>OK</v>
      </c>
      <c r="Q987" s="32" t="str">
        <f t="shared" si="3"/>
        <v>OK</v>
      </c>
      <c r="R987" s="32" t="str">
        <f t="shared" si="4"/>
        <v>OK</v>
      </c>
      <c r="S987" s="32" t="str">
        <f t="shared" si="5"/>
        <v>Small</v>
      </c>
    </row>
    <row r="988" ht="15.75" customHeight="1">
      <c r="A988" s="17" t="s">
        <v>1190</v>
      </c>
      <c r="B988" s="18">
        <v>46131.0</v>
      </c>
      <c r="C988" s="17" t="s">
        <v>1129</v>
      </c>
      <c r="D988" s="19" t="str">
        <f>IFERROR(VLOOKUP(C988,customer_lookup!$A:$E,2,FALSE),"")</f>
        <v>NY Account 0023</v>
      </c>
      <c r="E988" s="19" t="str">
        <f>IFERROR(VLOOKUP(C988,customer_lookup!$A:$E,3,FALSE),"")</f>
        <v>NY</v>
      </c>
      <c r="F988" s="20" t="str">
        <f>IFERROR(VLOOKUP(C988,customer_lookup!$A:$E,5,FALSE),"")</f>
        <v>Taylor</v>
      </c>
      <c r="G988" s="17" t="s">
        <v>63</v>
      </c>
      <c r="H988" s="17" t="s">
        <v>92</v>
      </c>
      <c r="I988" s="19" t="str">
        <f>IFERROR(VLOOKUP(H988,product_lookup!$A:$D,2,FALSE),"")</f>
        <v>Raspberry THC Gummies</v>
      </c>
      <c r="J988" s="21">
        <v>72.0</v>
      </c>
      <c r="K988" s="22">
        <v>9.97</v>
      </c>
      <c r="L988" s="23">
        <f t="shared" si="1"/>
        <v>717.84</v>
      </c>
      <c r="M988" s="17" t="s">
        <v>97</v>
      </c>
      <c r="N988" s="18">
        <v>46136.0</v>
      </c>
      <c r="O988" s="19">
        <f>SUMIF(inventory_snapshot!$B:$B,H988,inventory_snapshot!$E:$E)</f>
        <v>1417</v>
      </c>
      <c r="P988" s="24" t="str">
        <f t="shared" si="2"/>
        <v>OK</v>
      </c>
      <c r="Q988" s="24" t="str">
        <f t="shared" si="3"/>
        <v>OK</v>
      </c>
      <c r="R988" s="24" t="str">
        <f t="shared" si="4"/>
        <v>OK</v>
      </c>
      <c r="S988" s="24" t="str">
        <f t="shared" si="5"/>
        <v>Medium</v>
      </c>
    </row>
    <row r="989" ht="15.75" customHeight="1">
      <c r="A989" s="25" t="s">
        <v>1191</v>
      </c>
      <c r="B989" s="26">
        <v>46071.0</v>
      </c>
      <c r="C989" s="25" t="s">
        <v>1126</v>
      </c>
      <c r="D989" s="27" t="str">
        <f>IFERROR(VLOOKUP(C989,customer_lookup!$A:$E,2,FALSE),"")</f>
        <v>CA Account 0087</v>
      </c>
      <c r="E989" s="27" t="str">
        <f>IFERROR(VLOOKUP(C989,customer_lookup!$A:$E,3,FALSE),"")</f>
        <v>CA</v>
      </c>
      <c r="F989" s="28" t="str">
        <f>IFERROR(VLOOKUP(C989,customer_lookup!$A:$E,5,FALSE),"")</f>
        <v>Taylor</v>
      </c>
      <c r="G989" s="25" t="s">
        <v>89</v>
      </c>
      <c r="H989" s="25" t="s">
        <v>85</v>
      </c>
      <c r="I989" s="27" t="str">
        <f>IFERROR(VLOOKUP(H989,product_lookup!$A:$D,2,FALSE),"")</f>
        <v>Huckleberry THC Gummies</v>
      </c>
      <c r="J989" s="29">
        <v>120.0</v>
      </c>
      <c r="K989" s="30">
        <v>10.84</v>
      </c>
      <c r="L989" s="31">
        <f t="shared" si="1"/>
        <v>1300.8</v>
      </c>
      <c r="M989" s="25" t="s">
        <v>100</v>
      </c>
      <c r="N989" s="26">
        <v>46076.0</v>
      </c>
      <c r="O989" s="27">
        <f>SUMIF(inventory_snapshot!$B:$B,H989,inventory_snapshot!$E:$E)</f>
        <v>1841</v>
      </c>
      <c r="P989" s="32" t="str">
        <f t="shared" si="2"/>
        <v>OK</v>
      </c>
      <c r="Q989" s="32" t="str">
        <f t="shared" si="3"/>
        <v>OK</v>
      </c>
      <c r="R989" s="32" t="str">
        <f t="shared" si="4"/>
        <v>OK</v>
      </c>
      <c r="S989" s="32" t="str">
        <f t="shared" si="5"/>
        <v>Large</v>
      </c>
    </row>
    <row r="990" ht="15.75" customHeight="1">
      <c r="A990" s="17" t="s">
        <v>1192</v>
      </c>
      <c r="B990" s="18">
        <v>46132.0</v>
      </c>
      <c r="C990" s="17" t="s">
        <v>1136</v>
      </c>
      <c r="D990" s="19" t="str">
        <f>IFERROR(VLOOKUP(C990,customer_lookup!$A:$E,2,FALSE),"")</f>
        <v>CO Account 0076</v>
      </c>
      <c r="E990" s="19" t="str">
        <f>IFERROR(VLOOKUP(C990,customer_lookup!$A:$E,3,FALSE),"")</f>
        <v>CO</v>
      </c>
      <c r="F990" s="20" t="str">
        <f>IFERROR(VLOOKUP(C990,customer_lookup!$A:$E,5,FALSE),"")</f>
        <v>Taylor</v>
      </c>
      <c r="G990" s="17" t="s">
        <v>63</v>
      </c>
      <c r="H990" s="17" t="s">
        <v>162</v>
      </c>
      <c r="I990" s="19" t="str">
        <f>IFERROR(VLOOKUP(H990,product_lookup!$A:$D,2,FALSE),"")</f>
        <v>Marionberry THC Gummies</v>
      </c>
      <c r="J990" s="21">
        <v>72.0</v>
      </c>
      <c r="K990" s="22">
        <v>9.83</v>
      </c>
      <c r="L990" s="23">
        <f t="shared" si="1"/>
        <v>707.76</v>
      </c>
      <c r="M990" s="17" t="s">
        <v>97</v>
      </c>
      <c r="N990" s="18">
        <v>46137.0</v>
      </c>
      <c r="O990" s="19">
        <f>SUMIF(inventory_snapshot!$B:$B,H990,inventory_snapshot!$E:$E)</f>
        <v>1599</v>
      </c>
      <c r="P990" s="24" t="str">
        <f t="shared" si="2"/>
        <v>OK</v>
      </c>
      <c r="Q990" s="24" t="str">
        <f t="shared" si="3"/>
        <v>OK</v>
      </c>
      <c r="R990" s="24" t="str">
        <f t="shared" si="4"/>
        <v>OK</v>
      </c>
      <c r="S990" s="24" t="str">
        <f t="shared" si="5"/>
        <v>Medium</v>
      </c>
    </row>
    <row r="991" ht="15.75" customHeight="1">
      <c r="A991" s="25" t="s">
        <v>1193</v>
      </c>
      <c r="B991" s="26">
        <v>46023.0</v>
      </c>
      <c r="C991" s="25" t="s">
        <v>1124</v>
      </c>
      <c r="D991" s="27" t="str">
        <f>IFERROR(VLOOKUP(C991,customer_lookup!$A:$E,2,FALSE),"")</f>
        <v>IL Account 0007</v>
      </c>
      <c r="E991" s="27" t="str">
        <f>IFERROR(VLOOKUP(C991,customer_lookup!$A:$E,3,FALSE),"")</f>
        <v>IL</v>
      </c>
      <c r="F991" s="28" t="str">
        <f>IFERROR(VLOOKUP(C991,customer_lookup!$A:$E,5,FALSE),"")</f>
        <v>Taylor</v>
      </c>
      <c r="G991" s="25" t="s">
        <v>89</v>
      </c>
      <c r="H991" s="25" t="s">
        <v>71</v>
      </c>
      <c r="I991" s="27" t="str">
        <f>IFERROR(VLOOKUP(H991,product_lookup!$A:$D,2,FALSE),"")</f>
        <v>Pineapple Sparkling Beverage</v>
      </c>
      <c r="J991" s="29">
        <v>6.0</v>
      </c>
      <c r="K991" s="30">
        <v>8.17</v>
      </c>
      <c r="L991" s="31">
        <f t="shared" si="1"/>
        <v>49.02</v>
      </c>
      <c r="M991" s="25" t="s">
        <v>65</v>
      </c>
      <c r="N991" s="26">
        <v>46029.0</v>
      </c>
      <c r="O991" s="27">
        <f>SUMIF(inventory_snapshot!$B:$B,H991,inventory_snapshot!$E:$E)</f>
        <v>1145</v>
      </c>
      <c r="P991" s="32" t="str">
        <f t="shared" si="2"/>
        <v>OK</v>
      </c>
      <c r="Q991" s="32" t="str">
        <f t="shared" si="3"/>
        <v>OK</v>
      </c>
      <c r="R991" s="32" t="str">
        <f t="shared" si="4"/>
        <v>OK</v>
      </c>
      <c r="S991" s="32" t="str">
        <f t="shared" si="5"/>
        <v>Small</v>
      </c>
    </row>
    <row r="992" ht="15.75" customHeight="1">
      <c r="A992" s="17" t="s">
        <v>1194</v>
      </c>
      <c r="B992" s="18">
        <v>46093.0</v>
      </c>
      <c r="C992" s="17" t="s">
        <v>1129</v>
      </c>
      <c r="D992" s="19" t="str">
        <f>IFERROR(VLOOKUP(C992,customer_lookup!$A:$E,2,FALSE),"")</f>
        <v>NY Account 0023</v>
      </c>
      <c r="E992" s="19" t="str">
        <f>IFERROR(VLOOKUP(C992,customer_lookup!$A:$E,3,FALSE),"")</f>
        <v>NY</v>
      </c>
      <c r="F992" s="20" t="str">
        <f>IFERROR(VLOOKUP(C992,customer_lookup!$A:$E,5,FALSE),"")</f>
        <v>Taylor</v>
      </c>
      <c r="G992" s="17" t="s">
        <v>67</v>
      </c>
      <c r="H992" s="17" t="s">
        <v>64</v>
      </c>
      <c r="I992" s="19" t="str">
        <f>IFERROR(VLOOKUP(H992,product_lookup!$A:$D,2,FALSE),"")</f>
        <v>Cranberry Sparkling Beverage</v>
      </c>
      <c r="J992" s="21">
        <v>24.0</v>
      </c>
      <c r="K992" s="22">
        <v>7.34</v>
      </c>
      <c r="L992" s="23">
        <f t="shared" si="1"/>
        <v>176.16</v>
      </c>
      <c r="M992" s="17" t="s">
        <v>100</v>
      </c>
      <c r="N992" s="18">
        <v>46098.0</v>
      </c>
      <c r="O992" s="19">
        <f>SUMIF(inventory_snapshot!$B:$B,H992,inventory_snapshot!$E:$E)</f>
        <v>1152</v>
      </c>
      <c r="P992" s="24" t="str">
        <f t="shared" si="2"/>
        <v>OK</v>
      </c>
      <c r="Q992" s="24" t="str">
        <f t="shared" si="3"/>
        <v>OK</v>
      </c>
      <c r="R992" s="24" t="str">
        <f t="shared" si="4"/>
        <v>OK</v>
      </c>
      <c r="S992" s="24" t="str">
        <f t="shared" si="5"/>
        <v>Small</v>
      </c>
    </row>
    <row r="993" ht="15.75" customHeight="1">
      <c r="A993" s="25" t="s">
        <v>1195</v>
      </c>
      <c r="B993" s="26">
        <v>46024.0</v>
      </c>
      <c r="C993" s="25" t="s">
        <v>1154</v>
      </c>
      <c r="D993" s="27" t="str">
        <f>IFERROR(VLOOKUP(C993,customer_lookup!$A:$E,2,FALSE),"")</f>
        <v>OR Account 0085</v>
      </c>
      <c r="E993" s="27" t="str">
        <f>IFERROR(VLOOKUP(C993,customer_lookup!$A:$E,3,FALSE),"")</f>
        <v>OR</v>
      </c>
      <c r="F993" s="28" t="str">
        <f>IFERROR(VLOOKUP(C993,customer_lookup!$A:$E,5,FALSE),"")</f>
        <v>Taylor</v>
      </c>
      <c r="G993" s="25" t="s">
        <v>89</v>
      </c>
      <c r="H993" s="25" t="s">
        <v>154</v>
      </c>
      <c r="I993" s="27" t="str">
        <f>IFERROR(VLOOKUP(H993,product_lookup!$A:$D,2,FALSE),"")</f>
        <v>Kiwi 1:1 Gummies</v>
      </c>
      <c r="J993" s="29">
        <v>12.0</v>
      </c>
      <c r="K993" s="30">
        <v>11.33</v>
      </c>
      <c r="L993" s="31">
        <f t="shared" si="1"/>
        <v>135.96</v>
      </c>
      <c r="M993" s="25" t="s">
        <v>65</v>
      </c>
      <c r="N993" s="26">
        <v>46031.0</v>
      </c>
      <c r="O993" s="27">
        <f>SUMIF(inventory_snapshot!$B:$B,H993,inventory_snapshot!$E:$E)</f>
        <v>1136</v>
      </c>
      <c r="P993" s="32" t="str">
        <f t="shared" si="2"/>
        <v>OK</v>
      </c>
      <c r="Q993" s="32" t="str">
        <f t="shared" si="3"/>
        <v>OK</v>
      </c>
      <c r="R993" s="32" t="str">
        <f t="shared" si="4"/>
        <v>OK</v>
      </c>
      <c r="S993" s="32" t="str">
        <f t="shared" si="5"/>
        <v>Small</v>
      </c>
    </row>
    <row r="994" ht="15.75" customHeight="1">
      <c r="A994" s="17" t="s">
        <v>1196</v>
      </c>
      <c r="B994" s="18">
        <v>46024.0</v>
      </c>
      <c r="C994" s="17" t="s">
        <v>1126</v>
      </c>
      <c r="D994" s="19" t="str">
        <f>IFERROR(VLOOKUP(C994,customer_lookup!$A:$E,2,FALSE),"")</f>
        <v>CA Account 0087</v>
      </c>
      <c r="E994" s="19" t="str">
        <f>IFERROR(VLOOKUP(C994,customer_lookup!$A:$E,3,FALSE),"")</f>
        <v>CA</v>
      </c>
      <c r="F994" s="20" t="str">
        <f>IFERROR(VLOOKUP(C994,customer_lookup!$A:$E,5,FALSE),"")</f>
        <v>Taylor</v>
      </c>
      <c r="G994" s="17" t="s">
        <v>67</v>
      </c>
      <c r="H994" s="17" t="s">
        <v>78</v>
      </c>
      <c r="I994" s="19" t="str">
        <f>IFERROR(VLOOKUP(H994,product_lookup!$A:$D,2,FALSE),"")</f>
        <v>Grapefruit 1:1:1 Gummies</v>
      </c>
      <c r="J994" s="21">
        <v>6.0</v>
      </c>
      <c r="K994" s="22">
        <v>10.25</v>
      </c>
      <c r="L994" s="23">
        <f t="shared" si="1"/>
        <v>61.5</v>
      </c>
      <c r="M994" s="17" t="s">
        <v>93</v>
      </c>
      <c r="N994" s="18">
        <v>46025.0</v>
      </c>
      <c r="O994" s="19">
        <f>SUMIF(inventory_snapshot!$B:$B,H994,inventory_snapshot!$E:$E)</f>
        <v>1751</v>
      </c>
      <c r="P994" s="24" t="str">
        <f t="shared" si="2"/>
        <v>OK</v>
      </c>
      <c r="Q994" s="24" t="str">
        <f t="shared" si="3"/>
        <v>OK</v>
      </c>
      <c r="R994" s="24" t="str">
        <f t="shared" si="4"/>
        <v>OK</v>
      </c>
      <c r="S994" s="24" t="str">
        <f t="shared" si="5"/>
        <v>Small</v>
      </c>
    </row>
    <row r="995" ht="15.75" customHeight="1">
      <c r="A995" s="25" t="s">
        <v>1197</v>
      </c>
      <c r="B995" s="26">
        <v>46141.0</v>
      </c>
      <c r="C995" s="25" t="s">
        <v>1126</v>
      </c>
      <c r="D995" s="27" t="str">
        <f>IFERROR(VLOOKUP(C995,customer_lookup!$A:$E,2,FALSE),"")</f>
        <v>CA Account 0087</v>
      </c>
      <c r="E995" s="27" t="str">
        <f>IFERROR(VLOOKUP(C995,customer_lookup!$A:$E,3,FALSE),"")</f>
        <v>CA</v>
      </c>
      <c r="F995" s="28" t="str">
        <f>IFERROR(VLOOKUP(C995,customer_lookup!$A:$E,5,FALSE),"")</f>
        <v>Taylor</v>
      </c>
      <c r="G995" s="25" t="s">
        <v>63</v>
      </c>
      <c r="H995" s="25" t="s">
        <v>154</v>
      </c>
      <c r="I995" s="27" t="str">
        <f>IFERROR(VLOOKUP(H995,product_lookup!$A:$D,2,FALSE),"")</f>
        <v>Kiwi 1:1 Gummies</v>
      </c>
      <c r="J995" s="29">
        <v>6.0</v>
      </c>
      <c r="K995" s="30">
        <v>9.88</v>
      </c>
      <c r="L995" s="31">
        <f t="shared" si="1"/>
        <v>59.28</v>
      </c>
      <c r="M995" s="25" t="s">
        <v>93</v>
      </c>
      <c r="N995" s="26">
        <v>46142.0</v>
      </c>
      <c r="O995" s="27">
        <f>SUMIF(inventory_snapshot!$B:$B,H995,inventory_snapshot!$E:$E)</f>
        <v>1136</v>
      </c>
      <c r="P995" s="32" t="str">
        <f t="shared" si="2"/>
        <v>OK</v>
      </c>
      <c r="Q995" s="32" t="str">
        <f t="shared" si="3"/>
        <v>OK</v>
      </c>
      <c r="R995" s="32" t="str">
        <f t="shared" si="4"/>
        <v>OK</v>
      </c>
      <c r="S995" s="32" t="str">
        <f t="shared" si="5"/>
        <v>Small</v>
      </c>
    </row>
    <row r="996" ht="15.75" customHeight="1">
      <c r="A996" s="17" t="s">
        <v>1198</v>
      </c>
      <c r="B996" s="18">
        <v>46061.0</v>
      </c>
      <c r="C996" s="17" t="s">
        <v>1131</v>
      </c>
      <c r="D996" s="19" t="str">
        <f>IFERROR(VLOOKUP(C996,customer_lookup!$A:$E,2,FALSE),"")</f>
        <v>WA Account 0062</v>
      </c>
      <c r="E996" s="19" t="str">
        <f>IFERROR(VLOOKUP(C996,customer_lookup!$A:$E,3,FALSE),"")</f>
        <v>WA</v>
      </c>
      <c r="F996" s="20" t="str">
        <f>IFERROR(VLOOKUP(C996,customer_lookup!$A:$E,5,FALSE),"")</f>
        <v>Taylor</v>
      </c>
      <c r="G996" s="17" t="s">
        <v>67</v>
      </c>
      <c r="H996" s="17" t="s">
        <v>108</v>
      </c>
      <c r="I996" s="19" t="str">
        <f>IFERROR(VLOOKUP(H996,product_lookup!$A:$D,2,FALSE),"")</f>
        <v>Sour Tangerine THC Gummies</v>
      </c>
      <c r="J996" s="21">
        <v>96.0</v>
      </c>
      <c r="K996" s="22">
        <v>9.94</v>
      </c>
      <c r="L996" s="23">
        <f t="shared" si="1"/>
        <v>954.24</v>
      </c>
      <c r="M996" s="17" t="s">
        <v>97</v>
      </c>
      <c r="N996" s="18">
        <v>46070.0</v>
      </c>
      <c r="O996" s="19">
        <f>SUMIF(inventory_snapshot!$B:$B,H996,inventory_snapshot!$E:$E)</f>
        <v>1679</v>
      </c>
      <c r="P996" s="24" t="str">
        <f t="shared" si="2"/>
        <v>OK</v>
      </c>
      <c r="Q996" s="24" t="str">
        <f t="shared" si="3"/>
        <v>OK</v>
      </c>
      <c r="R996" s="24" t="str">
        <f t="shared" si="4"/>
        <v>OK</v>
      </c>
      <c r="S996" s="24" t="str">
        <f t="shared" si="5"/>
        <v>Medium</v>
      </c>
    </row>
    <row r="997" ht="15.75" customHeight="1">
      <c r="A997" s="25" t="s">
        <v>1199</v>
      </c>
      <c r="B997" s="26">
        <v>46093.0</v>
      </c>
      <c r="C997" s="25" t="s">
        <v>1126</v>
      </c>
      <c r="D997" s="27" t="str">
        <f>IFERROR(VLOOKUP(C997,customer_lookup!$A:$E,2,FALSE),"")</f>
        <v>CA Account 0087</v>
      </c>
      <c r="E997" s="27" t="str">
        <f>IFERROR(VLOOKUP(C997,customer_lookup!$A:$E,3,FALSE),"")</f>
        <v>CA</v>
      </c>
      <c r="F997" s="28" t="str">
        <f>IFERROR(VLOOKUP(C997,customer_lookup!$A:$E,5,FALSE),"")</f>
        <v>Taylor</v>
      </c>
      <c r="G997" s="25" t="s">
        <v>63</v>
      </c>
      <c r="H997" s="25" t="s">
        <v>81</v>
      </c>
      <c r="I997" s="27" t="str">
        <f>IFERROR(VLOOKUP(H997,product_lookup!$A:$D,2,FALSE),"")</f>
        <v>Lemon Sparkling Beverage</v>
      </c>
      <c r="J997" s="29">
        <v>48.0</v>
      </c>
      <c r="K997" s="30">
        <v>7.22</v>
      </c>
      <c r="L997" s="31">
        <f t="shared" si="1"/>
        <v>346.56</v>
      </c>
      <c r="M997" s="25" t="s">
        <v>97</v>
      </c>
      <c r="N997" s="26">
        <v>46102.0</v>
      </c>
      <c r="O997" s="27">
        <f>SUMIF(inventory_snapshot!$B:$B,H997,inventory_snapshot!$E:$E)</f>
        <v>1360</v>
      </c>
      <c r="P997" s="32" t="str">
        <f t="shared" si="2"/>
        <v>OK</v>
      </c>
      <c r="Q997" s="32" t="str">
        <f t="shared" si="3"/>
        <v>OK</v>
      </c>
      <c r="R997" s="32" t="str">
        <f t="shared" si="4"/>
        <v>OK</v>
      </c>
      <c r="S997" s="32" t="str">
        <f t="shared" si="5"/>
        <v>Small</v>
      </c>
    </row>
    <row r="998" ht="15.75" customHeight="1">
      <c r="A998" s="17" t="s">
        <v>169</v>
      </c>
      <c r="B998" s="18">
        <v>46112.0</v>
      </c>
      <c r="C998" s="17" t="s">
        <v>1126</v>
      </c>
      <c r="D998" s="19" t="str">
        <f>IFERROR(VLOOKUP(C998,customer_lookup!$A:$E,2,FALSE),"")</f>
        <v>CA Account 0087</v>
      </c>
      <c r="E998" s="19" t="str">
        <f>IFERROR(VLOOKUP(C998,customer_lookup!$A:$E,3,FALSE),"")</f>
        <v>CA</v>
      </c>
      <c r="F998" s="20" t="str">
        <f>IFERROR(VLOOKUP(C998,customer_lookup!$A:$E,5,FALSE),"")</f>
        <v>Taylor</v>
      </c>
      <c r="G998" s="17" t="s">
        <v>63</v>
      </c>
      <c r="H998" s="17" t="s">
        <v>81</v>
      </c>
      <c r="I998" s="19" t="str">
        <f>IFERROR(VLOOKUP(H998,product_lookup!$A:$D,2,FALSE),"")</f>
        <v>Lemon Sparkling Beverage</v>
      </c>
      <c r="J998" s="21">
        <v>96.0</v>
      </c>
      <c r="K998" s="22">
        <v>6.8</v>
      </c>
      <c r="L998" s="23">
        <f t="shared" si="1"/>
        <v>652.8</v>
      </c>
      <c r="M998" s="17" t="s">
        <v>65</v>
      </c>
      <c r="N998" s="18">
        <v>46119.0</v>
      </c>
      <c r="O998" s="19">
        <f>SUMIF(inventory_snapshot!$B:$B,H998,inventory_snapshot!$E:$E)</f>
        <v>1360</v>
      </c>
      <c r="P998" s="24" t="str">
        <f t="shared" si="2"/>
        <v>OK</v>
      </c>
      <c r="Q998" s="24" t="str">
        <f t="shared" si="3"/>
        <v>Duplicate</v>
      </c>
      <c r="R998" s="24" t="str">
        <f t="shared" si="4"/>
        <v>OK</v>
      </c>
      <c r="S998" s="24" t="str">
        <f t="shared" si="5"/>
        <v>Medium</v>
      </c>
    </row>
    <row r="999" ht="15.75" customHeight="1">
      <c r="A999" s="25" t="s">
        <v>1200</v>
      </c>
      <c r="B999" s="26">
        <v>46106.0</v>
      </c>
      <c r="C999" s="25" t="s">
        <v>1133</v>
      </c>
      <c r="D999" s="27" t="str">
        <f>IFERROR(VLOOKUP(C999,customer_lookup!$A:$E,2,FALSE),"")</f>
        <v>CA Account 0015</v>
      </c>
      <c r="E999" s="27" t="str">
        <f>IFERROR(VLOOKUP(C999,customer_lookup!$A:$E,3,FALSE),"")</f>
        <v>CA</v>
      </c>
      <c r="F999" s="28" t="str">
        <f>IFERROR(VLOOKUP(C999,customer_lookup!$A:$E,5,FALSE),"")</f>
        <v>Taylor</v>
      </c>
      <c r="G999" s="25" t="s">
        <v>89</v>
      </c>
      <c r="H999" s="25" t="s">
        <v>156</v>
      </c>
      <c r="I999" s="27" t="str">
        <f>IFERROR(VLOOKUP(H999,product_lookup!$A:$D,2,FALSE),"")</f>
        <v>Blood Orange 1:1 Gummies</v>
      </c>
      <c r="J999" s="29">
        <v>96.0</v>
      </c>
      <c r="K999" s="30">
        <v>10.94</v>
      </c>
      <c r="L999" s="31">
        <f t="shared" si="1"/>
        <v>1050.24</v>
      </c>
      <c r="M999" s="25" t="s">
        <v>97</v>
      </c>
      <c r="N999" s="26">
        <v>46115.0</v>
      </c>
      <c r="O999" s="27">
        <f>SUMIF(inventory_snapshot!$B:$B,H999,inventory_snapshot!$E:$E)</f>
        <v>1589</v>
      </c>
      <c r="P999" s="32" t="str">
        <f t="shared" si="2"/>
        <v>OK</v>
      </c>
      <c r="Q999" s="32" t="str">
        <f t="shared" si="3"/>
        <v>OK</v>
      </c>
      <c r="R999" s="32" t="str">
        <f t="shared" si="4"/>
        <v>OK</v>
      </c>
      <c r="S999" s="32" t="str">
        <f t="shared" si="5"/>
        <v>Large</v>
      </c>
    </row>
    <row r="1000" ht="15.75" customHeight="1">
      <c r="A1000" s="17" t="s">
        <v>1201</v>
      </c>
      <c r="B1000" s="18">
        <v>46037.0</v>
      </c>
      <c r="C1000" s="17" t="s">
        <v>1131</v>
      </c>
      <c r="D1000" s="19" t="str">
        <f>IFERROR(VLOOKUP(C1000,customer_lookup!$A:$E,2,FALSE),"")</f>
        <v>WA Account 0062</v>
      </c>
      <c r="E1000" s="19" t="str">
        <f>IFERROR(VLOOKUP(C1000,customer_lookup!$A:$E,3,FALSE),"")</f>
        <v>WA</v>
      </c>
      <c r="F1000" s="20" t="str">
        <f>IFERROR(VLOOKUP(C1000,customer_lookup!$A:$E,5,FALSE),"")</f>
        <v>Taylor</v>
      </c>
      <c r="G1000" s="17" t="s">
        <v>63</v>
      </c>
      <c r="H1000" s="17" t="s">
        <v>110</v>
      </c>
      <c r="I1000" s="19" t="str">
        <f>IFERROR(VLOOKUP(H1000,product_lookup!$A:$D,2,FALSE),"")</f>
        <v>Elderberry 2:1 Gummies</v>
      </c>
      <c r="J1000" s="21">
        <v>30.0</v>
      </c>
      <c r="K1000" s="22">
        <v>10.22</v>
      </c>
      <c r="L1000" s="23">
        <f t="shared" si="1"/>
        <v>306.6</v>
      </c>
      <c r="M1000" s="17" t="s">
        <v>97</v>
      </c>
      <c r="N1000" s="18">
        <v>46044.0</v>
      </c>
      <c r="O1000" s="19">
        <f>SUMIF(inventory_snapshot!$B:$B,H1000,inventory_snapshot!$E:$E)</f>
        <v>1633</v>
      </c>
      <c r="P1000" s="24" t="str">
        <f t="shared" si="2"/>
        <v>OK</v>
      </c>
      <c r="Q1000" s="24" t="str">
        <f t="shared" si="3"/>
        <v>OK</v>
      </c>
      <c r="R1000" s="24" t="str">
        <f t="shared" si="4"/>
        <v>OK</v>
      </c>
      <c r="S1000" s="24" t="str">
        <f t="shared" si="5"/>
        <v>Small</v>
      </c>
    </row>
    <row r="1001" ht="15.75" customHeight="1">
      <c r="A1001" s="25" t="s">
        <v>1202</v>
      </c>
      <c r="B1001" s="26">
        <v>46100.0</v>
      </c>
      <c r="C1001" s="25" t="s">
        <v>1131</v>
      </c>
      <c r="D1001" s="27" t="str">
        <f>IFERROR(VLOOKUP(C1001,customer_lookup!$A:$E,2,FALSE),"")</f>
        <v>WA Account 0062</v>
      </c>
      <c r="E1001" s="27" t="str">
        <f>IFERROR(VLOOKUP(C1001,customer_lookup!$A:$E,3,FALSE),"")</f>
        <v>WA</v>
      </c>
      <c r="F1001" s="28" t="str">
        <f>IFERROR(VLOOKUP(C1001,customer_lookup!$A:$E,5,FALSE),"")</f>
        <v>Taylor</v>
      </c>
      <c r="G1001" s="25" t="s">
        <v>89</v>
      </c>
      <c r="H1001" s="25" t="s">
        <v>108</v>
      </c>
      <c r="I1001" s="27" t="str">
        <f>IFERROR(VLOOKUP(H1001,product_lookup!$A:$D,2,FALSE),"")</f>
        <v>Sour Tangerine THC Gummies</v>
      </c>
      <c r="J1001" s="29">
        <v>36.0</v>
      </c>
      <c r="K1001" s="30">
        <v>9.97</v>
      </c>
      <c r="L1001" s="31">
        <f t="shared" si="1"/>
        <v>358.92</v>
      </c>
      <c r="M1001" s="25" t="s">
        <v>93</v>
      </c>
      <c r="N1001" s="26">
        <v>46107.0</v>
      </c>
      <c r="O1001" s="27">
        <f>SUMIF(inventory_snapshot!$B:$B,H1001,inventory_snapshot!$E:$E)</f>
        <v>1679</v>
      </c>
      <c r="P1001" s="32" t="str">
        <f t="shared" si="2"/>
        <v>OK</v>
      </c>
      <c r="Q1001" s="32" t="str">
        <f t="shared" si="3"/>
        <v>OK</v>
      </c>
      <c r="R1001" s="32" t="str">
        <f t="shared" si="4"/>
        <v>OK</v>
      </c>
      <c r="S1001" s="32" t="str">
        <f t="shared" si="5"/>
        <v>Small</v>
      </c>
    </row>
  </sheetData>
  <autoFilter ref="$A$1:$S$1001">
    <sortState ref="A1:S1001">
      <sortCondition ref="F1:F1001"/>
    </sortState>
  </autoFilter>
  <conditionalFormatting sqref="P2:P1001">
    <cfRule type="expression" dxfId="1" priority="1">
      <formula>P2="Short"</formula>
    </cfRule>
  </conditionalFormatting>
  <conditionalFormatting sqref="Q2:Q1001">
    <cfRule type="expression" dxfId="2" priority="2">
      <formula>Q2="Duplicate"</formula>
    </cfRule>
  </conditionalFormatting>
  <conditionalFormatting sqref="R2:R1001">
    <cfRule type="expression" dxfId="1" priority="3">
      <formula>R2="Missing Key"</formula>
    </cfRule>
  </conditionalFormatting>
  <dataValidations>
    <dataValidation type="list" allowBlank="1" sqref="M2:M1001">
      <formula1>"Submitted,Approved,Pending,Rejected,Fulfilled,Partial"</formula1>
    </dataValidation>
    <dataValidation type="list" allowBlank="1" sqref="G2:G1001">
      <formula1>"Wholesale,Retail,Distributor"</formula1>
    </dataValidation>
  </dataValidation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1.0"/>
    <col customWidth="1" min="3" max="3" width="14.0"/>
    <col customWidth="1" min="4" max="4" width="13.0"/>
    <col customWidth="1" min="5" max="5" width="10.0"/>
    <col customWidth="1" min="6" max="6" width="14.0"/>
    <col customWidth="1" min="7" max="8" width="16.0"/>
    <col customWidth="1" min="9" max="11" width="30.0"/>
    <col customWidth="1" min="12" max="26" width="8.71"/>
  </cols>
  <sheetData>
    <row r="1">
      <c r="A1" s="16" t="s">
        <v>1203</v>
      </c>
      <c r="B1" s="16" t="s">
        <v>43</v>
      </c>
      <c r="C1" s="16" t="s">
        <v>1204</v>
      </c>
      <c r="D1" s="16" t="s">
        <v>45</v>
      </c>
      <c r="E1" s="16" t="s">
        <v>50</v>
      </c>
      <c r="F1" s="16" t="s">
        <v>1205</v>
      </c>
      <c r="G1" s="16" t="s">
        <v>1206</v>
      </c>
      <c r="H1" s="16" t="s">
        <v>1207</v>
      </c>
      <c r="I1" s="16" t="s">
        <v>1208</v>
      </c>
      <c r="J1" s="16" t="s">
        <v>1209</v>
      </c>
      <c r="K1" s="16" t="s">
        <v>1210</v>
      </c>
    </row>
    <row r="2">
      <c r="A2" s="17" t="s">
        <v>1211</v>
      </c>
      <c r="B2" s="17" t="s">
        <v>163</v>
      </c>
      <c r="C2" s="18">
        <v>46065.0</v>
      </c>
      <c r="D2" s="17" t="s">
        <v>164</v>
      </c>
      <c r="E2" s="17" t="s">
        <v>71</v>
      </c>
      <c r="F2" s="21">
        <v>66.0</v>
      </c>
      <c r="G2" s="22">
        <v>522.72</v>
      </c>
      <c r="H2" s="17" t="s">
        <v>1212</v>
      </c>
      <c r="I2" s="22">
        <f>F2-IFERROR(VLOOKUP(B2,crm_orders!$A:$S,10,FALSE),0)</f>
        <v>6</v>
      </c>
      <c r="J2" s="22">
        <f>G2-IFERROR(VLOOKUP(B2,crm_orders!$A:$S,12,FALSE),0)</f>
        <v>47.52</v>
      </c>
      <c r="K2" s="17" t="str">
        <f>IF(COUNTIF(crm_orders!$A:$A,B2)=0,"Orphan","OK")</f>
        <v>OK</v>
      </c>
    </row>
    <row r="3">
      <c r="A3" s="25" t="s">
        <v>1213</v>
      </c>
      <c r="B3" s="25" t="s">
        <v>1121</v>
      </c>
      <c r="C3" s="26">
        <v>46083.0</v>
      </c>
      <c r="D3" s="25" t="s">
        <v>1122</v>
      </c>
      <c r="E3" s="25" t="s">
        <v>90</v>
      </c>
      <c r="F3" s="29">
        <v>30.0</v>
      </c>
      <c r="G3" s="30">
        <v>236.4</v>
      </c>
      <c r="H3" s="25" t="s">
        <v>1214</v>
      </c>
      <c r="I3" s="30">
        <f>F3-IFERROR(VLOOKUP(B3,crm_orders!$A:$S,10,FALSE),0)</f>
        <v>0</v>
      </c>
      <c r="J3" s="30">
        <f>G3-IFERROR(VLOOKUP(B3,crm_orders!$A:$S,12,FALSE),0)</f>
        <v>0</v>
      </c>
      <c r="K3" s="25" t="str">
        <f>IF(COUNTIF(crm_orders!$A:$A,B3)=0,"Orphan","OK")</f>
        <v>OK</v>
      </c>
    </row>
    <row r="4">
      <c r="A4" s="17" t="s">
        <v>1215</v>
      </c>
      <c r="B4" s="17" t="s">
        <v>443</v>
      </c>
      <c r="C4" s="18">
        <v>46128.0</v>
      </c>
      <c r="D4" s="17" t="s">
        <v>444</v>
      </c>
      <c r="E4" s="17" t="s">
        <v>110</v>
      </c>
      <c r="F4" s="21">
        <v>30.0</v>
      </c>
      <c r="G4" s="22">
        <v>312.6</v>
      </c>
      <c r="H4" s="17" t="s">
        <v>1214</v>
      </c>
      <c r="I4" s="22">
        <f>F4-IFERROR(VLOOKUP(B4,crm_orders!$A:$S,10,FALSE),0)</f>
        <v>0</v>
      </c>
      <c r="J4" s="22">
        <f>G4-IFERROR(VLOOKUP(B4,crm_orders!$A:$S,12,FALSE),0)</f>
        <v>0</v>
      </c>
      <c r="K4" s="17" t="str">
        <f>IF(COUNTIF(crm_orders!$A:$A,B4)=0,"Orphan","OK")</f>
        <v>OK</v>
      </c>
    </row>
    <row r="5">
      <c r="A5" s="25" t="s">
        <v>1216</v>
      </c>
      <c r="B5" s="25" t="s">
        <v>697</v>
      </c>
      <c r="C5" s="26">
        <v>46122.0</v>
      </c>
      <c r="D5" s="25" t="s">
        <v>698</v>
      </c>
      <c r="E5" s="25" t="s">
        <v>85</v>
      </c>
      <c r="F5" s="29">
        <v>24.0</v>
      </c>
      <c r="G5" s="30">
        <v>224.64</v>
      </c>
      <c r="H5" s="25" t="s">
        <v>1214</v>
      </c>
      <c r="I5" s="30">
        <f>F5-IFERROR(VLOOKUP(B5,crm_orders!$A:$S,10,FALSE),0)</f>
        <v>0</v>
      </c>
      <c r="J5" s="30">
        <f>G5-IFERROR(VLOOKUP(B5,crm_orders!$A:$S,12,FALSE),0)</f>
        <v>0</v>
      </c>
      <c r="K5" s="25" t="str">
        <f>IF(COUNTIF(crm_orders!$A:$A,B5)=0,"Orphan","OK")</f>
        <v>OK</v>
      </c>
    </row>
    <row r="6">
      <c r="A6" s="17" t="s">
        <v>1217</v>
      </c>
      <c r="B6" s="17" t="s">
        <v>949</v>
      </c>
      <c r="C6" s="18">
        <v>46113.0</v>
      </c>
      <c r="D6" s="17" t="s">
        <v>950</v>
      </c>
      <c r="E6" s="17" t="s">
        <v>64</v>
      </c>
      <c r="F6" s="21">
        <v>6.0</v>
      </c>
      <c r="G6" s="22">
        <v>49.8</v>
      </c>
      <c r="H6" s="17" t="s">
        <v>1214</v>
      </c>
      <c r="I6" s="22">
        <f>F6-IFERROR(VLOOKUP(B6,crm_orders!$A:$S,10,FALSE),0)</f>
        <v>0</v>
      </c>
      <c r="J6" s="22">
        <f>G6-IFERROR(VLOOKUP(B6,crm_orders!$A:$S,12,FALSE),0)</f>
        <v>0</v>
      </c>
      <c r="K6" s="17" t="str">
        <f>IF(COUNTIF(crm_orders!$A:$A,B6)=0,"Orphan","OK")</f>
        <v>OK</v>
      </c>
    </row>
    <row r="7">
      <c r="A7" s="25" t="s">
        <v>1218</v>
      </c>
      <c r="B7" s="25" t="s">
        <v>951</v>
      </c>
      <c r="C7" s="26">
        <v>46103.0</v>
      </c>
      <c r="D7" s="25" t="s">
        <v>950</v>
      </c>
      <c r="E7" s="25" t="s">
        <v>108</v>
      </c>
      <c r="F7" s="29">
        <v>48.0</v>
      </c>
      <c r="G7" s="30">
        <v>546.72</v>
      </c>
      <c r="H7" s="25" t="s">
        <v>93</v>
      </c>
      <c r="I7" s="30">
        <f>F7-IFERROR(VLOOKUP(B7,crm_orders!$A:$S,10,FALSE),0)</f>
        <v>-24</v>
      </c>
      <c r="J7" s="30">
        <f>G7-IFERROR(VLOOKUP(B7,crm_orders!$A:$S,12,FALSE),0)</f>
        <v>-273.36</v>
      </c>
      <c r="K7" s="25" t="str">
        <f>IF(COUNTIF(crm_orders!$A:$A,B7)=0,"Orphan","OK")</f>
        <v>OK</v>
      </c>
    </row>
    <row r="8">
      <c r="A8" s="17" t="s">
        <v>1219</v>
      </c>
      <c r="B8" s="17" t="s">
        <v>165</v>
      </c>
      <c r="C8" s="18">
        <v>46117.0</v>
      </c>
      <c r="D8" s="17" t="s">
        <v>166</v>
      </c>
      <c r="E8" s="17" t="s">
        <v>106</v>
      </c>
      <c r="F8" s="21">
        <v>18.0</v>
      </c>
      <c r="G8" s="22">
        <v>206.64</v>
      </c>
      <c r="H8" s="17" t="s">
        <v>1214</v>
      </c>
      <c r="I8" s="22">
        <f>F8-IFERROR(VLOOKUP(B8,crm_orders!$A:$S,10,FALSE),0)</f>
        <v>0</v>
      </c>
      <c r="J8" s="22">
        <f>G8-IFERROR(VLOOKUP(B8,crm_orders!$A:$S,12,FALSE),0)</f>
        <v>0</v>
      </c>
      <c r="K8" s="17" t="str">
        <f>IF(COUNTIF(crm_orders!$A:$A,B8)=0,"Orphan","OK")</f>
        <v>OK</v>
      </c>
    </row>
    <row r="9">
      <c r="A9" s="25" t="s">
        <v>1220</v>
      </c>
      <c r="B9" s="25" t="s">
        <v>952</v>
      </c>
      <c r="C9" s="26">
        <v>46036.0</v>
      </c>
      <c r="D9" s="25" t="s">
        <v>953</v>
      </c>
      <c r="E9" s="25" t="s">
        <v>156</v>
      </c>
      <c r="F9" s="29">
        <v>132.0</v>
      </c>
      <c r="G9" s="30">
        <v>1301.52</v>
      </c>
      <c r="H9" s="25" t="s">
        <v>1212</v>
      </c>
      <c r="I9" s="30">
        <f>F9-IFERROR(VLOOKUP(B9,crm_orders!$A:$S,10,FALSE),0)</f>
        <v>12</v>
      </c>
      <c r="J9" s="30">
        <f>G9-IFERROR(VLOOKUP(B9,crm_orders!$A:$S,12,FALSE),0)</f>
        <v>118.32</v>
      </c>
      <c r="K9" s="25" t="str">
        <f>IF(COUNTIF(crm_orders!$A:$A,B9)=0,"Orphan","OK")</f>
        <v>OK</v>
      </c>
    </row>
    <row r="10">
      <c r="A10" s="17" t="s">
        <v>1221</v>
      </c>
      <c r="B10" s="17" t="s">
        <v>852</v>
      </c>
      <c r="C10" s="18">
        <v>46132.0</v>
      </c>
      <c r="D10" s="17" t="s">
        <v>853</v>
      </c>
      <c r="E10" s="17" t="s">
        <v>92</v>
      </c>
      <c r="F10" s="21">
        <v>48.0</v>
      </c>
      <c r="G10" s="22">
        <v>481.44</v>
      </c>
      <c r="H10" s="17" t="s">
        <v>1214</v>
      </c>
      <c r="I10" s="22">
        <f>F10-IFERROR(VLOOKUP(B10,crm_orders!$A:$S,10,FALSE),0)</f>
        <v>0</v>
      </c>
      <c r="J10" s="22">
        <f>G10-IFERROR(VLOOKUP(B10,crm_orders!$A:$S,12,FALSE),0)</f>
        <v>0</v>
      </c>
      <c r="K10" s="17" t="str">
        <f>IF(COUNTIF(crm_orders!$A:$A,B10)=0,"Orphan","OK")</f>
        <v>OK</v>
      </c>
    </row>
    <row r="11">
      <c r="A11" s="25" t="s">
        <v>1222</v>
      </c>
      <c r="B11" s="25" t="s">
        <v>1123</v>
      </c>
      <c r="C11" s="26">
        <v>46063.0</v>
      </c>
      <c r="D11" s="25" t="s">
        <v>1124</v>
      </c>
      <c r="E11" s="25" t="s">
        <v>68</v>
      </c>
      <c r="F11" s="29">
        <v>120.0</v>
      </c>
      <c r="G11" s="30">
        <v>1150.8</v>
      </c>
      <c r="H11" s="25" t="s">
        <v>1214</v>
      </c>
      <c r="I11" s="30">
        <f>F11-IFERROR(VLOOKUP(B11,crm_orders!$A:$S,10,FALSE),0)</f>
        <v>0</v>
      </c>
      <c r="J11" s="30">
        <f>G11-IFERROR(VLOOKUP(B11,crm_orders!$A:$S,12,FALSE),0)</f>
        <v>0</v>
      </c>
      <c r="K11" s="25" t="str">
        <f>IF(COUNTIF(crm_orders!$A:$A,B11)=0,"Orphan","OK")</f>
        <v>OK</v>
      </c>
    </row>
    <row r="12">
      <c r="A12" s="17" t="s">
        <v>1223</v>
      </c>
      <c r="B12" s="17" t="s">
        <v>699</v>
      </c>
      <c r="C12" s="18">
        <v>46045.0</v>
      </c>
      <c r="D12" s="17" t="s">
        <v>700</v>
      </c>
      <c r="E12" s="17" t="s">
        <v>71</v>
      </c>
      <c r="F12" s="21">
        <v>18.0</v>
      </c>
      <c r="G12" s="22">
        <v>129.06</v>
      </c>
      <c r="H12" s="17" t="s">
        <v>93</v>
      </c>
      <c r="I12" s="22">
        <f>F12-IFERROR(VLOOKUP(B12,crm_orders!$A:$S,10,FALSE),0)</f>
        <v>-6</v>
      </c>
      <c r="J12" s="22">
        <f>G12-IFERROR(VLOOKUP(B12,crm_orders!$A:$S,12,FALSE),0)</f>
        <v>-43.02</v>
      </c>
      <c r="K12" s="17" t="str">
        <f>IF(COUNTIF(crm_orders!$A:$A,B12)=0,"Orphan","OK")</f>
        <v>OK</v>
      </c>
    </row>
    <row r="13">
      <c r="A13" s="25" t="s">
        <v>1224</v>
      </c>
      <c r="B13" s="25" t="s">
        <v>290</v>
      </c>
      <c r="C13" s="26">
        <v>46107.0</v>
      </c>
      <c r="D13" s="25" t="s">
        <v>291</v>
      </c>
      <c r="E13" s="25" t="s">
        <v>154</v>
      </c>
      <c r="F13" s="29">
        <v>96.0</v>
      </c>
      <c r="G13" s="30">
        <v>1128.0</v>
      </c>
      <c r="H13" s="25" t="s">
        <v>1214</v>
      </c>
      <c r="I13" s="30">
        <f>F13-IFERROR(VLOOKUP(B13,crm_orders!$A:$S,10,FALSE),0)</f>
        <v>0</v>
      </c>
      <c r="J13" s="30">
        <f>G13-IFERROR(VLOOKUP(B13,crm_orders!$A:$S,12,FALSE),0)</f>
        <v>0</v>
      </c>
      <c r="K13" s="25" t="str">
        <f>IF(COUNTIF(crm_orders!$A:$A,B13)=0,"Orphan","OK")</f>
        <v>OK</v>
      </c>
    </row>
    <row r="14">
      <c r="A14" s="17" t="s">
        <v>1225</v>
      </c>
      <c r="B14" s="17" t="s">
        <v>539</v>
      </c>
      <c r="C14" s="18">
        <v>46110.0</v>
      </c>
      <c r="D14" s="17" t="s">
        <v>540</v>
      </c>
      <c r="E14" s="17" t="s">
        <v>102</v>
      </c>
      <c r="F14" s="21">
        <v>120.0</v>
      </c>
      <c r="G14" s="22">
        <v>1428.0</v>
      </c>
      <c r="H14" s="17" t="s">
        <v>1214</v>
      </c>
      <c r="I14" s="22">
        <f>F14-IFERROR(VLOOKUP(B14,crm_orders!$A:$S,10,FALSE),0)</f>
        <v>0</v>
      </c>
      <c r="J14" s="22">
        <f>G14-IFERROR(VLOOKUP(B14,crm_orders!$A:$S,12,FALSE),0)</f>
        <v>0</v>
      </c>
      <c r="K14" s="17" t="str">
        <f>IF(COUNTIF(crm_orders!$A:$A,B14)=0,"Orphan","OK")</f>
        <v>OK</v>
      </c>
    </row>
    <row r="15">
      <c r="A15" s="25" t="s">
        <v>1226</v>
      </c>
      <c r="B15" s="25" t="s">
        <v>167</v>
      </c>
      <c r="C15" s="26">
        <v>46039.0</v>
      </c>
      <c r="D15" s="25" t="s">
        <v>168</v>
      </c>
      <c r="E15" s="25" t="s">
        <v>123</v>
      </c>
      <c r="F15" s="29">
        <v>30.0</v>
      </c>
      <c r="G15" s="30">
        <v>345.0</v>
      </c>
      <c r="H15" s="25" t="s">
        <v>1214</v>
      </c>
      <c r="I15" s="30">
        <f>F15-IFERROR(VLOOKUP(B15,crm_orders!$A:$S,10,FALSE),0)</f>
        <v>0</v>
      </c>
      <c r="J15" s="30">
        <f>G15-IFERROR(VLOOKUP(B15,crm_orders!$A:$S,12,FALSE),0)</f>
        <v>0</v>
      </c>
      <c r="K15" s="25" t="str">
        <f>IF(COUNTIF(crm_orders!$A:$A,B15)=0,"Orphan","OK")</f>
        <v>OK</v>
      </c>
    </row>
    <row r="16">
      <c r="A16" s="17" t="s">
        <v>1227</v>
      </c>
      <c r="B16" s="17" t="s">
        <v>169</v>
      </c>
      <c r="C16" s="18">
        <v>46043.0</v>
      </c>
      <c r="D16" s="17" t="s">
        <v>170</v>
      </c>
      <c r="E16" s="17" t="s">
        <v>68</v>
      </c>
      <c r="F16" s="21">
        <v>72.0</v>
      </c>
      <c r="G16" s="22">
        <v>778.32</v>
      </c>
      <c r="H16" s="17" t="s">
        <v>1214</v>
      </c>
      <c r="I16" s="22">
        <f>F16-IFERROR(VLOOKUP(B16,crm_orders!$A:$S,10,FALSE),0)</f>
        <v>0</v>
      </c>
      <c r="J16" s="22">
        <f>G16-IFERROR(VLOOKUP(B16,crm_orders!$A:$S,12,FALSE),0)</f>
        <v>0</v>
      </c>
      <c r="K16" s="17" t="str">
        <f>IF(COUNTIF(crm_orders!$A:$A,B16)=0,"Orphan","OK")</f>
        <v>OK</v>
      </c>
    </row>
    <row r="17">
      <c r="A17" s="25" t="s">
        <v>1228</v>
      </c>
      <c r="B17" s="25" t="s">
        <v>701</v>
      </c>
      <c r="C17" s="26">
        <v>46125.0</v>
      </c>
      <c r="D17" s="25" t="s">
        <v>702</v>
      </c>
      <c r="E17" s="25" t="s">
        <v>74</v>
      </c>
      <c r="F17" s="29">
        <v>18.0</v>
      </c>
      <c r="G17" s="30">
        <v>204.3</v>
      </c>
      <c r="H17" s="25" t="s">
        <v>1214</v>
      </c>
      <c r="I17" s="30">
        <f>F17-IFERROR(VLOOKUP(B17,crm_orders!$A:$S,10,FALSE),0)</f>
        <v>0</v>
      </c>
      <c r="J17" s="30">
        <f>G17-IFERROR(VLOOKUP(B17,crm_orders!$A:$S,12,FALSE),0)</f>
        <v>0</v>
      </c>
      <c r="K17" s="25" t="str">
        <f>IF(COUNTIF(crm_orders!$A:$A,B17)=0,"Orphan","OK")</f>
        <v>OK</v>
      </c>
    </row>
    <row r="18">
      <c r="A18" s="17" t="s">
        <v>1229</v>
      </c>
      <c r="B18" s="17" t="s">
        <v>703</v>
      </c>
      <c r="C18" s="18">
        <v>46090.0</v>
      </c>
      <c r="D18" s="17" t="s">
        <v>704</v>
      </c>
      <c r="E18" s="17" t="s">
        <v>90</v>
      </c>
      <c r="F18" s="21">
        <v>48.0</v>
      </c>
      <c r="G18" s="22">
        <v>383.52</v>
      </c>
      <c r="H18" s="17" t="s">
        <v>1214</v>
      </c>
      <c r="I18" s="22">
        <f>F18-IFERROR(VLOOKUP(B18,crm_orders!$A:$S,10,FALSE),0)</f>
        <v>0</v>
      </c>
      <c r="J18" s="22">
        <f>G18-IFERROR(VLOOKUP(B18,crm_orders!$A:$S,12,FALSE),0)</f>
        <v>0</v>
      </c>
      <c r="K18" s="17" t="str">
        <f>IF(COUNTIF(crm_orders!$A:$A,B18)=0,"Orphan","OK")</f>
        <v>OK</v>
      </c>
    </row>
    <row r="19">
      <c r="A19" s="25" t="s">
        <v>1230</v>
      </c>
      <c r="B19" s="25" t="s">
        <v>954</v>
      </c>
      <c r="C19" s="26">
        <v>46067.0</v>
      </c>
      <c r="D19" s="25" t="s">
        <v>955</v>
      </c>
      <c r="E19" s="25" t="s">
        <v>74</v>
      </c>
      <c r="F19" s="29">
        <v>60.0</v>
      </c>
      <c r="G19" s="30">
        <v>699.6</v>
      </c>
      <c r="H19" s="25" t="s">
        <v>1214</v>
      </c>
      <c r="I19" s="30">
        <f>F19-IFERROR(VLOOKUP(B19,crm_orders!$A:$S,10,FALSE),0)</f>
        <v>0</v>
      </c>
      <c r="J19" s="30">
        <f>G19-IFERROR(VLOOKUP(B19,crm_orders!$A:$S,12,FALSE),0)</f>
        <v>0</v>
      </c>
      <c r="K19" s="25" t="str">
        <f>IF(COUNTIF(crm_orders!$A:$A,B19)=0,"Orphan","OK")</f>
        <v>OK</v>
      </c>
    </row>
    <row r="20">
      <c r="A20" s="17" t="s">
        <v>1231</v>
      </c>
      <c r="B20" s="17" t="s">
        <v>445</v>
      </c>
      <c r="C20" s="18">
        <v>46131.0</v>
      </c>
      <c r="D20" s="17" t="s">
        <v>446</v>
      </c>
      <c r="E20" s="17" t="s">
        <v>68</v>
      </c>
      <c r="F20" s="21">
        <v>30.0</v>
      </c>
      <c r="G20" s="22">
        <v>299.49</v>
      </c>
      <c r="H20" s="17" t="s">
        <v>1212</v>
      </c>
      <c r="I20" s="22">
        <f>F20-IFERROR(VLOOKUP(B20,crm_orders!$A:$S,10,FALSE),0)</f>
        <v>0</v>
      </c>
      <c r="J20" s="22">
        <f>G20-IFERROR(VLOOKUP(B20,crm_orders!$A:$S,12,FALSE),0)</f>
        <v>-5.31</v>
      </c>
      <c r="K20" s="17" t="str">
        <f>IF(COUNTIF(crm_orders!$A:$A,B20)=0,"Orphan","OK")</f>
        <v>OK</v>
      </c>
    </row>
    <row r="21" ht="15.75" customHeight="1">
      <c r="A21" s="25" t="s">
        <v>1232</v>
      </c>
      <c r="B21" s="25" t="s">
        <v>541</v>
      </c>
      <c r="C21" s="26">
        <v>46055.0</v>
      </c>
      <c r="D21" s="25" t="s">
        <v>542</v>
      </c>
      <c r="E21" s="25" t="s">
        <v>110</v>
      </c>
      <c r="F21" s="29">
        <v>60.0</v>
      </c>
      <c r="G21" s="30">
        <v>658.2</v>
      </c>
      <c r="H21" s="25" t="s">
        <v>1212</v>
      </c>
      <c r="I21" s="30">
        <f>F21-IFERROR(VLOOKUP(B21,crm_orders!$A:$S,10,FALSE),0)</f>
        <v>12</v>
      </c>
      <c r="J21" s="30">
        <f>G21-IFERROR(VLOOKUP(B21,crm_orders!$A:$S,12,FALSE),0)</f>
        <v>131.64</v>
      </c>
      <c r="K21" s="25" t="str">
        <f>IF(COUNTIF(crm_orders!$A:$A,B21)=0,"Orphan","OK")</f>
        <v>OK</v>
      </c>
    </row>
    <row r="22" ht="15.75" customHeight="1">
      <c r="A22" s="17" t="s">
        <v>1233</v>
      </c>
      <c r="B22" s="17" t="s">
        <v>292</v>
      </c>
      <c r="C22" s="18">
        <v>46075.0</v>
      </c>
      <c r="D22" s="17" t="s">
        <v>293</v>
      </c>
      <c r="E22" s="17" t="s">
        <v>123</v>
      </c>
      <c r="F22" s="21">
        <v>24.0</v>
      </c>
      <c r="G22" s="22">
        <v>247.92</v>
      </c>
      <c r="H22" s="17" t="s">
        <v>1214</v>
      </c>
      <c r="I22" s="22">
        <f>F22-IFERROR(VLOOKUP(B22,crm_orders!$A:$S,10,FALSE),0)</f>
        <v>0</v>
      </c>
      <c r="J22" s="22">
        <f>G22-IFERROR(VLOOKUP(B22,crm_orders!$A:$S,12,FALSE),0)</f>
        <v>0</v>
      </c>
      <c r="K22" s="17" t="str">
        <f>IF(COUNTIF(crm_orders!$A:$A,B22)=0,"Orphan","OK")</f>
        <v>OK</v>
      </c>
    </row>
    <row r="23" ht="15.75" customHeight="1">
      <c r="A23" s="25" t="s">
        <v>1234</v>
      </c>
      <c r="B23" s="25" t="s">
        <v>1074</v>
      </c>
      <c r="C23" s="26">
        <v>46055.0</v>
      </c>
      <c r="D23" s="25" t="s">
        <v>1075</v>
      </c>
      <c r="E23" s="25" t="s">
        <v>154</v>
      </c>
      <c r="F23" s="29">
        <v>6.0</v>
      </c>
      <c r="G23" s="30">
        <v>67.56</v>
      </c>
      <c r="H23" s="25" t="s">
        <v>93</v>
      </c>
      <c r="I23" s="30">
        <f>F23-IFERROR(VLOOKUP(B23,crm_orders!$A:$S,10,FALSE),0)</f>
        <v>-18</v>
      </c>
      <c r="J23" s="30">
        <f>G23-IFERROR(VLOOKUP(B23,crm_orders!$A:$S,12,FALSE),0)</f>
        <v>-202.68</v>
      </c>
      <c r="K23" s="25" t="str">
        <f>IF(COUNTIF(crm_orders!$A:$A,B23)=0,"Orphan","OK")</f>
        <v>OK</v>
      </c>
    </row>
    <row r="24" ht="15.75" customHeight="1">
      <c r="A24" s="17" t="s">
        <v>1235</v>
      </c>
      <c r="B24" s="17" t="s">
        <v>447</v>
      </c>
      <c r="C24" s="18">
        <v>46073.0</v>
      </c>
      <c r="D24" s="17" t="s">
        <v>448</v>
      </c>
      <c r="E24" s="17" t="s">
        <v>162</v>
      </c>
      <c r="F24" s="21">
        <v>24.0</v>
      </c>
      <c r="G24" s="22">
        <v>239.04</v>
      </c>
      <c r="H24" s="17" t="s">
        <v>1214</v>
      </c>
      <c r="I24" s="22">
        <f>F24-IFERROR(VLOOKUP(B24,crm_orders!$A:$S,10,FALSE),0)</f>
        <v>0</v>
      </c>
      <c r="J24" s="22">
        <f>G24-IFERROR(VLOOKUP(B24,crm_orders!$A:$S,12,FALSE),0)</f>
        <v>0</v>
      </c>
      <c r="K24" s="17" t="str">
        <f>IF(COUNTIF(crm_orders!$A:$A,B24)=0,"Orphan","OK")</f>
        <v>OK</v>
      </c>
    </row>
    <row r="25" ht="15.75" customHeight="1">
      <c r="A25" s="25" t="s">
        <v>1236</v>
      </c>
      <c r="B25" s="25" t="s">
        <v>545</v>
      </c>
      <c r="C25" s="26">
        <v>46124.0</v>
      </c>
      <c r="D25" s="25" t="s">
        <v>544</v>
      </c>
      <c r="E25" s="25" t="s">
        <v>102</v>
      </c>
      <c r="F25" s="29">
        <v>18.0</v>
      </c>
      <c r="G25" s="30">
        <v>203.4</v>
      </c>
      <c r="H25" s="25" t="s">
        <v>1214</v>
      </c>
      <c r="I25" s="30">
        <f>F25-IFERROR(VLOOKUP(B25,crm_orders!$A:$S,10,FALSE),0)</f>
        <v>0</v>
      </c>
      <c r="J25" s="30">
        <f>G25-IFERROR(VLOOKUP(B25,crm_orders!$A:$S,12,FALSE),0)</f>
        <v>0</v>
      </c>
      <c r="K25" s="25" t="str">
        <f>IF(COUNTIF(crm_orders!$A:$A,B25)=0,"Orphan","OK")</f>
        <v>OK</v>
      </c>
    </row>
    <row r="26" ht="15.75" customHeight="1">
      <c r="A26" s="17" t="s">
        <v>1237</v>
      </c>
      <c r="B26" s="17" t="s">
        <v>449</v>
      </c>
      <c r="C26" s="18">
        <v>46058.0</v>
      </c>
      <c r="D26" s="17" t="s">
        <v>444</v>
      </c>
      <c r="E26" s="17" t="s">
        <v>92</v>
      </c>
      <c r="F26" s="21">
        <v>6.0</v>
      </c>
      <c r="G26" s="22">
        <v>59.88</v>
      </c>
      <c r="H26" s="17" t="s">
        <v>1214</v>
      </c>
      <c r="I26" s="22">
        <f>F26-IFERROR(VLOOKUP(B26,crm_orders!$A:$S,10,FALSE),0)</f>
        <v>0</v>
      </c>
      <c r="J26" s="22">
        <f>G26-IFERROR(VLOOKUP(B26,crm_orders!$A:$S,12,FALSE),0)</f>
        <v>0</v>
      </c>
      <c r="K26" s="17" t="str">
        <f>IF(COUNTIF(crm_orders!$A:$A,B26)=0,"Orphan","OK")</f>
        <v>OK</v>
      </c>
    </row>
    <row r="27" ht="15.75" customHeight="1">
      <c r="A27" s="25" t="s">
        <v>1238</v>
      </c>
      <c r="B27" s="25" t="s">
        <v>69</v>
      </c>
      <c r="C27" s="26">
        <v>46132.0</v>
      </c>
      <c r="D27" s="25" t="s">
        <v>70</v>
      </c>
      <c r="E27" s="25" t="s">
        <v>71</v>
      </c>
      <c r="F27" s="29">
        <v>96.0</v>
      </c>
      <c r="G27" s="30">
        <v>702.72</v>
      </c>
      <c r="H27" s="25" t="s">
        <v>1214</v>
      </c>
      <c r="I27" s="30">
        <f>F27-IFERROR(VLOOKUP(B27,crm_orders!$A:$S,10,FALSE),0)</f>
        <v>0</v>
      </c>
      <c r="J27" s="30">
        <f>G27-IFERROR(VLOOKUP(B27,crm_orders!$A:$S,12,FALSE),0)</f>
        <v>0</v>
      </c>
      <c r="K27" s="25" t="str">
        <f>IF(COUNTIF(crm_orders!$A:$A,B27)=0,"Orphan","OK")</f>
        <v>OK</v>
      </c>
    </row>
    <row r="28" ht="15.75" customHeight="1">
      <c r="A28" s="17" t="s">
        <v>1239</v>
      </c>
      <c r="B28" s="17" t="s">
        <v>172</v>
      </c>
      <c r="C28" s="18">
        <v>46103.0</v>
      </c>
      <c r="D28" s="17" t="s">
        <v>170</v>
      </c>
      <c r="E28" s="17" t="s">
        <v>102</v>
      </c>
      <c r="F28" s="21">
        <v>90.0</v>
      </c>
      <c r="G28" s="22">
        <v>902.7</v>
      </c>
      <c r="H28" s="17" t="s">
        <v>93</v>
      </c>
      <c r="I28" s="22">
        <f>F28-IFERROR(VLOOKUP(B28,crm_orders!$A:$S,10,FALSE),0)</f>
        <v>-6</v>
      </c>
      <c r="J28" s="22">
        <f>G28-IFERROR(VLOOKUP(B28,crm_orders!$A:$S,12,FALSE),0)</f>
        <v>-60.18</v>
      </c>
      <c r="K28" s="17" t="str">
        <f>IF(COUNTIF(crm_orders!$A:$A,B28)=0,"Orphan","OK")</f>
        <v>OK</v>
      </c>
    </row>
    <row r="29" ht="15.75" customHeight="1">
      <c r="A29" s="25" t="s">
        <v>1240</v>
      </c>
      <c r="B29" s="25" t="s">
        <v>173</v>
      </c>
      <c r="C29" s="26">
        <v>46064.0</v>
      </c>
      <c r="D29" s="25" t="s">
        <v>174</v>
      </c>
      <c r="E29" s="25" t="s">
        <v>154</v>
      </c>
      <c r="F29" s="29">
        <v>18.0</v>
      </c>
      <c r="G29" s="30">
        <v>195.48</v>
      </c>
      <c r="H29" s="25" t="s">
        <v>1214</v>
      </c>
      <c r="I29" s="30">
        <f>F29-IFERROR(VLOOKUP(B29,crm_orders!$A:$S,10,FALSE),0)</f>
        <v>0</v>
      </c>
      <c r="J29" s="30">
        <f>G29-IFERROR(VLOOKUP(B29,crm_orders!$A:$S,12,FALSE),0)</f>
        <v>0</v>
      </c>
      <c r="K29" s="25" t="str">
        <f>IF(COUNTIF(crm_orders!$A:$A,B29)=0,"Orphan","OK")</f>
        <v>OK</v>
      </c>
    </row>
    <row r="30" ht="15.75" customHeight="1">
      <c r="A30" s="17" t="s">
        <v>1241</v>
      </c>
      <c r="B30" s="17" t="s">
        <v>705</v>
      </c>
      <c r="C30" s="18">
        <v>46121.0</v>
      </c>
      <c r="D30" s="17" t="s">
        <v>706</v>
      </c>
      <c r="E30" s="17" t="s">
        <v>102</v>
      </c>
      <c r="F30" s="21">
        <v>60.0</v>
      </c>
      <c r="G30" s="22">
        <v>603.6</v>
      </c>
      <c r="H30" s="17" t="s">
        <v>1214</v>
      </c>
      <c r="I30" s="22">
        <f>F30-IFERROR(VLOOKUP(B30,crm_orders!$A:$S,10,FALSE),0)</f>
        <v>0</v>
      </c>
      <c r="J30" s="22">
        <f>G30-IFERROR(VLOOKUP(B30,crm_orders!$A:$S,12,FALSE),0)</f>
        <v>0</v>
      </c>
      <c r="K30" s="17" t="str">
        <f>IF(COUNTIF(crm_orders!$A:$A,B30)=0,"Orphan","OK")</f>
        <v>OK</v>
      </c>
    </row>
    <row r="31" ht="15.75" customHeight="1">
      <c r="A31" s="25" t="s">
        <v>1242</v>
      </c>
      <c r="B31" s="25" t="s">
        <v>175</v>
      </c>
      <c r="C31" s="26">
        <v>46100.0</v>
      </c>
      <c r="D31" s="25" t="s">
        <v>170</v>
      </c>
      <c r="E31" s="25" t="s">
        <v>78</v>
      </c>
      <c r="F31" s="29">
        <v>24.0</v>
      </c>
      <c r="G31" s="30">
        <v>265.68</v>
      </c>
      <c r="H31" s="25" t="s">
        <v>1214</v>
      </c>
      <c r="I31" s="30">
        <f>F31-IFERROR(VLOOKUP(B31,crm_orders!$A:$S,10,FALSE),0)</f>
        <v>0</v>
      </c>
      <c r="J31" s="30">
        <f>G31-IFERROR(VLOOKUP(B31,crm_orders!$A:$S,12,FALSE),0)</f>
        <v>0</v>
      </c>
      <c r="K31" s="25" t="str">
        <f>IF(COUNTIF(crm_orders!$A:$A,B31)=0,"Orphan","OK")</f>
        <v>OK</v>
      </c>
    </row>
    <row r="32" ht="15.75" customHeight="1">
      <c r="A32" s="17" t="s">
        <v>1243</v>
      </c>
      <c r="B32" s="17" t="s">
        <v>294</v>
      </c>
      <c r="C32" s="18">
        <v>46147.0</v>
      </c>
      <c r="D32" s="17" t="s">
        <v>295</v>
      </c>
      <c r="E32" s="17" t="s">
        <v>64</v>
      </c>
      <c r="F32" s="21">
        <v>6.0</v>
      </c>
      <c r="G32" s="22">
        <v>45.96</v>
      </c>
      <c r="H32" s="17" t="s">
        <v>93</v>
      </c>
      <c r="I32" s="22">
        <f>F32-IFERROR(VLOOKUP(B32,crm_orders!$A:$S,10,FALSE),0)</f>
        <v>-24</v>
      </c>
      <c r="J32" s="22">
        <f>G32-IFERROR(VLOOKUP(B32,crm_orders!$A:$S,12,FALSE),0)</f>
        <v>-183.84</v>
      </c>
      <c r="K32" s="17" t="str">
        <f>IF(COUNTIF(crm_orders!$A:$A,B32)=0,"Orphan","OK")</f>
        <v>OK</v>
      </c>
    </row>
    <row r="33" ht="15.75" customHeight="1">
      <c r="A33" s="25" t="s">
        <v>1244</v>
      </c>
      <c r="B33" s="25" t="s">
        <v>72</v>
      </c>
      <c r="C33" s="26">
        <v>46036.0</v>
      </c>
      <c r="D33" s="25" t="s">
        <v>73</v>
      </c>
      <c r="E33" s="25" t="s">
        <v>74</v>
      </c>
      <c r="F33" s="29">
        <v>96.0</v>
      </c>
      <c r="G33" s="30">
        <v>1002.24</v>
      </c>
      <c r="H33" s="25" t="s">
        <v>1214</v>
      </c>
      <c r="I33" s="30">
        <f>F33-IFERROR(VLOOKUP(B33,crm_orders!$A:$S,10,FALSE),0)</f>
        <v>0</v>
      </c>
      <c r="J33" s="30">
        <f>G33-IFERROR(VLOOKUP(B33,crm_orders!$A:$S,12,FALSE),0)</f>
        <v>0</v>
      </c>
      <c r="K33" s="25" t="str">
        <f>IF(COUNTIF(crm_orders!$A:$A,B33)=0,"Orphan","OK")</f>
        <v>OK</v>
      </c>
    </row>
    <row r="34" ht="15.75" customHeight="1">
      <c r="A34" s="17" t="s">
        <v>1245</v>
      </c>
      <c r="B34" s="17" t="s">
        <v>1076</v>
      </c>
      <c r="C34" s="18">
        <v>46145.0</v>
      </c>
      <c r="D34" s="17" t="s">
        <v>1077</v>
      </c>
      <c r="E34" s="17" t="s">
        <v>74</v>
      </c>
      <c r="F34" s="21">
        <v>30.0</v>
      </c>
      <c r="G34" s="22">
        <v>323.1</v>
      </c>
      <c r="H34" s="17" t="s">
        <v>1214</v>
      </c>
      <c r="I34" s="22">
        <f>F34-IFERROR(VLOOKUP(B34,crm_orders!$A:$S,10,FALSE),0)</f>
        <v>0</v>
      </c>
      <c r="J34" s="22">
        <f>G34-IFERROR(VLOOKUP(B34,crm_orders!$A:$S,12,FALSE),0)</f>
        <v>0</v>
      </c>
      <c r="K34" s="17" t="str">
        <f>IF(COUNTIF(crm_orders!$A:$A,B34)=0,"Orphan","OK")</f>
        <v>OK</v>
      </c>
    </row>
    <row r="35" ht="15.75" customHeight="1">
      <c r="A35" s="25" t="s">
        <v>1246</v>
      </c>
      <c r="B35" s="25" t="s">
        <v>707</v>
      </c>
      <c r="C35" s="26">
        <v>46033.0</v>
      </c>
      <c r="D35" s="25" t="s">
        <v>708</v>
      </c>
      <c r="E35" s="25" t="s">
        <v>81</v>
      </c>
      <c r="F35" s="29">
        <v>60.0</v>
      </c>
      <c r="G35" s="30">
        <v>399.0</v>
      </c>
      <c r="H35" s="25" t="s">
        <v>1214</v>
      </c>
      <c r="I35" s="30">
        <f>F35-IFERROR(VLOOKUP(B35,crm_orders!$A:$S,10,FALSE),0)</f>
        <v>0</v>
      </c>
      <c r="J35" s="30">
        <f>G35-IFERROR(VLOOKUP(B35,crm_orders!$A:$S,12,FALSE),0)</f>
        <v>0</v>
      </c>
      <c r="K35" s="25" t="str">
        <f>IF(COUNTIF(crm_orders!$A:$A,B35)=0,"Orphan","OK")</f>
        <v>OK</v>
      </c>
    </row>
    <row r="36" ht="15.75" customHeight="1">
      <c r="A36" s="17" t="s">
        <v>1247</v>
      </c>
      <c r="B36" s="17" t="s">
        <v>546</v>
      </c>
      <c r="C36" s="18">
        <v>46088.0</v>
      </c>
      <c r="D36" s="17" t="s">
        <v>547</v>
      </c>
      <c r="E36" s="17" t="s">
        <v>81</v>
      </c>
      <c r="F36" s="21">
        <v>36.0</v>
      </c>
      <c r="G36" s="22">
        <v>237.6</v>
      </c>
      <c r="H36" s="17" t="s">
        <v>93</v>
      </c>
      <c r="I36" s="22">
        <f>F36-IFERROR(VLOOKUP(B36,crm_orders!$A:$S,10,FALSE),0)</f>
        <v>-12</v>
      </c>
      <c r="J36" s="22">
        <f>G36-IFERROR(VLOOKUP(B36,crm_orders!$A:$S,12,FALSE),0)</f>
        <v>-79.2</v>
      </c>
      <c r="K36" s="17" t="str">
        <f>IF(COUNTIF(crm_orders!$A:$A,B36)=0,"Orphan","OK")</f>
        <v>OK</v>
      </c>
    </row>
    <row r="37" ht="15.75" customHeight="1">
      <c r="A37" s="25" t="s">
        <v>1248</v>
      </c>
      <c r="B37" s="25" t="s">
        <v>298</v>
      </c>
      <c r="C37" s="26">
        <v>46098.0</v>
      </c>
      <c r="D37" s="25" t="s">
        <v>299</v>
      </c>
      <c r="E37" s="25" t="s">
        <v>115</v>
      </c>
      <c r="F37" s="29">
        <v>18.0</v>
      </c>
      <c r="G37" s="30">
        <v>219.78</v>
      </c>
      <c r="H37" s="25" t="s">
        <v>1214</v>
      </c>
      <c r="I37" s="30">
        <f>F37-IFERROR(VLOOKUP(B37,crm_orders!$A:$S,10,FALSE),0)</f>
        <v>0</v>
      </c>
      <c r="J37" s="30">
        <f>G37-IFERROR(VLOOKUP(B37,crm_orders!$A:$S,12,FALSE),0)</f>
        <v>0</v>
      </c>
      <c r="K37" s="25" t="str">
        <f>IF(COUNTIF(crm_orders!$A:$A,B37)=0,"Orphan","OK")</f>
        <v>OK</v>
      </c>
    </row>
    <row r="38" ht="15.75" customHeight="1">
      <c r="A38" s="17" t="s">
        <v>1249</v>
      </c>
      <c r="B38" s="17" t="s">
        <v>176</v>
      </c>
      <c r="C38" s="18">
        <v>46123.0</v>
      </c>
      <c r="D38" s="17" t="s">
        <v>177</v>
      </c>
      <c r="E38" s="17" t="s">
        <v>123</v>
      </c>
      <c r="F38" s="21">
        <v>18.0</v>
      </c>
      <c r="G38" s="22">
        <v>186.12</v>
      </c>
      <c r="H38" s="17" t="s">
        <v>1214</v>
      </c>
      <c r="I38" s="22">
        <f>F38-IFERROR(VLOOKUP(B38,crm_orders!$A:$S,10,FALSE),0)</f>
        <v>0</v>
      </c>
      <c r="J38" s="22">
        <f>G38-IFERROR(VLOOKUP(B38,crm_orders!$A:$S,12,FALSE),0)</f>
        <v>0</v>
      </c>
      <c r="K38" s="17" t="str">
        <f>IF(COUNTIF(crm_orders!$A:$A,B38)=0,"Orphan","OK")</f>
        <v>OK</v>
      </c>
    </row>
    <row r="39" ht="15.75" customHeight="1">
      <c r="A39" s="25" t="s">
        <v>1250</v>
      </c>
      <c r="B39" s="25" t="s">
        <v>76</v>
      </c>
      <c r="C39" s="26">
        <v>46115.0</v>
      </c>
      <c r="D39" s="25" t="s">
        <v>77</v>
      </c>
      <c r="E39" s="25" t="s">
        <v>78</v>
      </c>
      <c r="F39" s="29">
        <v>18.0</v>
      </c>
      <c r="G39" s="30">
        <v>193.5</v>
      </c>
      <c r="H39" s="25" t="s">
        <v>1214</v>
      </c>
      <c r="I39" s="30">
        <f>F39-IFERROR(VLOOKUP(B39,crm_orders!$A:$S,10,FALSE),0)</f>
        <v>0</v>
      </c>
      <c r="J39" s="30">
        <f>G39-IFERROR(VLOOKUP(B39,crm_orders!$A:$S,12,FALSE),0)</f>
        <v>0</v>
      </c>
      <c r="K39" s="25" t="str">
        <f>IF(COUNTIF(crm_orders!$A:$A,B39)=0,"Orphan","OK")</f>
        <v>OK</v>
      </c>
    </row>
    <row r="40" ht="15.75" customHeight="1">
      <c r="A40" s="17" t="s">
        <v>1251</v>
      </c>
      <c r="B40" s="17" t="s">
        <v>854</v>
      </c>
      <c r="C40" s="18">
        <v>46087.0</v>
      </c>
      <c r="D40" s="17" t="s">
        <v>855</v>
      </c>
      <c r="E40" s="17" t="s">
        <v>123</v>
      </c>
      <c r="F40" s="21">
        <v>72.0</v>
      </c>
      <c r="G40" s="22">
        <v>719.28</v>
      </c>
      <c r="H40" s="17" t="s">
        <v>1214</v>
      </c>
      <c r="I40" s="22">
        <f>F40-IFERROR(VLOOKUP(B40,crm_orders!$A:$S,10,FALSE),0)</f>
        <v>0</v>
      </c>
      <c r="J40" s="22">
        <f>G40-IFERROR(VLOOKUP(B40,crm_orders!$A:$S,12,FALSE),0)</f>
        <v>0</v>
      </c>
      <c r="K40" s="17" t="str">
        <f>IF(COUNTIF(crm_orders!$A:$A,B40)=0,"Orphan","OK")</f>
        <v>OK</v>
      </c>
    </row>
    <row r="41" ht="15.75" customHeight="1">
      <c r="A41" s="25" t="s">
        <v>1252</v>
      </c>
      <c r="B41" s="25" t="s">
        <v>956</v>
      </c>
      <c r="C41" s="26">
        <v>46077.0</v>
      </c>
      <c r="D41" s="25" t="s">
        <v>957</v>
      </c>
      <c r="E41" s="25" t="s">
        <v>108</v>
      </c>
      <c r="F41" s="29">
        <v>66.0</v>
      </c>
      <c r="G41" s="30">
        <v>676.5</v>
      </c>
      <c r="H41" s="25" t="s">
        <v>93</v>
      </c>
      <c r="I41" s="30">
        <f>F41-IFERROR(VLOOKUP(B41,crm_orders!$A:$S,10,FALSE),0)</f>
        <v>-6</v>
      </c>
      <c r="J41" s="30">
        <f>G41-IFERROR(VLOOKUP(B41,crm_orders!$A:$S,12,FALSE),0)</f>
        <v>-61.5</v>
      </c>
      <c r="K41" s="25" t="str">
        <f>IF(COUNTIF(crm_orders!$A:$A,B41)=0,"Orphan","OK")</f>
        <v>OK</v>
      </c>
    </row>
    <row r="42" ht="15.75" customHeight="1">
      <c r="A42" s="17" t="s">
        <v>1253</v>
      </c>
      <c r="B42" s="17" t="s">
        <v>1127</v>
      </c>
      <c r="C42" s="18">
        <v>46081.0</v>
      </c>
      <c r="D42" s="17" t="s">
        <v>1122</v>
      </c>
      <c r="E42" s="17" t="s">
        <v>85</v>
      </c>
      <c r="F42" s="21">
        <v>72.0</v>
      </c>
      <c r="G42" s="22">
        <v>735.84</v>
      </c>
      <c r="H42" s="17" t="s">
        <v>1214</v>
      </c>
      <c r="I42" s="22">
        <f>F42-IFERROR(VLOOKUP(B42,crm_orders!$A:$S,10,FALSE),0)</f>
        <v>0</v>
      </c>
      <c r="J42" s="22">
        <f>G42-IFERROR(VLOOKUP(B42,crm_orders!$A:$S,12,FALSE),0)</f>
        <v>0</v>
      </c>
      <c r="K42" s="17" t="str">
        <f>IF(COUNTIF(crm_orders!$A:$A,B42)=0,"Orphan","OK")</f>
        <v>OK</v>
      </c>
    </row>
    <row r="43" ht="15.75" customHeight="1">
      <c r="A43" s="25" t="s">
        <v>1254</v>
      </c>
      <c r="B43" s="25" t="s">
        <v>548</v>
      </c>
      <c r="C43" s="26">
        <v>46110.0</v>
      </c>
      <c r="D43" s="25" t="s">
        <v>542</v>
      </c>
      <c r="E43" s="25" t="s">
        <v>123</v>
      </c>
      <c r="F43" s="29">
        <v>24.0</v>
      </c>
      <c r="G43" s="30">
        <v>244.32</v>
      </c>
      <c r="H43" s="25" t="s">
        <v>93</v>
      </c>
      <c r="I43" s="30">
        <f>F43-IFERROR(VLOOKUP(B43,crm_orders!$A:$S,10,FALSE),0)</f>
        <v>-24</v>
      </c>
      <c r="J43" s="30">
        <f>G43-IFERROR(VLOOKUP(B43,crm_orders!$A:$S,12,FALSE),0)</f>
        <v>-244.32</v>
      </c>
      <c r="K43" s="25" t="str">
        <f>IF(COUNTIF(crm_orders!$A:$A,B43)=0,"Orphan","OK")</f>
        <v>OK</v>
      </c>
    </row>
    <row r="44" ht="15.75" customHeight="1">
      <c r="A44" s="17" t="s">
        <v>1255</v>
      </c>
      <c r="B44" s="17" t="s">
        <v>958</v>
      </c>
      <c r="C44" s="18">
        <v>46094.0</v>
      </c>
      <c r="D44" s="17" t="s">
        <v>950</v>
      </c>
      <c r="E44" s="17" t="s">
        <v>85</v>
      </c>
      <c r="F44" s="21">
        <v>6.0</v>
      </c>
      <c r="G44" s="22">
        <v>56.88</v>
      </c>
      <c r="H44" s="17" t="s">
        <v>1214</v>
      </c>
      <c r="I44" s="22">
        <f>F44-IFERROR(VLOOKUP(B44,crm_orders!$A:$S,10,FALSE),0)</f>
        <v>0</v>
      </c>
      <c r="J44" s="22">
        <f>G44-IFERROR(VLOOKUP(B44,crm_orders!$A:$S,12,FALSE),0)</f>
        <v>0</v>
      </c>
      <c r="K44" s="17" t="str">
        <f>IF(COUNTIF(crm_orders!$A:$A,B44)=0,"Orphan","OK")</f>
        <v>OK</v>
      </c>
    </row>
    <row r="45" ht="15.75" customHeight="1">
      <c r="A45" s="25" t="s">
        <v>1256</v>
      </c>
      <c r="B45" s="25" t="s">
        <v>300</v>
      </c>
      <c r="C45" s="26">
        <v>46113.0</v>
      </c>
      <c r="D45" s="25" t="s">
        <v>301</v>
      </c>
      <c r="E45" s="25" t="s">
        <v>106</v>
      </c>
      <c r="F45" s="29">
        <v>12.0</v>
      </c>
      <c r="G45" s="30">
        <v>138.12</v>
      </c>
      <c r="H45" s="25" t="s">
        <v>1214</v>
      </c>
      <c r="I45" s="30">
        <f>F45-IFERROR(VLOOKUP(B45,crm_orders!$A:$S,10,FALSE),0)</f>
        <v>0</v>
      </c>
      <c r="J45" s="30">
        <f>G45-IFERROR(VLOOKUP(B45,crm_orders!$A:$S,12,FALSE),0)</f>
        <v>0</v>
      </c>
      <c r="K45" s="25" t="str">
        <f>IF(COUNTIF(crm_orders!$A:$A,B45)=0,"Orphan","OK")</f>
        <v>OK</v>
      </c>
    </row>
    <row r="46" ht="15.75" customHeight="1">
      <c r="A46" s="17" t="s">
        <v>1257</v>
      </c>
      <c r="B46" s="17" t="s">
        <v>178</v>
      </c>
      <c r="C46" s="18">
        <v>46144.0</v>
      </c>
      <c r="D46" s="17" t="s">
        <v>179</v>
      </c>
      <c r="E46" s="17" t="s">
        <v>90</v>
      </c>
      <c r="F46" s="21">
        <v>72.0</v>
      </c>
      <c r="G46" s="22">
        <v>489.6</v>
      </c>
      <c r="H46" s="17" t="s">
        <v>1214</v>
      </c>
      <c r="I46" s="22">
        <f>F46-IFERROR(VLOOKUP(B46,crm_orders!$A:$S,10,FALSE),0)</f>
        <v>0</v>
      </c>
      <c r="J46" s="22">
        <f>G46-IFERROR(VLOOKUP(B46,crm_orders!$A:$S,12,FALSE),0)</f>
        <v>0</v>
      </c>
      <c r="K46" s="17" t="str">
        <f>IF(COUNTIF(crm_orders!$A:$A,B46)=0,"Orphan","OK")</f>
        <v>OK</v>
      </c>
    </row>
    <row r="47" ht="15.75" customHeight="1">
      <c r="A47" s="25" t="s">
        <v>1258</v>
      </c>
      <c r="B47" s="25" t="s">
        <v>302</v>
      </c>
      <c r="C47" s="26">
        <v>46121.0</v>
      </c>
      <c r="D47" s="25" t="s">
        <v>303</v>
      </c>
      <c r="E47" s="25" t="s">
        <v>78</v>
      </c>
      <c r="F47" s="29">
        <v>120.0</v>
      </c>
      <c r="G47" s="30">
        <v>1342.8</v>
      </c>
      <c r="H47" s="25" t="s">
        <v>1214</v>
      </c>
      <c r="I47" s="30">
        <f>F47-IFERROR(VLOOKUP(B47,crm_orders!$A:$S,10,FALSE),0)</f>
        <v>0</v>
      </c>
      <c r="J47" s="30">
        <f>G47-IFERROR(VLOOKUP(B47,crm_orders!$A:$S,12,FALSE),0)</f>
        <v>0</v>
      </c>
      <c r="K47" s="25" t="str">
        <f>IF(COUNTIF(crm_orders!$A:$A,B47)=0,"Orphan","OK")</f>
        <v>OK</v>
      </c>
    </row>
    <row r="48" ht="15.75" customHeight="1">
      <c r="A48" s="17" t="s">
        <v>1259</v>
      </c>
      <c r="B48" s="17" t="s">
        <v>959</v>
      </c>
      <c r="C48" s="18">
        <v>46070.0</v>
      </c>
      <c r="D48" s="17" t="s">
        <v>957</v>
      </c>
      <c r="E48" s="17" t="s">
        <v>95</v>
      </c>
      <c r="F48" s="21">
        <v>12.0</v>
      </c>
      <c r="G48" s="22">
        <v>122.88</v>
      </c>
      <c r="H48" s="17" t="s">
        <v>93</v>
      </c>
      <c r="I48" s="22">
        <f>F48-IFERROR(VLOOKUP(B48,crm_orders!$A:$S,10,FALSE),0)</f>
        <v>-24</v>
      </c>
      <c r="J48" s="22">
        <f>G48-IFERROR(VLOOKUP(B48,crm_orders!$A:$S,12,FALSE),0)</f>
        <v>-245.76</v>
      </c>
      <c r="K48" s="17" t="str">
        <f>IF(COUNTIF(crm_orders!$A:$A,B48)=0,"Orphan","OK")</f>
        <v>OK</v>
      </c>
    </row>
    <row r="49" ht="15.75" customHeight="1">
      <c r="A49" s="25" t="s">
        <v>1260</v>
      </c>
      <c r="B49" s="25" t="s">
        <v>1128</v>
      </c>
      <c r="C49" s="26">
        <v>46109.0</v>
      </c>
      <c r="D49" s="25" t="s">
        <v>1129</v>
      </c>
      <c r="E49" s="25" t="s">
        <v>110</v>
      </c>
      <c r="F49" s="29">
        <v>48.0</v>
      </c>
      <c r="G49" s="30">
        <v>551.66</v>
      </c>
      <c r="H49" s="25" t="s">
        <v>1212</v>
      </c>
      <c r="I49" s="30">
        <f>F49-IFERROR(VLOOKUP(B49,crm_orders!$A:$S,10,FALSE),0)</f>
        <v>0</v>
      </c>
      <c r="J49" s="30">
        <f>G49-IFERROR(VLOOKUP(B49,crm_orders!$A:$S,12,FALSE),0)</f>
        <v>11.18</v>
      </c>
      <c r="K49" s="25" t="str">
        <f>IF(COUNTIF(crm_orders!$A:$A,B49)=0,"Orphan","OK")</f>
        <v>OK</v>
      </c>
    </row>
    <row r="50" ht="15.75" customHeight="1">
      <c r="A50" s="17" t="s">
        <v>1261</v>
      </c>
      <c r="B50" s="17" t="s">
        <v>960</v>
      </c>
      <c r="C50" s="18">
        <v>46113.0</v>
      </c>
      <c r="D50" s="17" t="s">
        <v>961</v>
      </c>
      <c r="E50" s="17" t="s">
        <v>115</v>
      </c>
      <c r="F50" s="21">
        <v>6.0</v>
      </c>
      <c r="G50" s="22">
        <v>72.9</v>
      </c>
      <c r="H50" s="17" t="s">
        <v>1214</v>
      </c>
      <c r="I50" s="22">
        <f>F50-IFERROR(VLOOKUP(B50,crm_orders!$A:$S,10,FALSE),0)</f>
        <v>0</v>
      </c>
      <c r="J50" s="22">
        <f>G50-IFERROR(VLOOKUP(B50,crm_orders!$A:$S,12,FALSE),0)</f>
        <v>0</v>
      </c>
      <c r="K50" s="17" t="str">
        <f>IF(COUNTIF(crm_orders!$A:$A,B50)=0,"Orphan","OK")</f>
        <v>OK</v>
      </c>
    </row>
    <row r="51" ht="15.75" customHeight="1">
      <c r="A51" s="25" t="s">
        <v>1262</v>
      </c>
      <c r="B51" s="25" t="s">
        <v>962</v>
      </c>
      <c r="C51" s="26">
        <v>46066.0</v>
      </c>
      <c r="D51" s="25" t="s">
        <v>963</v>
      </c>
      <c r="E51" s="25" t="s">
        <v>64</v>
      </c>
      <c r="F51" s="29">
        <v>120.0</v>
      </c>
      <c r="G51" s="30">
        <v>1016.4</v>
      </c>
      <c r="H51" s="25" t="s">
        <v>1214</v>
      </c>
      <c r="I51" s="30">
        <f>F51-IFERROR(VLOOKUP(B51,crm_orders!$A:$S,10,FALSE),0)</f>
        <v>0</v>
      </c>
      <c r="J51" s="30">
        <f>G51-IFERROR(VLOOKUP(B51,crm_orders!$A:$S,12,FALSE),0)</f>
        <v>0</v>
      </c>
      <c r="K51" s="25" t="str">
        <f>IF(COUNTIF(crm_orders!$A:$A,B51)=0,"Orphan","OK")</f>
        <v>OK</v>
      </c>
    </row>
    <row r="52" ht="15.75" customHeight="1">
      <c r="A52" s="17" t="s">
        <v>1263</v>
      </c>
      <c r="B52" s="17" t="s">
        <v>1130</v>
      </c>
      <c r="C52" s="18">
        <v>46058.0</v>
      </c>
      <c r="D52" s="17" t="s">
        <v>1131</v>
      </c>
      <c r="E52" s="17" t="s">
        <v>78</v>
      </c>
      <c r="F52" s="21">
        <v>48.0</v>
      </c>
      <c r="G52" s="22">
        <v>523.2</v>
      </c>
      <c r="H52" s="17" t="s">
        <v>1214</v>
      </c>
      <c r="I52" s="22">
        <f>F52-IFERROR(VLOOKUP(B52,crm_orders!$A:$S,10,FALSE),0)</f>
        <v>0</v>
      </c>
      <c r="J52" s="22">
        <f>G52-IFERROR(VLOOKUP(B52,crm_orders!$A:$S,12,FALSE),0)</f>
        <v>0</v>
      </c>
      <c r="K52" s="17" t="str">
        <f>IF(COUNTIF(crm_orders!$A:$A,B52)=0,"Orphan","OK")</f>
        <v>OK</v>
      </c>
    </row>
    <row r="53" ht="15.75" customHeight="1">
      <c r="A53" s="25" t="s">
        <v>1264</v>
      </c>
      <c r="B53" s="25" t="s">
        <v>858</v>
      </c>
      <c r="C53" s="26">
        <v>46037.0</v>
      </c>
      <c r="D53" s="25" t="s">
        <v>859</v>
      </c>
      <c r="E53" s="25" t="s">
        <v>115</v>
      </c>
      <c r="F53" s="29">
        <v>96.0</v>
      </c>
      <c r="G53" s="30">
        <v>1158.72</v>
      </c>
      <c r="H53" s="25" t="s">
        <v>1214</v>
      </c>
      <c r="I53" s="30">
        <f>F53-IFERROR(VLOOKUP(B53,crm_orders!$A:$S,10,FALSE),0)</f>
        <v>0</v>
      </c>
      <c r="J53" s="30">
        <f>G53-IFERROR(VLOOKUP(B53,crm_orders!$A:$S,12,FALSE),0)</f>
        <v>0</v>
      </c>
      <c r="K53" s="25" t="str">
        <f>IF(COUNTIF(crm_orders!$A:$A,B53)=0,"Orphan","OK")</f>
        <v>OK</v>
      </c>
    </row>
    <row r="54" ht="15.75" customHeight="1">
      <c r="A54" s="17" t="s">
        <v>1265</v>
      </c>
      <c r="B54" s="17" t="s">
        <v>860</v>
      </c>
      <c r="C54" s="18">
        <v>46131.0</v>
      </c>
      <c r="D54" s="17" t="s">
        <v>861</v>
      </c>
      <c r="E54" s="17" t="s">
        <v>102</v>
      </c>
      <c r="F54" s="21">
        <v>24.0</v>
      </c>
      <c r="G54" s="22">
        <v>269.76</v>
      </c>
      <c r="H54" s="17" t="s">
        <v>1214</v>
      </c>
      <c r="I54" s="22">
        <f>F54-IFERROR(VLOOKUP(B54,crm_orders!$A:$S,10,FALSE),0)</f>
        <v>0</v>
      </c>
      <c r="J54" s="22">
        <f>G54-IFERROR(VLOOKUP(B54,crm_orders!$A:$S,12,FALSE),0)</f>
        <v>0</v>
      </c>
      <c r="K54" s="17" t="str">
        <f>IF(COUNTIF(crm_orders!$A:$A,B54)=0,"Orphan","OK")</f>
        <v>OK</v>
      </c>
    </row>
    <row r="55" ht="15.75" customHeight="1">
      <c r="A55" s="25" t="s">
        <v>1266</v>
      </c>
      <c r="B55" s="25" t="s">
        <v>180</v>
      </c>
      <c r="C55" s="26">
        <v>46115.0</v>
      </c>
      <c r="D55" s="25" t="s">
        <v>181</v>
      </c>
      <c r="E55" s="25" t="s">
        <v>85</v>
      </c>
      <c r="F55" s="29">
        <v>12.0</v>
      </c>
      <c r="G55" s="30">
        <v>132.96</v>
      </c>
      <c r="H55" s="25" t="s">
        <v>1214</v>
      </c>
      <c r="I55" s="30">
        <f>F55-IFERROR(VLOOKUP(B55,crm_orders!$A:$S,10,FALSE),0)</f>
        <v>0</v>
      </c>
      <c r="J55" s="30">
        <f>G55-IFERROR(VLOOKUP(B55,crm_orders!$A:$S,12,FALSE),0)</f>
        <v>0</v>
      </c>
      <c r="K55" s="25" t="str">
        <f>IF(COUNTIF(crm_orders!$A:$A,B55)=0,"Orphan","OK")</f>
        <v>OK</v>
      </c>
    </row>
    <row r="56" ht="15.75" customHeight="1">
      <c r="A56" s="17" t="s">
        <v>1267</v>
      </c>
      <c r="B56" s="17" t="s">
        <v>304</v>
      </c>
      <c r="C56" s="18">
        <v>46143.0</v>
      </c>
      <c r="D56" s="17" t="s">
        <v>305</v>
      </c>
      <c r="E56" s="17" t="s">
        <v>110</v>
      </c>
      <c r="F56" s="21">
        <v>18.0</v>
      </c>
      <c r="G56" s="22">
        <v>191.16</v>
      </c>
      <c r="H56" s="17" t="s">
        <v>93</v>
      </c>
      <c r="I56" s="22">
        <f>F56-IFERROR(VLOOKUP(B56,crm_orders!$A:$S,10,FALSE),0)</f>
        <v>-12</v>
      </c>
      <c r="J56" s="22">
        <f>G56-IFERROR(VLOOKUP(B56,crm_orders!$A:$S,12,FALSE),0)</f>
        <v>-127.44</v>
      </c>
      <c r="K56" s="17" t="str">
        <f>IF(COUNTIF(crm_orders!$A:$A,B56)=0,"Orphan","OK")</f>
        <v>OK</v>
      </c>
    </row>
    <row r="57" ht="15.75" customHeight="1">
      <c r="A57" s="25" t="s">
        <v>1268</v>
      </c>
      <c r="B57" s="25" t="s">
        <v>1078</v>
      </c>
      <c r="C57" s="26">
        <v>46141.0</v>
      </c>
      <c r="D57" s="25" t="s">
        <v>1079</v>
      </c>
      <c r="E57" s="25" t="s">
        <v>115</v>
      </c>
      <c r="F57" s="29">
        <v>18.0</v>
      </c>
      <c r="G57" s="30">
        <v>198.71</v>
      </c>
      <c r="H57" s="25" t="s">
        <v>1212</v>
      </c>
      <c r="I57" s="30">
        <f>F57-IFERROR(VLOOKUP(B57,crm_orders!$A:$S,10,FALSE),0)</f>
        <v>0</v>
      </c>
      <c r="J57" s="30">
        <f>G57-IFERROR(VLOOKUP(B57,crm_orders!$A:$S,12,FALSE),0)</f>
        <v>6.11</v>
      </c>
      <c r="K57" s="25" t="str">
        <f>IF(COUNTIF(crm_orders!$A:$A,B57)=0,"Orphan","OK")</f>
        <v>OK</v>
      </c>
    </row>
    <row r="58" ht="15.75" customHeight="1">
      <c r="A58" s="17" t="s">
        <v>1269</v>
      </c>
      <c r="B58" s="17" t="s">
        <v>1132</v>
      </c>
      <c r="C58" s="18">
        <v>46040.0</v>
      </c>
      <c r="D58" s="17" t="s">
        <v>1133</v>
      </c>
      <c r="E58" s="17" t="s">
        <v>74</v>
      </c>
      <c r="F58" s="21">
        <v>18.0</v>
      </c>
      <c r="G58" s="22">
        <v>217.44</v>
      </c>
      <c r="H58" s="17" t="s">
        <v>1214</v>
      </c>
      <c r="I58" s="22">
        <f>F58-IFERROR(VLOOKUP(B58,crm_orders!$A:$S,10,FALSE),0)</f>
        <v>0</v>
      </c>
      <c r="J58" s="22">
        <f>G58-IFERROR(VLOOKUP(B58,crm_orders!$A:$S,12,FALSE),0)</f>
        <v>0</v>
      </c>
      <c r="K58" s="17" t="str">
        <f>IF(COUNTIF(crm_orders!$A:$A,B58)=0,"Orphan","OK")</f>
        <v>OK</v>
      </c>
    </row>
    <row r="59" ht="15.75" customHeight="1">
      <c r="A59" s="25" t="s">
        <v>1270</v>
      </c>
      <c r="B59" s="25" t="s">
        <v>964</v>
      </c>
      <c r="C59" s="26">
        <v>46133.0</v>
      </c>
      <c r="D59" s="25" t="s">
        <v>965</v>
      </c>
      <c r="E59" s="25" t="s">
        <v>110</v>
      </c>
      <c r="F59" s="29">
        <v>48.0</v>
      </c>
      <c r="G59" s="30">
        <v>476.64</v>
      </c>
      <c r="H59" s="25" t="s">
        <v>1214</v>
      </c>
      <c r="I59" s="30">
        <f>F59-IFERROR(VLOOKUP(B59,crm_orders!$A:$S,10,FALSE),0)</f>
        <v>0</v>
      </c>
      <c r="J59" s="30">
        <f>G59-IFERROR(VLOOKUP(B59,crm_orders!$A:$S,12,FALSE),0)</f>
        <v>0</v>
      </c>
      <c r="K59" s="25" t="str">
        <f>IF(COUNTIF(crm_orders!$A:$A,B59)=0,"Orphan","OK")</f>
        <v>OK</v>
      </c>
    </row>
    <row r="60" ht="15.75" customHeight="1">
      <c r="A60" s="17" t="s">
        <v>1271</v>
      </c>
      <c r="B60" s="17" t="s">
        <v>306</v>
      </c>
      <c r="C60" s="18">
        <v>46120.0</v>
      </c>
      <c r="D60" s="17" t="s">
        <v>291</v>
      </c>
      <c r="E60" s="17" t="s">
        <v>78</v>
      </c>
      <c r="F60" s="21">
        <v>24.0</v>
      </c>
      <c r="G60" s="22">
        <v>256.56</v>
      </c>
      <c r="H60" s="17" t="s">
        <v>1214</v>
      </c>
      <c r="I60" s="22">
        <f>F60-IFERROR(VLOOKUP(B60,crm_orders!$A:$S,10,FALSE),0)</f>
        <v>0</v>
      </c>
      <c r="J60" s="22">
        <f>G60-IFERROR(VLOOKUP(B60,crm_orders!$A:$S,12,FALSE),0)</f>
        <v>0</v>
      </c>
      <c r="K60" s="17" t="str">
        <f>IF(COUNTIF(crm_orders!$A:$A,B60)=0,"Orphan","OK")</f>
        <v>OK</v>
      </c>
    </row>
    <row r="61" ht="15.75" customHeight="1">
      <c r="A61" s="25" t="s">
        <v>1272</v>
      </c>
      <c r="B61" s="25" t="s">
        <v>709</v>
      </c>
      <c r="C61" s="26">
        <v>46143.0</v>
      </c>
      <c r="D61" s="25" t="s">
        <v>710</v>
      </c>
      <c r="E61" s="25" t="s">
        <v>74</v>
      </c>
      <c r="F61" s="29">
        <v>30.0</v>
      </c>
      <c r="G61" s="30">
        <v>355.2</v>
      </c>
      <c r="H61" s="25" t="s">
        <v>1214</v>
      </c>
      <c r="I61" s="30">
        <f>F61-IFERROR(VLOOKUP(B61,crm_orders!$A:$S,10,FALSE),0)</f>
        <v>0</v>
      </c>
      <c r="J61" s="30">
        <f>G61-IFERROR(VLOOKUP(B61,crm_orders!$A:$S,12,FALSE),0)</f>
        <v>0</v>
      </c>
      <c r="K61" s="25" t="str">
        <f>IF(COUNTIF(crm_orders!$A:$A,B61)=0,"Orphan","OK")</f>
        <v>OK</v>
      </c>
    </row>
    <row r="62" ht="15.75" customHeight="1">
      <c r="A62" s="17" t="s">
        <v>1273</v>
      </c>
      <c r="B62" s="17" t="s">
        <v>711</v>
      </c>
      <c r="C62" s="18">
        <v>46142.0</v>
      </c>
      <c r="D62" s="17" t="s">
        <v>712</v>
      </c>
      <c r="E62" s="17" t="s">
        <v>123</v>
      </c>
      <c r="F62" s="21">
        <v>72.0</v>
      </c>
      <c r="G62" s="22">
        <v>717.84</v>
      </c>
      <c r="H62" s="17" t="s">
        <v>1214</v>
      </c>
      <c r="I62" s="22">
        <f>F62-IFERROR(VLOOKUP(B62,crm_orders!$A:$S,10,FALSE),0)</f>
        <v>0</v>
      </c>
      <c r="J62" s="22">
        <f>G62-IFERROR(VLOOKUP(B62,crm_orders!$A:$S,12,FALSE),0)</f>
        <v>0</v>
      </c>
      <c r="K62" s="17" t="str">
        <f>IF(COUNTIF(crm_orders!$A:$A,B62)=0,"Orphan","OK")</f>
        <v>OK</v>
      </c>
    </row>
    <row r="63" ht="15.75" customHeight="1">
      <c r="A63" s="25" t="s">
        <v>1274</v>
      </c>
      <c r="B63" s="25" t="s">
        <v>1080</v>
      </c>
      <c r="C63" s="26">
        <v>46112.0</v>
      </c>
      <c r="D63" s="25" t="s">
        <v>1081</v>
      </c>
      <c r="E63" s="25" t="s">
        <v>108</v>
      </c>
      <c r="F63" s="29">
        <v>24.0</v>
      </c>
      <c r="G63" s="30">
        <v>275.28</v>
      </c>
      <c r="H63" s="25" t="s">
        <v>1212</v>
      </c>
      <c r="I63" s="30">
        <f>F63-IFERROR(VLOOKUP(B63,crm_orders!$A:$S,10,FALSE),0)</f>
        <v>12</v>
      </c>
      <c r="J63" s="30">
        <f>G63-IFERROR(VLOOKUP(B63,crm_orders!$A:$S,12,FALSE),0)</f>
        <v>137.64</v>
      </c>
      <c r="K63" s="25" t="str">
        <f>IF(COUNTIF(crm_orders!$A:$A,B63)=0,"Orphan","OK")</f>
        <v>OK</v>
      </c>
    </row>
    <row r="64" ht="15.75" customHeight="1">
      <c r="A64" s="17" t="s">
        <v>1275</v>
      </c>
      <c r="B64" s="17" t="s">
        <v>450</v>
      </c>
      <c r="C64" s="18">
        <v>46065.0</v>
      </c>
      <c r="D64" s="17" t="s">
        <v>444</v>
      </c>
      <c r="E64" s="17" t="s">
        <v>74</v>
      </c>
      <c r="F64" s="21">
        <v>36.0</v>
      </c>
      <c r="G64" s="22">
        <v>380.88</v>
      </c>
      <c r="H64" s="17" t="s">
        <v>1214</v>
      </c>
      <c r="I64" s="22">
        <f>F64-IFERROR(VLOOKUP(B64,crm_orders!$A:$S,10,FALSE),0)</f>
        <v>0</v>
      </c>
      <c r="J64" s="22">
        <f>G64-IFERROR(VLOOKUP(B64,crm_orders!$A:$S,12,FALSE),0)</f>
        <v>0</v>
      </c>
      <c r="K64" s="17" t="str">
        <f>IF(COUNTIF(crm_orders!$A:$A,B64)=0,"Orphan","OK")</f>
        <v>OK</v>
      </c>
    </row>
    <row r="65" ht="15.75" customHeight="1">
      <c r="A65" s="25" t="s">
        <v>1276</v>
      </c>
      <c r="B65" s="25" t="s">
        <v>1082</v>
      </c>
      <c r="C65" s="26">
        <v>46048.0</v>
      </c>
      <c r="D65" s="25" t="s">
        <v>1083</v>
      </c>
      <c r="E65" s="25" t="s">
        <v>74</v>
      </c>
      <c r="F65" s="29">
        <v>120.0</v>
      </c>
      <c r="G65" s="30">
        <v>1300.8</v>
      </c>
      <c r="H65" s="25" t="s">
        <v>1214</v>
      </c>
      <c r="I65" s="30">
        <f>F65-IFERROR(VLOOKUP(B65,crm_orders!$A:$S,10,FALSE),0)</f>
        <v>0</v>
      </c>
      <c r="J65" s="30">
        <f>G65-IFERROR(VLOOKUP(B65,crm_orders!$A:$S,12,FALSE),0)</f>
        <v>0</v>
      </c>
      <c r="K65" s="25" t="str">
        <f>IF(COUNTIF(crm_orders!$A:$A,B65)=0,"Orphan","OK")</f>
        <v>OK</v>
      </c>
    </row>
    <row r="66" ht="15.75" customHeight="1">
      <c r="A66" s="17" t="s">
        <v>1277</v>
      </c>
      <c r="B66" s="17" t="s">
        <v>307</v>
      </c>
      <c r="C66" s="18">
        <v>46052.0</v>
      </c>
      <c r="D66" s="17" t="s">
        <v>305</v>
      </c>
      <c r="E66" s="17" t="s">
        <v>64</v>
      </c>
      <c r="F66" s="21">
        <v>12.0</v>
      </c>
      <c r="G66" s="22">
        <v>99.12</v>
      </c>
      <c r="H66" s="17" t="s">
        <v>1214</v>
      </c>
      <c r="I66" s="22">
        <f>F66-IFERROR(VLOOKUP(B66,crm_orders!$A:$S,10,FALSE),0)</f>
        <v>0</v>
      </c>
      <c r="J66" s="22">
        <f>G66-IFERROR(VLOOKUP(B66,crm_orders!$A:$S,12,FALSE),0)</f>
        <v>0</v>
      </c>
      <c r="K66" s="17" t="str">
        <f>IF(COUNTIF(crm_orders!$A:$A,B66)=0,"Orphan","OK")</f>
        <v>OK</v>
      </c>
    </row>
    <row r="67" ht="15.75" customHeight="1">
      <c r="A67" s="25" t="s">
        <v>1278</v>
      </c>
      <c r="B67" s="25" t="s">
        <v>862</v>
      </c>
      <c r="C67" s="26">
        <v>46030.0</v>
      </c>
      <c r="D67" s="25" t="s">
        <v>861</v>
      </c>
      <c r="E67" s="25" t="s">
        <v>71</v>
      </c>
      <c r="F67" s="29">
        <v>30.0</v>
      </c>
      <c r="G67" s="30">
        <v>249.3</v>
      </c>
      <c r="H67" s="25" t="s">
        <v>1214</v>
      </c>
      <c r="I67" s="30">
        <f>F67-IFERROR(VLOOKUP(B67,crm_orders!$A:$S,10,FALSE),0)</f>
        <v>0</v>
      </c>
      <c r="J67" s="30">
        <f>G67-IFERROR(VLOOKUP(B67,crm_orders!$A:$S,12,FALSE),0)</f>
        <v>0</v>
      </c>
      <c r="K67" s="25" t="str">
        <f>IF(COUNTIF(crm_orders!$A:$A,B67)=0,"Orphan","OK")</f>
        <v>OK</v>
      </c>
    </row>
    <row r="68" ht="15.75" customHeight="1">
      <c r="A68" s="17" t="s">
        <v>1279</v>
      </c>
      <c r="B68" s="17" t="s">
        <v>1134</v>
      </c>
      <c r="C68" s="18">
        <v>46044.0</v>
      </c>
      <c r="D68" s="17" t="s">
        <v>1122</v>
      </c>
      <c r="E68" s="17" t="s">
        <v>156</v>
      </c>
      <c r="F68" s="21">
        <v>6.0</v>
      </c>
      <c r="G68" s="22">
        <v>58.32</v>
      </c>
      <c r="H68" s="17" t="s">
        <v>1214</v>
      </c>
      <c r="I68" s="22">
        <f>F68-IFERROR(VLOOKUP(B68,crm_orders!$A:$S,10,FALSE),0)</f>
        <v>0</v>
      </c>
      <c r="J68" s="22">
        <f>G68-IFERROR(VLOOKUP(B68,crm_orders!$A:$S,12,FALSE),0)</f>
        <v>0</v>
      </c>
      <c r="K68" s="17" t="str">
        <f>IF(COUNTIF(crm_orders!$A:$A,B68)=0,"Orphan","OK")</f>
        <v>OK</v>
      </c>
    </row>
    <row r="69" ht="15.75" customHeight="1">
      <c r="A69" s="25" t="s">
        <v>1280</v>
      </c>
      <c r="B69" s="25" t="s">
        <v>863</v>
      </c>
      <c r="C69" s="26">
        <v>46092.0</v>
      </c>
      <c r="D69" s="25" t="s">
        <v>864</v>
      </c>
      <c r="E69" s="25" t="s">
        <v>108</v>
      </c>
      <c r="F69" s="29">
        <v>12.0</v>
      </c>
      <c r="G69" s="30">
        <v>135.36</v>
      </c>
      <c r="H69" s="25" t="s">
        <v>1214</v>
      </c>
      <c r="I69" s="30">
        <f>F69-IFERROR(VLOOKUP(B69,crm_orders!$A:$S,10,FALSE),0)</f>
        <v>0</v>
      </c>
      <c r="J69" s="30">
        <f>G69-IFERROR(VLOOKUP(B69,crm_orders!$A:$S,12,FALSE),0)</f>
        <v>0</v>
      </c>
      <c r="K69" s="25" t="str">
        <f>IF(COUNTIF(crm_orders!$A:$A,B69)=0,"Orphan","OK")</f>
        <v>OK</v>
      </c>
    </row>
    <row r="70" ht="15.75" customHeight="1">
      <c r="A70" s="17" t="s">
        <v>1281</v>
      </c>
      <c r="B70" s="17" t="s">
        <v>451</v>
      </c>
      <c r="C70" s="18">
        <v>46035.0</v>
      </c>
      <c r="D70" s="17" t="s">
        <v>452</v>
      </c>
      <c r="E70" s="17" t="s">
        <v>71</v>
      </c>
      <c r="F70" s="21">
        <v>114.0</v>
      </c>
      <c r="G70" s="22">
        <v>886.92</v>
      </c>
      <c r="H70" s="17" t="s">
        <v>93</v>
      </c>
      <c r="I70" s="22">
        <f>F70-IFERROR(VLOOKUP(B70,crm_orders!$A:$S,10,FALSE),0)</f>
        <v>-6</v>
      </c>
      <c r="J70" s="22">
        <f>G70-IFERROR(VLOOKUP(B70,crm_orders!$A:$S,12,FALSE),0)</f>
        <v>-46.68</v>
      </c>
      <c r="K70" s="17" t="str">
        <f>IF(COUNTIF(crm_orders!$A:$A,B70)=0,"Orphan","OK")</f>
        <v>OK</v>
      </c>
    </row>
    <row r="71" ht="15.75" customHeight="1">
      <c r="A71" s="25" t="s">
        <v>1282</v>
      </c>
      <c r="B71" s="25" t="s">
        <v>182</v>
      </c>
      <c r="C71" s="26">
        <v>46096.0</v>
      </c>
      <c r="D71" s="25" t="s">
        <v>170</v>
      </c>
      <c r="E71" s="25" t="s">
        <v>78</v>
      </c>
      <c r="F71" s="29">
        <v>60.0</v>
      </c>
      <c r="G71" s="30">
        <v>589.8</v>
      </c>
      <c r="H71" s="25" t="s">
        <v>1214</v>
      </c>
      <c r="I71" s="30">
        <f>F71-IFERROR(VLOOKUP(B71,crm_orders!$A:$S,10,FALSE),0)</f>
        <v>0</v>
      </c>
      <c r="J71" s="30">
        <f>G71-IFERROR(VLOOKUP(B71,crm_orders!$A:$S,12,FALSE),0)</f>
        <v>0</v>
      </c>
      <c r="K71" s="25" t="str">
        <f>IF(COUNTIF(crm_orders!$A:$A,B71)=0,"Orphan","OK")</f>
        <v>OK</v>
      </c>
    </row>
    <row r="72" ht="15.75" customHeight="1">
      <c r="A72" s="17" t="s">
        <v>1283</v>
      </c>
      <c r="B72" s="17" t="s">
        <v>79</v>
      </c>
      <c r="C72" s="18">
        <v>46121.0</v>
      </c>
      <c r="D72" s="17" t="s">
        <v>80</v>
      </c>
      <c r="E72" s="17" t="s">
        <v>81</v>
      </c>
      <c r="F72" s="21">
        <v>12.0</v>
      </c>
      <c r="G72" s="22">
        <v>84.96</v>
      </c>
      <c r="H72" s="17" t="s">
        <v>93</v>
      </c>
      <c r="I72" s="22">
        <f>F72-IFERROR(VLOOKUP(B72,crm_orders!$A:$S,10,FALSE),0)</f>
        <v>-24</v>
      </c>
      <c r="J72" s="22">
        <f>G72-IFERROR(VLOOKUP(B72,crm_orders!$A:$S,12,FALSE),0)</f>
        <v>-169.92</v>
      </c>
      <c r="K72" s="17" t="str">
        <f>IF(COUNTIF(crm_orders!$A:$A,B72)=0,"Orphan","OK")</f>
        <v>OK</v>
      </c>
    </row>
    <row r="73" ht="15.75" customHeight="1">
      <c r="A73" s="25" t="s">
        <v>1284</v>
      </c>
      <c r="B73" s="25" t="s">
        <v>713</v>
      </c>
      <c r="C73" s="26">
        <v>46140.0</v>
      </c>
      <c r="D73" s="25" t="s">
        <v>714</v>
      </c>
      <c r="E73" s="25" t="s">
        <v>78</v>
      </c>
      <c r="F73" s="29">
        <v>120.0</v>
      </c>
      <c r="G73" s="30">
        <v>1328.4</v>
      </c>
      <c r="H73" s="25" t="s">
        <v>1214</v>
      </c>
      <c r="I73" s="30">
        <f>F73-IFERROR(VLOOKUP(B73,crm_orders!$A:$S,10,FALSE),0)</f>
        <v>0</v>
      </c>
      <c r="J73" s="30">
        <f>G73-IFERROR(VLOOKUP(B73,crm_orders!$A:$S,12,FALSE),0)</f>
        <v>0</v>
      </c>
      <c r="K73" s="25" t="str">
        <f>IF(COUNTIF(crm_orders!$A:$A,B73)=0,"Orphan","OK")</f>
        <v>OK</v>
      </c>
    </row>
    <row r="74" ht="15.75" customHeight="1">
      <c r="A74" s="17" t="s">
        <v>1285</v>
      </c>
      <c r="B74" s="17" t="s">
        <v>308</v>
      </c>
      <c r="C74" s="18">
        <v>46129.0</v>
      </c>
      <c r="D74" s="17" t="s">
        <v>297</v>
      </c>
      <c r="E74" s="17" t="s">
        <v>92</v>
      </c>
      <c r="F74" s="21">
        <v>60.0</v>
      </c>
      <c r="G74" s="22">
        <v>617.4</v>
      </c>
      <c r="H74" s="17" t="s">
        <v>1214</v>
      </c>
      <c r="I74" s="22">
        <f>F74-IFERROR(VLOOKUP(B74,crm_orders!$A:$S,10,FALSE),0)</f>
        <v>0</v>
      </c>
      <c r="J74" s="22">
        <f>G74-IFERROR(VLOOKUP(B74,crm_orders!$A:$S,12,FALSE),0)</f>
        <v>0</v>
      </c>
      <c r="K74" s="17" t="str">
        <f>IF(COUNTIF(crm_orders!$A:$A,B74)=0,"Orphan","OK")</f>
        <v>OK</v>
      </c>
    </row>
    <row r="75" ht="15.75" customHeight="1">
      <c r="A75" s="25" t="s">
        <v>1286</v>
      </c>
      <c r="B75" s="25" t="s">
        <v>1084</v>
      </c>
      <c r="C75" s="26">
        <v>46042.0</v>
      </c>
      <c r="D75" s="25" t="s">
        <v>1081</v>
      </c>
      <c r="E75" s="25" t="s">
        <v>90</v>
      </c>
      <c r="F75" s="29">
        <v>12.0</v>
      </c>
      <c r="G75" s="30">
        <v>96.0</v>
      </c>
      <c r="H75" s="25" t="s">
        <v>1214</v>
      </c>
      <c r="I75" s="30">
        <f>F75-IFERROR(VLOOKUP(B75,crm_orders!$A:$S,10,FALSE),0)</f>
        <v>0</v>
      </c>
      <c r="J75" s="30">
        <f>G75-IFERROR(VLOOKUP(B75,crm_orders!$A:$S,12,FALSE),0)</f>
        <v>0</v>
      </c>
      <c r="K75" s="25" t="str">
        <f>IF(COUNTIF(crm_orders!$A:$A,B75)=0,"Orphan","OK")</f>
        <v>OK</v>
      </c>
    </row>
    <row r="76" ht="15.75" customHeight="1">
      <c r="A76" s="17" t="s">
        <v>1287</v>
      </c>
      <c r="B76" s="17" t="s">
        <v>1135</v>
      </c>
      <c r="C76" s="18">
        <v>46098.0</v>
      </c>
      <c r="D76" s="17" t="s">
        <v>1136</v>
      </c>
      <c r="E76" s="17" t="s">
        <v>81</v>
      </c>
      <c r="F76" s="21">
        <v>42.0</v>
      </c>
      <c r="G76" s="22">
        <v>315.0</v>
      </c>
      <c r="H76" s="17" t="s">
        <v>1212</v>
      </c>
      <c r="I76" s="22">
        <f>F76-IFERROR(VLOOKUP(B76,crm_orders!$A:$S,10,FALSE),0)</f>
        <v>6</v>
      </c>
      <c r="J76" s="22">
        <f>G76-IFERROR(VLOOKUP(B76,crm_orders!$A:$S,12,FALSE),0)</f>
        <v>45</v>
      </c>
      <c r="K76" s="17" t="str">
        <f>IF(COUNTIF(crm_orders!$A:$A,B76)=0,"Orphan","OK")</f>
        <v>OK</v>
      </c>
    </row>
    <row r="77" ht="15.75" customHeight="1">
      <c r="A77" s="25" t="s">
        <v>1288</v>
      </c>
      <c r="B77" s="25" t="s">
        <v>715</v>
      </c>
      <c r="C77" s="26">
        <v>46076.0</v>
      </c>
      <c r="D77" s="25" t="s">
        <v>706</v>
      </c>
      <c r="E77" s="25" t="s">
        <v>71</v>
      </c>
      <c r="F77" s="29">
        <v>36.0</v>
      </c>
      <c r="G77" s="30">
        <v>257.04</v>
      </c>
      <c r="H77" s="25" t="s">
        <v>1214</v>
      </c>
      <c r="I77" s="30">
        <f>F77-IFERROR(VLOOKUP(B77,crm_orders!$A:$S,10,FALSE),0)</f>
        <v>0</v>
      </c>
      <c r="J77" s="30">
        <f>G77-IFERROR(VLOOKUP(B77,crm_orders!$A:$S,12,FALSE),0)</f>
        <v>0</v>
      </c>
      <c r="K77" s="25" t="str">
        <f>IF(COUNTIF(crm_orders!$A:$A,B77)=0,"Orphan","OK")</f>
        <v>OK</v>
      </c>
    </row>
    <row r="78" ht="15.75" customHeight="1">
      <c r="A78" s="17" t="s">
        <v>1289</v>
      </c>
      <c r="B78" s="17" t="s">
        <v>716</v>
      </c>
      <c r="C78" s="18">
        <v>46080.0</v>
      </c>
      <c r="D78" s="17" t="s">
        <v>717</v>
      </c>
      <c r="E78" s="17" t="s">
        <v>81</v>
      </c>
      <c r="F78" s="21">
        <v>12.0</v>
      </c>
      <c r="G78" s="22">
        <v>91.56</v>
      </c>
      <c r="H78" s="17" t="s">
        <v>1214</v>
      </c>
      <c r="I78" s="22">
        <f>F78-IFERROR(VLOOKUP(B78,crm_orders!$A:$S,10,FALSE),0)</f>
        <v>0</v>
      </c>
      <c r="J78" s="22">
        <f>G78-IFERROR(VLOOKUP(B78,crm_orders!$A:$S,12,FALSE),0)</f>
        <v>0</v>
      </c>
      <c r="K78" s="17" t="str">
        <f>IF(COUNTIF(crm_orders!$A:$A,B78)=0,"Orphan","OK")</f>
        <v>OK</v>
      </c>
    </row>
    <row r="79" ht="15.75" customHeight="1">
      <c r="A79" s="25" t="s">
        <v>1290</v>
      </c>
      <c r="B79" s="25" t="s">
        <v>549</v>
      </c>
      <c r="C79" s="26">
        <v>46037.0</v>
      </c>
      <c r="D79" s="25" t="s">
        <v>550</v>
      </c>
      <c r="E79" s="25" t="s">
        <v>81</v>
      </c>
      <c r="F79" s="29">
        <v>96.0</v>
      </c>
      <c r="G79" s="30">
        <v>755.52</v>
      </c>
      <c r="H79" s="25" t="s">
        <v>1214</v>
      </c>
      <c r="I79" s="30">
        <f>F79-IFERROR(VLOOKUP(B79,crm_orders!$A:$S,10,FALSE),0)</f>
        <v>0</v>
      </c>
      <c r="J79" s="30">
        <f>G79-IFERROR(VLOOKUP(B79,crm_orders!$A:$S,12,FALSE),0)</f>
        <v>0</v>
      </c>
      <c r="K79" s="25" t="str">
        <f>IF(COUNTIF(crm_orders!$A:$A,B79)=0,"Orphan","OK")</f>
        <v>OK</v>
      </c>
    </row>
    <row r="80" ht="15.75" customHeight="1">
      <c r="A80" s="17" t="s">
        <v>1291</v>
      </c>
      <c r="B80" s="17" t="s">
        <v>453</v>
      </c>
      <c r="C80" s="18">
        <v>46078.0</v>
      </c>
      <c r="D80" s="17" t="s">
        <v>454</v>
      </c>
      <c r="E80" s="17" t="s">
        <v>92</v>
      </c>
      <c r="F80" s="21">
        <v>6.0</v>
      </c>
      <c r="G80" s="22">
        <v>58.98</v>
      </c>
      <c r="H80" s="17" t="s">
        <v>1214</v>
      </c>
      <c r="I80" s="22">
        <f>F80-IFERROR(VLOOKUP(B80,crm_orders!$A:$S,10,FALSE),0)</f>
        <v>0</v>
      </c>
      <c r="J80" s="22">
        <f>G80-IFERROR(VLOOKUP(B80,crm_orders!$A:$S,12,FALSE),0)</f>
        <v>0</v>
      </c>
      <c r="K80" s="17" t="str">
        <f>IF(COUNTIF(crm_orders!$A:$A,B80)=0,"Orphan","OK")</f>
        <v>OK</v>
      </c>
    </row>
    <row r="81" ht="15.75" customHeight="1">
      <c r="A81" s="25" t="s">
        <v>1292</v>
      </c>
      <c r="B81" s="25" t="s">
        <v>551</v>
      </c>
      <c r="C81" s="26">
        <v>46121.0</v>
      </c>
      <c r="D81" s="25" t="s">
        <v>540</v>
      </c>
      <c r="E81" s="25" t="s">
        <v>110</v>
      </c>
      <c r="F81" s="29">
        <v>72.0</v>
      </c>
      <c r="G81" s="30">
        <v>746.64</v>
      </c>
      <c r="H81" s="25" t="s">
        <v>1214</v>
      </c>
      <c r="I81" s="30">
        <f>F81-IFERROR(VLOOKUP(B81,crm_orders!$A:$S,10,FALSE),0)</f>
        <v>0</v>
      </c>
      <c r="J81" s="30">
        <f>G81-IFERROR(VLOOKUP(B81,crm_orders!$A:$S,12,FALSE),0)</f>
        <v>0</v>
      </c>
      <c r="K81" s="25" t="str">
        <f>IF(COUNTIF(crm_orders!$A:$A,B81)=0,"Orphan","OK")</f>
        <v>OK</v>
      </c>
    </row>
    <row r="82" ht="15.75" customHeight="1">
      <c r="A82" s="17" t="s">
        <v>1293</v>
      </c>
      <c r="B82" s="17" t="s">
        <v>966</v>
      </c>
      <c r="C82" s="18">
        <v>46044.0</v>
      </c>
      <c r="D82" s="17" t="s">
        <v>953</v>
      </c>
      <c r="E82" s="17" t="s">
        <v>71</v>
      </c>
      <c r="F82" s="21">
        <v>6.0</v>
      </c>
      <c r="G82" s="22">
        <v>43.32</v>
      </c>
      <c r="H82" s="17" t="s">
        <v>1214</v>
      </c>
      <c r="I82" s="22">
        <f>F82-IFERROR(VLOOKUP(B82,crm_orders!$A:$S,10,FALSE),0)</f>
        <v>0</v>
      </c>
      <c r="J82" s="22">
        <f>G82-IFERROR(VLOOKUP(B82,crm_orders!$A:$S,12,FALSE),0)</f>
        <v>0</v>
      </c>
      <c r="K82" s="17" t="str">
        <f>IF(COUNTIF(crm_orders!$A:$A,B82)=0,"Orphan","OK")</f>
        <v>OK</v>
      </c>
    </row>
    <row r="83" ht="15.75" customHeight="1">
      <c r="A83" s="25" t="s">
        <v>1294</v>
      </c>
      <c r="B83" s="25" t="s">
        <v>82</v>
      </c>
      <c r="C83" s="26">
        <v>46093.0</v>
      </c>
      <c r="D83" s="25" t="s">
        <v>83</v>
      </c>
      <c r="E83" s="25" t="s">
        <v>71</v>
      </c>
      <c r="F83" s="29">
        <v>48.0</v>
      </c>
      <c r="G83" s="30">
        <v>355.2</v>
      </c>
      <c r="H83" s="25" t="s">
        <v>1214</v>
      </c>
      <c r="I83" s="30">
        <f>F83-IFERROR(VLOOKUP(B83,crm_orders!$A:$S,10,FALSE),0)</f>
        <v>0</v>
      </c>
      <c r="J83" s="30">
        <f>G83-IFERROR(VLOOKUP(B83,crm_orders!$A:$S,12,FALSE),0)</f>
        <v>0</v>
      </c>
      <c r="K83" s="25" t="str">
        <f>IF(COUNTIF(crm_orders!$A:$A,B83)=0,"Orphan","OK")</f>
        <v>OK</v>
      </c>
    </row>
    <row r="84" ht="15.75" customHeight="1">
      <c r="A84" s="17" t="s">
        <v>1295</v>
      </c>
      <c r="B84" s="17" t="s">
        <v>1137</v>
      </c>
      <c r="C84" s="18">
        <v>46097.0</v>
      </c>
      <c r="D84" s="17" t="s">
        <v>1136</v>
      </c>
      <c r="E84" s="17" t="s">
        <v>90</v>
      </c>
      <c r="F84" s="21">
        <v>126.0</v>
      </c>
      <c r="G84" s="22">
        <v>908.46</v>
      </c>
      <c r="H84" s="17" t="s">
        <v>1212</v>
      </c>
      <c r="I84" s="22">
        <f>F84-IFERROR(VLOOKUP(B84,crm_orders!$A:$S,10,FALSE),0)</f>
        <v>6</v>
      </c>
      <c r="J84" s="22">
        <f>G84-IFERROR(VLOOKUP(B84,crm_orders!$A:$S,12,FALSE),0)</f>
        <v>43.26</v>
      </c>
      <c r="K84" s="17" t="str">
        <f>IF(COUNTIF(crm_orders!$A:$A,B84)=0,"Orphan","OK")</f>
        <v>OK</v>
      </c>
    </row>
    <row r="85" ht="15.75" customHeight="1">
      <c r="A85" s="25" t="s">
        <v>1296</v>
      </c>
      <c r="B85" s="25" t="s">
        <v>552</v>
      </c>
      <c r="C85" s="26">
        <v>46095.0</v>
      </c>
      <c r="D85" s="25" t="s">
        <v>553</v>
      </c>
      <c r="E85" s="25" t="s">
        <v>123</v>
      </c>
      <c r="F85" s="29">
        <v>72.0</v>
      </c>
      <c r="G85" s="30">
        <v>825.84</v>
      </c>
      <c r="H85" s="25" t="s">
        <v>1214</v>
      </c>
      <c r="I85" s="30">
        <f>F85-IFERROR(VLOOKUP(B85,crm_orders!$A:$S,10,FALSE),0)</f>
        <v>0</v>
      </c>
      <c r="J85" s="30">
        <f>G85-IFERROR(VLOOKUP(B85,crm_orders!$A:$S,12,FALSE),0)</f>
        <v>0</v>
      </c>
      <c r="K85" s="25" t="str">
        <f>IF(COUNTIF(crm_orders!$A:$A,B85)=0,"Orphan","OK")</f>
        <v>OK</v>
      </c>
    </row>
    <row r="86" ht="15.75" customHeight="1">
      <c r="A86" s="17" t="s">
        <v>1297</v>
      </c>
      <c r="B86" s="17" t="s">
        <v>456</v>
      </c>
      <c r="C86" s="18">
        <v>46100.0</v>
      </c>
      <c r="D86" s="17" t="s">
        <v>457</v>
      </c>
      <c r="E86" s="17" t="s">
        <v>92</v>
      </c>
      <c r="F86" s="21">
        <v>48.0</v>
      </c>
      <c r="G86" s="22">
        <v>511.2</v>
      </c>
      <c r="H86" s="17" t="s">
        <v>1214</v>
      </c>
      <c r="I86" s="22">
        <f>F86-IFERROR(VLOOKUP(B86,crm_orders!$A:$S,10,FALSE),0)</f>
        <v>0</v>
      </c>
      <c r="J86" s="22">
        <f>G86-IFERROR(VLOOKUP(B86,crm_orders!$A:$S,12,FALSE),0)</f>
        <v>0</v>
      </c>
      <c r="K86" s="17" t="str">
        <f>IF(COUNTIF(crm_orders!$A:$A,B86)=0,"Orphan","OK")</f>
        <v>OK</v>
      </c>
    </row>
    <row r="87" ht="15.75" customHeight="1">
      <c r="A87" s="25" t="s">
        <v>1298</v>
      </c>
      <c r="B87" s="25" t="s">
        <v>458</v>
      </c>
      <c r="C87" s="26">
        <v>46094.0</v>
      </c>
      <c r="D87" s="25" t="s">
        <v>459</v>
      </c>
      <c r="E87" s="25" t="s">
        <v>71</v>
      </c>
      <c r="F87" s="29">
        <v>36.0</v>
      </c>
      <c r="G87" s="30">
        <v>255.96</v>
      </c>
      <c r="H87" s="25" t="s">
        <v>1214</v>
      </c>
      <c r="I87" s="30">
        <f>F87-IFERROR(VLOOKUP(B87,crm_orders!$A:$S,10,FALSE),0)</f>
        <v>0</v>
      </c>
      <c r="J87" s="30">
        <f>G87-IFERROR(VLOOKUP(B87,crm_orders!$A:$S,12,FALSE),0)</f>
        <v>0</v>
      </c>
      <c r="K87" s="25" t="str">
        <f>IF(COUNTIF(crm_orders!$A:$A,B87)=0,"Orphan","OK")</f>
        <v>OK</v>
      </c>
    </row>
    <row r="88" ht="15.75" customHeight="1">
      <c r="A88" s="17" t="s">
        <v>1299</v>
      </c>
      <c r="B88" s="17" t="s">
        <v>718</v>
      </c>
      <c r="C88" s="18">
        <v>46068.0</v>
      </c>
      <c r="D88" s="17" t="s">
        <v>704</v>
      </c>
      <c r="E88" s="17" t="s">
        <v>68</v>
      </c>
      <c r="F88" s="21">
        <v>120.0</v>
      </c>
      <c r="G88" s="22">
        <v>1339.2</v>
      </c>
      <c r="H88" s="17" t="s">
        <v>1214</v>
      </c>
      <c r="I88" s="22">
        <f>F88-IFERROR(VLOOKUP(B88,crm_orders!$A:$S,10,FALSE),0)</f>
        <v>0</v>
      </c>
      <c r="J88" s="22">
        <f>G88-IFERROR(VLOOKUP(B88,crm_orders!$A:$S,12,FALSE),0)</f>
        <v>0</v>
      </c>
      <c r="K88" s="17" t="str">
        <f>IF(COUNTIF(crm_orders!$A:$A,B88)=0,"Orphan","OK")</f>
        <v>OK</v>
      </c>
    </row>
    <row r="89" ht="15.75" customHeight="1">
      <c r="A89" s="25" t="s">
        <v>1300</v>
      </c>
      <c r="B89" s="25" t="s">
        <v>1085</v>
      </c>
      <c r="C89" s="26">
        <v>46055.0</v>
      </c>
      <c r="D89" s="25" t="s">
        <v>1075</v>
      </c>
      <c r="E89" s="25" t="s">
        <v>110</v>
      </c>
      <c r="F89" s="29">
        <v>120.0</v>
      </c>
      <c r="G89" s="30">
        <v>1318.8</v>
      </c>
      <c r="H89" s="25" t="s">
        <v>1214</v>
      </c>
      <c r="I89" s="30">
        <f>F89-IFERROR(VLOOKUP(B89,crm_orders!$A:$S,10,FALSE),0)</f>
        <v>0</v>
      </c>
      <c r="J89" s="30">
        <f>G89-IFERROR(VLOOKUP(B89,crm_orders!$A:$S,12,FALSE),0)</f>
        <v>0</v>
      </c>
      <c r="K89" s="25" t="str">
        <f>IF(COUNTIF(crm_orders!$A:$A,B89)=0,"Orphan","OK")</f>
        <v>OK</v>
      </c>
    </row>
    <row r="90" ht="15.75" customHeight="1">
      <c r="A90" s="17" t="s">
        <v>1301</v>
      </c>
      <c r="B90" s="17" t="s">
        <v>967</v>
      </c>
      <c r="C90" s="18">
        <v>46066.0</v>
      </c>
      <c r="D90" s="17" t="s">
        <v>968</v>
      </c>
      <c r="E90" s="17" t="s">
        <v>71</v>
      </c>
      <c r="F90" s="21">
        <v>120.0</v>
      </c>
      <c r="G90" s="22">
        <v>896.4</v>
      </c>
      <c r="H90" s="17" t="s">
        <v>1214</v>
      </c>
      <c r="I90" s="22">
        <f>F90-IFERROR(VLOOKUP(B90,crm_orders!$A:$S,10,FALSE),0)</f>
        <v>0</v>
      </c>
      <c r="J90" s="22">
        <f>G90-IFERROR(VLOOKUP(B90,crm_orders!$A:$S,12,FALSE),0)</f>
        <v>0</v>
      </c>
      <c r="K90" s="17" t="str">
        <f>IF(COUNTIF(crm_orders!$A:$A,B90)=0,"Orphan","OK")</f>
        <v>OK</v>
      </c>
    </row>
    <row r="91" ht="15.75" customHeight="1">
      <c r="A91" s="25" t="s">
        <v>1302</v>
      </c>
      <c r="B91" s="25" t="s">
        <v>719</v>
      </c>
      <c r="C91" s="26">
        <v>46040.0</v>
      </c>
      <c r="D91" s="25" t="s">
        <v>720</v>
      </c>
      <c r="E91" s="25" t="s">
        <v>190</v>
      </c>
      <c r="F91" s="29">
        <v>30.0</v>
      </c>
      <c r="G91" s="30">
        <v>223.2</v>
      </c>
      <c r="H91" s="25" t="s">
        <v>1214</v>
      </c>
      <c r="I91" s="30">
        <f>F91-IFERROR(VLOOKUP(B91,crm_orders!$A:$S,10,FALSE),0)</f>
        <v>0</v>
      </c>
      <c r="J91" s="30">
        <f>G91-IFERROR(VLOOKUP(B91,crm_orders!$A:$S,12,FALSE),0)</f>
        <v>0</v>
      </c>
      <c r="K91" s="25" t="str">
        <f>IF(COUNTIF(crm_orders!$A:$A,B91)=0,"Orphan","OK")</f>
        <v>OK</v>
      </c>
    </row>
    <row r="92" ht="15.75" customHeight="1">
      <c r="A92" s="17" t="s">
        <v>1303</v>
      </c>
      <c r="B92" s="17" t="s">
        <v>556</v>
      </c>
      <c r="C92" s="18">
        <v>46105.0</v>
      </c>
      <c r="D92" s="17" t="s">
        <v>557</v>
      </c>
      <c r="E92" s="17" t="s">
        <v>110</v>
      </c>
      <c r="F92" s="21">
        <v>96.0</v>
      </c>
      <c r="G92" s="22">
        <v>1057.92</v>
      </c>
      <c r="H92" s="17" t="s">
        <v>1214</v>
      </c>
      <c r="I92" s="22">
        <f>F92-IFERROR(VLOOKUP(B92,crm_orders!$A:$S,10,FALSE),0)</f>
        <v>0</v>
      </c>
      <c r="J92" s="22">
        <f>G92-IFERROR(VLOOKUP(B92,crm_orders!$A:$S,12,FALSE),0)</f>
        <v>0</v>
      </c>
      <c r="K92" s="17" t="str">
        <f>IF(COUNTIF(crm_orders!$A:$A,B92)=0,"Orphan","OK")</f>
        <v>OK</v>
      </c>
    </row>
    <row r="93" ht="15.75" customHeight="1">
      <c r="A93" s="25" t="s">
        <v>1304</v>
      </c>
      <c r="B93" s="25" t="s">
        <v>183</v>
      </c>
      <c r="C93" s="26">
        <v>46077.0</v>
      </c>
      <c r="D93" s="25" t="s">
        <v>184</v>
      </c>
      <c r="E93" s="25" t="s">
        <v>162</v>
      </c>
      <c r="F93" s="29">
        <v>96.0</v>
      </c>
      <c r="G93" s="30">
        <v>979.2</v>
      </c>
      <c r="H93" s="25" t="s">
        <v>1214</v>
      </c>
      <c r="I93" s="30">
        <f>F93-IFERROR(VLOOKUP(B93,crm_orders!$A:$S,10,FALSE),0)</f>
        <v>0</v>
      </c>
      <c r="J93" s="30">
        <f>G93-IFERROR(VLOOKUP(B93,crm_orders!$A:$S,12,FALSE),0)</f>
        <v>0</v>
      </c>
      <c r="K93" s="25" t="str">
        <f>IF(COUNTIF(crm_orders!$A:$A,B93)=0,"Orphan","OK")</f>
        <v>OK</v>
      </c>
    </row>
    <row r="94" ht="15.75" customHeight="1">
      <c r="A94" s="17" t="s">
        <v>1305</v>
      </c>
      <c r="B94" s="17" t="s">
        <v>865</v>
      </c>
      <c r="C94" s="18">
        <v>46098.0</v>
      </c>
      <c r="D94" s="17" t="s">
        <v>866</v>
      </c>
      <c r="E94" s="17" t="s">
        <v>110</v>
      </c>
      <c r="F94" s="21">
        <v>132.0</v>
      </c>
      <c r="G94" s="22">
        <v>1356.96</v>
      </c>
      <c r="H94" s="17" t="s">
        <v>1212</v>
      </c>
      <c r="I94" s="22">
        <f>F94-IFERROR(VLOOKUP(B94,crm_orders!$A:$S,10,FALSE),0)</f>
        <v>12</v>
      </c>
      <c r="J94" s="22">
        <f>G94-IFERROR(VLOOKUP(B94,crm_orders!$A:$S,12,FALSE),0)</f>
        <v>123.36</v>
      </c>
      <c r="K94" s="17" t="str">
        <f>IF(COUNTIF(crm_orders!$A:$A,B94)=0,"Orphan","OK")</f>
        <v>OK</v>
      </c>
    </row>
    <row r="95" ht="15.75" customHeight="1">
      <c r="A95" s="25" t="s">
        <v>1306</v>
      </c>
      <c r="B95" s="25" t="s">
        <v>969</v>
      </c>
      <c r="C95" s="26">
        <v>46150.0</v>
      </c>
      <c r="D95" s="25" t="s">
        <v>965</v>
      </c>
      <c r="E95" s="25" t="s">
        <v>68</v>
      </c>
      <c r="F95" s="29">
        <v>42.0</v>
      </c>
      <c r="G95" s="30">
        <v>430.92</v>
      </c>
      <c r="H95" s="25" t="s">
        <v>1212</v>
      </c>
      <c r="I95" s="30">
        <f>F95-IFERROR(VLOOKUP(B95,crm_orders!$A:$S,10,FALSE),0)</f>
        <v>12</v>
      </c>
      <c r="J95" s="30">
        <f>G95-IFERROR(VLOOKUP(B95,crm_orders!$A:$S,12,FALSE),0)</f>
        <v>123.12</v>
      </c>
      <c r="K95" s="25" t="str">
        <f>IF(COUNTIF(crm_orders!$A:$A,B95)=0,"Orphan","OK")</f>
        <v>OK</v>
      </c>
    </row>
    <row r="96" ht="15.75" customHeight="1">
      <c r="A96" s="17" t="s">
        <v>1307</v>
      </c>
      <c r="B96" s="17" t="s">
        <v>721</v>
      </c>
      <c r="C96" s="18">
        <v>46036.0</v>
      </c>
      <c r="D96" s="17" t="s">
        <v>710</v>
      </c>
      <c r="E96" s="17" t="s">
        <v>92</v>
      </c>
      <c r="F96" s="21">
        <v>72.0</v>
      </c>
      <c r="G96" s="22">
        <v>782.64</v>
      </c>
      <c r="H96" s="17" t="s">
        <v>1214</v>
      </c>
      <c r="I96" s="22">
        <f>F96-IFERROR(VLOOKUP(B96,crm_orders!$A:$S,10,FALSE),0)</f>
        <v>0</v>
      </c>
      <c r="J96" s="22">
        <f>G96-IFERROR(VLOOKUP(B96,crm_orders!$A:$S,12,FALSE),0)</f>
        <v>0</v>
      </c>
      <c r="K96" s="17" t="str">
        <f>IF(COUNTIF(crm_orders!$A:$A,B96)=0,"Orphan","OK")</f>
        <v>OK</v>
      </c>
    </row>
    <row r="97" ht="15.75" customHeight="1">
      <c r="A97" s="25" t="s">
        <v>1308</v>
      </c>
      <c r="B97" s="25" t="s">
        <v>84</v>
      </c>
      <c r="C97" s="26">
        <v>46146.0</v>
      </c>
      <c r="D97" s="25" t="s">
        <v>80</v>
      </c>
      <c r="E97" s="25" t="s">
        <v>85</v>
      </c>
      <c r="F97" s="29">
        <v>42.0</v>
      </c>
      <c r="G97" s="30">
        <v>414.12</v>
      </c>
      <c r="H97" s="25" t="s">
        <v>1212</v>
      </c>
      <c r="I97" s="30">
        <f>F97-IFERROR(VLOOKUP(B97,crm_orders!$A:$S,10,FALSE),0)</f>
        <v>6</v>
      </c>
      <c r="J97" s="30">
        <f>G97-IFERROR(VLOOKUP(B97,crm_orders!$A:$S,12,FALSE),0)</f>
        <v>59.16</v>
      </c>
      <c r="K97" s="25" t="str">
        <f>IF(COUNTIF(crm_orders!$A:$A,B97)=0,"Orphan","OK")</f>
        <v>OK</v>
      </c>
    </row>
    <row r="98" ht="15.75" customHeight="1">
      <c r="A98" s="17" t="s">
        <v>1309</v>
      </c>
      <c r="B98" s="17" t="s">
        <v>86</v>
      </c>
      <c r="C98" s="18">
        <v>46074.0</v>
      </c>
      <c r="D98" s="17" t="s">
        <v>87</v>
      </c>
      <c r="E98" s="17" t="s">
        <v>81</v>
      </c>
      <c r="F98" s="21">
        <v>120.0</v>
      </c>
      <c r="G98" s="22">
        <v>920.4</v>
      </c>
      <c r="H98" s="17" t="s">
        <v>1214</v>
      </c>
      <c r="I98" s="22">
        <f>F98-IFERROR(VLOOKUP(B98,crm_orders!$A:$S,10,FALSE),0)</f>
        <v>0</v>
      </c>
      <c r="J98" s="22">
        <f>G98-IFERROR(VLOOKUP(B98,crm_orders!$A:$S,12,FALSE),0)</f>
        <v>0</v>
      </c>
      <c r="K98" s="17" t="str">
        <f>IF(COUNTIF(crm_orders!$A:$A,B98)=0,"Orphan","OK")</f>
        <v>OK</v>
      </c>
    </row>
    <row r="99" ht="15.75" customHeight="1">
      <c r="A99" s="25" t="s">
        <v>1310</v>
      </c>
      <c r="B99" s="25" t="s">
        <v>558</v>
      </c>
      <c r="C99" s="26">
        <v>46034.0</v>
      </c>
      <c r="D99" s="25" t="s">
        <v>559</v>
      </c>
      <c r="E99" s="25" t="s">
        <v>68</v>
      </c>
      <c r="F99" s="29">
        <v>36.0</v>
      </c>
      <c r="G99" s="30">
        <v>363.6</v>
      </c>
      <c r="H99" s="25" t="s">
        <v>1214</v>
      </c>
      <c r="I99" s="30">
        <f>F99-IFERROR(VLOOKUP(B99,crm_orders!$A:$S,10,FALSE),0)</f>
        <v>0</v>
      </c>
      <c r="J99" s="30">
        <f>G99-IFERROR(VLOOKUP(B99,crm_orders!$A:$S,12,FALSE),0)</f>
        <v>0</v>
      </c>
      <c r="K99" s="25" t="str">
        <f>IF(COUNTIF(crm_orders!$A:$A,B99)=0,"Orphan","OK")</f>
        <v>OK</v>
      </c>
    </row>
    <row r="100" ht="15.75" customHeight="1">
      <c r="A100" s="17" t="s">
        <v>1311</v>
      </c>
      <c r="B100" s="17" t="s">
        <v>1086</v>
      </c>
      <c r="C100" s="18">
        <v>46067.0</v>
      </c>
      <c r="D100" s="17" t="s">
        <v>1081</v>
      </c>
      <c r="E100" s="17" t="s">
        <v>110</v>
      </c>
      <c r="F100" s="21">
        <v>12.0</v>
      </c>
      <c r="G100" s="22">
        <v>132.24</v>
      </c>
      <c r="H100" s="17" t="s">
        <v>1214</v>
      </c>
      <c r="I100" s="22">
        <f>F100-IFERROR(VLOOKUP(B100,crm_orders!$A:$S,10,FALSE),0)</f>
        <v>0</v>
      </c>
      <c r="J100" s="22">
        <f>G100-IFERROR(VLOOKUP(B100,crm_orders!$A:$S,12,FALSE),0)</f>
        <v>0</v>
      </c>
      <c r="K100" s="17" t="str">
        <f>IF(COUNTIF(crm_orders!$A:$A,B100)=0,"Orphan","OK")</f>
        <v>OK</v>
      </c>
    </row>
    <row r="101" ht="15.75" customHeight="1">
      <c r="A101" s="25" t="s">
        <v>1312</v>
      </c>
      <c r="B101" s="25" t="s">
        <v>185</v>
      </c>
      <c r="C101" s="26">
        <v>46051.0</v>
      </c>
      <c r="D101" s="25" t="s">
        <v>181</v>
      </c>
      <c r="E101" s="25" t="s">
        <v>71</v>
      </c>
      <c r="F101" s="29">
        <v>96.0</v>
      </c>
      <c r="G101" s="30">
        <v>725.76</v>
      </c>
      <c r="H101" s="25" t="s">
        <v>1214</v>
      </c>
      <c r="I101" s="30">
        <f>F101-IFERROR(VLOOKUP(B101,crm_orders!$A:$S,10,FALSE),0)</f>
        <v>0</v>
      </c>
      <c r="J101" s="30">
        <f>G101-IFERROR(VLOOKUP(B101,crm_orders!$A:$S,12,FALSE),0)</f>
        <v>0</v>
      </c>
      <c r="K101" s="25" t="str">
        <f>IF(COUNTIF(crm_orders!$A:$A,B101)=0,"Orphan","OK")</f>
        <v>OK</v>
      </c>
    </row>
    <row r="102" ht="15.75" customHeight="1">
      <c r="A102" s="17" t="s">
        <v>1313</v>
      </c>
      <c r="B102" s="17" t="s">
        <v>460</v>
      </c>
      <c r="C102" s="18">
        <v>46080.0</v>
      </c>
      <c r="D102" s="17" t="s">
        <v>444</v>
      </c>
      <c r="E102" s="17" t="s">
        <v>95</v>
      </c>
      <c r="F102" s="21">
        <v>36.0</v>
      </c>
      <c r="G102" s="22">
        <v>391.32</v>
      </c>
      <c r="H102" s="17" t="s">
        <v>1214</v>
      </c>
      <c r="I102" s="22">
        <f>F102-IFERROR(VLOOKUP(B102,crm_orders!$A:$S,10,FALSE),0)</f>
        <v>0</v>
      </c>
      <c r="J102" s="22">
        <f>G102-IFERROR(VLOOKUP(B102,crm_orders!$A:$S,12,FALSE),0)</f>
        <v>0</v>
      </c>
      <c r="K102" s="17" t="str">
        <f>IF(COUNTIF(crm_orders!$A:$A,B102)=0,"Orphan","OK")</f>
        <v>OK</v>
      </c>
    </row>
    <row r="103" ht="15.75" customHeight="1">
      <c r="A103" s="25" t="s">
        <v>1314</v>
      </c>
      <c r="B103" s="25" t="s">
        <v>560</v>
      </c>
      <c r="C103" s="26">
        <v>46061.0</v>
      </c>
      <c r="D103" s="25" t="s">
        <v>561</v>
      </c>
      <c r="E103" s="25" t="s">
        <v>81</v>
      </c>
      <c r="F103" s="29">
        <v>30.0</v>
      </c>
      <c r="G103" s="30">
        <v>237.9</v>
      </c>
      <c r="H103" s="25" t="s">
        <v>1214</v>
      </c>
      <c r="I103" s="30">
        <f>F103-IFERROR(VLOOKUP(B103,crm_orders!$A:$S,10,FALSE),0)</f>
        <v>0</v>
      </c>
      <c r="J103" s="30">
        <f>G103-IFERROR(VLOOKUP(B103,crm_orders!$A:$S,12,FALSE),0)</f>
        <v>0</v>
      </c>
      <c r="K103" s="25" t="str">
        <f>IF(COUNTIF(crm_orders!$A:$A,B103)=0,"Orphan","OK")</f>
        <v>OK</v>
      </c>
    </row>
    <row r="104" ht="15.75" customHeight="1">
      <c r="A104" s="17" t="s">
        <v>1315</v>
      </c>
      <c r="B104" s="17" t="s">
        <v>461</v>
      </c>
      <c r="C104" s="18">
        <v>46131.0</v>
      </c>
      <c r="D104" s="17" t="s">
        <v>444</v>
      </c>
      <c r="E104" s="17" t="s">
        <v>74</v>
      </c>
      <c r="F104" s="21">
        <v>30.0</v>
      </c>
      <c r="G104" s="22">
        <v>364.2</v>
      </c>
      <c r="H104" s="17" t="s">
        <v>1214</v>
      </c>
      <c r="I104" s="22">
        <f>F104-IFERROR(VLOOKUP(B104,crm_orders!$A:$S,10,FALSE),0)</f>
        <v>0</v>
      </c>
      <c r="J104" s="22">
        <f>G104-IFERROR(VLOOKUP(B104,crm_orders!$A:$S,12,FALSE),0)</f>
        <v>0</v>
      </c>
      <c r="K104" s="17" t="str">
        <f>IF(COUNTIF(crm_orders!$A:$A,B104)=0,"Orphan","OK")</f>
        <v>OK</v>
      </c>
    </row>
    <row r="105" ht="15.75" customHeight="1">
      <c r="A105" s="25" t="s">
        <v>1316</v>
      </c>
      <c r="B105" s="25" t="s">
        <v>722</v>
      </c>
      <c r="C105" s="26">
        <v>46043.0</v>
      </c>
      <c r="D105" s="25" t="s">
        <v>723</v>
      </c>
      <c r="E105" s="25" t="s">
        <v>115</v>
      </c>
      <c r="F105" s="29">
        <v>108.0</v>
      </c>
      <c r="G105" s="30">
        <v>1210.68</v>
      </c>
      <c r="H105" s="25" t="s">
        <v>93</v>
      </c>
      <c r="I105" s="30">
        <f>F105-IFERROR(VLOOKUP(B105,crm_orders!$A:$S,10,FALSE),0)</f>
        <v>-12</v>
      </c>
      <c r="J105" s="30">
        <f>G105-IFERROR(VLOOKUP(B105,crm_orders!$A:$S,12,FALSE),0)</f>
        <v>-134.52</v>
      </c>
      <c r="K105" s="25" t="str">
        <f>IF(COUNTIF(crm_orders!$A:$A,B105)=0,"Orphan","OK")</f>
        <v>OK</v>
      </c>
    </row>
    <row r="106" ht="15.75" customHeight="1">
      <c r="A106" s="17" t="s">
        <v>1317</v>
      </c>
      <c r="B106" s="17" t="s">
        <v>1087</v>
      </c>
      <c r="C106" s="18">
        <v>46064.0</v>
      </c>
      <c r="D106" s="17" t="s">
        <v>1075</v>
      </c>
      <c r="E106" s="17" t="s">
        <v>154</v>
      </c>
      <c r="F106" s="21">
        <v>60.0</v>
      </c>
      <c r="G106" s="22">
        <v>697.2</v>
      </c>
      <c r="H106" s="17" t="s">
        <v>1214</v>
      </c>
      <c r="I106" s="22">
        <f>F106-IFERROR(VLOOKUP(B106,crm_orders!$A:$S,10,FALSE),0)</f>
        <v>0</v>
      </c>
      <c r="J106" s="22">
        <f>G106-IFERROR(VLOOKUP(B106,crm_orders!$A:$S,12,FALSE),0)</f>
        <v>0</v>
      </c>
      <c r="K106" s="17" t="str">
        <f>IF(COUNTIF(crm_orders!$A:$A,B106)=0,"Orphan","OK")</f>
        <v>OK</v>
      </c>
    </row>
    <row r="107" ht="15.75" customHeight="1">
      <c r="A107" s="25" t="s">
        <v>1318</v>
      </c>
      <c r="B107" s="25" t="s">
        <v>867</v>
      </c>
      <c r="C107" s="26">
        <v>46082.0</v>
      </c>
      <c r="D107" s="25" t="s">
        <v>868</v>
      </c>
      <c r="E107" s="25" t="s">
        <v>156</v>
      </c>
      <c r="F107" s="29">
        <v>6.0</v>
      </c>
      <c r="G107" s="30">
        <v>58.74</v>
      </c>
      <c r="H107" s="25" t="s">
        <v>1214</v>
      </c>
      <c r="I107" s="30">
        <f>F107-IFERROR(VLOOKUP(B107,crm_orders!$A:$S,10,FALSE),0)</f>
        <v>0</v>
      </c>
      <c r="J107" s="30">
        <f>G107-IFERROR(VLOOKUP(B107,crm_orders!$A:$S,12,FALSE),0)</f>
        <v>0</v>
      </c>
      <c r="K107" s="25" t="str">
        <f>IF(COUNTIF(crm_orders!$A:$A,B107)=0,"Orphan","OK")</f>
        <v>OK</v>
      </c>
    </row>
    <row r="108" ht="15.75" customHeight="1">
      <c r="A108" s="17" t="s">
        <v>1319</v>
      </c>
      <c r="B108" s="17" t="s">
        <v>869</v>
      </c>
      <c r="C108" s="18">
        <v>46133.0</v>
      </c>
      <c r="D108" s="17" t="s">
        <v>868</v>
      </c>
      <c r="E108" s="17" t="s">
        <v>78</v>
      </c>
      <c r="F108" s="21">
        <v>120.0</v>
      </c>
      <c r="G108" s="22">
        <v>1248.0</v>
      </c>
      <c r="H108" s="17" t="s">
        <v>1214</v>
      </c>
      <c r="I108" s="22">
        <f>F108-IFERROR(VLOOKUP(B108,crm_orders!$A:$S,10,FALSE),0)</f>
        <v>0</v>
      </c>
      <c r="J108" s="22">
        <f>G108-IFERROR(VLOOKUP(B108,crm_orders!$A:$S,12,FALSE),0)</f>
        <v>0</v>
      </c>
      <c r="K108" s="17" t="str">
        <f>IF(COUNTIF(crm_orders!$A:$A,B108)=0,"Orphan","OK")</f>
        <v>OK</v>
      </c>
    </row>
    <row r="109" ht="15.75" customHeight="1">
      <c r="A109" s="25" t="s">
        <v>1320</v>
      </c>
      <c r="B109" s="25" t="s">
        <v>562</v>
      </c>
      <c r="C109" s="26">
        <v>46093.0</v>
      </c>
      <c r="D109" s="25" t="s">
        <v>553</v>
      </c>
      <c r="E109" s="25" t="s">
        <v>90</v>
      </c>
      <c r="F109" s="29">
        <v>102.0</v>
      </c>
      <c r="G109" s="30">
        <v>689.52</v>
      </c>
      <c r="H109" s="25" t="s">
        <v>1212</v>
      </c>
      <c r="I109" s="30">
        <f>F109-IFERROR(VLOOKUP(B109,crm_orders!$A:$S,10,FALSE),0)</f>
        <v>6</v>
      </c>
      <c r="J109" s="30">
        <f>G109-IFERROR(VLOOKUP(B109,crm_orders!$A:$S,12,FALSE),0)</f>
        <v>40.56</v>
      </c>
      <c r="K109" s="25" t="str">
        <f>IF(COUNTIF(crm_orders!$A:$A,B109)=0,"Orphan","OK")</f>
        <v>OK</v>
      </c>
    </row>
    <row r="110" ht="15.75" customHeight="1">
      <c r="A110" s="17" t="s">
        <v>1321</v>
      </c>
      <c r="B110" s="17" t="s">
        <v>870</v>
      </c>
      <c r="C110" s="18">
        <v>46047.0</v>
      </c>
      <c r="D110" s="17" t="s">
        <v>857</v>
      </c>
      <c r="E110" s="17" t="s">
        <v>108</v>
      </c>
      <c r="F110" s="21">
        <v>30.0</v>
      </c>
      <c r="G110" s="22">
        <v>305.7</v>
      </c>
      <c r="H110" s="17" t="s">
        <v>1214</v>
      </c>
      <c r="I110" s="22">
        <f>F110-IFERROR(VLOOKUP(B110,crm_orders!$A:$S,10,FALSE),0)</f>
        <v>0</v>
      </c>
      <c r="J110" s="22">
        <f>G110-IFERROR(VLOOKUP(B110,crm_orders!$A:$S,12,FALSE),0)</f>
        <v>0</v>
      </c>
      <c r="K110" s="17" t="str">
        <f>IF(COUNTIF(crm_orders!$A:$A,B110)=0,"Orphan","OK")</f>
        <v>OK</v>
      </c>
    </row>
    <row r="111" ht="15.75" customHeight="1">
      <c r="A111" s="25" t="s">
        <v>1322</v>
      </c>
      <c r="B111" s="25" t="s">
        <v>871</v>
      </c>
      <c r="C111" s="26">
        <v>46109.0</v>
      </c>
      <c r="D111" s="25" t="s">
        <v>861</v>
      </c>
      <c r="E111" s="25"/>
      <c r="F111" s="29">
        <v>72.0</v>
      </c>
      <c r="G111" s="30">
        <v>487.44</v>
      </c>
      <c r="H111" s="25" t="s">
        <v>1214</v>
      </c>
      <c r="I111" s="30">
        <f>F111-IFERROR(VLOOKUP(B111,crm_orders!$A:$S,10,FALSE),0)</f>
        <v>0</v>
      </c>
      <c r="J111" s="30">
        <f>G111-IFERROR(VLOOKUP(B111,crm_orders!$A:$S,12,FALSE),0)</f>
        <v>0</v>
      </c>
      <c r="K111" s="25" t="str">
        <f>IF(COUNTIF(crm_orders!$A:$A,B111)=0,"Orphan","OK")</f>
        <v>OK</v>
      </c>
    </row>
    <row r="112" ht="15.75" customHeight="1">
      <c r="A112" s="17" t="s">
        <v>1323</v>
      </c>
      <c r="B112" s="17" t="s">
        <v>724</v>
      </c>
      <c r="C112" s="18">
        <v>46109.0</v>
      </c>
      <c r="D112" s="17" t="s">
        <v>720</v>
      </c>
      <c r="E112" s="17" t="s">
        <v>123</v>
      </c>
      <c r="F112" s="21">
        <v>48.0</v>
      </c>
      <c r="G112" s="22">
        <v>483.84</v>
      </c>
      <c r="H112" s="17" t="s">
        <v>1214</v>
      </c>
      <c r="I112" s="22">
        <f>F112-IFERROR(VLOOKUP(B112,crm_orders!$A:$S,10,FALSE),0)</f>
        <v>0</v>
      </c>
      <c r="J112" s="22">
        <f>G112-IFERROR(VLOOKUP(B112,crm_orders!$A:$S,12,FALSE),0)</f>
        <v>0</v>
      </c>
      <c r="K112" s="17" t="str">
        <f>IF(COUNTIF(crm_orders!$A:$A,B112)=0,"Orphan","OK")</f>
        <v>OK</v>
      </c>
    </row>
    <row r="113" ht="15.75" customHeight="1">
      <c r="A113" s="25" t="s">
        <v>1324</v>
      </c>
      <c r="B113" s="25" t="s">
        <v>1088</v>
      </c>
      <c r="C113" s="26">
        <v>46106.0</v>
      </c>
      <c r="D113" s="25" t="s">
        <v>1079</v>
      </c>
      <c r="E113" s="25" t="s">
        <v>190</v>
      </c>
      <c r="F113" s="29">
        <v>6.0</v>
      </c>
      <c r="G113" s="30">
        <v>44.04</v>
      </c>
      <c r="H113" s="25" t="s">
        <v>1214</v>
      </c>
      <c r="I113" s="30">
        <f>F113-IFERROR(VLOOKUP(B113,crm_orders!$A:$S,10,FALSE),0)</f>
        <v>0</v>
      </c>
      <c r="J113" s="30">
        <f>G113-IFERROR(VLOOKUP(B113,crm_orders!$A:$S,12,FALSE),0)</f>
        <v>0</v>
      </c>
      <c r="K113" s="25" t="str">
        <f>IF(COUNTIF(crm_orders!$A:$A,B113)=0,"Orphan","OK")</f>
        <v>OK</v>
      </c>
    </row>
    <row r="114" ht="15.75" customHeight="1">
      <c r="A114" s="17" t="s">
        <v>1325</v>
      </c>
      <c r="B114" s="17" t="s">
        <v>186</v>
      </c>
      <c r="C114" s="18">
        <v>46130.0</v>
      </c>
      <c r="D114" s="17" t="s">
        <v>166</v>
      </c>
      <c r="E114" s="17" t="s">
        <v>154</v>
      </c>
      <c r="F114" s="21">
        <v>120.0</v>
      </c>
      <c r="G114" s="22">
        <v>1280.4</v>
      </c>
      <c r="H114" s="17" t="s">
        <v>1214</v>
      </c>
      <c r="I114" s="22">
        <f>F114-IFERROR(VLOOKUP(B114,crm_orders!$A:$S,10,FALSE),0)</f>
        <v>0</v>
      </c>
      <c r="J114" s="22">
        <f>G114-IFERROR(VLOOKUP(B114,crm_orders!$A:$S,12,FALSE),0)</f>
        <v>0</v>
      </c>
      <c r="K114" s="17" t="str">
        <f>IF(COUNTIF(crm_orders!$A:$A,B114)=0,"Orphan","OK")</f>
        <v>OK</v>
      </c>
    </row>
    <row r="115" ht="15.75" customHeight="1">
      <c r="A115" s="25" t="s">
        <v>1326</v>
      </c>
      <c r="B115" s="25" t="s">
        <v>970</v>
      </c>
      <c r="C115" s="26">
        <v>46066.0</v>
      </c>
      <c r="D115" s="25" t="s">
        <v>961</v>
      </c>
      <c r="E115" s="25" t="s">
        <v>95</v>
      </c>
      <c r="F115" s="29">
        <v>24.0</v>
      </c>
      <c r="G115" s="30">
        <v>220.13</v>
      </c>
      <c r="H115" s="25" t="s">
        <v>1212</v>
      </c>
      <c r="I115" s="30">
        <f>F115-IFERROR(VLOOKUP(B115,crm_orders!$A:$S,10,FALSE),0)</f>
        <v>0</v>
      </c>
      <c r="J115" s="30">
        <f>G115-IFERROR(VLOOKUP(B115,crm_orders!$A:$S,12,FALSE),0)</f>
        <v>-8.83</v>
      </c>
      <c r="K115" s="25" t="str">
        <f>IF(COUNTIF(crm_orders!$A:$A,B115)=0,"Orphan","OK")</f>
        <v>OK</v>
      </c>
    </row>
    <row r="116" ht="15.75" customHeight="1">
      <c r="A116" s="17" t="s">
        <v>1327</v>
      </c>
      <c r="B116" s="17" t="s">
        <v>1138</v>
      </c>
      <c r="C116" s="18">
        <v>46065.0</v>
      </c>
      <c r="D116" s="17" t="s">
        <v>1139</v>
      </c>
      <c r="E116" s="17" t="s">
        <v>90</v>
      </c>
      <c r="F116" s="21">
        <v>6.0</v>
      </c>
      <c r="G116" s="22">
        <v>47.28</v>
      </c>
      <c r="H116" s="17" t="s">
        <v>1214</v>
      </c>
      <c r="I116" s="22">
        <f>F116-IFERROR(VLOOKUP(B116,crm_orders!$A:$S,10,FALSE),0)</f>
        <v>0</v>
      </c>
      <c r="J116" s="22">
        <f>G116-IFERROR(VLOOKUP(B116,crm_orders!$A:$S,12,FALSE),0)</f>
        <v>0</v>
      </c>
      <c r="K116" s="17" t="str">
        <f>IF(COUNTIF(crm_orders!$A:$A,B116)=0,"Orphan","OK")</f>
        <v>OK</v>
      </c>
    </row>
    <row r="117" ht="15.75" customHeight="1">
      <c r="A117" s="25" t="s">
        <v>1328</v>
      </c>
      <c r="B117" s="25" t="s">
        <v>1089</v>
      </c>
      <c r="C117" s="26">
        <v>46085.0</v>
      </c>
      <c r="D117" s="25" t="s">
        <v>1083</v>
      </c>
      <c r="E117" s="25" t="s">
        <v>68</v>
      </c>
      <c r="F117" s="29">
        <v>42.0</v>
      </c>
      <c r="G117" s="30">
        <v>461.31</v>
      </c>
      <c r="H117" s="25" t="s">
        <v>1212</v>
      </c>
      <c r="I117" s="30">
        <f>F117-IFERROR(VLOOKUP(B117,crm_orders!$A:$S,10,FALSE),0)</f>
        <v>-6</v>
      </c>
      <c r="J117" s="30">
        <f>G117-IFERROR(VLOOKUP(B117,crm_orders!$A:$S,12,FALSE),0)</f>
        <v>-67.17</v>
      </c>
      <c r="K117" s="25" t="str">
        <f>IF(COUNTIF(crm_orders!$A:$A,B117)=0,"Orphan","OK")</f>
        <v>OK</v>
      </c>
    </row>
    <row r="118" ht="15.75" customHeight="1">
      <c r="A118" s="17" t="s">
        <v>1329</v>
      </c>
      <c r="B118" s="17" t="s">
        <v>872</v>
      </c>
      <c r="C118" s="18">
        <v>46064.0</v>
      </c>
      <c r="D118" s="17" t="s">
        <v>873</v>
      </c>
      <c r="E118" s="17" t="s">
        <v>190</v>
      </c>
      <c r="F118" s="21">
        <v>12.0</v>
      </c>
      <c r="G118" s="22">
        <v>94.08</v>
      </c>
      <c r="H118" s="17" t="s">
        <v>1214</v>
      </c>
      <c r="I118" s="22">
        <f>F118-IFERROR(VLOOKUP(B118,crm_orders!$A:$S,10,FALSE),0)</f>
        <v>0</v>
      </c>
      <c r="J118" s="22">
        <f>G118-IFERROR(VLOOKUP(B118,crm_orders!$A:$S,12,FALSE),0)</f>
        <v>0</v>
      </c>
      <c r="K118" s="17" t="str">
        <f>IF(COUNTIF(crm_orders!$A:$A,B118)=0,"Orphan","OK")</f>
        <v>OK</v>
      </c>
    </row>
    <row r="119" ht="15.75" customHeight="1">
      <c r="A119" s="25" t="s">
        <v>1330</v>
      </c>
      <c r="B119" s="25" t="s">
        <v>187</v>
      </c>
      <c r="C119" s="26">
        <v>46116.0</v>
      </c>
      <c r="D119" s="25" t="s">
        <v>174</v>
      </c>
      <c r="E119" s="25" t="s">
        <v>92</v>
      </c>
      <c r="F119" s="29">
        <v>30.0</v>
      </c>
      <c r="G119" s="30">
        <v>297.82</v>
      </c>
      <c r="H119" s="25" t="s">
        <v>1212</v>
      </c>
      <c r="I119" s="30">
        <f>F119-IFERROR(VLOOKUP(B119,crm_orders!$A:$S,10,FALSE),0)</f>
        <v>0</v>
      </c>
      <c r="J119" s="30">
        <f>G119-IFERROR(VLOOKUP(B119,crm_orders!$A:$S,12,FALSE),0)</f>
        <v>-4.88</v>
      </c>
      <c r="K119" s="25" t="str">
        <f>IF(COUNTIF(crm_orders!$A:$A,B119)=0,"Orphan","OK")</f>
        <v>OK</v>
      </c>
    </row>
    <row r="120" ht="15.75" customHeight="1">
      <c r="A120" s="17" t="s">
        <v>1331</v>
      </c>
      <c r="B120" s="17" t="s">
        <v>563</v>
      </c>
      <c r="C120" s="18">
        <v>46109.0</v>
      </c>
      <c r="D120" s="17" t="s">
        <v>555</v>
      </c>
      <c r="E120" s="17" t="s">
        <v>68</v>
      </c>
      <c r="F120" s="21">
        <v>48.0</v>
      </c>
      <c r="G120" s="22">
        <v>481.44</v>
      </c>
      <c r="H120" s="17" t="s">
        <v>1214</v>
      </c>
      <c r="I120" s="22">
        <f>F120-IFERROR(VLOOKUP(B120,crm_orders!$A:$S,10,FALSE),0)</f>
        <v>0</v>
      </c>
      <c r="J120" s="22">
        <f>G120-IFERROR(VLOOKUP(B120,crm_orders!$A:$S,12,FALSE),0)</f>
        <v>0</v>
      </c>
      <c r="K120" s="17" t="str">
        <f>IF(COUNTIF(crm_orders!$A:$A,B120)=0,"Orphan","OK")</f>
        <v>OK</v>
      </c>
    </row>
    <row r="121" ht="15.75" customHeight="1">
      <c r="A121" s="25" t="s">
        <v>1332</v>
      </c>
      <c r="B121" s="25" t="s">
        <v>564</v>
      </c>
      <c r="C121" s="26">
        <v>46036.0</v>
      </c>
      <c r="D121" s="25" t="s">
        <v>559</v>
      </c>
      <c r="E121" s="25" t="s">
        <v>154</v>
      </c>
      <c r="F121" s="29">
        <v>6.0</v>
      </c>
      <c r="G121" s="30">
        <v>66.82</v>
      </c>
      <c r="H121" s="25" t="s">
        <v>1212</v>
      </c>
      <c r="I121" s="30">
        <f>F121-IFERROR(VLOOKUP(B121,crm_orders!$A:$S,10,FALSE),0)</f>
        <v>-12</v>
      </c>
      <c r="J121" s="30">
        <f>G121-IFERROR(VLOOKUP(B121,crm_orders!$A:$S,12,FALSE),0)</f>
        <v>-140.18</v>
      </c>
      <c r="K121" s="25" t="str">
        <f>IF(COUNTIF(crm_orders!$A:$A,B121)=0,"Orphan","OK")</f>
        <v>OK</v>
      </c>
    </row>
    <row r="122" ht="15.75" customHeight="1">
      <c r="A122" s="17" t="s">
        <v>1333</v>
      </c>
      <c r="B122" s="17" t="s">
        <v>971</v>
      </c>
      <c r="C122" s="18">
        <v>46084.0</v>
      </c>
      <c r="D122" s="17" t="s">
        <v>965</v>
      </c>
      <c r="E122" s="17" t="s">
        <v>68</v>
      </c>
      <c r="F122" s="21">
        <v>96.0</v>
      </c>
      <c r="G122" s="22">
        <v>913.92</v>
      </c>
      <c r="H122" s="17" t="s">
        <v>1214</v>
      </c>
      <c r="I122" s="22">
        <f>F122-IFERROR(VLOOKUP(B122,crm_orders!$A:$S,10,FALSE),0)</f>
        <v>0</v>
      </c>
      <c r="J122" s="22">
        <f>G122-IFERROR(VLOOKUP(B122,crm_orders!$A:$S,12,FALSE),0)</f>
        <v>0</v>
      </c>
      <c r="K122" s="17" t="str">
        <f>IF(COUNTIF(crm_orders!$A:$A,B122)=0,"Orphan","OK")</f>
        <v>OK</v>
      </c>
    </row>
    <row r="123" ht="15.75" customHeight="1">
      <c r="A123" s="25" t="s">
        <v>1334</v>
      </c>
      <c r="B123" s="25" t="s">
        <v>311</v>
      </c>
      <c r="C123" s="26">
        <v>46103.0</v>
      </c>
      <c r="D123" s="25" t="s">
        <v>312</v>
      </c>
      <c r="E123" s="25" t="s">
        <v>85</v>
      </c>
      <c r="F123" s="29">
        <v>36.0</v>
      </c>
      <c r="G123" s="30">
        <v>361.44</v>
      </c>
      <c r="H123" s="25" t="s">
        <v>1214</v>
      </c>
      <c r="I123" s="30">
        <f>F123-IFERROR(VLOOKUP(B123,crm_orders!$A:$S,10,FALSE),0)</f>
        <v>0</v>
      </c>
      <c r="J123" s="30">
        <f>G123-IFERROR(VLOOKUP(B123,crm_orders!$A:$S,12,FALSE),0)</f>
        <v>0</v>
      </c>
      <c r="K123" s="25" t="str">
        <f>IF(COUNTIF(crm_orders!$A:$A,B123)=0,"Orphan","OK")</f>
        <v>OK</v>
      </c>
    </row>
    <row r="124" ht="15.75" customHeight="1">
      <c r="A124" s="17" t="s">
        <v>1335</v>
      </c>
      <c r="B124" s="17" t="s">
        <v>1090</v>
      </c>
      <c r="C124" s="18">
        <v>46153.0</v>
      </c>
      <c r="D124" s="17" t="s">
        <v>1077</v>
      </c>
      <c r="E124" s="17" t="s">
        <v>106</v>
      </c>
      <c r="F124" s="21">
        <v>66.0</v>
      </c>
      <c r="G124" s="22">
        <v>655.38</v>
      </c>
      <c r="H124" s="17" t="s">
        <v>93</v>
      </c>
      <c r="I124" s="22">
        <f>F124-IFERROR(VLOOKUP(B124,crm_orders!$A:$S,10,FALSE),0)</f>
        <v>-6</v>
      </c>
      <c r="J124" s="22">
        <f>G124-IFERROR(VLOOKUP(B124,crm_orders!$A:$S,12,FALSE),0)</f>
        <v>-59.58</v>
      </c>
      <c r="K124" s="17" t="str">
        <f>IF(COUNTIF(crm_orders!$A:$A,B124)=0,"Orphan","OK")</f>
        <v>OK</v>
      </c>
    </row>
    <row r="125" ht="15.75" customHeight="1">
      <c r="A125" s="25" t="s">
        <v>1336</v>
      </c>
      <c r="B125" s="25" t="s">
        <v>725</v>
      </c>
      <c r="C125" s="26">
        <v>46118.0</v>
      </c>
      <c r="D125" s="25" t="s">
        <v>717</v>
      </c>
      <c r="E125" s="25" t="s">
        <v>92</v>
      </c>
      <c r="F125" s="29">
        <v>36.0</v>
      </c>
      <c r="G125" s="30">
        <v>393.84</v>
      </c>
      <c r="H125" s="25" t="s">
        <v>1214</v>
      </c>
      <c r="I125" s="30">
        <f>F125-IFERROR(VLOOKUP(B125,crm_orders!$A:$S,10,FALSE),0)</f>
        <v>0</v>
      </c>
      <c r="J125" s="30">
        <f>G125-IFERROR(VLOOKUP(B125,crm_orders!$A:$S,12,FALSE),0)</f>
        <v>0</v>
      </c>
      <c r="K125" s="25" t="str">
        <f>IF(COUNTIF(crm_orders!$A:$A,B125)=0,"Orphan","OK")</f>
        <v>OK</v>
      </c>
    </row>
    <row r="126" ht="15.75" customHeight="1">
      <c r="A126" s="17" t="s">
        <v>1337</v>
      </c>
      <c r="B126" s="17" t="s">
        <v>874</v>
      </c>
      <c r="C126" s="18">
        <v>46134.0</v>
      </c>
      <c r="D126" s="17" t="s">
        <v>873</v>
      </c>
      <c r="E126" s="17" t="s">
        <v>154</v>
      </c>
      <c r="F126" s="21">
        <v>36.0</v>
      </c>
      <c r="G126" s="22">
        <v>387.72</v>
      </c>
      <c r="H126" s="17" t="s">
        <v>1214</v>
      </c>
      <c r="I126" s="22">
        <f>F126-IFERROR(VLOOKUP(B126,crm_orders!$A:$S,10,FALSE),0)</f>
        <v>0</v>
      </c>
      <c r="J126" s="22">
        <f>G126-IFERROR(VLOOKUP(B126,crm_orders!$A:$S,12,FALSE),0)</f>
        <v>0</v>
      </c>
      <c r="K126" s="17" t="str">
        <f>IF(COUNTIF(crm_orders!$A:$A,B126)=0,"Orphan","OK")</f>
        <v>OK</v>
      </c>
    </row>
    <row r="127" ht="15.75" customHeight="1">
      <c r="A127" s="25" t="s">
        <v>1338</v>
      </c>
      <c r="B127" s="25" t="s">
        <v>972</v>
      </c>
      <c r="C127" s="26">
        <v>46110.0</v>
      </c>
      <c r="D127" s="25" t="s">
        <v>965</v>
      </c>
      <c r="E127" s="25" t="s">
        <v>81</v>
      </c>
      <c r="F127" s="29">
        <v>36.0</v>
      </c>
      <c r="G127" s="30">
        <v>259.2</v>
      </c>
      <c r="H127" s="25" t="s">
        <v>1214</v>
      </c>
      <c r="I127" s="30">
        <f>F127-IFERROR(VLOOKUP(B127,crm_orders!$A:$S,10,FALSE),0)</f>
        <v>0</v>
      </c>
      <c r="J127" s="30">
        <f>G127-IFERROR(VLOOKUP(B127,crm_orders!$A:$S,12,FALSE),0)</f>
        <v>0</v>
      </c>
      <c r="K127" s="25" t="str">
        <f>IF(COUNTIF(crm_orders!$A:$A,B127)=0,"Orphan","OK")</f>
        <v>OK</v>
      </c>
    </row>
    <row r="128" ht="15.75" customHeight="1">
      <c r="A128" s="17" t="s">
        <v>1339</v>
      </c>
      <c r="B128" s="17" t="s">
        <v>875</v>
      </c>
      <c r="C128" s="18">
        <v>46099.0</v>
      </c>
      <c r="D128" s="17" t="s">
        <v>866</v>
      </c>
      <c r="E128" s="17" t="s">
        <v>90</v>
      </c>
      <c r="F128" s="21">
        <v>48.0</v>
      </c>
      <c r="G128" s="22">
        <v>379.2</v>
      </c>
      <c r="H128" s="17" t="s">
        <v>1214</v>
      </c>
      <c r="I128" s="22">
        <f>F128-IFERROR(VLOOKUP(B128,crm_orders!$A:$S,10,FALSE),0)</f>
        <v>0</v>
      </c>
      <c r="J128" s="22">
        <f>G128-IFERROR(VLOOKUP(B128,crm_orders!$A:$S,12,FALSE),0)</f>
        <v>0</v>
      </c>
      <c r="K128" s="17" t="str">
        <f>IF(COUNTIF(crm_orders!$A:$A,B128)=0,"Orphan","OK")</f>
        <v>OK</v>
      </c>
    </row>
    <row r="129" ht="15.75" customHeight="1">
      <c r="A129" s="25" t="s">
        <v>1340</v>
      </c>
      <c r="B129" s="25" t="s">
        <v>973</v>
      </c>
      <c r="C129" s="26">
        <v>46080.0</v>
      </c>
      <c r="D129" s="25" t="s">
        <v>974</v>
      </c>
      <c r="E129" s="25" t="s">
        <v>190</v>
      </c>
      <c r="F129" s="29">
        <v>18.0</v>
      </c>
      <c r="G129" s="30">
        <v>145.26</v>
      </c>
      <c r="H129" s="25" t="s">
        <v>1214</v>
      </c>
      <c r="I129" s="30">
        <f>F129-IFERROR(VLOOKUP(B129,crm_orders!$A:$S,10,FALSE),0)</f>
        <v>0</v>
      </c>
      <c r="J129" s="30">
        <f>G129-IFERROR(VLOOKUP(B129,crm_orders!$A:$S,12,FALSE),0)</f>
        <v>0</v>
      </c>
      <c r="K129" s="25" t="str">
        <f>IF(COUNTIF(crm_orders!$A:$A,B129)=0,"Orphan","OK")</f>
        <v>OK</v>
      </c>
    </row>
    <row r="130" ht="15.75" customHeight="1">
      <c r="A130" s="17" t="s">
        <v>1341</v>
      </c>
      <c r="B130" s="17" t="s">
        <v>1091</v>
      </c>
      <c r="C130" s="18">
        <v>46131.0</v>
      </c>
      <c r="D130" s="17" t="s">
        <v>1079</v>
      </c>
      <c r="E130" s="17" t="s">
        <v>95</v>
      </c>
      <c r="F130" s="21">
        <v>12.0</v>
      </c>
      <c r="G130" s="22">
        <v>126.48</v>
      </c>
      <c r="H130" s="17" t="s">
        <v>1214</v>
      </c>
      <c r="I130" s="22">
        <f>F130-IFERROR(VLOOKUP(B130,crm_orders!$A:$S,10,FALSE),0)</f>
        <v>0</v>
      </c>
      <c r="J130" s="22">
        <f>G130-IFERROR(VLOOKUP(B130,crm_orders!$A:$S,12,FALSE),0)</f>
        <v>0</v>
      </c>
      <c r="K130" s="17" t="str">
        <f>IF(COUNTIF(crm_orders!$A:$A,B130)=0,"Orphan","OK")</f>
        <v>OK</v>
      </c>
    </row>
    <row r="131" ht="15.75" customHeight="1">
      <c r="A131" s="25" t="s">
        <v>1342</v>
      </c>
      <c r="B131" s="25" t="s">
        <v>313</v>
      </c>
      <c r="C131" s="26">
        <v>46145.0</v>
      </c>
      <c r="D131" s="25" t="s">
        <v>314</v>
      </c>
      <c r="E131" s="25" t="s">
        <v>102</v>
      </c>
      <c r="F131" s="29">
        <v>12.0</v>
      </c>
      <c r="G131" s="30">
        <v>125.4</v>
      </c>
      <c r="H131" s="25" t="s">
        <v>1214</v>
      </c>
      <c r="I131" s="30">
        <f>F131-IFERROR(VLOOKUP(B131,crm_orders!$A:$S,10,FALSE),0)</f>
        <v>0</v>
      </c>
      <c r="J131" s="30">
        <f>G131-IFERROR(VLOOKUP(B131,crm_orders!$A:$S,12,FALSE),0)</f>
        <v>0</v>
      </c>
      <c r="K131" s="25" t="str">
        <f>IF(COUNTIF(crm_orders!$A:$A,B131)=0,"Orphan","OK")</f>
        <v>OK</v>
      </c>
    </row>
    <row r="132" ht="15.75" customHeight="1">
      <c r="A132" s="17" t="s">
        <v>1343</v>
      </c>
      <c r="B132" s="17" t="s">
        <v>728</v>
      </c>
      <c r="C132" s="18">
        <v>46118.0</v>
      </c>
      <c r="D132" s="17" t="s">
        <v>729</v>
      </c>
      <c r="E132" s="17" t="s">
        <v>71</v>
      </c>
      <c r="F132" s="21">
        <v>6.0</v>
      </c>
      <c r="G132" s="22">
        <v>46.5</v>
      </c>
      <c r="H132" s="17" t="s">
        <v>1214</v>
      </c>
      <c r="I132" s="22">
        <f>F132-IFERROR(VLOOKUP(B132,crm_orders!$A:$S,10,FALSE),0)</f>
        <v>0</v>
      </c>
      <c r="J132" s="22">
        <f>G132-IFERROR(VLOOKUP(B132,crm_orders!$A:$S,12,FALSE),0)</f>
        <v>0</v>
      </c>
      <c r="K132" s="17" t="str">
        <f>IF(COUNTIF(crm_orders!$A:$A,B132)=0,"Orphan","OK")</f>
        <v>OK</v>
      </c>
    </row>
    <row r="133" ht="15.75" customHeight="1">
      <c r="A133" s="25" t="s">
        <v>1344</v>
      </c>
      <c r="B133" s="25" t="s">
        <v>975</v>
      </c>
      <c r="C133" s="26">
        <v>46074.0</v>
      </c>
      <c r="D133" s="25" t="s">
        <v>974</v>
      </c>
      <c r="E133" s="25" t="s">
        <v>106</v>
      </c>
      <c r="F133" s="29">
        <v>60.0</v>
      </c>
      <c r="G133" s="30">
        <v>589.8</v>
      </c>
      <c r="H133" s="25" t="s">
        <v>1214</v>
      </c>
      <c r="I133" s="30">
        <f>F133-IFERROR(VLOOKUP(B133,crm_orders!$A:$S,10,FALSE),0)</f>
        <v>0</v>
      </c>
      <c r="J133" s="30">
        <f>G133-IFERROR(VLOOKUP(B133,crm_orders!$A:$S,12,FALSE),0)</f>
        <v>0</v>
      </c>
      <c r="K133" s="25" t="str">
        <f>IF(COUNTIF(crm_orders!$A:$A,B133)=0,"Orphan","OK")</f>
        <v>OK</v>
      </c>
    </row>
    <row r="134" ht="15.75" customHeight="1">
      <c r="A134" s="17" t="s">
        <v>1345</v>
      </c>
      <c r="B134" s="17" t="s">
        <v>565</v>
      </c>
      <c r="C134" s="18">
        <v>46141.0</v>
      </c>
      <c r="D134" s="17" t="s">
        <v>566</v>
      </c>
      <c r="E134" s="17" t="s">
        <v>92</v>
      </c>
      <c r="F134" s="21">
        <v>36.0</v>
      </c>
      <c r="G134" s="22">
        <v>395.64</v>
      </c>
      <c r="H134" s="17" t="s">
        <v>1214</v>
      </c>
      <c r="I134" s="22">
        <f>F134-IFERROR(VLOOKUP(B134,crm_orders!$A:$S,10,FALSE),0)</f>
        <v>0</v>
      </c>
      <c r="J134" s="22">
        <f>G134-IFERROR(VLOOKUP(B134,crm_orders!$A:$S,12,FALSE),0)</f>
        <v>0</v>
      </c>
      <c r="K134" s="17" t="str">
        <f>IF(COUNTIF(crm_orders!$A:$A,B134)=0,"Orphan","OK")</f>
        <v>OK</v>
      </c>
    </row>
    <row r="135" ht="15.75" customHeight="1">
      <c r="A135" s="25" t="s">
        <v>1346</v>
      </c>
      <c r="B135" s="25" t="s">
        <v>463</v>
      </c>
      <c r="C135" s="26">
        <v>46059.0</v>
      </c>
      <c r="D135" s="25" t="s">
        <v>464</v>
      </c>
      <c r="E135" s="25" t="s">
        <v>92</v>
      </c>
      <c r="F135" s="29">
        <v>60.0</v>
      </c>
      <c r="G135" s="30">
        <v>582.6</v>
      </c>
      <c r="H135" s="25" t="s">
        <v>1214</v>
      </c>
      <c r="I135" s="30">
        <f>F135-IFERROR(VLOOKUP(B135,crm_orders!$A:$S,10,FALSE),0)</f>
        <v>0</v>
      </c>
      <c r="J135" s="30">
        <f>G135-IFERROR(VLOOKUP(B135,crm_orders!$A:$S,12,FALSE),0)</f>
        <v>0</v>
      </c>
      <c r="K135" s="25" t="str">
        <f>IF(COUNTIF(crm_orders!$A:$A,B135)=0,"Orphan","OK")</f>
        <v>OK</v>
      </c>
    </row>
    <row r="136" ht="15.75" customHeight="1">
      <c r="A136" s="17" t="s">
        <v>1347</v>
      </c>
      <c r="B136" s="17" t="s">
        <v>567</v>
      </c>
      <c r="C136" s="18">
        <v>46061.0</v>
      </c>
      <c r="D136" s="17" t="s">
        <v>550</v>
      </c>
      <c r="E136" s="17" t="s">
        <v>108</v>
      </c>
      <c r="F136" s="21">
        <v>18.0</v>
      </c>
      <c r="G136" s="22">
        <v>205.56</v>
      </c>
      <c r="H136" s="17" t="s">
        <v>1214</v>
      </c>
      <c r="I136" s="22">
        <f>F136-IFERROR(VLOOKUP(B136,crm_orders!$A:$S,10,FALSE),0)</f>
        <v>0</v>
      </c>
      <c r="J136" s="22">
        <f>G136-IFERROR(VLOOKUP(B136,crm_orders!$A:$S,12,FALSE),0)</f>
        <v>0</v>
      </c>
      <c r="K136" s="17" t="str">
        <f>IF(COUNTIF(crm_orders!$A:$A,B136)=0,"Orphan","OK")</f>
        <v>OK</v>
      </c>
    </row>
    <row r="137" ht="15.75" customHeight="1">
      <c r="A137" s="25" t="s">
        <v>1348</v>
      </c>
      <c r="B137" s="25" t="s">
        <v>568</v>
      </c>
      <c r="C137" s="26">
        <v>46100.0</v>
      </c>
      <c r="D137" s="25" t="s">
        <v>559</v>
      </c>
      <c r="E137" s="25" t="s">
        <v>74</v>
      </c>
      <c r="F137" s="29">
        <v>30.0</v>
      </c>
      <c r="G137" s="30">
        <v>344.7</v>
      </c>
      <c r="H137" s="25" t="s">
        <v>1214</v>
      </c>
      <c r="I137" s="30">
        <f>F137-IFERROR(VLOOKUP(B137,crm_orders!$A:$S,10,FALSE),0)</f>
        <v>0</v>
      </c>
      <c r="J137" s="30">
        <f>G137-IFERROR(VLOOKUP(B137,crm_orders!$A:$S,12,FALSE),0)</f>
        <v>0</v>
      </c>
      <c r="K137" s="25" t="str">
        <f>IF(COUNTIF(crm_orders!$A:$A,B137)=0,"Orphan","OK")</f>
        <v>OK</v>
      </c>
    </row>
    <row r="138" ht="15.75" customHeight="1">
      <c r="A138" s="17" t="s">
        <v>1349</v>
      </c>
      <c r="B138" s="17" t="s">
        <v>730</v>
      </c>
      <c r="C138" s="18">
        <v>46031.0</v>
      </c>
      <c r="D138" s="17" t="s">
        <v>720</v>
      </c>
      <c r="E138" s="17" t="s">
        <v>95</v>
      </c>
      <c r="F138" s="21">
        <v>30.0</v>
      </c>
      <c r="G138" s="22">
        <v>314.7</v>
      </c>
      <c r="H138" s="17" t="s">
        <v>1214</v>
      </c>
      <c r="I138" s="22">
        <f>F138-IFERROR(VLOOKUP(B138,crm_orders!$A:$S,10,FALSE),0)</f>
        <v>0</v>
      </c>
      <c r="J138" s="22">
        <f>G138-IFERROR(VLOOKUP(B138,crm_orders!$A:$S,12,FALSE),0)</f>
        <v>0</v>
      </c>
      <c r="K138" s="17" t="str">
        <f>IF(COUNTIF(crm_orders!$A:$A,B138)=0,"Orphan","OK")</f>
        <v>OK</v>
      </c>
    </row>
    <row r="139" ht="15.75" customHeight="1">
      <c r="A139" s="25" t="s">
        <v>1350</v>
      </c>
      <c r="B139" s="25" t="s">
        <v>976</v>
      </c>
      <c r="C139" s="26">
        <v>46067.0</v>
      </c>
      <c r="D139" s="25" t="s">
        <v>965</v>
      </c>
      <c r="E139" s="25" t="s">
        <v>81</v>
      </c>
      <c r="F139" s="29">
        <v>12.0</v>
      </c>
      <c r="G139" s="30">
        <v>85.08</v>
      </c>
      <c r="H139" s="25" t="s">
        <v>1214</v>
      </c>
      <c r="I139" s="30">
        <f>F139-IFERROR(VLOOKUP(B139,crm_orders!$A:$S,10,FALSE),0)</f>
        <v>0</v>
      </c>
      <c r="J139" s="30">
        <f>G139-IFERROR(VLOOKUP(B139,crm_orders!$A:$S,12,FALSE),0)</f>
        <v>0</v>
      </c>
      <c r="K139" s="25" t="str">
        <f>IF(COUNTIF(crm_orders!$A:$A,B139)=0,"Orphan","OK")</f>
        <v>OK</v>
      </c>
    </row>
    <row r="140" ht="15.75" customHeight="1">
      <c r="A140" s="17" t="s">
        <v>1351</v>
      </c>
      <c r="B140" s="17" t="s">
        <v>731</v>
      </c>
      <c r="C140" s="18">
        <v>46074.0</v>
      </c>
      <c r="D140" s="17" t="s">
        <v>712</v>
      </c>
      <c r="E140" s="17" t="s">
        <v>106</v>
      </c>
      <c r="F140" s="21">
        <v>36.0</v>
      </c>
      <c r="G140" s="22">
        <v>391.32</v>
      </c>
      <c r="H140" s="17" t="s">
        <v>1214</v>
      </c>
      <c r="I140" s="22">
        <f>F140-IFERROR(VLOOKUP(B140,crm_orders!$A:$S,10,FALSE),0)</f>
        <v>0</v>
      </c>
      <c r="J140" s="22">
        <f>G140-IFERROR(VLOOKUP(B140,crm_orders!$A:$S,12,FALSE),0)</f>
        <v>0</v>
      </c>
      <c r="K140" s="17" t="str">
        <f>IF(COUNTIF(crm_orders!$A:$A,B140)=0,"Orphan","OK")</f>
        <v>OK</v>
      </c>
    </row>
    <row r="141" ht="15.75" customHeight="1">
      <c r="A141" s="25" t="s">
        <v>1352</v>
      </c>
      <c r="B141" s="25" t="s">
        <v>732</v>
      </c>
      <c r="C141" s="26">
        <v>46075.0</v>
      </c>
      <c r="D141" s="25" t="s">
        <v>733</v>
      </c>
      <c r="E141" s="25" t="s">
        <v>154</v>
      </c>
      <c r="F141" s="29">
        <v>72.0</v>
      </c>
      <c r="G141" s="30">
        <v>810.72</v>
      </c>
      <c r="H141" s="25" t="s">
        <v>93</v>
      </c>
      <c r="I141" s="30">
        <f>F141-IFERROR(VLOOKUP(B141,crm_orders!$A:$S,10,FALSE),0)</f>
        <v>-24</v>
      </c>
      <c r="J141" s="30">
        <f>G141-IFERROR(VLOOKUP(B141,crm_orders!$A:$S,12,FALSE),0)</f>
        <v>-270.24</v>
      </c>
      <c r="K141" s="25" t="str">
        <f>IF(COUNTIF(crm_orders!$A:$A,B141)=0,"Orphan","OK")</f>
        <v>OK</v>
      </c>
    </row>
    <row r="142" ht="15.75" customHeight="1">
      <c r="A142" s="17" t="s">
        <v>1353</v>
      </c>
      <c r="B142" s="17" t="s">
        <v>569</v>
      </c>
      <c r="C142" s="18">
        <v>46134.0</v>
      </c>
      <c r="D142" s="17" t="s">
        <v>570</v>
      </c>
      <c r="E142" s="17" t="s">
        <v>90</v>
      </c>
      <c r="F142" s="21">
        <v>6.0</v>
      </c>
      <c r="G142" s="22">
        <v>43.8</v>
      </c>
      <c r="H142" s="17" t="s">
        <v>1214</v>
      </c>
      <c r="I142" s="22">
        <f>F142-IFERROR(VLOOKUP(B142,crm_orders!$A:$S,10,FALSE),0)</f>
        <v>0</v>
      </c>
      <c r="J142" s="22">
        <f>G142-IFERROR(VLOOKUP(B142,crm_orders!$A:$S,12,FALSE),0)</f>
        <v>0</v>
      </c>
      <c r="K142" s="17" t="str">
        <f>IF(COUNTIF(crm_orders!$A:$A,B142)=0,"Orphan","OK")</f>
        <v>OK</v>
      </c>
    </row>
    <row r="143" ht="15.75" customHeight="1">
      <c r="A143" s="25" t="s">
        <v>1354</v>
      </c>
      <c r="B143" s="25" t="s">
        <v>571</v>
      </c>
      <c r="C143" s="26">
        <v>46101.0</v>
      </c>
      <c r="D143" s="25" t="s">
        <v>555</v>
      </c>
      <c r="E143" s="25" t="s">
        <v>156</v>
      </c>
      <c r="F143" s="29">
        <v>60.0</v>
      </c>
      <c r="G143" s="30">
        <v>571.8</v>
      </c>
      <c r="H143" s="25" t="s">
        <v>1214</v>
      </c>
      <c r="I143" s="30">
        <f>F143-IFERROR(VLOOKUP(B143,crm_orders!$A:$S,10,FALSE),0)</f>
        <v>0</v>
      </c>
      <c r="J143" s="30">
        <f>G143-IFERROR(VLOOKUP(B143,crm_orders!$A:$S,12,FALSE),0)</f>
        <v>0</v>
      </c>
      <c r="K143" s="25" t="str">
        <f>IF(COUNTIF(crm_orders!$A:$A,B143)=0,"Orphan","OK")</f>
        <v>OK</v>
      </c>
    </row>
    <row r="144" ht="15.75" customHeight="1">
      <c r="A144" s="17" t="s">
        <v>1355</v>
      </c>
      <c r="B144" s="17" t="s">
        <v>88</v>
      </c>
      <c r="C144" s="18">
        <v>46045.0</v>
      </c>
      <c r="D144" s="17" t="s">
        <v>80</v>
      </c>
      <c r="E144" s="17" t="s">
        <v>90</v>
      </c>
      <c r="F144" s="21">
        <v>72.0</v>
      </c>
      <c r="G144" s="22">
        <v>553.68</v>
      </c>
      <c r="H144" s="17" t="s">
        <v>1214</v>
      </c>
      <c r="I144" s="22">
        <f>F144-IFERROR(VLOOKUP(B144,crm_orders!$A:$S,10,FALSE),0)</f>
        <v>0</v>
      </c>
      <c r="J144" s="22">
        <f>G144-IFERROR(VLOOKUP(B144,crm_orders!$A:$S,12,FALSE),0)</f>
        <v>0</v>
      </c>
      <c r="K144" s="17" t="str">
        <f>IF(COUNTIF(crm_orders!$A:$A,B144)=0,"Orphan","OK")</f>
        <v>OK</v>
      </c>
    </row>
    <row r="145" ht="15.75" customHeight="1">
      <c r="A145" s="25" t="s">
        <v>1356</v>
      </c>
      <c r="B145" s="25" t="s">
        <v>315</v>
      </c>
      <c r="C145" s="26">
        <v>46052.0</v>
      </c>
      <c r="D145" s="25" t="s">
        <v>312</v>
      </c>
      <c r="E145" s="25" t="s">
        <v>78</v>
      </c>
      <c r="F145" s="29">
        <v>6.0</v>
      </c>
      <c r="G145" s="30">
        <v>63.72</v>
      </c>
      <c r="H145" s="25" t="s">
        <v>1214</v>
      </c>
      <c r="I145" s="30">
        <f>F145-IFERROR(VLOOKUP(B145,crm_orders!$A:$S,10,FALSE),0)</f>
        <v>0</v>
      </c>
      <c r="J145" s="30">
        <f>G145-IFERROR(VLOOKUP(B145,crm_orders!$A:$S,12,FALSE),0)</f>
        <v>0</v>
      </c>
      <c r="K145" s="25" t="str">
        <f>IF(COUNTIF(crm_orders!$A:$A,B145)=0,"Orphan","OK")</f>
        <v>OK</v>
      </c>
    </row>
    <row r="146" ht="15.75" customHeight="1">
      <c r="A146" s="17" t="s">
        <v>1357</v>
      </c>
      <c r="B146" s="17" t="s">
        <v>467</v>
      </c>
      <c r="C146" s="18">
        <v>46136.0</v>
      </c>
      <c r="D146" s="17" t="s">
        <v>454</v>
      </c>
      <c r="E146" s="17" t="s">
        <v>90</v>
      </c>
      <c r="F146" s="21">
        <v>6.0</v>
      </c>
      <c r="G146" s="22">
        <v>46.86</v>
      </c>
      <c r="H146" s="17" t="s">
        <v>1214</v>
      </c>
      <c r="I146" s="22">
        <f>F146-IFERROR(VLOOKUP(B146,crm_orders!$A:$S,10,FALSE),0)</f>
        <v>0</v>
      </c>
      <c r="J146" s="22">
        <f>G146-IFERROR(VLOOKUP(B146,crm_orders!$A:$S,12,FALSE),0)</f>
        <v>0</v>
      </c>
      <c r="K146" s="17" t="str">
        <f>IF(COUNTIF(crm_orders!$A:$A,B146)=0,"Orphan","OK")</f>
        <v>OK</v>
      </c>
    </row>
    <row r="147" ht="15.75" customHeight="1">
      <c r="A147" s="25" t="s">
        <v>1358</v>
      </c>
      <c r="B147" s="25" t="s">
        <v>1140</v>
      </c>
      <c r="C147" s="26">
        <v>46142.0</v>
      </c>
      <c r="D147" s="25" t="s">
        <v>1129</v>
      </c>
      <c r="E147" s="25" t="s">
        <v>74</v>
      </c>
      <c r="F147" s="29">
        <v>72.0</v>
      </c>
      <c r="G147" s="30">
        <v>802.08</v>
      </c>
      <c r="H147" s="25" t="s">
        <v>1214</v>
      </c>
      <c r="I147" s="30">
        <f>F147-IFERROR(VLOOKUP(B147,crm_orders!$A:$S,10,FALSE),0)</f>
        <v>0</v>
      </c>
      <c r="J147" s="30">
        <f>G147-IFERROR(VLOOKUP(B147,crm_orders!$A:$S,12,FALSE),0)</f>
        <v>0</v>
      </c>
      <c r="K147" s="25" t="str">
        <f>IF(COUNTIF(crm_orders!$A:$A,B147)=0,"Orphan","OK")</f>
        <v>OK</v>
      </c>
    </row>
    <row r="148" ht="15.75" customHeight="1">
      <c r="A148" s="17" t="s">
        <v>1359</v>
      </c>
      <c r="B148" s="17" t="s">
        <v>572</v>
      </c>
      <c r="C148" s="18">
        <v>46106.0</v>
      </c>
      <c r="D148" s="17" t="s">
        <v>573</v>
      </c>
      <c r="E148" s="17" t="s">
        <v>115</v>
      </c>
      <c r="F148" s="21">
        <v>18.0</v>
      </c>
      <c r="G148" s="22">
        <v>191.34</v>
      </c>
      <c r="H148" s="17" t="s">
        <v>93</v>
      </c>
      <c r="I148" s="22">
        <f>F148-IFERROR(VLOOKUP(B148,crm_orders!$A:$S,10,FALSE),0)</f>
        <v>-12</v>
      </c>
      <c r="J148" s="22">
        <f>G148-IFERROR(VLOOKUP(B148,crm_orders!$A:$S,12,FALSE),0)</f>
        <v>-127.56</v>
      </c>
      <c r="K148" s="17" t="str">
        <f>IF(COUNTIF(crm_orders!$A:$A,B148)=0,"Orphan","OK")</f>
        <v>OK</v>
      </c>
    </row>
    <row r="149" ht="15.75" customHeight="1">
      <c r="A149" s="25" t="s">
        <v>1360</v>
      </c>
      <c r="B149" s="25" t="s">
        <v>91</v>
      </c>
      <c r="C149" s="26">
        <v>46089.0</v>
      </c>
      <c r="D149" s="25" t="s">
        <v>83</v>
      </c>
      <c r="E149" s="25" t="s">
        <v>92</v>
      </c>
      <c r="F149" s="29">
        <v>36.0</v>
      </c>
      <c r="G149" s="30">
        <v>382.68</v>
      </c>
      <c r="H149" s="25" t="s">
        <v>1214</v>
      </c>
      <c r="I149" s="30">
        <f>F149-IFERROR(VLOOKUP(B149,crm_orders!$A:$S,10,FALSE),0)</f>
        <v>0</v>
      </c>
      <c r="J149" s="30">
        <f>G149-IFERROR(VLOOKUP(B149,crm_orders!$A:$S,12,FALSE),0)</f>
        <v>0</v>
      </c>
      <c r="K149" s="25" t="str">
        <f>IF(COUNTIF(crm_orders!$A:$A,B149)=0,"Orphan","OK")</f>
        <v>OK</v>
      </c>
    </row>
    <row r="150" ht="15.75" customHeight="1">
      <c r="A150" s="17" t="s">
        <v>1361</v>
      </c>
      <c r="B150" s="17" t="s">
        <v>734</v>
      </c>
      <c r="C150" s="18">
        <v>46130.0</v>
      </c>
      <c r="D150" s="17" t="s">
        <v>735</v>
      </c>
      <c r="E150" s="17" t="s">
        <v>106</v>
      </c>
      <c r="F150" s="21">
        <v>36.0</v>
      </c>
      <c r="G150" s="22">
        <v>422.28</v>
      </c>
      <c r="H150" s="17" t="s">
        <v>1214</v>
      </c>
      <c r="I150" s="22">
        <f>F150-IFERROR(VLOOKUP(B150,crm_orders!$A:$S,10,FALSE),0)</f>
        <v>0</v>
      </c>
      <c r="J150" s="22">
        <f>G150-IFERROR(VLOOKUP(B150,crm_orders!$A:$S,12,FALSE),0)</f>
        <v>0</v>
      </c>
      <c r="K150" s="17" t="str">
        <f>IF(COUNTIF(crm_orders!$A:$A,B150)=0,"Orphan","OK")</f>
        <v>OK</v>
      </c>
    </row>
    <row r="151" ht="15.75" customHeight="1">
      <c r="A151" s="25" t="s">
        <v>1362</v>
      </c>
      <c r="B151" s="25" t="s">
        <v>736</v>
      </c>
      <c r="C151" s="26">
        <v>46107.0</v>
      </c>
      <c r="D151" s="25" t="s">
        <v>723</v>
      </c>
      <c r="E151" s="25" t="s">
        <v>78</v>
      </c>
      <c r="F151" s="29">
        <v>78.0</v>
      </c>
      <c r="G151" s="30">
        <v>794.82</v>
      </c>
      <c r="H151" s="25" t="s">
        <v>93</v>
      </c>
      <c r="I151" s="30">
        <f>F151-IFERROR(VLOOKUP(B151,crm_orders!$A:$S,10,FALSE),0)</f>
        <v>-18</v>
      </c>
      <c r="J151" s="30">
        <f>G151-IFERROR(VLOOKUP(B151,crm_orders!$A:$S,12,FALSE),0)</f>
        <v>-183.42</v>
      </c>
      <c r="K151" s="25" t="str">
        <f>IF(COUNTIF(crm_orders!$A:$A,B151)=0,"Orphan","OK")</f>
        <v>OK</v>
      </c>
    </row>
    <row r="152" ht="15.75" customHeight="1">
      <c r="A152" s="17" t="s">
        <v>1363</v>
      </c>
      <c r="B152" s="17" t="s">
        <v>316</v>
      </c>
      <c r="C152" s="18">
        <v>46115.0</v>
      </c>
      <c r="D152" s="17" t="s">
        <v>297</v>
      </c>
      <c r="E152" s="17" t="s">
        <v>92</v>
      </c>
      <c r="F152" s="21">
        <v>60.0</v>
      </c>
      <c r="G152" s="22">
        <v>579.6</v>
      </c>
      <c r="H152" s="17" t="s">
        <v>1214</v>
      </c>
      <c r="I152" s="22">
        <f>F152-IFERROR(VLOOKUP(B152,crm_orders!$A:$S,10,FALSE),0)</f>
        <v>0</v>
      </c>
      <c r="J152" s="22">
        <f>G152-IFERROR(VLOOKUP(B152,crm_orders!$A:$S,12,FALSE),0)</f>
        <v>0</v>
      </c>
      <c r="K152" s="17" t="str">
        <f>IF(COUNTIF(crm_orders!$A:$A,B152)=0,"Orphan","OK")</f>
        <v>OK</v>
      </c>
    </row>
    <row r="153" ht="15.75" customHeight="1">
      <c r="A153" s="25" t="s">
        <v>1364</v>
      </c>
      <c r="B153" s="25" t="s">
        <v>191</v>
      </c>
      <c r="C153" s="26">
        <v>46088.0</v>
      </c>
      <c r="D153" s="25" t="s">
        <v>184</v>
      </c>
      <c r="E153" s="25" t="s">
        <v>90</v>
      </c>
      <c r="F153" s="29">
        <v>120.0</v>
      </c>
      <c r="G153" s="30">
        <v>858.19</v>
      </c>
      <c r="H153" s="25" t="s">
        <v>1212</v>
      </c>
      <c r="I153" s="30">
        <f>F153-IFERROR(VLOOKUP(B153,crm_orders!$A:$S,10,FALSE),0)</f>
        <v>0</v>
      </c>
      <c r="J153" s="30">
        <f>G153-IFERROR(VLOOKUP(B153,crm_orders!$A:$S,12,FALSE),0)</f>
        <v>12.19</v>
      </c>
      <c r="K153" s="25" t="str">
        <f>IF(COUNTIF(crm_orders!$A:$A,B153)=0,"Orphan","OK")</f>
        <v>OK</v>
      </c>
    </row>
    <row r="154" ht="15.75" customHeight="1">
      <c r="A154" s="17" t="s">
        <v>1365</v>
      </c>
      <c r="B154" s="17" t="s">
        <v>317</v>
      </c>
      <c r="C154" s="18">
        <v>46095.0</v>
      </c>
      <c r="D154" s="17" t="s">
        <v>312</v>
      </c>
      <c r="E154" s="17" t="s">
        <v>123</v>
      </c>
      <c r="F154" s="21">
        <v>6.0</v>
      </c>
      <c r="G154" s="22">
        <v>69.84</v>
      </c>
      <c r="H154" s="17" t="s">
        <v>1214</v>
      </c>
      <c r="I154" s="22">
        <f>F154-IFERROR(VLOOKUP(B154,crm_orders!$A:$S,10,FALSE),0)</f>
        <v>0</v>
      </c>
      <c r="J154" s="22">
        <f>G154-IFERROR(VLOOKUP(B154,crm_orders!$A:$S,12,FALSE),0)</f>
        <v>0</v>
      </c>
      <c r="K154" s="17" t="str">
        <f>IF(COUNTIF(crm_orders!$A:$A,B154)=0,"Orphan","OK")</f>
        <v>OK</v>
      </c>
    </row>
    <row r="155" ht="15.75" customHeight="1">
      <c r="A155" s="25" t="s">
        <v>1366</v>
      </c>
      <c r="B155" s="25" t="s">
        <v>737</v>
      </c>
      <c r="C155" s="26">
        <v>46128.0</v>
      </c>
      <c r="D155" s="25" t="s">
        <v>727</v>
      </c>
      <c r="E155" s="25" t="s">
        <v>106</v>
      </c>
      <c r="F155" s="29">
        <v>60.0</v>
      </c>
      <c r="G155" s="30">
        <v>604.8</v>
      </c>
      <c r="H155" s="25" t="s">
        <v>1214</v>
      </c>
      <c r="I155" s="30">
        <f>F155-IFERROR(VLOOKUP(B155,crm_orders!$A:$S,10,FALSE),0)</f>
        <v>0</v>
      </c>
      <c r="J155" s="30">
        <f>G155-IFERROR(VLOOKUP(B155,crm_orders!$A:$S,12,FALSE),0)</f>
        <v>0</v>
      </c>
      <c r="K155" s="25" t="str">
        <f>IF(COUNTIF(crm_orders!$A:$A,B155)=0,"Orphan","OK")</f>
        <v>OK</v>
      </c>
    </row>
    <row r="156" ht="15.75" customHeight="1">
      <c r="A156" s="17" t="s">
        <v>1367</v>
      </c>
      <c r="B156" s="17" t="s">
        <v>977</v>
      </c>
      <c r="C156" s="18">
        <v>46045.0</v>
      </c>
      <c r="D156" s="17" t="s">
        <v>953</v>
      </c>
      <c r="E156" s="17" t="s">
        <v>71</v>
      </c>
      <c r="F156" s="21">
        <v>36.0</v>
      </c>
      <c r="G156" s="22">
        <v>267.12</v>
      </c>
      <c r="H156" s="17" t="s">
        <v>1214</v>
      </c>
      <c r="I156" s="22">
        <f>F156-IFERROR(VLOOKUP(B156,crm_orders!$A:$S,10,FALSE),0)</f>
        <v>0</v>
      </c>
      <c r="J156" s="22">
        <f>G156-IFERROR(VLOOKUP(B156,crm_orders!$A:$S,12,FALSE),0)</f>
        <v>0</v>
      </c>
      <c r="K156" s="17" t="str">
        <f>IF(COUNTIF(crm_orders!$A:$A,B156)=0,"Orphan","OK")</f>
        <v>OK</v>
      </c>
    </row>
    <row r="157" ht="15.75" customHeight="1">
      <c r="A157" s="25" t="s">
        <v>1368</v>
      </c>
      <c r="B157" s="25" t="s">
        <v>192</v>
      </c>
      <c r="C157" s="26">
        <v>46107.0</v>
      </c>
      <c r="D157" s="25" t="s">
        <v>166</v>
      </c>
      <c r="E157" s="25" t="s">
        <v>102</v>
      </c>
      <c r="F157" s="29">
        <v>120.0</v>
      </c>
      <c r="G157" s="30">
        <v>1388.4</v>
      </c>
      <c r="H157" s="25" t="s">
        <v>1214</v>
      </c>
      <c r="I157" s="30">
        <f>F157-IFERROR(VLOOKUP(B157,crm_orders!$A:$S,10,FALSE),0)</f>
        <v>0</v>
      </c>
      <c r="J157" s="30">
        <f>G157-IFERROR(VLOOKUP(B157,crm_orders!$A:$S,12,FALSE),0)</f>
        <v>0</v>
      </c>
      <c r="K157" s="25" t="str">
        <f>IF(COUNTIF(crm_orders!$A:$A,B157)=0,"Orphan","OK")</f>
        <v>OK</v>
      </c>
    </row>
    <row r="158" ht="15.75" customHeight="1">
      <c r="A158" s="17" t="s">
        <v>1369</v>
      </c>
      <c r="B158" s="17" t="s">
        <v>193</v>
      </c>
      <c r="C158" s="18">
        <v>46122.0</v>
      </c>
      <c r="D158" s="17" t="s">
        <v>189</v>
      </c>
      <c r="E158" s="17" t="s">
        <v>106</v>
      </c>
      <c r="F158" s="21">
        <v>12.0</v>
      </c>
      <c r="G158" s="22">
        <v>120.84</v>
      </c>
      <c r="H158" s="17" t="s">
        <v>1214</v>
      </c>
      <c r="I158" s="22">
        <f>F158-IFERROR(VLOOKUP(B158,crm_orders!$A:$S,10,FALSE),0)</f>
        <v>0</v>
      </c>
      <c r="J158" s="22">
        <f>G158-IFERROR(VLOOKUP(B158,crm_orders!$A:$S,12,FALSE),0)</f>
        <v>0</v>
      </c>
      <c r="K158" s="17" t="str">
        <f>IF(COUNTIF(crm_orders!$A:$A,B158)=0,"Orphan","OK")</f>
        <v>OK</v>
      </c>
    </row>
    <row r="159" ht="15.75" customHeight="1">
      <c r="A159" s="25" t="s">
        <v>1370</v>
      </c>
      <c r="B159" s="25" t="s">
        <v>468</v>
      </c>
      <c r="C159" s="26">
        <v>46066.0</v>
      </c>
      <c r="D159" s="25" t="s">
        <v>469</v>
      </c>
      <c r="E159" s="25" t="s">
        <v>115</v>
      </c>
      <c r="F159" s="29">
        <v>30.0</v>
      </c>
      <c r="G159" s="30">
        <v>343.2</v>
      </c>
      <c r="H159" s="25" t="s">
        <v>1214</v>
      </c>
      <c r="I159" s="30">
        <f>F159-IFERROR(VLOOKUP(B159,crm_orders!$A:$S,10,FALSE),0)</f>
        <v>0</v>
      </c>
      <c r="J159" s="30">
        <f>G159-IFERROR(VLOOKUP(B159,crm_orders!$A:$S,12,FALSE),0)</f>
        <v>0</v>
      </c>
      <c r="K159" s="25" t="str">
        <f>IF(COUNTIF(crm_orders!$A:$A,B159)=0,"Orphan","OK")</f>
        <v>OK</v>
      </c>
    </row>
    <row r="160" ht="15.75" customHeight="1">
      <c r="A160" s="17" t="s">
        <v>1371</v>
      </c>
      <c r="B160" s="17" t="s">
        <v>1093</v>
      </c>
      <c r="C160" s="18">
        <v>46068.0</v>
      </c>
      <c r="D160" s="17" t="s">
        <v>1083</v>
      </c>
      <c r="E160" s="17" t="s">
        <v>74</v>
      </c>
      <c r="F160" s="21">
        <v>18.0</v>
      </c>
      <c r="G160" s="22">
        <v>203.04</v>
      </c>
      <c r="H160" s="17" t="s">
        <v>1214</v>
      </c>
      <c r="I160" s="22">
        <f>F160-IFERROR(VLOOKUP(B160,crm_orders!$A:$S,10,FALSE),0)</f>
        <v>0</v>
      </c>
      <c r="J160" s="22">
        <f>G160-IFERROR(VLOOKUP(B160,crm_orders!$A:$S,12,FALSE),0)</f>
        <v>0</v>
      </c>
      <c r="K160" s="17" t="str">
        <f>IF(COUNTIF(crm_orders!$A:$A,B160)=0,"Orphan","OK")</f>
        <v>OK</v>
      </c>
    </row>
    <row r="161" ht="15.75" customHeight="1">
      <c r="A161" s="25" t="s">
        <v>1372</v>
      </c>
      <c r="B161" s="25" t="s">
        <v>318</v>
      </c>
      <c r="C161" s="26">
        <v>46107.0</v>
      </c>
      <c r="D161" s="25" t="s">
        <v>293</v>
      </c>
      <c r="E161" s="25" t="s">
        <v>68</v>
      </c>
      <c r="F161" s="29">
        <v>24.0</v>
      </c>
      <c r="G161" s="30">
        <v>237.84</v>
      </c>
      <c r="H161" s="25" t="s">
        <v>1214</v>
      </c>
      <c r="I161" s="30">
        <f>F161-IFERROR(VLOOKUP(B161,crm_orders!$A:$S,10,FALSE),0)</f>
        <v>0</v>
      </c>
      <c r="J161" s="30">
        <f>G161-IFERROR(VLOOKUP(B161,crm_orders!$A:$S,12,FALSE),0)</f>
        <v>0</v>
      </c>
      <c r="K161" s="25" t="str">
        <f>IF(COUNTIF(crm_orders!$A:$A,B161)=0,"Orphan","OK")</f>
        <v>OK</v>
      </c>
    </row>
    <row r="162" ht="15.75" customHeight="1">
      <c r="A162" s="17" t="s">
        <v>1373</v>
      </c>
      <c r="B162" s="17" t="s">
        <v>194</v>
      </c>
      <c r="C162" s="18">
        <v>46121.0</v>
      </c>
      <c r="D162" s="17" t="s">
        <v>195</v>
      </c>
      <c r="E162" s="17" t="s">
        <v>90</v>
      </c>
      <c r="F162" s="21">
        <v>72.0</v>
      </c>
      <c r="G162" s="22">
        <v>572.4</v>
      </c>
      <c r="H162" s="17" t="s">
        <v>1214</v>
      </c>
      <c r="I162" s="22">
        <f>F162-IFERROR(VLOOKUP(B162,crm_orders!$A:$S,10,FALSE),0)</f>
        <v>0</v>
      </c>
      <c r="J162" s="22">
        <f>G162-IFERROR(VLOOKUP(B162,crm_orders!$A:$S,12,FALSE),0)</f>
        <v>0</v>
      </c>
      <c r="K162" s="17" t="str">
        <f>IF(COUNTIF(crm_orders!$A:$A,B162)=0,"Orphan","OK")</f>
        <v>OK</v>
      </c>
    </row>
    <row r="163" ht="15.75" customHeight="1">
      <c r="A163" s="25" t="s">
        <v>1374</v>
      </c>
      <c r="B163" s="25" t="s">
        <v>470</v>
      </c>
      <c r="C163" s="26">
        <v>46121.0</v>
      </c>
      <c r="D163" s="25" t="s">
        <v>469</v>
      </c>
      <c r="E163" s="25" t="s">
        <v>190</v>
      </c>
      <c r="F163" s="29">
        <v>36.0</v>
      </c>
      <c r="G163" s="30">
        <v>247.32</v>
      </c>
      <c r="H163" s="25" t="s">
        <v>1214</v>
      </c>
      <c r="I163" s="30">
        <f>F163-IFERROR(VLOOKUP(B163,crm_orders!$A:$S,10,FALSE),0)</f>
        <v>0</v>
      </c>
      <c r="J163" s="30">
        <f>G163-IFERROR(VLOOKUP(B163,crm_orders!$A:$S,12,FALSE),0)</f>
        <v>0</v>
      </c>
      <c r="K163" s="25" t="str">
        <f>IF(COUNTIF(crm_orders!$A:$A,B163)=0,"Orphan","OK")</f>
        <v>OK</v>
      </c>
    </row>
    <row r="164" ht="15.75" customHeight="1">
      <c r="A164" s="17" t="s">
        <v>1375</v>
      </c>
      <c r="B164" s="17" t="s">
        <v>319</v>
      </c>
      <c r="C164" s="18">
        <v>46050.0</v>
      </c>
      <c r="D164" s="17" t="s">
        <v>320</v>
      </c>
      <c r="E164" s="17" t="s">
        <v>85</v>
      </c>
      <c r="F164" s="21">
        <v>36.0</v>
      </c>
      <c r="G164" s="22">
        <v>395.28</v>
      </c>
      <c r="H164" s="17" t="s">
        <v>1214</v>
      </c>
      <c r="I164" s="22">
        <f>F164-IFERROR(VLOOKUP(B164,crm_orders!$A:$S,10,FALSE),0)</f>
        <v>0</v>
      </c>
      <c r="J164" s="22">
        <f>G164-IFERROR(VLOOKUP(B164,crm_orders!$A:$S,12,FALSE),0)</f>
        <v>0</v>
      </c>
      <c r="K164" s="17" t="str">
        <f>IF(COUNTIF(crm_orders!$A:$A,B164)=0,"Orphan","OK")</f>
        <v>OK</v>
      </c>
    </row>
    <row r="165" ht="15.75" customHeight="1">
      <c r="A165" s="25" t="s">
        <v>1376</v>
      </c>
      <c r="B165" s="25" t="s">
        <v>471</v>
      </c>
      <c r="C165" s="26">
        <v>46086.0</v>
      </c>
      <c r="D165" s="25" t="s">
        <v>469</v>
      </c>
      <c r="E165" s="25" t="s">
        <v>95</v>
      </c>
      <c r="F165" s="29">
        <v>18.0</v>
      </c>
      <c r="G165" s="30">
        <v>189.54</v>
      </c>
      <c r="H165" s="25" t="s">
        <v>1214</v>
      </c>
      <c r="I165" s="30">
        <f>F165-IFERROR(VLOOKUP(B165,crm_orders!$A:$S,10,FALSE),0)</f>
        <v>0</v>
      </c>
      <c r="J165" s="30">
        <f>G165-IFERROR(VLOOKUP(B165,crm_orders!$A:$S,12,FALSE),0)</f>
        <v>0</v>
      </c>
      <c r="K165" s="25" t="str">
        <f>IF(COUNTIF(crm_orders!$A:$A,B165)=0,"Orphan","OK")</f>
        <v>OK</v>
      </c>
    </row>
    <row r="166" ht="15.75" customHeight="1">
      <c r="A166" s="17" t="s">
        <v>1377</v>
      </c>
      <c r="B166" s="17" t="s">
        <v>738</v>
      </c>
      <c r="C166" s="18">
        <v>46057.0</v>
      </c>
      <c r="D166" s="17" t="s">
        <v>700</v>
      </c>
      <c r="E166" s="17" t="s">
        <v>106</v>
      </c>
      <c r="F166" s="21">
        <v>6.0</v>
      </c>
      <c r="G166" s="22">
        <v>67.68</v>
      </c>
      <c r="H166" s="17" t="s">
        <v>1214</v>
      </c>
      <c r="I166" s="22">
        <f>F166-IFERROR(VLOOKUP(B166,crm_orders!$A:$S,10,FALSE),0)</f>
        <v>0</v>
      </c>
      <c r="J166" s="22">
        <f>G166-IFERROR(VLOOKUP(B166,crm_orders!$A:$S,12,FALSE),0)</f>
        <v>0</v>
      </c>
      <c r="K166" s="17" t="str">
        <f>IF(COUNTIF(crm_orders!$A:$A,B166)=0,"Orphan","OK")</f>
        <v>OK</v>
      </c>
    </row>
    <row r="167" ht="15.75" customHeight="1">
      <c r="A167" s="25" t="s">
        <v>1378</v>
      </c>
      <c r="B167" s="25" t="s">
        <v>574</v>
      </c>
      <c r="C167" s="26">
        <v>46147.0</v>
      </c>
      <c r="D167" s="25" t="s">
        <v>575</v>
      </c>
      <c r="E167" s="25" t="s">
        <v>110</v>
      </c>
      <c r="F167" s="29">
        <v>54.0</v>
      </c>
      <c r="G167" s="30">
        <v>538.38</v>
      </c>
      <c r="H167" s="25" t="s">
        <v>93</v>
      </c>
      <c r="I167" s="30">
        <f>F167-IFERROR(VLOOKUP(B167,crm_orders!$A:$S,10,FALSE),0)</f>
        <v>-6</v>
      </c>
      <c r="J167" s="30">
        <f>G167-IFERROR(VLOOKUP(B167,crm_orders!$A:$S,12,FALSE),0)</f>
        <v>-59.82</v>
      </c>
      <c r="K167" s="25" t="str">
        <f>IF(COUNTIF(crm_orders!$A:$A,B167)=0,"Orphan","OK")</f>
        <v>OK</v>
      </c>
    </row>
    <row r="168" ht="15.75" customHeight="1">
      <c r="A168" s="17" t="s">
        <v>1379</v>
      </c>
      <c r="B168" s="17" t="s">
        <v>472</v>
      </c>
      <c r="C168" s="18">
        <v>46074.0</v>
      </c>
      <c r="D168" s="17" t="s">
        <v>469</v>
      </c>
      <c r="E168" s="17" t="s">
        <v>106</v>
      </c>
      <c r="F168" s="21">
        <v>12.0</v>
      </c>
      <c r="G168" s="22">
        <v>133.68</v>
      </c>
      <c r="H168" s="17" t="s">
        <v>1214</v>
      </c>
      <c r="I168" s="22">
        <f>F168-IFERROR(VLOOKUP(B168,crm_orders!$A:$S,10,FALSE),0)</f>
        <v>0</v>
      </c>
      <c r="J168" s="22">
        <f>G168-IFERROR(VLOOKUP(B168,crm_orders!$A:$S,12,FALSE),0)</f>
        <v>0</v>
      </c>
      <c r="K168" s="17" t="str">
        <f>IF(COUNTIF(crm_orders!$A:$A,B168)=0,"Orphan","OK")</f>
        <v>OK</v>
      </c>
    </row>
    <row r="169" ht="15.75" customHeight="1">
      <c r="A169" s="25" t="s">
        <v>1380</v>
      </c>
      <c r="B169" s="25" t="s">
        <v>877</v>
      </c>
      <c r="C169" s="26">
        <v>46047.0</v>
      </c>
      <c r="D169" s="25" t="s">
        <v>859</v>
      </c>
      <c r="E169" s="25" t="s">
        <v>190</v>
      </c>
      <c r="F169" s="29">
        <v>24.0</v>
      </c>
      <c r="G169" s="30">
        <v>184.95</v>
      </c>
      <c r="H169" s="25" t="s">
        <v>1212</v>
      </c>
      <c r="I169" s="30">
        <f>F169-IFERROR(VLOOKUP(B169,crm_orders!$A:$S,10,FALSE),0)</f>
        <v>0</v>
      </c>
      <c r="J169" s="30">
        <f>G169-IFERROR(VLOOKUP(B169,crm_orders!$A:$S,12,FALSE),0)</f>
        <v>-7.05</v>
      </c>
      <c r="K169" s="25" t="str">
        <f>IF(COUNTIF(crm_orders!$A:$A,B169)=0,"Orphan","OK")</f>
        <v>OK</v>
      </c>
    </row>
    <row r="170" ht="15.75" customHeight="1">
      <c r="A170" s="17" t="s">
        <v>1381</v>
      </c>
      <c r="B170" s="17" t="s">
        <v>321</v>
      </c>
      <c r="C170" s="18">
        <v>46138.0</v>
      </c>
      <c r="D170" s="17" t="s">
        <v>320</v>
      </c>
      <c r="E170" s="17" t="s">
        <v>106</v>
      </c>
      <c r="F170" s="21">
        <v>24.0</v>
      </c>
      <c r="G170" s="22">
        <v>242.14</v>
      </c>
      <c r="H170" s="17" t="s">
        <v>1212</v>
      </c>
      <c r="I170" s="22">
        <f>F170-IFERROR(VLOOKUP(B170,crm_orders!$A:$S,10,FALSE),0)</f>
        <v>0</v>
      </c>
      <c r="J170" s="22">
        <f>G170-IFERROR(VLOOKUP(B170,crm_orders!$A:$S,12,FALSE),0)</f>
        <v>-2.9</v>
      </c>
      <c r="K170" s="17" t="str">
        <f>IF(COUNTIF(crm_orders!$A:$A,B170)=0,"Orphan","OK")</f>
        <v>OK</v>
      </c>
    </row>
    <row r="171" ht="15.75" customHeight="1">
      <c r="A171" s="25" t="s">
        <v>1382</v>
      </c>
      <c r="B171" s="25" t="s">
        <v>576</v>
      </c>
      <c r="C171" s="26">
        <v>46054.0</v>
      </c>
      <c r="D171" s="25" t="s">
        <v>550</v>
      </c>
      <c r="E171" s="25" t="s">
        <v>156</v>
      </c>
      <c r="F171" s="29">
        <v>24.0</v>
      </c>
      <c r="G171" s="30">
        <v>219.12</v>
      </c>
      <c r="H171" s="25" t="s">
        <v>1214</v>
      </c>
      <c r="I171" s="30">
        <f>F171-IFERROR(VLOOKUP(B171,crm_orders!$A:$S,10,FALSE),0)</f>
        <v>0</v>
      </c>
      <c r="J171" s="30">
        <f>G171-IFERROR(VLOOKUP(B171,crm_orders!$A:$S,12,FALSE),0)</f>
        <v>0</v>
      </c>
      <c r="K171" s="25" t="str">
        <f>IF(COUNTIF(crm_orders!$A:$A,B171)=0,"Orphan","OK")</f>
        <v>OK</v>
      </c>
    </row>
    <row r="172" ht="15.75" customHeight="1">
      <c r="A172" s="17" t="s">
        <v>1383</v>
      </c>
      <c r="B172" s="17" t="s">
        <v>473</v>
      </c>
      <c r="C172" s="18">
        <v>46103.0</v>
      </c>
      <c r="D172" s="17" t="s">
        <v>444</v>
      </c>
      <c r="E172" s="17" t="s">
        <v>123</v>
      </c>
      <c r="F172" s="21">
        <v>24.0</v>
      </c>
      <c r="G172" s="22">
        <v>271.2</v>
      </c>
      <c r="H172" s="17" t="s">
        <v>1214</v>
      </c>
      <c r="I172" s="22">
        <f>F172-IFERROR(VLOOKUP(B172,crm_orders!$A:$S,10,FALSE),0)</f>
        <v>0</v>
      </c>
      <c r="J172" s="22">
        <f>G172-IFERROR(VLOOKUP(B172,crm_orders!$A:$S,12,FALSE),0)</f>
        <v>0</v>
      </c>
      <c r="K172" s="17" t="str">
        <f>IF(COUNTIF(crm_orders!$A:$A,B172)=0,"Orphan","OK")</f>
        <v>OK</v>
      </c>
    </row>
    <row r="173" ht="15.75" customHeight="1">
      <c r="A173" s="25" t="s">
        <v>1384</v>
      </c>
      <c r="B173" s="25" t="s">
        <v>322</v>
      </c>
      <c r="C173" s="26">
        <v>46099.0</v>
      </c>
      <c r="D173" s="25" t="s">
        <v>312</v>
      </c>
      <c r="E173" s="25" t="s">
        <v>92</v>
      </c>
      <c r="F173" s="29">
        <v>96.0</v>
      </c>
      <c r="G173" s="30">
        <v>1062.72</v>
      </c>
      <c r="H173" s="25" t="s">
        <v>1214</v>
      </c>
      <c r="I173" s="30">
        <f>F173-IFERROR(VLOOKUP(B173,crm_orders!$A:$S,10,FALSE),0)</f>
        <v>0</v>
      </c>
      <c r="J173" s="30">
        <f>G173-IFERROR(VLOOKUP(B173,crm_orders!$A:$S,12,FALSE),0)</f>
        <v>0</v>
      </c>
      <c r="K173" s="25" t="str">
        <f>IF(COUNTIF(crm_orders!$A:$A,B173)=0,"Orphan","OK")</f>
        <v>OK</v>
      </c>
    </row>
    <row r="174" ht="15.75" customHeight="1">
      <c r="A174" s="17" t="s">
        <v>1385</v>
      </c>
      <c r="B174" s="17" t="s">
        <v>94</v>
      </c>
      <c r="C174" s="18">
        <v>46075.0</v>
      </c>
      <c r="D174" s="17" t="s">
        <v>73</v>
      </c>
      <c r="E174" s="17" t="s">
        <v>95</v>
      </c>
      <c r="F174" s="21">
        <v>120.0</v>
      </c>
      <c r="G174" s="22">
        <v>1303.2</v>
      </c>
      <c r="H174" s="17" t="s">
        <v>1214</v>
      </c>
      <c r="I174" s="22">
        <f>F174-IFERROR(VLOOKUP(B174,crm_orders!$A:$S,10,FALSE),0)</f>
        <v>0</v>
      </c>
      <c r="J174" s="22">
        <f>G174-IFERROR(VLOOKUP(B174,crm_orders!$A:$S,12,FALSE),0)</f>
        <v>0</v>
      </c>
      <c r="K174" s="17" t="str">
        <f>IF(COUNTIF(crm_orders!$A:$A,B174)=0,"Orphan","OK")</f>
        <v>OK</v>
      </c>
    </row>
    <row r="175" ht="15.75" customHeight="1">
      <c r="A175" s="25" t="s">
        <v>1386</v>
      </c>
      <c r="B175" s="25" t="s">
        <v>878</v>
      </c>
      <c r="C175" s="26">
        <v>46090.0</v>
      </c>
      <c r="D175" s="25" t="s">
        <v>879</v>
      </c>
      <c r="E175" s="25" t="s">
        <v>81</v>
      </c>
      <c r="F175" s="29">
        <v>24.0</v>
      </c>
      <c r="G175" s="30">
        <v>186.24</v>
      </c>
      <c r="H175" s="25" t="s">
        <v>1214</v>
      </c>
      <c r="I175" s="30">
        <f>F175-IFERROR(VLOOKUP(B175,crm_orders!$A:$S,10,FALSE),0)</f>
        <v>0</v>
      </c>
      <c r="J175" s="30">
        <f>G175-IFERROR(VLOOKUP(B175,crm_orders!$A:$S,12,FALSE),0)</f>
        <v>0</v>
      </c>
      <c r="K175" s="25" t="str">
        <f>IF(COUNTIF(crm_orders!$A:$A,B175)=0,"Orphan","OK")</f>
        <v>OK</v>
      </c>
    </row>
    <row r="176" ht="15.75" customHeight="1">
      <c r="A176" s="17" t="s">
        <v>1387</v>
      </c>
      <c r="B176" s="17" t="s">
        <v>739</v>
      </c>
      <c r="C176" s="18">
        <v>46095.0</v>
      </c>
      <c r="D176" s="17" t="s">
        <v>729</v>
      </c>
      <c r="E176" s="17" t="s">
        <v>81</v>
      </c>
      <c r="F176" s="21">
        <v>18.0</v>
      </c>
      <c r="G176" s="22">
        <v>127.62</v>
      </c>
      <c r="H176" s="17" t="s">
        <v>1214</v>
      </c>
      <c r="I176" s="22">
        <f>F176-IFERROR(VLOOKUP(B176,crm_orders!$A:$S,10,FALSE),0)</f>
        <v>0</v>
      </c>
      <c r="J176" s="22">
        <f>G176-IFERROR(VLOOKUP(B176,crm_orders!$A:$S,12,FALSE),0)</f>
        <v>0</v>
      </c>
      <c r="K176" s="17" t="str">
        <f>IF(COUNTIF(crm_orders!$A:$A,B176)=0,"Orphan","OK")</f>
        <v>OK</v>
      </c>
    </row>
    <row r="177" ht="15.75" customHeight="1">
      <c r="A177" s="25" t="s">
        <v>1388</v>
      </c>
      <c r="B177" s="25" t="s">
        <v>196</v>
      </c>
      <c r="C177" s="26">
        <v>46118.0</v>
      </c>
      <c r="D177" s="25" t="s">
        <v>189</v>
      </c>
      <c r="E177" s="25" t="s">
        <v>81</v>
      </c>
      <c r="F177" s="29">
        <v>24.0</v>
      </c>
      <c r="G177" s="30">
        <v>158.4</v>
      </c>
      <c r="H177" s="25" t="s">
        <v>1214</v>
      </c>
      <c r="I177" s="30">
        <f>F177-IFERROR(VLOOKUP(B177,crm_orders!$A:$S,10,FALSE),0)</f>
        <v>0</v>
      </c>
      <c r="J177" s="30">
        <f>G177-IFERROR(VLOOKUP(B177,crm_orders!$A:$S,12,FALSE),0)</f>
        <v>0</v>
      </c>
      <c r="K177" s="25" t="str">
        <f>IF(COUNTIF(crm_orders!$A:$A,B177)=0,"Orphan","OK")</f>
        <v>OK</v>
      </c>
    </row>
    <row r="178" ht="15.75" customHeight="1">
      <c r="A178" s="17" t="s">
        <v>1389</v>
      </c>
      <c r="B178" s="17" t="s">
        <v>1094</v>
      </c>
      <c r="C178" s="18">
        <v>46120.0</v>
      </c>
      <c r="D178" s="17" t="s">
        <v>1075</v>
      </c>
      <c r="E178" s="17" t="s">
        <v>64</v>
      </c>
      <c r="F178" s="21">
        <v>120.0</v>
      </c>
      <c r="G178" s="22">
        <v>940.8</v>
      </c>
      <c r="H178" s="17" t="s">
        <v>1214</v>
      </c>
      <c r="I178" s="22">
        <f>F178-IFERROR(VLOOKUP(B178,crm_orders!$A:$S,10,FALSE),0)</f>
        <v>0</v>
      </c>
      <c r="J178" s="22">
        <f>G178-IFERROR(VLOOKUP(B178,crm_orders!$A:$S,12,FALSE),0)</f>
        <v>0</v>
      </c>
      <c r="K178" s="17" t="str">
        <f>IF(COUNTIF(crm_orders!$A:$A,B178)=0,"Orphan","OK")</f>
        <v>OK</v>
      </c>
    </row>
    <row r="179" ht="15.75" customHeight="1">
      <c r="A179" s="25" t="s">
        <v>1390</v>
      </c>
      <c r="B179" s="25" t="s">
        <v>474</v>
      </c>
      <c r="C179" s="26">
        <v>46120.0</v>
      </c>
      <c r="D179" s="25" t="s">
        <v>446</v>
      </c>
      <c r="E179" s="25" t="s">
        <v>162</v>
      </c>
      <c r="F179" s="29">
        <v>12.0</v>
      </c>
      <c r="G179" s="30">
        <v>129.12</v>
      </c>
      <c r="H179" s="25" t="s">
        <v>1214</v>
      </c>
      <c r="I179" s="30">
        <f>F179-IFERROR(VLOOKUP(B179,crm_orders!$A:$S,10,FALSE),0)</f>
        <v>0</v>
      </c>
      <c r="J179" s="30">
        <f>G179-IFERROR(VLOOKUP(B179,crm_orders!$A:$S,12,FALSE),0)</f>
        <v>0</v>
      </c>
      <c r="K179" s="25" t="str">
        <f>IF(COUNTIF(crm_orders!$A:$A,B179)=0,"Orphan","OK")</f>
        <v>OK</v>
      </c>
    </row>
    <row r="180" ht="15.75" customHeight="1">
      <c r="A180" s="17" t="s">
        <v>1391</v>
      </c>
      <c r="B180" s="17" t="s">
        <v>740</v>
      </c>
      <c r="C180" s="18">
        <v>46072.0</v>
      </c>
      <c r="D180" s="17" t="s">
        <v>741</v>
      </c>
      <c r="E180" s="17" t="s">
        <v>81</v>
      </c>
      <c r="F180" s="21">
        <v>30.0</v>
      </c>
      <c r="G180" s="22">
        <v>212.4</v>
      </c>
      <c r="H180" s="17" t="s">
        <v>1214</v>
      </c>
      <c r="I180" s="22">
        <f>F180-IFERROR(VLOOKUP(B180,crm_orders!$A:$S,10,FALSE),0)</f>
        <v>0</v>
      </c>
      <c r="J180" s="22">
        <f>G180-IFERROR(VLOOKUP(B180,crm_orders!$A:$S,12,FALSE),0)</f>
        <v>0</v>
      </c>
      <c r="K180" s="17" t="str">
        <f>IF(COUNTIF(crm_orders!$A:$A,B180)=0,"Orphan","OK")</f>
        <v>OK</v>
      </c>
    </row>
    <row r="181" ht="15.75" customHeight="1">
      <c r="A181" s="25" t="s">
        <v>1392</v>
      </c>
      <c r="B181" s="25" t="s">
        <v>96</v>
      </c>
      <c r="C181" s="26">
        <v>46131.0</v>
      </c>
      <c r="D181" s="25" t="s">
        <v>77</v>
      </c>
      <c r="E181" s="25" t="s">
        <v>78</v>
      </c>
      <c r="F181" s="29">
        <v>60.0</v>
      </c>
      <c r="G181" s="30">
        <v>678.6</v>
      </c>
      <c r="H181" s="25" t="s">
        <v>1214</v>
      </c>
      <c r="I181" s="30">
        <f>F181-IFERROR(VLOOKUP(B181,crm_orders!$A:$S,10,FALSE),0)</f>
        <v>0</v>
      </c>
      <c r="J181" s="30">
        <f>G181-IFERROR(VLOOKUP(B181,crm_orders!$A:$S,12,FALSE),0)</f>
        <v>0</v>
      </c>
      <c r="K181" s="25" t="str">
        <f>IF(COUNTIF(crm_orders!$A:$A,B181)=0,"Orphan","OK")</f>
        <v>OK</v>
      </c>
    </row>
    <row r="182" ht="15.75" customHeight="1">
      <c r="A182" s="17" t="s">
        <v>1393</v>
      </c>
      <c r="B182" s="17" t="s">
        <v>742</v>
      </c>
      <c r="C182" s="18">
        <v>46142.0</v>
      </c>
      <c r="D182" s="17" t="s">
        <v>735</v>
      </c>
      <c r="E182" s="17" t="s">
        <v>64</v>
      </c>
      <c r="F182" s="21">
        <v>24.0</v>
      </c>
      <c r="G182" s="22">
        <v>186.0</v>
      </c>
      <c r="H182" s="17" t="s">
        <v>1214</v>
      </c>
      <c r="I182" s="22">
        <f>F182-IFERROR(VLOOKUP(B182,crm_orders!$A:$S,10,FALSE),0)</f>
        <v>0</v>
      </c>
      <c r="J182" s="22">
        <f>G182-IFERROR(VLOOKUP(B182,crm_orders!$A:$S,12,FALSE),0)</f>
        <v>0</v>
      </c>
      <c r="K182" s="17" t="str">
        <f>IF(COUNTIF(crm_orders!$A:$A,B182)=0,"Orphan","OK")</f>
        <v>OK</v>
      </c>
    </row>
    <row r="183" ht="15.75" customHeight="1">
      <c r="A183" s="25" t="s">
        <v>1394</v>
      </c>
      <c r="B183" s="25" t="s">
        <v>197</v>
      </c>
      <c r="C183" s="26">
        <v>46085.0</v>
      </c>
      <c r="D183" s="25" t="s">
        <v>198</v>
      </c>
      <c r="E183" s="25" t="s">
        <v>90</v>
      </c>
      <c r="F183" s="29">
        <v>18.0</v>
      </c>
      <c r="G183" s="30">
        <v>141.3</v>
      </c>
      <c r="H183" s="25" t="s">
        <v>1214</v>
      </c>
      <c r="I183" s="30">
        <f>F183-IFERROR(VLOOKUP(B183,crm_orders!$A:$S,10,FALSE),0)</f>
        <v>0</v>
      </c>
      <c r="J183" s="30">
        <f>G183-IFERROR(VLOOKUP(B183,crm_orders!$A:$S,12,FALSE),0)</f>
        <v>0</v>
      </c>
      <c r="K183" s="25" t="str">
        <f>IF(COUNTIF(crm_orders!$A:$A,B183)=0,"Orphan","OK")</f>
        <v>OK</v>
      </c>
    </row>
    <row r="184" ht="15.75" customHeight="1">
      <c r="A184" s="17" t="s">
        <v>1395</v>
      </c>
      <c r="B184" s="17" t="s">
        <v>1141</v>
      </c>
      <c r="C184" s="18">
        <v>46095.0</v>
      </c>
      <c r="D184" s="17" t="s">
        <v>1139</v>
      </c>
      <c r="E184" s="17" t="s">
        <v>95</v>
      </c>
      <c r="F184" s="21">
        <v>0.0</v>
      </c>
      <c r="G184" s="22">
        <v>0.0</v>
      </c>
      <c r="H184" s="17" t="s">
        <v>93</v>
      </c>
      <c r="I184" s="22">
        <f>F184-IFERROR(VLOOKUP(B184,crm_orders!$A:$S,10,FALSE),0)</f>
        <v>-6</v>
      </c>
      <c r="J184" s="22">
        <f>G184-IFERROR(VLOOKUP(B184,crm_orders!$A:$S,12,FALSE),0)</f>
        <v>-67.26</v>
      </c>
      <c r="K184" s="17" t="str">
        <f>IF(COUNTIF(crm_orders!$A:$A,B184)=0,"Orphan","OK")</f>
        <v>OK</v>
      </c>
    </row>
    <row r="185" ht="15.75" customHeight="1">
      <c r="A185" s="25" t="s">
        <v>1396</v>
      </c>
      <c r="B185" s="25" t="s">
        <v>743</v>
      </c>
      <c r="C185" s="26">
        <v>46044.0</v>
      </c>
      <c r="D185" s="25" t="s">
        <v>727</v>
      </c>
      <c r="E185" s="25" t="s">
        <v>123</v>
      </c>
      <c r="F185" s="29">
        <v>18.0</v>
      </c>
      <c r="G185" s="30">
        <v>174.42</v>
      </c>
      <c r="H185" s="25" t="s">
        <v>1214</v>
      </c>
      <c r="I185" s="30">
        <f>F185-IFERROR(VLOOKUP(B185,crm_orders!$A:$S,10,FALSE),0)</f>
        <v>0</v>
      </c>
      <c r="J185" s="30">
        <f>G185-IFERROR(VLOOKUP(B185,crm_orders!$A:$S,12,FALSE),0)</f>
        <v>0</v>
      </c>
      <c r="K185" s="25" t="str">
        <f>IF(COUNTIF(crm_orders!$A:$A,B185)=0,"Orphan","OK")</f>
        <v>OK</v>
      </c>
    </row>
    <row r="186" ht="15.75" customHeight="1">
      <c r="A186" s="17" t="s">
        <v>1397</v>
      </c>
      <c r="B186" s="17" t="s">
        <v>744</v>
      </c>
      <c r="C186" s="18">
        <v>46098.0</v>
      </c>
      <c r="D186" s="17" t="s">
        <v>706</v>
      </c>
      <c r="E186" s="17" t="s">
        <v>156</v>
      </c>
      <c r="F186" s="21">
        <v>114.0</v>
      </c>
      <c r="G186" s="22">
        <v>1124.04</v>
      </c>
      <c r="H186" s="17" t="s">
        <v>93</v>
      </c>
      <c r="I186" s="22">
        <f>F186-IFERROR(VLOOKUP(B186,crm_orders!$A:$S,10,FALSE),0)</f>
        <v>-6</v>
      </c>
      <c r="J186" s="22">
        <f>G186-IFERROR(VLOOKUP(B186,crm_orders!$A:$S,12,FALSE),0)</f>
        <v>-59.16</v>
      </c>
      <c r="K186" s="17" t="str">
        <f>IF(COUNTIF(crm_orders!$A:$A,B186)=0,"Orphan","OK")</f>
        <v>OK</v>
      </c>
    </row>
    <row r="187" ht="15.75" customHeight="1">
      <c r="A187" s="25" t="s">
        <v>1398</v>
      </c>
      <c r="B187" s="25" t="s">
        <v>324</v>
      </c>
      <c r="C187" s="26">
        <v>46069.0</v>
      </c>
      <c r="D187" s="25" t="s">
        <v>301</v>
      </c>
      <c r="E187" s="25" t="s">
        <v>190</v>
      </c>
      <c r="F187" s="29">
        <v>30.0</v>
      </c>
      <c r="G187" s="30">
        <v>214.5</v>
      </c>
      <c r="H187" s="25" t="s">
        <v>93</v>
      </c>
      <c r="I187" s="30">
        <f>F187-IFERROR(VLOOKUP(B187,crm_orders!$A:$S,10,FALSE),0)</f>
        <v>-6</v>
      </c>
      <c r="J187" s="30">
        <f>G187-IFERROR(VLOOKUP(B187,crm_orders!$A:$S,12,FALSE),0)</f>
        <v>-42.9</v>
      </c>
      <c r="K187" s="25" t="str">
        <f>IF(COUNTIF(crm_orders!$A:$A,B187)=0,"Orphan","OK")</f>
        <v>OK</v>
      </c>
    </row>
    <row r="188" ht="15.75" customHeight="1">
      <c r="A188" s="17" t="s">
        <v>1399</v>
      </c>
      <c r="B188" s="17" t="s">
        <v>745</v>
      </c>
      <c r="C188" s="18">
        <v>46069.0</v>
      </c>
      <c r="D188" s="17" t="s">
        <v>714</v>
      </c>
      <c r="E188" s="17" t="s">
        <v>123</v>
      </c>
      <c r="F188" s="21">
        <v>120.0</v>
      </c>
      <c r="G188" s="22">
        <v>1375.2</v>
      </c>
      <c r="H188" s="17" t="s">
        <v>1214</v>
      </c>
      <c r="I188" s="22">
        <f>F188-IFERROR(VLOOKUP(B188,crm_orders!$A:$S,10,FALSE),0)</f>
        <v>0</v>
      </c>
      <c r="J188" s="22">
        <f>G188-IFERROR(VLOOKUP(B188,crm_orders!$A:$S,12,FALSE),0)</f>
        <v>0</v>
      </c>
      <c r="K188" s="17" t="str">
        <f>IF(COUNTIF(crm_orders!$A:$A,B188)=0,"Orphan","OK")</f>
        <v>OK</v>
      </c>
    </row>
    <row r="189" ht="15.75" customHeight="1">
      <c r="A189" s="25" t="s">
        <v>1400</v>
      </c>
      <c r="B189" s="25" t="s">
        <v>577</v>
      </c>
      <c r="C189" s="26">
        <v>46041.0</v>
      </c>
      <c r="D189" s="25" t="s">
        <v>544</v>
      </c>
      <c r="E189" s="25" t="s">
        <v>90</v>
      </c>
      <c r="F189" s="29">
        <v>120.0</v>
      </c>
      <c r="G189" s="30">
        <v>810.22</v>
      </c>
      <c r="H189" s="25" t="s">
        <v>1212</v>
      </c>
      <c r="I189" s="30">
        <f>F189-IFERROR(VLOOKUP(B189,crm_orders!$A:$S,10,FALSE),0)</f>
        <v>0</v>
      </c>
      <c r="J189" s="30">
        <f>G189-IFERROR(VLOOKUP(B189,crm_orders!$A:$S,12,FALSE),0)</f>
        <v>-0.98</v>
      </c>
      <c r="K189" s="25" t="str">
        <f>IF(COUNTIF(crm_orders!$A:$A,B189)=0,"Orphan","OK")</f>
        <v>OK</v>
      </c>
    </row>
    <row r="190" ht="15.75" customHeight="1">
      <c r="A190" s="17" t="s">
        <v>1401</v>
      </c>
      <c r="B190" s="17" t="s">
        <v>578</v>
      </c>
      <c r="C190" s="18">
        <v>46139.0</v>
      </c>
      <c r="D190" s="17" t="s">
        <v>557</v>
      </c>
      <c r="E190" s="17" t="s">
        <v>78</v>
      </c>
      <c r="F190" s="21">
        <v>60.0</v>
      </c>
      <c r="G190" s="22">
        <v>699.0</v>
      </c>
      <c r="H190" s="17" t="s">
        <v>93</v>
      </c>
      <c r="I190" s="22">
        <f>F190-IFERROR(VLOOKUP(B190,crm_orders!$A:$S,10,FALSE),0)</f>
        <v>-12</v>
      </c>
      <c r="J190" s="22">
        <f>G190-IFERROR(VLOOKUP(B190,crm_orders!$A:$S,12,FALSE),0)</f>
        <v>-139.8</v>
      </c>
      <c r="K190" s="17" t="str">
        <f>IF(COUNTIF(crm_orders!$A:$A,B190)=0,"Orphan","OK")</f>
        <v>OK</v>
      </c>
    </row>
    <row r="191" ht="15.75" customHeight="1">
      <c r="A191" s="25" t="s">
        <v>1402</v>
      </c>
      <c r="B191" s="25" t="s">
        <v>476</v>
      </c>
      <c r="C191" s="26">
        <v>46142.0</v>
      </c>
      <c r="D191" s="25" t="s">
        <v>457</v>
      </c>
      <c r="E191" s="25" t="s">
        <v>115</v>
      </c>
      <c r="F191" s="29">
        <v>66.0</v>
      </c>
      <c r="G191" s="30">
        <v>751.74</v>
      </c>
      <c r="H191" s="25" t="s">
        <v>93</v>
      </c>
      <c r="I191" s="30">
        <f>F191-IFERROR(VLOOKUP(B191,crm_orders!$A:$S,10,FALSE),0)</f>
        <v>-6</v>
      </c>
      <c r="J191" s="30">
        <f>G191-IFERROR(VLOOKUP(B191,crm_orders!$A:$S,12,FALSE),0)</f>
        <v>-68.34</v>
      </c>
      <c r="K191" s="25" t="str">
        <f>IF(COUNTIF(crm_orders!$A:$A,B191)=0,"Orphan","OK")</f>
        <v>OK</v>
      </c>
    </row>
    <row r="192" ht="15.75" customHeight="1">
      <c r="A192" s="17" t="s">
        <v>1403</v>
      </c>
      <c r="B192" s="17" t="s">
        <v>978</v>
      </c>
      <c r="C192" s="18">
        <v>46131.0</v>
      </c>
      <c r="D192" s="17" t="s">
        <v>950</v>
      </c>
      <c r="E192" s="17" t="s">
        <v>85</v>
      </c>
      <c r="F192" s="21">
        <v>12.0</v>
      </c>
      <c r="G192" s="22">
        <v>123.0</v>
      </c>
      <c r="H192" s="17" t="s">
        <v>1214</v>
      </c>
      <c r="I192" s="22">
        <f>F192-IFERROR(VLOOKUP(B192,crm_orders!$A:$S,10,FALSE),0)</f>
        <v>0</v>
      </c>
      <c r="J192" s="22">
        <f>G192-IFERROR(VLOOKUP(B192,crm_orders!$A:$S,12,FALSE),0)</f>
        <v>0</v>
      </c>
      <c r="K192" s="17" t="str">
        <f>IF(COUNTIF(crm_orders!$A:$A,B192)=0,"Orphan","OK")</f>
        <v>OK</v>
      </c>
    </row>
    <row r="193" ht="15.75" customHeight="1">
      <c r="A193" s="25" t="s">
        <v>1404</v>
      </c>
      <c r="B193" s="25" t="s">
        <v>98</v>
      </c>
      <c r="C193" s="26">
        <v>46104.0</v>
      </c>
      <c r="D193" s="25" t="s">
        <v>70</v>
      </c>
      <c r="E193" s="25" t="s">
        <v>71</v>
      </c>
      <c r="F193" s="29">
        <v>48.0</v>
      </c>
      <c r="G193" s="30">
        <v>407.04</v>
      </c>
      <c r="H193" s="25" t="s">
        <v>1214</v>
      </c>
      <c r="I193" s="30">
        <f>F193-IFERROR(VLOOKUP(B193,crm_orders!$A:$S,10,FALSE),0)</f>
        <v>0</v>
      </c>
      <c r="J193" s="30">
        <f>G193-IFERROR(VLOOKUP(B193,crm_orders!$A:$S,12,FALSE),0)</f>
        <v>0</v>
      </c>
      <c r="K193" s="25" t="str">
        <f>IF(COUNTIF(crm_orders!$A:$A,B193)=0,"Orphan","OK")</f>
        <v>OK</v>
      </c>
    </row>
    <row r="194" ht="15.75" customHeight="1">
      <c r="A194" s="17" t="s">
        <v>1405</v>
      </c>
      <c r="B194" s="17" t="s">
        <v>746</v>
      </c>
      <c r="C194" s="18">
        <v>46053.0</v>
      </c>
      <c r="D194" s="17" t="s">
        <v>735</v>
      </c>
      <c r="E194" s="17" t="s">
        <v>108</v>
      </c>
      <c r="F194" s="21">
        <v>126.0</v>
      </c>
      <c r="G194" s="22">
        <v>1377.18</v>
      </c>
      <c r="H194" s="17" t="s">
        <v>1212</v>
      </c>
      <c r="I194" s="22">
        <f>F194-IFERROR(VLOOKUP(B194,crm_orders!$A:$S,10,FALSE),0)</f>
        <v>6</v>
      </c>
      <c r="J194" s="22">
        <f>G194-IFERROR(VLOOKUP(B194,crm_orders!$A:$S,12,FALSE),0)</f>
        <v>65.58</v>
      </c>
      <c r="K194" s="17" t="str">
        <f>IF(COUNTIF(crm_orders!$A:$A,B194)=0,"Orphan","OK")</f>
        <v>OK</v>
      </c>
    </row>
    <row r="195" ht="15.75" customHeight="1">
      <c r="A195" s="25" t="s">
        <v>1406</v>
      </c>
      <c r="B195" s="25" t="s">
        <v>200</v>
      </c>
      <c r="C195" s="26">
        <v>46045.0</v>
      </c>
      <c r="D195" s="25" t="s">
        <v>174</v>
      </c>
      <c r="E195" s="25" t="s">
        <v>115</v>
      </c>
      <c r="F195" s="29">
        <v>48.0</v>
      </c>
      <c r="G195" s="30">
        <v>563.04</v>
      </c>
      <c r="H195" s="25" t="s">
        <v>1214</v>
      </c>
      <c r="I195" s="30">
        <f>F195-IFERROR(VLOOKUP(B195,crm_orders!$A:$S,10,FALSE),0)</f>
        <v>0</v>
      </c>
      <c r="J195" s="30">
        <f>G195-IFERROR(VLOOKUP(B195,crm_orders!$A:$S,12,FALSE),0)</f>
        <v>0</v>
      </c>
      <c r="K195" s="25" t="str">
        <f>IF(COUNTIF(crm_orders!$A:$A,B195)=0,"Orphan","OK")</f>
        <v>OK</v>
      </c>
    </row>
    <row r="196" ht="15.75" customHeight="1">
      <c r="A196" s="17" t="s">
        <v>1407</v>
      </c>
      <c r="B196" s="17" t="s">
        <v>99</v>
      </c>
      <c r="C196" s="18">
        <v>46074.0</v>
      </c>
      <c r="D196" s="17" t="s">
        <v>87</v>
      </c>
      <c r="E196" s="17" t="s">
        <v>74</v>
      </c>
      <c r="F196" s="21">
        <v>30.0</v>
      </c>
      <c r="G196" s="22">
        <v>317.7</v>
      </c>
      <c r="H196" s="17" t="s">
        <v>1214</v>
      </c>
      <c r="I196" s="22">
        <f>F196-IFERROR(VLOOKUP(B196,crm_orders!$A:$S,10,FALSE),0)</f>
        <v>0</v>
      </c>
      <c r="J196" s="22">
        <f>G196-IFERROR(VLOOKUP(B196,crm_orders!$A:$S,12,FALSE),0)</f>
        <v>0</v>
      </c>
      <c r="K196" s="17" t="str">
        <f>IF(COUNTIF(crm_orders!$A:$A,B196)=0,"Orphan","OK")</f>
        <v>OK</v>
      </c>
    </row>
    <row r="197" ht="15.75" customHeight="1">
      <c r="A197" s="25" t="s">
        <v>1408</v>
      </c>
      <c r="B197" s="25" t="s">
        <v>580</v>
      </c>
      <c r="C197" s="26">
        <v>46075.0</v>
      </c>
      <c r="D197" s="25" t="s">
        <v>540</v>
      </c>
      <c r="E197" s="25" t="s">
        <v>110</v>
      </c>
      <c r="F197" s="29">
        <v>72.0</v>
      </c>
      <c r="G197" s="30">
        <v>727.2</v>
      </c>
      <c r="H197" s="25" t="s">
        <v>1214</v>
      </c>
      <c r="I197" s="30">
        <f>F197-IFERROR(VLOOKUP(B197,crm_orders!$A:$S,10,FALSE),0)</f>
        <v>0</v>
      </c>
      <c r="J197" s="30">
        <f>G197-IFERROR(VLOOKUP(B197,crm_orders!$A:$S,12,FALSE),0)</f>
        <v>0</v>
      </c>
      <c r="K197" s="25" t="str">
        <f>IF(COUNTIF(crm_orders!$A:$A,B197)=0,"Orphan","OK")</f>
        <v>OK</v>
      </c>
    </row>
    <row r="198" ht="15.75" customHeight="1">
      <c r="A198" s="17" t="s">
        <v>1409</v>
      </c>
      <c r="B198" s="17" t="s">
        <v>747</v>
      </c>
      <c r="C198" s="18">
        <v>46118.0</v>
      </c>
      <c r="D198" s="17" t="s">
        <v>704</v>
      </c>
      <c r="E198" s="17" t="s">
        <v>110</v>
      </c>
      <c r="F198" s="21">
        <v>48.0</v>
      </c>
      <c r="G198" s="22">
        <v>570.72</v>
      </c>
      <c r="H198" s="17" t="s">
        <v>93</v>
      </c>
      <c r="I198" s="22">
        <f>F198-IFERROR(VLOOKUP(B198,crm_orders!$A:$S,10,FALSE),0)</f>
        <v>-24</v>
      </c>
      <c r="J198" s="22">
        <f>G198-IFERROR(VLOOKUP(B198,crm_orders!$A:$S,12,FALSE),0)</f>
        <v>-285.36</v>
      </c>
      <c r="K198" s="17" t="str">
        <f>IF(COUNTIF(crm_orders!$A:$A,B198)=0,"Orphan","OK")</f>
        <v>OK</v>
      </c>
    </row>
    <row r="199" ht="15.75" customHeight="1">
      <c r="A199" s="25" t="s">
        <v>1410</v>
      </c>
      <c r="B199" s="25" t="s">
        <v>979</v>
      </c>
      <c r="C199" s="26">
        <v>46058.0</v>
      </c>
      <c r="D199" s="25" t="s">
        <v>980</v>
      </c>
      <c r="E199" s="25" t="s">
        <v>102</v>
      </c>
      <c r="F199" s="29">
        <v>60.0</v>
      </c>
      <c r="G199" s="30">
        <v>613.2</v>
      </c>
      <c r="H199" s="25" t="s">
        <v>1214</v>
      </c>
      <c r="I199" s="30">
        <f>F199-IFERROR(VLOOKUP(B199,crm_orders!$A:$S,10,FALSE),0)</f>
        <v>0</v>
      </c>
      <c r="J199" s="30">
        <f>G199-IFERROR(VLOOKUP(B199,crm_orders!$A:$S,12,FALSE),0)</f>
        <v>0</v>
      </c>
      <c r="K199" s="25" t="str">
        <f>IF(COUNTIF(crm_orders!$A:$A,B199)=0,"Orphan","OK")</f>
        <v>OK</v>
      </c>
    </row>
    <row r="200" ht="15.75" customHeight="1">
      <c r="A200" s="17" t="s">
        <v>1411</v>
      </c>
      <c r="B200" s="17" t="s">
        <v>325</v>
      </c>
      <c r="C200" s="18">
        <v>46074.0</v>
      </c>
      <c r="D200" s="17" t="s">
        <v>326</v>
      </c>
      <c r="E200" s="17" t="s">
        <v>71</v>
      </c>
      <c r="F200" s="21">
        <v>36.0</v>
      </c>
      <c r="G200" s="22">
        <v>275.76</v>
      </c>
      <c r="H200" s="17" t="s">
        <v>1214</v>
      </c>
      <c r="I200" s="22">
        <f>F200-IFERROR(VLOOKUP(B200,crm_orders!$A:$S,10,FALSE),0)</f>
        <v>0</v>
      </c>
      <c r="J200" s="22">
        <f>G200-IFERROR(VLOOKUP(B200,crm_orders!$A:$S,12,FALSE),0)</f>
        <v>0</v>
      </c>
      <c r="K200" s="17" t="str">
        <f>IF(COUNTIF(crm_orders!$A:$A,B200)=0,"Orphan","OK")</f>
        <v>OK</v>
      </c>
    </row>
    <row r="201" ht="15.75" customHeight="1">
      <c r="A201" s="25" t="s">
        <v>1412</v>
      </c>
      <c r="B201" s="25" t="s">
        <v>748</v>
      </c>
      <c r="C201" s="26">
        <v>46090.0</v>
      </c>
      <c r="D201" s="25" t="s">
        <v>698</v>
      </c>
      <c r="E201" s="25" t="s">
        <v>162</v>
      </c>
      <c r="F201" s="29">
        <v>36.0</v>
      </c>
      <c r="G201" s="30">
        <v>345.24</v>
      </c>
      <c r="H201" s="25" t="s">
        <v>1214</v>
      </c>
      <c r="I201" s="30">
        <f>F201-IFERROR(VLOOKUP(B201,crm_orders!$A:$S,10,FALSE),0)</f>
        <v>0</v>
      </c>
      <c r="J201" s="30">
        <f>G201-IFERROR(VLOOKUP(B201,crm_orders!$A:$S,12,FALSE),0)</f>
        <v>0</v>
      </c>
      <c r="K201" s="25" t="str">
        <f>IF(COUNTIF(crm_orders!$A:$A,B201)=0,"Orphan","OK")</f>
        <v>OK</v>
      </c>
    </row>
    <row r="202" ht="15.75" customHeight="1">
      <c r="A202" s="17" t="s">
        <v>1413</v>
      </c>
      <c r="B202" s="17" t="s">
        <v>880</v>
      </c>
      <c r="C202" s="18">
        <v>46067.0</v>
      </c>
      <c r="D202" s="17" t="s">
        <v>853</v>
      </c>
      <c r="E202" s="17" t="s">
        <v>106</v>
      </c>
      <c r="F202" s="21">
        <v>48.0</v>
      </c>
      <c r="G202" s="22">
        <v>502.08</v>
      </c>
      <c r="H202" s="17" t="s">
        <v>1214</v>
      </c>
      <c r="I202" s="22">
        <f>F202-IFERROR(VLOOKUP(B202,crm_orders!$A:$S,10,FALSE),0)</f>
        <v>0</v>
      </c>
      <c r="J202" s="22">
        <f>G202-IFERROR(VLOOKUP(B202,crm_orders!$A:$S,12,FALSE),0)</f>
        <v>0</v>
      </c>
      <c r="K202" s="17" t="str">
        <f>IF(COUNTIF(crm_orders!$A:$A,B202)=0,"Orphan","OK")</f>
        <v>OK</v>
      </c>
    </row>
    <row r="203" ht="15.75" customHeight="1">
      <c r="A203" s="25" t="s">
        <v>1414</v>
      </c>
      <c r="B203" s="25" t="s">
        <v>583</v>
      </c>
      <c r="C203" s="26">
        <v>46155.0</v>
      </c>
      <c r="D203" s="25" t="s">
        <v>540</v>
      </c>
      <c r="E203" s="25" t="s">
        <v>74</v>
      </c>
      <c r="F203" s="29">
        <v>24.0</v>
      </c>
      <c r="G203" s="30">
        <v>272.64</v>
      </c>
      <c r="H203" s="25" t="s">
        <v>1214</v>
      </c>
      <c r="I203" s="30">
        <f>F203-IFERROR(VLOOKUP(B203,crm_orders!$A:$S,10,FALSE),0)</f>
        <v>0</v>
      </c>
      <c r="J203" s="30">
        <f>G203-IFERROR(VLOOKUP(B203,crm_orders!$A:$S,12,FALSE),0)</f>
        <v>0</v>
      </c>
      <c r="K203" s="25" t="str">
        <f>IF(COUNTIF(crm_orders!$A:$A,B203)=0,"Orphan","OK")</f>
        <v>OK</v>
      </c>
    </row>
    <row r="204" ht="15.75" customHeight="1">
      <c r="A204" s="17" t="s">
        <v>1415</v>
      </c>
      <c r="B204" s="17" t="s">
        <v>584</v>
      </c>
      <c r="C204" s="18">
        <v>46068.0</v>
      </c>
      <c r="D204" s="17" t="s">
        <v>570</v>
      </c>
      <c r="E204" s="17" t="s">
        <v>123</v>
      </c>
      <c r="F204" s="21">
        <v>120.0</v>
      </c>
      <c r="G204" s="22">
        <v>1201.2</v>
      </c>
      <c r="H204" s="17" t="s">
        <v>1214</v>
      </c>
      <c r="I204" s="22">
        <f>F204-IFERROR(VLOOKUP(B204,crm_orders!$A:$S,10,FALSE),0)</f>
        <v>0</v>
      </c>
      <c r="J204" s="22">
        <f>G204-IFERROR(VLOOKUP(B204,crm_orders!$A:$S,12,FALSE),0)</f>
        <v>0</v>
      </c>
      <c r="K204" s="17" t="str">
        <f>IF(COUNTIF(crm_orders!$A:$A,B204)=0,"Orphan","OK")</f>
        <v>OK</v>
      </c>
    </row>
    <row r="205" ht="15.75" customHeight="1">
      <c r="A205" s="25" t="s">
        <v>1416</v>
      </c>
      <c r="B205" s="25" t="s">
        <v>881</v>
      </c>
      <c r="C205" s="26">
        <v>46098.0</v>
      </c>
      <c r="D205" s="25" t="s">
        <v>882</v>
      </c>
      <c r="E205" s="25" t="s">
        <v>81</v>
      </c>
      <c r="F205" s="29">
        <v>48.0</v>
      </c>
      <c r="G205" s="30">
        <v>350.88</v>
      </c>
      <c r="H205" s="25" t="s">
        <v>1214</v>
      </c>
      <c r="I205" s="30">
        <f>F205-IFERROR(VLOOKUP(B205,crm_orders!$A:$S,10,FALSE),0)</f>
        <v>0</v>
      </c>
      <c r="J205" s="30">
        <f>G205-IFERROR(VLOOKUP(B205,crm_orders!$A:$S,12,FALSE),0)</f>
        <v>0</v>
      </c>
      <c r="K205" s="25" t="str">
        <f>IF(COUNTIF(crm_orders!$A:$A,B205)=0,"Orphan","OK")</f>
        <v>OK</v>
      </c>
    </row>
    <row r="206" ht="15.75" customHeight="1">
      <c r="A206" s="17" t="s">
        <v>1417</v>
      </c>
      <c r="B206" s="17" t="s">
        <v>477</v>
      </c>
      <c r="C206" s="18">
        <v>46119.0</v>
      </c>
      <c r="D206" s="17" t="s">
        <v>464</v>
      </c>
      <c r="E206" s="17" t="s">
        <v>123</v>
      </c>
      <c r="F206" s="21">
        <v>120.0</v>
      </c>
      <c r="G206" s="22">
        <v>1252.8</v>
      </c>
      <c r="H206" s="17" t="s">
        <v>1214</v>
      </c>
      <c r="I206" s="22">
        <f>F206-IFERROR(VLOOKUP(B206,crm_orders!$A:$S,10,FALSE),0)</f>
        <v>0</v>
      </c>
      <c r="J206" s="22">
        <f>G206-IFERROR(VLOOKUP(B206,crm_orders!$A:$S,12,FALSE),0)</f>
        <v>0</v>
      </c>
      <c r="K206" s="17" t="str">
        <f>IF(COUNTIF(crm_orders!$A:$A,B206)=0,"Orphan","OK")</f>
        <v>OK</v>
      </c>
    </row>
    <row r="207" ht="15.75" customHeight="1">
      <c r="A207" s="25" t="s">
        <v>1418</v>
      </c>
      <c r="B207" s="25" t="s">
        <v>981</v>
      </c>
      <c r="C207" s="26">
        <v>46042.0</v>
      </c>
      <c r="D207" s="25" t="s">
        <v>957</v>
      </c>
      <c r="E207" s="25" t="s">
        <v>108</v>
      </c>
      <c r="F207" s="29">
        <v>6.0</v>
      </c>
      <c r="G207" s="30">
        <v>59.34</v>
      </c>
      <c r="H207" s="25" t="s">
        <v>1214</v>
      </c>
      <c r="I207" s="30">
        <f>F207-IFERROR(VLOOKUP(B207,crm_orders!$A:$S,10,FALSE),0)</f>
        <v>0</v>
      </c>
      <c r="J207" s="30">
        <f>G207-IFERROR(VLOOKUP(B207,crm_orders!$A:$S,12,FALSE),0)</f>
        <v>0</v>
      </c>
      <c r="K207" s="25" t="str">
        <f>IF(COUNTIF(crm_orders!$A:$A,B207)=0,"Orphan","OK")</f>
        <v>OK</v>
      </c>
    </row>
    <row r="208" ht="15.75" customHeight="1">
      <c r="A208" s="17" t="s">
        <v>1419</v>
      </c>
      <c r="B208" s="17" t="s">
        <v>478</v>
      </c>
      <c r="C208" s="18">
        <v>46075.0</v>
      </c>
      <c r="D208" s="17" t="s">
        <v>469</v>
      </c>
      <c r="E208" s="17" t="s">
        <v>68</v>
      </c>
      <c r="F208" s="21">
        <v>48.0</v>
      </c>
      <c r="G208" s="22">
        <v>531.36</v>
      </c>
      <c r="H208" s="17" t="s">
        <v>93</v>
      </c>
      <c r="I208" s="22">
        <f>F208-IFERROR(VLOOKUP(B208,crm_orders!$A:$S,10,FALSE),0)</f>
        <v>-12</v>
      </c>
      <c r="J208" s="22">
        <f>G208-IFERROR(VLOOKUP(B208,crm_orders!$A:$S,12,FALSE),0)</f>
        <v>-132.84</v>
      </c>
      <c r="K208" s="17" t="str">
        <f>IF(COUNTIF(crm_orders!$A:$A,B208)=0,"Orphan","OK")</f>
        <v>OK</v>
      </c>
    </row>
    <row r="209" ht="15.75" customHeight="1">
      <c r="A209" s="25" t="s">
        <v>1420</v>
      </c>
      <c r="B209" s="25" t="s">
        <v>327</v>
      </c>
      <c r="C209" s="26">
        <v>46151.0</v>
      </c>
      <c r="D209" s="25" t="s">
        <v>293</v>
      </c>
      <c r="E209" s="25" t="s">
        <v>108</v>
      </c>
      <c r="F209" s="29">
        <v>12.0</v>
      </c>
      <c r="G209" s="30">
        <v>119.04</v>
      </c>
      <c r="H209" s="25" t="s">
        <v>1214</v>
      </c>
      <c r="I209" s="30">
        <f>F209-IFERROR(VLOOKUP(B209,crm_orders!$A:$S,10,FALSE),0)</f>
        <v>0</v>
      </c>
      <c r="J209" s="30">
        <f>G209-IFERROR(VLOOKUP(B209,crm_orders!$A:$S,12,FALSE),0)</f>
        <v>0</v>
      </c>
      <c r="K209" s="25" t="str">
        <f>IF(COUNTIF(crm_orders!$A:$A,B209)=0,"Orphan","OK")</f>
        <v>OK</v>
      </c>
    </row>
    <row r="210" ht="15.75" customHeight="1">
      <c r="A210" s="17" t="s">
        <v>1421</v>
      </c>
      <c r="B210" s="17" t="s">
        <v>1095</v>
      </c>
      <c r="C210" s="18">
        <v>46079.0</v>
      </c>
      <c r="D210" s="17" t="s">
        <v>1077</v>
      </c>
      <c r="E210" s="17" t="s">
        <v>90</v>
      </c>
      <c r="F210" s="21">
        <v>60.0</v>
      </c>
      <c r="G210" s="22">
        <v>414.0</v>
      </c>
      <c r="H210" s="17" t="s">
        <v>1214</v>
      </c>
      <c r="I210" s="22">
        <f>F210-IFERROR(VLOOKUP(B210,crm_orders!$A:$S,10,FALSE),0)</f>
        <v>0</v>
      </c>
      <c r="J210" s="22">
        <f>G210-IFERROR(VLOOKUP(B210,crm_orders!$A:$S,12,FALSE),0)</f>
        <v>0</v>
      </c>
      <c r="K210" s="17" t="str">
        <f>IF(COUNTIF(crm_orders!$A:$A,B210)=0,"Orphan","OK")</f>
        <v>OK</v>
      </c>
    </row>
    <row r="211" ht="15.75" customHeight="1">
      <c r="A211" s="25" t="s">
        <v>1422</v>
      </c>
      <c r="B211" s="25" t="s">
        <v>851</v>
      </c>
      <c r="C211" s="26">
        <v>46138.0</v>
      </c>
      <c r="D211" s="25" t="s">
        <v>1133</v>
      </c>
      <c r="E211" s="25" t="s">
        <v>156</v>
      </c>
      <c r="F211" s="29">
        <v>36.0</v>
      </c>
      <c r="G211" s="30">
        <v>370.8</v>
      </c>
      <c r="H211" s="25" t="s">
        <v>1214</v>
      </c>
      <c r="I211" s="30">
        <f>F211-IFERROR(VLOOKUP(B211,crm_orders!$A:$S,10,FALSE),0)</f>
        <v>30</v>
      </c>
      <c r="J211" s="30">
        <f>G211-IFERROR(VLOOKUP(B211,crm_orders!$A:$S,12,FALSE),0)</f>
        <v>309.84</v>
      </c>
      <c r="K211" s="25" t="str">
        <f>IF(COUNTIF(crm_orders!$A:$A,B211)=0,"Orphan","OK")</f>
        <v>OK</v>
      </c>
    </row>
    <row r="212" ht="15.75" customHeight="1">
      <c r="A212" s="17" t="s">
        <v>1423</v>
      </c>
      <c r="B212" s="17" t="s">
        <v>328</v>
      </c>
      <c r="C212" s="18">
        <v>46079.0</v>
      </c>
      <c r="D212" s="17" t="s">
        <v>326</v>
      </c>
      <c r="E212" s="17" t="s">
        <v>81</v>
      </c>
      <c r="F212" s="21">
        <v>54.0</v>
      </c>
      <c r="G212" s="22">
        <v>370.44</v>
      </c>
      <c r="H212" s="17" t="s">
        <v>93</v>
      </c>
      <c r="I212" s="22">
        <f>F212-IFERROR(VLOOKUP(B212,crm_orders!$A:$S,10,FALSE),0)</f>
        <v>-6</v>
      </c>
      <c r="J212" s="22">
        <f>G212-IFERROR(VLOOKUP(B212,crm_orders!$A:$S,12,FALSE),0)</f>
        <v>-41.16</v>
      </c>
      <c r="K212" s="17" t="str">
        <f>IF(COUNTIF(crm_orders!$A:$A,B212)=0,"Orphan","OK")</f>
        <v>OK</v>
      </c>
    </row>
    <row r="213" ht="15.75" customHeight="1">
      <c r="A213" s="25" t="s">
        <v>1424</v>
      </c>
      <c r="B213" s="25" t="s">
        <v>201</v>
      </c>
      <c r="C213" s="26">
        <v>46081.0</v>
      </c>
      <c r="D213" s="25" t="s">
        <v>179</v>
      </c>
      <c r="E213" s="25" t="s">
        <v>162</v>
      </c>
      <c r="F213" s="29">
        <v>96.0</v>
      </c>
      <c r="G213" s="30">
        <v>970.56</v>
      </c>
      <c r="H213" s="25" t="s">
        <v>1214</v>
      </c>
      <c r="I213" s="30">
        <f>F213-IFERROR(VLOOKUP(B213,crm_orders!$A:$S,10,FALSE),0)</f>
        <v>0</v>
      </c>
      <c r="J213" s="30">
        <f>G213-IFERROR(VLOOKUP(B213,crm_orders!$A:$S,12,FALSE),0)</f>
        <v>0</v>
      </c>
      <c r="K213" s="25" t="str">
        <f>IF(COUNTIF(crm_orders!$A:$A,B213)=0,"Orphan","OK")</f>
        <v>OK</v>
      </c>
    </row>
    <row r="214" ht="15.75" customHeight="1">
      <c r="A214" s="17" t="s">
        <v>1425</v>
      </c>
      <c r="B214" s="17" t="s">
        <v>749</v>
      </c>
      <c r="C214" s="18">
        <v>46047.0</v>
      </c>
      <c r="D214" s="17" t="s">
        <v>710</v>
      </c>
      <c r="E214" s="17" t="s">
        <v>64</v>
      </c>
      <c r="F214" s="21">
        <v>72.0</v>
      </c>
      <c r="G214" s="22">
        <v>522.72</v>
      </c>
      <c r="H214" s="17" t="s">
        <v>1214</v>
      </c>
      <c r="I214" s="22">
        <f>F214-IFERROR(VLOOKUP(B214,crm_orders!$A:$S,10,FALSE),0)</f>
        <v>0</v>
      </c>
      <c r="J214" s="22">
        <f>G214-IFERROR(VLOOKUP(B214,crm_orders!$A:$S,12,FALSE),0)</f>
        <v>0</v>
      </c>
      <c r="K214" s="17" t="str">
        <f>IF(COUNTIF(crm_orders!$A:$A,B214)=0,"Orphan","OK")</f>
        <v>OK</v>
      </c>
    </row>
    <row r="215" ht="15.75" customHeight="1">
      <c r="A215" s="25" t="s">
        <v>1426</v>
      </c>
      <c r="B215" s="25" t="s">
        <v>750</v>
      </c>
      <c r="C215" s="26">
        <v>46104.0</v>
      </c>
      <c r="D215" s="25" t="s">
        <v>702</v>
      </c>
      <c r="E215" s="25" t="s">
        <v>92</v>
      </c>
      <c r="F215" s="29">
        <v>48.0</v>
      </c>
      <c r="G215" s="30">
        <v>515.04</v>
      </c>
      <c r="H215" s="25" t="s">
        <v>1214</v>
      </c>
      <c r="I215" s="30">
        <f>F215-IFERROR(VLOOKUP(B215,crm_orders!$A:$S,10,FALSE),0)</f>
        <v>0</v>
      </c>
      <c r="J215" s="30">
        <f>G215-IFERROR(VLOOKUP(B215,crm_orders!$A:$S,12,FALSE),0)</f>
        <v>0</v>
      </c>
      <c r="K215" s="25" t="str">
        <f>IF(COUNTIF(crm_orders!$A:$A,B215)=0,"Orphan","OK")</f>
        <v>OK</v>
      </c>
    </row>
    <row r="216" ht="15.75" customHeight="1">
      <c r="A216" s="17" t="s">
        <v>1427</v>
      </c>
      <c r="B216" s="17" t="s">
        <v>585</v>
      </c>
      <c r="C216" s="18">
        <v>46153.0</v>
      </c>
      <c r="D216" s="17" t="s">
        <v>553</v>
      </c>
      <c r="E216" s="17" t="s">
        <v>102</v>
      </c>
      <c r="F216" s="21">
        <v>96.0</v>
      </c>
      <c r="G216" s="22">
        <v>1075.2</v>
      </c>
      <c r="H216" s="17" t="s">
        <v>1214</v>
      </c>
      <c r="I216" s="22">
        <f>F216-IFERROR(VLOOKUP(B216,crm_orders!$A:$S,10,FALSE),0)</f>
        <v>0</v>
      </c>
      <c r="J216" s="22">
        <f>G216-IFERROR(VLOOKUP(B216,crm_orders!$A:$S,12,FALSE),0)</f>
        <v>0</v>
      </c>
      <c r="K216" s="17" t="str">
        <f>IF(COUNTIF(crm_orders!$A:$A,B216)=0,"Orphan","OK")</f>
        <v>OK</v>
      </c>
    </row>
    <row r="217" ht="15.75" customHeight="1">
      <c r="A217" s="25" t="s">
        <v>1428</v>
      </c>
      <c r="B217" s="25" t="s">
        <v>751</v>
      </c>
      <c r="C217" s="26">
        <v>46092.0</v>
      </c>
      <c r="D217" s="25" t="s">
        <v>698</v>
      </c>
      <c r="E217" s="25" t="s">
        <v>85</v>
      </c>
      <c r="F217" s="29">
        <v>36.0</v>
      </c>
      <c r="G217" s="30">
        <v>362.88</v>
      </c>
      <c r="H217" s="25" t="s">
        <v>93</v>
      </c>
      <c r="I217" s="30">
        <f>F217-IFERROR(VLOOKUP(B217,crm_orders!$A:$S,10,FALSE),0)</f>
        <v>-12</v>
      </c>
      <c r="J217" s="30">
        <f>G217-IFERROR(VLOOKUP(B217,crm_orders!$A:$S,12,FALSE),0)</f>
        <v>-120.96</v>
      </c>
      <c r="K217" s="25" t="str">
        <f>IF(COUNTIF(crm_orders!$A:$A,B217)=0,"Orphan","OK")</f>
        <v>OK</v>
      </c>
    </row>
    <row r="218" ht="15.75" customHeight="1">
      <c r="A218" s="17" t="s">
        <v>1429</v>
      </c>
      <c r="B218" s="17" t="s">
        <v>479</v>
      </c>
      <c r="C218" s="18">
        <v>46103.0</v>
      </c>
      <c r="D218" s="17" t="s">
        <v>454</v>
      </c>
      <c r="E218" s="17" t="s">
        <v>154</v>
      </c>
      <c r="F218" s="21">
        <v>18.0</v>
      </c>
      <c r="G218" s="22">
        <v>193.14</v>
      </c>
      <c r="H218" s="17" t="s">
        <v>1214</v>
      </c>
      <c r="I218" s="22">
        <f>F218-IFERROR(VLOOKUP(B218,crm_orders!$A:$S,10,FALSE),0)</f>
        <v>0</v>
      </c>
      <c r="J218" s="22">
        <f>G218-IFERROR(VLOOKUP(B218,crm_orders!$A:$S,12,FALSE),0)</f>
        <v>0</v>
      </c>
      <c r="K218" s="17" t="str">
        <f>IF(COUNTIF(crm_orders!$A:$A,B218)=0,"Orphan","OK")</f>
        <v>OK</v>
      </c>
    </row>
    <row r="219" ht="15.75" customHeight="1">
      <c r="A219" s="25" t="s">
        <v>1430</v>
      </c>
      <c r="B219" s="25" t="s">
        <v>329</v>
      </c>
      <c r="C219" s="26">
        <v>46052.0</v>
      </c>
      <c r="D219" s="25" t="s">
        <v>330</v>
      </c>
      <c r="E219" s="25" t="s">
        <v>90</v>
      </c>
      <c r="F219" s="29">
        <v>24.0</v>
      </c>
      <c r="G219" s="30">
        <v>191.28</v>
      </c>
      <c r="H219" s="25" t="s">
        <v>1214</v>
      </c>
      <c r="I219" s="30">
        <f>F219-IFERROR(VLOOKUP(B219,crm_orders!$A:$S,10,FALSE),0)</f>
        <v>0</v>
      </c>
      <c r="J219" s="30">
        <f>G219-IFERROR(VLOOKUP(B219,crm_orders!$A:$S,12,FALSE),0)</f>
        <v>0</v>
      </c>
      <c r="K219" s="25" t="str">
        <f>IF(COUNTIF(crm_orders!$A:$A,B219)=0,"Orphan","OK")</f>
        <v>OK</v>
      </c>
    </row>
    <row r="220" ht="15.75" customHeight="1">
      <c r="A220" s="17" t="s">
        <v>1431</v>
      </c>
      <c r="B220" s="17" t="s">
        <v>586</v>
      </c>
      <c r="C220" s="18">
        <v>46093.0</v>
      </c>
      <c r="D220" s="17" t="s">
        <v>553</v>
      </c>
      <c r="E220" s="17" t="s">
        <v>74</v>
      </c>
      <c r="F220" s="21">
        <v>18.0</v>
      </c>
      <c r="G220" s="22">
        <v>189.72</v>
      </c>
      <c r="H220" s="17" t="s">
        <v>1214</v>
      </c>
      <c r="I220" s="22">
        <f>F220-IFERROR(VLOOKUP(B220,crm_orders!$A:$S,10,FALSE),0)</f>
        <v>0</v>
      </c>
      <c r="J220" s="22">
        <f>G220-IFERROR(VLOOKUP(B220,crm_orders!$A:$S,12,FALSE),0)</f>
        <v>0</v>
      </c>
      <c r="K220" s="17" t="str">
        <f>IF(COUNTIF(crm_orders!$A:$A,B220)=0,"Orphan","OK")</f>
        <v>OK</v>
      </c>
    </row>
    <row r="221" ht="15.75" customHeight="1">
      <c r="A221" s="25" t="s">
        <v>1432</v>
      </c>
      <c r="B221" s="25" t="s">
        <v>752</v>
      </c>
      <c r="C221" s="26">
        <v>46135.0</v>
      </c>
      <c r="D221" s="25" t="s">
        <v>706</v>
      </c>
      <c r="E221" s="25" t="s">
        <v>154</v>
      </c>
      <c r="F221" s="29">
        <v>36.0</v>
      </c>
      <c r="G221" s="30">
        <v>392.04</v>
      </c>
      <c r="H221" s="25" t="s">
        <v>93</v>
      </c>
      <c r="I221" s="30">
        <f>F221-IFERROR(VLOOKUP(B221,crm_orders!$A:$S,10,FALSE),0)</f>
        <v>-24</v>
      </c>
      <c r="J221" s="30">
        <f>G221-IFERROR(VLOOKUP(B221,crm_orders!$A:$S,12,FALSE),0)</f>
        <v>-261.36</v>
      </c>
      <c r="K221" s="25" t="str">
        <f>IF(COUNTIF(crm_orders!$A:$A,B221)=0,"Orphan","OK")</f>
        <v>OK</v>
      </c>
    </row>
    <row r="222" ht="15.75" customHeight="1">
      <c r="A222" s="17" t="s">
        <v>1433</v>
      </c>
      <c r="B222" s="17" t="s">
        <v>753</v>
      </c>
      <c r="C222" s="18">
        <v>46131.0</v>
      </c>
      <c r="D222" s="17" t="s">
        <v>704</v>
      </c>
      <c r="E222" s="17" t="s">
        <v>81</v>
      </c>
      <c r="F222" s="21">
        <v>36.0</v>
      </c>
      <c r="G222" s="22">
        <v>263.16</v>
      </c>
      <c r="H222" s="17" t="s">
        <v>1214</v>
      </c>
      <c r="I222" s="22">
        <f>F222-IFERROR(VLOOKUP(B222,crm_orders!$A:$S,10,FALSE),0)</f>
        <v>0</v>
      </c>
      <c r="J222" s="22">
        <f>G222-IFERROR(VLOOKUP(B222,crm_orders!$A:$S,12,FALSE),0)</f>
        <v>0</v>
      </c>
      <c r="K222" s="17" t="str">
        <f>IF(COUNTIF(crm_orders!$A:$A,B222)=0,"Orphan","OK")</f>
        <v>OK</v>
      </c>
    </row>
    <row r="223" ht="15.75" customHeight="1">
      <c r="A223" s="25" t="s">
        <v>1434</v>
      </c>
      <c r="B223" s="25" t="s">
        <v>480</v>
      </c>
      <c r="C223" s="26">
        <v>46071.0</v>
      </c>
      <c r="D223" s="25" t="s">
        <v>464</v>
      </c>
      <c r="E223" s="25" t="s">
        <v>123</v>
      </c>
      <c r="F223" s="29">
        <v>18.0</v>
      </c>
      <c r="G223" s="30">
        <v>191.52</v>
      </c>
      <c r="H223" s="25" t="s">
        <v>1212</v>
      </c>
      <c r="I223" s="30">
        <f>F223-IFERROR(VLOOKUP(B223,crm_orders!$A:$S,10,FALSE),0)</f>
        <v>12</v>
      </c>
      <c r="J223" s="30">
        <f>G223-IFERROR(VLOOKUP(B223,crm_orders!$A:$S,12,FALSE),0)</f>
        <v>127.68</v>
      </c>
      <c r="K223" s="25" t="str">
        <f>IF(COUNTIF(crm_orders!$A:$A,B223)=0,"Orphan","OK")</f>
        <v>OK</v>
      </c>
    </row>
    <row r="224" ht="15.75" customHeight="1">
      <c r="A224" s="17" t="s">
        <v>1435</v>
      </c>
      <c r="B224" s="17" t="s">
        <v>587</v>
      </c>
      <c r="C224" s="18">
        <v>46061.0</v>
      </c>
      <c r="D224" s="17" t="s">
        <v>588</v>
      </c>
      <c r="E224" s="17" t="s">
        <v>123</v>
      </c>
      <c r="F224" s="21">
        <v>96.0</v>
      </c>
      <c r="G224" s="22">
        <v>1071.36</v>
      </c>
      <c r="H224" s="17" t="s">
        <v>1214</v>
      </c>
      <c r="I224" s="22">
        <f>F224-IFERROR(VLOOKUP(B224,crm_orders!$A:$S,10,FALSE),0)</f>
        <v>0</v>
      </c>
      <c r="J224" s="22">
        <f>G224-IFERROR(VLOOKUP(B224,crm_orders!$A:$S,12,FALSE),0)</f>
        <v>0</v>
      </c>
      <c r="K224" s="17" t="str">
        <f>IF(COUNTIF(crm_orders!$A:$A,B224)=0,"Orphan","OK")</f>
        <v>OK</v>
      </c>
    </row>
    <row r="225" ht="15.75" customHeight="1">
      <c r="A225" s="25" t="s">
        <v>1436</v>
      </c>
      <c r="B225" s="25" t="s">
        <v>331</v>
      </c>
      <c r="C225" s="26">
        <v>46135.0</v>
      </c>
      <c r="D225" s="25" t="s">
        <v>299</v>
      </c>
      <c r="E225" s="25" t="s">
        <v>162</v>
      </c>
      <c r="F225" s="29">
        <v>6.0</v>
      </c>
      <c r="G225" s="30">
        <v>62.34</v>
      </c>
      <c r="H225" s="25" t="s">
        <v>1214</v>
      </c>
      <c r="I225" s="30">
        <f>F225-IFERROR(VLOOKUP(B225,crm_orders!$A:$S,10,FALSE),0)</f>
        <v>0</v>
      </c>
      <c r="J225" s="30">
        <f>G225-IFERROR(VLOOKUP(B225,crm_orders!$A:$S,12,FALSE),0)</f>
        <v>0</v>
      </c>
      <c r="K225" s="25" t="str">
        <f>IF(COUNTIF(crm_orders!$A:$A,B225)=0,"Orphan","OK")</f>
        <v>OK</v>
      </c>
    </row>
    <row r="226" ht="15.75" customHeight="1">
      <c r="A226" s="17" t="s">
        <v>1437</v>
      </c>
      <c r="B226" s="17" t="s">
        <v>332</v>
      </c>
      <c r="C226" s="18">
        <v>46064.0</v>
      </c>
      <c r="D226" s="17" t="s">
        <v>293</v>
      </c>
      <c r="E226" s="17" t="s">
        <v>64</v>
      </c>
      <c r="F226" s="21">
        <v>72.0</v>
      </c>
      <c r="G226" s="22">
        <v>612.0</v>
      </c>
      <c r="H226" s="17" t="s">
        <v>1214</v>
      </c>
      <c r="I226" s="22">
        <f>F226-IFERROR(VLOOKUP(B226,crm_orders!$A:$S,10,FALSE),0)</f>
        <v>0</v>
      </c>
      <c r="J226" s="22">
        <f>G226-IFERROR(VLOOKUP(B226,crm_orders!$A:$S,12,FALSE),0)</f>
        <v>0</v>
      </c>
      <c r="K226" s="17" t="str">
        <f>IF(COUNTIF(crm_orders!$A:$A,B226)=0,"Orphan","OK")</f>
        <v>OK</v>
      </c>
    </row>
    <row r="227" ht="15.75" customHeight="1">
      <c r="A227" s="25" t="s">
        <v>1438</v>
      </c>
      <c r="B227" s="25" t="s">
        <v>1142</v>
      </c>
      <c r="C227" s="26">
        <v>46117.0</v>
      </c>
      <c r="D227" s="25" t="s">
        <v>1122</v>
      </c>
      <c r="E227" s="25" t="s">
        <v>85</v>
      </c>
      <c r="F227" s="29">
        <v>30.0</v>
      </c>
      <c r="G227" s="30">
        <v>292.2</v>
      </c>
      <c r="H227" s="25" t="s">
        <v>1212</v>
      </c>
      <c r="I227" s="30">
        <f>F227-IFERROR(VLOOKUP(B227,crm_orders!$A:$S,10,FALSE),0)</f>
        <v>12</v>
      </c>
      <c r="J227" s="30">
        <f>G227-IFERROR(VLOOKUP(B227,crm_orders!$A:$S,12,FALSE),0)</f>
        <v>116.88</v>
      </c>
      <c r="K227" s="25" t="str">
        <f>IF(COUNTIF(crm_orders!$A:$A,B227)=0,"Orphan","OK")</f>
        <v>OK</v>
      </c>
    </row>
    <row r="228" ht="15.75" customHeight="1">
      <c r="A228" s="17" t="s">
        <v>1439</v>
      </c>
      <c r="B228" s="17" t="s">
        <v>982</v>
      </c>
      <c r="C228" s="18">
        <v>46084.0</v>
      </c>
      <c r="D228" s="17" t="s">
        <v>980</v>
      </c>
      <c r="E228" s="17" t="s">
        <v>108</v>
      </c>
      <c r="F228" s="21">
        <v>48.0</v>
      </c>
      <c r="G228" s="22">
        <v>472.32</v>
      </c>
      <c r="H228" s="17" t="s">
        <v>93</v>
      </c>
      <c r="I228" s="22">
        <f>F228-IFERROR(VLOOKUP(B228,crm_orders!$A:$S,10,FALSE),0)</f>
        <v>-12</v>
      </c>
      <c r="J228" s="22">
        <f>G228-IFERROR(VLOOKUP(B228,crm_orders!$A:$S,12,FALSE),0)</f>
        <v>-118.08</v>
      </c>
      <c r="K228" s="17" t="str">
        <f>IF(COUNTIF(crm_orders!$A:$A,B228)=0,"Orphan","OK")</f>
        <v>OK</v>
      </c>
    </row>
    <row r="229" ht="15.75" customHeight="1">
      <c r="A229" s="25" t="s">
        <v>1440</v>
      </c>
      <c r="B229" s="25" t="s">
        <v>883</v>
      </c>
      <c r="C229" s="26">
        <v>46092.0</v>
      </c>
      <c r="D229" s="25" t="s">
        <v>868</v>
      </c>
      <c r="E229" s="25" t="s">
        <v>68</v>
      </c>
      <c r="F229" s="29">
        <v>60.0</v>
      </c>
      <c r="G229" s="30">
        <v>608.4</v>
      </c>
      <c r="H229" s="25" t="s">
        <v>1214</v>
      </c>
      <c r="I229" s="30">
        <f>F229-IFERROR(VLOOKUP(B229,crm_orders!$A:$S,10,FALSE),0)</f>
        <v>0</v>
      </c>
      <c r="J229" s="30">
        <f>G229-IFERROR(VLOOKUP(B229,crm_orders!$A:$S,12,FALSE),0)</f>
        <v>0</v>
      </c>
      <c r="K229" s="25" t="str">
        <f>IF(COUNTIF(crm_orders!$A:$A,B229)=0,"Orphan","OK")</f>
        <v>OK</v>
      </c>
    </row>
    <row r="230" ht="15.75" customHeight="1">
      <c r="A230" s="17" t="s">
        <v>1441</v>
      </c>
      <c r="B230" s="17" t="s">
        <v>983</v>
      </c>
      <c r="C230" s="18">
        <v>46141.0</v>
      </c>
      <c r="D230" s="17" t="s">
        <v>984</v>
      </c>
      <c r="E230" s="17" t="s">
        <v>68</v>
      </c>
      <c r="F230" s="21">
        <v>12.0</v>
      </c>
      <c r="G230" s="22">
        <v>133.44</v>
      </c>
      <c r="H230" s="17" t="s">
        <v>1214</v>
      </c>
      <c r="I230" s="22">
        <f>F230-IFERROR(VLOOKUP(B230,crm_orders!$A:$S,10,FALSE),0)</f>
        <v>0</v>
      </c>
      <c r="J230" s="22">
        <f>G230-IFERROR(VLOOKUP(B230,crm_orders!$A:$S,12,FALSE),0)</f>
        <v>0</v>
      </c>
      <c r="K230" s="17" t="str">
        <f>IF(COUNTIF(crm_orders!$A:$A,B230)=0,"Orphan","OK")</f>
        <v>OK</v>
      </c>
    </row>
    <row r="231" ht="15.75" customHeight="1">
      <c r="A231" s="25" t="s">
        <v>1442</v>
      </c>
      <c r="B231" s="25" t="s">
        <v>755</v>
      </c>
      <c r="C231" s="26">
        <v>46032.0</v>
      </c>
      <c r="D231" s="25" t="s">
        <v>727</v>
      </c>
      <c r="E231" s="25" t="s">
        <v>74</v>
      </c>
      <c r="F231" s="29">
        <v>12.0</v>
      </c>
      <c r="G231" s="30">
        <v>149.88</v>
      </c>
      <c r="H231" s="25" t="s">
        <v>1214</v>
      </c>
      <c r="I231" s="30">
        <f>F231-IFERROR(VLOOKUP(B231,crm_orders!$A:$S,10,FALSE),0)</f>
        <v>0</v>
      </c>
      <c r="J231" s="30">
        <f>G231-IFERROR(VLOOKUP(B231,crm_orders!$A:$S,12,FALSE),0)</f>
        <v>0</v>
      </c>
      <c r="K231" s="25" t="str">
        <f>IF(COUNTIF(crm_orders!$A:$A,B231)=0,"Orphan","OK")</f>
        <v>OK</v>
      </c>
    </row>
    <row r="232" ht="15.75" customHeight="1">
      <c r="A232" s="17" t="s">
        <v>1443</v>
      </c>
      <c r="B232" s="17" t="s">
        <v>333</v>
      </c>
      <c r="C232" s="18">
        <v>46046.0</v>
      </c>
      <c r="D232" s="17" t="s">
        <v>305</v>
      </c>
      <c r="E232" s="17" t="s">
        <v>102</v>
      </c>
      <c r="F232" s="21">
        <v>30.0</v>
      </c>
      <c r="G232" s="22">
        <v>303.48</v>
      </c>
      <c r="H232" s="17" t="s">
        <v>1212</v>
      </c>
      <c r="I232" s="22">
        <f>F232-IFERROR(VLOOKUP(B232,crm_orders!$A:$S,10,FALSE),0)</f>
        <v>0</v>
      </c>
      <c r="J232" s="22">
        <f>G232-IFERROR(VLOOKUP(B232,crm_orders!$A:$S,12,FALSE),0)</f>
        <v>0.18</v>
      </c>
      <c r="K232" s="17" t="str">
        <f>IF(COUNTIF(crm_orders!$A:$A,B232)=0,"Orphan","OK")</f>
        <v>OK</v>
      </c>
    </row>
    <row r="233" ht="15.75" customHeight="1">
      <c r="A233" s="25" t="s">
        <v>1444</v>
      </c>
      <c r="B233" s="25" t="s">
        <v>202</v>
      </c>
      <c r="C233" s="26">
        <v>46084.0</v>
      </c>
      <c r="D233" s="25" t="s">
        <v>198</v>
      </c>
      <c r="E233" s="25" t="s">
        <v>123</v>
      </c>
      <c r="F233" s="29">
        <v>120.0</v>
      </c>
      <c r="G233" s="30">
        <v>1184.4</v>
      </c>
      <c r="H233" s="25" t="s">
        <v>1214</v>
      </c>
      <c r="I233" s="30">
        <f>F233-IFERROR(VLOOKUP(B233,crm_orders!$A:$S,10,FALSE),0)</f>
        <v>0</v>
      </c>
      <c r="J233" s="30">
        <f>G233-IFERROR(VLOOKUP(B233,crm_orders!$A:$S,12,FALSE),0)</f>
        <v>0</v>
      </c>
      <c r="K233" s="25" t="str">
        <f>IF(COUNTIF(crm_orders!$A:$A,B233)=0,"Orphan","OK")</f>
        <v>OK</v>
      </c>
    </row>
    <row r="234" ht="15.75" customHeight="1">
      <c r="A234" s="17" t="s">
        <v>1445</v>
      </c>
      <c r="B234" s="17" t="s">
        <v>985</v>
      </c>
      <c r="C234" s="18">
        <v>46025.0</v>
      </c>
      <c r="D234" s="17" t="s">
        <v>974</v>
      </c>
      <c r="E234" s="17" t="s">
        <v>74</v>
      </c>
      <c r="F234" s="21">
        <v>0.0</v>
      </c>
      <c r="G234" s="22">
        <v>0.0</v>
      </c>
      <c r="H234" s="17" t="s">
        <v>93</v>
      </c>
      <c r="I234" s="22">
        <f>F234-IFERROR(VLOOKUP(B234,crm_orders!$A:$S,10,FALSE),0)</f>
        <v>-6</v>
      </c>
      <c r="J234" s="22">
        <f>G234-IFERROR(VLOOKUP(B234,crm_orders!$A:$S,12,FALSE),0)</f>
        <v>-71.7</v>
      </c>
      <c r="K234" s="17" t="str">
        <f>IF(COUNTIF(crm_orders!$A:$A,B234)=0,"Orphan","OK")</f>
        <v>OK</v>
      </c>
    </row>
    <row r="235" ht="15.75" customHeight="1">
      <c r="A235" s="25" t="s">
        <v>1446</v>
      </c>
      <c r="B235" s="25" t="s">
        <v>589</v>
      </c>
      <c r="C235" s="26">
        <v>46046.0</v>
      </c>
      <c r="D235" s="25" t="s">
        <v>561</v>
      </c>
      <c r="E235" s="25" t="s">
        <v>106</v>
      </c>
      <c r="F235" s="29">
        <v>0.0</v>
      </c>
      <c r="G235" s="30">
        <v>0.0</v>
      </c>
      <c r="H235" s="25" t="s">
        <v>93</v>
      </c>
      <c r="I235" s="30">
        <f>F235-IFERROR(VLOOKUP(B235,crm_orders!$A:$S,10,FALSE),0)</f>
        <v>-12</v>
      </c>
      <c r="J235" s="30">
        <f>G235-IFERROR(VLOOKUP(B235,crm_orders!$A:$S,12,FALSE),0)</f>
        <v>-118.8</v>
      </c>
      <c r="K235" s="25" t="str">
        <f>IF(COUNTIF(crm_orders!$A:$A,B235)=0,"Orphan","OK")</f>
        <v>OK</v>
      </c>
    </row>
    <row r="236" ht="15.75" customHeight="1">
      <c r="A236" s="17" t="s">
        <v>1447</v>
      </c>
      <c r="B236" s="17" t="s">
        <v>756</v>
      </c>
      <c r="C236" s="18">
        <v>46038.0</v>
      </c>
      <c r="D236" s="17" t="s">
        <v>723</v>
      </c>
      <c r="E236" s="17" t="s">
        <v>85</v>
      </c>
      <c r="F236" s="21">
        <v>72.0</v>
      </c>
      <c r="G236" s="22">
        <v>747.36</v>
      </c>
      <c r="H236" s="17" t="s">
        <v>1214</v>
      </c>
      <c r="I236" s="22">
        <f>F236-IFERROR(VLOOKUP(B236,crm_orders!$A:$S,10,FALSE),0)</f>
        <v>0</v>
      </c>
      <c r="J236" s="22">
        <f>G236-IFERROR(VLOOKUP(B236,crm_orders!$A:$S,12,FALSE),0)</f>
        <v>0</v>
      </c>
      <c r="K236" s="17" t="str">
        <f>IF(COUNTIF(crm_orders!$A:$A,B236)=0,"Orphan","OK")</f>
        <v>OK</v>
      </c>
    </row>
    <row r="237" ht="15.75" customHeight="1">
      <c r="A237" s="25" t="s">
        <v>1448</v>
      </c>
      <c r="B237" s="25" t="s">
        <v>1096</v>
      </c>
      <c r="C237" s="26">
        <v>46111.0</v>
      </c>
      <c r="D237" s="25" t="s">
        <v>1081</v>
      </c>
      <c r="E237" s="25" t="s">
        <v>108</v>
      </c>
      <c r="F237" s="29">
        <v>120.0</v>
      </c>
      <c r="G237" s="30">
        <v>1275.6</v>
      </c>
      <c r="H237" s="25" t="s">
        <v>1214</v>
      </c>
      <c r="I237" s="30">
        <f>F237-IFERROR(VLOOKUP(B237,crm_orders!$A:$S,10,FALSE),0)</f>
        <v>0</v>
      </c>
      <c r="J237" s="30">
        <f>G237-IFERROR(VLOOKUP(B237,crm_orders!$A:$S,12,FALSE),0)</f>
        <v>0</v>
      </c>
      <c r="K237" s="25" t="str">
        <f>IF(COUNTIF(crm_orders!$A:$A,B237)=0,"Orphan","OK")</f>
        <v>OK</v>
      </c>
    </row>
    <row r="238" ht="15.75" customHeight="1">
      <c r="A238" s="17" t="s">
        <v>1449</v>
      </c>
      <c r="B238" s="17" t="s">
        <v>986</v>
      </c>
      <c r="C238" s="18">
        <v>46078.0</v>
      </c>
      <c r="D238" s="17" t="s">
        <v>950</v>
      </c>
      <c r="E238" s="17" t="s">
        <v>68</v>
      </c>
      <c r="F238" s="21">
        <v>36.0</v>
      </c>
      <c r="G238" s="22">
        <v>397.18</v>
      </c>
      <c r="H238" s="17" t="s">
        <v>1212</v>
      </c>
      <c r="I238" s="22">
        <f>F238-IFERROR(VLOOKUP(B238,crm_orders!$A:$S,10,FALSE),0)</f>
        <v>0</v>
      </c>
      <c r="J238" s="22">
        <f>G238-IFERROR(VLOOKUP(B238,crm_orders!$A:$S,12,FALSE),0)</f>
        <v>-2.78</v>
      </c>
      <c r="K238" s="17" t="str">
        <f>IF(COUNTIF(crm_orders!$A:$A,B238)=0,"Orphan","OK")</f>
        <v>OK</v>
      </c>
    </row>
    <row r="239" ht="15.75" customHeight="1">
      <c r="A239" s="25" t="s">
        <v>1450</v>
      </c>
      <c r="B239" s="25" t="s">
        <v>101</v>
      </c>
      <c r="C239" s="26">
        <v>46135.0</v>
      </c>
      <c r="D239" s="25" t="s">
        <v>70</v>
      </c>
      <c r="E239" s="25" t="s">
        <v>102</v>
      </c>
      <c r="F239" s="29">
        <v>6.0</v>
      </c>
      <c r="G239" s="30">
        <v>70.62</v>
      </c>
      <c r="H239" s="25" t="s">
        <v>1214</v>
      </c>
      <c r="I239" s="30">
        <f>F239-IFERROR(VLOOKUP(B239,crm_orders!$A:$S,10,FALSE),0)</f>
        <v>0</v>
      </c>
      <c r="J239" s="30">
        <f>G239-IFERROR(VLOOKUP(B239,crm_orders!$A:$S,12,FALSE),0)</f>
        <v>0</v>
      </c>
      <c r="K239" s="25" t="str">
        <f>IF(COUNTIF(crm_orders!$A:$A,B239)=0,"Orphan","OK")</f>
        <v>OK</v>
      </c>
    </row>
    <row r="240" ht="15.75" customHeight="1">
      <c r="A240" s="17" t="s">
        <v>1451</v>
      </c>
      <c r="B240" s="17" t="s">
        <v>334</v>
      </c>
      <c r="C240" s="18">
        <v>46104.0</v>
      </c>
      <c r="D240" s="17" t="s">
        <v>295</v>
      </c>
      <c r="E240" s="17" t="s">
        <v>110</v>
      </c>
      <c r="F240" s="21">
        <v>0.0</v>
      </c>
      <c r="G240" s="22">
        <v>0.0</v>
      </c>
      <c r="H240" s="17" t="s">
        <v>93</v>
      </c>
      <c r="I240" s="22">
        <f>F240-IFERROR(VLOOKUP(B240,crm_orders!$A:$S,10,FALSE),0)</f>
        <v>-6</v>
      </c>
      <c r="J240" s="22">
        <f>G240-IFERROR(VLOOKUP(B240,crm_orders!$A:$S,12,FALSE),0)</f>
        <v>-72.42</v>
      </c>
      <c r="K240" s="17" t="str">
        <f>IF(COUNTIF(crm_orders!$A:$A,B240)=0,"Orphan","OK")</f>
        <v>OK</v>
      </c>
    </row>
    <row r="241" ht="15.75" customHeight="1">
      <c r="A241" s="25" t="s">
        <v>1452</v>
      </c>
      <c r="B241" s="25" t="s">
        <v>885</v>
      </c>
      <c r="C241" s="26">
        <v>46070.0</v>
      </c>
      <c r="D241" s="25" t="s">
        <v>859</v>
      </c>
      <c r="E241" s="25" t="s">
        <v>190</v>
      </c>
      <c r="F241" s="29">
        <v>120.0</v>
      </c>
      <c r="G241" s="30">
        <v>938.4</v>
      </c>
      <c r="H241" s="25" t="s">
        <v>1214</v>
      </c>
      <c r="I241" s="30">
        <f>F241-IFERROR(VLOOKUP(B241,crm_orders!$A:$S,10,FALSE),0)</f>
        <v>0</v>
      </c>
      <c r="J241" s="30">
        <f>G241-IFERROR(VLOOKUP(B241,crm_orders!$A:$S,12,FALSE),0)</f>
        <v>0</v>
      </c>
      <c r="K241" s="25" t="str">
        <f>IF(COUNTIF(crm_orders!$A:$A,B241)=0,"Orphan","OK")</f>
        <v>OK</v>
      </c>
    </row>
    <row r="242" ht="15.75" customHeight="1">
      <c r="A242" s="17" t="s">
        <v>1453</v>
      </c>
      <c r="B242" s="17" t="s">
        <v>590</v>
      </c>
      <c r="C242" s="18">
        <v>46069.0</v>
      </c>
      <c r="D242" s="17" t="s">
        <v>550</v>
      </c>
      <c r="E242" s="17" t="s">
        <v>85</v>
      </c>
      <c r="F242" s="21">
        <v>12.0</v>
      </c>
      <c r="G242" s="22">
        <v>118.32</v>
      </c>
      <c r="H242" s="17" t="s">
        <v>1214</v>
      </c>
      <c r="I242" s="22">
        <f>F242-IFERROR(VLOOKUP(B242,crm_orders!$A:$S,10,FALSE),0)</f>
        <v>0</v>
      </c>
      <c r="J242" s="22">
        <f>G242-IFERROR(VLOOKUP(B242,crm_orders!$A:$S,12,FALSE),0)</f>
        <v>0</v>
      </c>
      <c r="K242" s="17" t="str">
        <f>IF(COUNTIF(crm_orders!$A:$A,B242)=0,"Orphan","OK")</f>
        <v>OK</v>
      </c>
    </row>
    <row r="243" ht="15.75" customHeight="1">
      <c r="A243" s="25" t="s">
        <v>1454</v>
      </c>
      <c r="B243" s="25" t="s">
        <v>757</v>
      </c>
      <c r="C243" s="26">
        <v>46070.0</v>
      </c>
      <c r="D243" s="25" t="s">
        <v>702</v>
      </c>
      <c r="E243" s="25" t="s">
        <v>110</v>
      </c>
      <c r="F243" s="29">
        <v>48.0</v>
      </c>
      <c r="G243" s="30">
        <v>552.48</v>
      </c>
      <c r="H243" s="25" t="s">
        <v>1214</v>
      </c>
      <c r="I243" s="30">
        <f>F243-IFERROR(VLOOKUP(B243,crm_orders!$A:$S,10,FALSE),0)</f>
        <v>0</v>
      </c>
      <c r="J243" s="30">
        <f>G243-IFERROR(VLOOKUP(B243,crm_orders!$A:$S,12,FALSE),0)</f>
        <v>0</v>
      </c>
      <c r="K243" s="25" t="str">
        <f>IF(COUNTIF(crm_orders!$A:$A,B243)=0,"Orphan","OK")</f>
        <v>OK</v>
      </c>
    </row>
    <row r="244" ht="15.75" customHeight="1">
      <c r="A244" s="17" t="s">
        <v>1455</v>
      </c>
      <c r="B244" s="17" t="s">
        <v>591</v>
      </c>
      <c r="C244" s="18">
        <v>46038.0</v>
      </c>
      <c r="D244" s="17" t="s">
        <v>550</v>
      </c>
      <c r="E244" s="17" t="s">
        <v>71</v>
      </c>
      <c r="F244" s="21">
        <v>30.0</v>
      </c>
      <c r="G244" s="22">
        <v>240.3</v>
      </c>
      <c r="H244" s="17" t="s">
        <v>1214</v>
      </c>
      <c r="I244" s="22">
        <f>F244-IFERROR(VLOOKUP(B244,crm_orders!$A:$S,10,FALSE),0)</f>
        <v>0</v>
      </c>
      <c r="J244" s="22">
        <f>G244-IFERROR(VLOOKUP(B244,crm_orders!$A:$S,12,FALSE),0)</f>
        <v>0</v>
      </c>
      <c r="K244" s="17" t="str">
        <f>IF(COUNTIF(crm_orders!$A:$A,B244)=0,"Orphan","OK")</f>
        <v>OK</v>
      </c>
    </row>
    <row r="245" ht="15.75" customHeight="1">
      <c r="A245" s="25" t="s">
        <v>1456</v>
      </c>
      <c r="B245" s="25" t="s">
        <v>987</v>
      </c>
      <c r="C245" s="26">
        <v>46078.0</v>
      </c>
      <c r="D245" s="25" t="s">
        <v>988</v>
      </c>
      <c r="E245" s="25" t="s">
        <v>90</v>
      </c>
      <c r="F245" s="29">
        <v>72.0</v>
      </c>
      <c r="G245" s="30">
        <v>542.16</v>
      </c>
      <c r="H245" s="25" t="s">
        <v>1214</v>
      </c>
      <c r="I245" s="30">
        <f>F245-IFERROR(VLOOKUP(B245,crm_orders!$A:$S,10,FALSE),0)</f>
        <v>0</v>
      </c>
      <c r="J245" s="30">
        <f>G245-IFERROR(VLOOKUP(B245,crm_orders!$A:$S,12,FALSE),0)</f>
        <v>0</v>
      </c>
      <c r="K245" s="25" t="str">
        <f>IF(COUNTIF(crm_orders!$A:$A,B245)=0,"Orphan","OK")</f>
        <v>OK</v>
      </c>
    </row>
    <row r="246" ht="15.75" customHeight="1">
      <c r="A246" s="17" t="s">
        <v>1457</v>
      </c>
      <c r="B246" s="17" t="s">
        <v>989</v>
      </c>
      <c r="C246" s="18">
        <v>46123.0</v>
      </c>
      <c r="D246" s="17" t="s">
        <v>980</v>
      </c>
      <c r="E246" s="17" t="s">
        <v>78</v>
      </c>
      <c r="F246" s="21">
        <v>0.0</v>
      </c>
      <c r="G246" s="22">
        <v>0.0</v>
      </c>
      <c r="H246" s="17" t="s">
        <v>93</v>
      </c>
      <c r="I246" s="22">
        <f>F246-IFERROR(VLOOKUP(B246,crm_orders!$A:$S,10,FALSE),0)</f>
        <v>-6</v>
      </c>
      <c r="J246" s="22">
        <f>G246-IFERROR(VLOOKUP(B246,crm_orders!$A:$S,12,FALSE),0)</f>
        <v>-62.4</v>
      </c>
      <c r="K246" s="17" t="str">
        <f>IF(COUNTIF(crm_orders!$A:$A,B246)=0,"Orphan","OK")</f>
        <v>OK</v>
      </c>
    </row>
    <row r="247" ht="15.75" customHeight="1">
      <c r="A247" s="25" t="s">
        <v>1458</v>
      </c>
      <c r="B247" s="25" t="s">
        <v>481</v>
      </c>
      <c r="C247" s="26">
        <v>46085.0</v>
      </c>
      <c r="D247" s="25" t="s">
        <v>457</v>
      </c>
      <c r="E247" s="25" t="s">
        <v>90</v>
      </c>
      <c r="F247" s="29">
        <v>72.0</v>
      </c>
      <c r="G247" s="30">
        <v>524.88</v>
      </c>
      <c r="H247" s="25" t="s">
        <v>1214</v>
      </c>
      <c r="I247" s="30">
        <f>F247-IFERROR(VLOOKUP(B247,crm_orders!$A:$S,10,FALSE),0)</f>
        <v>0</v>
      </c>
      <c r="J247" s="30">
        <f>G247-IFERROR(VLOOKUP(B247,crm_orders!$A:$S,12,FALSE),0)</f>
        <v>0</v>
      </c>
      <c r="K247" s="25" t="str">
        <f>IF(COUNTIF(crm_orders!$A:$A,B247)=0,"Orphan","OK")</f>
        <v>OK</v>
      </c>
    </row>
    <row r="248" ht="15.75" customHeight="1">
      <c r="A248" s="17" t="s">
        <v>1459</v>
      </c>
      <c r="B248" s="17" t="s">
        <v>335</v>
      </c>
      <c r="C248" s="18">
        <v>46118.0</v>
      </c>
      <c r="D248" s="17" t="s">
        <v>314</v>
      </c>
      <c r="E248" s="17" t="s">
        <v>64</v>
      </c>
      <c r="F248" s="21">
        <v>12.0</v>
      </c>
      <c r="G248" s="22">
        <v>87.96</v>
      </c>
      <c r="H248" s="17" t="s">
        <v>1214</v>
      </c>
      <c r="I248" s="22">
        <f>F248-IFERROR(VLOOKUP(B248,crm_orders!$A:$S,10,FALSE),0)</f>
        <v>0</v>
      </c>
      <c r="J248" s="22">
        <f>G248-IFERROR(VLOOKUP(B248,crm_orders!$A:$S,12,FALSE),0)</f>
        <v>0</v>
      </c>
      <c r="K248" s="17" t="str">
        <f>IF(COUNTIF(crm_orders!$A:$A,B248)=0,"Orphan","OK")</f>
        <v>OK</v>
      </c>
    </row>
    <row r="249" ht="15.75" customHeight="1">
      <c r="A249" s="25" t="s">
        <v>1460</v>
      </c>
      <c r="B249" s="25" t="s">
        <v>990</v>
      </c>
      <c r="C249" s="26">
        <v>46049.0</v>
      </c>
      <c r="D249" s="25" t="s">
        <v>950</v>
      </c>
      <c r="E249" s="25" t="s">
        <v>85</v>
      </c>
      <c r="F249" s="29">
        <v>6.0</v>
      </c>
      <c r="G249" s="30">
        <v>62.16</v>
      </c>
      <c r="H249" s="25" t="s">
        <v>1214</v>
      </c>
      <c r="I249" s="30">
        <f>F249-IFERROR(VLOOKUP(B249,crm_orders!$A:$S,10,FALSE),0)</f>
        <v>0</v>
      </c>
      <c r="J249" s="30">
        <f>G249-IFERROR(VLOOKUP(B249,crm_orders!$A:$S,12,FALSE),0)</f>
        <v>0</v>
      </c>
      <c r="K249" s="25" t="str">
        <f>IF(COUNTIF(crm_orders!$A:$A,B249)=0,"Orphan","OK")</f>
        <v>OK</v>
      </c>
    </row>
    <row r="250" ht="15.75" customHeight="1">
      <c r="A250" s="17" t="s">
        <v>1461</v>
      </c>
      <c r="B250" s="17" t="s">
        <v>482</v>
      </c>
      <c r="C250" s="18">
        <v>46065.0</v>
      </c>
      <c r="D250" s="17" t="s">
        <v>454</v>
      </c>
      <c r="E250" s="17" t="s">
        <v>92</v>
      </c>
      <c r="F250" s="21">
        <v>12.0</v>
      </c>
      <c r="G250" s="22">
        <v>127.8</v>
      </c>
      <c r="H250" s="17" t="s">
        <v>1214</v>
      </c>
      <c r="I250" s="22">
        <f>F250-IFERROR(VLOOKUP(B250,crm_orders!$A:$S,10,FALSE),0)</f>
        <v>0</v>
      </c>
      <c r="J250" s="22">
        <f>G250-IFERROR(VLOOKUP(B250,crm_orders!$A:$S,12,FALSE),0)</f>
        <v>0</v>
      </c>
      <c r="K250" s="17" t="str">
        <f>IF(COUNTIF(crm_orders!$A:$A,B250)=0,"Orphan","OK")</f>
        <v>OK</v>
      </c>
    </row>
    <row r="251" ht="15.75" customHeight="1">
      <c r="A251" s="25" t="s">
        <v>1462</v>
      </c>
      <c r="B251" s="25" t="s">
        <v>483</v>
      </c>
      <c r="C251" s="26">
        <v>46033.0</v>
      </c>
      <c r="D251" s="25" t="s">
        <v>466</v>
      </c>
      <c r="E251" s="25" t="s">
        <v>106</v>
      </c>
      <c r="F251" s="29">
        <v>36.0</v>
      </c>
      <c r="G251" s="30">
        <v>415.44</v>
      </c>
      <c r="H251" s="25" t="s">
        <v>93</v>
      </c>
      <c r="I251" s="30">
        <f>F251-IFERROR(VLOOKUP(B251,crm_orders!$A:$S,10,FALSE),0)</f>
        <v>-24</v>
      </c>
      <c r="J251" s="30">
        <f>G251-IFERROR(VLOOKUP(B251,crm_orders!$A:$S,12,FALSE),0)</f>
        <v>-276.96</v>
      </c>
      <c r="K251" s="25" t="str">
        <f>IF(COUNTIF(crm_orders!$A:$A,B251)=0,"Orphan","OK")</f>
        <v>OK</v>
      </c>
    </row>
    <row r="252" ht="15.75" customHeight="1">
      <c r="A252" s="17" t="s">
        <v>1463</v>
      </c>
      <c r="B252" s="17" t="s">
        <v>592</v>
      </c>
      <c r="C252" s="18">
        <v>46096.0</v>
      </c>
      <c r="D252" s="17" t="s">
        <v>593</v>
      </c>
      <c r="E252" s="17" t="s">
        <v>102</v>
      </c>
      <c r="F252" s="21">
        <v>30.0</v>
      </c>
      <c r="G252" s="22">
        <v>345.9</v>
      </c>
      <c r="H252" s="17" t="s">
        <v>1214</v>
      </c>
      <c r="I252" s="22">
        <f>F252-IFERROR(VLOOKUP(B252,crm_orders!$A:$S,10,FALSE),0)</f>
        <v>0</v>
      </c>
      <c r="J252" s="22">
        <f>G252-IFERROR(VLOOKUP(B252,crm_orders!$A:$S,12,FALSE),0)</f>
        <v>0</v>
      </c>
      <c r="K252" s="17" t="str">
        <f>IF(COUNTIF(crm_orders!$A:$A,B252)=0,"Orphan","OK")</f>
        <v>OK</v>
      </c>
    </row>
    <row r="253" ht="15.75" customHeight="1">
      <c r="A253" s="25" t="s">
        <v>1464</v>
      </c>
      <c r="B253" s="25" t="s">
        <v>103</v>
      </c>
      <c r="C253" s="26">
        <v>46131.0</v>
      </c>
      <c r="D253" s="25" t="s">
        <v>104</v>
      </c>
      <c r="E253" s="25" t="s">
        <v>81</v>
      </c>
      <c r="F253" s="29">
        <v>24.0</v>
      </c>
      <c r="G253" s="30">
        <v>161.76</v>
      </c>
      <c r="H253" s="25" t="s">
        <v>1214</v>
      </c>
      <c r="I253" s="30">
        <f>F253-IFERROR(VLOOKUP(B253,crm_orders!$A:$S,10,FALSE),0)</f>
        <v>0</v>
      </c>
      <c r="J253" s="30">
        <f>G253-IFERROR(VLOOKUP(B253,crm_orders!$A:$S,12,FALSE),0)</f>
        <v>0</v>
      </c>
      <c r="K253" s="25" t="str">
        <f>IF(COUNTIF(crm_orders!$A:$A,B253)=0,"Orphan","OK")</f>
        <v>OK</v>
      </c>
    </row>
    <row r="254" ht="15.75" customHeight="1">
      <c r="A254" s="17" t="s">
        <v>1465</v>
      </c>
      <c r="B254" s="17" t="s">
        <v>758</v>
      </c>
      <c r="C254" s="18">
        <v>46091.0</v>
      </c>
      <c r="D254" s="17" t="s">
        <v>741</v>
      </c>
      <c r="E254" s="17" t="s">
        <v>108</v>
      </c>
      <c r="F254" s="21">
        <v>6.0</v>
      </c>
      <c r="G254" s="22">
        <v>70.62</v>
      </c>
      <c r="H254" s="17" t="s">
        <v>1214</v>
      </c>
      <c r="I254" s="22">
        <f>F254-IFERROR(VLOOKUP(B254,crm_orders!$A:$S,10,FALSE),0)</f>
        <v>0</v>
      </c>
      <c r="J254" s="22">
        <f>G254-IFERROR(VLOOKUP(B254,crm_orders!$A:$S,12,FALSE),0)</f>
        <v>0</v>
      </c>
      <c r="K254" s="17" t="str">
        <f>IF(COUNTIF(crm_orders!$A:$A,B254)=0,"Orphan","OK")</f>
        <v>OK</v>
      </c>
    </row>
    <row r="255" ht="15.75" customHeight="1">
      <c r="A255" s="25" t="s">
        <v>1466</v>
      </c>
      <c r="B255" s="25" t="s">
        <v>1097</v>
      </c>
      <c r="C255" s="26">
        <v>46125.0</v>
      </c>
      <c r="D255" s="25" t="s">
        <v>1077</v>
      </c>
      <c r="E255" s="25" t="s">
        <v>108</v>
      </c>
      <c r="F255" s="29">
        <v>12.0</v>
      </c>
      <c r="G255" s="30">
        <v>127.92</v>
      </c>
      <c r="H255" s="25" t="s">
        <v>93</v>
      </c>
      <c r="I255" s="30">
        <f>F255-IFERROR(VLOOKUP(B255,crm_orders!$A:$S,10,FALSE),0)</f>
        <v>-24</v>
      </c>
      <c r="J255" s="30">
        <f>G255-IFERROR(VLOOKUP(B255,crm_orders!$A:$S,12,FALSE),0)</f>
        <v>-255.84</v>
      </c>
      <c r="K255" s="25" t="str">
        <f>IF(COUNTIF(crm_orders!$A:$A,B255)=0,"Orphan","OK")</f>
        <v>OK</v>
      </c>
    </row>
    <row r="256" ht="15.75" customHeight="1">
      <c r="A256" s="17" t="s">
        <v>1467</v>
      </c>
      <c r="B256" s="17" t="s">
        <v>484</v>
      </c>
      <c r="C256" s="18">
        <v>46108.0</v>
      </c>
      <c r="D256" s="17" t="s">
        <v>457</v>
      </c>
      <c r="E256" s="17" t="s">
        <v>64</v>
      </c>
      <c r="F256" s="21">
        <v>0.0</v>
      </c>
      <c r="G256" s="22">
        <v>0.0</v>
      </c>
      <c r="H256" s="17" t="s">
        <v>93</v>
      </c>
      <c r="I256" s="22">
        <f>F256-IFERROR(VLOOKUP(B256,crm_orders!$A:$S,10,FALSE),0)</f>
        <v>-6</v>
      </c>
      <c r="J256" s="22">
        <f>G256-IFERROR(VLOOKUP(B256,crm_orders!$A:$S,12,FALSE),0)</f>
        <v>-45.9</v>
      </c>
      <c r="K256" s="17" t="str">
        <f>IF(COUNTIF(crm_orders!$A:$A,B256)=0,"Orphan","OK")</f>
        <v>OK</v>
      </c>
    </row>
    <row r="257" ht="15.75" customHeight="1">
      <c r="A257" s="25" t="s">
        <v>1468</v>
      </c>
      <c r="B257" s="25" t="s">
        <v>886</v>
      </c>
      <c r="C257" s="26">
        <v>46068.0</v>
      </c>
      <c r="D257" s="25" t="s">
        <v>859</v>
      </c>
      <c r="E257" s="25" t="s">
        <v>92</v>
      </c>
      <c r="F257" s="29">
        <v>60.0</v>
      </c>
      <c r="G257" s="30">
        <v>601.2</v>
      </c>
      <c r="H257" s="25" t="s">
        <v>1214</v>
      </c>
      <c r="I257" s="30">
        <f>F257-IFERROR(VLOOKUP(B257,crm_orders!$A:$S,10,FALSE),0)</f>
        <v>0</v>
      </c>
      <c r="J257" s="30">
        <f>G257-IFERROR(VLOOKUP(B257,crm_orders!$A:$S,12,FALSE),0)</f>
        <v>0</v>
      </c>
      <c r="K257" s="25" t="str">
        <f>IF(COUNTIF(crm_orders!$A:$A,B257)=0,"Orphan","OK")</f>
        <v>OK</v>
      </c>
    </row>
    <row r="258" ht="15.75" customHeight="1">
      <c r="A258" s="17" t="s">
        <v>1469</v>
      </c>
      <c r="B258" s="17" t="s">
        <v>485</v>
      </c>
      <c r="C258" s="18">
        <v>46073.0</v>
      </c>
      <c r="D258" s="17" t="s">
        <v>469</v>
      </c>
      <c r="E258" s="17" t="s">
        <v>74</v>
      </c>
      <c r="F258" s="21">
        <v>48.0</v>
      </c>
      <c r="G258" s="22">
        <v>510.24</v>
      </c>
      <c r="H258" s="17" t="s">
        <v>1214</v>
      </c>
      <c r="I258" s="22">
        <f>F258-IFERROR(VLOOKUP(B258,crm_orders!$A:$S,10,FALSE),0)</f>
        <v>0</v>
      </c>
      <c r="J258" s="22">
        <f>G258-IFERROR(VLOOKUP(B258,crm_orders!$A:$S,12,FALSE),0)</f>
        <v>0</v>
      </c>
      <c r="K258" s="17" t="str">
        <f>IF(COUNTIF(crm_orders!$A:$A,B258)=0,"Orphan","OK")</f>
        <v>OK</v>
      </c>
    </row>
    <row r="259" ht="15.75" customHeight="1">
      <c r="A259" s="25" t="s">
        <v>1470</v>
      </c>
      <c r="B259" s="25" t="s">
        <v>1098</v>
      </c>
      <c r="C259" s="26">
        <v>46047.0</v>
      </c>
      <c r="D259" s="25" t="s">
        <v>1083</v>
      </c>
      <c r="E259" s="25" t="s">
        <v>110</v>
      </c>
      <c r="F259" s="29">
        <v>132.0</v>
      </c>
      <c r="G259" s="30">
        <v>1395.24</v>
      </c>
      <c r="H259" s="25" t="s">
        <v>1212</v>
      </c>
      <c r="I259" s="30">
        <f>F259-IFERROR(VLOOKUP(B259,crm_orders!$A:$S,10,FALSE),0)</f>
        <v>12</v>
      </c>
      <c r="J259" s="30">
        <f>G259-IFERROR(VLOOKUP(B259,crm_orders!$A:$S,12,FALSE),0)</f>
        <v>126.84</v>
      </c>
      <c r="K259" s="25" t="str">
        <f>IF(COUNTIF(crm_orders!$A:$A,B259)=0,"Orphan","OK")</f>
        <v>OK</v>
      </c>
    </row>
    <row r="260" ht="15.75" customHeight="1">
      <c r="A260" s="17" t="s">
        <v>1471</v>
      </c>
      <c r="B260" s="17" t="s">
        <v>203</v>
      </c>
      <c r="C260" s="18">
        <v>46077.0</v>
      </c>
      <c r="D260" s="17" t="s">
        <v>189</v>
      </c>
      <c r="E260" s="17" t="s">
        <v>123</v>
      </c>
      <c r="F260" s="21">
        <v>48.0</v>
      </c>
      <c r="G260" s="22">
        <v>508.1</v>
      </c>
      <c r="H260" s="17" t="s">
        <v>1212</v>
      </c>
      <c r="I260" s="22">
        <f>F260-IFERROR(VLOOKUP(B260,crm_orders!$A:$S,10,FALSE),0)</f>
        <v>0</v>
      </c>
      <c r="J260" s="22">
        <f>G260-IFERROR(VLOOKUP(B260,crm_orders!$A:$S,12,FALSE),0)</f>
        <v>-9.34</v>
      </c>
      <c r="K260" s="17" t="str">
        <f>IF(COUNTIF(crm_orders!$A:$A,B260)=0,"Orphan","OK")</f>
        <v>OK</v>
      </c>
    </row>
    <row r="261" ht="15.75" customHeight="1">
      <c r="A261" s="25" t="s">
        <v>1472</v>
      </c>
      <c r="B261" s="25" t="s">
        <v>486</v>
      </c>
      <c r="C261" s="26">
        <v>46123.0</v>
      </c>
      <c r="D261" s="25" t="s">
        <v>469</v>
      </c>
      <c r="E261" s="25" t="s">
        <v>81</v>
      </c>
      <c r="F261" s="29">
        <v>72.0</v>
      </c>
      <c r="G261" s="30">
        <v>496.08</v>
      </c>
      <c r="H261" s="25" t="s">
        <v>1214</v>
      </c>
      <c r="I261" s="30">
        <f>F261-IFERROR(VLOOKUP(B261,crm_orders!$A:$S,10,FALSE),0)</f>
        <v>0</v>
      </c>
      <c r="J261" s="30">
        <f>G261-IFERROR(VLOOKUP(B261,crm_orders!$A:$S,12,FALSE),0)</f>
        <v>0</v>
      </c>
      <c r="K261" s="25" t="str">
        <f>IF(COUNTIF(crm_orders!$A:$A,B261)=0,"Orphan","OK")</f>
        <v>OK</v>
      </c>
    </row>
    <row r="262" ht="15.75" customHeight="1">
      <c r="A262" s="17" t="s">
        <v>1473</v>
      </c>
      <c r="B262" s="17" t="s">
        <v>759</v>
      </c>
      <c r="C262" s="18">
        <v>46049.0</v>
      </c>
      <c r="D262" s="17" t="s">
        <v>704</v>
      </c>
      <c r="E262" s="17" t="s">
        <v>123</v>
      </c>
      <c r="F262" s="21">
        <v>24.0</v>
      </c>
      <c r="G262" s="22">
        <v>274.8</v>
      </c>
      <c r="H262" s="17" t="s">
        <v>1214</v>
      </c>
      <c r="I262" s="22">
        <f>F262-IFERROR(VLOOKUP(B262,crm_orders!$A:$S,10,FALSE),0)</f>
        <v>0</v>
      </c>
      <c r="J262" s="22">
        <f>G262-IFERROR(VLOOKUP(B262,crm_orders!$A:$S,12,FALSE),0)</f>
        <v>0</v>
      </c>
      <c r="K262" s="17" t="str">
        <f>IF(COUNTIF(crm_orders!$A:$A,B262)=0,"Orphan","OK")</f>
        <v>OK</v>
      </c>
    </row>
    <row r="263" ht="15.75" customHeight="1">
      <c r="A263" s="25" t="s">
        <v>1474</v>
      </c>
      <c r="B263" s="25" t="s">
        <v>760</v>
      </c>
      <c r="C263" s="26">
        <v>46026.0</v>
      </c>
      <c r="D263" s="25" t="s">
        <v>708</v>
      </c>
      <c r="E263" s="25" t="s">
        <v>110</v>
      </c>
      <c r="F263" s="29">
        <v>12.0</v>
      </c>
      <c r="G263" s="30">
        <v>124.08</v>
      </c>
      <c r="H263" s="25" t="s">
        <v>1214</v>
      </c>
      <c r="I263" s="30">
        <f>F263-IFERROR(VLOOKUP(B263,crm_orders!$A:$S,10,FALSE),0)</f>
        <v>0</v>
      </c>
      <c r="J263" s="30">
        <f>G263-IFERROR(VLOOKUP(B263,crm_orders!$A:$S,12,FALSE),0)</f>
        <v>0</v>
      </c>
      <c r="K263" s="25" t="str">
        <f>IF(COUNTIF(crm_orders!$A:$A,B263)=0,"Orphan","OK")</f>
        <v>OK</v>
      </c>
    </row>
    <row r="264" ht="15.75" customHeight="1">
      <c r="A264" s="17" t="s">
        <v>1475</v>
      </c>
      <c r="B264" s="17" t="s">
        <v>336</v>
      </c>
      <c r="C264" s="18">
        <v>46042.0</v>
      </c>
      <c r="D264" s="17" t="s">
        <v>326</v>
      </c>
      <c r="E264" s="17" t="s">
        <v>78</v>
      </c>
      <c r="F264" s="21">
        <v>60.0</v>
      </c>
      <c r="G264" s="22">
        <v>586.8</v>
      </c>
      <c r="H264" s="17" t="s">
        <v>1214</v>
      </c>
      <c r="I264" s="22">
        <f>F264-IFERROR(VLOOKUP(B264,crm_orders!$A:$S,10,FALSE),0)</f>
        <v>0</v>
      </c>
      <c r="J264" s="22">
        <f>G264-IFERROR(VLOOKUP(B264,crm_orders!$A:$S,12,FALSE),0)</f>
        <v>0</v>
      </c>
      <c r="K264" s="17" t="str">
        <f>IF(COUNTIF(crm_orders!$A:$A,B264)=0,"Orphan","OK")</f>
        <v>OK</v>
      </c>
    </row>
    <row r="265" ht="15.75" customHeight="1">
      <c r="A265" s="25" t="s">
        <v>1476</v>
      </c>
      <c r="B265" s="25" t="s">
        <v>594</v>
      </c>
      <c r="C265" s="26">
        <v>46095.0</v>
      </c>
      <c r="D265" s="25" t="s">
        <v>573</v>
      </c>
      <c r="E265" s="25" t="s">
        <v>102</v>
      </c>
      <c r="F265" s="29">
        <v>48.0</v>
      </c>
      <c r="G265" s="30">
        <v>568.32</v>
      </c>
      <c r="H265" s="25" t="s">
        <v>1214</v>
      </c>
      <c r="I265" s="30">
        <f>F265-IFERROR(VLOOKUP(B265,crm_orders!$A:$S,10,FALSE),0)</f>
        <v>0</v>
      </c>
      <c r="J265" s="30">
        <f>G265-IFERROR(VLOOKUP(B265,crm_orders!$A:$S,12,FALSE),0)</f>
        <v>0</v>
      </c>
      <c r="K265" s="25" t="str">
        <f>IF(COUNTIF(crm_orders!$A:$A,B265)=0,"Orphan","OK")</f>
        <v>OK</v>
      </c>
    </row>
    <row r="266" ht="15.75" customHeight="1">
      <c r="A266" s="17" t="s">
        <v>1477</v>
      </c>
      <c r="B266" s="17" t="s">
        <v>205</v>
      </c>
      <c r="C266" s="18">
        <v>46059.0</v>
      </c>
      <c r="D266" s="17" t="s">
        <v>179</v>
      </c>
      <c r="E266" s="17" t="s">
        <v>190</v>
      </c>
      <c r="F266" s="21">
        <v>120.0</v>
      </c>
      <c r="G266" s="22">
        <v>988.8</v>
      </c>
      <c r="H266" s="17" t="s">
        <v>1214</v>
      </c>
      <c r="I266" s="22">
        <f>F266-IFERROR(VLOOKUP(B266,crm_orders!$A:$S,10,FALSE),0)</f>
        <v>0</v>
      </c>
      <c r="J266" s="22">
        <f>G266-IFERROR(VLOOKUP(B266,crm_orders!$A:$S,12,FALSE),0)</f>
        <v>0</v>
      </c>
      <c r="K266" s="17" t="str">
        <f>IF(COUNTIF(crm_orders!$A:$A,B266)=0,"Orphan","OK")</f>
        <v>OK</v>
      </c>
    </row>
    <row r="267" ht="15.75" customHeight="1">
      <c r="A267" s="25" t="s">
        <v>1478</v>
      </c>
      <c r="B267" s="25" t="s">
        <v>1144</v>
      </c>
      <c r="C267" s="26">
        <v>46081.0</v>
      </c>
      <c r="D267" s="25" t="s">
        <v>1139</v>
      </c>
      <c r="E267" s="25" t="s">
        <v>90</v>
      </c>
      <c r="F267" s="29">
        <v>96.0</v>
      </c>
      <c r="G267" s="30">
        <v>720.0</v>
      </c>
      <c r="H267" s="25" t="s">
        <v>1214</v>
      </c>
      <c r="I267" s="30">
        <f>F267-IFERROR(VLOOKUP(B267,crm_orders!$A:$S,10,FALSE),0)</f>
        <v>0</v>
      </c>
      <c r="J267" s="30">
        <f>G267-IFERROR(VLOOKUP(B267,crm_orders!$A:$S,12,FALSE),0)</f>
        <v>0</v>
      </c>
      <c r="K267" s="25" t="str">
        <f>IF(COUNTIF(crm_orders!$A:$A,B267)=0,"Orphan","OK")</f>
        <v>OK</v>
      </c>
    </row>
    <row r="268" ht="15.75" customHeight="1">
      <c r="A268" s="17" t="s">
        <v>1479</v>
      </c>
      <c r="B268" s="17" t="s">
        <v>992</v>
      </c>
      <c r="C268" s="18">
        <v>46141.0</v>
      </c>
      <c r="D268" s="17" t="s">
        <v>980</v>
      </c>
      <c r="E268" s="17" t="s">
        <v>81</v>
      </c>
      <c r="F268" s="21">
        <v>6.0</v>
      </c>
      <c r="G268" s="22">
        <v>45.78</v>
      </c>
      <c r="H268" s="17" t="s">
        <v>1214</v>
      </c>
      <c r="I268" s="22">
        <f>F268-IFERROR(VLOOKUP(B268,crm_orders!$A:$S,10,FALSE),0)</f>
        <v>0</v>
      </c>
      <c r="J268" s="22">
        <f>G268-IFERROR(VLOOKUP(B268,crm_orders!$A:$S,12,FALSE),0)</f>
        <v>0</v>
      </c>
      <c r="K268" s="17" t="str">
        <f>IF(COUNTIF(crm_orders!$A:$A,B268)=0,"Orphan","OK")</f>
        <v>OK</v>
      </c>
    </row>
    <row r="269" ht="15.75" customHeight="1">
      <c r="A269" s="25" t="s">
        <v>1480</v>
      </c>
      <c r="B269" s="25" t="s">
        <v>761</v>
      </c>
      <c r="C269" s="26">
        <v>46057.0</v>
      </c>
      <c r="D269" s="25" t="s">
        <v>717</v>
      </c>
      <c r="E269" s="25" t="s">
        <v>154</v>
      </c>
      <c r="F269" s="29">
        <v>24.0</v>
      </c>
      <c r="G269" s="30">
        <v>270.05</v>
      </c>
      <c r="H269" s="25" t="s">
        <v>1212</v>
      </c>
      <c r="I269" s="30">
        <f>F269-IFERROR(VLOOKUP(B269,crm_orders!$A:$S,10,FALSE),0)</f>
        <v>0</v>
      </c>
      <c r="J269" s="30">
        <f>G269-IFERROR(VLOOKUP(B269,crm_orders!$A:$S,12,FALSE),0)</f>
        <v>7.25</v>
      </c>
      <c r="K269" s="25" t="str">
        <f>IF(COUNTIF(crm_orders!$A:$A,B269)=0,"Orphan","OK")</f>
        <v>OK</v>
      </c>
    </row>
    <row r="270" ht="15.75" customHeight="1">
      <c r="A270" s="17" t="s">
        <v>1481</v>
      </c>
      <c r="B270" s="17" t="s">
        <v>993</v>
      </c>
      <c r="C270" s="18">
        <v>46050.0</v>
      </c>
      <c r="D270" s="17" t="s">
        <v>953</v>
      </c>
      <c r="E270" s="17" t="s">
        <v>64</v>
      </c>
      <c r="F270" s="21">
        <v>96.0</v>
      </c>
      <c r="G270" s="22">
        <v>810.24</v>
      </c>
      <c r="H270" s="17" t="s">
        <v>1214</v>
      </c>
      <c r="I270" s="22">
        <f>F270-IFERROR(VLOOKUP(B270,crm_orders!$A:$S,10,FALSE),0)</f>
        <v>0</v>
      </c>
      <c r="J270" s="22">
        <f>G270-IFERROR(VLOOKUP(B270,crm_orders!$A:$S,12,FALSE),0)</f>
        <v>0</v>
      </c>
      <c r="K270" s="17" t="str">
        <f>IF(COUNTIF(crm_orders!$A:$A,B270)=0,"Orphan","OK")</f>
        <v>OK</v>
      </c>
    </row>
    <row r="271" ht="15.75" customHeight="1">
      <c r="A271" s="25" t="s">
        <v>1482</v>
      </c>
      <c r="B271" s="25" t="s">
        <v>337</v>
      </c>
      <c r="C271" s="26">
        <v>46123.0</v>
      </c>
      <c r="D271" s="25" t="s">
        <v>305</v>
      </c>
      <c r="E271" s="25" t="s">
        <v>92</v>
      </c>
      <c r="F271" s="29">
        <v>6.0</v>
      </c>
      <c r="G271" s="30">
        <v>68.28</v>
      </c>
      <c r="H271" s="25" t="s">
        <v>93</v>
      </c>
      <c r="I271" s="30">
        <f>F271-IFERROR(VLOOKUP(B271,crm_orders!$A:$S,10,FALSE),0)</f>
        <v>-12</v>
      </c>
      <c r="J271" s="30">
        <f>G271-IFERROR(VLOOKUP(B271,crm_orders!$A:$S,12,FALSE),0)</f>
        <v>-136.56</v>
      </c>
      <c r="K271" s="25" t="str">
        <f>IF(COUNTIF(crm_orders!$A:$A,B271)=0,"Orphan","OK")</f>
        <v>OK</v>
      </c>
    </row>
    <row r="272" ht="15.75" customHeight="1">
      <c r="A272" s="17" t="s">
        <v>1483</v>
      </c>
      <c r="B272" s="17" t="s">
        <v>596</v>
      </c>
      <c r="C272" s="18">
        <v>46138.0</v>
      </c>
      <c r="D272" s="17" t="s">
        <v>566</v>
      </c>
      <c r="E272" s="17" t="s">
        <v>78</v>
      </c>
      <c r="F272" s="21">
        <v>48.0</v>
      </c>
      <c r="G272" s="22">
        <v>553.44</v>
      </c>
      <c r="H272" s="17" t="s">
        <v>93</v>
      </c>
      <c r="I272" s="22">
        <f>F272-IFERROR(VLOOKUP(B272,crm_orders!$A:$S,10,FALSE),0)</f>
        <v>-24</v>
      </c>
      <c r="J272" s="22">
        <f>G272-IFERROR(VLOOKUP(B272,crm_orders!$A:$S,12,FALSE),0)</f>
        <v>-276.72</v>
      </c>
      <c r="K272" s="17" t="str">
        <f>IF(COUNTIF(crm_orders!$A:$A,B272)=0,"Orphan","OK")</f>
        <v>OK</v>
      </c>
    </row>
    <row r="273" ht="15.75" customHeight="1">
      <c r="A273" s="25" t="s">
        <v>1484</v>
      </c>
      <c r="B273" s="25" t="s">
        <v>887</v>
      </c>
      <c r="C273" s="26">
        <v>46056.0</v>
      </c>
      <c r="D273" s="25" t="s">
        <v>853</v>
      </c>
      <c r="E273" s="25" t="s">
        <v>85</v>
      </c>
      <c r="F273" s="29">
        <v>48.0</v>
      </c>
      <c r="G273" s="30">
        <v>520.8</v>
      </c>
      <c r="H273" s="25" t="s">
        <v>1214</v>
      </c>
      <c r="I273" s="30">
        <f>F273-IFERROR(VLOOKUP(B273,crm_orders!$A:$S,10,FALSE),0)</f>
        <v>0</v>
      </c>
      <c r="J273" s="30">
        <f>G273-IFERROR(VLOOKUP(B273,crm_orders!$A:$S,12,FALSE),0)</f>
        <v>0</v>
      </c>
      <c r="K273" s="25" t="str">
        <f>IF(COUNTIF(crm_orders!$A:$A,B273)=0,"Orphan","OK")</f>
        <v>OK</v>
      </c>
    </row>
    <row r="274" ht="15.75" customHeight="1">
      <c r="A274" s="17" t="s">
        <v>1485</v>
      </c>
      <c r="B274" s="17" t="s">
        <v>208</v>
      </c>
      <c r="C274" s="18">
        <v>46128.0</v>
      </c>
      <c r="D274" s="17" t="s">
        <v>179</v>
      </c>
      <c r="E274" s="17" t="s">
        <v>71</v>
      </c>
      <c r="F274" s="21">
        <v>36.0</v>
      </c>
      <c r="G274" s="22">
        <v>272.59</v>
      </c>
      <c r="H274" s="17" t="s">
        <v>1212</v>
      </c>
      <c r="I274" s="22">
        <f>F274-IFERROR(VLOOKUP(B274,crm_orders!$A:$S,10,FALSE),0)</f>
        <v>0</v>
      </c>
      <c r="J274" s="22">
        <f>G274-IFERROR(VLOOKUP(B274,crm_orders!$A:$S,12,FALSE),0)</f>
        <v>9.07</v>
      </c>
      <c r="K274" s="17" t="str">
        <f>IF(COUNTIF(crm_orders!$A:$A,B274)=0,"Orphan","OK")</f>
        <v>OK</v>
      </c>
    </row>
    <row r="275" ht="15.75" customHeight="1">
      <c r="A275" s="25" t="s">
        <v>1486</v>
      </c>
      <c r="B275" s="25" t="s">
        <v>1145</v>
      </c>
      <c r="C275" s="26">
        <v>46113.0</v>
      </c>
      <c r="D275" s="25" t="s">
        <v>1129</v>
      </c>
      <c r="E275" s="25" t="s">
        <v>156</v>
      </c>
      <c r="F275" s="29">
        <v>84.0</v>
      </c>
      <c r="G275" s="30">
        <v>821.52</v>
      </c>
      <c r="H275" s="25" t="s">
        <v>93</v>
      </c>
      <c r="I275" s="30">
        <f>F275-IFERROR(VLOOKUP(B275,crm_orders!$A:$S,10,FALSE),0)</f>
        <v>-12</v>
      </c>
      <c r="J275" s="30">
        <f>G275-IFERROR(VLOOKUP(B275,crm_orders!$A:$S,12,FALSE),0)</f>
        <v>-117.36</v>
      </c>
      <c r="K275" s="25" t="str">
        <f>IF(COUNTIF(crm_orders!$A:$A,B275)=0,"Orphan","OK")</f>
        <v>OK</v>
      </c>
    </row>
    <row r="276" ht="15.75" customHeight="1">
      <c r="A276" s="17" t="s">
        <v>1487</v>
      </c>
      <c r="B276" s="17" t="s">
        <v>597</v>
      </c>
      <c r="C276" s="18">
        <v>46060.0</v>
      </c>
      <c r="D276" s="17" t="s">
        <v>588</v>
      </c>
      <c r="E276" s="17" t="s">
        <v>71</v>
      </c>
      <c r="F276" s="21">
        <v>120.0</v>
      </c>
      <c r="G276" s="22">
        <v>942.0</v>
      </c>
      <c r="H276" s="17" t="s">
        <v>1214</v>
      </c>
      <c r="I276" s="22">
        <f>F276-IFERROR(VLOOKUP(B276,crm_orders!$A:$S,10,FALSE),0)</f>
        <v>0</v>
      </c>
      <c r="J276" s="22">
        <f>G276-IFERROR(VLOOKUP(B276,crm_orders!$A:$S,12,FALSE),0)</f>
        <v>0</v>
      </c>
      <c r="K276" s="17" t="str">
        <f>IF(COUNTIF(crm_orders!$A:$A,B276)=0,"Orphan","OK")</f>
        <v>OK</v>
      </c>
    </row>
    <row r="277" ht="15.75" customHeight="1">
      <c r="A277" s="25" t="s">
        <v>1488</v>
      </c>
      <c r="B277" s="25" t="s">
        <v>487</v>
      </c>
      <c r="C277" s="26">
        <v>46138.0</v>
      </c>
      <c r="D277" s="25" t="s">
        <v>459</v>
      </c>
      <c r="E277" s="25" t="s">
        <v>110</v>
      </c>
      <c r="F277" s="29">
        <v>108.0</v>
      </c>
      <c r="G277" s="30">
        <v>1221.48</v>
      </c>
      <c r="H277" s="25" t="s">
        <v>93</v>
      </c>
      <c r="I277" s="30">
        <f>F277-IFERROR(VLOOKUP(B277,crm_orders!$A:$S,10,FALSE),0)</f>
        <v>-12</v>
      </c>
      <c r="J277" s="30">
        <f>G277-IFERROR(VLOOKUP(B277,crm_orders!$A:$S,12,FALSE),0)</f>
        <v>-135.72</v>
      </c>
      <c r="K277" s="25" t="str">
        <f>IF(COUNTIF(crm_orders!$A:$A,B277)=0,"Orphan","OK")</f>
        <v>OK</v>
      </c>
    </row>
    <row r="278" ht="15.75" customHeight="1">
      <c r="A278" s="17" t="s">
        <v>1489</v>
      </c>
      <c r="B278" s="17" t="s">
        <v>995</v>
      </c>
      <c r="C278" s="18">
        <v>46036.0</v>
      </c>
      <c r="D278" s="17" t="s">
        <v>988</v>
      </c>
      <c r="E278" s="17" t="s">
        <v>74</v>
      </c>
      <c r="F278" s="21">
        <v>6.0</v>
      </c>
      <c r="G278" s="22">
        <v>66.18</v>
      </c>
      <c r="H278" s="17" t="s">
        <v>1214</v>
      </c>
      <c r="I278" s="22">
        <f>F278-IFERROR(VLOOKUP(B278,crm_orders!$A:$S,10,FALSE),0)</f>
        <v>0</v>
      </c>
      <c r="J278" s="22">
        <f>G278-IFERROR(VLOOKUP(B278,crm_orders!$A:$S,12,FALSE),0)</f>
        <v>0</v>
      </c>
      <c r="K278" s="17" t="str">
        <f>IF(COUNTIF(crm_orders!$A:$A,B278)=0,"Orphan","OK")</f>
        <v>OK</v>
      </c>
    </row>
    <row r="279" ht="15.75" customHeight="1">
      <c r="A279" s="25" t="s">
        <v>1490</v>
      </c>
      <c r="B279" s="25" t="s">
        <v>996</v>
      </c>
      <c r="C279" s="26">
        <v>46102.0</v>
      </c>
      <c r="D279" s="25" t="s">
        <v>988</v>
      </c>
      <c r="E279" s="25" t="s">
        <v>110</v>
      </c>
      <c r="F279" s="29">
        <v>12.0</v>
      </c>
      <c r="G279" s="30">
        <v>127.68</v>
      </c>
      <c r="H279" s="25" t="s">
        <v>1214</v>
      </c>
      <c r="I279" s="30">
        <f>F279-IFERROR(VLOOKUP(B279,crm_orders!$A:$S,10,FALSE),0)</f>
        <v>0</v>
      </c>
      <c r="J279" s="30">
        <f>G279-IFERROR(VLOOKUP(B279,crm_orders!$A:$S,12,FALSE),0)</f>
        <v>0</v>
      </c>
      <c r="K279" s="25" t="str">
        <f>IF(COUNTIF(crm_orders!$A:$A,B279)=0,"Orphan","OK")</f>
        <v>OK</v>
      </c>
    </row>
    <row r="280" ht="15.75" customHeight="1">
      <c r="A280" s="17" t="s">
        <v>1491</v>
      </c>
      <c r="B280" s="17" t="s">
        <v>338</v>
      </c>
      <c r="C280" s="18">
        <v>46070.0</v>
      </c>
      <c r="D280" s="17" t="s">
        <v>339</v>
      </c>
      <c r="E280" s="17" t="s">
        <v>102</v>
      </c>
      <c r="F280" s="21">
        <v>24.0</v>
      </c>
      <c r="G280" s="22">
        <v>242.64</v>
      </c>
      <c r="H280" s="17" t="s">
        <v>1214</v>
      </c>
      <c r="I280" s="22">
        <f>F280-IFERROR(VLOOKUP(B280,crm_orders!$A:$S,10,FALSE),0)</f>
        <v>0</v>
      </c>
      <c r="J280" s="22">
        <f>G280-IFERROR(VLOOKUP(B280,crm_orders!$A:$S,12,FALSE),0)</f>
        <v>0</v>
      </c>
      <c r="K280" s="17" t="str">
        <f>IF(COUNTIF(crm_orders!$A:$A,B280)=0,"Orphan","OK")</f>
        <v>OK</v>
      </c>
    </row>
    <row r="281" ht="15.75" customHeight="1">
      <c r="A281" s="25" t="s">
        <v>1492</v>
      </c>
      <c r="B281" s="25" t="s">
        <v>209</v>
      </c>
      <c r="C281" s="26">
        <v>46064.0</v>
      </c>
      <c r="D281" s="25" t="s">
        <v>170</v>
      </c>
      <c r="E281" s="25" t="s">
        <v>110</v>
      </c>
      <c r="F281" s="29">
        <v>120.0</v>
      </c>
      <c r="G281" s="30">
        <v>1353.6</v>
      </c>
      <c r="H281" s="25" t="s">
        <v>1214</v>
      </c>
      <c r="I281" s="30">
        <f>F281-IFERROR(VLOOKUP(B281,crm_orders!$A:$S,10,FALSE),0)</f>
        <v>0</v>
      </c>
      <c r="J281" s="30">
        <f>G281-IFERROR(VLOOKUP(B281,crm_orders!$A:$S,12,FALSE),0)</f>
        <v>0</v>
      </c>
      <c r="K281" s="25" t="str">
        <f>IF(COUNTIF(crm_orders!$A:$A,B281)=0,"Orphan","OK")</f>
        <v>OK</v>
      </c>
    </row>
    <row r="282" ht="15.75" customHeight="1">
      <c r="A282" s="17" t="s">
        <v>1493</v>
      </c>
      <c r="B282" s="17" t="s">
        <v>210</v>
      </c>
      <c r="C282" s="18">
        <v>46137.0</v>
      </c>
      <c r="D282" s="17" t="s">
        <v>174</v>
      </c>
      <c r="E282" s="17" t="s">
        <v>90</v>
      </c>
      <c r="F282" s="21">
        <v>12.0</v>
      </c>
      <c r="G282" s="22">
        <v>86.52</v>
      </c>
      <c r="H282" s="17" t="s">
        <v>1214</v>
      </c>
      <c r="I282" s="22">
        <f>F282-IFERROR(VLOOKUP(B282,crm_orders!$A:$S,10,FALSE),0)</f>
        <v>0</v>
      </c>
      <c r="J282" s="22">
        <f>G282-IFERROR(VLOOKUP(B282,crm_orders!$A:$S,12,FALSE),0)</f>
        <v>0</v>
      </c>
      <c r="K282" s="17" t="str">
        <f>IF(COUNTIF(crm_orders!$A:$A,B282)=0,"Orphan","OK")</f>
        <v>OK</v>
      </c>
    </row>
    <row r="283" ht="15.75" customHeight="1">
      <c r="A283" s="25" t="s">
        <v>1494</v>
      </c>
      <c r="B283" s="25" t="s">
        <v>888</v>
      </c>
      <c r="C283" s="26">
        <v>46143.0</v>
      </c>
      <c r="D283" s="25" t="s">
        <v>879</v>
      </c>
      <c r="E283" s="25" t="s">
        <v>68</v>
      </c>
      <c r="F283" s="29">
        <v>48.0</v>
      </c>
      <c r="G283" s="30">
        <v>491.04</v>
      </c>
      <c r="H283" s="25" t="s">
        <v>1214</v>
      </c>
      <c r="I283" s="30">
        <f>F283-IFERROR(VLOOKUP(B283,crm_orders!$A:$S,10,FALSE),0)</f>
        <v>0</v>
      </c>
      <c r="J283" s="30">
        <f>G283-IFERROR(VLOOKUP(B283,crm_orders!$A:$S,12,FALSE),0)</f>
        <v>0</v>
      </c>
      <c r="K283" s="25" t="str">
        <f>IF(COUNTIF(crm_orders!$A:$A,B283)=0,"Orphan","OK")</f>
        <v>OK</v>
      </c>
    </row>
    <row r="284" ht="15.75" customHeight="1">
      <c r="A284" s="17" t="s">
        <v>1495</v>
      </c>
      <c r="B284" s="17" t="s">
        <v>997</v>
      </c>
      <c r="C284" s="18">
        <v>46053.0</v>
      </c>
      <c r="D284" s="17" t="s">
        <v>953</v>
      </c>
      <c r="E284" s="17" t="s">
        <v>95</v>
      </c>
      <c r="F284" s="21">
        <v>120.0</v>
      </c>
      <c r="G284" s="22">
        <v>1158.0</v>
      </c>
      <c r="H284" s="17" t="s">
        <v>1214</v>
      </c>
      <c r="I284" s="22">
        <f>F284-IFERROR(VLOOKUP(B284,crm_orders!$A:$S,10,FALSE),0)</f>
        <v>0</v>
      </c>
      <c r="J284" s="22">
        <f>G284-IFERROR(VLOOKUP(B284,crm_orders!$A:$S,12,FALSE),0)</f>
        <v>0</v>
      </c>
      <c r="K284" s="17" t="str">
        <f>IF(COUNTIF(crm_orders!$A:$A,B284)=0,"Orphan","OK")</f>
        <v>OK</v>
      </c>
    </row>
    <row r="285" ht="15.75" customHeight="1">
      <c r="A285" s="25" t="s">
        <v>1496</v>
      </c>
      <c r="B285" s="25" t="s">
        <v>598</v>
      </c>
      <c r="C285" s="26">
        <v>46144.0</v>
      </c>
      <c r="D285" s="25" t="s">
        <v>544</v>
      </c>
      <c r="E285" s="25" t="s">
        <v>95</v>
      </c>
      <c r="F285" s="29">
        <v>48.0</v>
      </c>
      <c r="G285" s="30">
        <v>536.16</v>
      </c>
      <c r="H285" s="25" t="s">
        <v>1214</v>
      </c>
      <c r="I285" s="30">
        <f>F285-IFERROR(VLOOKUP(B285,crm_orders!$A:$S,10,FALSE),0)</f>
        <v>0</v>
      </c>
      <c r="J285" s="30">
        <f>G285-IFERROR(VLOOKUP(B285,crm_orders!$A:$S,12,FALSE),0)</f>
        <v>0</v>
      </c>
      <c r="K285" s="25" t="str">
        <f>IF(COUNTIF(crm_orders!$A:$A,B285)=0,"Orphan","OK")</f>
        <v>OK</v>
      </c>
    </row>
    <row r="286" ht="15.75" customHeight="1">
      <c r="A286" s="17" t="s">
        <v>1497</v>
      </c>
      <c r="B286" s="17" t="s">
        <v>599</v>
      </c>
      <c r="C286" s="18">
        <v>46080.0</v>
      </c>
      <c r="D286" s="17" t="s">
        <v>570</v>
      </c>
      <c r="E286" s="17" t="s">
        <v>110</v>
      </c>
      <c r="F286" s="21">
        <v>6.0</v>
      </c>
      <c r="G286" s="22">
        <v>66.0</v>
      </c>
      <c r="H286" s="17" t="s">
        <v>1214</v>
      </c>
      <c r="I286" s="22">
        <f>F286-IFERROR(VLOOKUP(B286,crm_orders!$A:$S,10,FALSE),0)</f>
        <v>0</v>
      </c>
      <c r="J286" s="22">
        <f>G286-IFERROR(VLOOKUP(B286,crm_orders!$A:$S,12,FALSE),0)</f>
        <v>0</v>
      </c>
      <c r="K286" s="17" t="str">
        <f>IF(COUNTIF(crm_orders!$A:$A,B286)=0,"Orphan","OK")</f>
        <v>OK</v>
      </c>
    </row>
    <row r="287" ht="15.75" customHeight="1">
      <c r="A287" s="25" t="s">
        <v>1498</v>
      </c>
      <c r="B287" s="25" t="s">
        <v>488</v>
      </c>
      <c r="C287" s="26">
        <v>46050.0</v>
      </c>
      <c r="D287" s="25" t="s">
        <v>469</v>
      </c>
      <c r="E287" s="25" t="s">
        <v>154</v>
      </c>
      <c r="F287" s="29">
        <v>24.0</v>
      </c>
      <c r="G287" s="30">
        <v>273.84</v>
      </c>
      <c r="H287" s="25" t="s">
        <v>1214</v>
      </c>
      <c r="I287" s="30">
        <f>F287-IFERROR(VLOOKUP(B287,crm_orders!$A:$S,10,FALSE),0)</f>
        <v>0</v>
      </c>
      <c r="J287" s="30">
        <f>G287-IFERROR(VLOOKUP(B287,crm_orders!$A:$S,12,FALSE),0)</f>
        <v>0</v>
      </c>
      <c r="K287" s="25" t="str">
        <f>IF(COUNTIF(crm_orders!$A:$A,B287)=0,"Orphan","OK")</f>
        <v>OK</v>
      </c>
    </row>
    <row r="288" ht="15.75" customHeight="1">
      <c r="A288" s="17" t="s">
        <v>1499</v>
      </c>
      <c r="B288" s="17" t="s">
        <v>600</v>
      </c>
      <c r="C288" s="18">
        <v>46066.0</v>
      </c>
      <c r="D288" s="17" t="s">
        <v>566</v>
      </c>
      <c r="E288" s="17" t="s">
        <v>71</v>
      </c>
      <c r="F288" s="21">
        <v>36.0</v>
      </c>
      <c r="G288" s="22">
        <v>302.04</v>
      </c>
      <c r="H288" s="17" t="s">
        <v>1214</v>
      </c>
      <c r="I288" s="22">
        <f>F288-IFERROR(VLOOKUP(B288,crm_orders!$A:$S,10,FALSE),0)</f>
        <v>0</v>
      </c>
      <c r="J288" s="22">
        <f>G288-IFERROR(VLOOKUP(B288,crm_orders!$A:$S,12,FALSE),0)</f>
        <v>0</v>
      </c>
      <c r="K288" s="17" t="str">
        <f>IF(COUNTIF(crm_orders!$A:$A,B288)=0,"Orphan","OK")</f>
        <v>OK</v>
      </c>
    </row>
    <row r="289" ht="15.75" customHeight="1">
      <c r="A289" s="25" t="s">
        <v>1500</v>
      </c>
      <c r="B289" s="25" t="s">
        <v>601</v>
      </c>
      <c r="C289" s="26">
        <v>46097.0</v>
      </c>
      <c r="D289" s="25" t="s">
        <v>557</v>
      </c>
      <c r="E289" s="25" t="s">
        <v>115</v>
      </c>
      <c r="F289" s="29">
        <v>54.0</v>
      </c>
      <c r="G289" s="30">
        <v>658.26</v>
      </c>
      <c r="H289" s="25" t="s">
        <v>93</v>
      </c>
      <c r="I289" s="30">
        <f>F289-IFERROR(VLOOKUP(B289,crm_orders!$A:$S,10,FALSE),0)</f>
        <v>-6</v>
      </c>
      <c r="J289" s="30">
        <f>G289-IFERROR(VLOOKUP(B289,crm_orders!$A:$S,12,FALSE),0)</f>
        <v>-73.14</v>
      </c>
      <c r="K289" s="25" t="str">
        <f>IF(COUNTIF(crm_orders!$A:$A,B289)=0,"Orphan","OK")</f>
        <v>OK</v>
      </c>
    </row>
    <row r="290" ht="15.75" customHeight="1">
      <c r="A290" s="17" t="s">
        <v>1501</v>
      </c>
      <c r="B290" s="17" t="s">
        <v>762</v>
      </c>
      <c r="C290" s="18">
        <v>46049.0</v>
      </c>
      <c r="D290" s="17" t="s">
        <v>729</v>
      </c>
      <c r="E290" s="17" t="s">
        <v>85</v>
      </c>
      <c r="F290" s="21">
        <v>96.0</v>
      </c>
      <c r="G290" s="22">
        <v>995.79</v>
      </c>
      <c r="H290" s="17" t="s">
        <v>1212</v>
      </c>
      <c r="I290" s="22">
        <f>F290-IFERROR(VLOOKUP(B290,crm_orders!$A:$S,10,FALSE),0)</f>
        <v>0</v>
      </c>
      <c r="J290" s="22">
        <f>G290-IFERROR(VLOOKUP(B290,crm_orders!$A:$S,12,FALSE),0)</f>
        <v>-5.49</v>
      </c>
      <c r="K290" s="17" t="str">
        <f>IF(COUNTIF(crm_orders!$A:$A,B290)=0,"Orphan","OK")</f>
        <v>OK</v>
      </c>
    </row>
    <row r="291" ht="15.75" customHeight="1">
      <c r="A291" s="25" t="s">
        <v>1502</v>
      </c>
      <c r="B291" s="25" t="s">
        <v>763</v>
      </c>
      <c r="C291" s="26">
        <v>46137.0</v>
      </c>
      <c r="D291" s="25" t="s">
        <v>706</v>
      </c>
      <c r="E291" s="25" t="s">
        <v>81</v>
      </c>
      <c r="F291" s="29">
        <v>36.0</v>
      </c>
      <c r="G291" s="30">
        <v>280.8</v>
      </c>
      <c r="H291" s="25" t="s">
        <v>1214</v>
      </c>
      <c r="I291" s="30">
        <f>F291-IFERROR(VLOOKUP(B291,crm_orders!$A:$S,10,FALSE),0)</f>
        <v>0</v>
      </c>
      <c r="J291" s="30">
        <f>G291-IFERROR(VLOOKUP(B291,crm_orders!$A:$S,12,FALSE),0)</f>
        <v>0</v>
      </c>
      <c r="K291" s="25" t="str">
        <f>IF(COUNTIF(crm_orders!$A:$A,B291)=0,"Orphan","OK")</f>
        <v>OK</v>
      </c>
    </row>
    <row r="292" ht="15.75" customHeight="1">
      <c r="A292" s="17" t="s">
        <v>1503</v>
      </c>
      <c r="B292" s="17" t="s">
        <v>998</v>
      </c>
      <c r="C292" s="18">
        <v>46047.0</v>
      </c>
      <c r="D292" s="17" t="s">
        <v>999</v>
      </c>
      <c r="E292" s="17" t="s">
        <v>106</v>
      </c>
      <c r="F292" s="21">
        <v>96.0</v>
      </c>
      <c r="G292" s="22">
        <v>1054.08</v>
      </c>
      <c r="H292" s="17" t="s">
        <v>1214</v>
      </c>
      <c r="I292" s="22">
        <f>F292-IFERROR(VLOOKUP(B292,crm_orders!$A:$S,10,FALSE),0)</f>
        <v>0</v>
      </c>
      <c r="J292" s="22">
        <f>G292-IFERROR(VLOOKUP(B292,crm_orders!$A:$S,12,FALSE),0)</f>
        <v>0</v>
      </c>
      <c r="K292" s="17" t="str">
        <f>IF(COUNTIF(crm_orders!$A:$A,B292)=0,"Orphan","OK")</f>
        <v>OK</v>
      </c>
    </row>
    <row r="293" ht="15.75" customHeight="1">
      <c r="A293" s="25" t="s">
        <v>1504</v>
      </c>
      <c r="B293" s="25" t="s">
        <v>889</v>
      </c>
      <c r="C293" s="26">
        <v>46143.0</v>
      </c>
      <c r="D293" s="25" t="s">
        <v>855</v>
      </c>
      <c r="E293" s="25" t="s">
        <v>115</v>
      </c>
      <c r="F293" s="29">
        <v>36.0</v>
      </c>
      <c r="G293" s="30">
        <v>366.12</v>
      </c>
      <c r="H293" s="25" t="s">
        <v>1214</v>
      </c>
      <c r="I293" s="30">
        <f>F293-IFERROR(VLOOKUP(B293,crm_orders!$A:$S,10,FALSE),0)</f>
        <v>0</v>
      </c>
      <c r="J293" s="30">
        <f>G293-IFERROR(VLOOKUP(B293,crm_orders!$A:$S,12,FALSE),0)</f>
        <v>0</v>
      </c>
      <c r="K293" s="25" t="str">
        <f>IF(COUNTIF(crm_orders!$A:$A,B293)=0,"Orphan","OK")</f>
        <v>OK</v>
      </c>
    </row>
    <row r="294" ht="15.75" customHeight="1">
      <c r="A294" s="17" t="s">
        <v>1505</v>
      </c>
      <c r="B294" s="17" t="s">
        <v>1000</v>
      </c>
      <c r="C294" s="18">
        <v>46146.0</v>
      </c>
      <c r="D294" s="17" t="s">
        <v>974</v>
      </c>
      <c r="E294" s="17" t="s">
        <v>78</v>
      </c>
      <c r="F294" s="21">
        <v>6.0</v>
      </c>
      <c r="G294" s="22">
        <v>59.76</v>
      </c>
      <c r="H294" s="17" t="s">
        <v>93</v>
      </c>
      <c r="I294" s="22">
        <f>F294-IFERROR(VLOOKUP(B294,crm_orders!$A:$S,10,FALSE),0)</f>
        <v>-18</v>
      </c>
      <c r="J294" s="22">
        <f>G294-IFERROR(VLOOKUP(B294,crm_orders!$A:$S,12,FALSE),0)</f>
        <v>-179.28</v>
      </c>
      <c r="K294" s="17" t="str">
        <f>IF(COUNTIF(crm_orders!$A:$A,B294)=0,"Orphan","OK")</f>
        <v>OK</v>
      </c>
    </row>
    <row r="295" ht="15.75" customHeight="1">
      <c r="A295" s="25" t="s">
        <v>1506</v>
      </c>
      <c r="B295" s="25" t="s">
        <v>1001</v>
      </c>
      <c r="C295" s="26">
        <v>46059.0</v>
      </c>
      <c r="D295" s="25" t="s">
        <v>968</v>
      </c>
      <c r="E295" s="25" t="s">
        <v>110</v>
      </c>
      <c r="F295" s="29">
        <v>60.0</v>
      </c>
      <c r="G295" s="30">
        <v>622.2</v>
      </c>
      <c r="H295" s="25" t="s">
        <v>1214</v>
      </c>
      <c r="I295" s="30">
        <f>F295-IFERROR(VLOOKUP(B295,crm_orders!$A:$S,10,FALSE),0)</f>
        <v>0</v>
      </c>
      <c r="J295" s="30">
        <f>G295-IFERROR(VLOOKUP(B295,crm_orders!$A:$S,12,FALSE),0)</f>
        <v>0</v>
      </c>
      <c r="K295" s="25" t="str">
        <f>IF(COUNTIF(crm_orders!$A:$A,B295)=0,"Orphan","OK")</f>
        <v>OK</v>
      </c>
    </row>
    <row r="296" ht="15.75" customHeight="1">
      <c r="A296" s="17" t="s">
        <v>1507</v>
      </c>
      <c r="B296" s="17" t="s">
        <v>602</v>
      </c>
      <c r="C296" s="18">
        <v>46034.0</v>
      </c>
      <c r="D296" s="17" t="s">
        <v>559</v>
      </c>
      <c r="E296" s="17" t="s">
        <v>154</v>
      </c>
      <c r="F296" s="21">
        <v>30.0</v>
      </c>
      <c r="G296" s="22">
        <v>336.0</v>
      </c>
      <c r="H296" s="17" t="s">
        <v>1214</v>
      </c>
      <c r="I296" s="22">
        <f>F296-IFERROR(VLOOKUP(B296,crm_orders!$A:$S,10,FALSE),0)</f>
        <v>0</v>
      </c>
      <c r="J296" s="22">
        <f>G296-IFERROR(VLOOKUP(B296,crm_orders!$A:$S,12,FALSE),0)</f>
        <v>0</v>
      </c>
      <c r="K296" s="17" t="str">
        <f>IF(COUNTIF(crm_orders!$A:$A,B296)=0,"Orphan","OK")</f>
        <v>OK</v>
      </c>
    </row>
    <row r="297" ht="15.75" customHeight="1">
      <c r="A297" s="25" t="s">
        <v>1508</v>
      </c>
      <c r="B297" s="25" t="s">
        <v>603</v>
      </c>
      <c r="C297" s="26">
        <v>46133.0</v>
      </c>
      <c r="D297" s="25" t="s">
        <v>542</v>
      </c>
      <c r="E297" s="25" t="s">
        <v>162</v>
      </c>
      <c r="F297" s="29">
        <v>6.0</v>
      </c>
      <c r="G297" s="30">
        <v>58.44</v>
      </c>
      <c r="H297" s="25" t="s">
        <v>1214</v>
      </c>
      <c r="I297" s="30">
        <f>F297-IFERROR(VLOOKUP(B297,crm_orders!$A:$S,10,FALSE),0)</f>
        <v>0</v>
      </c>
      <c r="J297" s="30">
        <f>G297-IFERROR(VLOOKUP(B297,crm_orders!$A:$S,12,FALSE),0)</f>
        <v>0</v>
      </c>
      <c r="K297" s="25" t="str">
        <f>IF(COUNTIF(crm_orders!$A:$A,B297)=0,"Orphan","OK")</f>
        <v>OK</v>
      </c>
    </row>
    <row r="298" ht="15.75" customHeight="1">
      <c r="A298" s="17" t="s">
        <v>1509</v>
      </c>
      <c r="B298" s="17" t="s">
        <v>1099</v>
      </c>
      <c r="C298" s="18">
        <v>46111.0</v>
      </c>
      <c r="D298" s="17" t="s">
        <v>1079</v>
      </c>
      <c r="E298" s="17" t="s">
        <v>106</v>
      </c>
      <c r="F298" s="21">
        <v>12.0</v>
      </c>
      <c r="G298" s="22">
        <v>133.68</v>
      </c>
      <c r="H298" s="17" t="s">
        <v>1214</v>
      </c>
      <c r="I298" s="22">
        <f>F298-IFERROR(VLOOKUP(B298,crm_orders!$A:$S,10,FALSE),0)</f>
        <v>0</v>
      </c>
      <c r="J298" s="22">
        <f>G298-IFERROR(VLOOKUP(B298,crm_orders!$A:$S,12,FALSE),0)</f>
        <v>0</v>
      </c>
      <c r="K298" s="17" t="str">
        <f>IF(COUNTIF(crm_orders!$A:$A,B298)=0,"Orphan","OK")</f>
        <v>OK</v>
      </c>
    </row>
    <row r="299" ht="15.75" customHeight="1">
      <c r="A299" s="25" t="s">
        <v>1510</v>
      </c>
      <c r="B299" s="25" t="s">
        <v>1146</v>
      </c>
      <c r="C299" s="26">
        <v>46080.0</v>
      </c>
      <c r="D299" s="25" t="s">
        <v>1136</v>
      </c>
      <c r="E299" s="25" t="s">
        <v>81</v>
      </c>
      <c r="F299" s="29">
        <v>18.0</v>
      </c>
      <c r="G299" s="30">
        <v>121.85</v>
      </c>
      <c r="H299" s="25" t="s">
        <v>1212</v>
      </c>
      <c r="I299" s="30">
        <f>F299-IFERROR(VLOOKUP(B299,crm_orders!$A:$S,10,FALSE),0)</f>
        <v>-18</v>
      </c>
      <c r="J299" s="30">
        <f>G299-IFERROR(VLOOKUP(B299,crm_orders!$A:$S,12,FALSE),0)</f>
        <v>-121.51</v>
      </c>
      <c r="K299" s="25" t="str">
        <f>IF(COUNTIF(crm_orders!$A:$A,B299)=0,"Orphan","OK")</f>
        <v>OK</v>
      </c>
    </row>
    <row r="300" ht="15.75" customHeight="1">
      <c r="A300" s="17" t="s">
        <v>1511</v>
      </c>
      <c r="B300" s="17" t="s">
        <v>1002</v>
      </c>
      <c r="C300" s="18">
        <v>46131.0</v>
      </c>
      <c r="D300" s="17" t="s">
        <v>988</v>
      </c>
      <c r="E300" s="17" t="s">
        <v>64</v>
      </c>
      <c r="F300" s="21">
        <v>24.0</v>
      </c>
      <c r="G300" s="22">
        <v>199.2</v>
      </c>
      <c r="H300" s="17" t="s">
        <v>1214</v>
      </c>
      <c r="I300" s="22">
        <f>F300-IFERROR(VLOOKUP(B300,crm_orders!$A:$S,10,FALSE),0)</f>
        <v>0</v>
      </c>
      <c r="J300" s="22">
        <f>G300-IFERROR(VLOOKUP(B300,crm_orders!$A:$S,12,FALSE),0)</f>
        <v>0</v>
      </c>
      <c r="K300" s="17" t="str">
        <f>IF(COUNTIF(crm_orders!$A:$A,B300)=0,"Orphan","OK")</f>
        <v>OK</v>
      </c>
    </row>
    <row r="301" ht="15.75" customHeight="1">
      <c r="A301" s="25" t="s">
        <v>1512</v>
      </c>
      <c r="B301" s="25" t="s">
        <v>1147</v>
      </c>
      <c r="C301" s="26">
        <v>46086.0</v>
      </c>
      <c r="D301" s="25" t="s">
        <v>1122</v>
      </c>
      <c r="E301" s="25" t="s">
        <v>156</v>
      </c>
      <c r="F301" s="29">
        <v>18.0</v>
      </c>
      <c r="G301" s="30">
        <v>185.22</v>
      </c>
      <c r="H301" s="25" t="s">
        <v>1214</v>
      </c>
      <c r="I301" s="30">
        <f>F301-IFERROR(VLOOKUP(B301,crm_orders!$A:$S,10,FALSE),0)</f>
        <v>0</v>
      </c>
      <c r="J301" s="30">
        <f>G301-IFERROR(VLOOKUP(B301,crm_orders!$A:$S,12,FALSE),0)</f>
        <v>0</v>
      </c>
      <c r="K301" s="25" t="str">
        <f>IF(COUNTIF(crm_orders!$A:$A,B301)=0,"Orphan","OK")</f>
        <v>OK</v>
      </c>
    </row>
    <row r="302" ht="15.75" customHeight="1">
      <c r="A302" s="17" t="s">
        <v>1513</v>
      </c>
      <c r="B302" s="17" t="s">
        <v>890</v>
      </c>
      <c r="C302" s="18">
        <v>46089.0</v>
      </c>
      <c r="D302" s="17" t="s">
        <v>866</v>
      </c>
      <c r="E302" s="17" t="s">
        <v>115</v>
      </c>
      <c r="F302" s="21">
        <v>48.0</v>
      </c>
      <c r="G302" s="22">
        <v>577.92</v>
      </c>
      <c r="H302" s="17" t="s">
        <v>1214</v>
      </c>
      <c r="I302" s="22">
        <f>F302-IFERROR(VLOOKUP(B302,crm_orders!$A:$S,10,FALSE),0)</f>
        <v>0</v>
      </c>
      <c r="J302" s="22">
        <f>G302-IFERROR(VLOOKUP(B302,crm_orders!$A:$S,12,FALSE),0)</f>
        <v>0</v>
      </c>
      <c r="K302" s="17" t="str">
        <f>IF(COUNTIF(crm_orders!$A:$A,B302)=0,"Orphan","OK")</f>
        <v>OK</v>
      </c>
    </row>
    <row r="303" ht="15.75" customHeight="1">
      <c r="A303" s="25" t="s">
        <v>1514</v>
      </c>
      <c r="B303" s="25" t="s">
        <v>891</v>
      </c>
      <c r="C303" s="26">
        <v>46038.0</v>
      </c>
      <c r="D303" s="25" t="s">
        <v>859</v>
      </c>
      <c r="E303" s="25" t="s">
        <v>64</v>
      </c>
      <c r="F303" s="29">
        <v>6.0</v>
      </c>
      <c r="G303" s="30">
        <v>46.62</v>
      </c>
      <c r="H303" s="25" t="s">
        <v>1214</v>
      </c>
      <c r="I303" s="30">
        <f>F303-IFERROR(VLOOKUP(B303,crm_orders!$A:$S,10,FALSE),0)</f>
        <v>0</v>
      </c>
      <c r="J303" s="30">
        <f>G303-IFERROR(VLOOKUP(B303,crm_orders!$A:$S,12,FALSE),0)</f>
        <v>0</v>
      </c>
      <c r="K303" s="25" t="str">
        <f>IF(COUNTIF(crm_orders!$A:$A,B303)=0,"Orphan","OK")</f>
        <v>OK</v>
      </c>
    </row>
    <row r="304" ht="15.75" customHeight="1">
      <c r="A304" s="17" t="s">
        <v>1515</v>
      </c>
      <c r="B304" s="17" t="s">
        <v>764</v>
      </c>
      <c r="C304" s="18">
        <v>46114.0</v>
      </c>
      <c r="D304" s="17" t="s">
        <v>706</v>
      </c>
      <c r="E304" s="17" t="s">
        <v>102</v>
      </c>
      <c r="F304" s="21">
        <v>12.0</v>
      </c>
      <c r="G304" s="22">
        <v>131.52</v>
      </c>
      <c r="H304" s="17" t="s">
        <v>1214</v>
      </c>
      <c r="I304" s="22">
        <f>F304-IFERROR(VLOOKUP(B304,crm_orders!$A:$S,10,FALSE),0)</f>
        <v>0</v>
      </c>
      <c r="J304" s="22">
        <f>G304-IFERROR(VLOOKUP(B304,crm_orders!$A:$S,12,FALSE),0)</f>
        <v>0</v>
      </c>
      <c r="K304" s="17" t="str">
        <f>IF(COUNTIF(crm_orders!$A:$A,B304)=0,"Orphan","OK")</f>
        <v>OK</v>
      </c>
    </row>
    <row r="305" ht="15.75" customHeight="1">
      <c r="A305" s="25" t="s">
        <v>1516</v>
      </c>
      <c r="B305" s="25" t="s">
        <v>892</v>
      </c>
      <c r="C305" s="26">
        <v>46060.0</v>
      </c>
      <c r="D305" s="25" t="s">
        <v>866</v>
      </c>
      <c r="E305" s="25" t="s">
        <v>102</v>
      </c>
      <c r="F305" s="29">
        <v>6.0</v>
      </c>
      <c r="G305" s="30">
        <v>66.24</v>
      </c>
      <c r="H305" s="25" t="s">
        <v>93</v>
      </c>
      <c r="I305" s="30">
        <f>F305-IFERROR(VLOOKUP(B305,crm_orders!$A:$S,10,FALSE),0)</f>
        <v>-12</v>
      </c>
      <c r="J305" s="30">
        <f>G305-IFERROR(VLOOKUP(B305,crm_orders!$A:$S,12,FALSE),0)</f>
        <v>-132.48</v>
      </c>
      <c r="K305" s="25" t="str">
        <f>IF(COUNTIF(crm_orders!$A:$A,B305)=0,"Orphan","OK")</f>
        <v>OK</v>
      </c>
    </row>
    <row r="306" ht="15.75" customHeight="1">
      <c r="A306" s="17" t="s">
        <v>1517</v>
      </c>
      <c r="B306" s="17" t="s">
        <v>765</v>
      </c>
      <c r="C306" s="18">
        <v>46120.0</v>
      </c>
      <c r="D306" s="17" t="s">
        <v>723</v>
      </c>
      <c r="E306" s="17" t="s">
        <v>156</v>
      </c>
      <c r="F306" s="21">
        <v>60.0</v>
      </c>
      <c r="G306" s="22">
        <v>659.4</v>
      </c>
      <c r="H306" s="17" t="s">
        <v>1214</v>
      </c>
      <c r="I306" s="22">
        <f>F306-IFERROR(VLOOKUP(B306,crm_orders!$A:$S,10,FALSE),0)</f>
        <v>0</v>
      </c>
      <c r="J306" s="22">
        <f>G306-IFERROR(VLOOKUP(B306,crm_orders!$A:$S,12,FALSE),0)</f>
        <v>0</v>
      </c>
      <c r="K306" s="17" t="str">
        <f>IF(COUNTIF(crm_orders!$A:$A,B306)=0,"Orphan","OK")</f>
        <v>OK</v>
      </c>
    </row>
    <row r="307" ht="15.75" customHeight="1">
      <c r="A307" s="25" t="s">
        <v>1518</v>
      </c>
      <c r="B307" s="25" t="s">
        <v>766</v>
      </c>
      <c r="C307" s="26">
        <v>46055.0</v>
      </c>
      <c r="D307" s="25" t="s">
        <v>727</v>
      </c>
      <c r="E307" s="25" t="s">
        <v>81</v>
      </c>
      <c r="F307" s="29">
        <v>36.0</v>
      </c>
      <c r="G307" s="30">
        <v>240.12</v>
      </c>
      <c r="H307" s="25" t="s">
        <v>1212</v>
      </c>
      <c r="I307" s="30">
        <f>F307-IFERROR(VLOOKUP(B307,crm_orders!$A:$S,10,FALSE),0)</f>
        <v>6</v>
      </c>
      <c r="J307" s="30">
        <f>G307-IFERROR(VLOOKUP(B307,crm_orders!$A:$S,12,FALSE),0)</f>
        <v>40.02</v>
      </c>
      <c r="K307" s="25" t="str">
        <f>IF(COUNTIF(crm_orders!$A:$A,B307)=0,"Orphan","OK")</f>
        <v>OK</v>
      </c>
    </row>
    <row r="308" ht="15.75" customHeight="1">
      <c r="A308" s="17" t="s">
        <v>1519</v>
      </c>
      <c r="B308" s="17" t="s">
        <v>1003</v>
      </c>
      <c r="C308" s="18">
        <v>46116.0</v>
      </c>
      <c r="D308" s="17" t="s">
        <v>974</v>
      </c>
      <c r="E308" s="17" t="s">
        <v>92</v>
      </c>
      <c r="F308" s="21">
        <v>12.0</v>
      </c>
      <c r="G308" s="22">
        <v>119.04</v>
      </c>
      <c r="H308" s="17" t="s">
        <v>1214</v>
      </c>
      <c r="I308" s="22">
        <f>F308-IFERROR(VLOOKUP(B308,crm_orders!$A:$S,10,FALSE),0)</f>
        <v>0</v>
      </c>
      <c r="J308" s="22">
        <f>G308-IFERROR(VLOOKUP(B308,crm_orders!$A:$S,12,FALSE),0)</f>
        <v>0</v>
      </c>
      <c r="K308" s="17" t="str">
        <f>IF(COUNTIF(crm_orders!$A:$A,B308)=0,"Orphan","OK")</f>
        <v>OK</v>
      </c>
    </row>
    <row r="309" ht="15.75" customHeight="1">
      <c r="A309" s="25" t="s">
        <v>1520</v>
      </c>
      <c r="B309" s="25" t="s">
        <v>341</v>
      </c>
      <c r="C309" s="26">
        <v>46062.0</v>
      </c>
      <c r="D309" s="25" t="s">
        <v>339</v>
      </c>
      <c r="E309" s="25" t="s">
        <v>64</v>
      </c>
      <c r="F309" s="29">
        <v>60.0</v>
      </c>
      <c r="G309" s="30">
        <v>497.4</v>
      </c>
      <c r="H309" s="25" t="s">
        <v>1214</v>
      </c>
      <c r="I309" s="30">
        <f>F309-IFERROR(VLOOKUP(B309,crm_orders!$A:$S,10,FALSE),0)</f>
        <v>0</v>
      </c>
      <c r="J309" s="30">
        <f>G309-IFERROR(VLOOKUP(B309,crm_orders!$A:$S,12,FALSE),0)</f>
        <v>0</v>
      </c>
      <c r="K309" s="25" t="str">
        <f>IF(COUNTIF(crm_orders!$A:$A,B309)=0,"Orphan","OK")</f>
        <v>OK</v>
      </c>
    </row>
    <row r="310" ht="15.75" customHeight="1">
      <c r="A310" s="17" t="s">
        <v>1521</v>
      </c>
      <c r="B310" s="17" t="s">
        <v>893</v>
      </c>
      <c r="C310" s="18">
        <v>46095.0</v>
      </c>
      <c r="D310" s="17" t="s">
        <v>855</v>
      </c>
      <c r="E310" s="17" t="s">
        <v>162</v>
      </c>
      <c r="F310" s="21">
        <v>12.0</v>
      </c>
      <c r="G310" s="22">
        <v>132.0</v>
      </c>
      <c r="H310" s="17" t="s">
        <v>1214</v>
      </c>
      <c r="I310" s="22">
        <f>F310-IFERROR(VLOOKUP(B310,crm_orders!$A:$S,10,FALSE),0)</f>
        <v>0</v>
      </c>
      <c r="J310" s="22">
        <f>G310-IFERROR(VLOOKUP(B310,crm_orders!$A:$S,12,FALSE),0)</f>
        <v>0</v>
      </c>
      <c r="K310" s="17" t="str">
        <f>IF(COUNTIF(crm_orders!$A:$A,B310)=0,"Orphan","OK")</f>
        <v>OK</v>
      </c>
    </row>
    <row r="311" ht="15.75" customHeight="1">
      <c r="A311" s="25" t="s">
        <v>1522</v>
      </c>
      <c r="B311" s="25" t="s">
        <v>604</v>
      </c>
      <c r="C311" s="26">
        <v>46077.0</v>
      </c>
      <c r="D311" s="25" t="s">
        <v>593</v>
      </c>
      <c r="E311" s="25" t="s">
        <v>92</v>
      </c>
      <c r="F311" s="29">
        <v>96.0</v>
      </c>
      <c r="G311" s="30">
        <v>1086.72</v>
      </c>
      <c r="H311" s="25" t="s">
        <v>1214</v>
      </c>
      <c r="I311" s="30">
        <f>F311-IFERROR(VLOOKUP(B311,crm_orders!$A:$S,10,FALSE),0)</f>
        <v>0</v>
      </c>
      <c r="J311" s="30">
        <f>G311-IFERROR(VLOOKUP(B311,crm_orders!$A:$S,12,FALSE),0)</f>
        <v>0</v>
      </c>
      <c r="K311" s="25" t="str">
        <f>IF(COUNTIF(crm_orders!$A:$A,B311)=0,"Orphan","OK")</f>
        <v>OK</v>
      </c>
    </row>
    <row r="312" ht="15.75" customHeight="1">
      <c r="A312" s="17" t="s">
        <v>1523</v>
      </c>
      <c r="B312" s="17" t="s">
        <v>211</v>
      </c>
      <c r="C312" s="18">
        <v>46065.0</v>
      </c>
      <c r="D312" s="17" t="s">
        <v>168</v>
      </c>
      <c r="E312" s="17" t="s">
        <v>154</v>
      </c>
      <c r="F312" s="21">
        <v>120.0</v>
      </c>
      <c r="G312" s="22">
        <v>1176.0</v>
      </c>
      <c r="H312" s="17" t="s">
        <v>1214</v>
      </c>
      <c r="I312" s="22">
        <f>F312-IFERROR(VLOOKUP(B312,crm_orders!$A:$S,10,FALSE),0)</f>
        <v>0</v>
      </c>
      <c r="J312" s="22">
        <f>G312-IFERROR(VLOOKUP(B312,crm_orders!$A:$S,12,FALSE),0)</f>
        <v>0</v>
      </c>
      <c r="K312" s="17" t="str">
        <f>IF(COUNTIF(crm_orders!$A:$A,B312)=0,"Orphan","OK")</f>
        <v>OK</v>
      </c>
    </row>
    <row r="313" ht="15.75" customHeight="1">
      <c r="A313" s="25" t="s">
        <v>1524</v>
      </c>
      <c r="B313" s="25" t="s">
        <v>342</v>
      </c>
      <c r="C313" s="26">
        <v>46048.0</v>
      </c>
      <c r="D313" s="25" t="s">
        <v>310</v>
      </c>
      <c r="E313" s="25" t="s">
        <v>110</v>
      </c>
      <c r="F313" s="29">
        <v>96.0</v>
      </c>
      <c r="G313" s="30">
        <v>1041.6</v>
      </c>
      <c r="H313" s="25" t="s">
        <v>1214</v>
      </c>
      <c r="I313" s="30">
        <f>F313-IFERROR(VLOOKUP(B313,crm_orders!$A:$S,10,FALSE),0)</f>
        <v>0</v>
      </c>
      <c r="J313" s="30">
        <f>G313-IFERROR(VLOOKUP(B313,crm_orders!$A:$S,12,FALSE),0)</f>
        <v>0</v>
      </c>
      <c r="K313" s="25" t="str">
        <f>IF(COUNTIF(crm_orders!$A:$A,B313)=0,"Orphan","OK")</f>
        <v>OK</v>
      </c>
    </row>
    <row r="314" ht="15.75" customHeight="1">
      <c r="A314" s="17" t="s">
        <v>1525</v>
      </c>
      <c r="B314" s="17" t="s">
        <v>605</v>
      </c>
      <c r="C314" s="18">
        <v>46025.0</v>
      </c>
      <c r="D314" s="17" t="s">
        <v>593</v>
      </c>
      <c r="E314" s="17" t="s">
        <v>68</v>
      </c>
      <c r="F314" s="21">
        <v>36.0</v>
      </c>
      <c r="G314" s="22">
        <v>397.44</v>
      </c>
      <c r="H314" s="17" t="s">
        <v>1214</v>
      </c>
      <c r="I314" s="22">
        <f>F314-IFERROR(VLOOKUP(B314,crm_orders!$A:$S,10,FALSE),0)</f>
        <v>0</v>
      </c>
      <c r="J314" s="22">
        <f>G314-IFERROR(VLOOKUP(B314,crm_orders!$A:$S,12,FALSE),0)</f>
        <v>0</v>
      </c>
      <c r="K314" s="17" t="str">
        <f>IF(COUNTIF(crm_orders!$A:$A,B314)=0,"Orphan","OK")</f>
        <v>OK</v>
      </c>
    </row>
    <row r="315" ht="15.75" customHeight="1">
      <c r="A315" s="25" t="s">
        <v>1526</v>
      </c>
      <c r="B315" s="25" t="s">
        <v>767</v>
      </c>
      <c r="C315" s="26">
        <v>46076.0</v>
      </c>
      <c r="D315" s="25" t="s">
        <v>698</v>
      </c>
      <c r="E315" s="25" t="s">
        <v>68</v>
      </c>
      <c r="F315" s="29">
        <v>18.0</v>
      </c>
      <c r="G315" s="30">
        <v>174.06</v>
      </c>
      <c r="H315" s="25" t="s">
        <v>1214</v>
      </c>
      <c r="I315" s="30">
        <f>F315-IFERROR(VLOOKUP(B315,crm_orders!$A:$S,10,FALSE),0)</f>
        <v>0</v>
      </c>
      <c r="J315" s="30">
        <f>G315-IFERROR(VLOOKUP(B315,crm_orders!$A:$S,12,FALSE),0)</f>
        <v>0</v>
      </c>
      <c r="K315" s="25" t="str">
        <f>IF(COUNTIF(crm_orders!$A:$A,B315)=0,"Orphan","OK")</f>
        <v>OK</v>
      </c>
    </row>
    <row r="316" ht="15.75" customHeight="1">
      <c r="A316" s="17" t="s">
        <v>1527</v>
      </c>
      <c r="B316" s="17" t="s">
        <v>343</v>
      </c>
      <c r="C316" s="18">
        <v>46127.0</v>
      </c>
      <c r="D316" s="17" t="s">
        <v>293</v>
      </c>
      <c r="E316" s="17" t="s">
        <v>74</v>
      </c>
      <c r="F316" s="21">
        <v>60.0</v>
      </c>
      <c r="G316" s="22">
        <v>703.2</v>
      </c>
      <c r="H316" s="17" t="s">
        <v>93</v>
      </c>
      <c r="I316" s="22">
        <f>F316-IFERROR(VLOOKUP(B316,crm_orders!$A:$S,10,FALSE),0)</f>
        <v>-12</v>
      </c>
      <c r="J316" s="22">
        <f>G316-IFERROR(VLOOKUP(B316,crm_orders!$A:$S,12,FALSE),0)</f>
        <v>-140.64</v>
      </c>
      <c r="K316" s="17" t="str">
        <f>IF(COUNTIF(crm_orders!$A:$A,B316)=0,"Orphan","OK")</f>
        <v>OK</v>
      </c>
    </row>
    <row r="317" ht="15.75" customHeight="1">
      <c r="A317" s="25" t="s">
        <v>1528</v>
      </c>
      <c r="B317" s="25" t="s">
        <v>768</v>
      </c>
      <c r="C317" s="26">
        <v>46048.0</v>
      </c>
      <c r="D317" s="25" t="s">
        <v>720</v>
      </c>
      <c r="E317" s="25" t="s">
        <v>162</v>
      </c>
      <c r="F317" s="29">
        <v>48.0</v>
      </c>
      <c r="G317" s="30">
        <v>444.48</v>
      </c>
      <c r="H317" s="25" t="s">
        <v>1214</v>
      </c>
      <c r="I317" s="30">
        <f>F317-IFERROR(VLOOKUP(B317,crm_orders!$A:$S,10,FALSE),0)</f>
        <v>0</v>
      </c>
      <c r="J317" s="30">
        <f>G317-IFERROR(VLOOKUP(B317,crm_orders!$A:$S,12,FALSE),0)</f>
        <v>0</v>
      </c>
      <c r="K317" s="25" t="str">
        <f>IF(COUNTIF(crm_orders!$A:$A,B317)=0,"Orphan","OK")</f>
        <v>OK</v>
      </c>
    </row>
    <row r="318" ht="15.75" customHeight="1">
      <c r="A318" s="17" t="s">
        <v>1529</v>
      </c>
      <c r="B318" s="17" t="s">
        <v>489</v>
      </c>
      <c r="C318" s="18">
        <v>46074.0</v>
      </c>
      <c r="D318" s="17" t="s">
        <v>459</v>
      </c>
      <c r="E318" s="17" t="s">
        <v>78</v>
      </c>
      <c r="F318" s="21">
        <v>120.0</v>
      </c>
      <c r="G318" s="22">
        <v>1365.6</v>
      </c>
      <c r="H318" s="17" t="s">
        <v>1214</v>
      </c>
      <c r="I318" s="22">
        <f>F318-IFERROR(VLOOKUP(B318,crm_orders!$A:$S,10,FALSE),0)</f>
        <v>0</v>
      </c>
      <c r="J318" s="22">
        <f>G318-IFERROR(VLOOKUP(B318,crm_orders!$A:$S,12,FALSE),0)</f>
        <v>0</v>
      </c>
      <c r="K318" s="17" t="str">
        <f>IF(COUNTIF(crm_orders!$A:$A,B318)=0,"Orphan","OK")</f>
        <v>OK</v>
      </c>
    </row>
    <row r="319" ht="15.75" customHeight="1">
      <c r="A319" s="25" t="s">
        <v>1530</v>
      </c>
      <c r="B319" s="25" t="s">
        <v>1148</v>
      </c>
      <c r="C319" s="26">
        <v>46118.0</v>
      </c>
      <c r="D319" s="25" t="s">
        <v>1124</v>
      </c>
      <c r="E319" s="25" t="s">
        <v>78</v>
      </c>
      <c r="F319" s="29">
        <v>12.0</v>
      </c>
      <c r="G319" s="30">
        <v>117.36</v>
      </c>
      <c r="H319" s="25" t="s">
        <v>1212</v>
      </c>
      <c r="I319" s="30">
        <f>F319-IFERROR(VLOOKUP(B319,crm_orders!$A:$S,10,FALSE),0)</f>
        <v>6</v>
      </c>
      <c r="J319" s="30">
        <f>G319-IFERROR(VLOOKUP(B319,crm_orders!$A:$S,12,FALSE),0)</f>
        <v>58.68</v>
      </c>
      <c r="K319" s="25" t="str">
        <f>IF(COUNTIF(crm_orders!$A:$A,B319)=0,"Orphan","OK")</f>
        <v>OK</v>
      </c>
    </row>
    <row r="320" ht="15.75" customHeight="1">
      <c r="A320" s="17" t="s">
        <v>1531</v>
      </c>
      <c r="B320" s="17" t="s">
        <v>1100</v>
      </c>
      <c r="C320" s="18">
        <v>46123.0</v>
      </c>
      <c r="D320" s="17" t="s">
        <v>1081</v>
      </c>
      <c r="E320" s="17" t="s">
        <v>162</v>
      </c>
      <c r="F320" s="21">
        <v>120.0</v>
      </c>
      <c r="G320" s="22">
        <v>1262.4</v>
      </c>
      <c r="H320" s="17" t="s">
        <v>1214</v>
      </c>
      <c r="I320" s="22">
        <f>F320-IFERROR(VLOOKUP(B320,crm_orders!$A:$S,10,FALSE),0)</f>
        <v>0</v>
      </c>
      <c r="J320" s="22">
        <f>G320-IFERROR(VLOOKUP(B320,crm_orders!$A:$S,12,FALSE),0)</f>
        <v>0</v>
      </c>
      <c r="K320" s="17" t="str">
        <f>IF(COUNTIF(crm_orders!$A:$A,B320)=0,"Orphan","OK")</f>
        <v>OK</v>
      </c>
    </row>
    <row r="321" ht="15.75" customHeight="1">
      <c r="A321" s="25" t="s">
        <v>1532</v>
      </c>
      <c r="B321" s="25" t="s">
        <v>769</v>
      </c>
      <c r="C321" s="26">
        <v>46139.0</v>
      </c>
      <c r="D321" s="25" t="s">
        <v>723</v>
      </c>
      <c r="E321" s="25" t="s">
        <v>108</v>
      </c>
      <c r="F321" s="29">
        <v>12.0</v>
      </c>
      <c r="G321" s="30">
        <v>129.24</v>
      </c>
      <c r="H321" s="25" t="s">
        <v>1214</v>
      </c>
      <c r="I321" s="30">
        <f>F321-IFERROR(VLOOKUP(B321,crm_orders!$A:$S,10,FALSE),0)</f>
        <v>0</v>
      </c>
      <c r="J321" s="30">
        <f>G321-IFERROR(VLOOKUP(B321,crm_orders!$A:$S,12,FALSE),0)</f>
        <v>0</v>
      </c>
      <c r="K321" s="25" t="str">
        <f>IF(COUNTIF(crm_orders!$A:$A,B321)=0,"Orphan","OK")</f>
        <v>OK</v>
      </c>
    </row>
    <row r="322" ht="15.75" customHeight="1">
      <c r="A322" s="17" t="s">
        <v>1533</v>
      </c>
      <c r="B322" s="17" t="s">
        <v>770</v>
      </c>
      <c r="C322" s="18">
        <v>46134.0</v>
      </c>
      <c r="D322" s="17" t="s">
        <v>704</v>
      </c>
      <c r="E322" s="17" t="s">
        <v>115</v>
      </c>
      <c r="F322" s="21">
        <v>72.0</v>
      </c>
      <c r="G322" s="22">
        <v>886.32</v>
      </c>
      <c r="H322" s="17" t="s">
        <v>1214</v>
      </c>
      <c r="I322" s="22">
        <f>F322-IFERROR(VLOOKUP(B322,crm_orders!$A:$S,10,FALSE),0)</f>
        <v>0</v>
      </c>
      <c r="J322" s="22">
        <f>G322-IFERROR(VLOOKUP(B322,crm_orders!$A:$S,12,FALSE),0)</f>
        <v>0</v>
      </c>
      <c r="K322" s="17" t="str">
        <f>IF(COUNTIF(crm_orders!$A:$A,B322)=0,"Orphan","OK")</f>
        <v>OK</v>
      </c>
    </row>
    <row r="323" ht="15.75" customHeight="1">
      <c r="A323" s="25" t="s">
        <v>1534</v>
      </c>
      <c r="B323" s="25" t="s">
        <v>344</v>
      </c>
      <c r="C323" s="26">
        <v>46076.0</v>
      </c>
      <c r="D323" s="25" t="s">
        <v>299</v>
      </c>
      <c r="E323" s="25" t="s">
        <v>90</v>
      </c>
      <c r="F323" s="29">
        <v>24.0</v>
      </c>
      <c r="G323" s="30">
        <v>162.0</v>
      </c>
      <c r="H323" s="25" t="s">
        <v>1214</v>
      </c>
      <c r="I323" s="30">
        <f>F323-IFERROR(VLOOKUP(B323,crm_orders!$A:$S,10,FALSE),0)</f>
        <v>0</v>
      </c>
      <c r="J323" s="30">
        <f>G323-IFERROR(VLOOKUP(B323,crm_orders!$A:$S,12,FALSE),0)</f>
        <v>0</v>
      </c>
      <c r="K323" s="25" t="str">
        <f>IF(COUNTIF(crm_orders!$A:$A,B323)=0,"Orphan","OK")</f>
        <v>OK</v>
      </c>
    </row>
    <row r="324" ht="15.75" customHeight="1">
      <c r="A324" s="17" t="s">
        <v>1535</v>
      </c>
      <c r="B324" s="17" t="s">
        <v>212</v>
      </c>
      <c r="C324" s="18">
        <v>46034.0</v>
      </c>
      <c r="D324" s="17" t="s">
        <v>189</v>
      </c>
      <c r="E324" s="17" t="s">
        <v>190</v>
      </c>
      <c r="F324" s="21">
        <v>12.0</v>
      </c>
      <c r="G324" s="22">
        <v>97.32</v>
      </c>
      <c r="H324" s="17" t="s">
        <v>1214</v>
      </c>
      <c r="I324" s="22">
        <f>F324-IFERROR(VLOOKUP(B324,crm_orders!$A:$S,10,FALSE),0)</f>
        <v>0</v>
      </c>
      <c r="J324" s="22">
        <f>G324-IFERROR(VLOOKUP(B324,crm_orders!$A:$S,12,FALSE),0)</f>
        <v>0</v>
      </c>
      <c r="K324" s="17" t="str">
        <f>IF(COUNTIF(crm_orders!$A:$A,B324)=0,"Orphan","OK")</f>
        <v>OK</v>
      </c>
    </row>
    <row r="325" ht="15.75" customHeight="1">
      <c r="A325" s="25" t="s">
        <v>1536</v>
      </c>
      <c r="B325" s="25" t="s">
        <v>771</v>
      </c>
      <c r="C325" s="26">
        <v>46142.0</v>
      </c>
      <c r="D325" s="25" t="s">
        <v>708</v>
      </c>
      <c r="E325" s="25" t="s">
        <v>154</v>
      </c>
      <c r="F325" s="29">
        <v>6.0</v>
      </c>
      <c r="G325" s="30">
        <v>69.06</v>
      </c>
      <c r="H325" s="25" t="s">
        <v>1214</v>
      </c>
      <c r="I325" s="30">
        <f>F325-IFERROR(VLOOKUP(B325,crm_orders!$A:$S,10,FALSE),0)</f>
        <v>0</v>
      </c>
      <c r="J325" s="30">
        <f>G325-IFERROR(VLOOKUP(B325,crm_orders!$A:$S,12,FALSE),0)</f>
        <v>0</v>
      </c>
      <c r="K325" s="25" t="str">
        <f>IF(COUNTIF(crm_orders!$A:$A,B325)=0,"Orphan","OK")</f>
        <v>OK</v>
      </c>
    </row>
    <row r="326" ht="15.75" customHeight="1">
      <c r="A326" s="17" t="s">
        <v>1537</v>
      </c>
      <c r="B326" s="17" t="s">
        <v>1101</v>
      </c>
      <c r="C326" s="18">
        <v>46030.0</v>
      </c>
      <c r="D326" s="17" t="s">
        <v>1075</v>
      </c>
      <c r="E326" s="17" t="s">
        <v>95</v>
      </c>
      <c r="F326" s="21">
        <v>18.0</v>
      </c>
      <c r="G326" s="22">
        <v>195.12</v>
      </c>
      <c r="H326" s="17" t="s">
        <v>1214</v>
      </c>
      <c r="I326" s="22">
        <f>F326-IFERROR(VLOOKUP(B326,crm_orders!$A:$S,10,FALSE),0)</f>
        <v>0</v>
      </c>
      <c r="J326" s="22">
        <f>G326-IFERROR(VLOOKUP(B326,crm_orders!$A:$S,12,FALSE),0)</f>
        <v>0</v>
      </c>
      <c r="K326" s="17" t="str">
        <f>IF(COUNTIF(crm_orders!$A:$A,B326)=0,"Orphan","OK")</f>
        <v>OK</v>
      </c>
    </row>
    <row r="327" ht="15.75" customHeight="1">
      <c r="A327" s="25" t="s">
        <v>1538</v>
      </c>
      <c r="B327" s="25" t="s">
        <v>109</v>
      </c>
      <c r="C327" s="26">
        <v>46078.0</v>
      </c>
      <c r="D327" s="25" t="s">
        <v>104</v>
      </c>
      <c r="E327" s="25" t="s">
        <v>110</v>
      </c>
      <c r="F327" s="29">
        <v>36.0</v>
      </c>
      <c r="G327" s="30">
        <v>370.8</v>
      </c>
      <c r="H327" s="25" t="s">
        <v>1214</v>
      </c>
      <c r="I327" s="30">
        <f>F327-IFERROR(VLOOKUP(B327,crm_orders!$A:$S,10,FALSE),0)</f>
        <v>0</v>
      </c>
      <c r="J327" s="30">
        <f>G327-IFERROR(VLOOKUP(B327,crm_orders!$A:$S,12,FALSE),0)</f>
        <v>0</v>
      </c>
      <c r="K327" s="25" t="str">
        <f>IF(COUNTIF(crm_orders!$A:$A,B327)=0,"Orphan","OK")</f>
        <v>OK</v>
      </c>
    </row>
    <row r="328" ht="15.75" customHeight="1">
      <c r="A328" s="17" t="s">
        <v>1539</v>
      </c>
      <c r="B328" s="17" t="s">
        <v>1149</v>
      </c>
      <c r="C328" s="18">
        <v>46107.0</v>
      </c>
      <c r="D328" s="17" t="s">
        <v>1131</v>
      </c>
      <c r="E328" s="17" t="s">
        <v>108</v>
      </c>
      <c r="F328" s="21">
        <v>18.0</v>
      </c>
      <c r="G328" s="22">
        <v>178.56</v>
      </c>
      <c r="H328" s="17" t="s">
        <v>1214</v>
      </c>
      <c r="I328" s="22">
        <f>F328-IFERROR(VLOOKUP(B328,crm_orders!$A:$S,10,FALSE),0)</f>
        <v>0</v>
      </c>
      <c r="J328" s="22">
        <f>G328-IFERROR(VLOOKUP(B328,crm_orders!$A:$S,12,FALSE),0)</f>
        <v>0</v>
      </c>
      <c r="K328" s="17" t="str">
        <f>IF(COUNTIF(crm_orders!$A:$A,B328)=0,"Orphan","OK")</f>
        <v>OK</v>
      </c>
    </row>
    <row r="329" ht="15.75" customHeight="1">
      <c r="A329" s="25" t="s">
        <v>1540</v>
      </c>
      <c r="B329" s="25" t="s">
        <v>1150</v>
      </c>
      <c r="C329" s="26">
        <v>46110.0</v>
      </c>
      <c r="D329" s="25" t="s">
        <v>1131</v>
      </c>
      <c r="E329" s="25" t="s">
        <v>64</v>
      </c>
      <c r="F329" s="29">
        <v>60.0</v>
      </c>
      <c r="G329" s="30">
        <v>435.6</v>
      </c>
      <c r="H329" s="25" t="s">
        <v>1214</v>
      </c>
      <c r="I329" s="30">
        <f>F329-IFERROR(VLOOKUP(B329,crm_orders!$A:$S,10,FALSE),0)</f>
        <v>0</v>
      </c>
      <c r="J329" s="30">
        <f>G329-IFERROR(VLOOKUP(B329,crm_orders!$A:$S,12,FALSE),0)</f>
        <v>0</v>
      </c>
      <c r="K329" s="25" t="str">
        <f>IF(COUNTIF(crm_orders!$A:$A,B329)=0,"Orphan","OK")</f>
        <v>OK</v>
      </c>
    </row>
    <row r="330" ht="15.75" customHeight="1">
      <c r="A330" s="17" t="s">
        <v>1541</v>
      </c>
      <c r="B330" s="17" t="s">
        <v>111</v>
      </c>
      <c r="C330" s="18">
        <v>46097.0</v>
      </c>
      <c r="D330" s="17" t="s">
        <v>104</v>
      </c>
      <c r="E330" s="17" t="s">
        <v>85</v>
      </c>
      <c r="F330" s="21">
        <v>60.0</v>
      </c>
      <c r="G330" s="22">
        <v>567.6</v>
      </c>
      <c r="H330" s="17" t="s">
        <v>1214</v>
      </c>
      <c r="I330" s="22">
        <f>F330-IFERROR(VLOOKUP(B330,crm_orders!$A:$S,10,FALSE),0)</f>
        <v>0</v>
      </c>
      <c r="J330" s="22">
        <f>G330-IFERROR(VLOOKUP(B330,crm_orders!$A:$S,12,FALSE),0)</f>
        <v>0</v>
      </c>
      <c r="K330" s="17" t="str">
        <f>IF(COUNTIF(crm_orders!$A:$A,B330)=0,"Orphan","OK")</f>
        <v>OK</v>
      </c>
    </row>
    <row r="331" ht="15.75" customHeight="1">
      <c r="A331" s="25" t="s">
        <v>1542</v>
      </c>
      <c r="B331" s="25" t="s">
        <v>606</v>
      </c>
      <c r="C331" s="26">
        <v>46133.0</v>
      </c>
      <c r="D331" s="25" t="s">
        <v>555</v>
      </c>
      <c r="E331" s="25" t="s">
        <v>190</v>
      </c>
      <c r="F331" s="29">
        <v>96.0</v>
      </c>
      <c r="G331" s="30">
        <v>749.49</v>
      </c>
      <c r="H331" s="25" t="s">
        <v>1212</v>
      </c>
      <c r="I331" s="30">
        <f>F331-IFERROR(VLOOKUP(B331,crm_orders!$A:$S,10,FALSE),0)</f>
        <v>0</v>
      </c>
      <c r="J331" s="30">
        <f>G331-IFERROR(VLOOKUP(B331,crm_orders!$A:$S,12,FALSE),0)</f>
        <v>-3.15</v>
      </c>
      <c r="K331" s="25" t="str">
        <f>IF(COUNTIF(crm_orders!$A:$A,B331)=0,"Orphan","OK")</f>
        <v>OK</v>
      </c>
    </row>
    <row r="332" ht="15.75" customHeight="1">
      <c r="A332" s="17" t="s">
        <v>1543</v>
      </c>
      <c r="B332" s="17" t="s">
        <v>345</v>
      </c>
      <c r="C332" s="18">
        <v>46081.0</v>
      </c>
      <c r="D332" s="17" t="s">
        <v>301</v>
      </c>
      <c r="E332" s="17" t="s">
        <v>78</v>
      </c>
      <c r="F332" s="21">
        <v>120.0</v>
      </c>
      <c r="G332" s="22">
        <v>1348.8</v>
      </c>
      <c r="H332" s="17" t="s">
        <v>1214</v>
      </c>
      <c r="I332" s="22">
        <f>F332-IFERROR(VLOOKUP(B332,crm_orders!$A:$S,10,FALSE),0)</f>
        <v>0</v>
      </c>
      <c r="J332" s="22">
        <f>G332-IFERROR(VLOOKUP(B332,crm_orders!$A:$S,12,FALSE),0)</f>
        <v>0</v>
      </c>
      <c r="K332" s="17" t="str">
        <f>IF(COUNTIF(crm_orders!$A:$A,B332)=0,"Orphan","OK")</f>
        <v>OK</v>
      </c>
    </row>
    <row r="333" ht="15.75" customHeight="1">
      <c r="A333" s="25" t="s">
        <v>1544</v>
      </c>
      <c r="B333" s="25" t="s">
        <v>346</v>
      </c>
      <c r="C333" s="26">
        <v>46039.0</v>
      </c>
      <c r="D333" s="25" t="s">
        <v>314</v>
      </c>
      <c r="E333" s="25" t="s">
        <v>71</v>
      </c>
      <c r="F333" s="29">
        <v>6.0</v>
      </c>
      <c r="G333" s="30">
        <v>48.67</v>
      </c>
      <c r="H333" s="25" t="s">
        <v>1212</v>
      </c>
      <c r="I333" s="30">
        <f>F333-IFERROR(VLOOKUP(B333,crm_orders!$A:$S,10,FALSE),0)</f>
        <v>0</v>
      </c>
      <c r="J333" s="30">
        <f>G333-IFERROR(VLOOKUP(B333,crm_orders!$A:$S,12,FALSE),0)</f>
        <v>0.85</v>
      </c>
      <c r="K333" s="25" t="str">
        <f>IF(COUNTIF(crm_orders!$A:$A,B333)=0,"Orphan","OK")</f>
        <v>OK</v>
      </c>
    </row>
    <row r="334" ht="15.75" customHeight="1">
      <c r="A334" s="17" t="s">
        <v>1545</v>
      </c>
      <c r="B334" s="17" t="s">
        <v>112</v>
      </c>
      <c r="C334" s="18">
        <v>46055.0</v>
      </c>
      <c r="D334" s="17" t="s">
        <v>83</v>
      </c>
      <c r="E334" s="17" t="s">
        <v>92</v>
      </c>
      <c r="F334" s="21">
        <v>36.0</v>
      </c>
      <c r="G334" s="22">
        <v>413.64</v>
      </c>
      <c r="H334" s="17" t="s">
        <v>1214</v>
      </c>
      <c r="I334" s="22">
        <f>F334-IFERROR(VLOOKUP(B334,crm_orders!$A:$S,10,FALSE),0)</f>
        <v>0</v>
      </c>
      <c r="J334" s="22">
        <f>G334-IFERROR(VLOOKUP(B334,crm_orders!$A:$S,12,FALSE),0)</f>
        <v>0</v>
      </c>
      <c r="K334" s="17" t="str">
        <f>IF(COUNTIF(crm_orders!$A:$A,B334)=0,"Orphan","OK")</f>
        <v>OK</v>
      </c>
    </row>
    <row r="335" ht="15.75" customHeight="1">
      <c r="A335" s="25" t="s">
        <v>1546</v>
      </c>
      <c r="B335" s="25" t="s">
        <v>1004</v>
      </c>
      <c r="C335" s="26">
        <v>46127.0</v>
      </c>
      <c r="D335" s="25" t="s">
        <v>961</v>
      </c>
      <c r="E335" s="25" t="s">
        <v>74</v>
      </c>
      <c r="F335" s="29">
        <v>96.0</v>
      </c>
      <c r="G335" s="30">
        <v>1092.48</v>
      </c>
      <c r="H335" s="25" t="s">
        <v>1214</v>
      </c>
      <c r="I335" s="30">
        <f>F335-IFERROR(VLOOKUP(B335,crm_orders!$A:$S,10,FALSE),0)</f>
        <v>0</v>
      </c>
      <c r="J335" s="30">
        <f>G335-IFERROR(VLOOKUP(B335,crm_orders!$A:$S,12,FALSE),0)</f>
        <v>0</v>
      </c>
      <c r="K335" s="25" t="str">
        <f>IF(COUNTIF(crm_orders!$A:$A,B335)=0,"Orphan","OK")</f>
        <v>OK</v>
      </c>
    </row>
    <row r="336" ht="15.75" customHeight="1">
      <c r="A336" s="17" t="s">
        <v>1547</v>
      </c>
      <c r="B336" s="17" t="s">
        <v>772</v>
      </c>
      <c r="C336" s="18">
        <v>46077.0</v>
      </c>
      <c r="D336" s="17" t="s">
        <v>700</v>
      </c>
      <c r="E336" s="17" t="s">
        <v>78</v>
      </c>
      <c r="F336" s="21">
        <v>48.0</v>
      </c>
      <c r="G336" s="22">
        <v>468.0</v>
      </c>
      <c r="H336" s="17" t="s">
        <v>1214</v>
      </c>
      <c r="I336" s="22">
        <f>F336-IFERROR(VLOOKUP(B336,crm_orders!$A:$S,10,FALSE),0)</f>
        <v>0</v>
      </c>
      <c r="J336" s="22">
        <f>G336-IFERROR(VLOOKUP(B336,crm_orders!$A:$S,12,FALSE),0)</f>
        <v>0</v>
      </c>
      <c r="K336" s="17" t="str">
        <f>IF(COUNTIF(crm_orders!$A:$A,B336)=0,"Orphan","OK")</f>
        <v>OK</v>
      </c>
    </row>
    <row r="337" ht="15.75" customHeight="1">
      <c r="A337" s="25" t="s">
        <v>1548</v>
      </c>
      <c r="B337" s="25" t="s">
        <v>213</v>
      </c>
      <c r="C337" s="26">
        <v>46097.0</v>
      </c>
      <c r="D337" s="25" t="s">
        <v>179</v>
      </c>
      <c r="E337" s="25" t="s">
        <v>190</v>
      </c>
      <c r="F337" s="29">
        <v>24.0</v>
      </c>
      <c r="G337" s="30">
        <v>185.52</v>
      </c>
      <c r="H337" s="25" t="s">
        <v>1214</v>
      </c>
      <c r="I337" s="30">
        <f>F337-IFERROR(VLOOKUP(B337,crm_orders!$A:$S,10,FALSE),0)</f>
        <v>0</v>
      </c>
      <c r="J337" s="30">
        <f>G337-IFERROR(VLOOKUP(B337,crm_orders!$A:$S,12,FALSE),0)</f>
        <v>0</v>
      </c>
      <c r="K337" s="25" t="str">
        <f>IF(COUNTIF(crm_orders!$A:$A,B337)=0,"Orphan","OK")</f>
        <v>OK</v>
      </c>
    </row>
    <row r="338" ht="15.75" customHeight="1">
      <c r="A338" s="17" t="s">
        <v>1549</v>
      </c>
      <c r="B338" s="17" t="s">
        <v>347</v>
      </c>
      <c r="C338" s="18">
        <v>46122.0</v>
      </c>
      <c r="D338" s="17" t="s">
        <v>326</v>
      </c>
      <c r="E338" s="17" t="s">
        <v>81</v>
      </c>
      <c r="F338" s="21">
        <v>90.0</v>
      </c>
      <c r="G338" s="22">
        <v>665.1</v>
      </c>
      <c r="H338" s="17" t="s">
        <v>93</v>
      </c>
      <c r="I338" s="22">
        <f>F338-IFERROR(VLOOKUP(B338,crm_orders!$A:$S,10,FALSE),0)</f>
        <v>-6</v>
      </c>
      <c r="J338" s="22">
        <f>G338-IFERROR(VLOOKUP(B338,crm_orders!$A:$S,12,FALSE),0)</f>
        <v>-44.34</v>
      </c>
      <c r="K338" s="17" t="str">
        <f>IF(COUNTIF(crm_orders!$A:$A,B338)=0,"Orphan","OK")</f>
        <v>OK</v>
      </c>
    </row>
    <row r="339" ht="15.75" customHeight="1">
      <c r="A339" s="25" t="s">
        <v>1550</v>
      </c>
      <c r="B339" s="25" t="s">
        <v>490</v>
      </c>
      <c r="C339" s="26">
        <v>46079.0</v>
      </c>
      <c r="D339" s="25" t="s">
        <v>452</v>
      </c>
      <c r="E339" s="25" t="s">
        <v>156</v>
      </c>
      <c r="F339" s="29">
        <v>36.0</v>
      </c>
      <c r="G339" s="30">
        <v>383.76</v>
      </c>
      <c r="H339" s="25" t="s">
        <v>1214</v>
      </c>
      <c r="I339" s="30">
        <f>F339-IFERROR(VLOOKUP(B339,crm_orders!$A:$S,10,FALSE),0)</f>
        <v>0</v>
      </c>
      <c r="J339" s="30">
        <f>G339-IFERROR(VLOOKUP(B339,crm_orders!$A:$S,12,FALSE),0)</f>
        <v>0</v>
      </c>
      <c r="K339" s="25" t="str">
        <f>IF(COUNTIF(crm_orders!$A:$A,B339)=0,"Orphan","OK")</f>
        <v>OK</v>
      </c>
    </row>
    <row r="340" ht="15.75" customHeight="1">
      <c r="A340" s="17" t="s">
        <v>1551</v>
      </c>
      <c r="B340" s="17" t="s">
        <v>348</v>
      </c>
      <c r="C340" s="18">
        <v>46099.0</v>
      </c>
      <c r="D340" s="17" t="s">
        <v>314</v>
      </c>
      <c r="E340" s="17" t="s">
        <v>154</v>
      </c>
      <c r="F340" s="21">
        <v>24.0</v>
      </c>
      <c r="G340" s="22">
        <v>274.56</v>
      </c>
      <c r="H340" s="17" t="s">
        <v>1212</v>
      </c>
      <c r="I340" s="22">
        <f>F340-IFERROR(VLOOKUP(B340,crm_orders!$A:$S,10,FALSE),0)</f>
        <v>6</v>
      </c>
      <c r="J340" s="22">
        <f>G340-IFERROR(VLOOKUP(B340,crm_orders!$A:$S,12,FALSE),0)</f>
        <v>68.64</v>
      </c>
      <c r="K340" s="17" t="str">
        <f>IF(COUNTIF(crm_orders!$A:$A,B340)=0,"Orphan","OK")</f>
        <v>OK</v>
      </c>
    </row>
    <row r="341" ht="15.75" customHeight="1">
      <c r="A341" s="25" t="s">
        <v>1552</v>
      </c>
      <c r="B341" s="25" t="s">
        <v>894</v>
      </c>
      <c r="C341" s="26">
        <v>46057.0</v>
      </c>
      <c r="D341" s="25" t="s">
        <v>868</v>
      </c>
      <c r="E341" s="25" t="s">
        <v>106</v>
      </c>
      <c r="F341" s="29">
        <v>60.0</v>
      </c>
      <c r="G341" s="30">
        <v>687.0</v>
      </c>
      <c r="H341" s="25" t="s">
        <v>1214</v>
      </c>
      <c r="I341" s="30">
        <f>F341-IFERROR(VLOOKUP(B341,crm_orders!$A:$S,10,FALSE),0)</f>
        <v>0</v>
      </c>
      <c r="J341" s="30">
        <f>G341-IFERROR(VLOOKUP(B341,crm_orders!$A:$S,12,FALSE),0)</f>
        <v>0</v>
      </c>
      <c r="K341" s="25" t="str">
        <f>IF(COUNTIF(crm_orders!$A:$A,B341)=0,"Orphan","OK")</f>
        <v>OK</v>
      </c>
    </row>
    <row r="342" ht="15.75" customHeight="1">
      <c r="A342" s="17" t="s">
        <v>1553</v>
      </c>
      <c r="B342" s="17" t="s">
        <v>773</v>
      </c>
      <c r="C342" s="18">
        <v>46049.0</v>
      </c>
      <c r="D342" s="17" t="s">
        <v>708</v>
      </c>
      <c r="E342" s="17" t="s">
        <v>85</v>
      </c>
      <c r="F342" s="21">
        <v>54.0</v>
      </c>
      <c r="G342" s="22">
        <v>570.78</v>
      </c>
      <c r="H342" s="17" t="s">
        <v>1212</v>
      </c>
      <c r="I342" s="22">
        <f>F342-IFERROR(VLOOKUP(B342,crm_orders!$A:$S,10,FALSE),0)</f>
        <v>6</v>
      </c>
      <c r="J342" s="22">
        <f>G342-IFERROR(VLOOKUP(B342,crm_orders!$A:$S,12,FALSE),0)</f>
        <v>63.42</v>
      </c>
      <c r="K342" s="17" t="str">
        <f>IF(COUNTIF(crm_orders!$A:$A,B342)=0,"Orphan","OK")</f>
        <v>OK</v>
      </c>
    </row>
    <row r="343" ht="15.75" customHeight="1">
      <c r="A343" s="25" t="s">
        <v>1554</v>
      </c>
      <c r="B343" s="25" t="s">
        <v>774</v>
      </c>
      <c r="C343" s="26">
        <v>46065.0</v>
      </c>
      <c r="D343" s="25" t="s">
        <v>698</v>
      </c>
      <c r="E343" s="25" t="s">
        <v>123</v>
      </c>
      <c r="F343" s="29">
        <v>48.0</v>
      </c>
      <c r="G343" s="30">
        <v>564.0</v>
      </c>
      <c r="H343" s="25" t="s">
        <v>1214</v>
      </c>
      <c r="I343" s="30">
        <f>F343-IFERROR(VLOOKUP(B343,crm_orders!$A:$S,10,FALSE),0)</f>
        <v>0</v>
      </c>
      <c r="J343" s="30">
        <f>G343-IFERROR(VLOOKUP(B343,crm_orders!$A:$S,12,FALSE),0)</f>
        <v>0</v>
      </c>
      <c r="K343" s="25" t="str">
        <f>IF(COUNTIF(crm_orders!$A:$A,B343)=0,"Orphan","OK")</f>
        <v>OK</v>
      </c>
    </row>
    <row r="344" ht="15.75" customHeight="1">
      <c r="A344" s="17" t="s">
        <v>1555</v>
      </c>
      <c r="B344" s="17" t="s">
        <v>214</v>
      </c>
      <c r="C344" s="18">
        <v>46070.0</v>
      </c>
      <c r="D344" s="17" t="s">
        <v>179</v>
      </c>
      <c r="E344" s="17" t="s">
        <v>190</v>
      </c>
      <c r="F344" s="21">
        <v>72.0</v>
      </c>
      <c r="G344" s="22">
        <v>578.88</v>
      </c>
      <c r="H344" s="17" t="s">
        <v>1214</v>
      </c>
      <c r="I344" s="22">
        <f>F344-IFERROR(VLOOKUP(B344,crm_orders!$A:$S,10,FALSE),0)</f>
        <v>0</v>
      </c>
      <c r="J344" s="22">
        <f>G344-IFERROR(VLOOKUP(B344,crm_orders!$A:$S,12,FALSE),0)</f>
        <v>0</v>
      </c>
      <c r="K344" s="17" t="str">
        <f>IF(COUNTIF(crm_orders!$A:$A,B344)=0,"Orphan","OK")</f>
        <v>OK</v>
      </c>
    </row>
    <row r="345" ht="15.75" customHeight="1">
      <c r="A345" s="25" t="s">
        <v>1556</v>
      </c>
      <c r="B345" s="25" t="s">
        <v>349</v>
      </c>
      <c r="C345" s="26">
        <v>46151.0</v>
      </c>
      <c r="D345" s="25" t="s">
        <v>293</v>
      </c>
      <c r="E345" s="25" t="s">
        <v>68</v>
      </c>
      <c r="F345" s="29">
        <v>120.0</v>
      </c>
      <c r="G345" s="30">
        <v>1167.6</v>
      </c>
      <c r="H345" s="25" t="s">
        <v>1214</v>
      </c>
      <c r="I345" s="30">
        <f>F345-IFERROR(VLOOKUP(B345,crm_orders!$A:$S,10,FALSE),0)</f>
        <v>0</v>
      </c>
      <c r="J345" s="30">
        <f>G345-IFERROR(VLOOKUP(B345,crm_orders!$A:$S,12,FALSE),0)</f>
        <v>0</v>
      </c>
      <c r="K345" s="25" t="str">
        <f>IF(COUNTIF(crm_orders!$A:$A,B345)=0,"Orphan","OK")</f>
        <v>OK</v>
      </c>
    </row>
    <row r="346" ht="15.75" customHeight="1">
      <c r="A346" s="17" t="s">
        <v>1557</v>
      </c>
      <c r="B346" s="17" t="s">
        <v>895</v>
      </c>
      <c r="C346" s="18">
        <v>46127.0</v>
      </c>
      <c r="D346" s="17" t="s">
        <v>853</v>
      </c>
      <c r="E346" s="17" t="s">
        <v>78</v>
      </c>
      <c r="F346" s="21">
        <v>36.0</v>
      </c>
      <c r="G346" s="22">
        <v>391.68</v>
      </c>
      <c r="H346" s="17" t="s">
        <v>1214</v>
      </c>
      <c r="I346" s="22">
        <f>F346-IFERROR(VLOOKUP(B346,crm_orders!$A:$S,10,FALSE),0)</f>
        <v>0</v>
      </c>
      <c r="J346" s="22">
        <f>G346-IFERROR(VLOOKUP(B346,crm_orders!$A:$S,12,FALSE),0)</f>
        <v>0</v>
      </c>
      <c r="K346" s="17" t="str">
        <f>IF(COUNTIF(crm_orders!$A:$A,B346)=0,"Orphan","OK")</f>
        <v>OK</v>
      </c>
    </row>
    <row r="347" ht="15.75" customHeight="1">
      <c r="A347" s="25" t="s">
        <v>1558</v>
      </c>
      <c r="B347" s="25" t="s">
        <v>350</v>
      </c>
      <c r="C347" s="26">
        <v>46139.0</v>
      </c>
      <c r="D347" s="25" t="s">
        <v>320</v>
      </c>
      <c r="E347" s="25" t="s">
        <v>102</v>
      </c>
      <c r="F347" s="29">
        <v>48.0</v>
      </c>
      <c r="G347" s="30">
        <v>560.64</v>
      </c>
      <c r="H347" s="25" t="s">
        <v>1214</v>
      </c>
      <c r="I347" s="30">
        <f>F347-IFERROR(VLOOKUP(B347,crm_orders!$A:$S,10,FALSE),0)</f>
        <v>0</v>
      </c>
      <c r="J347" s="30">
        <f>G347-IFERROR(VLOOKUP(B347,crm_orders!$A:$S,12,FALSE),0)</f>
        <v>0</v>
      </c>
      <c r="K347" s="25" t="str">
        <f>IF(COUNTIF(crm_orders!$A:$A,B347)=0,"Orphan","OK")</f>
        <v>OK</v>
      </c>
    </row>
    <row r="348" ht="15.75" customHeight="1">
      <c r="A348" s="17" t="s">
        <v>1559</v>
      </c>
      <c r="B348" s="17" t="s">
        <v>1005</v>
      </c>
      <c r="C348" s="18">
        <v>46072.0</v>
      </c>
      <c r="D348" s="17" t="s">
        <v>980</v>
      </c>
      <c r="E348" s="17" t="s">
        <v>154</v>
      </c>
      <c r="F348" s="21">
        <v>120.0</v>
      </c>
      <c r="G348" s="22">
        <v>1225.2</v>
      </c>
      <c r="H348" s="17" t="s">
        <v>1214</v>
      </c>
      <c r="I348" s="22">
        <f>F348-IFERROR(VLOOKUP(B348,crm_orders!$A:$S,10,FALSE),0)</f>
        <v>0</v>
      </c>
      <c r="J348" s="22">
        <f>G348-IFERROR(VLOOKUP(B348,crm_orders!$A:$S,12,FALSE),0)</f>
        <v>0</v>
      </c>
      <c r="K348" s="17" t="str">
        <f>IF(COUNTIF(crm_orders!$A:$A,B348)=0,"Orphan","OK")</f>
        <v>OK</v>
      </c>
    </row>
    <row r="349" ht="15.75" customHeight="1">
      <c r="A349" s="25" t="s">
        <v>1560</v>
      </c>
      <c r="B349" s="25" t="s">
        <v>775</v>
      </c>
      <c r="C349" s="26">
        <v>46043.0</v>
      </c>
      <c r="D349" s="25" t="s">
        <v>720</v>
      </c>
      <c r="E349" s="25" t="s">
        <v>74</v>
      </c>
      <c r="F349" s="29">
        <v>96.0</v>
      </c>
      <c r="G349" s="30">
        <v>1185.6</v>
      </c>
      <c r="H349" s="25" t="s">
        <v>1214</v>
      </c>
      <c r="I349" s="30">
        <f>F349-IFERROR(VLOOKUP(B349,crm_orders!$A:$S,10,FALSE),0)</f>
        <v>0</v>
      </c>
      <c r="J349" s="30">
        <f>G349-IFERROR(VLOOKUP(B349,crm_orders!$A:$S,12,FALSE),0)</f>
        <v>0</v>
      </c>
      <c r="K349" s="25" t="str">
        <f>IF(COUNTIF(crm_orders!$A:$A,B349)=0,"Orphan","OK")</f>
        <v>OK</v>
      </c>
    </row>
    <row r="350" ht="15.75" customHeight="1">
      <c r="A350" s="17" t="s">
        <v>1561</v>
      </c>
      <c r="B350" s="17" t="s">
        <v>1006</v>
      </c>
      <c r="C350" s="18">
        <v>46116.0</v>
      </c>
      <c r="D350" s="17" t="s">
        <v>957</v>
      </c>
      <c r="E350" s="17" t="s">
        <v>102</v>
      </c>
      <c r="F350" s="21">
        <v>120.0</v>
      </c>
      <c r="G350" s="22">
        <v>1200.0</v>
      </c>
      <c r="H350" s="17" t="s">
        <v>1214</v>
      </c>
      <c r="I350" s="22">
        <f>F350-IFERROR(VLOOKUP(B350,crm_orders!$A:$S,10,FALSE),0)</f>
        <v>0</v>
      </c>
      <c r="J350" s="22">
        <f>G350-IFERROR(VLOOKUP(B350,crm_orders!$A:$S,12,FALSE),0)</f>
        <v>0</v>
      </c>
      <c r="K350" s="17" t="str">
        <f>IF(COUNTIF(crm_orders!$A:$A,B350)=0,"Orphan","OK")</f>
        <v>OK</v>
      </c>
    </row>
    <row r="351" ht="15.75" customHeight="1">
      <c r="A351" s="25" t="s">
        <v>1562</v>
      </c>
      <c r="B351" s="25" t="s">
        <v>113</v>
      </c>
      <c r="C351" s="26">
        <v>46051.0</v>
      </c>
      <c r="D351" s="25" t="s">
        <v>114</v>
      </c>
      <c r="E351" s="25" t="s">
        <v>115</v>
      </c>
      <c r="F351" s="29">
        <v>96.0</v>
      </c>
      <c r="G351" s="30">
        <v>1159.68</v>
      </c>
      <c r="H351" s="25" t="s">
        <v>1214</v>
      </c>
      <c r="I351" s="30">
        <f>F351-IFERROR(VLOOKUP(B351,crm_orders!$A:$S,10,FALSE),0)</f>
        <v>0</v>
      </c>
      <c r="J351" s="30">
        <f>G351-IFERROR(VLOOKUP(B351,crm_orders!$A:$S,12,FALSE),0)</f>
        <v>0</v>
      </c>
      <c r="K351" s="25" t="str">
        <f>IF(COUNTIF(crm_orders!$A:$A,B351)=0,"Orphan","OK")</f>
        <v>OK</v>
      </c>
    </row>
    <row r="352" ht="15.75" customHeight="1">
      <c r="A352" s="17" t="s">
        <v>1563</v>
      </c>
      <c r="B352" s="17" t="s">
        <v>1008</v>
      </c>
      <c r="C352" s="18">
        <v>46060.0</v>
      </c>
      <c r="D352" s="17" t="s">
        <v>974</v>
      </c>
      <c r="E352" s="17" t="s">
        <v>110</v>
      </c>
      <c r="F352" s="21">
        <v>18.0</v>
      </c>
      <c r="G352" s="22">
        <v>207.36</v>
      </c>
      <c r="H352" s="17" t="s">
        <v>1214</v>
      </c>
      <c r="I352" s="22">
        <f>F352-IFERROR(VLOOKUP(B352,crm_orders!$A:$S,10,FALSE),0)</f>
        <v>0</v>
      </c>
      <c r="J352" s="22">
        <f>G352-IFERROR(VLOOKUP(B352,crm_orders!$A:$S,12,FALSE),0)</f>
        <v>0</v>
      </c>
      <c r="K352" s="17" t="str">
        <f>IF(COUNTIF(crm_orders!$A:$A,B352)=0,"Orphan","OK")</f>
        <v>OK</v>
      </c>
    </row>
    <row r="353" ht="15.75" customHeight="1">
      <c r="A353" s="25" t="s">
        <v>1564</v>
      </c>
      <c r="B353" s="25" t="s">
        <v>116</v>
      </c>
      <c r="C353" s="26">
        <v>46036.0</v>
      </c>
      <c r="D353" s="25" t="s">
        <v>80</v>
      </c>
      <c r="E353" s="25" t="s">
        <v>115</v>
      </c>
      <c r="F353" s="29">
        <v>36.0</v>
      </c>
      <c r="G353" s="30">
        <v>402.12</v>
      </c>
      <c r="H353" s="25" t="s">
        <v>1214</v>
      </c>
      <c r="I353" s="30">
        <f>F353-IFERROR(VLOOKUP(B353,crm_orders!$A:$S,10,FALSE),0)</f>
        <v>0</v>
      </c>
      <c r="J353" s="30">
        <f>G353-IFERROR(VLOOKUP(B353,crm_orders!$A:$S,12,FALSE),0)</f>
        <v>0</v>
      </c>
      <c r="K353" s="25" t="str">
        <f>IF(COUNTIF(crm_orders!$A:$A,B353)=0,"Orphan","OK")</f>
        <v>OK</v>
      </c>
    </row>
    <row r="354" ht="15.75" customHeight="1">
      <c r="A354" s="17" t="s">
        <v>1565</v>
      </c>
      <c r="B354" s="17" t="s">
        <v>215</v>
      </c>
      <c r="C354" s="18">
        <v>46131.0</v>
      </c>
      <c r="D354" s="17" t="s">
        <v>168</v>
      </c>
      <c r="E354" s="17" t="s">
        <v>71</v>
      </c>
      <c r="F354" s="21">
        <v>120.0</v>
      </c>
      <c r="G354" s="22">
        <v>892.8</v>
      </c>
      <c r="H354" s="17" t="s">
        <v>1214</v>
      </c>
      <c r="I354" s="22">
        <f>F354-IFERROR(VLOOKUP(B354,crm_orders!$A:$S,10,FALSE),0)</f>
        <v>0</v>
      </c>
      <c r="J354" s="22">
        <f>G354-IFERROR(VLOOKUP(B354,crm_orders!$A:$S,12,FALSE),0)</f>
        <v>0</v>
      </c>
      <c r="K354" s="17" t="str">
        <f>IF(COUNTIF(crm_orders!$A:$A,B354)=0,"Orphan","OK")</f>
        <v>OK</v>
      </c>
    </row>
    <row r="355" ht="15.75" customHeight="1">
      <c r="A355" s="25" t="s">
        <v>1566</v>
      </c>
      <c r="B355" s="25" t="s">
        <v>492</v>
      </c>
      <c r="C355" s="26">
        <v>46078.0</v>
      </c>
      <c r="D355" s="25" t="s">
        <v>446</v>
      </c>
      <c r="E355" s="25" t="s">
        <v>92</v>
      </c>
      <c r="F355" s="29">
        <v>36.0</v>
      </c>
      <c r="G355" s="30">
        <v>362.52</v>
      </c>
      <c r="H355" s="25" t="s">
        <v>1214</v>
      </c>
      <c r="I355" s="30">
        <f>F355-IFERROR(VLOOKUP(B355,crm_orders!$A:$S,10,FALSE),0)</f>
        <v>0</v>
      </c>
      <c r="J355" s="30">
        <f>G355-IFERROR(VLOOKUP(B355,crm_orders!$A:$S,12,FALSE),0)</f>
        <v>0</v>
      </c>
      <c r="K355" s="25" t="str">
        <f>IF(COUNTIF(crm_orders!$A:$A,B355)=0,"Orphan","OK")</f>
        <v>OK</v>
      </c>
    </row>
    <row r="356" ht="15.75" customHeight="1">
      <c r="A356" s="17" t="s">
        <v>1567</v>
      </c>
      <c r="B356" s="17" t="s">
        <v>216</v>
      </c>
      <c r="C356" s="18">
        <v>46041.0</v>
      </c>
      <c r="D356" s="17" t="s">
        <v>184</v>
      </c>
      <c r="E356" s="17" t="s">
        <v>156</v>
      </c>
      <c r="F356" s="21">
        <v>120.0</v>
      </c>
      <c r="G356" s="22">
        <v>1162.8</v>
      </c>
      <c r="H356" s="17" t="s">
        <v>1214</v>
      </c>
      <c r="I356" s="22">
        <f>F356-IFERROR(VLOOKUP(B356,crm_orders!$A:$S,10,FALSE),0)</f>
        <v>0</v>
      </c>
      <c r="J356" s="22">
        <f>G356-IFERROR(VLOOKUP(B356,crm_orders!$A:$S,12,FALSE),0)</f>
        <v>0</v>
      </c>
      <c r="K356" s="17" t="str">
        <f>IF(COUNTIF(crm_orders!$A:$A,B356)=0,"Orphan","OK")</f>
        <v>OK</v>
      </c>
    </row>
    <row r="357" ht="15.75" customHeight="1">
      <c r="A357" s="25" t="s">
        <v>1568</v>
      </c>
      <c r="B357" s="25" t="s">
        <v>217</v>
      </c>
      <c r="C357" s="26">
        <v>46083.0</v>
      </c>
      <c r="D357" s="25" t="s">
        <v>179</v>
      </c>
      <c r="E357" s="25" t="s">
        <v>92</v>
      </c>
      <c r="F357" s="29">
        <v>6.0</v>
      </c>
      <c r="G357" s="30">
        <v>61.56</v>
      </c>
      <c r="H357" s="25" t="s">
        <v>93</v>
      </c>
      <c r="I357" s="30">
        <f>F357-IFERROR(VLOOKUP(B357,crm_orders!$A:$S,10,FALSE),0)</f>
        <v>-6</v>
      </c>
      <c r="J357" s="30">
        <f>G357-IFERROR(VLOOKUP(B357,crm_orders!$A:$S,12,FALSE),0)</f>
        <v>-61.56</v>
      </c>
      <c r="K357" s="25" t="str">
        <f>IF(COUNTIF(crm_orders!$A:$A,B357)=0,"Orphan","OK")</f>
        <v>OK</v>
      </c>
    </row>
    <row r="358" ht="15.75" customHeight="1">
      <c r="A358" s="17" t="s">
        <v>1569</v>
      </c>
      <c r="B358" s="17" t="s">
        <v>218</v>
      </c>
      <c r="C358" s="18">
        <v>46081.0</v>
      </c>
      <c r="D358" s="17" t="s">
        <v>177</v>
      </c>
      <c r="E358" s="17" t="s">
        <v>190</v>
      </c>
      <c r="F358" s="21">
        <v>60.0</v>
      </c>
      <c r="G358" s="22">
        <v>409.2</v>
      </c>
      <c r="H358" s="17" t="s">
        <v>1214</v>
      </c>
      <c r="I358" s="22">
        <f>F358-IFERROR(VLOOKUP(B358,crm_orders!$A:$S,10,FALSE),0)</f>
        <v>0</v>
      </c>
      <c r="J358" s="22">
        <f>G358-IFERROR(VLOOKUP(B358,crm_orders!$A:$S,12,FALSE),0)</f>
        <v>0</v>
      </c>
      <c r="K358" s="17" t="str">
        <f>IF(COUNTIF(crm_orders!$A:$A,B358)=0,"Orphan","OK")</f>
        <v>OK</v>
      </c>
    </row>
    <row r="359" ht="15.75" customHeight="1">
      <c r="A359" s="25" t="s">
        <v>1570</v>
      </c>
      <c r="B359" s="25" t="s">
        <v>219</v>
      </c>
      <c r="C359" s="26">
        <v>46093.0</v>
      </c>
      <c r="D359" s="25" t="s">
        <v>181</v>
      </c>
      <c r="E359" s="25" t="s">
        <v>81</v>
      </c>
      <c r="F359" s="29">
        <v>0.0</v>
      </c>
      <c r="G359" s="30">
        <v>0.0</v>
      </c>
      <c r="H359" s="25" t="s">
        <v>93</v>
      </c>
      <c r="I359" s="30">
        <f>F359-IFERROR(VLOOKUP(B359,crm_orders!$A:$S,10,FALSE),0)</f>
        <v>-6</v>
      </c>
      <c r="J359" s="30">
        <f>G359-IFERROR(VLOOKUP(B359,crm_orders!$A:$S,12,FALSE),0)</f>
        <v>-44.58</v>
      </c>
      <c r="K359" s="25" t="str">
        <f>IF(COUNTIF(crm_orders!$A:$A,B359)=0,"Orphan","OK")</f>
        <v>OK</v>
      </c>
    </row>
    <row r="360" ht="15.75" customHeight="1">
      <c r="A360" s="17" t="s">
        <v>1571</v>
      </c>
      <c r="B360" s="17" t="s">
        <v>493</v>
      </c>
      <c r="C360" s="18">
        <v>46094.0</v>
      </c>
      <c r="D360" s="17" t="s">
        <v>464</v>
      </c>
      <c r="E360" s="17" t="s">
        <v>162</v>
      </c>
      <c r="F360" s="21">
        <v>48.0</v>
      </c>
      <c r="G360" s="22">
        <v>506.4</v>
      </c>
      <c r="H360" s="17" t="s">
        <v>1214</v>
      </c>
      <c r="I360" s="22">
        <f>F360-IFERROR(VLOOKUP(B360,crm_orders!$A:$S,10,FALSE),0)</f>
        <v>0</v>
      </c>
      <c r="J360" s="22">
        <f>G360-IFERROR(VLOOKUP(B360,crm_orders!$A:$S,12,FALSE),0)</f>
        <v>0</v>
      </c>
      <c r="K360" s="17" t="str">
        <f>IF(COUNTIF(crm_orders!$A:$A,B360)=0,"Orphan","OK")</f>
        <v>OK</v>
      </c>
    </row>
    <row r="361" ht="15.75" customHeight="1">
      <c r="A361" s="25" t="s">
        <v>1572</v>
      </c>
      <c r="B361" s="25" t="s">
        <v>220</v>
      </c>
      <c r="C361" s="26">
        <v>46039.0</v>
      </c>
      <c r="D361" s="25" t="s">
        <v>207</v>
      </c>
      <c r="E361" s="25" t="s">
        <v>110</v>
      </c>
      <c r="F361" s="29">
        <v>6.0</v>
      </c>
      <c r="G361" s="30">
        <v>61.74</v>
      </c>
      <c r="H361" s="25" t="s">
        <v>1214</v>
      </c>
      <c r="I361" s="30">
        <f>F361-IFERROR(VLOOKUP(B361,crm_orders!$A:$S,10,FALSE),0)</f>
        <v>0</v>
      </c>
      <c r="J361" s="30">
        <f>G361-IFERROR(VLOOKUP(B361,crm_orders!$A:$S,12,FALSE),0)</f>
        <v>0</v>
      </c>
      <c r="K361" s="25" t="str">
        <f>IF(COUNTIF(crm_orders!$A:$A,B361)=0,"Orphan","OK")</f>
        <v>OK</v>
      </c>
    </row>
    <row r="362" ht="15.75" customHeight="1">
      <c r="A362" s="17" t="s">
        <v>1573</v>
      </c>
      <c r="B362" s="17" t="s">
        <v>494</v>
      </c>
      <c r="C362" s="18">
        <v>46084.0</v>
      </c>
      <c r="D362" s="17" t="s">
        <v>469</v>
      </c>
      <c r="E362" s="17" t="s">
        <v>106</v>
      </c>
      <c r="F362" s="21">
        <v>36.0</v>
      </c>
      <c r="G362" s="22">
        <v>349.56</v>
      </c>
      <c r="H362" s="17" t="s">
        <v>1214</v>
      </c>
      <c r="I362" s="22">
        <f>F362-IFERROR(VLOOKUP(B362,crm_orders!$A:$S,10,FALSE),0)</f>
        <v>0</v>
      </c>
      <c r="J362" s="22">
        <f>G362-IFERROR(VLOOKUP(B362,crm_orders!$A:$S,12,FALSE),0)</f>
        <v>0</v>
      </c>
      <c r="K362" s="17" t="str">
        <f>IF(COUNTIF(crm_orders!$A:$A,B362)=0,"Orphan","OK")</f>
        <v>OK</v>
      </c>
    </row>
    <row r="363" ht="15.75" customHeight="1">
      <c r="A363" s="25" t="s">
        <v>1574</v>
      </c>
      <c r="B363" s="25" t="s">
        <v>495</v>
      </c>
      <c r="C363" s="26">
        <v>46077.0</v>
      </c>
      <c r="D363" s="25" t="s">
        <v>466</v>
      </c>
      <c r="E363" s="25" t="s">
        <v>110</v>
      </c>
      <c r="F363" s="29">
        <v>72.0</v>
      </c>
      <c r="G363" s="30">
        <v>729.36</v>
      </c>
      <c r="H363" s="25" t="s">
        <v>1214</v>
      </c>
      <c r="I363" s="30">
        <f>F363-IFERROR(VLOOKUP(B363,crm_orders!$A:$S,10,FALSE),0)</f>
        <v>0</v>
      </c>
      <c r="J363" s="30">
        <f>G363-IFERROR(VLOOKUP(B363,crm_orders!$A:$S,12,FALSE),0)</f>
        <v>0</v>
      </c>
      <c r="K363" s="25" t="str">
        <f>IF(COUNTIF(crm_orders!$A:$A,B363)=0,"Orphan","OK")</f>
        <v>OK</v>
      </c>
    </row>
    <row r="364" ht="15.75" customHeight="1">
      <c r="A364" s="17" t="s">
        <v>1575</v>
      </c>
      <c r="B364" s="17" t="s">
        <v>776</v>
      </c>
      <c r="C364" s="18">
        <v>46138.0</v>
      </c>
      <c r="D364" s="17" t="s">
        <v>735</v>
      </c>
      <c r="E364" s="17" t="s">
        <v>106</v>
      </c>
      <c r="F364" s="21">
        <v>120.0</v>
      </c>
      <c r="G364" s="22">
        <v>1168.8</v>
      </c>
      <c r="H364" s="17" t="s">
        <v>1214</v>
      </c>
      <c r="I364" s="22">
        <f>F364-IFERROR(VLOOKUP(B364,crm_orders!$A:$S,10,FALSE),0)</f>
        <v>0</v>
      </c>
      <c r="J364" s="22">
        <f>G364-IFERROR(VLOOKUP(B364,crm_orders!$A:$S,12,FALSE),0)</f>
        <v>0</v>
      </c>
      <c r="K364" s="17" t="str">
        <f>IF(COUNTIF(crm_orders!$A:$A,B364)=0,"Orphan","OK")</f>
        <v>OK</v>
      </c>
    </row>
    <row r="365" ht="15.75" customHeight="1">
      <c r="A365" s="25" t="s">
        <v>1576</v>
      </c>
      <c r="B365" s="25" t="s">
        <v>351</v>
      </c>
      <c r="C365" s="26">
        <v>46073.0</v>
      </c>
      <c r="D365" s="25" t="s">
        <v>293</v>
      </c>
      <c r="E365" s="25" t="s">
        <v>85</v>
      </c>
      <c r="F365" s="29">
        <v>120.0</v>
      </c>
      <c r="G365" s="30">
        <v>1324.8</v>
      </c>
      <c r="H365" s="25" t="s">
        <v>1214</v>
      </c>
      <c r="I365" s="30">
        <f>F365-IFERROR(VLOOKUP(B365,crm_orders!$A:$S,10,FALSE),0)</f>
        <v>0</v>
      </c>
      <c r="J365" s="30">
        <f>G365-IFERROR(VLOOKUP(B365,crm_orders!$A:$S,12,FALSE),0)</f>
        <v>0</v>
      </c>
      <c r="K365" s="25" t="str">
        <f>IF(COUNTIF(crm_orders!$A:$A,B365)=0,"Orphan","OK")</f>
        <v>OK</v>
      </c>
    </row>
    <row r="366" ht="15.75" customHeight="1">
      <c r="A366" s="17" t="s">
        <v>1577</v>
      </c>
      <c r="B366" s="17" t="s">
        <v>608</v>
      </c>
      <c r="C366" s="18">
        <v>46049.0</v>
      </c>
      <c r="D366" s="17" t="s">
        <v>555</v>
      </c>
      <c r="E366" s="17" t="s">
        <v>81</v>
      </c>
      <c r="F366" s="21">
        <v>0.0</v>
      </c>
      <c r="G366" s="22">
        <v>0.0</v>
      </c>
      <c r="H366" s="17" t="s">
        <v>93</v>
      </c>
      <c r="I366" s="22">
        <f>F366-IFERROR(VLOOKUP(B366,crm_orders!$A:$S,10,FALSE),0)</f>
        <v>-12</v>
      </c>
      <c r="J366" s="22">
        <f>G366-IFERROR(VLOOKUP(B366,crm_orders!$A:$S,12,FALSE),0)</f>
        <v>-79.08</v>
      </c>
      <c r="K366" s="17" t="str">
        <f>IF(COUNTIF(crm_orders!$A:$A,B366)=0,"Orphan","OK")</f>
        <v>OK</v>
      </c>
    </row>
    <row r="367" ht="15.75" customHeight="1">
      <c r="A367" s="25" t="s">
        <v>1578</v>
      </c>
      <c r="B367" s="25" t="s">
        <v>117</v>
      </c>
      <c r="C367" s="26">
        <v>46051.0</v>
      </c>
      <c r="D367" s="25" t="s">
        <v>114</v>
      </c>
      <c r="E367" s="25" t="s">
        <v>68</v>
      </c>
      <c r="F367" s="29">
        <v>48.0</v>
      </c>
      <c r="G367" s="30">
        <v>544.8</v>
      </c>
      <c r="H367" s="25" t="s">
        <v>1214</v>
      </c>
      <c r="I367" s="30">
        <f>F367-IFERROR(VLOOKUP(B367,crm_orders!$A:$S,10,FALSE),0)</f>
        <v>0</v>
      </c>
      <c r="J367" s="30">
        <f>G367-IFERROR(VLOOKUP(B367,crm_orders!$A:$S,12,FALSE),0)</f>
        <v>0</v>
      </c>
      <c r="K367" s="25" t="str">
        <f>IF(COUNTIF(crm_orders!$A:$A,B367)=0,"Orphan","OK")</f>
        <v>OK</v>
      </c>
    </row>
    <row r="368" ht="15.75" customHeight="1">
      <c r="A368" s="17" t="s">
        <v>1579</v>
      </c>
      <c r="B368" s="17" t="s">
        <v>609</v>
      </c>
      <c r="C368" s="18">
        <v>46052.0</v>
      </c>
      <c r="D368" s="17" t="s">
        <v>542</v>
      </c>
      <c r="E368" s="17" t="s">
        <v>78</v>
      </c>
      <c r="F368" s="21">
        <v>96.0</v>
      </c>
      <c r="G368" s="22">
        <v>1093.44</v>
      </c>
      <c r="H368" s="17" t="s">
        <v>93</v>
      </c>
      <c r="I368" s="22">
        <f>F368-IFERROR(VLOOKUP(B368,crm_orders!$A:$S,10,FALSE),0)</f>
        <v>-24</v>
      </c>
      <c r="J368" s="22">
        <f>G368-IFERROR(VLOOKUP(B368,crm_orders!$A:$S,12,FALSE),0)</f>
        <v>-273.36</v>
      </c>
      <c r="K368" s="17" t="str">
        <f>IF(COUNTIF(crm_orders!$A:$A,B368)=0,"Orphan","OK")</f>
        <v>OK</v>
      </c>
    </row>
    <row r="369" ht="15.75" customHeight="1">
      <c r="A369" s="25" t="s">
        <v>1580</v>
      </c>
      <c r="B369" s="25" t="s">
        <v>352</v>
      </c>
      <c r="C369" s="26">
        <v>46059.0</v>
      </c>
      <c r="D369" s="25" t="s">
        <v>293</v>
      </c>
      <c r="E369" s="25" t="s">
        <v>110</v>
      </c>
      <c r="F369" s="29">
        <v>18.0</v>
      </c>
      <c r="G369" s="30">
        <v>185.94</v>
      </c>
      <c r="H369" s="25" t="s">
        <v>1212</v>
      </c>
      <c r="I369" s="30">
        <f>F369-IFERROR(VLOOKUP(B369,crm_orders!$A:$S,10,FALSE),0)</f>
        <v>6</v>
      </c>
      <c r="J369" s="30">
        <f>G369-IFERROR(VLOOKUP(B369,crm_orders!$A:$S,12,FALSE),0)</f>
        <v>61.98</v>
      </c>
      <c r="K369" s="25" t="str">
        <f>IF(COUNTIF(crm_orders!$A:$A,B369)=0,"Orphan","OK")</f>
        <v>OK</v>
      </c>
    </row>
    <row r="370" ht="15.75" customHeight="1">
      <c r="A370" s="17" t="s">
        <v>1581</v>
      </c>
      <c r="B370" s="17" t="s">
        <v>777</v>
      </c>
      <c r="C370" s="18">
        <v>46116.0</v>
      </c>
      <c r="D370" s="17" t="s">
        <v>712</v>
      </c>
      <c r="E370" s="17" t="s">
        <v>102</v>
      </c>
      <c r="F370" s="21">
        <v>12.0</v>
      </c>
      <c r="G370" s="22">
        <v>142.56</v>
      </c>
      <c r="H370" s="17" t="s">
        <v>1214</v>
      </c>
      <c r="I370" s="22">
        <f>F370-IFERROR(VLOOKUP(B370,crm_orders!$A:$S,10,FALSE),0)</f>
        <v>0</v>
      </c>
      <c r="J370" s="22">
        <f>G370-IFERROR(VLOOKUP(B370,crm_orders!$A:$S,12,FALSE),0)</f>
        <v>0</v>
      </c>
      <c r="K370" s="17" t="str">
        <f>IF(COUNTIF(crm_orders!$A:$A,B370)=0,"Orphan","OK")</f>
        <v>OK</v>
      </c>
    </row>
    <row r="371" ht="15.75" customHeight="1">
      <c r="A371" s="25" t="s">
        <v>1582</v>
      </c>
      <c r="B371" s="25" t="s">
        <v>1102</v>
      </c>
      <c r="C371" s="26">
        <v>46100.0</v>
      </c>
      <c r="D371" s="25" t="s">
        <v>1081</v>
      </c>
      <c r="E371" s="25" t="s">
        <v>64</v>
      </c>
      <c r="F371" s="29">
        <v>36.0</v>
      </c>
      <c r="G371" s="30">
        <v>296.28</v>
      </c>
      <c r="H371" s="25" t="s">
        <v>1214</v>
      </c>
      <c r="I371" s="30">
        <f>F371-IFERROR(VLOOKUP(B371,crm_orders!$A:$S,10,FALSE),0)</f>
        <v>0</v>
      </c>
      <c r="J371" s="30">
        <f>G371-IFERROR(VLOOKUP(B371,crm_orders!$A:$S,12,FALSE),0)</f>
        <v>0</v>
      </c>
      <c r="K371" s="25" t="str">
        <f>IF(COUNTIF(crm_orders!$A:$A,B371)=0,"Orphan","OK")</f>
        <v>OK</v>
      </c>
    </row>
    <row r="372" ht="15.75" customHeight="1">
      <c r="A372" s="17" t="s">
        <v>1583</v>
      </c>
      <c r="B372" s="17" t="s">
        <v>896</v>
      </c>
      <c r="C372" s="18">
        <v>46060.0</v>
      </c>
      <c r="D372" s="17" t="s">
        <v>864</v>
      </c>
      <c r="E372" s="17" t="s">
        <v>108</v>
      </c>
      <c r="F372" s="21">
        <v>36.0</v>
      </c>
      <c r="G372" s="22">
        <v>358.56</v>
      </c>
      <c r="H372" s="17" t="s">
        <v>1214</v>
      </c>
      <c r="I372" s="22">
        <f>F372-IFERROR(VLOOKUP(B372,crm_orders!$A:$S,10,FALSE),0)</f>
        <v>0</v>
      </c>
      <c r="J372" s="22">
        <f>G372-IFERROR(VLOOKUP(B372,crm_orders!$A:$S,12,FALSE),0)</f>
        <v>0</v>
      </c>
      <c r="K372" s="17" t="str">
        <f>IF(COUNTIF(crm_orders!$A:$A,B372)=0,"Orphan","OK")</f>
        <v>OK</v>
      </c>
    </row>
    <row r="373" ht="15.75" customHeight="1">
      <c r="A373" s="25" t="s">
        <v>1584</v>
      </c>
      <c r="B373" s="25" t="s">
        <v>118</v>
      </c>
      <c r="C373" s="26">
        <v>46049.0</v>
      </c>
      <c r="D373" s="25" t="s">
        <v>83</v>
      </c>
      <c r="E373" s="25" t="s">
        <v>81</v>
      </c>
      <c r="F373" s="29">
        <v>18.0</v>
      </c>
      <c r="G373" s="30">
        <v>134.28</v>
      </c>
      <c r="H373" s="25" t="s">
        <v>1214</v>
      </c>
      <c r="I373" s="30">
        <f>F373-IFERROR(VLOOKUP(B373,crm_orders!$A:$S,10,FALSE),0)</f>
        <v>0</v>
      </c>
      <c r="J373" s="30">
        <f>G373-IFERROR(VLOOKUP(B373,crm_orders!$A:$S,12,FALSE),0)</f>
        <v>0</v>
      </c>
      <c r="K373" s="25" t="str">
        <f>IF(COUNTIF(crm_orders!$A:$A,B373)=0,"Orphan","OK")</f>
        <v>OK</v>
      </c>
    </row>
    <row r="374" ht="15.75" customHeight="1">
      <c r="A374" s="17" t="s">
        <v>1585</v>
      </c>
      <c r="B374" s="17" t="s">
        <v>119</v>
      </c>
      <c r="C374" s="18">
        <v>46130.0</v>
      </c>
      <c r="D374" s="17" t="s">
        <v>104</v>
      </c>
      <c r="E374" s="17" t="s">
        <v>110</v>
      </c>
      <c r="F374" s="21">
        <v>12.0</v>
      </c>
      <c r="G374" s="22">
        <v>142.32</v>
      </c>
      <c r="H374" s="17" t="s">
        <v>1214</v>
      </c>
      <c r="I374" s="22">
        <f>F374-IFERROR(VLOOKUP(B374,crm_orders!$A:$S,10,FALSE),0)</f>
        <v>0</v>
      </c>
      <c r="J374" s="22">
        <f>G374-IFERROR(VLOOKUP(B374,crm_orders!$A:$S,12,FALSE),0)</f>
        <v>0</v>
      </c>
      <c r="K374" s="17" t="str">
        <f>IF(COUNTIF(crm_orders!$A:$A,B374)=0,"Orphan","OK")</f>
        <v>OK</v>
      </c>
    </row>
    <row r="375" ht="15.75" customHeight="1">
      <c r="A375" s="25" t="s">
        <v>1586</v>
      </c>
      <c r="B375" s="25" t="s">
        <v>496</v>
      </c>
      <c r="C375" s="26">
        <v>46104.0</v>
      </c>
      <c r="D375" s="25" t="s">
        <v>446</v>
      </c>
      <c r="E375" s="25" t="s">
        <v>95</v>
      </c>
      <c r="F375" s="29">
        <v>30.0</v>
      </c>
      <c r="G375" s="30">
        <v>310.88</v>
      </c>
      <c r="H375" s="25" t="s">
        <v>1212</v>
      </c>
      <c r="I375" s="30">
        <f>F375-IFERROR(VLOOKUP(B375,crm_orders!$A:$S,10,FALSE),0)</f>
        <v>0</v>
      </c>
      <c r="J375" s="30">
        <f>G375-IFERROR(VLOOKUP(B375,crm_orders!$A:$S,12,FALSE),0)</f>
        <v>-6.82</v>
      </c>
      <c r="K375" s="25" t="str">
        <f>IF(COUNTIF(crm_orders!$A:$A,B375)=0,"Orphan","OK")</f>
        <v>OK</v>
      </c>
    </row>
    <row r="376" ht="15.75" customHeight="1">
      <c r="A376" s="17" t="s">
        <v>1587</v>
      </c>
      <c r="B376" s="17" t="s">
        <v>221</v>
      </c>
      <c r="C376" s="18">
        <v>46129.0</v>
      </c>
      <c r="D376" s="17" t="s">
        <v>181</v>
      </c>
      <c r="E376" s="17" t="s">
        <v>64</v>
      </c>
      <c r="F376" s="21">
        <v>30.0</v>
      </c>
      <c r="G376" s="22">
        <v>215.4</v>
      </c>
      <c r="H376" s="17" t="s">
        <v>1214</v>
      </c>
      <c r="I376" s="22">
        <f>F376-IFERROR(VLOOKUP(B376,crm_orders!$A:$S,10,FALSE),0)</f>
        <v>0</v>
      </c>
      <c r="J376" s="22">
        <f>G376-IFERROR(VLOOKUP(B376,crm_orders!$A:$S,12,FALSE),0)</f>
        <v>0</v>
      </c>
      <c r="K376" s="17" t="str">
        <f>IF(COUNTIF(crm_orders!$A:$A,B376)=0,"Orphan","OK")</f>
        <v>OK</v>
      </c>
    </row>
    <row r="377" ht="15.75" customHeight="1">
      <c r="A377" s="25" t="s">
        <v>1588</v>
      </c>
      <c r="B377" s="25" t="s">
        <v>353</v>
      </c>
      <c r="C377" s="26">
        <v>46142.0</v>
      </c>
      <c r="D377" s="25" t="s">
        <v>299</v>
      </c>
      <c r="E377" s="25" t="s">
        <v>190</v>
      </c>
      <c r="F377" s="29">
        <v>36.0</v>
      </c>
      <c r="G377" s="30">
        <v>263.88</v>
      </c>
      <c r="H377" s="25" t="s">
        <v>1214</v>
      </c>
      <c r="I377" s="30">
        <f>F377-IFERROR(VLOOKUP(B377,crm_orders!$A:$S,10,FALSE),0)</f>
        <v>0</v>
      </c>
      <c r="J377" s="30">
        <f>G377-IFERROR(VLOOKUP(B377,crm_orders!$A:$S,12,FALSE),0)</f>
        <v>0</v>
      </c>
      <c r="K377" s="25" t="str">
        <f>IF(COUNTIF(crm_orders!$A:$A,B377)=0,"Orphan","OK")</f>
        <v>OK</v>
      </c>
    </row>
    <row r="378" ht="15.75" customHeight="1">
      <c r="A378" s="17" t="s">
        <v>1589</v>
      </c>
      <c r="B378" s="17" t="s">
        <v>611</v>
      </c>
      <c r="C378" s="18">
        <v>46113.0</v>
      </c>
      <c r="D378" s="17" t="s">
        <v>553</v>
      </c>
      <c r="E378" s="17" t="s">
        <v>190</v>
      </c>
      <c r="F378" s="21">
        <v>30.0</v>
      </c>
      <c r="G378" s="22">
        <v>240.0</v>
      </c>
      <c r="H378" s="17" t="s">
        <v>1214</v>
      </c>
      <c r="I378" s="22">
        <f>F378-IFERROR(VLOOKUP(B378,crm_orders!$A:$S,10,FALSE),0)</f>
        <v>0</v>
      </c>
      <c r="J378" s="22">
        <f>G378-IFERROR(VLOOKUP(B378,crm_orders!$A:$S,12,FALSE),0)</f>
        <v>0</v>
      </c>
      <c r="K378" s="17" t="str">
        <f>IF(COUNTIF(crm_orders!$A:$A,B378)=0,"Orphan","OK")</f>
        <v>OK</v>
      </c>
    </row>
    <row r="379" ht="15.75" customHeight="1">
      <c r="A379" s="25" t="s">
        <v>1590</v>
      </c>
      <c r="B379" s="25" t="s">
        <v>1151</v>
      </c>
      <c r="C379" s="26">
        <v>46101.0</v>
      </c>
      <c r="D379" s="25" t="s">
        <v>1136</v>
      </c>
      <c r="E379" s="25" t="s">
        <v>110</v>
      </c>
      <c r="F379" s="29">
        <v>30.0</v>
      </c>
      <c r="G379" s="30">
        <v>321.9</v>
      </c>
      <c r="H379" s="25" t="s">
        <v>1214</v>
      </c>
      <c r="I379" s="30">
        <f>F379-IFERROR(VLOOKUP(B379,crm_orders!$A:$S,10,FALSE),0)</f>
        <v>0</v>
      </c>
      <c r="J379" s="30">
        <f>G379-IFERROR(VLOOKUP(B379,crm_orders!$A:$S,12,FALSE),0)</f>
        <v>0</v>
      </c>
      <c r="K379" s="25" t="str">
        <f>IF(COUNTIF(crm_orders!$A:$A,B379)=0,"Orphan","OK")</f>
        <v>OK</v>
      </c>
    </row>
    <row r="380" ht="15.75" customHeight="1">
      <c r="A380" s="17" t="s">
        <v>1591</v>
      </c>
      <c r="B380" s="17" t="s">
        <v>1009</v>
      </c>
      <c r="C380" s="18">
        <v>46146.0</v>
      </c>
      <c r="D380" s="17" t="s">
        <v>957</v>
      </c>
      <c r="E380" s="17" t="s">
        <v>90</v>
      </c>
      <c r="F380" s="21">
        <v>96.0</v>
      </c>
      <c r="G380" s="22">
        <v>648.96</v>
      </c>
      <c r="H380" s="17" t="s">
        <v>1214</v>
      </c>
      <c r="I380" s="22">
        <f>F380-IFERROR(VLOOKUP(B380,crm_orders!$A:$S,10,FALSE),0)</f>
        <v>0</v>
      </c>
      <c r="J380" s="22">
        <f>G380-IFERROR(VLOOKUP(B380,crm_orders!$A:$S,12,FALSE),0)</f>
        <v>0</v>
      </c>
      <c r="K380" s="17" t="str">
        <f>IF(COUNTIF(crm_orders!$A:$A,B380)=0,"Orphan","OK")</f>
        <v>OK</v>
      </c>
    </row>
    <row r="381" ht="15.75" customHeight="1">
      <c r="A381" s="25" t="s">
        <v>1592</v>
      </c>
      <c r="B381" s="25" t="s">
        <v>497</v>
      </c>
      <c r="C381" s="26">
        <v>46058.0</v>
      </c>
      <c r="D381" s="25" t="s">
        <v>446</v>
      </c>
      <c r="E381" s="25" t="s">
        <v>85</v>
      </c>
      <c r="F381" s="29">
        <v>18.0</v>
      </c>
      <c r="G381" s="30">
        <v>179.46</v>
      </c>
      <c r="H381" s="25" t="s">
        <v>1214</v>
      </c>
      <c r="I381" s="30">
        <f>F381-IFERROR(VLOOKUP(B381,crm_orders!$A:$S,10,FALSE),0)</f>
        <v>0</v>
      </c>
      <c r="J381" s="30">
        <f>G381-IFERROR(VLOOKUP(B381,crm_orders!$A:$S,12,FALSE),0)</f>
        <v>0</v>
      </c>
      <c r="K381" s="25" t="str">
        <f>IF(COUNTIF(crm_orders!$A:$A,B381)=0,"Orphan","OK")</f>
        <v>OK</v>
      </c>
    </row>
    <row r="382" ht="15.75" customHeight="1">
      <c r="A382" s="17" t="s">
        <v>1593</v>
      </c>
      <c r="B382" s="17" t="s">
        <v>1152</v>
      </c>
      <c r="C382" s="18">
        <v>46114.0</v>
      </c>
      <c r="D382" s="17" t="s">
        <v>1133</v>
      </c>
      <c r="E382" s="17" t="s">
        <v>90</v>
      </c>
      <c r="F382" s="21">
        <v>60.0</v>
      </c>
      <c r="G382" s="22">
        <v>448.2</v>
      </c>
      <c r="H382" s="17" t="s">
        <v>1214</v>
      </c>
      <c r="I382" s="22">
        <f>F382-IFERROR(VLOOKUP(B382,crm_orders!$A:$S,10,FALSE),0)</f>
        <v>0</v>
      </c>
      <c r="J382" s="22">
        <f>G382-IFERROR(VLOOKUP(B382,crm_orders!$A:$S,12,FALSE),0)</f>
        <v>0</v>
      </c>
      <c r="K382" s="17" t="str">
        <f>IF(COUNTIF(crm_orders!$A:$A,B382)=0,"Orphan","OK")</f>
        <v>OK</v>
      </c>
    </row>
    <row r="383" ht="15.75" customHeight="1">
      <c r="A383" s="25" t="s">
        <v>1594</v>
      </c>
      <c r="B383" s="25" t="s">
        <v>354</v>
      </c>
      <c r="C383" s="26">
        <v>46044.0</v>
      </c>
      <c r="D383" s="25" t="s">
        <v>312</v>
      </c>
      <c r="E383" s="25" t="s">
        <v>64</v>
      </c>
      <c r="F383" s="29">
        <v>18.0</v>
      </c>
      <c r="G383" s="30">
        <v>143.1</v>
      </c>
      <c r="H383" s="25" t="s">
        <v>1214</v>
      </c>
      <c r="I383" s="30">
        <f>F383-IFERROR(VLOOKUP(B383,crm_orders!$A:$S,10,FALSE),0)</f>
        <v>0</v>
      </c>
      <c r="J383" s="30">
        <f>G383-IFERROR(VLOOKUP(B383,crm_orders!$A:$S,12,FALSE),0)</f>
        <v>0</v>
      </c>
      <c r="K383" s="25" t="str">
        <f>IF(COUNTIF(crm_orders!$A:$A,B383)=0,"Orphan","OK")</f>
        <v>OK</v>
      </c>
    </row>
    <row r="384" ht="15.75" customHeight="1">
      <c r="A384" s="17" t="s">
        <v>1595</v>
      </c>
      <c r="B384" s="17" t="s">
        <v>1103</v>
      </c>
      <c r="C384" s="18">
        <v>46106.0</v>
      </c>
      <c r="D384" s="17" t="s">
        <v>1077</v>
      </c>
      <c r="E384" s="17" t="s">
        <v>106</v>
      </c>
      <c r="F384" s="21">
        <v>96.0</v>
      </c>
      <c r="G384" s="22">
        <v>1060.8</v>
      </c>
      <c r="H384" s="17" t="s">
        <v>1214</v>
      </c>
      <c r="I384" s="22">
        <f>F384-IFERROR(VLOOKUP(B384,crm_orders!$A:$S,10,FALSE),0)</f>
        <v>0</v>
      </c>
      <c r="J384" s="22">
        <f>G384-IFERROR(VLOOKUP(B384,crm_orders!$A:$S,12,FALSE),0)</f>
        <v>0</v>
      </c>
      <c r="K384" s="17" t="str">
        <f>IF(COUNTIF(crm_orders!$A:$A,B384)=0,"Orphan","OK")</f>
        <v>OK</v>
      </c>
    </row>
    <row r="385" ht="15.75" customHeight="1">
      <c r="A385" s="25" t="s">
        <v>1596</v>
      </c>
      <c r="B385" s="25" t="s">
        <v>120</v>
      </c>
      <c r="C385" s="26">
        <v>46141.0</v>
      </c>
      <c r="D385" s="25" t="s">
        <v>70</v>
      </c>
      <c r="E385" s="25" t="s">
        <v>90</v>
      </c>
      <c r="F385" s="29">
        <v>60.0</v>
      </c>
      <c r="G385" s="30">
        <v>420.6</v>
      </c>
      <c r="H385" s="25" t="s">
        <v>1214</v>
      </c>
      <c r="I385" s="30">
        <f>F385-IFERROR(VLOOKUP(B385,crm_orders!$A:$S,10,FALSE),0)</f>
        <v>0</v>
      </c>
      <c r="J385" s="30">
        <f>G385-IFERROR(VLOOKUP(B385,crm_orders!$A:$S,12,FALSE),0)</f>
        <v>0</v>
      </c>
      <c r="K385" s="25" t="str">
        <f>IF(COUNTIF(crm_orders!$A:$A,B385)=0,"Orphan","OK")</f>
        <v>OK</v>
      </c>
    </row>
    <row r="386" ht="15.75" customHeight="1">
      <c r="A386" s="17" t="s">
        <v>1597</v>
      </c>
      <c r="B386" s="17" t="s">
        <v>1153</v>
      </c>
      <c r="C386" s="18">
        <v>46062.0</v>
      </c>
      <c r="D386" s="17" t="s">
        <v>1154</v>
      </c>
      <c r="E386" s="17" t="s">
        <v>190</v>
      </c>
      <c r="F386" s="21">
        <v>30.0</v>
      </c>
      <c r="G386" s="22">
        <v>235.2</v>
      </c>
      <c r="H386" s="17" t="s">
        <v>1212</v>
      </c>
      <c r="I386" s="22">
        <f>F386-IFERROR(VLOOKUP(B386,crm_orders!$A:$S,10,FALSE),0)</f>
        <v>12</v>
      </c>
      <c r="J386" s="22">
        <f>G386-IFERROR(VLOOKUP(B386,crm_orders!$A:$S,12,FALSE),0)</f>
        <v>94.08</v>
      </c>
      <c r="K386" s="17" t="str">
        <f>IF(COUNTIF(crm_orders!$A:$A,B386)=0,"Orphan","OK")</f>
        <v>OK</v>
      </c>
    </row>
    <row r="387" ht="15.75" customHeight="1">
      <c r="A387" s="25" t="s">
        <v>1598</v>
      </c>
      <c r="B387" s="25" t="s">
        <v>355</v>
      </c>
      <c r="C387" s="26">
        <v>46030.0</v>
      </c>
      <c r="D387" s="25" t="s">
        <v>305</v>
      </c>
      <c r="E387" s="25" t="s">
        <v>78</v>
      </c>
      <c r="F387" s="29">
        <v>36.0</v>
      </c>
      <c r="G387" s="30">
        <v>381.8</v>
      </c>
      <c r="H387" s="25" t="s">
        <v>1212</v>
      </c>
      <c r="I387" s="30">
        <f>F387-IFERROR(VLOOKUP(B387,crm_orders!$A:$S,10,FALSE),0)</f>
        <v>12</v>
      </c>
      <c r="J387" s="30">
        <f>G387-IFERROR(VLOOKUP(B387,crm_orders!$A:$S,12,FALSE),0)</f>
        <v>122.6</v>
      </c>
      <c r="K387" s="25" t="str">
        <f>IF(COUNTIF(crm_orders!$A:$A,B387)=0,"Orphan","OK")</f>
        <v>OK</v>
      </c>
    </row>
    <row r="388" ht="15.75" customHeight="1">
      <c r="A388" s="17" t="s">
        <v>1599</v>
      </c>
      <c r="B388" s="17" t="s">
        <v>897</v>
      </c>
      <c r="C388" s="18">
        <v>46100.0</v>
      </c>
      <c r="D388" s="17" t="s">
        <v>861</v>
      </c>
      <c r="E388" s="17" t="s">
        <v>71</v>
      </c>
      <c r="F388" s="21">
        <v>6.0</v>
      </c>
      <c r="G388" s="22">
        <v>50.04</v>
      </c>
      <c r="H388" s="17" t="s">
        <v>1214</v>
      </c>
      <c r="I388" s="22">
        <f>F388-IFERROR(VLOOKUP(B388,crm_orders!$A:$S,10,FALSE),0)</f>
        <v>0</v>
      </c>
      <c r="J388" s="22">
        <f>G388-IFERROR(VLOOKUP(B388,crm_orders!$A:$S,12,FALSE),0)</f>
        <v>0</v>
      </c>
      <c r="K388" s="17" t="str">
        <f>IF(COUNTIF(crm_orders!$A:$A,B388)=0,"Orphan","OK")</f>
        <v>OK</v>
      </c>
    </row>
    <row r="389" ht="15.75" customHeight="1">
      <c r="A389" s="25" t="s">
        <v>1600</v>
      </c>
      <c r="B389" s="25" t="s">
        <v>779</v>
      </c>
      <c r="C389" s="26">
        <v>46078.0</v>
      </c>
      <c r="D389" s="25" t="s">
        <v>714</v>
      </c>
      <c r="E389" s="25" t="s">
        <v>190</v>
      </c>
      <c r="F389" s="29">
        <v>24.0</v>
      </c>
      <c r="G389" s="30">
        <v>195.84</v>
      </c>
      <c r="H389" s="25" t="s">
        <v>1214</v>
      </c>
      <c r="I389" s="30">
        <f>F389-IFERROR(VLOOKUP(B389,crm_orders!$A:$S,10,FALSE),0)</f>
        <v>0</v>
      </c>
      <c r="J389" s="30">
        <f>G389-IFERROR(VLOOKUP(B389,crm_orders!$A:$S,12,FALSE),0)</f>
        <v>0</v>
      </c>
      <c r="K389" s="25" t="str">
        <f>IF(COUNTIF(crm_orders!$A:$A,B389)=0,"Orphan","OK")</f>
        <v>OK</v>
      </c>
    </row>
    <row r="390" ht="15.75" customHeight="1">
      <c r="A390" s="17" t="s">
        <v>1601</v>
      </c>
      <c r="B390" s="17" t="s">
        <v>1104</v>
      </c>
      <c r="C390" s="18">
        <v>46043.0</v>
      </c>
      <c r="D390" s="17" t="s">
        <v>1075</v>
      </c>
      <c r="E390" s="17" t="s">
        <v>64</v>
      </c>
      <c r="F390" s="21">
        <v>48.0</v>
      </c>
      <c r="G390" s="22">
        <v>344.64</v>
      </c>
      <c r="H390" s="17" t="s">
        <v>1214</v>
      </c>
      <c r="I390" s="22">
        <f>F390-IFERROR(VLOOKUP(B390,crm_orders!$A:$S,10,FALSE),0)</f>
        <v>0</v>
      </c>
      <c r="J390" s="22">
        <f>G390-IFERROR(VLOOKUP(B390,crm_orders!$A:$S,12,FALSE),0)</f>
        <v>0</v>
      </c>
      <c r="K390" s="17" t="str">
        <f>IF(COUNTIF(crm_orders!$A:$A,B390)=0,"Orphan","OK")</f>
        <v>OK</v>
      </c>
    </row>
    <row r="391" ht="15.75" customHeight="1">
      <c r="A391" s="25" t="s">
        <v>1602</v>
      </c>
      <c r="B391" s="25" t="s">
        <v>356</v>
      </c>
      <c r="C391" s="26">
        <v>46049.0</v>
      </c>
      <c r="D391" s="25" t="s">
        <v>297</v>
      </c>
      <c r="E391" s="25" t="s">
        <v>115</v>
      </c>
      <c r="F391" s="29">
        <v>0.0</v>
      </c>
      <c r="G391" s="30">
        <v>0.0</v>
      </c>
      <c r="H391" s="25" t="s">
        <v>93</v>
      </c>
      <c r="I391" s="30">
        <f>F391-IFERROR(VLOOKUP(B391,crm_orders!$A:$S,10,FALSE),0)</f>
        <v>-6</v>
      </c>
      <c r="J391" s="30">
        <f>G391-IFERROR(VLOOKUP(B391,crm_orders!$A:$S,12,FALSE),0)</f>
        <v>-70.32</v>
      </c>
      <c r="K391" s="25" t="str">
        <f>IF(COUNTIF(crm_orders!$A:$A,B391)=0,"Orphan","OK")</f>
        <v>OK</v>
      </c>
    </row>
    <row r="392" ht="15.75" customHeight="1">
      <c r="A392" s="17" t="s">
        <v>1603</v>
      </c>
      <c r="B392" s="17" t="s">
        <v>357</v>
      </c>
      <c r="C392" s="18">
        <v>46078.0</v>
      </c>
      <c r="D392" s="17" t="s">
        <v>299</v>
      </c>
      <c r="E392" s="17" t="s">
        <v>92</v>
      </c>
      <c r="F392" s="21">
        <v>36.0</v>
      </c>
      <c r="G392" s="22">
        <v>348.12</v>
      </c>
      <c r="H392" s="17" t="s">
        <v>1214</v>
      </c>
      <c r="I392" s="22">
        <f>F392-IFERROR(VLOOKUP(B392,crm_orders!$A:$S,10,FALSE),0)</f>
        <v>0</v>
      </c>
      <c r="J392" s="22">
        <f>G392-IFERROR(VLOOKUP(B392,crm_orders!$A:$S,12,FALSE),0)</f>
        <v>0</v>
      </c>
      <c r="K392" s="17" t="str">
        <f>IF(COUNTIF(crm_orders!$A:$A,B392)=0,"Orphan","OK")</f>
        <v>OK</v>
      </c>
    </row>
    <row r="393" ht="15.75" customHeight="1">
      <c r="A393" s="25" t="s">
        <v>1604</v>
      </c>
      <c r="B393" s="25" t="s">
        <v>1010</v>
      </c>
      <c r="C393" s="26">
        <v>46059.0</v>
      </c>
      <c r="D393" s="25" t="s">
        <v>965</v>
      </c>
      <c r="E393" s="25" t="s">
        <v>71</v>
      </c>
      <c r="F393" s="29">
        <v>120.0</v>
      </c>
      <c r="G393" s="30">
        <v>910.8</v>
      </c>
      <c r="H393" s="25" t="s">
        <v>1214</v>
      </c>
      <c r="I393" s="30">
        <f>F393-IFERROR(VLOOKUP(B393,crm_orders!$A:$S,10,FALSE),0)</f>
        <v>0</v>
      </c>
      <c r="J393" s="30">
        <f>G393-IFERROR(VLOOKUP(B393,crm_orders!$A:$S,12,FALSE),0)</f>
        <v>0</v>
      </c>
      <c r="K393" s="25" t="str">
        <f>IF(COUNTIF(crm_orders!$A:$A,B393)=0,"Orphan","OK")</f>
        <v>OK</v>
      </c>
    </row>
    <row r="394" ht="15.75" customHeight="1">
      <c r="A394" s="17" t="s">
        <v>1605</v>
      </c>
      <c r="B394" s="17" t="s">
        <v>222</v>
      </c>
      <c r="C394" s="18">
        <v>46060.0</v>
      </c>
      <c r="D394" s="17" t="s">
        <v>164</v>
      </c>
      <c r="E394" s="17" t="s">
        <v>90</v>
      </c>
      <c r="F394" s="21">
        <v>30.0</v>
      </c>
      <c r="G394" s="22">
        <v>228.6</v>
      </c>
      <c r="H394" s="17" t="s">
        <v>1214</v>
      </c>
      <c r="I394" s="22">
        <f>F394-IFERROR(VLOOKUP(B394,crm_orders!$A:$S,10,FALSE),0)</f>
        <v>0</v>
      </c>
      <c r="J394" s="22">
        <f>G394-IFERROR(VLOOKUP(B394,crm_orders!$A:$S,12,FALSE),0)</f>
        <v>0</v>
      </c>
      <c r="K394" s="17" t="str">
        <f>IF(COUNTIF(crm_orders!$A:$A,B394)=0,"Orphan","OK")</f>
        <v>OK</v>
      </c>
    </row>
    <row r="395" ht="15.75" customHeight="1">
      <c r="A395" s="25" t="s">
        <v>1606</v>
      </c>
      <c r="B395" s="25" t="s">
        <v>1155</v>
      </c>
      <c r="C395" s="26">
        <v>46086.0</v>
      </c>
      <c r="D395" s="25" t="s">
        <v>1124</v>
      </c>
      <c r="E395" s="25" t="s">
        <v>154</v>
      </c>
      <c r="F395" s="29">
        <v>120.0</v>
      </c>
      <c r="G395" s="30">
        <v>1162.8</v>
      </c>
      <c r="H395" s="25" t="s">
        <v>1214</v>
      </c>
      <c r="I395" s="30">
        <f>F395-IFERROR(VLOOKUP(B395,crm_orders!$A:$S,10,FALSE),0)</f>
        <v>0</v>
      </c>
      <c r="J395" s="30">
        <f>G395-IFERROR(VLOOKUP(B395,crm_orders!$A:$S,12,FALSE),0)</f>
        <v>0</v>
      </c>
      <c r="K395" s="25" t="str">
        <f>IF(COUNTIF(crm_orders!$A:$A,B395)=0,"Orphan","OK")</f>
        <v>OK</v>
      </c>
    </row>
    <row r="396" ht="15.75" customHeight="1">
      <c r="A396" s="17" t="s">
        <v>1607</v>
      </c>
      <c r="B396" s="17" t="s">
        <v>498</v>
      </c>
      <c r="C396" s="18">
        <v>46045.0</v>
      </c>
      <c r="D396" s="17" t="s">
        <v>452</v>
      </c>
      <c r="E396" s="17" t="s">
        <v>68</v>
      </c>
      <c r="F396" s="21">
        <v>96.0</v>
      </c>
      <c r="G396" s="22">
        <v>914.88</v>
      </c>
      <c r="H396" s="17" t="s">
        <v>1214</v>
      </c>
      <c r="I396" s="22">
        <f>F396-IFERROR(VLOOKUP(B396,crm_orders!$A:$S,10,FALSE),0)</f>
        <v>0</v>
      </c>
      <c r="J396" s="22">
        <f>G396-IFERROR(VLOOKUP(B396,crm_orders!$A:$S,12,FALSE),0)</f>
        <v>0</v>
      </c>
      <c r="K396" s="17" t="str">
        <f>IF(COUNTIF(crm_orders!$A:$A,B396)=0,"Orphan","OK")</f>
        <v>OK</v>
      </c>
    </row>
    <row r="397" ht="15.75" customHeight="1">
      <c r="A397" s="25" t="s">
        <v>1608</v>
      </c>
      <c r="B397" s="25" t="s">
        <v>358</v>
      </c>
      <c r="C397" s="26">
        <v>46136.0</v>
      </c>
      <c r="D397" s="25" t="s">
        <v>295</v>
      </c>
      <c r="E397" s="25" t="s">
        <v>95</v>
      </c>
      <c r="F397" s="29">
        <v>18.0</v>
      </c>
      <c r="G397" s="30">
        <v>194.22</v>
      </c>
      <c r="H397" s="25" t="s">
        <v>1214</v>
      </c>
      <c r="I397" s="30">
        <f>F397-IFERROR(VLOOKUP(B397,crm_orders!$A:$S,10,FALSE),0)</f>
        <v>0</v>
      </c>
      <c r="J397" s="30">
        <f>G397-IFERROR(VLOOKUP(B397,crm_orders!$A:$S,12,FALSE),0)</f>
        <v>0</v>
      </c>
      <c r="K397" s="25" t="str">
        <f>IF(COUNTIF(crm_orders!$A:$A,B397)=0,"Orphan","OK")</f>
        <v>OK</v>
      </c>
    </row>
    <row r="398" ht="15.75" customHeight="1">
      <c r="A398" s="17" t="s">
        <v>1609</v>
      </c>
      <c r="B398" s="17" t="s">
        <v>359</v>
      </c>
      <c r="C398" s="18">
        <v>46092.0</v>
      </c>
      <c r="D398" s="17" t="s">
        <v>295</v>
      </c>
      <c r="E398" s="17" t="s">
        <v>190</v>
      </c>
      <c r="F398" s="21">
        <v>24.0</v>
      </c>
      <c r="G398" s="22">
        <v>184.08</v>
      </c>
      <c r="H398" s="17" t="s">
        <v>1214</v>
      </c>
      <c r="I398" s="22">
        <f>F398-IFERROR(VLOOKUP(B398,crm_orders!$A:$S,10,FALSE),0)</f>
        <v>0</v>
      </c>
      <c r="J398" s="22">
        <f>G398-IFERROR(VLOOKUP(B398,crm_orders!$A:$S,12,FALSE),0)</f>
        <v>0</v>
      </c>
      <c r="K398" s="17" t="str">
        <f>IF(COUNTIF(crm_orders!$A:$A,B398)=0,"Orphan","OK")</f>
        <v>OK</v>
      </c>
    </row>
    <row r="399" ht="15.75" customHeight="1">
      <c r="A399" s="25" t="s">
        <v>1610</v>
      </c>
      <c r="B399" s="25" t="s">
        <v>1011</v>
      </c>
      <c r="C399" s="26">
        <v>46072.0</v>
      </c>
      <c r="D399" s="25" t="s">
        <v>999</v>
      </c>
      <c r="E399" s="25" t="s">
        <v>106</v>
      </c>
      <c r="F399" s="29">
        <v>120.0</v>
      </c>
      <c r="G399" s="30">
        <v>1262.4</v>
      </c>
      <c r="H399" s="25" t="s">
        <v>1214</v>
      </c>
      <c r="I399" s="30">
        <f>F399-IFERROR(VLOOKUP(B399,crm_orders!$A:$S,10,FALSE),0)</f>
        <v>0</v>
      </c>
      <c r="J399" s="30">
        <f>G399-IFERROR(VLOOKUP(B399,crm_orders!$A:$S,12,FALSE),0)</f>
        <v>0</v>
      </c>
      <c r="K399" s="25" t="str">
        <f>IF(COUNTIF(crm_orders!$A:$A,B399)=0,"Orphan","OK")</f>
        <v>OK</v>
      </c>
    </row>
    <row r="400" ht="15.75" customHeight="1">
      <c r="A400" s="17" t="s">
        <v>1611</v>
      </c>
      <c r="B400" s="17" t="s">
        <v>223</v>
      </c>
      <c r="C400" s="18">
        <v>46141.0</v>
      </c>
      <c r="D400" s="17" t="s">
        <v>198</v>
      </c>
      <c r="E400" s="17" t="s">
        <v>81</v>
      </c>
      <c r="F400" s="21">
        <v>96.0</v>
      </c>
      <c r="G400" s="22">
        <v>674.88</v>
      </c>
      <c r="H400" s="17" t="s">
        <v>1214</v>
      </c>
      <c r="I400" s="22">
        <f>F400-IFERROR(VLOOKUP(B400,crm_orders!$A:$S,10,FALSE),0)</f>
        <v>0</v>
      </c>
      <c r="J400" s="22">
        <f>G400-IFERROR(VLOOKUP(B400,crm_orders!$A:$S,12,FALSE),0)</f>
        <v>0</v>
      </c>
      <c r="K400" s="17" t="str">
        <f>IF(COUNTIF(crm_orders!$A:$A,B400)=0,"Orphan","OK")</f>
        <v>OK</v>
      </c>
    </row>
    <row r="401" ht="15.75" customHeight="1">
      <c r="A401" s="25" t="s">
        <v>1612</v>
      </c>
      <c r="B401" s="25" t="s">
        <v>898</v>
      </c>
      <c r="C401" s="26">
        <v>46037.0</v>
      </c>
      <c r="D401" s="25" t="s">
        <v>882</v>
      </c>
      <c r="E401" s="25" t="s">
        <v>64</v>
      </c>
      <c r="F401" s="29">
        <v>30.0</v>
      </c>
      <c r="G401" s="30">
        <v>217.5</v>
      </c>
      <c r="H401" s="25" t="s">
        <v>1214</v>
      </c>
      <c r="I401" s="30">
        <f>F401-IFERROR(VLOOKUP(B401,crm_orders!$A:$S,10,FALSE),0)</f>
        <v>0</v>
      </c>
      <c r="J401" s="30">
        <f>G401-IFERROR(VLOOKUP(B401,crm_orders!$A:$S,12,FALSE),0)</f>
        <v>0</v>
      </c>
      <c r="K401" s="25" t="str">
        <f>IF(COUNTIF(crm_orders!$A:$A,B401)=0,"Orphan","OK")</f>
        <v>OK</v>
      </c>
    </row>
    <row r="402" ht="15.75" customHeight="1">
      <c r="A402" s="17" t="s">
        <v>1613</v>
      </c>
      <c r="B402" s="17" t="s">
        <v>224</v>
      </c>
      <c r="C402" s="18">
        <v>46057.0</v>
      </c>
      <c r="D402" s="17" t="s">
        <v>177</v>
      </c>
      <c r="E402" s="17" t="s">
        <v>190</v>
      </c>
      <c r="F402" s="21">
        <v>72.0</v>
      </c>
      <c r="G402" s="22">
        <v>573.84</v>
      </c>
      <c r="H402" s="17" t="s">
        <v>1214</v>
      </c>
      <c r="I402" s="22">
        <f>F402-IFERROR(VLOOKUP(B402,crm_orders!$A:$S,10,FALSE),0)</f>
        <v>0</v>
      </c>
      <c r="J402" s="22">
        <f>G402-IFERROR(VLOOKUP(B402,crm_orders!$A:$S,12,FALSE),0)</f>
        <v>0</v>
      </c>
      <c r="K402" s="17" t="str">
        <f>IF(COUNTIF(crm_orders!$A:$A,B402)=0,"Orphan","OK")</f>
        <v>OK</v>
      </c>
    </row>
    <row r="403" ht="15.75" customHeight="1">
      <c r="A403" s="25" t="s">
        <v>1614</v>
      </c>
      <c r="B403" s="25" t="s">
        <v>225</v>
      </c>
      <c r="C403" s="26">
        <v>46123.0</v>
      </c>
      <c r="D403" s="25" t="s">
        <v>226</v>
      </c>
      <c r="E403" s="25" t="s">
        <v>92</v>
      </c>
      <c r="F403" s="29">
        <v>60.0</v>
      </c>
      <c r="G403" s="30">
        <v>652.8</v>
      </c>
      <c r="H403" s="25" t="s">
        <v>1214</v>
      </c>
      <c r="I403" s="30">
        <f>F403-IFERROR(VLOOKUP(B403,crm_orders!$A:$S,10,FALSE),0)</f>
        <v>0</v>
      </c>
      <c r="J403" s="30">
        <f>G403-IFERROR(VLOOKUP(B403,crm_orders!$A:$S,12,FALSE),0)</f>
        <v>0</v>
      </c>
      <c r="K403" s="25" t="str">
        <f>IF(COUNTIF(crm_orders!$A:$A,B403)=0,"Orphan","OK")</f>
        <v>OK</v>
      </c>
    </row>
    <row r="404" ht="15.75" customHeight="1">
      <c r="A404" s="17" t="s">
        <v>1615</v>
      </c>
      <c r="B404" s="17" t="s">
        <v>780</v>
      </c>
      <c r="C404" s="18">
        <v>46111.0</v>
      </c>
      <c r="D404" s="17" t="s">
        <v>702</v>
      </c>
      <c r="E404" s="17" t="s">
        <v>123</v>
      </c>
      <c r="F404" s="21">
        <v>24.0</v>
      </c>
      <c r="G404" s="22">
        <v>273.6</v>
      </c>
      <c r="H404" s="17" t="s">
        <v>1214</v>
      </c>
      <c r="I404" s="22">
        <f>F404-IFERROR(VLOOKUP(B404,crm_orders!$A:$S,10,FALSE),0)</f>
        <v>0</v>
      </c>
      <c r="J404" s="22">
        <f>G404-IFERROR(VLOOKUP(B404,crm_orders!$A:$S,12,FALSE),0)</f>
        <v>0</v>
      </c>
      <c r="K404" s="17" t="str">
        <f>IF(COUNTIF(crm_orders!$A:$A,B404)=0,"Orphan","OK")</f>
        <v>OK</v>
      </c>
    </row>
    <row r="405" ht="15.75" customHeight="1">
      <c r="A405" s="25" t="s">
        <v>1616</v>
      </c>
      <c r="B405" s="25" t="s">
        <v>612</v>
      </c>
      <c r="C405" s="26">
        <v>46048.0</v>
      </c>
      <c r="D405" s="25" t="s">
        <v>573</v>
      </c>
      <c r="E405" s="25" t="s">
        <v>102</v>
      </c>
      <c r="F405" s="29">
        <v>48.0</v>
      </c>
      <c r="G405" s="30">
        <v>546.24</v>
      </c>
      <c r="H405" s="25" t="s">
        <v>1214</v>
      </c>
      <c r="I405" s="30">
        <f>F405-IFERROR(VLOOKUP(B405,crm_orders!$A:$S,10,FALSE),0)</f>
        <v>0</v>
      </c>
      <c r="J405" s="30">
        <f>G405-IFERROR(VLOOKUP(B405,crm_orders!$A:$S,12,FALSE),0)</f>
        <v>0</v>
      </c>
      <c r="K405" s="25" t="str">
        <f>IF(COUNTIF(crm_orders!$A:$A,B405)=0,"Orphan","OK")</f>
        <v>OK</v>
      </c>
    </row>
    <row r="406" ht="15.75" customHeight="1">
      <c r="A406" s="17" t="s">
        <v>1617</v>
      </c>
      <c r="B406" s="17" t="s">
        <v>781</v>
      </c>
      <c r="C406" s="18">
        <v>46052.0</v>
      </c>
      <c r="D406" s="17" t="s">
        <v>741</v>
      </c>
      <c r="E406" s="17" t="s">
        <v>115</v>
      </c>
      <c r="F406" s="21">
        <v>24.0</v>
      </c>
      <c r="G406" s="22">
        <v>253.92</v>
      </c>
      <c r="H406" s="17" t="s">
        <v>1214</v>
      </c>
      <c r="I406" s="22">
        <f>F406-IFERROR(VLOOKUP(B406,crm_orders!$A:$S,10,FALSE),0)</f>
        <v>0</v>
      </c>
      <c r="J406" s="22">
        <f>G406-IFERROR(VLOOKUP(B406,crm_orders!$A:$S,12,FALSE),0)</f>
        <v>0</v>
      </c>
      <c r="K406" s="17" t="str">
        <f>IF(COUNTIF(crm_orders!$A:$A,B406)=0,"Orphan","OK")</f>
        <v>OK</v>
      </c>
    </row>
    <row r="407" ht="15.75" customHeight="1">
      <c r="A407" s="25" t="s">
        <v>1618</v>
      </c>
      <c r="B407" s="25" t="s">
        <v>227</v>
      </c>
      <c r="C407" s="26">
        <v>46106.0</v>
      </c>
      <c r="D407" s="25" t="s">
        <v>174</v>
      </c>
      <c r="E407" s="25" t="s">
        <v>90</v>
      </c>
      <c r="F407" s="29">
        <v>6.0</v>
      </c>
      <c r="G407" s="30">
        <v>47.4</v>
      </c>
      <c r="H407" s="25" t="s">
        <v>1214</v>
      </c>
      <c r="I407" s="30">
        <f>F407-IFERROR(VLOOKUP(B407,crm_orders!$A:$S,10,FALSE),0)</f>
        <v>0</v>
      </c>
      <c r="J407" s="30">
        <f>G407-IFERROR(VLOOKUP(B407,crm_orders!$A:$S,12,FALSE),0)</f>
        <v>0</v>
      </c>
      <c r="K407" s="25" t="str">
        <f>IF(COUNTIF(crm_orders!$A:$A,B407)=0,"Orphan","OK")</f>
        <v>OK</v>
      </c>
    </row>
    <row r="408" ht="15.75" customHeight="1">
      <c r="A408" s="17" t="s">
        <v>1619</v>
      </c>
      <c r="B408" s="17" t="s">
        <v>361</v>
      </c>
      <c r="C408" s="18">
        <v>46139.0</v>
      </c>
      <c r="D408" s="17" t="s">
        <v>314</v>
      </c>
      <c r="E408" s="17" t="s">
        <v>64</v>
      </c>
      <c r="F408" s="21">
        <v>12.0</v>
      </c>
      <c r="G408" s="22">
        <v>92.88</v>
      </c>
      <c r="H408" s="17" t="s">
        <v>93</v>
      </c>
      <c r="I408" s="22">
        <f>F408-IFERROR(VLOOKUP(B408,crm_orders!$A:$S,10,FALSE),0)</f>
        <v>-18</v>
      </c>
      <c r="J408" s="22">
        <f>G408-IFERROR(VLOOKUP(B408,crm_orders!$A:$S,12,FALSE),0)</f>
        <v>-139.32</v>
      </c>
      <c r="K408" s="17" t="str">
        <f>IF(COUNTIF(crm_orders!$A:$A,B408)=0,"Orphan","OK")</f>
        <v>OK</v>
      </c>
    </row>
    <row r="409" ht="15.75" customHeight="1">
      <c r="A409" s="25" t="s">
        <v>1620</v>
      </c>
      <c r="B409" s="25" t="s">
        <v>362</v>
      </c>
      <c r="C409" s="26">
        <v>46098.0</v>
      </c>
      <c r="D409" s="25" t="s">
        <v>305</v>
      </c>
      <c r="E409" s="25" t="s">
        <v>95</v>
      </c>
      <c r="F409" s="29">
        <v>48.0</v>
      </c>
      <c r="G409" s="30">
        <v>501.6</v>
      </c>
      <c r="H409" s="25" t="s">
        <v>1214</v>
      </c>
      <c r="I409" s="30">
        <f>F409-IFERROR(VLOOKUP(B409,crm_orders!$A:$S,10,FALSE),0)</f>
        <v>0</v>
      </c>
      <c r="J409" s="30">
        <f>G409-IFERROR(VLOOKUP(B409,crm_orders!$A:$S,12,FALSE),0)</f>
        <v>0</v>
      </c>
      <c r="K409" s="25" t="str">
        <f>IF(COUNTIF(crm_orders!$A:$A,B409)=0,"Orphan","OK")</f>
        <v>OK</v>
      </c>
    </row>
    <row r="410" ht="15.75" customHeight="1">
      <c r="A410" s="17" t="s">
        <v>1621</v>
      </c>
      <c r="B410" s="17" t="s">
        <v>1012</v>
      </c>
      <c r="C410" s="18">
        <v>46122.0</v>
      </c>
      <c r="D410" s="17" t="s">
        <v>961</v>
      </c>
      <c r="E410" s="17" t="s">
        <v>78</v>
      </c>
      <c r="F410" s="21">
        <v>72.0</v>
      </c>
      <c r="G410" s="22">
        <v>767.52</v>
      </c>
      <c r="H410" s="17" t="s">
        <v>1214</v>
      </c>
      <c r="I410" s="22">
        <f>F410-IFERROR(VLOOKUP(B410,crm_orders!$A:$S,10,FALSE),0)</f>
        <v>0</v>
      </c>
      <c r="J410" s="22">
        <f>G410-IFERROR(VLOOKUP(B410,crm_orders!$A:$S,12,FALSE),0)</f>
        <v>0</v>
      </c>
      <c r="K410" s="17" t="str">
        <f>IF(COUNTIF(crm_orders!$A:$A,B410)=0,"Orphan","OK")</f>
        <v>OK</v>
      </c>
    </row>
    <row r="411" ht="15.75" customHeight="1">
      <c r="A411" s="25" t="s">
        <v>1622</v>
      </c>
      <c r="B411" s="25" t="s">
        <v>1013</v>
      </c>
      <c r="C411" s="26">
        <v>46139.0</v>
      </c>
      <c r="D411" s="25" t="s">
        <v>965</v>
      </c>
      <c r="E411" s="25" t="s">
        <v>71</v>
      </c>
      <c r="F411" s="29">
        <v>30.0</v>
      </c>
      <c r="G411" s="30">
        <v>218.1</v>
      </c>
      <c r="H411" s="25" t="s">
        <v>1214</v>
      </c>
      <c r="I411" s="30">
        <f>F411-IFERROR(VLOOKUP(B411,crm_orders!$A:$S,10,FALSE),0)</f>
        <v>0</v>
      </c>
      <c r="J411" s="30">
        <f>G411-IFERROR(VLOOKUP(B411,crm_orders!$A:$S,12,FALSE),0)</f>
        <v>0</v>
      </c>
      <c r="K411" s="25" t="str">
        <f>IF(COUNTIF(crm_orders!$A:$A,B411)=0,"Orphan","OK")</f>
        <v>OK</v>
      </c>
    </row>
    <row r="412" ht="15.75" customHeight="1">
      <c r="A412" s="17" t="s">
        <v>1623</v>
      </c>
      <c r="B412" s="17" t="s">
        <v>228</v>
      </c>
      <c r="C412" s="18">
        <v>46085.0</v>
      </c>
      <c r="D412" s="17" t="s">
        <v>170</v>
      </c>
      <c r="E412" s="17" t="s">
        <v>162</v>
      </c>
      <c r="F412" s="21">
        <v>36.0</v>
      </c>
      <c r="G412" s="22">
        <v>358.92</v>
      </c>
      <c r="H412" s="17" t="s">
        <v>1214</v>
      </c>
      <c r="I412" s="22">
        <f>F412-IFERROR(VLOOKUP(B412,crm_orders!$A:$S,10,FALSE),0)</f>
        <v>0</v>
      </c>
      <c r="J412" s="22">
        <f>G412-IFERROR(VLOOKUP(B412,crm_orders!$A:$S,12,FALSE),0)</f>
        <v>0</v>
      </c>
      <c r="K412" s="17" t="str">
        <f>IF(COUNTIF(crm_orders!$A:$A,B412)=0,"Orphan","OK")</f>
        <v>OK</v>
      </c>
    </row>
    <row r="413" ht="15.75" customHeight="1">
      <c r="A413" s="25" t="s">
        <v>1624</v>
      </c>
      <c r="B413" s="25" t="s">
        <v>613</v>
      </c>
      <c r="C413" s="26">
        <v>46119.0</v>
      </c>
      <c r="D413" s="25" t="s">
        <v>561</v>
      </c>
      <c r="E413" s="25" t="s">
        <v>78</v>
      </c>
      <c r="F413" s="29">
        <v>30.0</v>
      </c>
      <c r="G413" s="30">
        <v>331.47</v>
      </c>
      <c r="H413" s="25" t="s">
        <v>1212</v>
      </c>
      <c r="I413" s="30">
        <f>F413-IFERROR(VLOOKUP(B413,crm_orders!$A:$S,10,FALSE),0)</f>
        <v>0</v>
      </c>
      <c r="J413" s="30">
        <f>G413-IFERROR(VLOOKUP(B413,crm_orders!$A:$S,12,FALSE),0)</f>
        <v>-10.53</v>
      </c>
      <c r="K413" s="25" t="str">
        <f>IF(COUNTIF(crm_orders!$A:$A,B413)=0,"Orphan","OK")</f>
        <v>OK</v>
      </c>
    </row>
    <row r="414" ht="15.75" customHeight="1">
      <c r="A414" s="17" t="s">
        <v>1625</v>
      </c>
      <c r="B414" s="17" t="s">
        <v>1105</v>
      </c>
      <c r="C414" s="18">
        <v>46129.0</v>
      </c>
      <c r="D414" s="17" t="s">
        <v>1081</v>
      </c>
      <c r="E414" s="17" t="s">
        <v>90</v>
      </c>
      <c r="F414" s="21">
        <v>6.0</v>
      </c>
      <c r="G414" s="22">
        <v>42.06</v>
      </c>
      <c r="H414" s="17" t="s">
        <v>1214</v>
      </c>
      <c r="I414" s="22">
        <f>F414-IFERROR(VLOOKUP(B414,crm_orders!$A:$S,10,FALSE),0)</f>
        <v>0</v>
      </c>
      <c r="J414" s="22">
        <f>G414-IFERROR(VLOOKUP(B414,crm_orders!$A:$S,12,FALSE),0)</f>
        <v>0</v>
      </c>
      <c r="K414" s="17" t="str">
        <f>IF(COUNTIF(crm_orders!$A:$A,B414)=0,"Orphan","OK")</f>
        <v>OK</v>
      </c>
    </row>
    <row r="415" ht="15.75" customHeight="1">
      <c r="A415" s="25" t="s">
        <v>1626</v>
      </c>
      <c r="B415" s="25" t="s">
        <v>124</v>
      </c>
      <c r="C415" s="26">
        <v>46066.0</v>
      </c>
      <c r="D415" s="25" t="s">
        <v>83</v>
      </c>
      <c r="E415" s="25" t="s">
        <v>102</v>
      </c>
      <c r="F415" s="29">
        <v>78.0</v>
      </c>
      <c r="G415" s="30">
        <v>919.62</v>
      </c>
      <c r="H415" s="25" t="s">
        <v>1212</v>
      </c>
      <c r="I415" s="30">
        <f>F415-IFERROR(VLOOKUP(B415,crm_orders!$A:$S,10,FALSE),0)</f>
        <v>6</v>
      </c>
      <c r="J415" s="30">
        <f>G415-IFERROR(VLOOKUP(B415,crm_orders!$A:$S,12,FALSE),0)</f>
        <v>70.74</v>
      </c>
      <c r="K415" s="25" t="str">
        <f>IF(COUNTIF(crm_orders!$A:$A,B415)=0,"Orphan","OK")</f>
        <v>OK</v>
      </c>
    </row>
    <row r="416" ht="15.75" customHeight="1">
      <c r="A416" s="17" t="s">
        <v>1627</v>
      </c>
      <c r="B416" s="17" t="s">
        <v>899</v>
      </c>
      <c r="C416" s="18">
        <v>46081.0</v>
      </c>
      <c r="D416" s="17" t="s">
        <v>855</v>
      </c>
      <c r="E416" s="17" t="s">
        <v>78</v>
      </c>
      <c r="F416" s="21">
        <v>36.0</v>
      </c>
      <c r="G416" s="22">
        <v>368.28</v>
      </c>
      <c r="H416" s="17" t="s">
        <v>1214</v>
      </c>
      <c r="I416" s="22">
        <f>F416-IFERROR(VLOOKUP(B416,crm_orders!$A:$S,10,FALSE),0)</f>
        <v>0</v>
      </c>
      <c r="J416" s="22">
        <f>G416-IFERROR(VLOOKUP(B416,crm_orders!$A:$S,12,FALSE),0)</f>
        <v>0</v>
      </c>
      <c r="K416" s="17" t="str">
        <f>IF(COUNTIF(crm_orders!$A:$A,B416)=0,"Orphan","OK")</f>
        <v>OK</v>
      </c>
    </row>
    <row r="417" ht="15.75" customHeight="1">
      <c r="A417" s="25" t="s">
        <v>1628</v>
      </c>
      <c r="B417" s="25" t="s">
        <v>1014</v>
      </c>
      <c r="C417" s="26">
        <v>46051.0</v>
      </c>
      <c r="D417" s="25" t="s">
        <v>963</v>
      </c>
      <c r="E417" s="25" t="s">
        <v>71</v>
      </c>
      <c r="F417" s="29">
        <v>96.0</v>
      </c>
      <c r="G417" s="30">
        <v>755.52</v>
      </c>
      <c r="H417" s="25" t="s">
        <v>1214</v>
      </c>
      <c r="I417" s="30">
        <f>F417-IFERROR(VLOOKUP(B417,crm_orders!$A:$S,10,FALSE),0)</f>
        <v>0</v>
      </c>
      <c r="J417" s="30">
        <f>G417-IFERROR(VLOOKUP(B417,crm_orders!$A:$S,12,FALSE),0)</f>
        <v>0</v>
      </c>
      <c r="K417" s="25" t="str">
        <f>IF(COUNTIF(crm_orders!$A:$A,B417)=0,"Orphan","OK")</f>
        <v>OK</v>
      </c>
    </row>
    <row r="418" ht="15.75" customHeight="1">
      <c r="A418" s="17" t="s">
        <v>1629</v>
      </c>
      <c r="B418" s="17" t="s">
        <v>125</v>
      </c>
      <c r="C418" s="18">
        <v>46137.0</v>
      </c>
      <c r="D418" s="17" t="s">
        <v>83</v>
      </c>
      <c r="E418" s="17" t="s">
        <v>74</v>
      </c>
      <c r="F418" s="21">
        <v>12.0</v>
      </c>
      <c r="G418" s="22">
        <v>134.76</v>
      </c>
      <c r="H418" s="17" t="s">
        <v>1214</v>
      </c>
      <c r="I418" s="22">
        <f>F418-IFERROR(VLOOKUP(B418,crm_orders!$A:$S,10,FALSE),0)</f>
        <v>0</v>
      </c>
      <c r="J418" s="22">
        <f>G418-IFERROR(VLOOKUP(B418,crm_orders!$A:$S,12,FALSE),0)</f>
        <v>0</v>
      </c>
      <c r="K418" s="17" t="str">
        <f>IF(COUNTIF(crm_orders!$A:$A,B418)=0,"Orphan","OK")</f>
        <v>OK</v>
      </c>
    </row>
    <row r="419" ht="15.75" customHeight="1">
      <c r="A419" s="25" t="s">
        <v>1630</v>
      </c>
      <c r="B419" s="25" t="s">
        <v>900</v>
      </c>
      <c r="C419" s="26">
        <v>46088.0</v>
      </c>
      <c r="D419" s="25" t="s">
        <v>873</v>
      </c>
      <c r="E419" s="25" t="s">
        <v>92</v>
      </c>
      <c r="F419" s="29">
        <v>120.0</v>
      </c>
      <c r="G419" s="30">
        <v>1288.8</v>
      </c>
      <c r="H419" s="25" t="s">
        <v>1214</v>
      </c>
      <c r="I419" s="30">
        <f>F419-IFERROR(VLOOKUP(B419,crm_orders!$A:$S,10,FALSE),0)</f>
        <v>0</v>
      </c>
      <c r="J419" s="30">
        <f>G419-IFERROR(VLOOKUP(B419,crm_orders!$A:$S,12,FALSE),0)</f>
        <v>0</v>
      </c>
      <c r="K419" s="25" t="str">
        <f>IF(COUNTIF(crm_orders!$A:$A,B419)=0,"Orphan","OK")</f>
        <v>OK</v>
      </c>
    </row>
    <row r="420" ht="15.75" customHeight="1">
      <c r="A420" s="17" t="s">
        <v>1631</v>
      </c>
      <c r="B420" s="17" t="s">
        <v>782</v>
      </c>
      <c r="C420" s="18">
        <v>46119.0</v>
      </c>
      <c r="D420" s="17" t="s">
        <v>733</v>
      </c>
      <c r="E420" s="17" t="s">
        <v>102</v>
      </c>
      <c r="F420" s="21">
        <v>30.0</v>
      </c>
      <c r="G420" s="22">
        <v>348.46</v>
      </c>
      <c r="H420" s="17" t="s">
        <v>1212</v>
      </c>
      <c r="I420" s="22">
        <f>F420-IFERROR(VLOOKUP(B420,crm_orders!$A:$S,10,FALSE),0)</f>
        <v>0</v>
      </c>
      <c r="J420" s="22">
        <f>G420-IFERROR(VLOOKUP(B420,crm_orders!$A:$S,12,FALSE),0)</f>
        <v>11.56</v>
      </c>
      <c r="K420" s="17" t="str">
        <f>IF(COUNTIF(crm_orders!$A:$A,B420)=0,"Orphan","OK")</f>
        <v>OK</v>
      </c>
    </row>
    <row r="421" ht="15.75" customHeight="1">
      <c r="A421" s="25" t="s">
        <v>1632</v>
      </c>
      <c r="B421" s="25" t="s">
        <v>499</v>
      </c>
      <c r="C421" s="26">
        <v>46053.0</v>
      </c>
      <c r="D421" s="25" t="s">
        <v>469</v>
      </c>
      <c r="E421" s="25" t="s">
        <v>108</v>
      </c>
      <c r="F421" s="29">
        <v>0.0</v>
      </c>
      <c r="G421" s="30">
        <v>0.0</v>
      </c>
      <c r="H421" s="25" t="s">
        <v>93</v>
      </c>
      <c r="I421" s="30">
        <f>F421-IFERROR(VLOOKUP(B421,crm_orders!$A:$S,10,FALSE),0)</f>
        <v>-18</v>
      </c>
      <c r="J421" s="30">
        <f>G421-IFERROR(VLOOKUP(B421,crm_orders!$A:$S,12,FALSE),0)</f>
        <v>-207.18</v>
      </c>
      <c r="K421" s="25" t="str">
        <f>IF(COUNTIF(crm_orders!$A:$A,B421)=0,"Orphan","OK")</f>
        <v>OK</v>
      </c>
    </row>
    <row r="422" ht="15.75" customHeight="1">
      <c r="A422" s="17" t="s">
        <v>1633</v>
      </c>
      <c r="B422" s="17" t="s">
        <v>229</v>
      </c>
      <c r="C422" s="18">
        <v>46045.0</v>
      </c>
      <c r="D422" s="17" t="s">
        <v>174</v>
      </c>
      <c r="E422" s="17" t="s">
        <v>162</v>
      </c>
      <c r="F422" s="21">
        <v>48.0</v>
      </c>
      <c r="G422" s="22">
        <v>453.12</v>
      </c>
      <c r="H422" s="17" t="s">
        <v>1214</v>
      </c>
      <c r="I422" s="22">
        <f>F422-IFERROR(VLOOKUP(B422,crm_orders!$A:$S,10,FALSE),0)</f>
        <v>0</v>
      </c>
      <c r="J422" s="22">
        <f>G422-IFERROR(VLOOKUP(B422,crm_orders!$A:$S,12,FALSE),0)</f>
        <v>0</v>
      </c>
      <c r="K422" s="17" t="str">
        <f>IF(COUNTIF(crm_orders!$A:$A,B422)=0,"Orphan","OK")</f>
        <v>OK</v>
      </c>
    </row>
    <row r="423" ht="15.75" customHeight="1">
      <c r="A423" s="25" t="s">
        <v>1634</v>
      </c>
      <c r="B423" s="25" t="s">
        <v>901</v>
      </c>
      <c r="C423" s="26">
        <v>46048.0</v>
      </c>
      <c r="D423" s="25" t="s">
        <v>857</v>
      </c>
      <c r="E423" s="25" t="s">
        <v>110</v>
      </c>
      <c r="F423" s="29">
        <v>30.0</v>
      </c>
      <c r="G423" s="30">
        <v>337.8</v>
      </c>
      <c r="H423" s="25" t="s">
        <v>1214</v>
      </c>
      <c r="I423" s="30">
        <f>F423-IFERROR(VLOOKUP(B423,crm_orders!$A:$S,10,FALSE),0)</f>
        <v>0</v>
      </c>
      <c r="J423" s="30">
        <f>G423-IFERROR(VLOOKUP(B423,crm_orders!$A:$S,12,FALSE),0)</f>
        <v>0</v>
      </c>
      <c r="K423" s="25" t="str">
        <f>IF(COUNTIF(crm_orders!$A:$A,B423)=0,"Orphan","OK")</f>
        <v>OK</v>
      </c>
    </row>
    <row r="424" ht="15.75" customHeight="1">
      <c r="A424" s="17" t="s">
        <v>1635</v>
      </c>
      <c r="B424" s="17" t="s">
        <v>783</v>
      </c>
      <c r="C424" s="18">
        <v>46106.0</v>
      </c>
      <c r="D424" s="17" t="s">
        <v>706</v>
      </c>
      <c r="E424" s="17" t="s">
        <v>74</v>
      </c>
      <c r="F424" s="21">
        <v>18.0</v>
      </c>
      <c r="G424" s="22">
        <v>191.7</v>
      </c>
      <c r="H424" s="17" t="s">
        <v>1214</v>
      </c>
      <c r="I424" s="22">
        <f>F424-IFERROR(VLOOKUP(B424,crm_orders!$A:$S,10,FALSE),0)</f>
        <v>0</v>
      </c>
      <c r="J424" s="22">
        <f>G424-IFERROR(VLOOKUP(B424,crm_orders!$A:$S,12,FALSE),0)</f>
        <v>0</v>
      </c>
      <c r="K424" s="17" t="str">
        <f>IF(COUNTIF(crm_orders!$A:$A,B424)=0,"Orphan","OK")</f>
        <v>OK</v>
      </c>
    </row>
    <row r="425" ht="15.75" customHeight="1">
      <c r="A425" s="25" t="s">
        <v>1636</v>
      </c>
      <c r="B425" s="25" t="s">
        <v>902</v>
      </c>
      <c r="C425" s="26">
        <v>46147.0</v>
      </c>
      <c r="D425" s="25" t="s">
        <v>855</v>
      </c>
      <c r="E425" s="25" t="s">
        <v>74</v>
      </c>
      <c r="F425" s="29">
        <v>72.0</v>
      </c>
      <c r="G425" s="30">
        <v>900.0</v>
      </c>
      <c r="H425" s="25" t="s">
        <v>1214</v>
      </c>
      <c r="I425" s="30">
        <f>F425-IFERROR(VLOOKUP(B425,crm_orders!$A:$S,10,FALSE),0)</f>
        <v>0</v>
      </c>
      <c r="J425" s="30">
        <f>G425-IFERROR(VLOOKUP(B425,crm_orders!$A:$S,12,FALSE),0)</f>
        <v>0</v>
      </c>
      <c r="K425" s="25" t="str">
        <f>IF(COUNTIF(crm_orders!$A:$A,B425)=0,"Orphan","OK")</f>
        <v>OK</v>
      </c>
    </row>
    <row r="426" ht="15.75" customHeight="1">
      <c r="A426" s="17" t="s">
        <v>1637</v>
      </c>
      <c r="B426" s="17" t="s">
        <v>230</v>
      </c>
      <c r="C426" s="18">
        <v>46079.0</v>
      </c>
      <c r="D426" s="17" t="s">
        <v>168</v>
      </c>
      <c r="E426" s="17" t="s">
        <v>64</v>
      </c>
      <c r="F426" s="21">
        <v>72.0</v>
      </c>
      <c r="G426" s="22">
        <v>573.84</v>
      </c>
      <c r="H426" s="17" t="s">
        <v>1214</v>
      </c>
      <c r="I426" s="22">
        <f>F426-IFERROR(VLOOKUP(B426,crm_orders!$A:$S,10,FALSE),0)</f>
        <v>0</v>
      </c>
      <c r="J426" s="22">
        <f>G426-IFERROR(VLOOKUP(B426,crm_orders!$A:$S,12,FALSE),0)</f>
        <v>0</v>
      </c>
      <c r="K426" s="17" t="str">
        <f>IF(COUNTIF(crm_orders!$A:$A,B426)=0,"Orphan","OK")</f>
        <v>OK</v>
      </c>
    </row>
    <row r="427" ht="15.75" customHeight="1">
      <c r="A427" s="25" t="s">
        <v>1638</v>
      </c>
      <c r="B427" s="25" t="s">
        <v>500</v>
      </c>
      <c r="C427" s="26">
        <v>46072.0</v>
      </c>
      <c r="D427" s="25" t="s">
        <v>444</v>
      </c>
      <c r="E427" s="25" t="s">
        <v>102</v>
      </c>
      <c r="F427" s="29">
        <v>48.0</v>
      </c>
      <c r="G427" s="30">
        <v>502.56</v>
      </c>
      <c r="H427" s="25" t="s">
        <v>1214</v>
      </c>
      <c r="I427" s="30">
        <f>F427-IFERROR(VLOOKUP(B427,crm_orders!$A:$S,10,FALSE),0)</f>
        <v>0</v>
      </c>
      <c r="J427" s="30">
        <f>G427-IFERROR(VLOOKUP(B427,crm_orders!$A:$S,12,FALSE),0)</f>
        <v>0</v>
      </c>
      <c r="K427" s="25" t="str">
        <f>IF(COUNTIF(crm_orders!$A:$A,B427)=0,"Orphan","OK")</f>
        <v>OK</v>
      </c>
    </row>
    <row r="428" ht="15.75" customHeight="1">
      <c r="A428" s="17" t="s">
        <v>1639</v>
      </c>
      <c r="B428" s="17" t="s">
        <v>363</v>
      </c>
      <c r="C428" s="18">
        <v>46130.0</v>
      </c>
      <c r="D428" s="17" t="s">
        <v>330</v>
      </c>
      <c r="E428" s="17" t="s">
        <v>90</v>
      </c>
      <c r="F428" s="21">
        <v>60.0</v>
      </c>
      <c r="G428" s="22">
        <v>420.23</v>
      </c>
      <c r="H428" s="17" t="s">
        <v>1212</v>
      </c>
      <c r="I428" s="22">
        <f>F428-IFERROR(VLOOKUP(B428,crm_orders!$A:$S,10,FALSE),0)</f>
        <v>0</v>
      </c>
      <c r="J428" s="22">
        <f>G428-IFERROR(VLOOKUP(B428,crm_orders!$A:$S,12,FALSE),0)</f>
        <v>-11.77</v>
      </c>
      <c r="K428" s="17" t="str">
        <f>IF(COUNTIF(crm_orders!$A:$A,B428)=0,"Orphan","OK")</f>
        <v>OK</v>
      </c>
    </row>
    <row r="429" ht="15.75" customHeight="1">
      <c r="A429" s="25" t="s">
        <v>1640</v>
      </c>
      <c r="B429" s="25" t="s">
        <v>364</v>
      </c>
      <c r="C429" s="26">
        <v>46084.0</v>
      </c>
      <c r="D429" s="25" t="s">
        <v>291</v>
      </c>
      <c r="E429" s="25" t="s">
        <v>162</v>
      </c>
      <c r="F429" s="29">
        <v>72.0</v>
      </c>
      <c r="G429" s="30">
        <v>728.64</v>
      </c>
      <c r="H429" s="25" t="s">
        <v>1214</v>
      </c>
      <c r="I429" s="30">
        <f>F429-IFERROR(VLOOKUP(B429,crm_orders!$A:$S,10,FALSE),0)</f>
        <v>0</v>
      </c>
      <c r="J429" s="30">
        <f>G429-IFERROR(VLOOKUP(B429,crm_orders!$A:$S,12,FALSE),0)</f>
        <v>0</v>
      </c>
      <c r="K429" s="25" t="str">
        <f>IF(COUNTIF(crm_orders!$A:$A,B429)=0,"Orphan","OK")</f>
        <v>OK</v>
      </c>
    </row>
    <row r="430" ht="15.75" customHeight="1">
      <c r="A430" s="17" t="s">
        <v>1641</v>
      </c>
      <c r="B430" s="17" t="s">
        <v>231</v>
      </c>
      <c r="C430" s="18">
        <v>46117.0</v>
      </c>
      <c r="D430" s="17" t="s">
        <v>174</v>
      </c>
      <c r="E430" s="17" t="s">
        <v>108</v>
      </c>
      <c r="F430" s="21">
        <v>24.0</v>
      </c>
      <c r="G430" s="22">
        <v>258.96</v>
      </c>
      <c r="H430" s="17" t="s">
        <v>1214</v>
      </c>
      <c r="I430" s="22">
        <f>F430-IFERROR(VLOOKUP(B430,crm_orders!$A:$S,10,FALSE),0)</f>
        <v>0</v>
      </c>
      <c r="J430" s="22">
        <f>G430-IFERROR(VLOOKUP(B430,crm_orders!$A:$S,12,FALSE),0)</f>
        <v>0</v>
      </c>
      <c r="K430" s="17" t="str">
        <f>IF(COUNTIF(crm_orders!$A:$A,B430)=0,"Orphan","OK")</f>
        <v>OK</v>
      </c>
    </row>
    <row r="431" ht="15.75" customHeight="1">
      <c r="A431" s="25" t="s">
        <v>1642</v>
      </c>
      <c r="B431" s="25" t="s">
        <v>614</v>
      </c>
      <c r="C431" s="26">
        <v>46081.0</v>
      </c>
      <c r="D431" s="25" t="s">
        <v>588</v>
      </c>
      <c r="E431" s="25" t="s">
        <v>115</v>
      </c>
      <c r="F431" s="29">
        <v>24.0</v>
      </c>
      <c r="G431" s="30">
        <v>289.2</v>
      </c>
      <c r="H431" s="25" t="s">
        <v>1214</v>
      </c>
      <c r="I431" s="30">
        <f>F431-IFERROR(VLOOKUP(B431,crm_orders!$A:$S,10,FALSE),0)</f>
        <v>0</v>
      </c>
      <c r="J431" s="30">
        <f>G431-IFERROR(VLOOKUP(B431,crm_orders!$A:$S,12,FALSE),0)</f>
        <v>0</v>
      </c>
      <c r="K431" s="25" t="str">
        <f>IF(COUNTIF(crm_orders!$A:$A,B431)=0,"Orphan","OK")</f>
        <v>OK</v>
      </c>
    </row>
    <row r="432" ht="15.75" customHeight="1">
      <c r="A432" s="17" t="s">
        <v>1643</v>
      </c>
      <c r="B432" s="17" t="s">
        <v>365</v>
      </c>
      <c r="C432" s="18">
        <v>46061.0</v>
      </c>
      <c r="D432" s="17" t="s">
        <v>301</v>
      </c>
      <c r="E432" s="17" t="s">
        <v>90</v>
      </c>
      <c r="F432" s="21">
        <v>36.0</v>
      </c>
      <c r="G432" s="22">
        <v>244.08</v>
      </c>
      <c r="H432" s="17" t="s">
        <v>1214</v>
      </c>
      <c r="I432" s="22">
        <f>F432-IFERROR(VLOOKUP(B432,crm_orders!$A:$S,10,FALSE),0)</f>
        <v>0</v>
      </c>
      <c r="J432" s="22">
        <f>G432-IFERROR(VLOOKUP(B432,crm_orders!$A:$S,12,FALSE),0)</f>
        <v>0</v>
      </c>
      <c r="K432" s="17" t="str">
        <f>IF(COUNTIF(crm_orders!$A:$A,B432)=0,"Orphan","OK")</f>
        <v>OK</v>
      </c>
    </row>
    <row r="433" ht="15.75" customHeight="1">
      <c r="A433" s="25" t="s">
        <v>1644</v>
      </c>
      <c r="B433" s="25" t="s">
        <v>366</v>
      </c>
      <c r="C433" s="26">
        <v>46122.0</v>
      </c>
      <c r="D433" s="25" t="s">
        <v>305</v>
      </c>
      <c r="E433" s="25" t="s">
        <v>74</v>
      </c>
      <c r="F433" s="29">
        <v>6.0</v>
      </c>
      <c r="G433" s="30">
        <v>65.34</v>
      </c>
      <c r="H433" s="25" t="s">
        <v>1214</v>
      </c>
      <c r="I433" s="30">
        <f>F433-IFERROR(VLOOKUP(B433,crm_orders!$A:$S,10,FALSE),0)</f>
        <v>0</v>
      </c>
      <c r="J433" s="30">
        <f>G433-IFERROR(VLOOKUP(B433,crm_orders!$A:$S,12,FALSE),0)</f>
        <v>0</v>
      </c>
      <c r="K433" s="25" t="str">
        <f>IF(COUNTIF(crm_orders!$A:$A,B433)=0,"Orphan","OK")</f>
        <v>OK</v>
      </c>
    </row>
    <row r="434" ht="15.75" customHeight="1">
      <c r="A434" s="17" t="s">
        <v>1645</v>
      </c>
      <c r="B434" s="17" t="s">
        <v>126</v>
      </c>
      <c r="C434" s="18">
        <v>46092.0</v>
      </c>
      <c r="D434" s="17" t="s">
        <v>73</v>
      </c>
      <c r="E434" s="17" t="s">
        <v>68</v>
      </c>
      <c r="F434" s="21">
        <v>6.0</v>
      </c>
      <c r="G434" s="22">
        <v>60.84</v>
      </c>
      <c r="H434" s="17" t="s">
        <v>1214</v>
      </c>
      <c r="I434" s="22">
        <f>F434-IFERROR(VLOOKUP(B434,crm_orders!$A:$S,10,FALSE),0)</f>
        <v>0</v>
      </c>
      <c r="J434" s="22">
        <f>G434-IFERROR(VLOOKUP(B434,crm_orders!$A:$S,12,FALSE),0)</f>
        <v>0</v>
      </c>
      <c r="K434" s="17" t="str">
        <f>IF(COUNTIF(crm_orders!$A:$A,B434)=0,"Orphan","OK")</f>
        <v>OK</v>
      </c>
    </row>
    <row r="435" ht="15.75" customHeight="1">
      <c r="A435" s="25" t="s">
        <v>1646</v>
      </c>
      <c r="B435" s="25" t="s">
        <v>1156</v>
      </c>
      <c r="C435" s="26">
        <v>46047.0</v>
      </c>
      <c r="D435" s="25" t="s">
        <v>1139</v>
      </c>
      <c r="E435" s="25" t="s">
        <v>90</v>
      </c>
      <c r="F435" s="29">
        <v>24.0</v>
      </c>
      <c r="G435" s="30">
        <v>194.16</v>
      </c>
      <c r="H435" s="25" t="s">
        <v>1214</v>
      </c>
      <c r="I435" s="30">
        <f>F435-IFERROR(VLOOKUP(B435,crm_orders!$A:$S,10,FALSE),0)</f>
        <v>0</v>
      </c>
      <c r="J435" s="30">
        <f>G435-IFERROR(VLOOKUP(B435,crm_orders!$A:$S,12,FALSE),0)</f>
        <v>0</v>
      </c>
      <c r="K435" s="25" t="str">
        <f>IF(COUNTIF(crm_orders!$A:$A,B435)=0,"Orphan","OK")</f>
        <v>OK</v>
      </c>
    </row>
    <row r="436" ht="15.75" customHeight="1">
      <c r="A436" s="17" t="s">
        <v>1647</v>
      </c>
      <c r="B436" s="17" t="s">
        <v>615</v>
      </c>
      <c r="C436" s="18">
        <v>46124.0</v>
      </c>
      <c r="D436" s="17" t="s">
        <v>573</v>
      </c>
      <c r="E436" s="17" t="s">
        <v>106</v>
      </c>
      <c r="F436" s="21">
        <v>60.0</v>
      </c>
      <c r="G436" s="22">
        <v>612.6</v>
      </c>
      <c r="H436" s="17" t="s">
        <v>1214</v>
      </c>
      <c r="I436" s="22">
        <f>F436-IFERROR(VLOOKUP(B436,crm_orders!$A:$S,10,FALSE),0)</f>
        <v>0</v>
      </c>
      <c r="J436" s="22">
        <f>G436-IFERROR(VLOOKUP(B436,crm_orders!$A:$S,12,FALSE),0)</f>
        <v>0</v>
      </c>
      <c r="K436" s="17" t="str">
        <f>IF(COUNTIF(crm_orders!$A:$A,B436)=0,"Orphan","OK")</f>
        <v>OK</v>
      </c>
    </row>
    <row r="437" ht="15.75" customHeight="1">
      <c r="A437" s="25" t="s">
        <v>1648</v>
      </c>
      <c r="B437" s="25" t="s">
        <v>903</v>
      </c>
      <c r="C437" s="26">
        <v>46117.0</v>
      </c>
      <c r="D437" s="25" t="s">
        <v>855</v>
      </c>
      <c r="E437" s="25" t="s">
        <v>106</v>
      </c>
      <c r="F437" s="29">
        <v>30.0</v>
      </c>
      <c r="G437" s="30">
        <v>350.7</v>
      </c>
      <c r="H437" s="25" t="s">
        <v>1214</v>
      </c>
      <c r="I437" s="30">
        <f>F437-IFERROR(VLOOKUP(B437,crm_orders!$A:$S,10,FALSE),0)</f>
        <v>0</v>
      </c>
      <c r="J437" s="30">
        <f>G437-IFERROR(VLOOKUP(B437,crm_orders!$A:$S,12,FALSE),0)</f>
        <v>0</v>
      </c>
      <c r="K437" s="25" t="str">
        <f>IF(COUNTIF(crm_orders!$A:$A,B437)=0,"Orphan","OK")</f>
        <v>OK</v>
      </c>
    </row>
    <row r="438" ht="15.75" customHeight="1">
      <c r="A438" s="17" t="s">
        <v>1649</v>
      </c>
      <c r="B438" s="17" t="s">
        <v>784</v>
      </c>
      <c r="C438" s="18">
        <v>46062.0</v>
      </c>
      <c r="D438" s="17" t="s">
        <v>702</v>
      </c>
      <c r="E438" s="17" t="s">
        <v>102</v>
      </c>
      <c r="F438" s="21">
        <v>36.0</v>
      </c>
      <c r="G438" s="22">
        <v>426.6</v>
      </c>
      <c r="H438" s="17" t="s">
        <v>1214</v>
      </c>
      <c r="I438" s="22">
        <f>F438-IFERROR(VLOOKUP(B438,crm_orders!$A:$S,10,FALSE),0)</f>
        <v>0</v>
      </c>
      <c r="J438" s="22">
        <f>G438-IFERROR(VLOOKUP(B438,crm_orders!$A:$S,12,FALSE),0)</f>
        <v>0</v>
      </c>
      <c r="K438" s="17" t="str">
        <f>IF(COUNTIF(crm_orders!$A:$A,B438)=0,"Orphan","OK")</f>
        <v>OK</v>
      </c>
    </row>
    <row r="439" ht="15.75" customHeight="1">
      <c r="A439" s="25" t="s">
        <v>1650</v>
      </c>
      <c r="B439" s="25" t="s">
        <v>367</v>
      </c>
      <c r="C439" s="26">
        <v>46131.0</v>
      </c>
      <c r="D439" s="25" t="s">
        <v>330</v>
      </c>
      <c r="E439" s="25" t="s">
        <v>154</v>
      </c>
      <c r="F439" s="29">
        <v>30.0</v>
      </c>
      <c r="G439" s="30">
        <v>327.9</v>
      </c>
      <c r="H439" s="25" t="s">
        <v>1214</v>
      </c>
      <c r="I439" s="30">
        <f>F439-IFERROR(VLOOKUP(B439,crm_orders!$A:$S,10,FALSE),0)</f>
        <v>0</v>
      </c>
      <c r="J439" s="30">
        <f>G439-IFERROR(VLOOKUP(B439,crm_orders!$A:$S,12,FALSE),0)</f>
        <v>0</v>
      </c>
      <c r="K439" s="25" t="str">
        <f>IF(COUNTIF(crm_orders!$A:$A,B439)=0,"Orphan","OK")</f>
        <v>OK</v>
      </c>
    </row>
    <row r="440" ht="15.75" customHeight="1">
      <c r="A440" s="17" t="s">
        <v>1651</v>
      </c>
      <c r="B440" s="17" t="s">
        <v>1106</v>
      </c>
      <c r="C440" s="18">
        <v>46032.0</v>
      </c>
      <c r="D440" s="17" t="s">
        <v>1075</v>
      </c>
      <c r="E440" s="17" t="s">
        <v>95</v>
      </c>
      <c r="F440" s="21">
        <v>36.0</v>
      </c>
      <c r="G440" s="22">
        <v>388.8</v>
      </c>
      <c r="H440" s="17" t="s">
        <v>1214</v>
      </c>
      <c r="I440" s="22">
        <f>F440-IFERROR(VLOOKUP(B440,crm_orders!$A:$S,10,FALSE),0)</f>
        <v>0</v>
      </c>
      <c r="J440" s="22">
        <f>G440-IFERROR(VLOOKUP(B440,crm_orders!$A:$S,12,FALSE),0)</f>
        <v>0</v>
      </c>
      <c r="K440" s="17" t="str">
        <f>IF(COUNTIF(crm_orders!$A:$A,B440)=0,"Orphan","OK")</f>
        <v>OK</v>
      </c>
    </row>
    <row r="441" ht="15.75" customHeight="1">
      <c r="A441" s="25" t="s">
        <v>1652</v>
      </c>
      <c r="B441" s="25" t="s">
        <v>232</v>
      </c>
      <c r="C441" s="26">
        <v>46129.0</v>
      </c>
      <c r="D441" s="25" t="s">
        <v>164</v>
      </c>
      <c r="E441" s="25" t="s">
        <v>68</v>
      </c>
      <c r="F441" s="29">
        <v>60.0</v>
      </c>
      <c r="G441" s="30">
        <v>659.4</v>
      </c>
      <c r="H441" s="25" t="s">
        <v>1214</v>
      </c>
      <c r="I441" s="30">
        <f>F441-IFERROR(VLOOKUP(B441,crm_orders!$A:$S,10,FALSE),0)</f>
        <v>0</v>
      </c>
      <c r="J441" s="30">
        <f>G441-IFERROR(VLOOKUP(B441,crm_orders!$A:$S,12,FALSE),0)</f>
        <v>0</v>
      </c>
      <c r="K441" s="25" t="str">
        <f>IF(COUNTIF(crm_orders!$A:$A,B441)=0,"Orphan","OK")</f>
        <v>OK</v>
      </c>
    </row>
    <row r="442" ht="15.75" customHeight="1">
      <c r="A442" s="17" t="s">
        <v>1653</v>
      </c>
      <c r="B442" s="17" t="s">
        <v>616</v>
      </c>
      <c r="C442" s="18">
        <v>46105.0</v>
      </c>
      <c r="D442" s="17" t="s">
        <v>553</v>
      </c>
      <c r="E442" s="17" t="s">
        <v>74</v>
      </c>
      <c r="F442" s="21">
        <v>30.0</v>
      </c>
      <c r="G442" s="22">
        <v>348.0</v>
      </c>
      <c r="H442" s="17" t="s">
        <v>1214</v>
      </c>
      <c r="I442" s="22">
        <f>F442-IFERROR(VLOOKUP(B442,crm_orders!$A:$S,10,FALSE),0)</f>
        <v>0</v>
      </c>
      <c r="J442" s="22">
        <f>G442-IFERROR(VLOOKUP(B442,crm_orders!$A:$S,12,FALSE),0)</f>
        <v>0</v>
      </c>
      <c r="K442" s="17" t="str">
        <f>IF(COUNTIF(crm_orders!$A:$A,B442)=0,"Orphan","OK")</f>
        <v>OK</v>
      </c>
    </row>
    <row r="443" ht="15.75" customHeight="1">
      <c r="A443" s="25" t="s">
        <v>1654</v>
      </c>
      <c r="B443" s="25" t="s">
        <v>1015</v>
      </c>
      <c r="C443" s="26">
        <v>46151.0</v>
      </c>
      <c r="D443" s="25" t="s">
        <v>999</v>
      </c>
      <c r="E443" s="25" t="s">
        <v>71</v>
      </c>
      <c r="F443" s="29">
        <v>48.0</v>
      </c>
      <c r="G443" s="30">
        <v>346.56</v>
      </c>
      <c r="H443" s="25" t="s">
        <v>93</v>
      </c>
      <c r="I443" s="30">
        <f>F443-IFERROR(VLOOKUP(B443,crm_orders!$A:$S,10,FALSE),0)</f>
        <v>-24</v>
      </c>
      <c r="J443" s="30">
        <f>G443-IFERROR(VLOOKUP(B443,crm_orders!$A:$S,12,FALSE),0)</f>
        <v>-173.28</v>
      </c>
      <c r="K443" s="25" t="str">
        <f>IF(COUNTIF(crm_orders!$A:$A,B443)=0,"Orphan","OK")</f>
        <v>OK</v>
      </c>
    </row>
    <row r="444" ht="15.75" customHeight="1">
      <c r="A444" s="17" t="s">
        <v>1655</v>
      </c>
      <c r="B444" s="17" t="s">
        <v>786</v>
      </c>
      <c r="C444" s="18">
        <v>46085.0</v>
      </c>
      <c r="D444" s="17" t="s">
        <v>704</v>
      </c>
      <c r="E444" s="17" t="s">
        <v>190</v>
      </c>
      <c r="F444" s="21">
        <v>18.0</v>
      </c>
      <c r="G444" s="22">
        <v>145.26</v>
      </c>
      <c r="H444" s="17" t="s">
        <v>1214</v>
      </c>
      <c r="I444" s="22">
        <f>F444-IFERROR(VLOOKUP(B444,crm_orders!$A:$S,10,FALSE),0)</f>
        <v>0</v>
      </c>
      <c r="J444" s="22">
        <f>G444-IFERROR(VLOOKUP(B444,crm_orders!$A:$S,12,FALSE),0)</f>
        <v>0</v>
      </c>
      <c r="K444" s="17" t="str">
        <f>IF(COUNTIF(crm_orders!$A:$A,B444)=0,"Orphan","OK")</f>
        <v>OK</v>
      </c>
    </row>
    <row r="445" ht="15.75" customHeight="1">
      <c r="A445" s="25" t="s">
        <v>1656</v>
      </c>
      <c r="B445" s="25" t="s">
        <v>1157</v>
      </c>
      <c r="C445" s="26">
        <v>46136.0</v>
      </c>
      <c r="D445" s="25" t="s">
        <v>1154</v>
      </c>
      <c r="E445" s="25" t="s">
        <v>81</v>
      </c>
      <c r="F445" s="29">
        <v>48.0</v>
      </c>
      <c r="G445" s="30">
        <v>326.4</v>
      </c>
      <c r="H445" s="25" t="s">
        <v>1214</v>
      </c>
      <c r="I445" s="30">
        <f>F445-IFERROR(VLOOKUP(B445,crm_orders!$A:$S,10,FALSE),0)</f>
        <v>0</v>
      </c>
      <c r="J445" s="30">
        <f>G445-IFERROR(VLOOKUP(B445,crm_orders!$A:$S,12,FALSE),0)</f>
        <v>0</v>
      </c>
      <c r="K445" s="25" t="str">
        <f>IF(COUNTIF(crm_orders!$A:$A,B445)=0,"Orphan","OK")</f>
        <v>OK</v>
      </c>
    </row>
    <row r="446" ht="15.75" customHeight="1">
      <c r="A446" s="17" t="s">
        <v>1657</v>
      </c>
      <c r="B446" s="17" t="s">
        <v>501</v>
      </c>
      <c r="C446" s="18">
        <v>46059.0</v>
      </c>
      <c r="D446" s="17" t="s">
        <v>464</v>
      </c>
      <c r="E446" s="17" t="s">
        <v>90</v>
      </c>
      <c r="F446" s="21">
        <v>12.0</v>
      </c>
      <c r="G446" s="22">
        <v>81.6</v>
      </c>
      <c r="H446" s="17" t="s">
        <v>1214</v>
      </c>
      <c r="I446" s="22">
        <f>F446-IFERROR(VLOOKUP(B446,crm_orders!$A:$S,10,FALSE),0)</f>
        <v>0</v>
      </c>
      <c r="J446" s="22">
        <f>G446-IFERROR(VLOOKUP(B446,crm_orders!$A:$S,12,FALSE),0)</f>
        <v>0</v>
      </c>
      <c r="K446" s="17" t="str">
        <f>IF(COUNTIF(crm_orders!$A:$A,B446)=0,"Orphan","OK")</f>
        <v>OK</v>
      </c>
    </row>
    <row r="447" ht="15.75" customHeight="1">
      <c r="A447" s="25" t="s">
        <v>1658</v>
      </c>
      <c r="B447" s="25" t="s">
        <v>617</v>
      </c>
      <c r="C447" s="26">
        <v>46077.0</v>
      </c>
      <c r="D447" s="25" t="s">
        <v>582</v>
      </c>
      <c r="E447" s="25" t="s">
        <v>95</v>
      </c>
      <c r="F447" s="29">
        <v>24.0</v>
      </c>
      <c r="G447" s="30">
        <v>264.85</v>
      </c>
      <c r="H447" s="25" t="s">
        <v>1212</v>
      </c>
      <c r="I447" s="30">
        <f>F447-IFERROR(VLOOKUP(B447,crm_orders!$A:$S,10,FALSE),0)</f>
        <v>0</v>
      </c>
      <c r="J447" s="30">
        <f>G447-IFERROR(VLOOKUP(B447,crm_orders!$A:$S,12,FALSE),0)</f>
        <v>7.57</v>
      </c>
      <c r="K447" s="25" t="str">
        <f>IF(COUNTIF(crm_orders!$A:$A,B447)=0,"Orphan","OK")</f>
        <v>OK</v>
      </c>
    </row>
    <row r="448" ht="15.75" customHeight="1">
      <c r="A448" s="17" t="s">
        <v>1659</v>
      </c>
      <c r="B448" s="17" t="s">
        <v>502</v>
      </c>
      <c r="C448" s="18">
        <v>46083.0</v>
      </c>
      <c r="D448" s="17" t="s">
        <v>448</v>
      </c>
      <c r="E448" s="17" t="s">
        <v>110</v>
      </c>
      <c r="F448" s="21">
        <v>120.0</v>
      </c>
      <c r="G448" s="22">
        <v>1203.6</v>
      </c>
      <c r="H448" s="17" t="s">
        <v>1214</v>
      </c>
      <c r="I448" s="22">
        <f>F448-IFERROR(VLOOKUP(B448,crm_orders!$A:$S,10,FALSE),0)</f>
        <v>0</v>
      </c>
      <c r="J448" s="22">
        <f>G448-IFERROR(VLOOKUP(B448,crm_orders!$A:$S,12,FALSE),0)</f>
        <v>0</v>
      </c>
      <c r="K448" s="17" t="str">
        <f>IF(COUNTIF(crm_orders!$A:$A,B448)=0,"Orphan","OK")</f>
        <v>OK</v>
      </c>
    </row>
    <row r="449" ht="15.75" customHeight="1">
      <c r="A449" s="25" t="s">
        <v>1660</v>
      </c>
      <c r="B449" s="25" t="s">
        <v>618</v>
      </c>
      <c r="C449" s="26">
        <v>46062.0</v>
      </c>
      <c r="D449" s="25" t="s">
        <v>575</v>
      </c>
      <c r="E449" s="25" t="s">
        <v>71</v>
      </c>
      <c r="F449" s="29">
        <v>84.0</v>
      </c>
      <c r="G449" s="30">
        <v>591.36</v>
      </c>
      <c r="H449" s="25" t="s">
        <v>1212</v>
      </c>
      <c r="I449" s="30">
        <f>F449-IFERROR(VLOOKUP(B449,crm_orders!$A:$S,10,FALSE),0)</f>
        <v>12</v>
      </c>
      <c r="J449" s="30">
        <f>G449-IFERROR(VLOOKUP(B449,crm_orders!$A:$S,12,FALSE),0)</f>
        <v>84.48</v>
      </c>
      <c r="K449" s="25" t="str">
        <f>IF(COUNTIF(crm_orders!$A:$A,B449)=0,"Orphan","OK")</f>
        <v>OK</v>
      </c>
    </row>
    <row r="450" ht="15.75" customHeight="1">
      <c r="A450" s="17" t="s">
        <v>1661</v>
      </c>
      <c r="B450" s="17" t="s">
        <v>233</v>
      </c>
      <c r="C450" s="18">
        <v>46092.0</v>
      </c>
      <c r="D450" s="17" t="s">
        <v>198</v>
      </c>
      <c r="E450" s="17" t="s">
        <v>123</v>
      </c>
      <c r="F450" s="21">
        <v>48.0</v>
      </c>
      <c r="G450" s="22">
        <v>468.81</v>
      </c>
      <c r="H450" s="17" t="s">
        <v>1212</v>
      </c>
      <c r="I450" s="22">
        <f>F450-IFERROR(VLOOKUP(B450,crm_orders!$A:$S,10,FALSE),0)</f>
        <v>0</v>
      </c>
      <c r="J450" s="22">
        <f>G450-IFERROR(VLOOKUP(B450,crm_orders!$A:$S,12,FALSE),0)</f>
        <v>-15.03</v>
      </c>
      <c r="K450" s="17" t="str">
        <f>IF(COUNTIF(crm_orders!$A:$A,B450)=0,"Orphan","OK")</f>
        <v>OK</v>
      </c>
    </row>
    <row r="451" ht="15.75" customHeight="1">
      <c r="A451" s="25" t="s">
        <v>1662</v>
      </c>
      <c r="B451" s="25" t="s">
        <v>127</v>
      </c>
      <c r="C451" s="26">
        <v>46130.0</v>
      </c>
      <c r="D451" s="25" t="s">
        <v>114</v>
      </c>
      <c r="E451" s="25" t="s">
        <v>78</v>
      </c>
      <c r="F451" s="29">
        <v>120.0</v>
      </c>
      <c r="G451" s="30">
        <v>1309.2</v>
      </c>
      <c r="H451" s="25" t="s">
        <v>1214</v>
      </c>
      <c r="I451" s="30">
        <f>F451-IFERROR(VLOOKUP(B451,crm_orders!$A:$S,10,FALSE),0)</f>
        <v>0</v>
      </c>
      <c r="J451" s="30">
        <f>G451-IFERROR(VLOOKUP(B451,crm_orders!$A:$S,12,FALSE),0)</f>
        <v>0</v>
      </c>
      <c r="K451" s="25" t="str">
        <f>IF(COUNTIF(crm_orders!$A:$A,B451)=0,"Orphan","OK")</f>
        <v>OK</v>
      </c>
    </row>
    <row r="452" ht="15.75" customHeight="1">
      <c r="A452" s="17" t="s">
        <v>1663</v>
      </c>
      <c r="B452" s="17" t="s">
        <v>904</v>
      </c>
      <c r="C452" s="18">
        <v>46086.0</v>
      </c>
      <c r="D452" s="17" t="s">
        <v>879</v>
      </c>
      <c r="E452" s="17" t="s">
        <v>81</v>
      </c>
      <c r="F452" s="21">
        <v>72.0</v>
      </c>
      <c r="G452" s="22">
        <v>504.72</v>
      </c>
      <c r="H452" s="17" t="s">
        <v>1214</v>
      </c>
      <c r="I452" s="22">
        <f>F452-IFERROR(VLOOKUP(B452,crm_orders!$A:$S,10,FALSE),0)</f>
        <v>0</v>
      </c>
      <c r="J452" s="22">
        <f>G452-IFERROR(VLOOKUP(B452,crm_orders!$A:$S,12,FALSE),0)</f>
        <v>0</v>
      </c>
      <c r="K452" s="17" t="str">
        <f>IF(COUNTIF(crm_orders!$A:$A,B452)=0,"Orphan","OK")</f>
        <v>OK</v>
      </c>
    </row>
    <row r="453" ht="15.75" customHeight="1">
      <c r="A453" s="25" t="s">
        <v>1664</v>
      </c>
      <c r="B453" s="25" t="s">
        <v>619</v>
      </c>
      <c r="C453" s="26">
        <v>46139.0</v>
      </c>
      <c r="D453" s="25" t="s">
        <v>544</v>
      </c>
      <c r="E453" s="25" t="s">
        <v>92</v>
      </c>
      <c r="F453" s="29">
        <v>36.0</v>
      </c>
      <c r="G453" s="30">
        <v>371.52</v>
      </c>
      <c r="H453" s="25" t="s">
        <v>1214</v>
      </c>
      <c r="I453" s="30">
        <f>F453-IFERROR(VLOOKUP(B453,crm_orders!$A:$S,10,FALSE),0)</f>
        <v>0</v>
      </c>
      <c r="J453" s="30">
        <f>G453-IFERROR(VLOOKUP(B453,crm_orders!$A:$S,12,FALSE),0)</f>
        <v>0</v>
      </c>
      <c r="K453" s="25" t="str">
        <f>IF(COUNTIF(crm_orders!$A:$A,B453)=0,"Orphan","OK")</f>
        <v>OK</v>
      </c>
    </row>
    <row r="454" ht="15.75" customHeight="1">
      <c r="A454" s="17" t="s">
        <v>1665</v>
      </c>
      <c r="B454" s="17" t="s">
        <v>503</v>
      </c>
      <c r="C454" s="18">
        <v>46133.0</v>
      </c>
      <c r="D454" s="17" t="s">
        <v>446</v>
      </c>
      <c r="E454" s="17"/>
      <c r="F454" s="21">
        <v>72.0</v>
      </c>
      <c r="G454" s="22">
        <v>828.58</v>
      </c>
      <c r="H454" s="17" t="s">
        <v>1212</v>
      </c>
      <c r="I454" s="22">
        <f>F454-IFERROR(VLOOKUP(B454,crm_orders!$A:$S,10,FALSE),0)</f>
        <v>0</v>
      </c>
      <c r="J454" s="22">
        <f>G454-IFERROR(VLOOKUP(B454,crm_orders!$A:$S,12,FALSE),0)</f>
        <v>-11.66</v>
      </c>
      <c r="K454" s="17" t="str">
        <f>IF(COUNTIF(crm_orders!$A:$A,B454)=0,"Orphan","OK")</f>
        <v>OK</v>
      </c>
    </row>
    <row r="455" ht="15.75" customHeight="1">
      <c r="A455" s="25" t="s">
        <v>1666</v>
      </c>
      <c r="B455" s="25" t="s">
        <v>787</v>
      </c>
      <c r="C455" s="26">
        <v>46133.0</v>
      </c>
      <c r="D455" s="25" t="s">
        <v>733</v>
      </c>
      <c r="E455" s="25" t="s">
        <v>156</v>
      </c>
      <c r="F455" s="29">
        <v>30.0</v>
      </c>
      <c r="G455" s="30">
        <v>325.2</v>
      </c>
      <c r="H455" s="25" t="s">
        <v>1214</v>
      </c>
      <c r="I455" s="30">
        <f>F455-IFERROR(VLOOKUP(B455,crm_orders!$A:$S,10,FALSE),0)</f>
        <v>0</v>
      </c>
      <c r="J455" s="30">
        <f>G455-IFERROR(VLOOKUP(B455,crm_orders!$A:$S,12,FALSE),0)</f>
        <v>0</v>
      </c>
      <c r="K455" s="25" t="str">
        <f>IF(COUNTIF(crm_orders!$A:$A,B455)=0,"Orphan","OK")</f>
        <v>OK</v>
      </c>
    </row>
    <row r="456" ht="15.75" customHeight="1">
      <c r="A456" s="17" t="s">
        <v>1667</v>
      </c>
      <c r="B456" s="17" t="s">
        <v>788</v>
      </c>
      <c r="C456" s="18">
        <v>46042.0</v>
      </c>
      <c r="D456" s="17" t="s">
        <v>720</v>
      </c>
      <c r="E456" s="17" t="s">
        <v>85</v>
      </c>
      <c r="F456" s="21">
        <v>30.0</v>
      </c>
      <c r="G456" s="22">
        <v>299.4</v>
      </c>
      <c r="H456" s="17" t="s">
        <v>1214</v>
      </c>
      <c r="I456" s="22">
        <f>F456-IFERROR(VLOOKUP(B456,crm_orders!$A:$S,10,FALSE),0)</f>
        <v>0</v>
      </c>
      <c r="J456" s="22">
        <f>G456-IFERROR(VLOOKUP(B456,crm_orders!$A:$S,12,FALSE),0)</f>
        <v>0</v>
      </c>
      <c r="K456" s="17" t="str">
        <f>IF(COUNTIF(crm_orders!$A:$A,B456)=0,"Orphan","OK")</f>
        <v>OK</v>
      </c>
    </row>
    <row r="457" ht="15.75" customHeight="1">
      <c r="A457" s="25" t="s">
        <v>1668</v>
      </c>
      <c r="B457" s="25" t="s">
        <v>504</v>
      </c>
      <c r="C457" s="26">
        <v>46119.0</v>
      </c>
      <c r="D457" s="25" t="s">
        <v>454</v>
      </c>
      <c r="E457" s="25" t="s">
        <v>162</v>
      </c>
      <c r="F457" s="29">
        <v>12.0</v>
      </c>
      <c r="G457" s="30">
        <v>128.52</v>
      </c>
      <c r="H457" s="25" t="s">
        <v>1214</v>
      </c>
      <c r="I457" s="30">
        <f>F457-IFERROR(VLOOKUP(B457,crm_orders!$A:$S,10,FALSE),0)</f>
        <v>0</v>
      </c>
      <c r="J457" s="30">
        <f>G457-IFERROR(VLOOKUP(B457,crm_orders!$A:$S,12,FALSE),0)</f>
        <v>0</v>
      </c>
      <c r="K457" s="25" t="str">
        <f>IF(COUNTIF(crm_orders!$A:$A,B457)=0,"Orphan","OK")</f>
        <v>OK</v>
      </c>
    </row>
    <row r="458" ht="15.75" customHeight="1">
      <c r="A458" s="17" t="s">
        <v>1669</v>
      </c>
      <c r="B458" s="17" t="s">
        <v>1017</v>
      </c>
      <c r="C458" s="18">
        <v>46041.0</v>
      </c>
      <c r="D458" s="17" t="s">
        <v>968</v>
      </c>
      <c r="E458" s="17" t="s">
        <v>102</v>
      </c>
      <c r="F458" s="21">
        <v>96.0</v>
      </c>
      <c r="G458" s="22">
        <v>1031.04</v>
      </c>
      <c r="H458" s="17" t="s">
        <v>1214</v>
      </c>
      <c r="I458" s="22">
        <f>F458-IFERROR(VLOOKUP(B458,crm_orders!$A:$S,10,FALSE),0)</f>
        <v>0</v>
      </c>
      <c r="J458" s="22">
        <f>G458-IFERROR(VLOOKUP(B458,crm_orders!$A:$S,12,FALSE),0)</f>
        <v>0</v>
      </c>
      <c r="K458" s="17" t="str">
        <f>IF(COUNTIF(crm_orders!$A:$A,B458)=0,"Orphan","OK")</f>
        <v>OK</v>
      </c>
    </row>
    <row r="459" ht="15.75" customHeight="1">
      <c r="A459" s="25" t="s">
        <v>1670</v>
      </c>
      <c r="B459" s="25" t="s">
        <v>789</v>
      </c>
      <c r="C459" s="26">
        <v>46139.0</v>
      </c>
      <c r="D459" s="25" t="s">
        <v>729</v>
      </c>
      <c r="E459" s="25" t="s">
        <v>78</v>
      </c>
      <c r="F459" s="29">
        <v>24.0</v>
      </c>
      <c r="G459" s="30">
        <v>270.72</v>
      </c>
      <c r="H459" s="25" t="s">
        <v>1214</v>
      </c>
      <c r="I459" s="30">
        <f>F459-IFERROR(VLOOKUP(B459,crm_orders!$A:$S,10,FALSE),0)</f>
        <v>0</v>
      </c>
      <c r="J459" s="30">
        <f>G459-IFERROR(VLOOKUP(B459,crm_orders!$A:$S,12,FALSE),0)</f>
        <v>0</v>
      </c>
      <c r="K459" s="25" t="str">
        <f>IF(COUNTIF(crm_orders!$A:$A,B459)=0,"Orphan","OK")</f>
        <v>OK</v>
      </c>
    </row>
    <row r="460" ht="15.75" customHeight="1">
      <c r="A460" s="17" t="s">
        <v>1671</v>
      </c>
      <c r="B460" s="17" t="s">
        <v>790</v>
      </c>
      <c r="C460" s="18">
        <v>46096.0</v>
      </c>
      <c r="D460" s="17" t="s">
        <v>733</v>
      </c>
      <c r="E460" s="17" t="s">
        <v>81</v>
      </c>
      <c r="F460" s="21">
        <v>18.0</v>
      </c>
      <c r="G460" s="22">
        <v>126.0</v>
      </c>
      <c r="H460" s="17" t="s">
        <v>1214</v>
      </c>
      <c r="I460" s="22">
        <f>F460-IFERROR(VLOOKUP(B460,crm_orders!$A:$S,10,FALSE),0)</f>
        <v>0</v>
      </c>
      <c r="J460" s="22">
        <f>G460-IFERROR(VLOOKUP(B460,crm_orders!$A:$S,12,FALSE),0)</f>
        <v>0</v>
      </c>
      <c r="K460" s="17" t="str">
        <f>IF(COUNTIF(crm_orders!$A:$A,B460)=0,"Orphan","OK")</f>
        <v>OK</v>
      </c>
    </row>
    <row r="461" ht="15.75" customHeight="1">
      <c r="A461" s="25" t="s">
        <v>1672</v>
      </c>
      <c r="B461" s="25" t="s">
        <v>368</v>
      </c>
      <c r="C461" s="26">
        <v>46046.0</v>
      </c>
      <c r="D461" s="25" t="s">
        <v>312</v>
      </c>
      <c r="E461" s="25" t="s">
        <v>190</v>
      </c>
      <c r="F461" s="29">
        <v>24.0</v>
      </c>
      <c r="G461" s="30">
        <v>177.6</v>
      </c>
      <c r="H461" s="25" t="s">
        <v>1214</v>
      </c>
      <c r="I461" s="30">
        <f>F461-IFERROR(VLOOKUP(B461,crm_orders!$A:$S,10,FALSE),0)</f>
        <v>0</v>
      </c>
      <c r="J461" s="30">
        <f>G461-IFERROR(VLOOKUP(B461,crm_orders!$A:$S,12,FALSE),0)</f>
        <v>0</v>
      </c>
      <c r="K461" s="25" t="str">
        <f>IF(COUNTIF(crm_orders!$A:$A,B461)=0,"Orphan","OK")</f>
        <v>OK</v>
      </c>
    </row>
    <row r="462" ht="15.75" customHeight="1">
      <c r="A462" s="17" t="s">
        <v>1673</v>
      </c>
      <c r="B462" s="17" t="s">
        <v>620</v>
      </c>
      <c r="C462" s="18">
        <v>46076.0</v>
      </c>
      <c r="D462" s="17" t="s">
        <v>593</v>
      </c>
      <c r="E462" s="17" t="s">
        <v>90</v>
      </c>
      <c r="F462" s="21">
        <v>120.0</v>
      </c>
      <c r="G462" s="22">
        <v>913.2</v>
      </c>
      <c r="H462" s="17" t="s">
        <v>1214</v>
      </c>
      <c r="I462" s="22">
        <f>F462-IFERROR(VLOOKUP(B462,crm_orders!$A:$S,10,FALSE),0)</f>
        <v>0</v>
      </c>
      <c r="J462" s="22">
        <f>G462-IFERROR(VLOOKUP(B462,crm_orders!$A:$S,12,FALSE),0)</f>
        <v>0</v>
      </c>
      <c r="K462" s="17" t="str">
        <f>IF(COUNTIF(crm_orders!$A:$A,B462)=0,"Orphan","OK")</f>
        <v>OK</v>
      </c>
    </row>
    <row r="463" ht="15.75" customHeight="1">
      <c r="A463" s="25" t="s">
        <v>1674</v>
      </c>
      <c r="B463" s="25" t="s">
        <v>1018</v>
      </c>
      <c r="C463" s="26">
        <v>46109.0</v>
      </c>
      <c r="D463" s="25" t="s">
        <v>963</v>
      </c>
      <c r="E463" s="25" t="s">
        <v>71</v>
      </c>
      <c r="F463" s="29">
        <v>6.0</v>
      </c>
      <c r="G463" s="30">
        <v>49.02</v>
      </c>
      <c r="H463" s="25" t="s">
        <v>1214</v>
      </c>
      <c r="I463" s="30">
        <f>F463-IFERROR(VLOOKUP(B463,crm_orders!$A:$S,10,FALSE),0)</f>
        <v>0</v>
      </c>
      <c r="J463" s="30">
        <f>G463-IFERROR(VLOOKUP(B463,crm_orders!$A:$S,12,FALSE),0)</f>
        <v>0</v>
      </c>
      <c r="K463" s="25" t="str">
        <f>IF(COUNTIF(crm_orders!$A:$A,B463)=0,"Orphan","OK")</f>
        <v>OK</v>
      </c>
    </row>
    <row r="464" ht="15.75" customHeight="1">
      <c r="A464" s="17" t="s">
        <v>1675</v>
      </c>
      <c r="B464" s="17" t="s">
        <v>905</v>
      </c>
      <c r="C464" s="18">
        <v>46050.0</v>
      </c>
      <c r="D464" s="17" t="s">
        <v>873</v>
      </c>
      <c r="E464" s="17" t="s">
        <v>123</v>
      </c>
      <c r="F464" s="21">
        <v>132.0</v>
      </c>
      <c r="G464" s="22">
        <v>1383.36</v>
      </c>
      <c r="H464" s="17" t="s">
        <v>1212</v>
      </c>
      <c r="I464" s="22">
        <f>F464-IFERROR(VLOOKUP(B464,crm_orders!$A:$S,10,FALSE),0)</f>
        <v>12</v>
      </c>
      <c r="J464" s="22">
        <f>G464-IFERROR(VLOOKUP(B464,crm_orders!$A:$S,12,FALSE),0)</f>
        <v>125.76</v>
      </c>
      <c r="K464" s="17" t="str">
        <f>IF(COUNTIF(crm_orders!$A:$A,B464)=0,"Orphan","OK")</f>
        <v>OK</v>
      </c>
    </row>
    <row r="465" ht="15.75" customHeight="1">
      <c r="A465" s="25" t="s">
        <v>1676</v>
      </c>
      <c r="B465" s="25" t="s">
        <v>369</v>
      </c>
      <c r="C465" s="26">
        <v>46146.0</v>
      </c>
      <c r="D465" s="25" t="s">
        <v>301</v>
      </c>
      <c r="E465" s="25" t="s">
        <v>85</v>
      </c>
      <c r="F465" s="29">
        <v>30.0</v>
      </c>
      <c r="G465" s="30">
        <v>277.5</v>
      </c>
      <c r="H465" s="25" t="s">
        <v>1214</v>
      </c>
      <c r="I465" s="30">
        <f>F465-IFERROR(VLOOKUP(B465,crm_orders!$A:$S,10,FALSE),0)</f>
        <v>0</v>
      </c>
      <c r="J465" s="30">
        <f>G465-IFERROR(VLOOKUP(B465,crm_orders!$A:$S,12,FALSE),0)</f>
        <v>0</v>
      </c>
      <c r="K465" s="25" t="str">
        <f>IF(COUNTIF(crm_orders!$A:$A,B465)=0,"Orphan","OK")</f>
        <v>OK</v>
      </c>
    </row>
    <row r="466" ht="15.75" customHeight="1">
      <c r="A466" s="17" t="s">
        <v>1677</v>
      </c>
      <c r="B466" s="17" t="s">
        <v>906</v>
      </c>
      <c r="C466" s="18">
        <v>46056.0</v>
      </c>
      <c r="D466" s="17" t="s">
        <v>864</v>
      </c>
      <c r="E466" s="17" t="s">
        <v>81</v>
      </c>
      <c r="F466" s="21">
        <v>24.0</v>
      </c>
      <c r="G466" s="22">
        <v>175.68</v>
      </c>
      <c r="H466" s="17" t="s">
        <v>1214</v>
      </c>
      <c r="I466" s="22">
        <f>F466-IFERROR(VLOOKUP(B466,crm_orders!$A:$S,10,FALSE),0)</f>
        <v>0</v>
      </c>
      <c r="J466" s="22">
        <f>G466-IFERROR(VLOOKUP(B466,crm_orders!$A:$S,12,FALSE),0)</f>
        <v>0</v>
      </c>
      <c r="K466" s="17" t="str">
        <f>IF(COUNTIF(crm_orders!$A:$A,B466)=0,"Orphan","OK")</f>
        <v>OK</v>
      </c>
    </row>
    <row r="467" ht="15.75" customHeight="1">
      <c r="A467" s="25" t="s">
        <v>1678</v>
      </c>
      <c r="B467" s="25" t="s">
        <v>792</v>
      </c>
      <c r="C467" s="26">
        <v>46077.0</v>
      </c>
      <c r="D467" s="25" t="s">
        <v>714</v>
      </c>
      <c r="E467" s="25" t="s">
        <v>156</v>
      </c>
      <c r="F467" s="29">
        <v>96.0</v>
      </c>
      <c r="G467" s="30">
        <v>1037.76</v>
      </c>
      <c r="H467" s="25" t="s">
        <v>1214</v>
      </c>
      <c r="I467" s="30">
        <f>F467-IFERROR(VLOOKUP(B467,crm_orders!$A:$S,10,FALSE),0)</f>
        <v>0</v>
      </c>
      <c r="J467" s="30">
        <f>G467-IFERROR(VLOOKUP(B467,crm_orders!$A:$S,12,FALSE),0)</f>
        <v>0</v>
      </c>
      <c r="K467" s="25" t="str">
        <f>IF(COUNTIF(crm_orders!$A:$A,B467)=0,"Orphan","OK")</f>
        <v>OK</v>
      </c>
    </row>
    <row r="468" ht="15.75" customHeight="1">
      <c r="A468" s="17" t="s">
        <v>1679</v>
      </c>
      <c r="B468" s="17" t="s">
        <v>370</v>
      </c>
      <c r="C468" s="18">
        <v>46033.0</v>
      </c>
      <c r="D468" s="17" t="s">
        <v>301</v>
      </c>
      <c r="E468" s="17" t="s">
        <v>115</v>
      </c>
      <c r="F468" s="21">
        <v>60.0</v>
      </c>
      <c r="G468" s="22">
        <v>696.0</v>
      </c>
      <c r="H468" s="17" t="s">
        <v>1214</v>
      </c>
      <c r="I468" s="22">
        <f>F468-IFERROR(VLOOKUP(B468,crm_orders!$A:$S,10,FALSE),0)</f>
        <v>0</v>
      </c>
      <c r="J468" s="22">
        <f>G468-IFERROR(VLOOKUP(B468,crm_orders!$A:$S,12,FALSE),0)</f>
        <v>0</v>
      </c>
      <c r="K468" s="17" t="str">
        <f>IF(COUNTIF(crm_orders!$A:$A,B468)=0,"Orphan","OK")</f>
        <v>OK</v>
      </c>
    </row>
    <row r="469" ht="15.75" customHeight="1">
      <c r="A469" s="25" t="s">
        <v>1680</v>
      </c>
      <c r="B469" s="25" t="s">
        <v>1019</v>
      </c>
      <c r="C469" s="26">
        <v>46036.0</v>
      </c>
      <c r="D469" s="25" t="s">
        <v>965</v>
      </c>
      <c r="E469" s="25" t="s">
        <v>78</v>
      </c>
      <c r="F469" s="29">
        <v>30.0</v>
      </c>
      <c r="G469" s="30">
        <v>346.2</v>
      </c>
      <c r="H469" s="25" t="s">
        <v>1214</v>
      </c>
      <c r="I469" s="30">
        <f>F469-IFERROR(VLOOKUP(B469,crm_orders!$A:$S,10,FALSE),0)</f>
        <v>0</v>
      </c>
      <c r="J469" s="30">
        <f>G469-IFERROR(VLOOKUP(B469,crm_orders!$A:$S,12,FALSE),0)</f>
        <v>0</v>
      </c>
      <c r="K469" s="25" t="str">
        <f>IF(COUNTIF(crm_orders!$A:$A,B469)=0,"Orphan","OK")</f>
        <v>OK</v>
      </c>
    </row>
    <row r="470" ht="15.75" customHeight="1">
      <c r="A470" s="17" t="s">
        <v>1681</v>
      </c>
      <c r="B470" s="17" t="s">
        <v>907</v>
      </c>
      <c r="C470" s="18">
        <v>46091.0</v>
      </c>
      <c r="D470" s="17" t="s">
        <v>861</v>
      </c>
      <c r="E470" s="17" t="s">
        <v>92</v>
      </c>
      <c r="F470" s="21">
        <v>78.0</v>
      </c>
      <c r="G470" s="22">
        <v>824.46</v>
      </c>
      <c r="H470" s="17" t="s">
        <v>93</v>
      </c>
      <c r="I470" s="22">
        <f>F470-IFERROR(VLOOKUP(B470,crm_orders!$A:$S,10,FALSE),0)</f>
        <v>-18</v>
      </c>
      <c r="J470" s="22">
        <f>G470-IFERROR(VLOOKUP(B470,crm_orders!$A:$S,12,FALSE),0)</f>
        <v>-190.26</v>
      </c>
      <c r="K470" s="17" t="str">
        <f>IF(COUNTIF(crm_orders!$A:$A,B470)=0,"Orphan","OK")</f>
        <v>OK</v>
      </c>
    </row>
    <row r="471" ht="15.75" customHeight="1">
      <c r="A471" s="25" t="s">
        <v>1682</v>
      </c>
      <c r="B471" s="25" t="s">
        <v>505</v>
      </c>
      <c r="C471" s="26">
        <v>46149.0</v>
      </c>
      <c r="D471" s="25" t="s">
        <v>466</v>
      </c>
      <c r="E471" s="25" t="s">
        <v>123</v>
      </c>
      <c r="F471" s="29">
        <v>60.0</v>
      </c>
      <c r="G471" s="30">
        <v>619.8</v>
      </c>
      <c r="H471" s="25" t="s">
        <v>93</v>
      </c>
      <c r="I471" s="30">
        <f>F471-IFERROR(VLOOKUP(B471,crm_orders!$A:$S,10,FALSE),0)</f>
        <v>-12</v>
      </c>
      <c r="J471" s="30">
        <f>G471-IFERROR(VLOOKUP(B471,crm_orders!$A:$S,12,FALSE),0)</f>
        <v>-123.96</v>
      </c>
      <c r="K471" s="25" t="str">
        <f>IF(COUNTIF(crm_orders!$A:$A,B471)=0,"Orphan","OK")</f>
        <v>OK</v>
      </c>
    </row>
    <row r="472" ht="15.75" customHeight="1">
      <c r="A472" s="17" t="s">
        <v>1683</v>
      </c>
      <c r="B472" s="17" t="s">
        <v>235</v>
      </c>
      <c r="C472" s="18">
        <v>46066.0</v>
      </c>
      <c r="D472" s="17" t="s">
        <v>168</v>
      </c>
      <c r="E472" s="17" t="s">
        <v>102</v>
      </c>
      <c r="F472" s="21">
        <v>54.0</v>
      </c>
      <c r="G472" s="22">
        <v>567.54</v>
      </c>
      <c r="H472" s="17" t="s">
        <v>93</v>
      </c>
      <c r="I472" s="22">
        <f>F472-IFERROR(VLOOKUP(B472,crm_orders!$A:$S,10,FALSE),0)</f>
        <v>-18</v>
      </c>
      <c r="J472" s="22">
        <f>G472-IFERROR(VLOOKUP(B472,crm_orders!$A:$S,12,FALSE),0)</f>
        <v>-189.18</v>
      </c>
      <c r="K472" s="17" t="str">
        <f>IF(COUNTIF(crm_orders!$A:$A,B472)=0,"Orphan","OK")</f>
        <v>OK</v>
      </c>
    </row>
    <row r="473" ht="15.75" customHeight="1">
      <c r="A473" s="25" t="s">
        <v>1684</v>
      </c>
      <c r="B473" s="25" t="s">
        <v>621</v>
      </c>
      <c r="C473" s="26">
        <v>46067.0</v>
      </c>
      <c r="D473" s="25" t="s">
        <v>540</v>
      </c>
      <c r="E473" s="25" t="s">
        <v>81</v>
      </c>
      <c r="F473" s="29">
        <v>24.0</v>
      </c>
      <c r="G473" s="30">
        <v>161.76</v>
      </c>
      <c r="H473" s="25" t="s">
        <v>1214</v>
      </c>
      <c r="I473" s="30">
        <f>F473-IFERROR(VLOOKUP(B473,crm_orders!$A:$S,10,FALSE),0)</f>
        <v>0</v>
      </c>
      <c r="J473" s="30">
        <f>G473-IFERROR(VLOOKUP(B473,crm_orders!$A:$S,12,FALSE),0)</f>
        <v>0</v>
      </c>
      <c r="K473" s="25" t="str">
        <f>IF(COUNTIF(crm_orders!$A:$A,B473)=0,"Orphan","OK")</f>
        <v>OK</v>
      </c>
    </row>
    <row r="474" ht="15.75" customHeight="1">
      <c r="A474" s="17" t="s">
        <v>1685</v>
      </c>
      <c r="B474" s="17" t="s">
        <v>1159</v>
      </c>
      <c r="C474" s="18">
        <v>46138.0</v>
      </c>
      <c r="D474" s="17" t="s">
        <v>1126</v>
      </c>
      <c r="E474" s="17" t="s">
        <v>71</v>
      </c>
      <c r="F474" s="21">
        <v>120.0</v>
      </c>
      <c r="G474" s="22">
        <v>964.8</v>
      </c>
      <c r="H474" s="17" t="s">
        <v>1214</v>
      </c>
      <c r="I474" s="22">
        <f>F474-IFERROR(VLOOKUP(B474,crm_orders!$A:$S,10,FALSE),0)</f>
        <v>0</v>
      </c>
      <c r="J474" s="22">
        <f>G474-IFERROR(VLOOKUP(B474,crm_orders!$A:$S,12,FALSE),0)</f>
        <v>0</v>
      </c>
      <c r="K474" s="17" t="str">
        <f>IF(COUNTIF(crm_orders!$A:$A,B474)=0,"Orphan","OK")</f>
        <v>OK</v>
      </c>
    </row>
    <row r="475" ht="15.75" customHeight="1">
      <c r="A475" s="25" t="s">
        <v>1686</v>
      </c>
      <c r="B475" s="25" t="s">
        <v>371</v>
      </c>
      <c r="C475" s="26">
        <v>46105.0</v>
      </c>
      <c r="D475" s="25" t="s">
        <v>326</v>
      </c>
      <c r="E475" s="25" t="s">
        <v>74</v>
      </c>
      <c r="F475" s="29">
        <v>18.0</v>
      </c>
      <c r="G475" s="30">
        <v>194.94</v>
      </c>
      <c r="H475" s="25" t="s">
        <v>1214</v>
      </c>
      <c r="I475" s="30">
        <f>F475-IFERROR(VLOOKUP(B475,crm_orders!$A:$S,10,FALSE),0)</f>
        <v>0</v>
      </c>
      <c r="J475" s="30">
        <f>G475-IFERROR(VLOOKUP(B475,crm_orders!$A:$S,12,FALSE),0)</f>
        <v>0</v>
      </c>
      <c r="K475" s="25" t="str">
        <f>IF(COUNTIF(crm_orders!$A:$A,B475)=0,"Orphan","OK")</f>
        <v>OK</v>
      </c>
    </row>
    <row r="476" ht="15.75" customHeight="1">
      <c r="A476" s="17" t="s">
        <v>1687</v>
      </c>
      <c r="B476" s="17" t="s">
        <v>622</v>
      </c>
      <c r="C476" s="18">
        <v>46152.0</v>
      </c>
      <c r="D476" s="17" t="s">
        <v>553</v>
      </c>
      <c r="E476" s="17" t="s">
        <v>190</v>
      </c>
      <c r="F476" s="21">
        <v>18.0</v>
      </c>
      <c r="G476" s="22">
        <v>133.2</v>
      </c>
      <c r="H476" s="17" t="s">
        <v>1214</v>
      </c>
      <c r="I476" s="22">
        <f>F476-IFERROR(VLOOKUP(B476,crm_orders!$A:$S,10,FALSE),0)</f>
        <v>0</v>
      </c>
      <c r="J476" s="22">
        <f>G476-IFERROR(VLOOKUP(B476,crm_orders!$A:$S,12,FALSE),0)</f>
        <v>0</v>
      </c>
      <c r="K476" s="17" t="str">
        <f>IF(COUNTIF(crm_orders!$A:$A,B476)=0,"Orphan","OK")</f>
        <v>OK</v>
      </c>
    </row>
    <row r="477" ht="15.75" customHeight="1">
      <c r="A477" s="25" t="s">
        <v>1688</v>
      </c>
      <c r="B477" s="25" t="s">
        <v>236</v>
      </c>
      <c r="C477" s="26">
        <v>46126.0</v>
      </c>
      <c r="D477" s="25" t="s">
        <v>164</v>
      </c>
      <c r="E477" s="25" t="s">
        <v>81</v>
      </c>
      <c r="F477" s="29">
        <v>0.0</v>
      </c>
      <c r="G477" s="30">
        <v>0.0</v>
      </c>
      <c r="H477" s="25" t="s">
        <v>93</v>
      </c>
      <c r="I477" s="30">
        <f>F477-IFERROR(VLOOKUP(B477,crm_orders!$A:$S,10,FALSE),0)</f>
        <v>-12</v>
      </c>
      <c r="J477" s="30">
        <f>G477-IFERROR(VLOOKUP(B477,crm_orders!$A:$S,12,FALSE),0)</f>
        <v>-81.48</v>
      </c>
      <c r="K477" s="25" t="str">
        <f>IF(COUNTIF(crm_orders!$A:$A,B477)=0,"Orphan","OK")</f>
        <v>OK</v>
      </c>
    </row>
    <row r="478" ht="15.75" customHeight="1">
      <c r="A478" s="17" t="s">
        <v>1689</v>
      </c>
      <c r="B478" s="17" t="s">
        <v>372</v>
      </c>
      <c r="C478" s="18">
        <v>46068.0</v>
      </c>
      <c r="D478" s="17" t="s">
        <v>297</v>
      </c>
      <c r="E478" s="17" t="s">
        <v>108</v>
      </c>
      <c r="F478" s="21">
        <v>60.0</v>
      </c>
      <c r="G478" s="22">
        <v>676.8</v>
      </c>
      <c r="H478" s="17" t="s">
        <v>1214</v>
      </c>
      <c r="I478" s="22">
        <f>F478-IFERROR(VLOOKUP(B478,crm_orders!$A:$S,10,FALSE),0)</f>
        <v>0</v>
      </c>
      <c r="J478" s="22">
        <f>G478-IFERROR(VLOOKUP(B478,crm_orders!$A:$S,12,FALSE),0)</f>
        <v>0</v>
      </c>
      <c r="K478" s="17" t="str">
        <f>IF(COUNTIF(crm_orders!$A:$A,B478)=0,"Orphan","OK")</f>
        <v>OK</v>
      </c>
    </row>
    <row r="479" ht="15.75" customHeight="1">
      <c r="A479" s="25" t="s">
        <v>1690</v>
      </c>
      <c r="B479" s="25" t="s">
        <v>373</v>
      </c>
      <c r="C479" s="26">
        <v>46040.0</v>
      </c>
      <c r="D479" s="25" t="s">
        <v>305</v>
      </c>
      <c r="E479" s="25" t="s">
        <v>154</v>
      </c>
      <c r="F479" s="29">
        <v>96.0</v>
      </c>
      <c r="G479" s="30">
        <v>1056.0</v>
      </c>
      <c r="H479" s="25" t="s">
        <v>1214</v>
      </c>
      <c r="I479" s="30">
        <f>F479-IFERROR(VLOOKUP(B479,crm_orders!$A:$S,10,FALSE),0)</f>
        <v>0</v>
      </c>
      <c r="J479" s="30">
        <f>G479-IFERROR(VLOOKUP(B479,crm_orders!$A:$S,12,FALSE),0)</f>
        <v>0</v>
      </c>
      <c r="K479" s="25" t="str">
        <f>IF(COUNTIF(crm_orders!$A:$A,B479)=0,"Orphan","OK")</f>
        <v>OK</v>
      </c>
    </row>
    <row r="480" ht="15.75" customHeight="1">
      <c r="A480" s="17" t="s">
        <v>1691</v>
      </c>
      <c r="B480" s="17" t="s">
        <v>793</v>
      </c>
      <c r="C480" s="18">
        <v>46119.0</v>
      </c>
      <c r="D480" s="17" t="s">
        <v>720</v>
      </c>
      <c r="E480" s="17" t="s">
        <v>110</v>
      </c>
      <c r="F480" s="21">
        <v>60.0</v>
      </c>
      <c r="G480" s="22">
        <v>611.4</v>
      </c>
      <c r="H480" s="17" t="s">
        <v>1214</v>
      </c>
      <c r="I480" s="22">
        <f>F480-IFERROR(VLOOKUP(B480,crm_orders!$A:$S,10,FALSE),0)</f>
        <v>0</v>
      </c>
      <c r="J480" s="22">
        <f>G480-IFERROR(VLOOKUP(B480,crm_orders!$A:$S,12,FALSE),0)</f>
        <v>0</v>
      </c>
      <c r="K480" s="17" t="str">
        <f>IF(COUNTIF(crm_orders!$A:$A,B480)=0,"Orphan","OK")</f>
        <v>OK</v>
      </c>
    </row>
    <row r="481" ht="15.75" customHeight="1">
      <c r="A481" s="25" t="s">
        <v>1692</v>
      </c>
      <c r="B481" s="25" t="s">
        <v>908</v>
      </c>
      <c r="C481" s="26">
        <v>46050.0</v>
      </c>
      <c r="D481" s="25" t="s">
        <v>855</v>
      </c>
      <c r="E481" s="25" t="s">
        <v>85</v>
      </c>
      <c r="F481" s="29">
        <v>24.0</v>
      </c>
      <c r="G481" s="30">
        <v>232.56</v>
      </c>
      <c r="H481" s="25" t="s">
        <v>1214</v>
      </c>
      <c r="I481" s="30">
        <f>F481-IFERROR(VLOOKUP(B481,crm_orders!$A:$S,10,FALSE),0)</f>
        <v>0</v>
      </c>
      <c r="J481" s="30">
        <f>G481-IFERROR(VLOOKUP(B481,crm_orders!$A:$S,12,FALSE),0)</f>
        <v>0</v>
      </c>
      <c r="K481" s="25" t="str">
        <f>IF(COUNTIF(crm_orders!$A:$A,B481)=0,"Orphan","OK")</f>
        <v>OK</v>
      </c>
    </row>
    <row r="482" ht="15.75" customHeight="1">
      <c r="A482" s="17" t="s">
        <v>1693</v>
      </c>
      <c r="B482" s="17" t="s">
        <v>1020</v>
      </c>
      <c r="C482" s="18">
        <v>46122.0</v>
      </c>
      <c r="D482" s="17" t="s">
        <v>984</v>
      </c>
      <c r="E482" s="17" t="s">
        <v>162</v>
      </c>
      <c r="F482" s="21">
        <v>24.0</v>
      </c>
      <c r="G482" s="22">
        <v>224.64</v>
      </c>
      <c r="H482" s="17" t="s">
        <v>1214</v>
      </c>
      <c r="I482" s="22">
        <f>F482-IFERROR(VLOOKUP(B482,crm_orders!$A:$S,10,FALSE),0)</f>
        <v>0</v>
      </c>
      <c r="J482" s="22">
        <f>G482-IFERROR(VLOOKUP(B482,crm_orders!$A:$S,12,FALSE),0)</f>
        <v>0</v>
      </c>
      <c r="K482" s="17" t="str">
        <f>IF(COUNTIF(crm_orders!$A:$A,B482)=0,"Orphan","OK")</f>
        <v>OK</v>
      </c>
    </row>
    <row r="483" ht="15.75" customHeight="1">
      <c r="A483" s="25" t="s">
        <v>1694</v>
      </c>
      <c r="B483" s="25" t="s">
        <v>1021</v>
      </c>
      <c r="C483" s="26">
        <v>46084.0</v>
      </c>
      <c r="D483" s="25" t="s">
        <v>961</v>
      </c>
      <c r="E483" s="25" t="s">
        <v>123</v>
      </c>
      <c r="F483" s="29">
        <v>48.0</v>
      </c>
      <c r="G483" s="30">
        <v>544.32</v>
      </c>
      <c r="H483" s="25" t="s">
        <v>1214</v>
      </c>
      <c r="I483" s="30">
        <f>F483-IFERROR(VLOOKUP(B483,crm_orders!$A:$S,10,FALSE),0)</f>
        <v>0</v>
      </c>
      <c r="J483" s="30">
        <f>G483-IFERROR(VLOOKUP(B483,crm_orders!$A:$S,12,FALSE),0)</f>
        <v>0</v>
      </c>
      <c r="K483" s="25" t="str">
        <f>IF(COUNTIF(crm_orders!$A:$A,B483)=0,"Orphan","OK")</f>
        <v>OK</v>
      </c>
    </row>
    <row r="484" ht="15.75" customHeight="1">
      <c r="A484" s="17" t="s">
        <v>1695</v>
      </c>
      <c r="B484" s="17" t="s">
        <v>374</v>
      </c>
      <c r="C484" s="18">
        <v>46099.0</v>
      </c>
      <c r="D484" s="17" t="s">
        <v>312</v>
      </c>
      <c r="E484" s="17" t="s">
        <v>71</v>
      </c>
      <c r="F484" s="21">
        <v>72.0</v>
      </c>
      <c r="G484" s="22">
        <v>578.49</v>
      </c>
      <c r="H484" s="17" t="s">
        <v>1212</v>
      </c>
      <c r="I484" s="22">
        <f>F484-IFERROR(VLOOKUP(B484,crm_orders!$A:$S,10,FALSE),0)</f>
        <v>0</v>
      </c>
      <c r="J484" s="22">
        <f>G484-IFERROR(VLOOKUP(B484,crm_orders!$A:$S,12,FALSE),0)</f>
        <v>4.65</v>
      </c>
      <c r="K484" s="17" t="str">
        <f>IF(COUNTIF(crm_orders!$A:$A,B484)=0,"Orphan","OK")</f>
        <v>OK</v>
      </c>
    </row>
    <row r="485" ht="15.75" customHeight="1">
      <c r="A485" s="25" t="s">
        <v>1696</v>
      </c>
      <c r="B485" s="25" t="s">
        <v>506</v>
      </c>
      <c r="C485" s="26">
        <v>46096.0</v>
      </c>
      <c r="D485" s="25" t="s">
        <v>466</v>
      </c>
      <c r="E485" s="25" t="s">
        <v>123</v>
      </c>
      <c r="F485" s="29">
        <v>72.0</v>
      </c>
      <c r="G485" s="30">
        <v>758.16</v>
      </c>
      <c r="H485" s="25" t="s">
        <v>1214</v>
      </c>
      <c r="I485" s="30">
        <f>F485-IFERROR(VLOOKUP(B485,crm_orders!$A:$S,10,FALSE),0)</f>
        <v>0</v>
      </c>
      <c r="J485" s="30">
        <f>G485-IFERROR(VLOOKUP(B485,crm_orders!$A:$S,12,FALSE),0)</f>
        <v>0</v>
      </c>
      <c r="K485" s="25" t="str">
        <f>IF(COUNTIF(crm_orders!$A:$A,B485)=0,"Orphan","OK")</f>
        <v>OK</v>
      </c>
    </row>
    <row r="486" ht="15.75" customHeight="1">
      <c r="A486" s="17" t="s">
        <v>1697</v>
      </c>
      <c r="B486" s="17" t="s">
        <v>623</v>
      </c>
      <c r="C486" s="18">
        <v>46085.0</v>
      </c>
      <c r="D486" s="17" t="s">
        <v>542</v>
      </c>
      <c r="E486" s="17" t="s">
        <v>102</v>
      </c>
      <c r="F486" s="21">
        <v>48.0</v>
      </c>
      <c r="G486" s="22">
        <v>568.8</v>
      </c>
      <c r="H486" s="17" t="s">
        <v>1214</v>
      </c>
      <c r="I486" s="22">
        <f>F486-IFERROR(VLOOKUP(B486,crm_orders!$A:$S,10,FALSE),0)</f>
        <v>0</v>
      </c>
      <c r="J486" s="22">
        <f>G486-IFERROR(VLOOKUP(B486,crm_orders!$A:$S,12,FALSE),0)</f>
        <v>0</v>
      </c>
      <c r="K486" s="17" t="str">
        <f>IF(COUNTIF(crm_orders!$A:$A,B486)=0,"Orphan","OK")</f>
        <v>OK</v>
      </c>
    </row>
    <row r="487" ht="15.75" customHeight="1">
      <c r="A487" s="25" t="s">
        <v>1698</v>
      </c>
      <c r="B487" s="25" t="s">
        <v>1160</v>
      </c>
      <c r="C487" s="26">
        <v>46142.0</v>
      </c>
      <c r="D487" s="25" t="s">
        <v>1124</v>
      </c>
      <c r="E487" s="25" t="s">
        <v>190</v>
      </c>
      <c r="F487" s="29">
        <v>18.0</v>
      </c>
      <c r="G487" s="30">
        <v>134.1</v>
      </c>
      <c r="H487" s="25" t="s">
        <v>1214</v>
      </c>
      <c r="I487" s="30">
        <f>F487-IFERROR(VLOOKUP(B487,crm_orders!$A:$S,10,FALSE),0)</f>
        <v>0</v>
      </c>
      <c r="J487" s="30">
        <f>G487-IFERROR(VLOOKUP(B487,crm_orders!$A:$S,12,FALSE),0)</f>
        <v>0</v>
      </c>
      <c r="K487" s="25" t="str">
        <f>IF(COUNTIF(crm_orders!$A:$A,B487)=0,"Orphan","OK")</f>
        <v>OK</v>
      </c>
    </row>
    <row r="488" ht="15.75" customHeight="1">
      <c r="A488" s="17" t="s">
        <v>1699</v>
      </c>
      <c r="B488" s="17" t="s">
        <v>375</v>
      </c>
      <c r="C488" s="18">
        <v>46048.0</v>
      </c>
      <c r="D488" s="17" t="s">
        <v>314</v>
      </c>
      <c r="E488" s="17" t="s">
        <v>81</v>
      </c>
      <c r="F488" s="21">
        <v>48.0</v>
      </c>
      <c r="G488" s="22">
        <v>341.76</v>
      </c>
      <c r="H488" s="17" t="s">
        <v>1214</v>
      </c>
      <c r="I488" s="22">
        <f>F488-IFERROR(VLOOKUP(B488,crm_orders!$A:$S,10,FALSE),0)</f>
        <v>0</v>
      </c>
      <c r="J488" s="22">
        <f>G488-IFERROR(VLOOKUP(B488,crm_orders!$A:$S,12,FALSE),0)</f>
        <v>0</v>
      </c>
      <c r="K488" s="17" t="str">
        <f>IF(COUNTIF(crm_orders!$A:$A,B488)=0,"Orphan","OK")</f>
        <v>OK</v>
      </c>
    </row>
    <row r="489" ht="15.75" customHeight="1">
      <c r="A489" s="25" t="s">
        <v>1700</v>
      </c>
      <c r="B489" s="25" t="s">
        <v>1022</v>
      </c>
      <c r="C489" s="26">
        <v>46037.0</v>
      </c>
      <c r="D489" s="25" t="s">
        <v>955</v>
      </c>
      <c r="E489" s="25" t="s">
        <v>74</v>
      </c>
      <c r="F489" s="29">
        <v>30.0</v>
      </c>
      <c r="G489" s="30">
        <v>333.0</v>
      </c>
      <c r="H489" s="25" t="s">
        <v>1214</v>
      </c>
      <c r="I489" s="30">
        <f>F489-IFERROR(VLOOKUP(B489,crm_orders!$A:$S,10,FALSE),0)</f>
        <v>0</v>
      </c>
      <c r="J489" s="30">
        <f>G489-IFERROR(VLOOKUP(B489,crm_orders!$A:$S,12,FALSE),0)</f>
        <v>0</v>
      </c>
      <c r="K489" s="25" t="str">
        <f>IF(COUNTIF(crm_orders!$A:$A,B489)=0,"Orphan","OK")</f>
        <v>OK</v>
      </c>
    </row>
    <row r="490" ht="15.75" customHeight="1">
      <c r="A490" s="17" t="s">
        <v>1701</v>
      </c>
      <c r="B490" s="17" t="s">
        <v>1161</v>
      </c>
      <c r="C490" s="18">
        <v>46110.0</v>
      </c>
      <c r="D490" s="17" t="s">
        <v>1133</v>
      </c>
      <c r="E490" s="17" t="s">
        <v>74</v>
      </c>
      <c r="F490" s="21">
        <v>36.0</v>
      </c>
      <c r="G490" s="22">
        <v>379.8</v>
      </c>
      <c r="H490" s="17" t="s">
        <v>1214</v>
      </c>
      <c r="I490" s="22">
        <f>F490-IFERROR(VLOOKUP(B490,crm_orders!$A:$S,10,FALSE),0)</f>
        <v>0</v>
      </c>
      <c r="J490" s="22">
        <f>G490-IFERROR(VLOOKUP(B490,crm_orders!$A:$S,12,FALSE),0)</f>
        <v>0</v>
      </c>
      <c r="K490" s="17" t="str">
        <f>IF(COUNTIF(crm_orders!$A:$A,B490)=0,"Orphan","OK")</f>
        <v>OK</v>
      </c>
    </row>
    <row r="491" ht="15.75" customHeight="1">
      <c r="A491" s="25" t="s">
        <v>1702</v>
      </c>
      <c r="B491" s="25" t="s">
        <v>624</v>
      </c>
      <c r="C491" s="26">
        <v>46030.0</v>
      </c>
      <c r="D491" s="25" t="s">
        <v>544</v>
      </c>
      <c r="E491" s="25" t="s">
        <v>106</v>
      </c>
      <c r="F491" s="29">
        <v>12.0</v>
      </c>
      <c r="G491" s="30">
        <v>139.68</v>
      </c>
      <c r="H491" s="25" t="s">
        <v>93</v>
      </c>
      <c r="I491" s="30">
        <f>F491-IFERROR(VLOOKUP(B491,crm_orders!$A:$S,10,FALSE),0)</f>
        <v>-6</v>
      </c>
      <c r="J491" s="30">
        <f>G491-IFERROR(VLOOKUP(B491,crm_orders!$A:$S,12,FALSE),0)</f>
        <v>-69.84</v>
      </c>
      <c r="K491" s="25" t="str">
        <f>IF(COUNTIF(crm_orders!$A:$A,B491)=0,"Orphan","OK")</f>
        <v>OK</v>
      </c>
    </row>
    <row r="492" ht="15.75" customHeight="1">
      <c r="A492" s="17" t="s">
        <v>1703</v>
      </c>
      <c r="B492" s="17" t="s">
        <v>237</v>
      </c>
      <c r="C492" s="18">
        <v>46084.0</v>
      </c>
      <c r="D492" s="17" t="s">
        <v>181</v>
      </c>
      <c r="E492" s="17" t="s">
        <v>95</v>
      </c>
      <c r="F492" s="21">
        <v>30.0</v>
      </c>
      <c r="G492" s="22">
        <v>303.0</v>
      </c>
      <c r="H492" s="17" t="s">
        <v>1214</v>
      </c>
      <c r="I492" s="22">
        <f>F492-IFERROR(VLOOKUP(B492,crm_orders!$A:$S,10,FALSE),0)</f>
        <v>0</v>
      </c>
      <c r="J492" s="22">
        <f>G492-IFERROR(VLOOKUP(B492,crm_orders!$A:$S,12,FALSE),0)</f>
        <v>0</v>
      </c>
      <c r="K492" s="17" t="str">
        <f>IF(COUNTIF(crm_orders!$A:$A,B492)=0,"Orphan","OK")</f>
        <v>OK</v>
      </c>
    </row>
    <row r="493" ht="15.75" customHeight="1">
      <c r="A493" s="25" t="s">
        <v>1704</v>
      </c>
      <c r="B493" s="25" t="s">
        <v>625</v>
      </c>
      <c r="C493" s="26">
        <v>46114.0</v>
      </c>
      <c r="D493" s="25" t="s">
        <v>593</v>
      </c>
      <c r="E493" s="25" t="s">
        <v>156</v>
      </c>
      <c r="F493" s="29">
        <v>30.0</v>
      </c>
      <c r="G493" s="30">
        <v>270.6</v>
      </c>
      <c r="H493" s="25" t="s">
        <v>1214</v>
      </c>
      <c r="I493" s="30">
        <f>F493-IFERROR(VLOOKUP(B493,crm_orders!$A:$S,10,FALSE),0)</f>
        <v>0</v>
      </c>
      <c r="J493" s="30">
        <f>G493-IFERROR(VLOOKUP(B493,crm_orders!$A:$S,12,FALSE),0)</f>
        <v>0</v>
      </c>
      <c r="K493" s="25" t="str">
        <f>IF(COUNTIF(crm_orders!$A:$A,B493)=0,"Orphan","OK")</f>
        <v>OK</v>
      </c>
    </row>
    <row r="494" ht="15.75" customHeight="1">
      <c r="A494" s="17" t="s">
        <v>1705</v>
      </c>
      <c r="B494" s="17" t="s">
        <v>507</v>
      </c>
      <c r="C494" s="18">
        <v>46119.0</v>
      </c>
      <c r="D494" s="17" t="s">
        <v>446</v>
      </c>
      <c r="E494" s="17" t="s">
        <v>64</v>
      </c>
      <c r="F494" s="21">
        <v>36.0</v>
      </c>
      <c r="G494" s="22">
        <v>276.48</v>
      </c>
      <c r="H494" s="17" t="s">
        <v>93</v>
      </c>
      <c r="I494" s="22">
        <f>F494-IFERROR(VLOOKUP(B494,crm_orders!$A:$S,10,FALSE),0)</f>
        <v>-24</v>
      </c>
      <c r="J494" s="22">
        <f>G494-IFERROR(VLOOKUP(B494,crm_orders!$A:$S,12,FALSE),0)</f>
        <v>-184.32</v>
      </c>
      <c r="K494" s="17" t="str">
        <f>IF(COUNTIF(crm_orders!$A:$A,B494)=0,"Orphan","OK")</f>
        <v>OK</v>
      </c>
    </row>
    <row r="495" ht="15.75" customHeight="1">
      <c r="A495" s="25" t="s">
        <v>1706</v>
      </c>
      <c r="B495" s="25" t="s">
        <v>376</v>
      </c>
      <c r="C495" s="26">
        <v>46141.0</v>
      </c>
      <c r="D495" s="25" t="s">
        <v>301</v>
      </c>
      <c r="E495" s="25" t="s">
        <v>81</v>
      </c>
      <c r="F495" s="29">
        <v>24.0</v>
      </c>
      <c r="G495" s="30">
        <v>158.4</v>
      </c>
      <c r="H495" s="25" t="s">
        <v>1214</v>
      </c>
      <c r="I495" s="30">
        <f>F495-IFERROR(VLOOKUP(B495,crm_orders!$A:$S,10,FALSE),0)</f>
        <v>0</v>
      </c>
      <c r="J495" s="30">
        <f>G495-IFERROR(VLOOKUP(B495,crm_orders!$A:$S,12,FALSE),0)</f>
        <v>0</v>
      </c>
      <c r="K495" s="25" t="str">
        <f>IF(COUNTIF(crm_orders!$A:$A,B495)=0,"Orphan","OK")</f>
        <v>OK</v>
      </c>
    </row>
    <row r="496" ht="15.75" customHeight="1">
      <c r="A496" s="17" t="s">
        <v>1707</v>
      </c>
      <c r="B496" s="17" t="s">
        <v>377</v>
      </c>
      <c r="C496" s="18">
        <v>46070.0</v>
      </c>
      <c r="D496" s="17" t="s">
        <v>312</v>
      </c>
      <c r="E496" s="17" t="s">
        <v>71</v>
      </c>
      <c r="F496" s="21">
        <v>36.0</v>
      </c>
      <c r="G496" s="22">
        <v>302.4</v>
      </c>
      <c r="H496" s="17" t="s">
        <v>1214</v>
      </c>
      <c r="I496" s="22">
        <f>F496-IFERROR(VLOOKUP(B496,crm_orders!$A:$S,10,FALSE),0)</f>
        <v>0</v>
      </c>
      <c r="J496" s="22">
        <f>G496-IFERROR(VLOOKUP(B496,crm_orders!$A:$S,12,FALSE),0)</f>
        <v>0</v>
      </c>
      <c r="K496" s="17" t="str">
        <f>IF(COUNTIF(crm_orders!$A:$A,B496)=0,"Orphan","OK")</f>
        <v>OK</v>
      </c>
    </row>
    <row r="497" ht="15.75" customHeight="1">
      <c r="A497" s="25" t="s">
        <v>1708</v>
      </c>
      <c r="B497" s="25" t="s">
        <v>1162</v>
      </c>
      <c r="C497" s="26">
        <v>46110.0</v>
      </c>
      <c r="D497" s="25" t="s">
        <v>1154</v>
      </c>
      <c r="E497" s="25" t="s">
        <v>71</v>
      </c>
      <c r="F497" s="29">
        <v>72.0</v>
      </c>
      <c r="G497" s="30">
        <v>522.0</v>
      </c>
      <c r="H497" s="25" t="s">
        <v>1214</v>
      </c>
      <c r="I497" s="30">
        <f>F497-IFERROR(VLOOKUP(B497,crm_orders!$A:$S,10,FALSE),0)</f>
        <v>0</v>
      </c>
      <c r="J497" s="30">
        <f>G497-IFERROR(VLOOKUP(B497,crm_orders!$A:$S,12,FALSE),0)</f>
        <v>0</v>
      </c>
      <c r="K497" s="25" t="str">
        <f>IF(COUNTIF(crm_orders!$A:$A,B497)=0,"Orphan","OK")</f>
        <v>OK</v>
      </c>
    </row>
    <row r="498" ht="15.75" customHeight="1">
      <c r="A498" s="17" t="s">
        <v>1709</v>
      </c>
      <c r="B498" s="17" t="s">
        <v>378</v>
      </c>
      <c r="C498" s="18">
        <v>46130.0</v>
      </c>
      <c r="D498" s="17" t="s">
        <v>291</v>
      </c>
      <c r="E498" s="17" t="s">
        <v>106</v>
      </c>
      <c r="F498" s="21">
        <v>12.0</v>
      </c>
      <c r="G498" s="22">
        <v>135.72</v>
      </c>
      <c r="H498" s="17" t="s">
        <v>1214</v>
      </c>
      <c r="I498" s="22">
        <f>F498-IFERROR(VLOOKUP(B498,crm_orders!$A:$S,10,FALSE),0)</f>
        <v>0</v>
      </c>
      <c r="J498" s="22">
        <f>G498-IFERROR(VLOOKUP(B498,crm_orders!$A:$S,12,FALSE),0)</f>
        <v>0</v>
      </c>
      <c r="K498" s="17" t="str">
        <f>IF(COUNTIF(crm_orders!$A:$A,B498)=0,"Orphan","OK")</f>
        <v>OK</v>
      </c>
    </row>
    <row r="499" ht="15.75" customHeight="1">
      <c r="A499" s="25" t="s">
        <v>1710</v>
      </c>
      <c r="B499" s="25" t="s">
        <v>1023</v>
      </c>
      <c r="C499" s="26">
        <v>46098.0</v>
      </c>
      <c r="D499" s="25" t="s">
        <v>999</v>
      </c>
      <c r="E499" s="25" t="s">
        <v>92</v>
      </c>
      <c r="F499" s="29">
        <v>48.0</v>
      </c>
      <c r="G499" s="30">
        <v>506.4</v>
      </c>
      <c r="H499" s="25" t="s">
        <v>1214</v>
      </c>
      <c r="I499" s="30">
        <f>F499-IFERROR(VLOOKUP(B499,crm_orders!$A:$S,10,FALSE),0)</f>
        <v>0</v>
      </c>
      <c r="J499" s="30">
        <f>G499-IFERROR(VLOOKUP(B499,crm_orders!$A:$S,12,FALSE),0)</f>
        <v>0</v>
      </c>
      <c r="K499" s="25" t="str">
        <f>IF(COUNTIF(crm_orders!$A:$A,B499)=0,"Orphan","OK")</f>
        <v>OK</v>
      </c>
    </row>
    <row r="500" ht="15.75" customHeight="1">
      <c r="A500" s="17" t="s">
        <v>1711</v>
      </c>
      <c r="B500" s="17" t="s">
        <v>379</v>
      </c>
      <c r="C500" s="18">
        <v>46076.0</v>
      </c>
      <c r="D500" s="17" t="s">
        <v>312</v>
      </c>
      <c r="E500" s="17" t="s">
        <v>71</v>
      </c>
      <c r="F500" s="21">
        <v>18.0</v>
      </c>
      <c r="G500" s="22">
        <v>142.74</v>
      </c>
      <c r="H500" s="17" t="s">
        <v>1214</v>
      </c>
      <c r="I500" s="22">
        <f>F500-IFERROR(VLOOKUP(B500,crm_orders!$A:$S,10,FALSE),0)</f>
        <v>0</v>
      </c>
      <c r="J500" s="22">
        <f>G500-IFERROR(VLOOKUP(B500,crm_orders!$A:$S,12,FALSE),0)</f>
        <v>0</v>
      </c>
      <c r="K500" s="17" t="str">
        <f>IF(COUNTIF(crm_orders!$A:$A,B500)=0,"Orphan","OK")</f>
        <v>OK</v>
      </c>
    </row>
    <row r="501" ht="15.75" customHeight="1">
      <c r="A501" s="25" t="s">
        <v>1712</v>
      </c>
      <c r="B501" s="25" t="s">
        <v>626</v>
      </c>
      <c r="C501" s="26">
        <v>46119.0</v>
      </c>
      <c r="D501" s="25" t="s">
        <v>550</v>
      </c>
      <c r="E501" s="25" t="s">
        <v>123</v>
      </c>
      <c r="F501" s="29">
        <v>30.0</v>
      </c>
      <c r="G501" s="30">
        <v>353.4</v>
      </c>
      <c r="H501" s="25" t="s">
        <v>1214</v>
      </c>
      <c r="I501" s="30">
        <f>F501-IFERROR(VLOOKUP(B501,crm_orders!$A:$S,10,FALSE),0)</f>
        <v>0</v>
      </c>
      <c r="J501" s="30">
        <f>G501-IFERROR(VLOOKUP(B501,crm_orders!$A:$S,12,FALSE),0)</f>
        <v>0</v>
      </c>
      <c r="K501" s="25" t="str">
        <f>IF(COUNTIF(crm_orders!$A:$A,B501)=0,"Orphan","OK")</f>
        <v>OK</v>
      </c>
    </row>
    <row r="502" ht="15.75" customHeight="1">
      <c r="A502" s="17" t="s">
        <v>1713</v>
      </c>
      <c r="B502" s="17" t="s">
        <v>627</v>
      </c>
      <c r="C502" s="18">
        <v>46088.0</v>
      </c>
      <c r="D502" s="17" t="s">
        <v>550</v>
      </c>
      <c r="E502" s="17" t="s">
        <v>108</v>
      </c>
      <c r="F502" s="21">
        <v>6.0</v>
      </c>
      <c r="G502" s="22">
        <v>64.24</v>
      </c>
      <c r="H502" s="17" t="s">
        <v>1212</v>
      </c>
      <c r="I502" s="22">
        <f>F502-IFERROR(VLOOKUP(B502,crm_orders!$A:$S,10,FALSE),0)</f>
        <v>0</v>
      </c>
      <c r="J502" s="22">
        <f>G502-IFERROR(VLOOKUP(B502,crm_orders!$A:$S,12,FALSE),0)</f>
        <v>1.9</v>
      </c>
      <c r="K502" s="17" t="str">
        <f>IF(COUNTIF(crm_orders!$A:$A,B502)=0,"Orphan","OK")</f>
        <v>OK</v>
      </c>
    </row>
    <row r="503" ht="15.75" customHeight="1">
      <c r="A503" s="25" t="s">
        <v>1714</v>
      </c>
      <c r="B503" s="25" t="s">
        <v>628</v>
      </c>
      <c r="C503" s="26">
        <v>46074.0</v>
      </c>
      <c r="D503" s="25" t="s">
        <v>582</v>
      </c>
      <c r="E503" s="25" t="s">
        <v>110</v>
      </c>
      <c r="F503" s="29">
        <v>30.0</v>
      </c>
      <c r="G503" s="30">
        <v>330.3</v>
      </c>
      <c r="H503" s="25" t="s">
        <v>1214</v>
      </c>
      <c r="I503" s="30">
        <f>F503-IFERROR(VLOOKUP(B503,crm_orders!$A:$S,10,FALSE),0)</f>
        <v>0</v>
      </c>
      <c r="J503" s="30">
        <f>G503-IFERROR(VLOOKUP(B503,crm_orders!$A:$S,12,FALSE),0)</f>
        <v>0</v>
      </c>
      <c r="K503" s="25" t="str">
        <f>IF(COUNTIF(crm_orders!$A:$A,B503)=0,"Orphan","OK")</f>
        <v>OK</v>
      </c>
    </row>
    <row r="504" ht="15.75" customHeight="1">
      <c r="A504" s="17" t="s">
        <v>1715</v>
      </c>
      <c r="B504" s="17" t="s">
        <v>629</v>
      </c>
      <c r="C504" s="18">
        <v>46137.0</v>
      </c>
      <c r="D504" s="17" t="s">
        <v>550</v>
      </c>
      <c r="E504" s="17" t="s">
        <v>156</v>
      </c>
      <c r="F504" s="21">
        <v>18.0</v>
      </c>
      <c r="G504" s="22">
        <v>169.02</v>
      </c>
      <c r="H504" s="17" t="s">
        <v>1214</v>
      </c>
      <c r="I504" s="22">
        <f>F504-IFERROR(VLOOKUP(B504,crm_orders!$A:$S,10,FALSE),0)</f>
        <v>0</v>
      </c>
      <c r="J504" s="22">
        <f>G504-IFERROR(VLOOKUP(B504,crm_orders!$A:$S,12,FALSE),0)</f>
        <v>0</v>
      </c>
      <c r="K504" s="17" t="str">
        <f>IF(COUNTIF(crm_orders!$A:$A,B504)=0,"Orphan","OK")</f>
        <v>OK</v>
      </c>
    </row>
    <row r="505" ht="15.75" customHeight="1">
      <c r="A505" s="25" t="s">
        <v>1716</v>
      </c>
      <c r="B505" s="25" t="s">
        <v>1024</v>
      </c>
      <c r="C505" s="26">
        <v>46087.0</v>
      </c>
      <c r="D505" s="25" t="s">
        <v>968</v>
      </c>
      <c r="E505" s="25" t="s">
        <v>85</v>
      </c>
      <c r="F505" s="29">
        <v>18.0</v>
      </c>
      <c r="G505" s="30">
        <v>189.18</v>
      </c>
      <c r="H505" s="25" t="s">
        <v>1214</v>
      </c>
      <c r="I505" s="30">
        <f>F505-IFERROR(VLOOKUP(B505,crm_orders!$A:$S,10,FALSE),0)</f>
        <v>0</v>
      </c>
      <c r="J505" s="30">
        <f>G505-IFERROR(VLOOKUP(B505,crm_orders!$A:$S,12,FALSE),0)</f>
        <v>0</v>
      </c>
      <c r="K505" s="25" t="str">
        <f>IF(COUNTIF(crm_orders!$A:$A,B505)=0,"Orphan","OK")</f>
        <v>OK</v>
      </c>
    </row>
    <row r="506" ht="15.75" customHeight="1">
      <c r="A506" s="17" t="s">
        <v>1717</v>
      </c>
      <c r="B506" s="17" t="s">
        <v>910</v>
      </c>
      <c r="C506" s="18">
        <v>46130.0</v>
      </c>
      <c r="D506" s="17" t="s">
        <v>873</v>
      </c>
      <c r="E506" s="17" t="s">
        <v>95</v>
      </c>
      <c r="F506" s="21">
        <v>72.0</v>
      </c>
      <c r="G506" s="22">
        <v>725.76</v>
      </c>
      <c r="H506" s="17" t="s">
        <v>1214</v>
      </c>
      <c r="I506" s="22">
        <f>F506-IFERROR(VLOOKUP(B506,crm_orders!$A:$S,10,FALSE),0)</f>
        <v>0</v>
      </c>
      <c r="J506" s="22">
        <f>G506-IFERROR(VLOOKUP(B506,crm_orders!$A:$S,12,FALSE),0)</f>
        <v>0</v>
      </c>
      <c r="K506" s="17" t="str">
        <f>IF(COUNTIF(crm_orders!$A:$A,B506)=0,"Orphan","OK")</f>
        <v>OK</v>
      </c>
    </row>
    <row r="507" ht="15.75" customHeight="1">
      <c r="A507" s="25" t="s">
        <v>1718</v>
      </c>
      <c r="B507" s="25" t="s">
        <v>1025</v>
      </c>
      <c r="C507" s="26">
        <v>46108.0</v>
      </c>
      <c r="D507" s="25" t="s">
        <v>950</v>
      </c>
      <c r="E507" s="25" t="s">
        <v>154</v>
      </c>
      <c r="F507" s="29">
        <v>12.0</v>
      </c>
      <c r="G507" s="30">
        <v>138.36</v>
      </c>
      <c r="H507" s="25" t="s">
        <v>1214</v>
      </c>
      <c r="I507" s="30">
        <f>F507-IFERROR(VLOOKUP(B507,crm_orders!$A:$S,10,FALSE),0)</f>
        <v>0</v>
      </c>
      <c r="J507" s="30">
        <f>G507-IFERROR(VLOOKUP(B507,crm_orders!$A:$S,12,FALSE),0)</f>
        <v>0</v>
      </c>
      <c r="K507" s="25" t="str">
        <f>IF(COUNTIF(crm_orders!$A:$A,B507)=0,"Orphan","OK")</f>
        <v>OK</v>
      </c>
    </row>
    <row r="508" ht="15.75" customHeight="1">
      <c r="A508" s="17" t="s">
        <v>1719</v>
      </c>
      <c r="B508" s="17" t="s">
        <v>238</v>
      </c>
      <c r="C508" s="18">
        <v>46138.0</v>
      </c>
      <c r="D508" s="17" t="s">
        <v>189</v>
      </c>
      <c r="E508" s="17" t="s">
        <v>90</v>
      </c>
      <c r="F508" s="21">
        <v>24.0</v>
      </c>
      <c r="G508" s="22">
        <v>175.44</v>
      </c>
      <c r="H508" s="17" t="s">
        <v>1214</v>
      </c>
      <c r="I508" s="22">
        <f>F508-IFERROR(VLOOKUP(B508,crm_orders!$A:$S,10,FALSE),0)</f>
        <v>0</v>
      </c>
      <c r="J508" s="22">
        <f>G508-IFERROR(VLOOKUP(B508,crm_orders!$A:$S,12,FALSE),0)</f>
        <v>0</v>
      </c>
      <c r="K508" s="17" t="str">
        <f>IF(COUNTIF(crm_orders!$A:$A,B508)=0,"Orphan","OK")</f>
        <v>OK</v>
      </c>
    </row>
    <row r="509" ht="15.75" customHeight="1">
      <c r="A509" s="25" t="s">
        <v>1720</v>
      </c>
      <c r="B509" s="25" t="s">
        <v>381</v>
      </c>
      <c r="C509" s="26">
        <v>46131.0</v>
      </c>
      <c r="D509" s="25" t="s">
        <v>310</v>
      </c>
      <c r="E509" s="25" t="s">
        <v>95</v>
      </c>
      <c r="F509" s="29">
        <v>24.0</v>
      </c>
      <c r="G509" s="30">
        <v>272.88</v>
      </c>
      <c r="H509" s="25" t="s">
        <v>1214</v>
      </c>
      <c r="I509" s="30">
        <f>F509-IFERROR(VLOOKUP(B509,crm_orders!$A:$S,10,FALSE),0)</f>
        <v>0</v>
      </c>
      <c r="J509" s="30">
        <f>G509-IFERROR(VLOOKUP(B509,crm_orders!$A:$S,12,FALSE),0)</f>
        <v>0</v>
      </c>
      <c r="K509" s="25" t="str">
        <f>IF(COUNTIF(crm_orders!$A:$A,B509)=0,"Orphan","OK")</f>
        <v>OK</v>
      </c>
    </row>
    <row r="510" ht="15.75" customHeight="1">
      <c r="A510" s="17" t="s">
        <v>1721</v>
      </c>
      <c r="B510" s="17" t="s">
        <v>239</v>
      </c>
      <c r="C510" s="18">
        <v>46125.0</v>
      </c>
      <c r="D510" s="17" t="s">
        <v>166</v>
      </c>
      <c r="E510" s="17" t="s">
        <v>90</v>
      </c>
      <c r="F510" s="21">
        <v>72.0</v>
      </c>
      <c r="G510" s="22">
        <v>519.84</v>
      </c>
      <c r="H510" s="17" t="s">
        <v>1214</v>
      </c>
      <c r="I510" s="22">
        <f>F510-IFERROR(VLOOKUP(B510,crm_orders!$A:$S,10,FALSE),0)</f>
        <v>0</v>
      </c>
      <c r="J510" s="22">
        <f>G510-IFERROR(VLOOKUP(B510,crm_orders!$A:$S,12,FALSE),0)</f>
        <v>0</v>
      </c>
      <c r="K510" s="17" t="str">
        <f>IF(COUNTIF(crm_orders!$A:$A,B510)=0,"Orphan","OK")</f>
        <v>OK</v>
      </c>
    </row>
    <row r="511" ht="15.75" customHeight="1">
      <c r="A511" s="25" t="s">
        <v>1722</v>
      </c>
      <c r="B511" s="25" t="s">
        <v>1163</v>
      </c>
      <c r="C511" s="26">
        <v>46051.0</v>
      </c>
      <c r="D511" s="25" t="s">
        <v>1126</v>
      </c>
      <c r="E511" s="25" t="s">
        <v>85</v>
      </c>
      <c r="F511" s="29">
        <v>6.0</v>
      </c>
      <c r="G511" s="30">
        <v>61.02</v>
      </c>
      <c r="H511" s="25" t="s">
        <v>1214</v>
      </c>
      <c r="I511" s="30">
        <f>F511-IFERROR(VLOOKUP(B511,crm_orders!$A:$S,10,FALSE),0)</f>
        <v>0</v>
      </c>
      <c r="J511" s="30">
        <f>G511-IFERROR(VLOOKUP(B511,crm_orders!$A:$S,12,FALSE),0)</f>
        <v>0</v>
      </c>
      <c r="K511" s="25" t="str">
        <f>IF(COUNTIF(crm_orders!$A:$A,B511)=0,"Orphan","OK")</f>
        <v>OK</v>
      </c>
    </row>
    <row r="512" ht="15.75" customHeight="1">
      <c r="A512" s="17" t="s">
        <v>1723</v>
      </c>
      <c r="B512" s="17" t="s">
        <v>794</v>
      </c>
      <c r="C512" s="18">
        <v>46147.0</v>
      </c>
      <c r="D512" s="17" t="s">
        <v>717</v>
      </c>
      <c r="E512" s="17" t="s">
        <v>71</v>
      </c>
      <c r="F512" s="21">
        <v>12.0</v>
      </c>
      <c r="G512" s="22">
        <v>89.88</v>
      </c>
      <c r="H512" s="17" t="s">
        <v>1214</v>
      </c>
      <c r="I512" s="22">
        <f>F512-IFERROR(VLOOKUP(B512,crm_orders!$A:$S,10,FALSE),0)</f>
        <v>0</v>
      </c>
      <c r="J512" s="22">
        <f>G512-IFERROR(VLOOKUP(B512,crm_orders!$A:$S,12,FALSE),0)</f>
        <v>0</v>
      </c>
      <c r="K512" s="17" t="str">
        <f>IF(COUNTIF(crm_orders!$A:$A,B512)=0,"Orphan","OK")</f>
        <v>OK</v>
      </c>
    </row>
    <row r="513" ht="15.75" customHeight="1">
      <c r="A513" s="25" t="s">
        <v>1724</v>
      </c>
      <c r="B513" s="25" t="s">
        <v>795</v>
      </c>
      <c r="C513" s="26">
        <v>46074.0</v>
      </c>
      <c r="D513" s="25" t="s">
        <v>702</v>
      </c>
      <c r="E513" s="25" t="s">
        <v>162</v>
      </c>
      <c r="F513" s="29">
        <v>24.0</v>
      </c>
      <c r="G513" s="30">
        <v>230.88</v>
      </c>
      <c r="H513" s="25" t="s">
        <v>1214</v>
      </c>
      <c r="I513" s="30">
        <f>F513-IFERROR(VLOOKUP(B513,crm_orders!$A:$S,10,FALSE),0)</f>
        <v>0</v>
      </c>
      <c r="J513" s="30">
        <f>G513-IFERROR(VLOOKUP(B513,crm_orders!$A:$S,12,FALSE),0)</f>
        <v>0</v>
      </c>
      <c r="K513" s="25" t="str">
        <f>IF(COUNTIF(crm_orders!$A:$A,B513)=0,"Orphan","OK")</f>
        <v>OK</v>
      </c>
    </row>
    <row r="514" ht="15.75" customHeight="1">
      <c r="A514" s="17" t="s">
        <v>1725</v>
      </c>
      <c r="B514" s="17" t="s">
        <v>1026</v>
      </c>
      <c r="C514" s="18">
        <v>46050.0</v>
      </c>
      <c r="D514" s="17" t="s">
        <v>988</v>
      </c>
      <c r="E514" s="17" t="s">
        <v>115</v>
      </c>
      <c r="F514" s="21">
        <v>6.0</v>
      </c>
      <c r="G514" s="22">
        <v>73.68</v>
      </c>
      <c r="H514" s="17" t="s">
        <v>1214</v>
      </c>
      <c r="I514" s="22">
        <f>F514-IFERROR(VLOOKUP(B514,crm_orders!$A:$S,10,FALSE),0)</f>
        <v>0</v>
      </c>
      <c r="J514" s="22">
        <f>G514-IFERROR(VLOOKUP(B514,crm_orders!$A:$S,12,FALSE),0)</f>
        <v>0</v>
      </c>
      <c r="K514" s="17" t="str">
        <f>IF(COUNTIF(crm_orders!$A:$A,B514)=0,"Orphan","OK")</f>
        <v>OK</v>
      </c>
    </row>
    <row r="515" ht="15.75" customHeight="1">
      <c r="A515" s="25" t="s">
        <v>1726</v>
      </c>
      <c r="B515" s="25" t="s">
        <v>630</v>
      </c>
      <c r="C515" s="26">
        <v>46097.0</v>
      </c>
      <c r="D515" s="25" t="s">
        <v>566</v>
      </c>
      <c r="E515" s="25" t="s">
        <v>102</v>
      </c>
      <c r="F515" s="29">
        <v>24.0</v>
      </c>
      <c r="G515" s="30">
        <v>246.72</v>
      </c>
      <c r="H515" s="25" t="s">
        <v>1214</v>
      </c>
      <c r="I515" s="30">
        <f>F515-IFERROR(VLOOKUP(B515,crm_orders!$A:$S,10,FALSE),0)</f>
        <v>0</v>
      </c>
      <c r="J515" s="30">
        <f>G515-IFERROR(VLOOKUP(B515,crm_orders!$A:$S,12,FALSE),0)</f>
        <v>0</v>
      </c>
      <c r="K515" s="25" t="str">
        <f>IF(COUNTIF(crm_orders!$A:$A,B515)=0,"Orphan","OK")</f>
        <v>OK</v>
      </c>
    </row>
    <row r="516" ht="15.75" customHeight="1">
      <c r="A516" s="17" t="s">
        <v>1727</v>
      </c>
      <c r="B516" s="17" t="s">
        <v>796</v>
      </c>
      <c r="C516" s="18">
        <v>46110.0</v>
      </c>
      <c r="D516" s="17" t="s">
        <v>698</v>
      </c>
      <c r="E516" s="17" t="s">
        <v>74</v>
      </c>
      <c r="F516" s="21">
        <v>36.0</v>
      </c>
      <c r="G516" s="22">
        <v>398.52</v>
      </c>
      <c r="H516" s="17" t="s">
        <v>1214</v>
      </c>
      <c r="I516" s="22">
        <f>F516-IFERROR(VLOOKUP(B516,crm_orders!$A:$S,10,FALSE),0)</f>
        <v>0</v>
      </c>
      <c r="J516" s="22">
        <f>G516-IFERROR(VLOOKUP(B516,crm_orders!$A:$S,12,FALSE),0)</f>
        <v>0</v>
      </c>
      <c r="K516" s="17" t="str">
        <f>IF(COUNTIF(crm_orders!$A:$A,B516)=0,"Orphan","OK")</f>
        <v>OK</v>
      </c>
    </row>
    <row r="517" ht="15.75" customHeight="1">
      <c r="A517" s="25" t="s">
        <v>1728</v>
      </c>
      <c r="B517" s="25" t="s">
        <v>1107</v>
      </c>
      <c r="C517" s="26">
        <v>46103.0</v>
      </c>
      <c r="D517" s="25" t="s">
        <v>1075</v>
      </c>
      <c r="E517" s="25" t="s">
        <v>74</v>
      </c>
      <c r="F517" s="29">
        <v>18.0</v>
      </c>
      <c r="G517" s="30">
        <v>190.08</v>
      </c>
      <c r="H517" s="25" t="s">
        <v>1214</v>
      </c>
      <c r="I517" s="30">
        <f>F517-IFERROR(VLOOKUP(B517,crm_orders!$A:$S,10,FALSE),0)</f>
        <v>0</v>
      </c>
      <c r="J517" s="30">
        <f>G517-IFERROR(VLOOKUP(B517,crm_orders!$A:$S,12,FALSE),0)</f>
        <v>0</v>
      </c>
      <c r="K517" s="25" t="str">
        <f>IF(COUNTIF(crm_orders!$A:$A,B517)=0,"Orphan","OK")</f>
        <v>OK</v>
      </c>
    </row>
    <row r="518" ht="15.75" customHeight="1">
      <c r="A518" s="17" t="s">
        <v>1729</v>
      </c>
      <c r="B518" s="17" t="s">
        <v>631</v>
      </c>
      <c r="C518" s="18">
        <v>46095.0</v>
      </c>
      <c r="D518" s="17" t="s">
        <v>553</v>
      </c>
      <c r="E518" s="17" t="s">
        <v>74</v>
      </c>
      <c r="F518" s="21">
        <v>24.0</v>
      </c>
      <c r="G518" s="22">
        <v>300.72</v>
      </c>
      <c r="H518" s="17" t="s">
        <v>1214</v>
      </c>
      <c r="I518" s="22">
        <f>F518-IFERROR(VLOOKUP(B518,crm_orders!$A:$S,10,FALSE),0)</f>
        <v>0</v>
      </c>
      <c r="J518" s="22">
        <f>G518-IFERROR(VLOOKUP(B518,crm_orders!$A:$S,12,FALSE),0)</f>
        <v>0</v>
      </c>
      <c r="K518" s="17" t="str">
        <f>IF(COUNTIF(crm_orders!$A:$A,B518)=0,"Orphan","OK")</f>
        <v>OK</v>
      </c>
    </row>
    <row r="519" ht="15.75" customHeight="1">
      <c r="A519" s="25" t="s">
        <v>1730</v>
      </c>
      <c r="B519" s="25" t="s">
        <v>797</v>
      </c>
      <c r="C519" s="26">
        <v>46126.0</v>
      </c>
      <c r="D519" s="25" t="s">
        <v>714</v>
      </c>
      <c r="E519" s="25" t="s">
        <v>92</v>
      </c>
      <c r="F519" s="29">
        <v>18.0</v>
      </c>
      <c r="G519" s="30">
        <v>187.2</v>
      </c>
      <c r="H519" s="25" t="s">
        <v>93</v>
      </c>
      <c r="I519" s="30">
        <f>F519-IFERROR(VLOOKUP(B519,crm_orders!$A:$S,10,FALSE),0)</f>
        <v>-18</v>
      </c>
      <c r="J519" s="30">
        <f>G519-IFERROR(VLOOKUP(B519,crm_orders!$A:$S,12,FALSE),0)</f>
        <v>-187.2</v>
      </c>
      <c r="K519" s="25" t="str">
        <f>IF(COUNTIF(crm_orders!$A:$A,B519)=0,"Orphan","OK")</f>
        <v>OK</v>
      </c>
    </row>
    <row r="520" ht="15.75" customHeight="1">
      <c r="A520" s="17" t="s">
        <v>1731</v>
      </c>
      <c r="B520" s="17" t="s">
        <v>798</v>
      </c>
      <c r="C520" s="18">
        <v>46114.0</v>
      </c>
      <c r="D520" s="17" t="s">
        <v>706</v>
      </c>
      <c r="E520" s="17" t="s">
        <v>68</v>
      </c>
      <c r="F520" s="21">
        <v>96.0</v>
      </c>
      <c r="G520" s="22">
        <v>933.12</v>
      </c>
      <c r="H520" s="17" t="s">
        <v>1214</v>
      </c>
      <c r="I520" s="22">
        <f>F520-IFERROR(VLOOKUP(B520,crm_orders!$A:$S,10,FALSE),0)</f>
        <v>0</v>
      </c>
      <c r="J520" s="22">
        <f>G520-IFERROR(VLOOKUP(B520,crm_orders!$A:$S,12,FALSE),0)</f>
        <v>0</v>
      </c>
      <c r="K520" s="17" t="str">
        <f>IF(COUNTIF(crm_orders!$A:$A,B520)=0,"Orphan","OK")</f>
        <v>OK</v>
      </c>
    </row>
    <row r="521" ht="15.75" customHeight="1">
      <c r="A521" s="25" t="s">
        <v>1732</v>
      </c>
      <c r="B521" s="25" t="s">
        <v>1027</v>
      </c>
      <c r="C521" s="26">
        <v>46095.0</v>
      </c>
      <c r="D521" s="25" t="s">
        <v>957</v>
      </c>
      <c r="E521" s="25" t="s">
        <v>102</v>
      </c>
      <c r="F521" s="29">
        <v>60.0</v>
      </c>
      <c r="G521" s="30">
        <v>646.8</v>
      </c>
      <c r="H521" s="25" t="s">
        <v>1214</v>
      </c>
      <c r="I521" s="30">
        <f>F521-IFERROR(VLOOKUP(B521,crm_orders!$A:$S,10,FALSE),0)</f>
        <v>0</v>
      </c>
      <c r="J521" s="30">
        <f>G521-IFERROR(VLOOKUP(B521,crm_orders!$A:$S,12,FALSE),0)</f>
        <v>0</v>
      </c>
      <c r="K521" s="25" t="str">
        <f>IF(COUNTIF(crm_orders!$A:$A,B521)=0,"Orphan","OK")</f>
        <v>OK</v>
      </c>
    </row>
    <row r="522" ht="15.75" customHeight="1">
      <c r="A522" s="17" t="s">
        <v>1733</v>
      </c>
      <c r="B522" s="17" t="s">
        <v>799</v>
      </c>
      <c r="C522" s="18">
        <v>46058.0</v>
      </c>
      <c r="D522" s="17" t="s">
        <v>710</v>
      </c>
      <c r="E522" s="17" t="s">
        <v>92</v>
      </c>
      <c r="F522" s="21">
        <v>96.0</v>
      </c>
      <c r="G522" s="22">
        <v>994.56</v>
      </c>
      <c r="H522" s="17" t="s">
        <v>1214</v>
      </c>
      <c r="I522" s="22">
        <f>F522-IFERROR(VLOOKUP(B522,crm_orders!$A:$S,10,FALSE),0)</f>
        <v>0</v>
      </c>
      <c r="J522" s="22">
        <f>G522-IFERROR(VLOOKUP(B522,crm_orders!$A:$S,12,FALSE),0)</f>
        <v>0</v>
      </c>
      <c r="K522" s="17" t="str">
        <f>IF(COUNTIF(crm_orders!$A:$A,B522)=0,"Orphan","OK")</f>
        <v>OK</v>
      </c>
    </row>
    <row r="523" ht="15.75" customHeight="1">
      <c r="A523" s="25" t="s">
        <v>1734</v>
      </c>
      <c r="B523" s="25" t="s">
        <v>1165</v>
      </c>
      <c r="C523" s="26">
        <v>46082.0</v>
      </c>
      <c r="D523" s="25" t="s">
        <v>1129</v>
      </c>
      <c r="E523" s="25" t="s">
        <v>102</v>
      </c>
      <c r="F523" s="29">
        <v>0.0</v>
      </c>
      <c r="G523" s="30">
        <v>0.0</v>
      </c>
      <c r="H523" s="25" t="s">
        <v>93</v>
      </c>
      <c r="I523" s="30">
        <f>F523-IFERROR(VLOOKUP(B523,crm_orders!$A:$S,10,FALSE),0)</f>
        <v>-12</v>
      </c>
      <c r="J523" s="30">
        <f>G523-IFERROR(VLOOKUP(B523,crm_orders!$A:$S,12,FALSE),0)</f>
        <v>-134.64</v>
      </c>
      <c r="K523" s="25" t="str">
        <f>IF(COUNTIF(crm_orders!$A:$A,B523)=0,"Orphan","OK")</f>
        <v>OK</v>
      </c>
    </row>
    <row r="524" ht="15.75" customHeight="1">
      <c r="A524" s="17" t="s">
        <v>1735</v>
      </c>
      <c r="B524" s="17" t="s">
        <v>632</v>
      </c>
      <c r="C524" s="18">
        <v>46055.0</v>
      </c>
      <c r="D524" s="17" t="s">
        <v>575</v>
      </c>
      <c r="E524" s="17" t="s">
        <v>110</v>
      </c>
      <c r="F524" s="21">
        <v>18.0</v>
      </c>
      <c r="G524" s="22">
        <v>213.3</v>
      </c>
      <c r="H524" s="17" t="s">
        <v>1214</v>
      </c>
      <c r="I524" s="22">
        <f>F524-IFERROR(VLOOKUP(B524,crm_orders!$A:$S,10,FALSE),0)</f>
        <v>0</v>
      </c>
      <c r="J524" s="22">
        <f>G524-IFERROR(VLOOKUP(B524,crm_orders!$A:$S,12,FALSE),0)</f>
        <v>0</v>
      </c>
      <c r="K524" s="17" t="str">
        <f>IF(COUNTIF(crm_orders!$A:$A,B524)=0,"Orphan","OK")</f>
        <v>OK</v>
      </c>
    </row>
    <row r="525" ht="15.75" customHeight="1">
      <c r="A525" s="25" t="s">
        <v>1736</v>
      </c>
      <c r="B525" s="25" t="s">
        <v>508</v>
      </c>
      <c r="C525" s="26">
        <v>46068.0</v>
      </c>
      <c r="D525" s="25" t="s">
        <v>469</v>
      </c>
      <c r="E525" s="25" t="s">
        <v>81</v>
      </c>
      <c r="F525" s="29">
        <v>48.0</v>
      </c>
      <c r="G525" s="30">
        <v>356.16</v>
      </c>
      <c r="H525" s="25" t="s">
        <v>1214</v>
      </c>
      <c r="I525" s="30">
        <f>F525-IFERROR(VLOOKUP(B525,crm_orders!$A:$S,10,FALSE),0)</f>
        <v>0</v>
      </c>
      <c r="J525" s="30">
        <f>G525-IFERROR(VLOOKUP(B525,crm_orders!$A:$S,12,FALSE),0)</f>
        <v>0</v>
      </c>
      <c r="K525" s="25" t="str">
        <f>IF(COUNTIF(crm_orders!$A:$A,B525)=0,"Orphan","OK")</f>
        <v>OK</v>
      </c>
    </row>
    <row r="526" ht="15.75" customHeight="1">
      <c r="A526" s="17" t="s">
        <v>1737</v>
      </c>
      <c r="B526" s="17" t="s">
        <v>1166</v>
      </c>
      <c r="C526" s="18">
        <v>46148.0</v>
      </c>
      <c r="D526" s="17" t="s">
        <v>1126</v>
      </c>
      <c r="E526" s="17" t="s">
        <v>102</v>
      </c>
      <c r="F526" s="21">
        <v>48.0</v>
      </c>
      <c r="G526" s="22">
        <v>551.04</v>
      </c>
      <c r="H526" s="17" t="s">
        <v>1214</v>
      </c>
      <c r="I526" s="22">
        <f>F526-IFERROR(VLOOKUP(B526,crm_orders!$A:$S,10,FALSE),0)</f>
        <v>0</v>
      </c>
      <c r="J526" s="22">
        <f>G526-IFERROR(VLOOKUP(B526,crm_orders!$A:$S,12,FALSE),0)</f>
        <v>0</v>
      </c>
      <c r="K526" s="17" t="str">
        <f>IF(COUNTIF(crm_orders!$A:$A,B526)=0,"Orphan","OK")</f>
        <v>OK</v>
      </c>
    </row>
    <row r="527" ht="15.75" customHeight="1">
      <c r="A527" s="25" t="s">
        <v>1738</v>
      </c>
      <c r="B527" s="25" t="s">
        <v>912</v>
      </c>
      <c r="C527" s="26">
        <v>46143.0</v>
      </c>
      <c r="D527" s="25" t="s">
        <v>882</v>
      </c>
      <c r="E527" s="25" t="s">
        <v>85</v>
      </c>
      <c r="F527" s="29">
        <v>30.0</v>
      </c>
      <c r="G527" s="30">
        <v>280.5</v>
      </c>
      <c r="H527" s="25" t="s">
        <v>1214</v>
      </c>
      <c r="I527" s="30">
        <f>F527-IFERROR(VLOOKUP(B527,crm_orders!$A:$S,10,FALSE),0)</f>
        <v>0</v>
      </c>
      <c r="J527" s="30">
        <f>G527-IFERROR(VLOOKUP(B527,crm_orders!$A:$S,12,FALSE),0)</f>
        <v>0</v>
      </c>
      <c r="K527" s="25" t="str">
        <f>IF(COUNTIF(crm_orders!$A:$A,B527)=0,"Orphan","OK")</f>
        <v>OK</v>
      </c>
    </row>
    <row r="528" ht="15.75" customHeight="1">
      <c r="A528" s="17" t="s">
        <v>1739</v>
      </c>
      <c r="B528" s="17" t="s">
        <v>800</v>
      </c>
      <c r="C528" s="18">
        <v>46138.0</v>
      </c>
      <c r="D528" s="17" t="s">
        <v>720</v>
      </c>
      <c r="E528" s="17" t="s">
        <v>78</v>
      </c>
      <c r="F528" s="21">
        <v>30.0</v>
      </c>
      <c r="G528" s="22">
        <v>346.2</v>
      </c>
      <c r="H528" s="17" t="s">
        <v>1214</v>
      </c>
      <c r="I528" s="22">
        <f>F528-IFERROR(VLOOKUP(B528,crm_orders!$A:$S,10,FALSE),0)</f>
        <v>0</v>
      </c>
      <c r="J528" s="22">
        <f>G528-IFERROR(VLOOKUP(B528,crm_orders!$A:$S,12,FALSE),0)</f>
        <v>0</v>
      </c>
      <c r="K528" s="17" t="str">
        <f>IF(COUNTIF(crm_orders!$A:$A,B528)=0,"Orphan","OK")</f>
        <v>OK</v>
      </c>
    </row>
    <row r="529" ht="15.75" customHeight="1">
      <c r="A529" s="25" t="s">
        <v>1740</v>
      </c>
      <c r="B529" s="25" t="s">
        <v>913</v>
      </c>
      <c r="C529" s="26">
        <v>46087.0</v>
      </c>
      <c r="D529" s="25" t="s">
        <v>882</v>
      </c>
      <c r="E529" s="25" t="s">
        <v>106</v>
      </c>
      <c r="F529" s="29">
        <v>72.0</v>
      </c>
      <c r="G529" s="30">
        <v>729.36</v>
      </c>
      <c r="H529" s="25" t="s">
        <v>1214</v>
      </c>
      <c r="I529" s="30">
        <f>F529-IFERROR(VLOOKUP(B529,crm_orders!$A:$S,10,FALSE),0)</f>
        <v>0</v>
      </c>
      <c r="J529" s="30">
        <f>G529-IFERROR(VLOOKUP(B529,crm_orders!$A:$S,12,FALSE),0)</f>
        <v>0</v>
      </c>
      <c r="K529" s="25" t="str">
        <f>IF(COUNTIF(crm_orders!$A:$A,B529)=0,"Orphan","OK")</f>
        <v>OK</v>
      </c>
    </row>
    <row r="530" ht="15.75" customHeight="1">
      <c r="A530" s="17" t="s">
        <v>1741</v>
      </c>
      <c r="B530" s="17" t="s">
        <v>801</v>
      </c>
      <c r="C530" s="18">
        <v>46050.0</v>
      </c>
      <c r="D530" s="17" t="s">
        <v>727</v>
      </c>
      <c r="E530" s="17" t="s">
        <v>108</v>
      </c>
      <c r="F530" s="21">
        <v>6.0</v>
      </c>
      <c r="G530" s="22">
        <v>70.92</v>
      </c>
      <c r="H530" s="17" t="s">
        <v>93</v>
      </c>
      <c r="I530" s="22">
        <f>F530-IFERROR(VLOOKUP(B530,crm_orders!$A:$S,10,FALSE),0)</f>
        <v>-24</v>
      </c>
      <c r="J530" s="22">
        <f>G530-IFERROR(VLOOKUP(B530,crm_orders!$A:$S,12,FALSE),0)</f>
        <v>-283.68</v>
      </c>
      <c r="K530" s="17" t="str">
        <f>IF(COUNTIF(crm_orders!$A:$A,B530)=0,"Orphan","OK")</f>
        <v>OK</v>
      </c>
    </row>
    <row r="531" ht="15.75" customHeight="1">
      <c r="A531" s="25" t="s">
        <v>1742</v>
      </c>
      <c r="B531" s="25" t="s">
        <v>240</v>
      </c>
      <c r="C531" s="26">
        <v>46118.0</v>
      </c>
      <c r="D531" s="25" t="s">
        <v>179</v>
      </c>
      <c r="E531" s="25" t="s">
        <v>90</v>
      </c>
      <c r="F531" s="29">
        <v>48.0</v>
      </c>
      <c r="G531" s="30">
        <v>394.08</v>
      </c>
      <c r="H531" s="25" t="s">
        <v>1214</v>
      </c>
      <c r="I531" s="30">
        <f>F531-IFERROR(VLOOKUP(B531,crm_orders!$A:$S,10,FALSE),0)</f>
        <v>0</v>
      </c>
      <c r="J531" s="30">
        <f>G531-IFERROR(VLOOKUP(B531,crm_orders!$A:$S,12,FALSE),0)</f>
        <v>0</v>
      </c>
      <c r="K531" s="25" t="str">
        <f>IF(COUNTIF(crm_orders!$A:$A,B531)=0,"Orphan","OK")</f>
        <v>OK</v>
      </c>
    </row>
    <row r="532" ht="15.75" customHeight="1">
      <c r="A532" s="17" t="s">
        <v>1743</v>
      </c>
      <c r="B532" s="17" t="s">
        <v>802</v>
      </c>
      <c r="C532" s="18">
        <v>46151.0</v>
      </c>
      <c r="D532" s="17" t="s">
        <v>714</v>
      </c>
      <c r="E532" s="17" t="s">
        <v>71</v>
      </c>
      <c r="F532" s="21">
        <v>48.0</v>
      </c>
      <c r="G532" s="22">
        <v>381.12</v>
      </c>
      <c r="H532" s="17" t="s">
        <v>1214</v>
      </c>
      <c r="I532" s="22">
        <f>F532-IFERROR(VLOOKUP(B532,crm_orders!$A:$S,10,FALSE),0)</f>
        <v>0</v>
      </c>
      <c r="J532" s="22">
        <f>G532-IFERROR(VLOOKUP(B532,crm_orders!$A:$S,12,FALSE),0)</f>
        <v>0</v>
      </c>
      <c r="K532" s="17" t="str">
        <f>IF(COUNTIF(crm_orders!$A:$A,B532)=0,"Orphan","OK")</f>
        <v>OK</v>
      </c>
    </row>
    <row r="533" ht="15.75" customHeight="1">
      <c r="A533" s="25" t="s">
        <v>1744</v>
      </c>
      <c r="B533" s="25" t="s">
        <v>241</v>
      </c>
      <c r="C533" s="26">
        <v>46028.0</v>
      </c>
      <c r="D533" s="25" t="s">
        <v>170</v>
      </c>
      <c r="E533" s="25" t="s">
        <v>71</v>
      </c>
      <c r="F533" s="29">
        <v>96.0</v>
      </c>
      <c r="G533" s="30">
        <v>744.0</v>
      </c>
      <c r="H533" s="25" t="s">
        <v>1214</v>
      </c>
      <c r="I533" s="30">
        <f>F533-IFERROR(VLOOKUP(B533,crm_orders!$A:$S,10,FALSE),0)</f>
        <v>0</v>
      </c>
      <c r="J533" s="30">
        <f>G533-IFERROR(VLOOKUP(B533,crm_orders!$A:$S,12,FALSE),0)</f>
        <v>0</v>
      </c>
      <c r="K533" s="25" t="str">
        <f>IF(COUNTIF(crm_orders!$A:$A,B533)=0,"Orphan","OK")</f>
        <v>OK</v>
      </c>
    </row>
    <row r="534" ht="15.75" customHeight="1">
      <c r="A534" s="17" t="s">
        <v>1745</v>
      </c>
      <c r="B534" s="17" t="s">
        <v>1028</v>
      </c>
      <c r="C534" s="18">
        <v>46032.0</v>
      </c>
      <c r="D534" s="17" t="s">
        <v>965</v>
      </c>
      <c r="E534" s="17" t="s">
        <v>95</v>
      </c>
      <c r="F534" s="21">
        <v>96.0</v>
      </c>
      <c r="G534" s="22">
        <v>1004.16</v>
      </c>
      <c r="H534" s="17" t="s">
        <v>1214</v>
      </c>
      <c r="I534" s="22">
        <f>F534-IFERROR(VLOOKUP(B534,crm_orders!$A:$S,10,FALSE),0)</f>
        <v>0</v>
      </c>
      <c r="J534" s="22">
        <f>G534-IFERROR(VLOOKUP(B534,crm_orders!$A:$S,12,FALSE),0)</f>
        <v>0</v>
      </c>
      <c r="K534" s="17" t="str">
        <f>IF(COUNTIF(crm_orders!$A:$A,B534)=0,"Orphan","OK")</f>
        <v>OK</v>
      </c>
    </row>
    <row r="535" ht="15.75" customHeight="1">
      <c r="A535" s="25" t="s">
        <v>1746</v>
      </c>
      <c r="B535" s="25" t="s">
        <v>633</v>
      </c>
      <c r="C535" s="26">
        <v>46086.0</v>
      </c>
      <c r="D535" s="25" t="s">
        <v>557</v>
      </c>
      <c r="E535" s="25" t="s">
        <v>115</v>
      </c>
      <c r="F535" s="29">
        <v>72.0</v>
      </c>
      <c r="G535" s="30">
        <v>741.6</v>
      </c>
      <c r="H535" s="25" t="s">
        <v>1214</v>
      </c>
      <c r="I535" s="30">
        <f>F535-IFERROR(VLOOKUP(B535,crm_orders!$A:$S,10,FALSE),0)</f>
        <v>0</v>
      </c>
      <c r="J535" s="30">
        <f>G535-IFERROR(VLOOKUP(B535,crm_orders!$A:$S,12,FALSE),0)</f>
        <v>0</v>
      </c>
      <c r="K535" s="25" t="str">
        <f>IF(COUNTIF(crm_orders!$A:$A,B535)=0,"Orphan","OK")</f>
        <v>OK</v>
      </c>
    </row>
    <row r="536" ht="15.75" customHeight="1">
      <c r="A536" s="17" t="s">
        <v>1747</v>
      </c>
      <c r="B536" s="17" t="s">
        <v>1029</v>
      </c>
      <c r="C536" s="18">
        <v>46113.0</v>
      </c>
      <c r="D536" s="17" t="s">
        <v>984</v>
      </c>
      <c r="E536" s="17" t="s">
        <v>110</v>
      </c>
      <c r="F536" s="21">
        <v>120.0</v>
      </c>
      <c r="G536" s="22">
        <v>1330.8</v>
      </c>
      <c r="H536" s="17" t="s">
        <v>1214</v>
      </c>
      <c r="I536" s="22">
        <f>F536-IFERROR(VLOOKUP(B536,crm_orders!$A:$S,10,FALSE),0)</f>
        <v>0</v>
      </c>
      <c r="J536" s="22">
        <f>G536-IFERROR(VLOOKUP(B536,crm_orders!$A:$S,12,FALSE),0)</f>
        <v>0</v>
      </c>
      <c r="K536" s="17" t="str">
        <f>IF(COUNTIF(crm_orders!$A:$A,B536)=0,"Orphan","OK")</f>
        <v>OK</v>
      </c>
    </row>
    <row r="537" ht="15.75" customHeight="1">
      <c r="A537" s="25" t="s">
        <v>1748</v>
      </c>
      <c r="B537" s="25" t="s">
        <v>1030</v>
      </c>
      <c r="C537" s="26">
        <v>46145.0</v>
      </c>
      <c r="D537" s="25" t="s">
        <v>961</v>
      </c>
      <c r="E537" s="25" t="s">
        <v>190</v>
      </c>
      <c r="F537" s="29">
        <v>60.0</v>
      </c>
      <c r="G537" s="30">
        <v>456.6</v>
      </c>
      <c r="H537" s="25" t="s">
        <v>1214</v>
      </c>
      <c r="I537" s="30">
        <f>F537-IFERROR(VLOOKUP(B537,crm_orders!$A:$S,10,FALSE),0)</f>
        <v>0</v>
      </c>
      <c r="J537" s="30">
        <f>G537-IFERROR(VLOOKUP(B537,crm_orders!$A:$S,12,FALSE),0)</f>
        <v>0</v>
      </c>
      <c r="K537" s="25" t="str">
        <f>IF(COUNTIF(crm_orders!$A:$A,B537)=0,"Orphan","OK")</f>
        <v>OK</v>
      </c>
    </row>
    <row r="538" ht="15.75" customHeight="1">
      <c r="A538" s="17" t="s">
        <v>1749</v>
      </c>
      <c r="B538" s="17" t="s">
        <v>914</v>
      </c>
      <c r="C538" s="18">
        <v>46132.0</v>
      </c>
      <c r="D538" s="17" t="s">
        <v>873</v>
      </c>
      <c r="E538" s="17" t="s">
        <v>71</v>
      </c>
      <c r="F538" s="21">
        <v>30.0</v>
      </c>
      <c r="G538" s="22">
        <v>243.0</v>
      </c>
      <c r="H538" s="17" t="s">
        <v>1214</v>
      </c>
      <c r="I538" s="22">
        <f>F538-IFERROR(VLOOKUP(B538,crm_orders!$A:$S,10,FALSE),0)</f>
        <v>0</v>
      </c>
      <c r="J538" s="22">
        <f>G538-IFERROR(VLOOKUP(B538,crm_orders!$A:$S,12,FALSE),0)</f>
        <v>0</v>
      </c>
      <c r="K538" s="17" t="str">
        <f>IF(COUNTIF(crm_orders!$A:$A,B538)=0,"Orphan","OK")</f>
        <v>OK</v>
      </c>
    </row>
    <row r="539" ht="15.75" customHeight="1">
      <c r="A539" s="25" t="s">
        <v>1750</v>
      </c>
      <c r="B539" s="25" t="s">
        <v>1167</v>
      </c>
      <c r="C539" s="26">
        <v>46140.0</v>
      </c>
      <c r="D539" s="25" t="s">
        <v>1154</v>
      </c>
      <c r="E539" s="25" t="s">
        <v>102</v>
      </c>
      <c r="F539" s="29">
        <v>96.0</v>
      </c>
      <c r="G539" s="30">
        <v>956.16</v>
      </c>
      <c r="H539" s="25" t="s">
        <v>1214</v>
      </c>
      <c r="I539" s="30">
        <f>F539-IFERROR(VLOOKUP(B539,crm_orders!$A:$S,10,FALSE),0)</f>
        <v>0</v>
      </c>
      <c r="J539" s="30">
        <f>G539-IFERROR(VLOOKUP(B539,crm_orders!$A:$S,12,FALSE),0)</f>
        <v>0</v>
      </c>
      <c r="K539" s="25" t="str">
        <f>IF(COUNTIF(crm_orders!$A:$A,B539)=0,"Orphan","OK")</f>
        <v>OK</v>
      </c>
    </row>
    <row r="540" ht="15.75" customHeight="1">
      <c r="A540" s="17" t="s">
        <v>1751</v>
      </c>
      <c r="B540" s="17" t="s">
        <v>382</v>
      </c>
      <c r="C540" s="18">
        <v>46065.0</v>
      </c>
      <c r="D540" s="17" t="s">
        <v>305</v>
      </c>
      <c r="E540" s="17" t="s">
        <v>71</v>
      </c>
      <c r="F540" s="21">
        <v>6.0</v>
      </c>
      <c r="G540" s="22">
        <v>49.8</v>
      </c>
      <c r="H540" s="17" t="s">
        <v>93</v>
      </c>
      <c r="I540" s="22">
        <f>F540-IFERROR(VLOOKUP(B540,crm_orders!$A:$S,10,FALSE),0)</f>
        <v>-24</v>
      </c>
      <c r="J540" s="22">
        <f>G540-IFERROR(VLOOKUP(B540,crm_orders!$A:$S,12,FALSE),0)</f>
        <v>-199.2</v>
      </c>
      <c r="K540" s="17" t="str">
        <f>IF(COUNTIF(crm_orders!$A:$A,B540)=0,"Orphan","OK")</f>
        <v>OK</v>
      </c>
    </row>
    <row r="541" ht="15.75" customHeight="1">
      <c r="A541" s="25" t="s">
        <v>1752</v>
      </c>
      <c r="B541" s="25" t="s">
        <v>1168</v>
      </c>
      <c r="C541" s="26">
        <v>46073.0</v>
      </c>
      <c r="D541" s="25" t="s">
        <v>1154</v>
      </c>
      <c r="E541" s="25" t="s">
        <v>74</v>
      </c>
      <c r="F541" s="29">
        <v>18.0</v>
      </c>
      <c r="G541" s="30">
        <v>200.32</v>
      </c>
      <c r="H541" s="25" t="s">
        <v>1212</v>
      </c>
      <c r="I541" s="30">
        <f>F541-IFERROR(VLOOKUP(B541,crm_orders!$A:$S,10,FALSE),0)</f>
        <v>0</v>
      </c>
      <c r="J541" s="30">
        <f>G541-IFERROR(VLOOKUP(B541,crm_orders!$A:$S,12,FALSE),0)</f>
        <v>3.22</v>
      </c>
      <c r="K541" s="25" t="str">
        <f>IF(COUNTIF(crm_orders!$A:$A,B541)=0,"Orphan","OK")</f>
        <v>OK</v>
      </c>
    </row>
    <row r="542" ht="15.75" customHeight="1">
      <c r="A542" s="17" t="s">
        <v>1753</v>
      </c>
      <c r="B542" s="17" t="s">
        <v>242</v>
      </c>
      <c r="C542" s="18">
        <v>46111.0</v>
      </c>
      <c r="D542" s="17" t="s">
        <v>174</v>
      </c>
      <c r="E542" s="17" t="s">
        <v>85</v>
      </c>
      <c r="F542" s="21">
        <v>18.0</v>
      </c>
      <c r="G542" s="22">
        <v>195.78</v>
      </c>
      <c r="H542" s="17" t="s">
        <v>1212</v>
      </c>
      <c r="I542" s="22">
        <f>F542-IFERROR(VLOOKUP(B542,crm_orders!$A:$S,10,FALSE),0)</f>
        <v>0</v>
      </c>
      <c r="J542" s="22">
        <f>G542-IFERROR(VLOOKUP(B542,crm_orders!$A:$S,12,FALSE),0)</f>
        <v>-1.14</v>
      </c>
      <c r="K542" s="17" t="str">
        <f>IF(COUNTIF(crm_orders!$A:$A,B542)=0,"Orphan","OK")</f>
        <v>OK</v>
      </c>
    </row>
    <row r="543" ht="15.75" customHeight="1">
      <c r="A543" s="25" t="s">
        <v>1754</v>
      </c>
      <c r="B543" s="25" t="s">
        <v>803</v>
      </c>
      <c r="C543" s="26">
        <v>46058.0</v>
      </c>
      <c r="D543" s="25" t="s">
        <v>702</v>
      </c>
      <c r="E543" s="25" t="s">
        <v>154</v>
      </c>
      <c r="F543" s="29">
        <v>96.0</v>
      </c>
      <c r="G543" s="30">
        <v>1080.0</v>
      </c>
      <c r="H543" s="25" t="s">
        <v>1214</v>
      </c>
      <c r="I543" s="30">
        <f>F543-IFERROR(VLOOKUP(B543,crm_orders!$A:$S,10,FALSE),0)</f>
        <v>0</v>
      </c>
      <c r="J543" s="30">
        <f>G543-IFERROR(VLOOKUP(B543,crm_orders!$A:$S,12,FALSE),0)</f>
        <v>0</v>
      </c>
      <c r="K543" s="25" t="str">
        <f>IF(COUNTIF(crm_orders!$A:$A,B543)=0,"Orphan","OK")</f>
        <v>OK</v>
      </c>
    </row>
    <row r="544" ht="15.75" customHeight="1">
      <c r="A544" s="17" t="s">
        <v>1755</v>
      </c>
      <c r="B544" s="17" t="s">
        <v>915</v>
      </c>
      <c r="C544" s="18">
        <v>46097.0</v>
      </c>
      <c r="D544" s="17" t="s">
        <v>855</v>
      </c>
      <c r="E544" s="17" t="s">
        <v>102</v>
      </c>
      <c r="F544" s="21">
        <v>72.0</v>
      </c>
      <c r="G544" s="22">
        <v>749.52</v>
      </c>
      <c r="H544" s="17" t="s">
        <v>1214</v>
      </c>
      <c r="I544" s="22">
        <f>F544-IFERROR(VLOOKUP(B544,crm_orders!$A:$S,10,FALSE),0)</f>
        <v>0</v>
      </c>
      <c r="J544" s="22">
        <f>G544-IFERROR(VLOOKUP(B544,crm_orders!$A:$S,12,FALSE),0)</f>
        <v>0</v>
      </c>
      <c r="K544" s="17" t="str">
        <f>IF(COUNTIF(crm_orders!$A:$A,B544)=0,"Orphan","OK")</f>
        <v>OK</v>
      </c>
    </row>
    <row r="545" ht="15.75" customHeight="1">
      <c r="A545" s="25" t="s">
        <v>1756</v>
      </c>
      <c r="B545" s="25" t="s">
        <v>383</v>
      </c>
      <c r="C545" s="26">
        <v>46153.0</v>
      </c>
      <c r="D545" s="25" t="s">
        <v>330</v>
      </c>
      <c r="E545" s="25" t="s">
        <v>102</v>
      </c>
      <c r="F545" s="29">
        <v>60.0</v>
      </c>
      <c r="G545" s="30">
        <v>644.4</v>
      </c>
      <c r="H545" s="25" t="s">
        <v>1214</v>
      </c>
      <c r="I545" s="30">
        <f>F545-IFERROR(VLOOKUP(B545,crm_orders!$A:$S,10,FALSE),0)</f>
        <v>0</v>
      </c>
      <c r="J545" s="30">
        <f>G545-IFERROR(VLOOKUP(B545,crm_orders!$A:$S,12,FALSE),0)</f>
        <v>0</v>
      </c>
      <c r="K545" s="25" t="str">
        <f>IF(COUNTIF(crm_orders!$A:$A,B545)=0,"Orphan","OK")</f>
        <v>OK</v>
      </c>
    </row>
    <row r="546" ht="15.75" customHeight="1">
      <c r="A546" s="17" t="s">
        <v>1757</v>
      </c>
      <c r="B546" s="17" t="s">
        <v>804</v>
      </c>
      <c r="C546" s="18">
        <v>46108.0</v>
      </c>
      <c r="D546" s="17" t="s">
        <v>720</v>
      </c>
      <c r="E546" s="17" t="s">
        <v>108</v>
      </c>
      <c r="F546" s="21">
        <v>120.0</v>
      </c>
      <c r="G546" s="22">
        <v>1382.4</v>
      </c>
      <c r="H546" s="17" t="s">
        <v>1214</v>
      </c>
      <c r="I546" s="22">
        <f>F546-IFERROR(VLOOKUP(B546,crm_orders!$A:$S,10,FALSE),0)</f>
        <v>0</v>
      </c>
      <c r="J546" s="22">
        <f>G546-IFERROR(VLOOKUP(B546,crm_orders!$A:$S,12,FALSE),0)</f>
        <v>0</v>
      </c>
      <c r="K546" s="17" t="str">
        <f>IF(COUNTIF(crm_orders!$A:$A,B546)=0,"Orphan","OK")</f>
        <v>OK</v>
      </c>
    </row>
    <row r="547" ht="15.75" customHeight="1">
      <c r="A547" s="25" t="s">
        <v>1758</v>
      </c>
      <c r="B547" s="25" t="s">
        <v>128</v>
      </c>
      <c r="C547" s="26">
        <v>46126.0</v>
      </c>
      <c r="D547" s="25" t="s">
        <v>77</v>
      </c>
      <c r="E547" s="25" t="s">
        <v>123</v>
      </c>
      <c r="F547" s="29">
        <v>120.0</v>
      </c>
      <c r="G547" s="30">
        <v>1312.8</v>
      </c>
      <c r="H547" s="25" t="s">
        <v>1214</v>
      </c>
      <c r="I547" s="30">
        <f>F547-IFERROR(VLOOKUP(B547,crm_orders!$A:$S,10,FALSE),0)</f>
        <v>0</v>
      </c>
      <c r="J547" s="30">
        <f>G547-IFERROR(VLOOKUP(B547,crm_orders!$A:$S,12,FALSE),0)</f>
        <v>0</v>
      </c>
      <c r="K547" s="25" t="str">
        <f>IF(COUNTIF(crm_orders!$A:$A,B547)=0,"Orphan","OK")</f>
        <v>OK</v>
      </c>
    </row>
    <row r="548" ht="15.75" customHeight="1">
      <c r="A548" s="17" t="s">
        <v>1759</v>
      </c>
      <c r="B548" s="17" t="s">
        <v>384</v>
      </c>
      <c r="C548" s="18">
        <v>46033.0</v>
      </c>
      <c r="D548" s="17" t="s">
        <v>330</v>
      </c>
      <c r="E548" s="17" t="s">
        <v>110</v>
      </c>
      <c r="F548" s="21">
        <v>48.0</v>
      </c>
      <c r="G548" s="22">
        <v>485.28</v>
      </c>
      <c r="H548" s="17" t="s">
        <v>1214</v>
      </c>
      <c r="I548" s="22">
        <f>F548-IFERROR(VLOOKUP(B548,crm_orders!$A:$S,10,FALSE),0)</f>
        <v>0</v>
      </c>
      <c r="J548" s="22">
        <f>G548-IFERROR(VLOOKUP(B548,crm_orders!$A:$S,12,FALSE),0)</f>
        <v>0</v>
      </c>
      <c r="K548" s="17" t="str">
        <f>IF(COUNTIF(crm_orders!$A:$A,B548)=0,"Orphan","OK")</f>
        <v>OK</v>
      </c>
    </row>
    <row r="549" ht="15.75" customHeight="1">
      <c r="A549" s="25" t="s">
        <v>1760</v>
      </c>
      <c r="B549" s="25" t="s">
        <v>243</v>
      </c>
      <c r="C549" s="26">
        <v>46114.0</v>
      </c>
      <c r="D549" s="25" t="s">
        <v>207</v>
      </c>
      <c r="E549" s="25" t="s">
        <v>156</v>
      </c>
      <c r="F549" s="29">
        <v>0.0</v>
      </c>
      <c r="G549" s="30">
        <v>0.0</v>
      </c>
      <c r="H549" s="25" t="s">
        <v>93</v>
      </c>
      <c r="I549" s="30">
        <f>F549-IFERROR(VLOOKUP(B549,crm_orders!$A:$S,10,FALSE),0)</f>
        <v>-12</v>
      </c>
      <c r="J549" s="30">
        <f>G549-IFERROR(VLOOKUP(B549,crm_orders!$A:$S,12,FALSE),0)</f>
        <v>-109.32</v>
      </c>
      <c r="K549" s="25" t="str">
        <f>IF(COUNTIF(crm_orders!$A:$A,B549)=0,"Orphan","OK")</f>
        <v>OK</v>
      </c>
    </row>
    <row r="550" ht="15.75" customHeight="1">
      <c r="A550" s="17" t="s">
        <v>1761</v>
      </c>
      <c r="B550" s="17" t="s">
        <v>634</v>
      </c>
      <c r="C550" s="18">
        <v>46044.0</v>
      </c>
      <c r="D550" s="17" t="s">
        <v>553</v>
      </c>
      <c r="E550" s="17" t="s">
        <v>78</v>
      </c>
      <c r="F550" s="21">
        <v>96.0</v>
      </c>
      <c r="G550" s="22">
        <v>955.2</v>
      </c>
      <c r="H550" s="17" t="s">
        <v>1214</v>
      </c>
      <c r="I550" s="22">
        <f>F550-IFERROR(VLOOKUP(B550,crm_orders!$A:$S,10,FALSE),0)</f>
        <v>0</v>
      </c>
      <c r="J550" s="22">
        <f>G550-IFERROR(VLOOKUP(B550,crm_orders!$A:$S,12,FALSE),0)</f>
        <v>0</v>
      </c>
      <c r="K550" s="17" t="str">
        <f>IF(COUNTIF(crm_orders!$A:$A,B550)=0,"Orphan","OK")</f>
        <v>OK</v>
      </c>
    </row>
    <row r="551" ht="15.75" customHeight="1">
      <c r="A551" s="25" t="s">
        <v>1762</v>
      </c>
      <c r="B551" s="25" t="s">
        <v>1169</v>
      </c>
      <c r="C551" s="26">
        <v>46068.0</v>
      </c>
      <c r="D551" s="25" t="s">
        <v>1133</v>
      </c>
      <c r="E551" s="25" t="s">
        <v>154</v>
      </c>
      <c r="F551" s="29">
        <v>30.0</v>
      </c>
      <c r="G551" s="30">
        <v>320.4</v>
      </c>
      <c r="H551" s="25" t="s">
        <v>1214</v>
      </c>
      <c r="I551" s="30">
        <f>F551-IFERROR(VLOOKUP(B551,crm_orders!$A:$S,10,FALSE),0)</f>
        <v>0</v>
      </c>
      <c r="J551" s="30">
        <f>G551-IFERROR(VLOOKUP(B551,crm_orders!$A:$S,12,FALSE),0)</f>
        <v>0</v>
      </c>
      <c r="K551" s="25" t="str">
        <f>IF(COUNTIF(crm_orders!$A:$A,B551)=0,"Orphan","OK")</f>
        <v>OK</v>
      </c>
    </row>
    <row r="552" ht="15.75" customHeight="1">
      <c r="A552" s="17" t="s">
        <v>1763</v>
      </c>
      <c r="B552" s="17" t="s">
        <v>1031</v>
      </c>
      <c r="C552" s="18">
        <v>46058.0</v>
      </c>
      <c r="D552" s="17" t="s">
        <v>984</v>
      </c>
      <c r="E552" s="17" t="s">
        <v>92</v>
      </c>
      <c r="F552" s="21">
        <v>18.0</v>
      </c>
      <c r="G552" s="22">
        <v>199.62</v>
      </c>
      <c r="H552" s="17" t="s">
        <v>1214</v>
      </c>
      <c r="I552" s="22">
        <f>F552-IFERROR(VLOOKUP(B552,crm_orders!$A:$S,10,FALSE),0)</f>
        <v>0</v>
      </c>
      <c r="J552" s="22">
        <f>G552-IFERROR(VLOOKUP(B552,crm_orders!$A:$S,12,FALSE),0)</f>
        <v>0</v>
      </c>
      <c r="K552" s="17" t="str">
        <f>IF(COUNTIF(crm_orders!$A:$A,B552)=0,"Orphan","OK")</f>
        <v>OK</v>
      </c>
    </row>
    <row r="553" ht="15.75" customHeight="1">
      <c r="A553" s="25" t="s">
        <v>1764</v>
      </c>
      <c r="B553" s="25" t="s">
        <v>805</v>
      </c>
      <c r="C553" s="26">
        <v>46051.0</v>
      </c>
      <c r="D553" s="25" t="s">
        <v>708</v>
      </c>
      <c r="E553" s="25" t="s">
        <v>115</v>
      </c>
      <c r="F553" s="29">
        <v>60.0</v>
      </c>
      <c r="G553" s="30">
        <v>616.8</v>
      </c>
      <c r="H553" s="25" t="s">
        <v>1214</v>
      </c>
      <c r="I553" s="30">
        <f>F553-IFERROR(VLOOKUP(B553,crm_orders!$A:$S,10,FALSE),0)</f>
        <v>0</v>
      </c>
      <c r="J553" s="30">
        <f>G553-IFERROR(VLOOKUP(B553,crm_orders!$A:$S,12,FALSE),0)</f>
        <v>0</v>
      </c>
      <c r="K553" s="25" t="str">
        <f>IF(COUNTIF(crm_orders!$A:$A,B553)=0,"Orphan","OK")</f>
        <v>OK</v>
      </c>
    </row>
    <row r="554" ht="15.75" customHeight="1">
      <c r="A554" s="17" t="s">
        <v>1765</v>
      </c>
      <c r="B554" s="17" t="s">
        <v>635</v>
      </c>
      <c r="C554" s="18">
        <v>46125.0</v>
      </c>
      <c r="D554" s="17" t="s">
        <v>566</v>
      </c>
      <c r="E554" s="17" t="s">
        <v>81</v>
      </c>
      <c r="F554" s="21">
        <v>48.0</v>
      </c>
      <c r="G554" s="22">
        <v>328.32</v>
      </c>
      <c r="H554" s="17" t="s">
        <v>1214</v>
      </c>
      <c r="I554" s="22">
        <f>F554-IFERROR(VLOOKUP(B554,crm_orders!$A:$S,10,FALSE),0)</f>
        <v>0</v>
      </c>
      <c r="J554" s="22">
        <f>G554-IFERROR(VLOOKUP(B554,crm_orders!$A:$S,12,FALSE),0)</f>
        <v>0</v>
      </c>
      <c r="K554" s="17" t="str">
        <f>IF(COUNTIF(crm_orders!$A:$A,B554)=0,"Orphan","OK")</f>
        <v>OK</v>
      </c>
    </row>
    <row r="555" ht="15.75" customHeight="1">
      <c r="A555" s="25" t="s">
        <v>1766</v>
      </c>
      <c r="B555" s="25" t="s">
        <v>385</v>
      </c>
      <c r="C555" s="26">
        <v>46133.0</v>
      </c>
      <c r="D555" s="25" t="s">
        <v>312</v>
      </c>
      <c r="E555" s="25" t="s">
        <v>115</v>
      </c>
      <c r="F555" s="29">
        <v>60.0</v>
      </c>
      <c r="G555" s="30">
        <v>610.2</v>
      </c>
      <c r="H555" s="25" t="s">
        <v>1214</v>
      </c>
      <c r="I555" s="30">
        <f>F555-IFERROR(VLOOKUP(B555,crm_orders!$A:$S,10,FALSE),0)</f>
        <v>0</v>
      </c>
      <c r="J555" s="30">
        <f>G555-IFERROR(VLOOKUP(B555,crm_orders!$A:$S,12,FALSE),0)</f>
        <v>0</v>
      </c>
      <c r="K555" s="25" t="str">
        <f>IF(COUNTIF(crm_orders!$A:$A,B555)=0,"Orphan","OK")</f>
        <v>OK</v>
      </c>
    </row>
    <row r="556" ht="15.75" customHeight="1">
      <c r="A556" s="17" t="s">
        <v>1767</v>
      </c>
      <c r="B556" s="17" t="s">
        <v>1032</v>
      </c>
      <c r="C556" s="18">
        <v>46115.0</v>
      </c>
      <c r="D556" s="17" t="s">
        <v>980</v>
      </c>
      <c r="E556" s="17" t="s">
        <v>85</v>
      </c>
      <c r="F556" s="21">
        <v>12.0</v>
      </c>
      <c r="G556" s="22">
        <v>132.96</v>
      </c>
      <c r="H556" s="17" t="s">
        <v>93</v>
      </c>
      <c r="I556" s="22">
        <f>F556-IFERROR(VLOOKUP(B556,crm_orders!$A:$S,10,FALSE),0)</f>
        <v>-24</v>
      </c>
      <c r="J556" s="22">
        <f>G556-IFERROR(VLOOKUP(B556,crm_orders!$A:$S,12,FALSE),0)</f>
        <v>-265.92</v>
      </c>
      <c r="K556" s="17" t="str">
        <f>IF(COUNTIF(crm_orders!$A:$A,B556)=0,"Orphan","OK")</f>
        <v>OK</v>
      </c>
    </row>
    <row r="557" ht="15.75" customHeight="1">
      <c r="A557" s="25" t="s">
        <v>1768</v>
      </c>
      <c r="B557" s="25" t="s">
        <v>129</v>
      </c>
      <c r="C557" s="26">
        <v>46106.0</v>
      </c>
      <c r="D557" s="25" t="s">
        <v>104</v>
      </c>
      <c r="E557" s="25" t="s">
        <v>110</v>
      </c>
      <c r="F557" s="29">
        <v>24.0</v>
      </c>
      <c r="G557" s="30">
        <v>237.84</v>
      </c>
      <c r="H557" s="25" t="s">
        <v>1214</v>
      </c>
      <c r="I557" s="30">
        <f>F557-IFERROR(VLOOKUP(B557,crm_orders!$A:$S,10,FALSE),0)</f>
        <v>0</v>
      </c>
      <c r="J557" s="30">
        <f>G557-IFERROR(VLOOKUP(B557,crm_orders!$A:$S,12,FALSE),0)</f>
        <v>0</v>
      </c>
      <c r="K557" s="25" t="str">
        <f>IF(COUNTIF(crm_orders!$A:$A,B557)=0,"Orphan","OK")</f>
        <v>OK</v>
      </c>
    </row>
    <row r="558" ht="15.75" customHeight="1">
      <c r="A558" s="17" t="s">
        <v>1769</v>
      </c>
      <c r="B558" s="17" t="s">
        <v>244</v>
      </c>
      <c r="C558" s="18">
        <v>46131.0</v>
      </c>
      <c r="D558" s="17" t="s">
        <v>166</v>
      </c>
      <c r="E558" s="17" t="s">
        <v>110</v>
      </c>
      <c r="F558" s="21">
        <v>60.0</v>
      </c>
      <c r="G558" s="22">
        <v>694.2</v>
      </c>
      <c r="H558" s="17" t="s">
        <v>1214</v>
      </c>
      <c r="I558" s="22">
        <f>F558-IFERROR(VLOOKUP(B558,crm_orders!$A:$S,10,FALSE),0)</f>
        <v>0</v>
      </c>
      <c r="J558" s="22">
        <f>G558-IFERROR(VLOOKUP(B558,crm_orders!$A:$S,12,FALSE),0)</f>
        <v>0</v>
      </c>
      <c r="K558" s="17" t="str">
        <f>IF(COUNTIF(crm_orders!$A:$A,B558)=0,"Orphan","OK")</f>
        <v>OK</v>
      </c>
    </row>
    <row r="559" ht="15.75" customHeight="1">
      <c r="A559" s="25" t="s">
        <v>1770</v>
      </c>
      <c r="B559" s="25" t="s">
        <v>636</v>
      </c>
      <c r="C559" s="26">
        <v>46117.0</v>
      </c>
      <c r="D559" s="25" t="s">
        <v>542</v>
      </c>
      <c r="E559" s="25" t="s">
        <v>102</v>
      </c>
      <c r="F559" s="29">
        <v>48.0</v>
      </c>
      <c r="G559" s="30">
        <v>569.76</v>
      </c>
      <c r="H559" s="25" t="s">
        <v>1214</v>
      </c>
      <c r="I559" s="30">
        <f>F559-IFERROR(VLOOKUP(B559,crm_orders!$A:$S,10,FALSE),0)</f>
        <v>0</v>
      </c>
      <c r="J559" s="30">
        <f>G559-IFERROR(VLOOKUP(B559,crm_orders!$A:$S,12,FALSE),0)</f>
        <v>0</v>
      </c>
      <c r="K559" s="25" t="str">
        <f>IF(COUNTIF(crm_orders!$A:$A,B559)=0,"Orphan","OK")</f>
        <v>OK</v>
      </c>
    </row>
    <row r="560" ht="15.75" customHeight="1">
      <c r="A560" s="17" t="s">
        <v>1771</v>
      </c>
      <c r="B560" s="17" t="s">
        <v>637</v>
      </c>
      <c r="C560" s="18">
        <v>46036.0</v>
      </c>
      <c r="D560" s="17" t="s">
        <v>542</v>
      </c>
      <c r="E560" s="17" t="s">
        <v>85</v>
      </c>
      <c r="F560" s="21">
        <v>24.0</v>
      </c>
      <c r="G560" s="22">
        <v>222.72</v>
      </c>
      <c r="H560" s="17" t="s">
        <v>1214</v>
      </c>
      <c r="I560" s="22">
        <f>F560-IFERROR(VLOOKUP(B560,crm_orders!$A:$S,10,FALSE),0)</f>
        <v>0</v>
      </c>
      <c r="J560" s="22">
        <f>G560-IFERROR(VLOOKUP(B560,crm_orders!$A:$S,12,FALSE),0)</f>
        <v>0</v>
      </c>
      <c r="K560" s="17" t="str">
        <f>IF(COUNTIF(crm_orders!$A:$A,B560)=0,"Orphan","OK")</f>
        <v>OK</v>
      </c>
    </row>
    <row r="561" ht="15.75" customHeight="1">
      <c r="A561" s="25" t="s">
        <v>1772</v>
      </c>
      <c r="B561" s="25" t="s">
        <v>130</v>
      </c>
      <c r="C561" s="26">
        <v>46093.0</v>
      </c>
      <c r="D561" s="25" t="s">
        <v>87</v>
      </c>
      <c r="E561" s="25" t="s">
        <v>90</v>
      </c>
      <c r="F561" s="29">
        <v>60.0</v>
      </c>
      <c r="G561" s="30">
        <v>492.0</v>
      </c>
      <c r="H561" s="25" t="s">
        <v>1214</v>
      </c>
      <c r="I561" s="30">
        <f>F561-IFERROR(VLOOKUP(B561,crm_orders!$A:$S,10,FALSE),0)</f>
        <v>0</v>
      </c>
      <c r="J561" s="30">
        <f>G561-IFERROR(VLOOKUP(B561,crm_orders!$A:$S,12,FALSE),0)</f>
        <v>0</v>
      </c>
      <c r="K561" s="25" t="str">
        <f>IF(COUNTIF(crm_orders!$A:$A,B561)=0,"Orphan","OK")</f>
        <v>OK</v>
      </c>
    </row>
    <row r="562" ht="15.75" customHeight="1">
      <c r="A562" s="17" t="s">
        <v>1773</v>
      </c>
      <c r="B562" s="17" t="s">
        <v>1108</v>
      </c>
      <c r="C562" s="18">
        <v>46128.0</v>
      </c>
      <c r="D562" s="17" t="s">
        <v>1083</v>
      </c>
      <c r="E562" s="17" t="s">
        <v>162</v>
      </c>
      <c r="F562" s="21">
        <v>120.0</v>
      </c>
      <c r="G562" s="22">
        <v>1270.8</v>
      </c>
      <c r="H562" s="17" t="s">
        <v>1214</v>
      </c>
      <c r="I562" s="22">
        <f>F562-IFERROR(VLOOKUP(B562,crm_orders!$A:$S,10,FALSE),0)</f>
        <v>0</v>
      </c>
      <c r="J562" s="22">
        <f>G562-IFERROR(VLOOKUP(B562,crm_orders!$A:$S,12,FALSE),0)</f>
        <v>0</v>
      </c>
      <c r="K562" s="17" t="str">
        <f>IF(COUNTIF(crm_orders!$A:$A,B562)=0,"Orphan","OK")</f>
        <v>OK</v>
      </c>
    </row>
    <row r="563" ht="15.75" customHeight="1">
      <c r="A563" s="25" t="s">
        <v>1774</v>
      </c>
      <c r="B563" s="25" t="s">
        <v>916</v>
      </c>
      <c r="C563" s="26">
        <v>46039.0</v>
      </c>
      <c r="D563" s="25" t="s">
        <v>873</v>
      </c>
      <c r="E563" s="25" t="s">
        <v>110</v>
      </c>
      <c r="F563" s="29">
        <v>18.0</v>
      </c>
      <c r="G563" s="30">
        <v>197.64</v>
      </c>
      <c r="H563" s="25" t="s">
        <v>1214</v>
      </c>
      <c r="I563" s="30">
        <f>F563-IFERROR(VLOOKUP(B563,crm_orders!$A:$S,10,FALSE),0)</f>
        <v>0</v>
      </c>
      <c r="J563" s="30">
        <f>G563-IFERROR(VLOOKUP(B563,crm_orders!$A:$S,12,FALSE),0)</f>
        <v>0</v>
      </c>
      <c r="K563" s="25" t="str">
        <f>IF(COUNTIF(crm_orders!$A:$A,B563)=0,"Orphan","OK")</f>
        <v>OK</v>
      </c>
    </row>
    <row r="564" ht="15.75" customHeight="1">
      <c r="A564" s="17" t="s">
        <v>1775</v>
      </c>
      <c r="B564" s="17" t="s">
        <v>386</v>
      </c>
      <c r="C564" s="18">
        <v>46053.0</v>
      </c>
      <c r="D564" s="17" t="s">
        <v>305</v>
      </c>
      <c r="E564" s="17" t="s">
        <v>156</v>
      </c>
      <c r="F564" s="21">
        <v>120.0</v>
      </c>
      <c r="G564" s="22">
        <v>1092.0</v>
      </c>
      <c r="H564" s="17" t="s">
        <v>1214</v>
      </c>
      <c r="I564" s="22">
        <f>F564-IFERROR(VLOOKUP(B564,crm_orders!$A:$S,10,FALSE),0)</f>
        <v>0</v>
      </c>
      <c r="J564" s="22">
        <f>G564-IFERROR(VLOOKUP(B564,crm_orders!$A:$S,12,FALSE),0)</f>
        <v>0</v>
      </c>
      <c r="K564" s="17" t="str">
        <f>IF(COUNTIF(crm_orders!$A:$A,B564)=0,"Orphan","OK")</f>
        <v>OK</v>
      </c>
    </row>
    <row r="565" ht="15.75" customHeight="1">
      <c r="A565" s="25" t="s">
        <v>1776</v>
      </c>
      <c r="B565" s="25" t="s">
        <v>807</v>
      </c>
      <c r="C565" s="26">
        <v>46038.0</v>
      </c>
      <c r="D565" s="25" t="s">
        <v>710</v>
      </c>
      <c r="E565" s="25" t="s">
        <v>78</v>
      </c>
      <c r="F565" s="29">
        <v>60.0</v>
      </c>
      <c r="G565" s="30">
        <v>657.0</v>
      </c>
      <c r="H565" s="25" t="s">
        <v>1214</v>
      </c>
      <c r="I565" s="30">
        <f>F565-IFERROR(VLOOKUP(B565,crm_orders!$A:$S,10,FALSE),0)</f>
        <v>0</v>
      </c>
      <c r="J565" s="30">
        <f>G565-IFERROR(VLOOKUP(B565,crm_orders!$A:$S,12,FALSE),0)</f>
        <v>0</v>
      </c>
      <c r="K565" s="25" t="str">
        <f>IF(COUNTIF(crm_orders!$A:$A,B565)=0,"Orphan","OK")</f>
        <v>OK</v>
      </c>
    </row>
    <row r="566" ht="15.75" customHeight="1">
      <c r="A566" s="17" t="s">
        <v>1777</v>
      </c>
      <c r="B566" s="17" t="s">
        <v>917</v>
      </c>
      <c r="C566" s="18">
        <v>46065.0</v>
      </c>
      <c r="D566" s="17" t="s">
        <v>864</v>
      </c>
      <c r="E566" s="17" t="s">
        <v>106</v>
      </c>
      <c r="F566" s="21">
        <v>12.0</v>
      </c>
      <c r="G566" s="22">
        <v>141.24</v>
      </c>
      <c r="H566" s="17" t="s">
        <v>1214</v>
      </c>
      <c r="I566" s="22">
        <f>F566-IFERROR(VLOOKUP(B566,crm_orders!$A:$S,10,FALSE),0)</f>
        <v>0</v>
      </c>
      <c r="J566" s="22">
        <f>G566-IFERROR(VLOOKUP(B566,crm_orders!$A:$S,12,FALSE),0)</f>
        <v>0</v>
      </c>
      <c r="K566" s="17" t="str">
        <f>IF(COUNTIF(crm_orders!$A:$A,B566)=0,"Orphan","OK")</f>
        <v>OK</v>
      </c>
    </row>
    <row r="567" ht="15.75" customHeight="1">
      <c r="A567" s="25" t="s">
        <v>1778</v>
      </c>
      <c r="B567" s="25" t="s">
        <v>387</v>
      </c>
      <c r="C567" s="26">
        <v>46049.0</v>
      </c>
      <c r="D567" s="25" t="s">
        <v>326</v>
      </c>
      <c r="E567" s="25" t="s">
        <v>110</v>
      </c>
      <c r="F567" s="29">
        <v>30.0</v>
      </c>
      <c r="G567" s="30">
        <v>306.3</v>
      </c>
      <c r="H567" s="25" t="s">
        <v>1214</v>
      </c>
      <c r="I567" s="30">
        <f>F567-IFERROR(VLOOKUP(B567,crm_orders!$A:$S,10,FALSE),0)</f>
        <v>0</v>
      </c>
      <c r="J567" s="30">
        <f>G567-IFERROR(VLOOKUP(B567,crm_orders!$A:$S,12,FALSE),0)</f>
        <v>0</v>
      </c>
      <c r="K567" s="25" t="str">
        <f>IF(COUNTIF(crm_orders!$A:$A,B567)=0,"Orphan","OK")</f>
        <v>OK</v>
      </c>
    </row>
    <row r="568" ht="15.75" customHeight="1">
      <c r="A568" s="17" t="s">
        <v>1779</v>
      </c>
      <c r="B568" s="17" t="s">
        <v>131</v>
      </c>
      <c r="C568" s="18">
        <v>46054.0</v>
      </c>
      <c r="D568" s="17" t="s">
        <v>80</v>
      </c>
      <c r="E568" s="17" t="s">
        <v>95</v>
      </c>
      <c r="F568" s="21">
        <v>12.0</v>
      </c>
      <c r="G568" s="22">
        <v>133.32</v>
      </c>
      <c r="H568" s="17" t="s">
        <v>1214</v>
      </c>
      <c r="I568" s="22">
        <f>F568-IFERROR(VLOOKUP(B568,crm_orders!$A:$S,10,FALSE),0)</f>
        <v>0</v>
      </c>
      <c r="J568" s="22">
        <f>G568-IFERROR(VLOOKUP(B568,crm_orders!$A:$S,12,FALSE),0)</f>
        <v>0</v>
      </c>
      <c r="K568" s="17" t="str">
        <f>IF(COUNTIF(crm_orders!$A:$A,B568)=0,"Orphan","OK")</f>
        <v>OK</v>
      </c>
    </row>
    <row r="569" ht="15.75" customHeight="1">
      <c r="A569" s="25" t="s">
        <v>1780</v>
      </c>
      <c r="B569" s="25" t="s">
        <v>638</v>
      </c>
      <c r="C569" s="26">
        <v>46048.0</v>
      </c>
      <c r="D569" s="25" t="s">
        <v>547</v>
      </c>
      <c r="E569" s="25" t="s">
        <v>156</v>
      </c>
      <c r="F569" s="29">
        <v>12.0</v>
      </c>
      <c r="G569" s="30">
        <v>124.92</v>
      </c>
      <c r="H569" s="25" t="s">
        <v>1214</v>
      </c>
      <c r="I569" s="30">
        <f>F569-IFERROR(VLOOKUP(B569,crm_orders!$A:$S,10,FALSE),0)</f>
        <v>0</v>
      </c>
      <c r="J569" s="30">
        <f>G569-IFERROR(VLOOKUP(B569,crm_orders!$A:$S,12,FALSE),0)</f>
        <v>0</v>
      </c>
      <c r="K569" s="25" t="str">
        <f>IF(COUNTIF(crm_orders!$A:$A,B569)=0,"Orphan","OK")</f>
        <v>OK</v>
      </c>
    </row>
    <row r="570" ht="15.75" customHeight="1">
      <c r="A570" s="17" t="s">
        <v>1781</v>
      </c>
      <c r="B570" s="17" t="s">
        <v>808</v>
      </c>
      <c r="C570" s="18">
        <v>46098.0</v>
      </c>
      <c r="D570" s="17" t="s">
        <v>702</v>
      </c>
      <c r="E570" s="17" t="s">
        <v>115</v>
      </c>
      <c r="F570" s="21">
        <v>60.0</v>
      </c>
      <c r="G570" s="22">
        <v>663.0</v>
      </c>
      <c r="H570" s="17" t="s">
        <v>1214</v>
      </c>
      <c r="I570" s="22">
        <f>F570-IFERROR(VLOOKUP(B570,crm_orders!$A:$S,10,FALSE),0)</f>
        <v>0</v>
      </c>
      <c r="J570" s="22">
        <f>G570-IFERROR(VLOOKUP(B570,crm_orders!$A:$S,12,FALSE),0)</f>
        <v>0</v>
      </c>
      <c r="K570" s="17" t="str">
        <f>IF(COUNTIF(crm_orders!$A:$A,B570)=0,"Orphan","OK")</f>
        <v>OK</v>
      </c>
    </row>
    <row r="571" ht="15.75" customHeight="1">
      <c r="A571" s="25" t="s">
        <v>1782</v>
      </c>
      <c r="B571" s="25" t="s">
        <v>639</v>
      </c>
      <c r="C571" s="26">
        <v>46105.0</v>
      </c>
      <c r="D571" s="25" t="s">
        <v>550</v>
      </c>
      <c r="E571" s="25" t="s">
        <v>110</v>
      </c>
      <c r="F571" s="29">
        <v>30.0</v>
      </c>
      <c r="G571" s="30">
        <v>320.1</v>
      </c>
      <c r="H571" s="25" t="s">
        <v>1214</v>
      </c>
      <c r="I571" s="30">
        <f>F571-IFERROR(VLOOKUP(B571,crm_orders!$A:$S,10,FALSE),0)</f>
        <v>0</v>
      </c>
      <c r="J571" s="30">
        <f>G571-IFERROR(VLOOKUP(B571,crm_orders!$A:$S,12,FALSE),0)</f>
        <v>0</v>
      </c>
      <c r="K571" s="25" t="str">
        <f>IF(COUNTIF(crm_orders!$A:$A,B571)=0,"Orphan","OK")</f>
        <v>OK</v>
      </c>
    </row>
    <row r="572" ht="15.75" customHeight="1">
      <c r="A572" s="17" t="s">
        <v>1783</v>
      </c>
      <c r="B572" s="17" t="s">
        <v>388</v>
      </c>
      <c r="C572" s="18">
        <v>46138.0</v>
      </c>
      <c r="D572" s="17" t="s">
        <v>301</v>
      </c>
      <c r="E572" s="17" t="s">
        <v>68</v>
      </c>
      <c r="F572" s="21">
        <v>72.0</v>
      </c>
      <c r="G572" s="22">
        <v>757.44</v>
      </c>
      <c r="H572" s="17" t="s">
        <v>1214</v>
      </c>
      <c r="I572" s="22">
        <f>F572-IFERROR(VLOOKUP(B572,crm_orders!$A:$S,10,FALSE),0)</f>
        <v>0</v>
      </c>
      <c r="J572" s="22">
        <f>G572-IFERROR(VLOOKUP(B572,crm_orders!$A:$S,12,FALSE),0)</f>
        <v>0</v>
      </c>
      <c r="K572" s="17" t="str">
        <f>IF(COUNTIF(crm_orders!$A:$A,B572)=0,"Orphan","OK")</f>
        <v>OK</v>
      </c>
    </row>
    <row r="573" ht="15.75" customHeight="1">
      <c r="A573" s="25" t="s">
        <v>1784</v>
      </c>
      <c r="B573" s="25" t="s">
        <v>1033</v>
      </c>
      <c r="C573" s="26">
        <v>46123.0</v>
      </c>
      <c r="D573" s="25" t="s">
        <v>957</v>
      </c>
      <c r="E573" s="25" t="s">
        <v>85</v>
      </c>
      <c r="F573" s="29">
        <v>60.0</v>
      </c>
      <c r="G573" s="30">
        <v>614.4</v>
      </c>
      <c r="H573" s="25" t="s">
        <v>1214</v>
      </c>
      <c r="I573" s="30">
        <f>F573-IFERROR(VLOOKUP(B573,crm_orders!$A:$S,10,FALSE),0)</f>
        <v>0</v>
      </c>
      <c r="J573" s="30">
        <f>G573-IFERROR(VLOOKUP(B573,crm_orders!$A:$S,12,FALSE),0)</f>
        <v>0</v>
      </c>
      <c r="K573" s="25" t="str">
        <f>IF(COUNTIF(crm_orders!$A:$A,B573)=0,"Orphan","OK")</f>
        <v>OK</v>
      </c>
    </row>
    <row r="574" ht="15.75" customHeight="1">
      <c r="A574" s="17" t="s">
        <v>1785</v>
      </c>
      <c r="B574" s="17" t="s">
        <v>389</v>
      </c>
      <c r="C574" s="18">
        <v>46079.0</v>
      </c>
      <c r="D574" s="17" t="s">
        <v>303</v>
      </c>
      <c r="E574" s="17" t="s">
        <v>115</v>
      </c>
      <c r="F574" s="21">
        <v>102.0</v>
      </c>
      <c r="G574" s="22">
        <v>1217.88</v>
      </c>
      <c r="H574" s="17" t="s">
        <v>1212</v>
      </c>
      <c r="I574" s="22">
        <f>F574-IFERROR(VLOOKUP(B574,crm_orders!$A:$S,10,FALSE),0)</f>
        <v>6</v>
      </c>
      <c r="J574" s="22">
        <f>G574-IFERROR(VLOOKUP(B574,crm_orders!$A:$S,12,FALSE),0)</f>
        <v>71.64</v>
      </c>
      <c r="K574" s="17" t="str">
        <f>IF(COUNTIF(crm_orders!$A:$A,B574)=0,"Orphan","OK")</f>
        <v>OK</v>
      </c>
    </row>
    <row r="575" ht="15.75" customHeight="1">
      <c r="A575" s="25" t="s">
        <v>1786</v>
      </c>
      <c r="B575" s="25" t="s">
        <v>390</v>
      </c>
      <c r="C575" s="26">
        <v>46092.0</v>
      </c>
      <c r="D575" s="25" t="s">
        <v>310</v>
      </c>
      <c r="E575" s="25" t="s">
        <v>156</v>
      </c>
      <c r="F575" s="29">
        <v>72.0</v>
      </c>
      <c r="G575" s="30">
        <v>664.56</v>
      </c>
      <c r="H575" s="25" t="s">
        <v>1214</v>
      </c>
      <c r="I575" s="30">
        <f>F575-IFERROR(VLOOKUP(B575,crm_orders!$A:$S,10,FALSE),0)</f>
        <v>0</v>
      </c>
      <c r="J575" s="30">
        <f>G575-IFERROR(VLOOKUP(B575,crm_orders!$A:$S,12,FALSE),0)</f>
        <v>0</v>
      </c>
      <c r="K575" s="25" t="str">
        <f>IF(COUNTIF(crm_orders!$A:$A,B575)=0,"Orphan","OK")</f>
        <v>OK</v>
      </c>
    </row>
    <row r="576" ht="15.75" customHeight="1">
      <c r="A576" s="17" t="s">
        <v>1787</v>
      </c>
      <c r="B576" s="17" t="s">
        <v>132</v>
      </c>
      <c r="C576" s="18">
        <v>46055.0</v>
      </c>
      <c r="D576" s="17" t="s">
        <v>114</v>
      </c>
      <c r="E576" s="17" t="s">
        <v>92</v>
      </c>
      <c r="F576" s="21">
        <v>12.0</v>
      </c>
      <c r="G576" s="22">
        <v>121.56</v>
      </c>
      <c r="H576" s="17" t="s">
        <v>1214</v>
      </c>
      <c r="I576" s="22">
        <f>F576-IFERROR(VLOOKUP(B576,crm_orders!$A:$S,10,FALSE),0)</f>
        <v>0</v>
      </c>
      <c r="J576" s="22">
        <f>G576-IFERROR(VLOOKUP(B576,crm_orders!$A:$S,12,FALSE),0)</f>
        <v>0</v>
      </c>
      <c r="K576" s="17" t="str">
        <f>IF(COUNTIF(crm_orders!$A:$A,B576)=0,"Orphan","OK")</f>
        <v>OK</v>
      </c>
    </row>
    <row r="577" ht="15.75" customHeight="1">
      <c r="A577" s="25" t="s">
        <v>1788</v>
      </c>
      <c r="B577" s="25" t="s">
        <v>918</v>
      </c>
      <c r="C577" s="26">
        <v>46089.0</v>
      </c>
      <c r="D577" s="25" t="s">
        <v>855</v>
      </c>
      <c r="E577" s="25" t="s">
        <v>64</v>
      </c>
      <c r="F577" s="29">
        <v>6.0</v>
      </c>
      <c r="G577" s="30">
        <v>50.16</v>
      </c>
      <c r="H577" s="25" t="s">
        <v>1214</v>
      </c>
      <c r="I577" s="30">
        <f>F577-IFERROR(VLOOKUP(B577,crm_orders!$A:$S,10,FALSE),0)</f>
        <v>0</v>
      </c>
      <c r="J577" s="30">
        <f>G577-IFERROR(VLOOKUP(B577,crm_orders!$A:$S,12,FALSE),0)</f>
        <v>0</v>
      </c>
      <c r="K577" s="25" t="str">
        <f>IF(COUNTIF(crm_orders!$A:$A,B577)=0,"Orphan","OK")</f>
        <v>OK</v>
      </c>
    </row>
    <row r="578" ht="15.75" customHeight="1">
      <c r="A578" s="17" t="s">
        <v>1789</v>
      </c>
      <c r="B578" s="17" t="s">
        <v>1034</v>
      </c>
      <c r="C578" s="18">
        <v>46109.0</v>
      </c>
      <c r="D578" s="17" t="s">
        <v>961</v>
      </c>
      <c r="E578" s="17" t="s">
        <v>162</v>
      </c>
      <c r="F578" s="21">
        <v>36.0</v>
      </c>
      <c r="G578" s="22">
        <v>403.92</v>
      </c>
      <c r="H578" s="17" t="s">
        <v>1214</v>
      </c>
      <c r="I578" s="22">
        <f>F578-IFERROR(VLOOKUP(B578,crm_orders!$A:$S,10,FALSE),0)</f>
        <v>0</v>
      </c>
      <c r="J578" s="22">
        <f>G578-IFERROR(VLOOKUP(B578,crm_orders!$A:$S,12,FALSE),0)</f>
        <v>0</v>
      </c>
      <c r="K578" s="17" t="str">
        <f>IF(COUNTIF(crm_orders!$A:$A,B578)=0,"Orphan","OK")</f>
        <v>OK</v>
      </c>
    </row>
    <row r="579" ht="15.75" customHeight="1">
      <c r="A579" s="25" t="s">
        <v>1790</v>
      </c>
      <c r="B579" s="25" t="s">
        <v>640</v>
      </c>
      <c r="C579" s="26">
        <v>46089.0</v>
      </c>
      <c r="D579" s="25" t="s">
        <v>557</v>
      </c>
      <c r="E579" s="25" t="s">
        <v>74</v>
      </c>
      <c r="F579" s="29">
        <v>48.0</v>
      </c>
      <c r="G579" s="30">
        <v>515.52</v>
      </c>
      <c r="H579" s="25" t="s">
        <v>1214</v>
      </c>
      <c r="I579" s="30">
        <f>F579-IFERROR(VLOOKUP(B579,crm_orders!$A:$S,10,FALSE),0)</f>
        <v>0</v>
      </c>
      <c r="J579" s="30">
        <f>G579-IFERROR(VLOOKUP(B579,crm_orders!$A:$S,12,FALSE),0)</f>
        <v>0</v>
      </c>
      <c r="K579" s="25" t="str">
        <f>IF(COUNTIF(crm_orders!$A:$A,B579)=0,"Orphan","OK")</f>
        <v>OK</v>
      </c>
    </row>
    <row r="580" ht="15.75" customHeight="1">
      <c r="A580" s="17" t="s">
        <v>1791</v>
      </c>
      <c r="B580" s="17" t="s">
        <v>919</v>
      </c>
      <c r="C580" s="18">
        <v>46065.0</v>
      </c>
      <c r="D580" s="17" t="s">
        <v>855</v>
      </c>
      <c r="E580" s="17" t="s">
        <v>74</v>
      </c>
      <c r="F580" s="21">
        <v>6.0</v>
      </c>
      <c r="G580" s="22">
        <v>72.18</v>
      </c>
      <c r="H580" s="17" t="s">
        <v>1214</v>
      </c>
      <c r="I580" s="22">
        <f>F580-IFERROR(VLOOKUP(B580,crm_orders!$A:$S,10,FALSE),0)</f>
        <v>0</v>
      </c>
      <c r="J580" s="22">
        <f>G580-IFERROR(VLOOKUP(B580,crm_orders!$A:$S,12,FALSE),0)</f>
        <v>0</v>
      </c>
      <c r="K580" s="17" t="str">
        <f>IF(COUNTIF(crm_orders!$A:$A,B580)=0,"Orphan","OK")</f>
        <v>OK</v>
      </c>
    </row>
    <row r="581" ht="15.75" customHeight="1">
      <c r="A581" s="25" t="s">
        <v>1792</v>
      </c>
      <c r="B581" s="25" t="s">
        <v>920</v>
      </c>
      <c r="C581" s="26">
        <v>46044.0</v>
      </c>
      <c r="D581" s="25" t="s">
        <v>873</v>
      </c>
      <c r="E581" s="25" t="s">
        <v>64</v>
      </c>
      <c r="F581" s="29">
        <v>96.0</v>
      </c>
      <c r="G581" s="30">
        <v>803.52</v>
      </c>
      <c r="H581" s="25" t="s">
        <v>1214</v>
      </c>
      <c r="I581" s="30">
        <f>F581-IFERROR(VLOOKUP(B581,crm_orders!$A:$S,10,FALSE),0)</f>
        <v>0</v>
      </c>
      <c r="J581" s="30">
        <f>G581-IFERROR(VLOOKUP(B581,crm_orders!$A:$S,12,FALSE),0)</f>
        <v>0</v>
      </c>
      <c r="K581" s="25" t="str">
        <f>IF(COUNTIF(crm_orders!$A:$A,B581)=0,"Orphan","OK")</f>
        <v>OK</v>
      </c>
    </row>
    <row r="582" ht="15.75" customHeight="1">
      <c r="A582" s="17" t="s">
        <v>1793</v>
      </c>
      <c r="B582" s="17" t="s">
        <v>245</v>
      </c>
      <c r="C582" s="18">
        <v>46075.0</v>
      </c>
      <c r="D582" s="17" t="s">
        <v>170</v>
      </c>
      <c r="E582" s="17" t="s">
        <v>190</v>
      </c>
      <c r="F582" s="21">
        <v>60.0</v>
      </c>
      <c r="G582" s="22">
        <v>477.6</v>
      </c>
      <c r="H582" s="17" t="s">
        <v>1214</v>
      </c>
      <c r="I582" s="22">
        <f>F582-IFERROR(VLOOKUP(B582,crm_orders!$A:$S,10,FALSE),0)</f>
        <v>0</v>
      </c>
      <c r="J582" s="22">
        <f>G582-IFERROR(VLOOKUP(B582,crm_orders!$A:$S,12,FALSE),0)</f>
        <v>0</v>
      </c>
      <c r="K582" s="17" t="str">
        <f>IF(COUNTIF(crm_orders!$A:$A,B582)=0,"Orphan","OK")</f>
        <v>OK</v>
      </c>
    </row>
    <row r="583" ht="15.75" customHeight="1">
      <c r="A583" s="25" t="s">
        <v>1794</v>
      </c>
      <c r="B583" s="25" t="s">
        <v>642</v>
      </c>
      <c r="C583" s="26">
        <v>46144.0</v>
      </c>
      <c r="D583" s="25" t="s">
        <v>553</v>
      </c>
      <c r="E583" s="25" t="s">
        <v>74</v>
      </c>
      <c r="F583" s="29">
        <v>96.0</v>
      </c>
      <c r="G583" s="30">
        <v>1158.72</v>
      </c>
      <c r="H583" s="25" t="s">
        <v>1214</v>
      </c>
      <c r="I583" s="30">
        <f>F583-IFERROR(VLOOKUP(B583,crm_orders!$A:$S,10,FALSE),0)</f>
        <v>0</v>
      </c>
      <c r="J583" s="30">
        <f>G583-IFERROR(VLOOKUP(B583,crm_orders!$A:$S,12,FALSE),0)</f>
        <v>0</v>
      </c>
      <c r="K583" s="25" t="str">
        <f>IF(COUNTIF(crm_orders!$A:$A,B583)=0,"Orphan","OK")</f>
        <v>OK</v>
      </c>
    </row>
    <row r="584" ht="15.75" customHeight="1">
      <c r="A584" s="17" t="s">
        <v>1795</v>
      </c>
      <c r="B584" s="17" t="s">
        <v>1035</v>
      </c>
      <c r="C584" s="18">
        <v>46113.0</v>
      </c>
      <c r="D584" s="17" t="s">
        <v>957</v>
      </c>
      <c r="E584" s="17" t="s">
        <v>68</v>
      </c>
      <c r="F584" s="21">
        <v>48.0</v>
      </c>
      <c r="G584" s="22">
        <v>524.64</v>
      </c>
      <c r="H584" s="17" t="s">
        <v>93</v>
      </c>
      <c r="I584" s="22">
        <f>F584-IFERROR(VLOOKUP(B584,crm_orders!$A:$S,10,FALSE),0)</f>
        <v>-12</v>
      </c>
      <c r="J584" s="22">
        <f>G584-IFERROR(VLOOKUP(B584,crm_orders!$A:$S,12,FALSE),0)</f>
        <v>-131.16</v>
      </c>
      <c r="K584" s="17" t="str">
        <f>IF(COUNTIF(crm_orders!$A:$A,B584)=0,"Orphan","OK")</f>
        <v>OK</v>
      </c>
    </row>
    <row r="585" ht="15.75" customHeight="1">
      <c r="A585" s="25" t="s">
        <v>1796</v>
      </c>
      <c r="B585" s="25" t="s">
        <v>1036</v>
      </c>
      <c r="C585" s="26">
        <v>46121.0</v>
      </c>
      <c r="D585" s="25" t="s">
        <v>955</v>
      </c>
      <c r="E585" s="25" t="s">
        <v>92</v>
      </c>
      <c r="F585" s="29">
        <v>6.0</v>
      </c>
      <c r="G585" s="30">
        <v>63.18</v>
      </c>
      <c r="H585" s="25" t="s">
        <v>1214</v>
      </c>
      <c r="I585" s="30">
        <f>F585-IFERROR(VLOOKUP(B585,crm_orders!$A:$S,10,FALSE),0)</f>
        <v>0</v>
      </c>
      <c r="J585" s="30">
        <f>G585-IFERROR(VLOOKUP(B585,crm_orders!$A:$S,12,FALSE),0)</f>
        <v>0</v>
      </c>
      <c r="K585" s="25" t="str">
        <f>IF(COUNTIF(crm_orders!$A:$A,B585)=0,"Orphan","OK")</f>
        <v>OK</v>
      </c>
    </row>
    <row r="586" ht="15.75" customHeight="1">
      <c r="A586" s="17" t="s">
        <v>1797</v>
      </c>
      <c r="B586" s="17" t="s">
        <v>392</v>
      </c>
      <c r="C586" s="18">
        <v>46072.0</v>
      </c>
      <c r="D586" s="17" t="s">
        <v>301</v>
      </c>
      <c r="E586" s="17" t="s">
        <v>95</v>
      </c>
      <c r="F586" s="21">
        <v>36.0</v>
      </c>
      <c r="G586" s="22">
        <v>353.52</v>
      </c>
      <c r="H586" s="17" t="s">
        <v>1214</v>
      </c>
      <c r="I586" s="22">
        <f>F586-IFERROR(VLOOKUP(B586,crm_orders!$A:$S,10,FALSE),0)</f>
        <v>0</v>
      </c>
      <c r="J586" s="22">
        <f>G586-IFERROR(VLOOKUP(B586,crm_orders!$A:$S,12,FALSE),0)</f>
        <v>0</v>
      </c>
      <c r="K586" s="17" t="str">
        <f>IF(COUNTIF(crm_orders!$A:$A,B586)=0,"Orphan","OK")</f>
        <v>OK</v>
      </c>
    </row>
    <row r="587" ht="15.75" customHeight="1">
      <c r="A587" s="25" t="s">
        <v>1798</v>
      </c>
      <c r="B587" s="25" t="s">
        <v>1170</v>
      </c>
      <c r="C587" s="26">
        <v>46119.0</v>
      </c>
      <c r="D587" s="25" t="s">
        <v>1139</v>
      </c>
      <c r="E587" s="25" t="s">
        <v>78</v>
      </c>
      <c r="F587" s="29">
        <v>60.0</v>
      </c>
      <c r="G587" s="30">
        <v>675.6</v>
      </c>
      <c r="H587" s="25" t="s">
        <v>1214</v>
      </c>
      <c r="I587" s="30">
        <f>F587-IFERROR(VLOOKUP(B587,crm_orders!$A:$S,10,FALSE),0)</f>
        <v>0</v>
      </c>
      <c r="J587" s="30">
        <f>G587-IFERROR(VLOOKUP(B587,crm_orders!$A:$S,12,FALSE),0)</f>
        <v>0</v>
      </c>
      <c r="K587" s="25" t="str">
        <f>IF(COUNTIF(crm_orders!$A:$A,B587)=0,"Orphan","OK")</f>
        <v>OK</v>
      </c>
    </row>
    <row r="588" ht="15.75" customHeight="1">
      <c r="A588" s="17" t="s">
        <v>1799</v>
      </c>
      <c r="B588" s="17" t="s">
        <v>921</v>
      </c>
      <c r="C588" s="18">
        <v>46140.0</v>
      </c>
      <c r="D588" s="17" t="s">
        <v>853</v>
      </c>
      <c r="E588" s="17" t="s">
        <v>68</v>
      </c>
      <c r="F588" s="21">
        <v>18.0</v>
      </c>
      <c r="G588" s="22">
        <v>189.18</v>
      </c>
      <c r="H588" s="17" t="s">
        <v>93</v>
      </c>
      <c r="I588" s="22">
        <f>F588-IFERROR(VLOOKUP(B588,crm_orders!$A:$S,10,FALSE),0)</f>
        <v>-12</v>
      </c>
      <c r="J588" s="22">
        <f>G588-IFERROR(VLOOKUP(B588,crm_orders!$A:$S,12,FALSE),0)</f>
        <v>-126.12</v>
      </c>
      <c r="K588" s="17" t="str">
        <f>IF(COUNTIF(crm_orders!$A:$A,B588)=0,"Orphan","OK")</f>
        <v>OK</v>
      </c>
    </row>
    <row r="589" ht="15.75" customHeight="1">
      <c r="A589" s="25" t="s">
        <v>1800</v>
      </c>
      <c r="B589" s="25" t="s">
        <v>922</v>
      </c>
      <c r="C589" s="26">
        <v>46088.0</v>
      </c>
      <c r="D589" s="25" t="s">
        <v>857</v>
      </c>
      <c r="E589" s="25" t="s">
        <v>78</v>
      </c>
      <c r="F589" s="29">
        <v>78.0</v>
      </c>
      <c r="G589" s="30">
        <v>868.14</v>
      </c>
      <c r="H589" s="25" t="s">
        <v>1212</v>
      </c>
      <c r="I589" s="30">
        <f>F589-IFERROR(VLOOKUP(B589,crm_orders!$A:$S,10,FALSE),0)</f>
        <v>6</v>
      </c>
      <c r="J589" s="30">
        <f>G589-IFERROR(VLOOKUP(B589,crm_orders!$A:$S,12,FALSE),0)</f>
        <v>66.78</v>
      </c>
      <c r="K589" s="25" t="str">
        <f>IF(COUNTIF(crm_orders!$A:$A,B589)=0,"Orphan","OK")</f>
        <v>OK</v>
      </c>
    </row>
    <row r="590" ht="15.75" customHeight="1">
      <c r="A590" s="17" t="s">
        <v>1801</v>
      </c>
      <c r="B590" s="17" t="s">
        <v>809</v>
      </c>
      <c r="C590" s="18">
        <v>46048.0</v>
      </c>
      <c r="D590" s="17" t="s">
        <v>698</v>
      </c>
      <c r="E590" s="17" t="s">
        <v>110</v>
      </c>
      <c r="F590" s="21">
        <v>60.0</v>
      </c>
      <c r="G590" s="22">
        <v>605.4</v>
      </c>
      <c r="H590" s="17" t="s">
        <v>1214</v>
      </c>
      <c r="I590" s="22">
        <f>F590-IFERROR(VLOOKUP(B590,crm_orders!$A:$S,10,FALSE),0)</f>
        <v>0</v>
      </c>
      <c r="J590" s="22">
        <f>G590-IFERROR(VLOOKUP(B590,crm_orders!$A:$S,12,FALSE),0)</f>
        <v>0</v>
      </c>
      <c r="K590" s="17" t="str">
        <f>IF(COUNTIF(crm_orders!$A:$A,B590)=0,"Orphan","OK")</f>
        <v>OK</v>
      </c>
    </row>
    <row r="591" ht="15.75" customHeight="1">
      <c r="A591" s="25" t="s">
        <v>1802</v>
      </c>
      <c r="B591" s="25" t="s">
        <v>810</v>
      </c>
      <c r="C591" s="26">
        <v>46099.0</v>
      </c>
      <c r="D591" s="25" t="s">
        <v>714</v>
      </c>
      <c r="E591" s="25" t="s">
        <v>85</v>
      </c>
      <c r="F591" s="29">
        <v>18.0</v>
      </c>
      <c r="G591" s="30">
        <v>198.36</v>
      </c>
      <c r="H591" s="25" t="s">
        <v>1214</v>
      </c>
      <c r="I591" s="30">
        <f>F591-IFERROR(VLOOKUP(B591,crm_orders!$A:$S,10,FALSE),0)</f>
        <v>0</v>
      </c>
      <c r="J591" s="30">
        <f>G591-IFERROR(VLOOKUP(B591,crm_orders!$A:$S,12,FALSE),0)</f>
        <v>0</v>
      </c>
      <c r="K591" s="25" t="str">
        <f>IF(COUNTIF(crm_orders!$A:$A,B591)=0,"Orphan","OK")</f>
        <v>OK</v>
      </c>
    </row>
    <row r="592" ht="15.75" customHeight="1">
      <c r="A592" s="17" t="s">
        <v>1803</v>
      </c>
      <c r="B592" s="17" t="s">
        <v>643</v>
      </c>
      <c r="C592" s="18">
        <v>46107.0</v>
      </c>
      <c r="D592" s="17" t="s">
        <v>561</v>
      </c>
      <c r="E592" s="17" t="s">
        <v>190</v>
      </c>
      <c r="F592" s="21">
        <v>36.0</v>
      </c>
      <c r="G592" s="22">
        <v>265.32</v>
      </c>
      <c r="H592" s="17" t="s">
        <v>1214</v>
      </c>
      <c r="I592" s="22">
        <f>F592-IFERROR(VLOOKUP(B592,crm_orders!$A:$S,10,FALSE),0)</f>
        <v>0</v>
      </c>
      <c r="J592" s="22">
        <f>G592-IFERROR(VLOOKUP(B592,crm_orders!$A:$S,12,FALSE),0)</f>
        <v>0</v>
      </c>
      <c r="K592" s="17" t="str">
        <f>IF(COUNTIF(crm_orders!$A:$A,B592)=0,"Orphan","OK")</f>
        <v>OK</v>
      </c>
    </row>
    <row r="593" ht="15.75" customHeight="1">
      <c r="A593" s="25" t="s">
        <v>1804</v>
      </c>
      <c r="B593" s="25" t="s">
        <v>924</v>
      </c>
      <c r="C593" s="26">
        <v>46086.0</v>
      </c>
      <c r="D593" s="25" t="s">
        <v>857</v>
      </c>
      <c r="E593" s="25" t="s">
        <v>81</v>
      </c>
      <c r="F593" s="29">
        <v>60.0</v>
      </c>
      <c r="G593" s="30">
        <v>418.2</v>
      </c>
      <c r="H593" s="25" t="s">
        <v>1214</v>
      </c>
      <c r="I593" s="30">
        <f>F593-IFERROR(VLOOKUP(B593,crm_orders!$A:$S,10,FALSE),0)</f>
        <v>0</v>
      </c>
      <c r="J593" s="30">
        <f>G593-IFERROR(VLOOKUP(B593,crm_orders!$A:$S,12,FALSE),0)</f>
        <v>0</v>
      </c>
      <c r="K593" s="25" t="str">
        <f>IF(COUNTIF(crm_orders!$A:$A,B593)=0,"Orphan","OK")</f>
        <v>OK</v>
      </c>
    </row>
    <row r="594" ht="15.75" customHeight="1">
      <c r="A594" s="17" t="s">
        <v>1805</v>
      </c>
      <c r="B594" s="17" t="s">
        <v>393</v>
      </c>
      <c r="C594" s="18">
        <v>46132.0</v>
      </c>
      <c r="D594" s="17" t="s">
        <v>291</v>
      </c>
      <c r="E594" s="17" t="s">
        <v>102</v>
      </c>
      <c r="F594" s="21">
        <v>0.0</v>
      </c>
      <c r="G594" s="22">
        <v>0.0</v>
      </c>
      <c r="H594" s="17" t="s">
        <v>93</v>
      </c>
      <c r="I594" s="22">
        <f>F594-IFERROR(VLOOKUP(B594,crm_orders!$A:$S,10,FALSE),0)</f>
        <v>-6</v>
      </c>
      <c r="J594" s="22">
        <f>G594-IFERROR(VLOOKUP(B594,crm_orders!$A:$S,12,FALSE),0)</f>
        <v>-61.38</v>
      </c>
      <c r="K594" s="17" t="str">
        <f>IF(COUNTIF(crm_orders!$A:$A,B594)=0,"Orphan","OK")</f>
        <v>OK</v>
      </c>
    </row>
    <row r="595" ht="15.75" customHeight="1">
      <c r="A595" s="25" t="s">
        <v>1806</v>
      </c>
      <c r="B595" s="25" t="s">
        <v>811</v>
      </c>
      <c r="C595" s="26">
        <v>46056.0</v>
      </c>
      <c r="D595" s="25" t="s">
        <v>706</v>
      </c>
      <c r="E595" s="25" t="s">
        <v>154</v>
      </c>
      <c r="F595" s="29">
        <v>120.0</v>
      </c>
      <c r="G595" s="30">
        <v>1365.6</v>
      </c>
      <c r="H595" s="25" t="s">
        <v>1214</v>
      </c>
      <c r="I595" s="30">
        <f>F595-IFERROR(VLOOKUP(B595,crm_orders!$A:$S,10,FALSE),0)</f>
        <v>0</v>
      </c>
      <c r="J595" s="30">
        <f>G595-IFERROR(VLOOKUP(B595,crm_orders!$A:$S,12,FALSE),0)</f>
        <v>0</v>
      </c>
      <c r="K595" s="25" t="str">
        <f>IF(COUNTIF(crm_orders!$A:$A,B595)=0,"Orphan","OK")</f>
        <v>OK</v>
      </c>
    </row>
    <row r="596" ht="15.75" customHeight="1">
      <c r="A596" s="17" t="s">
        <v>1807</v>
      </c>
      <c r="B596" s="17" t="s">
        <v>394</v>
      </c>
      <c r="C596" s="18">
        <v>46057.0</v>
      </c>
      <c r="D596" s="17" t="s">
        <v>291</v>
      </c>
      <c r="E596" s="17" t="s">
        <v>154</v>
      </c>
      <c r="F596" s="21">
        <v>72.0</v>
      </c>
      <c r="G596" s="22">
        <v>806.4</v>
      </c>
      <c r="H596" s="17" t="s">
        <v>1214</v>
      </c>
      <c r="I596" s="22">
        <f>F596-IFERROR(VLOOKUP(B596,crm_orders!$A:$S,10,FALSE),0)</f>
        <v>0</v>
      </c>
      <c r="J596" s="22">
        <f>G596-IFERROR(VLOOKUP(B596,crm_orders!$A:$S,12,FALSE),0)</f>
        <v>0</v>
      </c>
      <c r="K596" s="17" t="str">
        <f>IF(COUNTIF(crm_orders!$A:$A,B596)=0,"Orphan","OK")</f>
        <v>OK</v>
      </c>
    </row>
    <row r="597" ht="15.75" customHeight="1">
      <c r="A597" s="25" t="s">
        <v>1808</v>
      </c>
      <c r="B597" s="25" t="s">
        <v>1037</v>
      </c>
      <c r="C597" s="26">
        <v>46064.0</v>
      </c>
      <c r="D597" s="25" t="s">
        <v>988</v>
      </c>
      <c r="E597" s="25" t="s">
        <v>81</v>
      </c>
      <c r="F597" s="29">
        <v>12.0</v>
      </c>
      <c r="G597" s="30">
        <v>94.32</v>
      </c>
      <c r="H597" s="25" t="s">
        <v>1214</v>
      </c>
      <c r="I597" s="30">
        <f>F597-IFERROR(VLOOKUP(B597,crm_orders!$A:$S,10,FALSE),0)</f>
        <v>0</v>
      </c>
      <c r="J597" s="30">
        <f>G597-IFERROR(VLOOKUP(B597,crm_orders!$A:$S,12,FALSE),0)</f>
        <v>0</v>
      </c>
      <c r="K597" s="25" t="str">
        <f>IF(COUNTIF(crm_orders!$A:$A,B597)=0,"Orphan","OK")</f>
        <v>OK</v>
      </c>
    </row>
    <row r="598" ht="15.75" customHeight="1">
      <c r="A598" s="17" t="s">
        <v>1809</v>
      </c>
      <c r="B598" s="17" t="s">
        <v>1109</v>
      </c>
      <c r="C598" s="18">
        <v>46129.0</v>
      </c>
      <c r="D598" s="17" t="s">
        <v>1081</v>
      </c>
      <c r="E598" s="17" t="s">
        <v>156</v>
      </c>
      <c r="F598" s="21">
        <v>72.0</v>
      </c>
      <c r="G598" s="22">
        <v>788.4</v>
      </c>
      <c r="H598" s="17" t="s">
        <v>1214</v>
      </c>
      <c r="I598" s="22">
        <f>F598-IFERROR(VLOOKUP(B598,crm_orders!$A:$S,10,FALSE),0)</f>
        <v>0</v>
      </c>
      <c r="J598" s="22">
        <f>G598-IFERROR(VLOOKUP(B598,crm_orders!$A:$S,12,FALSE),0)</f>
        <v>0</v>
      </c>
      <c r="K598" s="17" t="str">
        <f>IF(COUNTIF(crm_orders!$A:$A,B598)=0,"Orphan","OK")</f>
        <v>OK</v>
      </c>
    </row>
    <row r="599" ht="15.75" customHeight="1">
      <c r="A599" s="25" t="s">
        <v>1810</v>
      </c>
      <c r="B599" s="25" t="s">
        <v>247</v>
      </c>
      <c r="C599" s="26">
        <v>46111.0</v>
      </c>
      <c r="D599" s="25" t="s">
        <v>226</v>
      </c>
      <c r="E599" s="25" t="s">
        <v>64</v>
      </c>
      <c r="F599" s="29">
        <v>18.0</v>
      </c>
      <c r="G599" s="30">
        <v>147.78</v>
      </c>
      <c r="H599" s="25" t="s">
        <v>1214</v>
      </c>
      <c r="I599" s="30">
        <f>F599-IFERROR(VLOOKUP(B599,crm_orders!$A:$S,10,FALSE),0)</f>
        <v>0</v>
      </c>
      <c r="J599" s="30">
        <f>G599-IFERROR(VLOOKUP(B599,crm_orders!$A:$S,12,FALSE),0)</f>
        <v>0</v>
      </c>
      <c r="K599" s="25" t="str">
        <f>IF(COUNTIF(crm_orders!$A:$A,B599)=0,"Orphan","OK")</f>
        <v>OK</v>
      </c>
    </row>
    <row r="600" ht="15.75" customHeight="1">
      <c r="A600" s="17" t="s">
        <v>1811</v>
      </c>
      <c r="B600" s="17" t="s">
        <v>925</v>
      </c>
      <c r="C600" s="18">
        <v>46050.0</v>
      </c>
      <c r="D600" s="17" t="s">
        <v>861</v>
      </c>
      <c r="E600" s="17" t="s">
        <v>95</v>
      </c>
      <c r="F600" s="21">
        <v>120.0</v>
      </c>
      <c r="G600" s="22">
        <v>1273.2</v>
      </c>
      <c r="H600" s="17" t="s">
        <v>1214</v>
      </c>
      <c r="I600" s="22">
        <f>F600-IFERROR(VLOOKUP(B600,crm_orders!$A:$S,10,FALSE),0)</f>
        <v>0</v>
      </c>
      <c r="J600" s="22">
        <f>G600-IFERROR(VLOOKUP(B600,crm_orders!$A:$S,12,FALSE),0)</f>
        <v>0</v>
      </c>
      <c r="K600" s="17" t="str">
        <f>IF(COUNTIF(crm_orders!$A:$A,B600)=0,"Orphan","OK")</f>
        <v>OK</v>
      </c>
    </row>
    <row r="601" ht="15.75" customHeight="1">
      <c r="A601" s="25" t="s">
        <v>1812</v>
      </c>
      <c r="B601" s="25" t="s">
        <v>644</v>
      </c>
      <c r="C601" s="26">
        <v>46108.0</v>
      </c>
      <c r="D601" s="25" t="s">
        <v>575</v>
      </c>
      <c r="E601" s="25" t="s">
        <v>71</v>
      </c>
      <c r="F601" s="29">
        <v>24.0</v>
      </c>
      <c r="G601" s="30">
        <v>189.12</v>
      </c>
      <c r="H601" s="25" t="s">
        <v>1214</v>
      </c>
      <c r="I601" s="30">
        <f>F601-IFERROR(VLOOKUP(B601,crm_orders!$A:$S,10,FALSE),0)</f>
        <v>0</v>
      </c>
      <c r="J601" s="30">
        <f>G601-IFERROR(VLOOKUP(B601,crm_orders!$A:$S,12,FALSE),0)</f>
        <v>0</v>
      </c>
      <c r="K601" s="25" t="str">
        <f>IF(COUNTIF(crm_orders!$A:$A,B601)=0,"Orphan","OK")</f>
        <v>OK</v>
      </c>
    </row>
    <row r="602" ht="15.75" customHeight="1">
      <c r="A602" s="17" t="s">
        <v>1813</v>
      </c>
      <c r="B602" s="17" t="s">
        <v>812</v>
      </c>
      <c r="C602" s="18">
        <v>46123.0</v>
      </c>
      <c r="D602" s="17" t="s">
        <v>717</v>
      </c>
      <c r="E602" s="17" t="s">
        <v>74</v>
      </c>
      <c r="F602" s="21">
        <v>96.0</v>
      </c>
      <c r="G602" s="22">
        <v>1204.8</v>
      </c>
      <c r="H602" s="17" t="s">
        <v>93</v>
      </c>
      <c r="I602" s="22">
        <f>F602-IFERROR(VLOOKUP(B602,crm_orders!$A:$S,10,FALSE),0)</f>
        <v>-24</v>
      </c>
      <c r="J602" s="22">
        <f>G602-IFERROR(VLOOKUP(B602,crm_orders!$A:$S,12,FALSE),0)</f>
        <v>-301.2</v>
      </c>
      <c r="K602" s="17" t="str">
        <f>IF(COUNTIF(crm_orders!$A:$A,B602)=0,"Orphan","OK")</f>
        <v>OK</v>
      </c>
    </row>
    <row r="603" ht="15.75" customHeight="1">
      <c r="A603" s="25" t="s">
        <v>1814</v>
      </c>
      <c r="B603" s="25" t="s">
        <v>645</v>
      </c>
      <c r="C603" s="26">
        <v>46074.0</v>
      </c>
      <c r="D603" s="25" t="s">
        <v>575</v>
      </c>
      <c r="E603" s="25" t="s">
        <v>68</v>
      </c>
      <c r="F603" s="29">
        <v>24.0</v>
      </c>
      <c r="G603" s="30">
        <v>262.8</v>
      </c>
      <c r="H603" s="25" t="s">
        <v>1212</v>
      </c>
      <c r="I603" s="30">
        <f>F603-IFERROR(VLOOKUP(B603,crm_orders!$A:$S,10,FALSE),0)</f>
        <v>6</v>
      </c>
      <c r="J603" s="30">
        <f>G603-IFERROR(VLOOKUP(B603,crm_orders!$A:$S,12,FALSE),0)</f>
        <v>65.7</v>
      </c>
      <c r="K603" s="25" t="str">
        <f>IF(COUNTIF(crm_orders!$A:$A,B603)=0,"Orphan","OK")</f>
        <v>OK</v>
      </c>
    </row>
    <row r="604" ht="15.75" customHeight="1">
      <c r="A604" s="17" t="s">
        <v>1815</v>
      </c>
      <c r="B604" s="17" t="s">
        <v>509</v>
      </c>
      <c r="C604" s="18">
        <v>46044.0</v>
      </c>
      <c r="D604" s="17" t="s">
        <v>469</v>
      </c>
      <c r="E604" s="17" t="s">
        <v>81</v>
      </c>
      <c r="F604" s="21">
        <v>24.0</v>
      </c>
      <c r="G604" s="22">
        <v>181.92</v>
      </c>
      <c r="H604" s="17" t="s">
        <v>1214</v>
      </c>
      <c r="I604" s="22">
        <f>F604-IFERROR(VLOOKUP(B604,crm_orders!$A:$S,10,FALSE),0)</f>
        <v>0</v>
      </c>
      <c r="J604" s="22">
        <f>G604-IFERROR(VLOOKUP(B604,crm_orders!$A:$S,12,FALSE),0)</f>
        <v>0</v>
      </c>
      <c r="K604" s="17" t="str">
        <f>IF(COUNTIF(crm_orders!$A:$A,B604)=0,"Orphan","OK")</f>
        <v>OK</v>
      </c>
    </row>
    <row r="605" ht="15.75" customHeight="1">
      <c r="A605" s="25" t="s">
        <v>1816</v>
      </c>
      <c r="B605" s="25" t="s">
        <v>395</v>
      </c>
      <c r="C605" s="26">
        <v>46126.0</v>
      </c>
      <c r="D605" s="25" t="s">
        <v>314</v>
      </c>
      <c r="E605" s="25" t="s">
        <v>108</v>
      </c>
      <c r="F605" s="29">
        <v>48.0</v>
      </c>
      <c r="G605" s="30">
        <v>479.04</v>
      </c>
      <c r="H605" s="25" t="s">
        <v>1214</v>
      </c>
      <c r="I605" s="30">
        <f>F605-IFERROR(VLOOKUP(B605,crm_orders!$A:$S,10,FALSE),0)</f>
        <v>0</v>
      </c>
      <c r="J605" s="30">
        <f>G605-IFERROR(VLOOKUP(B605,crm_orders!$A:$S,12,FALSE),0)</f>
        <v>0</v>
      </c>
      <c r="K605" s="25" t="str">
        <f>IF(COUNTIF(crm_orders!$A:$A,B605)=0,"Orphan","OK")</f>
        <v>OK</v>
      </c>
    </row>
    <row r="606" ht="15.75" customHeight="1">
      <c r="A606" s="17" t="s">
        <v>1817</v>
      </c>
      <c r="B606" s="17" t="s">
        <v>926</v>
      </c>
      <c r="C606" s="18">
        <v>46039.0</v>
      </c>
      <c r="D606" s="17" t="s">
        <v>857</v>
      </c>
      <c r="E606" s="17" t="s">
        <v>92</v>
      </c>
      <c r="F606" s="21">
        <v>78.0</v>
      </c>
      <c r="G606" s="22">
        <v>861.12</v>
      </c>
      <c r="H606" s="17" t="s">
        <v>93</v>
      </c>
      <c r="I606" s="22">
        <f>F606-IFERROR(VLOOKUP(B606,crm_orders!$A:$S,10,FALSE),0)</f>
        <v>-18</v>
      </c>
      <c r="J606" s="22">
        <f>G606-IFERROR(VLOOKUP(B606,crm_orders!$A:$S,12,FALSE),0)</f>
        <v>-198.72</v>
      </c>
      <c r="K606" s="17" t="str">
        <f>IF(COUNTIF(crm_orders!$A:$A,B606)=0,"Orphan","OK")</f>
        <v>OK</v>
      </c>
    </row>
    <row r="607" ht="15.75" customHeight="1">
      <c r="A607" s="25" t="s">
        <v>1818</v>
      </c>
      <c r="B607" s="25" t="s">
        <v>646</v>
      </c>
      <c r="C607" s="26">
        <v>46122.0</v>
      </c>
      <c r="D607" s="25" t="s">
        <v>553</v>
      </c>
      <c r="E607" s="25" t="s">
        <v>64</v>
      </c>
      <c r="F607" s="29">
        <v>18.0</v>
      </c>
      <c r="G607" s="30">
        <v>131.04</v>
      </c>
      <c r="H607" s="25" t="s">
        <v>1214</v>
      </c>
      <c r="I607" s="30">
        <f>F607-IFERROR(VLOOKUP(B607,crm_orders!$A:$S,10,FALSE),0)</f>
        <v>0</v>
      </c>
      <c r="J607" s="30">
        <f>G607-IFERROR(VLOOKUP(B607,crm_orders!$A:$S,12,FALSE),0)</f>
        <v>0</v>
      </c>
      <c r="K607" s="25" t="str">
        <f>IF(COUNTIF(crm_orders!$A:$A,B607)=0,"Orphan","OK")</f>
        <v>OK</v>
      </c>
    </row>
    <row r="608" ht="15.75" customHeight="1">
      <c r="A608" s="17" t="s">
        <v>1819</v>
      </c>
      <c r="B608" s="17" t="s">
        <v>510</v>
      </c>
      <c r="C608" s="18">
        <v>46072.0</v>
      </c>
      <c r="D608" s="17" t="s">
        <v>448</v>
      </c>
      <c r="E608" s="17" t="s">
        <v>64</v>
      </c>
      <c r="F608" s="21">
        <v>42.0</v>
      </c>
      <c r="G608" s="22">
        <v>329.28</v>
      </c>
      <c r="H608" s="17" t="s">
        <v>93</v>
      </c>
      <c r="I608" s="22">
        <f>F608-IFERROR(VLOOKUP(B608,crm_orders!$A:$S,10,FALSE),0)</f>
        <v>-18</v>
      </c>
      <c r="J608" s="22">
        <f>G608-IFERROR(VLOOKUP(B608,crm_orders!$A:$S,12,FALSE),0)</f>
        <v>-141.12</v>
      </c>
      <c r="K608" s="17" t="str">
        <f>IF(COUNTIF(crm_orders!$A:$A,B608)=0,"Orphan","OK")</f>
        <v>OK</v>
      </c>
    </row>
    <row r="609" ht="15.75" customHeight="1">
      <c r="A609" s="25" t="s">
        <v>1820</v>
      </c>
      <c r="B609" s="25" t="s">
        <v>813</v>
      </c>
      <c r="C609" s="26">
        <v>46045.0</v>
      </c>
      <c r="D609" s="25" t="s">
        <v>702</v>
      </c>
      <c r="E609" s="25" t="s">
        <v>90</v>
      </c>
      <c r="F609" s="29">
        <v>120.0</v>
      </c>
      <c r="G609" s="30">
        <v>930.0</v>
      </c>
      <c r="H609" s="25" t="s">
        <v>1214</v>
      </c>
      <c r="I609" s="30">
        <f>F609-IFERROR(VLOOKUP(B609,crm_orders!$A:$S,10,FALSE),0)</f>
        <v>0</v>
      </c>
      <c r="J609" s="30">
        <f>G609-IFERROR(VLOOKUP(B609,crm_orders!$A:$S,12,FALSE),0)</f>
        <v>0</v>
      </c>
      <c r="K609" s="25" t="str">
        <f>IF(COUNTIF(crm_orders!$A:$A,B609)=0,"Orphan","OK")</f>
        <v>OK</v>
      </c>
    </row>
    <row r="610" ht="15.75" customHeight="1">
      <c r="A610" s="17" t="s">
        <v>1821</v>
      </c>
      <c r="B610" s="17" t="s">
        <v>133</v>
      </c>
      <c r="C610" s="18">
        <v>46107.0</v>
      </c>
      <c r="D610" s="17" t="s">
        <v>73</v>
      </c>
      <c r="E610" s="17" t="s">
        <v>110</v>
      </c>
      <c r="F610" s="21">
        <v>36.0</v>
      </c>
      <c r="G610" s="22">
        <v>402.48</v>
      </c>
      <c r="H610" s="17" t="s">
        <v>1214</v>
      </c>
      <c r="I610" s="22">
        <f>F610-IFERROR(VLOOKUP(B610,crm_orders!$A:$S,10,FALSE),0)</f>
        <v>0</v>
      </c>
      <c r="J610" s="22">
        <f>G610-IFERROR(VLOOKUP(B610,crm_orders!$A:$S,12,FALSE),0)</f>
        <v>0</v>
      </c>
      <c r="K610" s="17" t="str">
        <f>IF(COUNTIF(crm_orders!$A:$A,B610)=0,"Orphan","OK")</f>
        <v>OK</v>
      </c>
    </row>
    <row r="611" ht="15.75" customHeight="1">
      <c r="A611" s="25" t="s">
        <v>1822</v>
      </c>
      <c r="B611" s="25" t="s">
        <v>396</v>
      </c>
      <c r="C611" s="26">
        <v>46122.0</v>
      </c>
      <c r="D611" s="25" t="s">
        <v>291</v>
      </c>
      <c r="E611" s="25" t="s">
        <v>190</v>
      </c>
      <c r="F611" s="29">
        <v>96.0</v>
      </c>
      <c r="G611" s="30">
        <v>650.88</v>
      </c>
      <c r="H611" s="25" t="s">
        <v>1214</v>
      </c>
      <c r="I611" s="30">
        <f>F611-IFERROR(VLOOKUP(B611,crm_orders!$A:$S,10,FALSE),0)</f>
        <v>0</v>
      </c>
      <c r="J611" s="30">
        <f>G611-IFERROR(VLOOKUP(B611,crm_orders!$A:$S,12,FALSE),0)</f>
        <v>0</v>
      </c>
      <c r="K611" s="25" t="str">
        <f>IF(COUNTIF(crm_orders!$A:$A,B611)=0,"Orphan","OK")</f>
        <v>OK</v>
      </c>
    </row>
    <row r="612" ht="15.75" customHeight="1">
      <c r="A612" s="17" t="s">
        <v>1823</v>
      </c>
      <c r="B612" s="17" t="s">
        <v>815</v>
      </c>
      <c r="C612" s="18">
        <v>46097.0</v>
      </c>
      <c r="D612" s="17" t="s">
        <v>702</v>
      </c>
      <c r="E612" s="17" t="s">
        <v>110</v>
      </c>
      <c r="F612" s="21">
        <v>24.0</v>
      </c>
      <c r="G612" s="22">
        <v>278.16</v>
      </c>
      <c r="H612" s="17" t="s">
        <v>1214</v>
      </c>
      <c r="I612" s="22">
        <f>F612-IFERROR(VLOOKUP(B612,crm_orders!$A:$S,10,FALSE),0)</f>
        <v>0</v>
      </c>
      <c r="J612" s="22">
        <f>G612-IFERROR(VLOOKUP(B612,crm_orders!$A:$S,12,FALSE),0)</f>
        <v>0</v>
      </c>
      <c r="K612" s="17" t="str">
        <f>IF(COUNTIF(crm_orders!$A:$A,B612)=0,"Orphan","OK")</f>
        <v>OK</v>
      </c>
    </row>
    <row r="613" ht="15.75" customHeight="1">
      <c r="A613" s="25" t="s">
        <v>1824</v>
      </c>
      <c r="B613" s="25" t="s">
        <v>1038</v>
      </c>
      <c r="C613" s="26">
        <v>46060.0</v>
      </c>
      <c r="D613" s="25" t="s">
        <v>1039</v>
      </c>
      <c r="E613" s="25" t="s">
        <v>102</v>
      </c>
      <c r="F613" s="29">
        <v>120.0</v>
      </c>
      <c r="G613" s="30">
        <v>1398.43</v>
      </c>
      <c r="H613" s="25" t="s">
        <v>1212</v>
      </c>
      <c r="I613" s="30">
        <f>F613-IFERROR(VLOOKUP(B613,crm_orders!$A:$S,10,FALSE),0)</f>
        <v>0</v>
      </c>
      <c r="J613" s="30">
        <f>G613-IFERROR(VLOOKUP(B613,crm_orders!$A:$S,12,FALSE),0)</f>
        <v>25.63</v>
      </c>
      <c r="K613" s="25" t="str">
        <f>IF(COUNTIF(crm_orders!$A:$A,B613)=0,"Orphan","OK")</f>
        <v>OK</v>
      </c>
    </row>
    <row r="614" ht="15.75" customHeight="1">
      <c r="A614" s="17" t="s">
        <v>1825</v>
      </c>
      <c r="B614" s="17" t="s">
        <v>1110</v>
      </c>
      <c r="C614" s="18">
        <v>46080.0</v>
      </c>
      <c r="D614" s="17" t="s">
        <v>1077</v>
      </c>
      <c r="E614" s="17" t="s">
        <v>102</v>
      </c>
      <c r="F614" s="21">
        <v>60.0</v>
      </c>
      <c r="G614" s="22">
        <v>648.6</v>
      </c>
      <c r="H614" s="17" t="s">
        <v>1214</v>
      </c>
      <c r="I614" s="22">
        <f>F614-IFERROR(VLOOKUP(B614,crm_orders!$A:$S,10,FALSE),0)</f>
        <v>0</v>
      </c>
      <c r="J614" s="22">
        <f>G614-IFERROR(VLOOKUP(B614,crm_orders!$A:$S,12,FALSE),0)</f>
        <v>0</v>
      </c>
      <c r="K614" s="17" t="str">
        <f>IF(COUNTIF(crm_orders!$A:$A,B614)=0,"Orphan","OK")</f>
        <v>OK</v>
      </c>
    </row>
    <row r="615" ht="15.75" customHeight="1">
      <c r="A615" s="25" t="s">
        <v>1826</v>
      </c>
      <c r="B615" s="25" t="s">
        <v>1171</v>
      </c>
      <c r="C615" s="26">
        <v>46150.0</v>
      </c>
      <c r="D615" s="25" t="s">
        <v>1133</v>
      </c>
      <c r="E615" s="25" t="s">
        <v>85</v>
      </c>
      <c r="F615" s="29">
        <v>6.0</v>
      </c>
      <c r="G615" s="30">
        <v>61.26</v>
      </c>
      <c r="H615" s="25" t="s">
        <v>1214</v>
      </c>
      <c r="I615" s="30">
        <f>F615-IFERROR(VLOOKUP(B615,crm_orders!$A:$S,10,FALSE),0)</f>
        <v>0</v>
      </c>
      <c r="J615" s="30">
        <f>G615-IFERROR(VLOOKUP(B615,crm_orders!$A:$S,12,FALSE),0)</f>
        <v>0</v>
      </c>
      <c r="K615" s="25" t="str">
        <f>IF(COUNTIF(crm_orders!$A:$A,B615)=0,"Orphan","OK")</f>
        <v>OK</v>
      </c>
    </row>
    <row r="616" ht="15.75" customHeight="1">
      <c r="A616" s="17" t="s">
        <v>1827</v>
      </c>
      <c r="B616" s="17" t="s">
        <v>1111</v>
      </c>
      <c r="C616" s="18">
        <v>46047.0</v>
      </c>
      <c r="D616" s="17" t="s">
        <v>1075</v>
      </c>
      <c r="E616" s="17" t="s">
        <v>92</v>
      </c>
      <c r="F616" s="21">
        <v>30.0</v>
      </c>
      <c r="G616" s="22">
        <v>285.3</v>
      </c>
      <c r="H616" s="17" t="s">
        <v>1214</v>
      </c>
      <c r="I616" s="22">
        <f>F616-IFERROR(VLOOKUP(B616,crm_orders!$A:$S,10,FALSE),0)</f>
        <v>0</v>
      </c>
      <c r="J616" s="22">
        <f>G616-IFERROR(VLOOKUP(B616,crm_orders!$A:$S,12,FALSE),0)</f>
        <v>0</v>
      </c>
      <c r="K616" s="17" t="str">
        <f>IF(COUNTIF(crm_orders!$A:$A,B616)=0,"Orphan","OK")</f>
        <v>OK</v>
      </c>
    </row>
    <row r="617" ht="15.75" customHeight="1">
      <c r="A617" s="25" t="s">
        <v>1828</v>
      </c>
      <c r="B617" s="25" t="s">
        <v>397</v>
      </c>
      <c r="C617" s="26">
        <v>46046.0</v>
      </c>
      <c r="D617" s="25" t="s">
        <v>299</v>
      </c>
      <c r="E617" s="25" t="s">
        <v>85</v>
      </c>
      <c r="F617" s="29">
        <v>48.0</v>
      </c>
      <c r="G617" s="30">
        <v>510.72</v>
      </c>
      <c r="H617" s="25" t="s">
        <v>1214</v>
      </c>
      <c r="I617" s="30">
        <f>F617-IFERROR(VLOOKUP(B617,crm_orders!$A:$S,10,FALSE),0)</f>
        <v>0</v>
      </c>
      <c r="J617" s="30">
        <f>G617-IFERROR(VLOOKUP(B617,crm_orders!$A:$S,12,FALSE),0)</f>
        <v>0</v>
      </c>
      <c r="K617" s="25" t="str">
        <f>IF(COUNTIF(crm_orders!$A:$A,B617)=0,"Orphan","OK")</f>
        <v>OK</v>
      </c>
    </row>
    <row r="618" ht="15.75" customHeight="1">
      <c r="A618" s="17" t="s">
        <v>1829</v>
      </c>
      <c r="B618" s="17" t="s">
        <v>511</v>
      </c>
      <c r="C618" s="18">
        <v>46128.0</v>
      </c>
      <c r="D618" s="17" t="s">
        <v>464</v>
      </c>
      <c r="E618" s="17" t="s">
        <v>95</v>
      </c>
      <c r="F618" s="21">
        <v>120.0</v>
      </c>
      <c r="G618" s="22">
        <v>1263.6</v>
      </c>
      <c r="H618" s="17" t="s">
        <v>1214</v>
      </c>
      <c r="I618" s="22">
        <f>F618-IFERROR(VLOOKUP(B618,crm_orders!$A:$S,10,FALSE),0)</f>
        <v>0</v>
      </c>
      <c r="J618" s="22">
        <f>G618-IFERROR(VLOOKUP(B618,crm_orders!$A:$S,12,FALSE),0)</f>
        <v>0</v>
      </c>
      <c r="K618" s="17" t="str">
        <f>IF(COUNTIF(crm_orders!$A:$A,B618)=0,"Orphan","OK")</f>
        <v>OK</v>
      </c>
    </row>
    <row r="619" ht="15.75" customHeight="1">
      <c r="A619" s="25" t="s">
        <v>1830</v>
      </c>
      <c r="B619" s="25" t="s">
        <v>398</v>
      </c>
      <c r="C619" s="26">
        <v>46132.0</v>
      </c>
      <c r="D619" s="25" t="s">
        <v>330</v>
      </c>
      <c r="E619" s="25" t="s">
        <v>78</v>
      </c>
      <c r="F619" s="29">
        <v>12.0</v>
      </c>
      <c r="G619" s="30">
        <v>139.8</v>
      </c>
      <c r="H619" s="25" t="s">
        <v>1214</v>
      </c>
      <c r="I619" s="30">
        <f>F619-IFERROR(VLOOKUP(B619,crm_orders!$A:$S,10,FALSE),0)</f>
        <v>0</v>
      </c>
      <c r="J619" s="30">
        <f>G619-IFERROR(VLOOKUP(B619,crm_orders!$A:$S,12,FALSE),0)</f>
        <v>0</v>
      </c>
      <c r="K619" s="25" t="str">
        <f>IF(COUNTIF(crm_orders!$A:$A,B619)=0,"Orphan","OK")</f>
        <v>OK</v>
      </c>
    </row>
    <row r="620" ht="15.75" customHeight="1">
      <c r="A620" s="17" t="s">
        <v>1831</v>
      </c>
      <c r="B620" s="17" t="s">
        <v>648</v>
      </c>
      <c r="C620" s="18">
        <v>46102.0</v>
      </c>
      <c r="D620" s="17" t="s">
        <v>566</v>
      </c>
      <c r="E620" s="17" t="s">
        <v>115</v>
      </c>
      <c r="F620" s="21">
        <v>18.0</v>
      </c>
      <c r="G620" s="22">
        <v>196.56</v>
      </c>
      <c r="H620" s="17" t="s">
        <v>93</v>
      </c>
      <c r="I620" s="22">
        <f>F620-IFERROR(VLOOKUP(B620,crm_orders!$A:$S,10,FALSE),0)</f>
        <v>-18</v>
      </c>
      <c r="J620" s="22">
        <f>G620-IFERROR(VLOOKUP(B620,crm_orders!$A:$S,12,FALSE),0)</f>
        <v>-196.56</v>
      </c>
      <c r="K620" s="17" t="str">
        <f>IF(COUNTIF(crm_orders!$A:$A,B620)=0,"Orphan","OK")</f>
        <v>OK</v>
      </c>
    </row>
    <row r="621" ht="15.75" customHeight="1">
      <c r="A621" s="25" t="s">
        <v>1832</v>
      </c>
      <c r="B621" s="25" t="s">
        <v>816</v>
      </c>
      <c r="C621" s="26">
        <v>46132.0</v>
      </c>
      <c r="D621" s="25" t="s">
        <v>712</v>
      </c>
      <c r="E621" s="25" t="s">
        <v>64</v>
      </c>
      <c r="F621" s="29">
        <v>6.0</v>
      </c>
      <c r="G621" s="30">
        <v>46.74</v>
      </c>
      <c r="H621" s="25" t="s">
        <v>1214</v>
      </c>
      <c r="I621" s="30">
        <f>F621-IFERROR(VLOOKUP(B621,crm_orders!$A:$S,10,FALSE),0)</f>
        <v>0</v>
      </c>
      <c r="J621" s="30">
        <f>G621-IFERROR(VLOOKUP(B621,crm_orders!$A:$S,12,FALSE),0)</f>
        <v>0</v>
      </c>
      <c r="K621" s="25" t="str">
        <f>IF(COUNTIF(crm_orders!$A:$A,B621)=0,"Orphan","OK")</f>
        <v>OK</v>
      </c>
    </row>
    <row r="622" ht="15.75" customHeight="1">
      <c r="A622" s="17" t="s">
        <v>1833</v>
      </c>
      <c r="B622" s="17" t="s">
        <v>248</v>
      </c>
      <c r="C622" s="18">
        <v>46144.0</v>
      </c>
      <c r="D622" s="17" t="s">
        <v>198</v>
      </c>
      <c r="E622" s="17" t="s">
        <v>78</v>
      </c>
      <c r="F622" s="21">
        <v>24.0</v>
      </c>
      <c r="G622" s="22">
        <v>279.6</v>
      </c>
      <c r="H622" s="17" t="s">
        <v>1214</v>
      </c>
      <c r="I622" s="22">
        <f>F622-IFERROR(VLOOKUP(B622,crm_orders!$A:$S,10,FALSE),0)</f>
        <v>0</v>
      </c>
      <c r="J622" s="22">
        <f>G622-IFERROR(VLOOKUP(B622,crm_orders!$A:$S,12,FALSE),0)</f>
        <v>0</v>
      </c>
      <c r="K622" s="17" t="str">
        <f>IF(COUNTIF(crm_orders!$A:$A,B622)=0,"Orphan","OK")</f>
        <v>OK</v>
      </c>
    </row>
    <row r="623" ht="15.75" customHeight="1">
      <c r="A623" s="25" t="s">
        <v>1834</v>
      </c>
      <c r="B623" s="25" t="s">
        <v>512</v>
      </c>
      <c r="C623" s="26">
        <v>46133.0</v>
      </c>
      <c r="D623" s="25" t="s">
        <v>464</v>
      </c>
      <c r="E623" s="25" t="s">
        <v>154</v>
      </c>
      <c r="F623" s="29">
        <v>36.0</v>
      </c>
      <c r="G623" s="30">
        <v>424.08</v>
      </c>
      <c r="H623" s="25" t="s">
        <v>1214</v>
      </c>
      <c r="I623" s="30">
        <f>F623-IFERROR(VLOOKUP(B623,crm_orders!$A:$S,10,FALSE),0)</f>
        <v>0</v>
      </c>
      <c r="J623" s="30">
        <f>G623-IFERROR(VLOOKUP(B623,crm_orders!$A:$S,12,FALSE),0)</f>
        <v>0</v>
      </c>
      <c r="K623" s="25" t="str">
        <f>IF(COUNTIF(crm_orders!$A:$A,B623)=0,"Orphan","OK")</f>
        <v>OK</v>
      </c>
    </row>
    <row r="624" ht="15.75" customHeight="1">
      <c r="A624" s="17" t="s">
        <v>1835</v>
      </c>
      <c r="B624" s="17" t="s">
        <v>1112</v>
      </c>
      <c r="C624" s="18">
        <v>46041.0</v>
      </c>
      <c r="D624" s="17" t="s">
        <v>1083</v>
      </c>
      <c r="E624" s="17" t="s">
        <v>74</v>
      </c>
      <c r="F624" s="21">
        <v>72.0</v>
      </c>
      <c r="G624" s="22">
        <v>767.52</v>
      </c>
      <c r="H624" s="17" t="s">
        <v>1214</v>
      </c>
      <c r="I624" s="22">
        <f>F624-IFERROR(VLOOKUP(B624,crm_orders!$A:$S,10,FALSE),0)</f>
        <v>0</v>
      </c>
      <c r="J624" s="22">
        <f>G624-IFERROR(VLOOKUP(B624,crm_orders!$A:$S,12,FALSE),0)</f>
        <v>0</v>
      </c>
      <c r="K624" s="17" t="str">
        <f>IF(COUNTIF(crm_orders!$A:$A,B624)=0,"Orphan","OK")</f>
        <v>OK</v>
      </c>
    </row>
    <row r="625" ht="15.75" customHeight="1">
      <c r="A625" s="25" t="s">
        <v>1836</v>
      </c>
      <c r="B625" s="25" t="s">
        <v>134</v>
      </c>
      <c r="C625" s="26">
        <v>46079.0</v>
      </c>
      <c r="D625" s="25" t="s">
        <v>73</v>
      </c>
      <c r="E625" s="25" t="s">
        <v>78</v>
      </c>
      <c r="F625" s="29">
        <v>30.0</v>
      </c>
      <c r="G625" s="30">
        <v>319.8</v>
      </c>
      <c r="H625" s="25" t="s">
        <v>1214</v>
      </c>
      <c r="I625" s="30">
        <f>F625-IFERROR(VLOOKUP(B625,crm_orders!$A:$S,10,FALSE),0)</f>
        <v>0</v>
      </c>
      <c r="J625" s="30">
        <f>G625-IFERROR(VLOOKUP(B625,crm_orders!$A:$S,12,FALSE),0)</f>
        <v>0</v>
      </c>
      <c r="K625" s="25" t="str">
        <f>IF(COUNTIF(crm_orders!$A:$A,B625)=0,"Orphan","OK")</f>
        <v>OK</v>
      </c>
    </row>
    <row r="626" ht="15.75" customHeight="1">
      <c r="A626" s="17" t="s">
        <v>1837</v>
      </c>
      <c r="B626" s="17" t="s">
        <v>649</v>
      </c>
      <c r="C626" s="18">
        <v>46055.0</v>
      </c>
      <c r="D626" s="17" t="s">
        <v>557</v>
      </c>
      <c r="E626" s="17" t="s">
        <v>108</v>
      </c>
      <c r="F626" s="21">
        <v>12.0</v>
      </c>
      <c r="G626" s="22">
        <v>139.2</v>
      </c>
      <c r="H626" s="17" t="s">
        <v>1214</v>
      </c>
      <c r="I626" s="22">
        <f>F626-IFERROR(VLOOKUP(B626,crm_orders!$A:$S,10,FALSE),0)</f>
        <v>0</v>
      </c>
      <c r="J626" s="22">
        <f>G626-IFERROR(VLOOKUP(B626,crm_orders!$A:$S,12,FALSE),0)</f>
        <v>0</v>
      </c>
      <c r="K626" s="17" t="str">
        <f>IF(COUNTIF(crm_orders!$A:$A,B626)=0,"Orphan","OK")</f>
        <v>OK</v>
      </c>
    </row>
    <row r="627" ht="15.75" customHeight="1">
      <c r="A627" s="25" t="s">
        <v>1838</v>
      </c>
      <c r="B627" s="25" t="s">
        <v>135</v>
      </c>
      <c r="C627" s="26">
        <v>46082.0</v>
      </c>
      <c r="D627" s="25" t="s">
        <v>83</v>
      </c>
      <c r="E627" s="25" t="s">
        <v>78</v>
      </c>
      <c r="F627" s="29">
        <v>60.0</v>
      </c>
      <c r="G627" s="30">
        <v>648.0</v>
      </c>
      <c r="H627" s="25" t="s">
        <v>1214</v>
      </c>
      <c r="I627" s="30">
        <f>F627-IFERROR(VLOOKUP(B627,crm_orders!$A:$S,10,FALSE),0)</f>
        <v>0</v>
      </c>
      <c r="J627" s="30">
        <f>G627-IFERROR(VLOOKUP(B627,crm_orders!$A:$S,12,FALSE),0)</f>
        <v>0</v>
      </c>
      <c r="K627" s="25" t="str">
        <f>IF(COUNTIF(crm_orders!$A:$A,B627)=0,"Orphan","OK")</f>
        <v>OK</v>
      </c>
    </row>
    <row r="628" ht="15.75" customHeight="1">
      <c r="A628" s="17" t="s">
        <v>1839</v>
      </c>
      <c r="B628" s="17" t="s">
        <v>513</v>
      </c>
      <c r="C628" s="18">
        <v>46042.0</v>
      </c>
      <c r="D628" s="17" t="s">
        <v>464</v>
      </c>
      <c r="E628" s="17" t="s">
        <v>154</v>
      </c>
      <c r="F628" s="21">
        <v>36.0</v>
      </c>
      <c r="G628" s="22">
        <v>423.72</v>
      </c>
      <c r="H628" s="17" t="s">
        <v>1214</v>
      </c>
      <c r="I628" s="22">
        <f>F628-IFERROR(VLOOKUP(B628,crm_orders!$A:$S,10,FALSE),0)</f>
        <v>0</v>
      </c>
      <c r="J628" s="22">
        <f>G628-IFERROR(VLOOKUP(B628,crm_orders!$A:$S,12,FALSE),0)</f>
        <v>0</v>
      </c>
      <c r="K628" s="17" t="str">
        <f>IF(COUNTIF(crm_orders!$A:$A,B628)=0,"Orphan","OK")</f>
        <v>OK</v>
      </c>
    </row>
    <row r="629" ht="15.75" customHeight="1">
      <c r="A629" s="25" t="s">
        <v>1840</v>
      </c>
      <c r="B629" s="25" t="s">
        <v>249</v>
      </c>
      <c r="C629" s="26">
        <v>46061.0</v>
      </c>
      <c r="D629" s="25" t="s">
        <v>198</v>
      </c>
      <c r="E629" s="25" t="s">
        <v>90</v>
      </c>
      <c r="F629" s="29">
        <v>78.0</v>
      </c>
      <c r="G629" s="30">
        <v>595.92</v>
      </c>
      <c r="H629" s="25" t="s">
        <v>93</v>
      </c>
      <c r="I629" s="30">
        <f>F629-IFERROR(VLOOKUP(B629,crm_orders!$A:$S,10,FALSE),0)</f>
        <v>-18</v>
      </c>
      <c r="J629" s="30">
        <f>G629-IFERROR(VLOOKUP(B629,crm_orders!$A:$S,12,FALSE),0)</f>
        <v>-137.52</v>
      </c>
      <c r="K629" s="25" t="str">
        <f>IF(COUNTIF(crm_orders!$A:$A,B629)=0,"Orphan","OK")</f>
        <v>OK</v>
      </c>
    </row>
    <row r="630" ht="15.75" customHeight="1">
      <c r="A630" s="17" t="s">
        <v>1841</v>
      </c>
      <c r="B630" s="17" t="s">
        <v>817</v>
      </c>
      <c r="C630" s="18">
        <v>46040.0</v>
      </c>
      <c r="D630" s="17" t="s">
        <v>723</v>
      </c>
      <c r="E630" s="17" t="s">
        <v>156</v>
      </c>
      <c r="F630" s="21">
        <v>0.0</v>
      </c>
      <c r="G630" s="22">
        <v>0.0</v>
      </c>
      <c r="H630" s="17" t="s">
        <v>93</v>
      </c>
      <c r="I630" s="22">
        <f>F630-IFERROR(VLOOKUP(B630,crm_orders!$A:$S,10,FALSE),0)</f>
        <v>-6</v>
      </c>
      <c r="J630" s="22">
        <f>G630-IFERROR(VLOOKUP(B630,crm_orders!$A:$S,12,FALSE),0)</f>
        <v>-63.96</v>
      </c>
      <c r="K630" s="17" t="str">
        <f>IF(COUNTIF(crm_orders!$A:$A,B630)=0,"Orphan","OK")</f>
        <v>OK</v>
      </c>
    </row>
    <row r="631" ht="15.75" customHeight="1">
      <c r="A631" s="25" t="s">
        <v>1842</v>
      </c>
      <c r="B631" s="25" t="s">
        <v>1113</v>
      </c>
      <c r="C631" s="26">
        <v>46116.0</v>
      </c>
      <c r="D631" s="25" t="s">
        <v>1081</v>
      </c>
      <c r="E631" s="25" t="s">
        <v>102</v>
      </c>
      <c r="F631" s="29">
        <v>96.0</v>
      </c>
      <c r="G631" s="30">
        <v>970.56</v>
      </c>
      <c r="H631" s="25" t="s">
        <v>1214</v>
      </c>
      <c r="I631" s="30">
        <f>F631-IFERROR(VLOOKUP(B631,crm_orders!$A:$S,10,FALSE),0)</f>
        <v>0</v>
      </c>
      <c r="J631" s="30">
        <f>G631-IFERROR(VLOOKUP(B631,crm_orders!$A:$S,12,FALSE),0)</f>
        <v>0</v>
      </c>
      <c r="K631" s="25" t="str">
        <f>IF(COUNTIF(crm_orders!$A:$A,B631)=0,"Orphan","OK")</f>
        <v>OK</v>
      </c>
    </row>
    <row r="632" ht="15.75" customHeight="1">
      <c r="A632" s="17" t="s">
        <v>1843</v>
      </c>
      <c r="B632" s="17" t="s">
        <v>1172</v>
      </c>
      <c r="C632" s="18">
        <v>46097.0</v>
      </c>
      <c r="D632" s="17" t="s">
        <v>1154</v>
      </c>
      <c r="E632" s="17" t="s">
        <v>90</v>
      </c>
      <c r="F632" s="21">
        <v>72.0</v>
      </c>
      <c r="G632" s="22">
        <v>514.08</v>
      </c>
      <c r="H632" s="17" t="s">
        <v>1214</v>
      </c>
      <c r="I632" s="22">
        <f>F632-IFERROR(VLOOKUP(B632,crm_orders!$A:$S,10,FALSE),0)</f>
        <v>0</v>
      </c>
      <c r="J632" s="22">
        <f>G632-IFERROR(VLOOKUP(B632,crm_orders!$A:$S,12,FALSE),0)</f>
        <v>0</v>
      </c>
      <c r="K632" s="17" t="str">
        <f>IF(COUNTIF(crm_orders!$A:$A,B632)=0,"Orphan","OK")</f>
        <v>OK</v>
      </c>
    </row>
    <row r="633" ht="15.75" customHeight="1">
      <c r="A633" s="25" t="s">
        <v>1844</v>
      </c>
      <c r="B633" s="25" t="s">
        <v>399</v>
      </c>
      <c r="C633" s="26">
        <v>46083.0</v>
      </c>
      <c r="D633" s="25" t="s">
        <v>303</v>
      </c>
      <c r="E633" s="25" t="s">
        <v>78</v>
      </c>
      <c r="F633" s="29">
        <v>60.0</v>
      </c>
      <c r="G633" s="30">
        <v>621.0</v>
      </c>
      <c r="H633" s="25" t="s">
        <v>1214</v>
      </c>
      <c r="I633" s="30">
        <f>F633-IFERROR(VLOOKUP(B633,crm_orders!$A:$S,10,FALSE),0)</f>
        <v>0</v>
      </c>
      <c r="J633" s="30">
        <f>G633-IFERROR(VLOOKUP(B633,crm_orders!$A:$S,12,FALSE),0)</f>
        <v>0</v>
      </c>
      <c r="K633" s="25" t="str">
        <f>IF(COUNTIF(crm_orders!$A:$A,B633)=0,"Orphan","OK")</f>
        <v>OK</v>
      </c>
    </row>
    <row r="634" ht="15.75" customHeight="1">
      <c r="A634" s="17" t="s">
        <v>1845</v>
      </c>
      <c r="B634" s="17" t="s">
        <v>136</v>
      </c>
      <c r="C634" s="18">
        <v>46123.0</v>
      </c>
      <c r="D634" s="17" t="s">
        <v>83</v>
      </c>
      <c r="E634" s="17" t="s">
        <v>81</v>
      </c>
      <c r="F634" s="21">
        <v>72.0</v>
      </c>
      <c r="G634" s="22">
        <v>529.2</v>
      </c>
      <c r="H634" s="17" t="s">
        <v>1214</v>
      </c>
      <c r="I634" s="22">
        <f>F634-IFERROR(VLOOKUP(B634,crm_orders!$A:$S,10,FALSE),0)</f>
        <v>0</v>
      </c>
      <c r="J634" s="22">
        <f>G634-IFERROR(VLOOKUP(B634,crm_orders!$A:$S,12,FALSE),0)</f>
        <v>0</v>
      </c>
      <c r="K634" s="17" t="str">
        <f>IF(COUNTIF(crm_orders!$A:$A,B634)=0,"Orphan","OK")</f>
        <v>OK</v>
      </c>
    </row>
    <row r="635" ht="15.75" customHeight="1">
      <c r="A635" s="25" t="s">
        <v>1846</v>
      </c>
      <c r="B635" s="25" t="s">
        <v>1173</v>
      </c>
      <c r="C635" s="26">
        <v>46110.0</v>
      </c>
      <c r="D635" s="25" t="s">
        <v>1136</v>
      </c>
      <c r="E635" s="25" t="s">
        <v>106</v>
      </c>
      <c r="F635" s="29">
        <v>120.0</v>
      </c>
      <c r="G635" s="30">
        <v>1251.6</v>
      </c>
      <c r="H635" s="25" t="s">
        <v>1214</v>
      </c>
      <c r="I635" s="30">
        <f>F635-IFERROR(VLOOKUP(B635,crm_orders!$A:$S,10,FALSE),0)</f>
        <v>0</v>
      </c>
      <c r="J635" s="30">
        <f>G635-IFERROR(VLOOKUP(B635,crm_orders!$A:$S,12,FALSE),0)</f>
        <v>0</v>
      </c>
      <c r="K635" s="25" t="str">
        <f>IF(COUNTIF(crm_orders!$A:$A,B635)=0,"Orphan","OK")</f>
        <v>OK</v>
      </c>
    </row>
    <row r="636" ht="15.75" customHeight="1">
      <c r="A636" s="17" t="s">
        <v>1847</v>
      </c>
      <c r="B636" s="17" t="s">
        <v>1040</v>
      </c>
      <c r="C636" s="18">
        <v>46127.0</v>
      </c>
      <c r="D636" s="17" t="s">
        <v>965</v>
      </c>
      <c r="E636" s="17" t="s">
        <v>68</v>
      </c>
      <c r="F636" s="21">
        <v>72.0</v>
      </c>
      <c r="G636" s="22">
        <v>684.72</v>
      </c>
      <c r="H636" s="17" t="s">
        <v>93</v>
      </c>
      <c r="I636" s="22">
        <f>F636-IFERROR(VLOOKUP(B636,crm_orders!$A:$S,10,FALSE),0)</f>
        <v>-24</v>
      </c>
      <c r="J636" s="22">
        <f>G636-IFERROR(VLOOKUP(B636,crm_orders!$A:$S,12,FALSE),0)</f>
        <v>-228.24</v>
      </c>
      <c r="K636" s="17" t="str">
        <f>IF(COUNTIF(crm_orders!$A:$A,B636)=0,"Orphan","OK")</f>
        <v>OK</v>
      </c>
    </row>
    <row r="637" ht="15.75" customHeight="1">
      <c r="A637" s="25" t="s">
        <v>1848</v>
      </c>
      <c r="B637" s="25" t="s">
        <v>400</v>
      </c>
      <c r="C637" s="26">
        <v>46041.0</v>
      </c>
      <c r="D637" s="25" t="s">
        <v>297</v>
      </c>
      <c r="E637" s="25" t="s">
        <v>68</v>
      </c>
      <c r="F637" s="29">
        <v>120.0</v>
      </c>
      <c r="G637" s="30">
        <v>1195.2</v>
      </c>
      <c r="H637" s="25" t="s">
        <v>1214</v>
      </c>
      <c r="I637" s="30">
        <f>F637-IFERROR(VLOOKUP(B637,crm_orders!$A:$S,10,FALSE),0)</f>
        <v>0</v>
      </c>
      <c r="J637" s="30">
        <f>G637-IFERROR(VLOOKUP(B637,crm_orders!$A:$S,12,FALSE),0)</f>
        <v>0</v>
      </c>
      <c r="K637" s="25" t="str">
        <f>IF(COUNTIF(crm_orders!$A:$A,B637)=0,"Orphan","OK")</f>
        <v>OK</v>
      </c>
    </row>
    <row r="638" ht="15.75" customHeight="1">
      <c r="A638" s="17" t="s">
        <v>1849</v>
      </c>
      <c r="B638" s="17" t="s">
        <v>138</v>
      </c>
      <c r="C638" s="18">
        <v>46076.0</v>
      </c>
      <c r="D638" s="17" t="s">
        <v>87</v>
      </c>
      <c r="E638" s="17" t="s">
        <v>78</v>
      </c>
      <c r="F638" s="21">
        <v>18.0</v>
      </c>
      <c r="G638" s="22">
        <v>174.96</v>
      </c>
      <c r="H638" s="17" t="s">
        <v>1214</v>
      </c>
      <c r="I638" s="22">
        <f>F638-IFERROR(VLOOKUP(B638,crm_orders!$A:$S,10,FALSE),0)</f>
        <v>0</v>
      </c>
      <c r="J638" s="22">
        <f>G638-IFERROR(VLOOKUP(B638,crm_orders!$A:$S,12,FALSE),0)</f>
        <v>0</v>
      </c>
      <c r="K638" s="17" t="str">
        <f>IF(COUNTIF(crm_orders!$A:$A,B638)=0,"Orphan","OK")</f>
        <v>OK</v>
      </c>
    </row>
    <row r="639" ht="15.75" customHeight="1">
      <c r="A639" s="25" t="s">
        <v>1850</v>
      </c>
      <c r="B639" s="25" t="s">
        <v>1041</v>
      </c>
      <c r="C639" s="26">
        <v>46119.0</v>
      </c>
      <c r="D639" s="25" t="s">
        <v>980</v>
      </c>
      <c r="E639" s="25" t="s">
        <v>156</v>
      </c>
      <c r="F639" s="29">
        <v>54.0</v>
      </c>
      <c r="G639" s="30">
        <v>549.72</v>
      </c>
      <c r="H639" s="25" t="s">
        <v>93</v>
      </c>
      <c r="I639" s="30">
        <f>F639-IFERROR(VLOOKUP(B639,crm_orders!$A:$S,10,FALSE),0)</f>
        <v>-6</v>
      </c>
      <c r="J639" s="30">
        <f>G639-IFERROR(VLOOKUP(B639,crm_orders!$A:$S,12,FALSE),0)</f>
        <v>-61.08</v>
      </c>
      <c r="K639" s="25" t="str">
        <f>IF(COUNTIF(crm_orders!$A:$A,B639)=0,"Orphan","OK")</f>
        <v>OK</v>
      </c>
    </row>
    <row r="640" ht="15.75" customHeight="1">
      <c r="A640" s="17" t="s">
        <v>1851</v>
      </c>
      <c r="B640" s="17" t="s">
        <v>139</v>
      </c>
      <c r="C640" s="18">
        <v>46121.0</v>
      </c>
      <c r="D640" s="17" t="s">
        <v>83</v>
      </c>
      <c r="E640" s="17" t="s">
        <v>78</v>
      </c>
      <c r="F640" s="21">
        <v>108.0</v>
      </c>
      <c r="G640" s="22">
        <v>1092.96</v>
      </c>
      <c r="H640" s="17" t="s">
        <v>93</v>
      </c>
      <c r="I640" s="22">
        <f>F640-IFERROR(VLOOKUP(B640,crm_orders!$A:$S,10,FALSE),0)</f>
        <v>-12</v>
      </c>
      <c r="J640" s="22">
        <f>G640-IFERROR(VLOOKUP(B640,crm_orders!$A:$S,12,FALSE),0)</f>
        <v>-121.44</v>
      </c>
      <c r="K640" s="17" t="str">
        <f>IF(COUNTIF(crm_orders!$A:$A,B640)=0,"Orphan","OK")</f>
        <v>OK</v>
      </c>
    </row>
    <row r="641" ht="15.75" customHeight="1">
      <c r="A641" s="25" t="s">
        <v>1852</v>
      </c>
      <c r="B641" s="25" t="s">
        <v>401</v>
      </c>
      <c r="C641" s="26">
        <v>46093.0</v>
      </c>
      <c r="D641" s="25" t="s">
        <v>303</v>
      </c>
      <c r="E641" s="25" t="s">
        <v>162</v>
      </c>
      <c r="F641" s="29">
        <v>120.0</v>
      </c>
      <c r="G641" s="30">
        <v>1330.68</v>
      </c>
      <c r="H641" s="25" t="s">
        <v>1212</v>
      </c>
      <c r="I641" s="30">
        <f>F641-IFERROR(VLOOKUP(B641,crm_orders!$A:$S,10,FALSE),0)</f>
        <v>0</v>
      </c>
      <c r="J641" s="30">
        <f>G641-IFERROR(VLOOKUP(B641,crm_orders!$A:$S,12,FALSE),0)</f>
        <v>15.48</v>
      </c>
      <c r="K641" s="25" t="str">
        <f>IF(COUNTIF(crm_orders!$A:$A,B641)=0,"Orphan","OK")</f>
        <v>OK</v>
      </c>
    </row>
    <row r="642" ht="15.75" customHeight="1">
      <c r="A642" s="17" t="s">
        <v>1853</v>
      </c>
      <c r="B642" s="17" t="s">
        <v>650</v>
      </c>
      <c r="C642" s="18">
        <v>46082.0</v>
      </c>
      <c r="D642" s="17" t="s">
        <v>570</v>
      </c>
      <c r="E642" s="17" t="s">
        <v>64</v>
      </c>
      <c r="F642" s="21">
        <v>24.0</v>
      </c>
      <c r="G642" s="22">
        <v>190.56</v>
      </c>
      <c r="H642" s="17" t="s">
        <v>1214</v>
      </c>
      <c r="I642" s="22">
        <f>F642-IFERROR(VLOOKUP(B642,crm_orders!$A:$S,10,FALSE),0)</f>
        <v>0</v>
      </c>
      <c r="J642" s="22">
        <f>G642-IFERROR(VLOOKUP(B642,crm_orders!$A:$S,12,FALSE),0)</f>
        <v>0</v>
      </c>
      <c r="K642" s="17" t="str">
        <f>IF(COUNTIF(crm_orders!$A:$A,B642)=0,"Orphan","OK")</f>
        <v>OK</v>
      </c>
    </row>
    <row r="643" ht="15.75" customHeight="1">
      <c r="A643" s="25" t="s">
        <v>1854</v>
      </c>
      <c r="B643" s="25" t="s">
        <v>819</v>
      </c>
      <c r="C643" s="26">
        <v>46136.0</v>
      </c>
      <c r="D643" s="25" t="s">
        <v>710</v>
      </c>
      <c r="E643" s="25" t="s">
        <v>64</v>
      </c>
      <c r="F643" s="29">
        <v>72.0</v>
      </c>
      <c r="G643" s="30">
        <v>555.12</v>
      </c>
      <c r="H643" s="25" t="s">
        <v>1214</v>
      </c>
      <c r="I643" s="30">
        <f>F643-IFERROR(VLOOKUP(B643,crm_orders!$A:$S,10,FALSE),0)</f>
        <v>0</v>
      </c>
      <c r="J643" s="30">
        <f>G643-IFERROR(VLOOKUP(B643,crm_orders!$A:$S,12,FALSE),0)</f>
        <v>0</v>
      </c>
      <c r="K643" s="25" t="str">
        <f>IF(COUNTIF(crm_orders!$A:$A,B643)=0,"Orphan","OK")</f>
        <v>OK</v>
      </c>
    </row>
    <row r="644" ht="15.75" customHeight="1">
      <c r="A644" s="17" t="s">
        <v>1855</v>
      </c>
      <c r="B644" s="17" t="s">
        <v>1174</v>
      </c>
      <c r="C644" s="18">
        <v>46066.0</v>
      </c>
      <c r="D644" s="17" t="s">
        <v>1154</v>
      </c>
      <c r="E644" s="17" t="s">
        <v>81</v>
      </c>
      <c r="F644" s="21">
        <v>6.0</v>
      </c>
      <c r="G644" s="22">
        <v>42.78</v>
      </c>
      <c r="H644" s="17" t="s">
        <v>93</v>
      </c>
      <c r="I644" s="22">
        <f>F644-IFERROR(VLOOKUP(B644,crm_orders!$A:$S,10,FALSE),0)</f>
        <v>-18</v>
      </c>
      <c r="J644" s="22">
        <f>G644-IFERROR(VLOOKUP(B644,crm_orders!$A:$S,12,FALSE),0)</f>
        <v>-128.34</v>
      </c>
      <c r="K644" s="17" t="str">
        <f>IF(COUNTIF(crm_orders!$A:$A,B644)=0,"Orphan","OK")</f>
        <v>OK</v>
      </c>
    </row>
    <row r="645" ht="15.75" customHeight="1">
      <c r="A645" s="25" t="s">
        <v>1856</v>
      </c>
      <c r="B645" s="25" t="s">
        <v>651</v>
      </c>
      <c r="C645" s="26">
        <v>46145.0</v>
      </c>
      <c r="D645" s="25" t="s">
        <v>553</v>
      </c>
      <c r="E645" s="25" t="s">
        <v>190</v>
      </c>
      <c r="F645" s="29">
        <v>18.0</v>
      </c>
      <c r="G645" s="30">
        <v>137.16</v>
      </c>
      <c r="H645" s="25" t="s">
        <v>1214</v>
      </c>
      <c r="I645" s="30">
        <f>F645-IFERROR(VLOOKUP(B645,crm_orders!$A:$S,10,FALSE),0)</f>
        <v>0</v>
      </c>
      <c r="J645" s="30">
        <f>G645-IFERROR(VLOOKUP(B645,crm_orders!$A:$S,12,FALSE),0)</f>
        <v>0</v>
      </c>
      <c r="K645" s="25" t="str">
        <f>IF(COUNTIF(crm_orders!$A:$A,B645)=0,"Orphan","OK")</f>
        <v>OK</v>
      </c>
    </row>
    <row r="646" ht="15.75" customHeight="1">
      <c r="A646" s="17" t="s">
        <v>1857</v>
      </c>
      <c r="B646" s="17" t="s">
        <v>652</v>
      </c>
      <c r="C646" s="18">
        <v>46138.0</v>
      </c>
      <c r="D646" s="17" t="s">
        <v>588</v>
      </c>
      <c r="E646" s="17" t="s">
        <v>71</v>
      </c>
      <c r="F646" s="21">
        <v>48.0</v>
      </c>
      <c r="G646" s="22">
        <v>404.16</v>
      </c>
      <c r="H646" s="17" t="s">
        <v>1214</v>
      </c>
      <c r="I646" s="22">
        <f>F646-IFERROR(VLOOKUP(B646,crm_orders!$A:$S,10,FALSE),0)</f>
        <v>0</v>
      </c>
      <c r="J646" s="22">
        <f>G646-IFERROR(VLOOKUP(B646,crm_orders!$A:$S,12,FALSE),0)</f>
        <v>0</v>
      </c>
      <c r="K646" s="17" t="str">
        <f>IF(COUNTIF(crm_orders!$A:$A,B646)=0,"Orphan","OK")</f>
        <v>OK</v>
      </c>
    </row>
    <row r="647" ht="15.75" customHeight="1">
      <c r="A647" s="25" t="s">
        <v>1858</v>
      </c>
      <c r="B647" s="25" t="s">
        <v>820</v>
      </c>
      <c r="C647" s="26">
        <v>46066.0</v>
      </c>
      <c r="D647" s="25" t="s">
        <v>706</v>
      </c>
      <c r="E647" s="25" t="s">
        <v>154</v>
      </c>
      <c r="F647" s="29">
        <v>120.0</v>
      </c>
      <c r="G647" s="30">
        <v>1316.4</v>
      </c>
      <c r="H647" s="25" t="s">
        <v>1214</v>
      </c>
      <c r="I647" s="30">
        <f>F647-IFERROR(VLOOKUP(B647,crm_orders!$A:$S,10,FALSE),0)</f>
        <v>0</v>
      </c>
      <c r="J647" s="30">
        <f>G647-IFERROR(VLOOKUP(B647,crm_orders!$A:$S,12,FALSE),0)</f>
        <v>0</v>
      </c>
      <c r="K647" s="25" t="str">
        <f>IF(COUNTIF(crm_orders!$A:$A,B647)=0,"Orphan","OK")</f>
        <v>OK</v>
      </c>
    </row>
    <row r="648" ht="15.75" customHeight="1">
      <c r="A648" s="17" t="s">
        <v>1859</v>
      </c>
      <c r="B648" s="17" t="s">
        <v>140</v>
      </c>
      <c r="C648" s="18">
        <v>46094.0</v>
      </c>
      <c r="D648" s="17" t="s">
        <v>87</v>
      </c>
      <c r="E648" s="17" t="s">
        <v>74</v>
      </c>
      <c r="F648" s="21">
        <v>72.0</v>
      </c>
      <c r="G648" s="22">
        <v>909.36</v>
      </c>
      <c r="H648" s="17" t="s">
        <v>1214</v>
      </c>
      <c r="I648" s="22">
        <f>F648-IFERROR(VLOOKUP(B648,crm_orders!$A:$S,10,FALSE),0)</f>
        <v>0</v>
      </c>
      <c r="J648" s="22">
        <f>G648-IFERROR(VLOOKUP(B648,crm_orders!$A:$S,12,FALSE),0)</f>
        <v>0</v>
      </c>
      <c r="K648" s="17" t="str">
        <f>IF(COUNTIF(crm_orders!$A:$A,B648)=0,"Orphan","OK")</f>
        <v>OK</v>
      </c>
    </row>
    <row r="649" ht="15.75" customHeight="1">
      <c r="A649" s="25" t="s">
        <v>1860</v>
      </c>
      <c r="B649" s="25" t="s">
        <v>402</v>
      </c>
      <c r="C649" s="26">
        <v>46110.0</v>
      </c>
      <c r="D649" s="25" t="s">
        <v>339</v>
      </c>
      <c r="E649" s="25" t="s">
        <v>115</v>
      </c>
      <c r="F649" s="29">
        <v>72.0</v>
      </c>
      <c r="G649" s="30">
        <v>757.44</v>
      </c>
      <c r="H649" s="25" t="s">
        <v>1214</v>
      </c>
      <c r="I649" s="30">
        <f>F649-IFERROR(VLOOKUP(B649,crm_orders!$A:$S,10,FALSE),0)</f>
        <v>0</v>
      </c>
      <c r="J649" s="30">
        <f>G649-IFERROR(VLOOKUP(B649,crm_orders!$A:$S,12,FALSE),0)</f>
        <v>0</v>
      </c>
      <c r="K649" s="25" t="str">
        <f>IF(COUNTIF(crm_orders!$A:$A,B649)=0,"Orphan","OK")</f>
        <v>OK</v>
      </c>
    </row>
    <row r="650" ht="15.75" customHeight="1">
      <c r="A650" s="17" t="s">
        <v>1861</v>
      </c>
      <c r="B650" s="17" t="s">
        <v>403</v>
      </c>
      <c r="C650" s="18">
        <v>46075.0</v>
      </c>
      <c r="D650" s="17" t="s">
        <v>314</v>
      </c>
      <c r="E650" s="17" t="s">
        <v>110</v>
      </c>
      <c r="F650" s="21">
        <v>96.0</v>
      </c>
      <c r="G650" s="22">
        <v>1013.76</v>
      </c>
      <c r="H650" s="17" t="s">
        <v>1214</v>
      </c>
      <c r="I650" s="22">
        <f>F650-IFERROR(VLOOKUP(B650,crm_orders!$A:$S,10,FALSE),0)</f>
        <v>0</v>
      </c>
      <c r="J650" s="22">
        <f>G650-IFERROR(VLOOKUP(B650,crm_orders!$A:$S,12,FALSE),0)</f>
        <v>0</v>
      </c>
      <c r="K650" s="17" t="str">
        <f>IF(COUNTIF(crm_orders!$A:$A,B650)=0,"Orphan","OK")</f>
        <v>OK</v>
      </c>
    </row>
    <row r="651" ht="15.75" customHeight="1">
      <c r="A651" s="25" t="s">
        <v>1862</v>
      </c>
      <c r="B651" s="25" t="s">
        <v>928</v>
      </c>
      <c r="C651" s="26">
        <v>46065.0</v>
      </c>
      <c r="D651" s="25" t="s">
        <v>859</v>
      </c>
      <c r="E651" s="25" t="s">
        <v>85</v>
      </c>
      <c r="F651" s="29">
        <v>0.0</v>
      </c>
      <c r="G651" s="30">
        <v>0.0</v>
      </c>
      <c r="H651" s="25" t="s">
        <v>93</v>
      </c>
      <c r="I651" s="30">
        <f>F651-IFERROR(VLOOKUP(B651,crm_orders!$A:$S,10,FALSE),0)</f>
        <v>-12</v>
      </c>
      <c r="J651" s="30">
        <f>G651-IFERROR(VLOOKUP(B651,crm_orders!$A:$S,12,FALSE),0)</f>
        <v>-124.8</v>
      </c>
      <c r="K651" s="25" t="str">
        <f>IF(COUNTIF(crm_orders!$A:$A,B651)=0,"Orphan","OK")</f>
        <v>OK</v>
      </c>
    </row>
    <row r="652" ht="15.75" customHeight="1">
      <c r="A652" s="17" t="s">
        <v>1863</v>
      </c>
      <c r="B652" s="17" t="s">
        <v>653</v>
      </c>
      <c r="C652" s="18">
        <v>46143.0</v>
      </c>
      <c r="D652" s="17" t="s">
        <v>582</v>
      </c>
      <c r="E652" s="17" t="s">
        <v>90</v>
      </c>
      <c r="F652" s="21">
        <v>12.0</v>
      </c>
      <c r="G652" s="22">
        <v>85.32</v>
      </c>
      <c r="H652" s="17" t="s">
        <v>1214</v>
      </c>
      <c r="I652" s="22">
        <f>F652-IFERROR(VLOOKUP(B652,crm_orders!$A:$S,10,FALSE),0)</f>
        <v>0</v>
      </c>
      <c r="J652" s="22">
        <f>G652-IFERROR(VLOOKUP(B652,crm_orders!$A:$S,12,FALSE),0)</f>
        <v>0</v>
      </c>
      <c r="K652" s="17" t="str">
        <f>IF(COUNTIF(crm_orders!$A:$A,B652)=0,"Orphan","OK")</f>
        <v>OK</v>
      </c>
    </row>
    <row r="653" ht="15.75" customHeight="1">
      <c r="A653" s="25" t="s">
        <v>1864</v>
      </c>
      <c r="B653" s="25" t="s">
        <v>654</v>
      </c>
      <c r="C653" s="26">
        <v>46150.0</v>
      </c>
      <c r="D653" s="25" t="s">
        <v>588</v>
      </c>
      <c r="E653" s="25" t="s">
        <v>123</v>
      </c>
      <c r="F653" s="29">
        <v>48.0</v>
      </c>
      <c r="G653" s="30">
        <v>486.72</v>
      </c>
      <c r="H653" s="25" t="s">
        <v>1214</v>
      </c>
      <c r="I653" s="30">
        <f>F653-IFERROR(VLOOKUP(B653,crm_orders!$A:$S,10,FALSE),0)</f>
        <v>0</v>
      </c>
      <c r="J653" s="30">
        <f>G653-IFERROR(VLOOKUP(B653,crm_orders!$A:$S,12,FALSE),0)</f>
        <v>0</v>
      </c>
      <c r="K653" s="25" t="str">
        <f>IF(COUNTIF(crm_orders!$A:$A,B653)=0,"Orphan","OK")</f>
        <v>OK</v>
      </c>
    </row>
    <row r="654" ht="15.75" customHeight="1">
      <c r="A654" s="17" t="s">
        <v>1865</v>
      </c>
      <c r="B654" s="17" t="s">
        <v>1175</v>
      </c>
      <c r="C654" s="18">
        <v>46087.0</v>
      </c>
      <c r="D654" s="17" t="s">
        <v>1136</v>
      </c>
      <c r="E654" s="17" t="s">
        <v>95</v>
      </c>
      <c r="F654" s="21">
        <v>72.0</v>
      </c>
      <c r="G654" s="22">
        <v>737.28</v>
      </c>
      <c r="H654" s="17" t="s">
        <v>1214</v>
      </c>
      <c r="I654" s="22">
        <f>F654-IFERROR(VLOOKUP(B654,crm_orders!$A:$S,10,FALSE),0)</f>
        <v>0</v>
      </c>
      <c r="J654" s="22">
        <f>G654-IFERROR(VLOOKUP(B654,crm_orders!$A:$S,12,FALSE),0)</f>
        <v>0</v>
      </c>
      <c r="K654" s="17" t="str">
        <f>IF(COUNTIF(crm_orders!$A:$A,B654)=0,"Orphan","OK")</f>
        <v>OK</v>
      </c>
    </row>
    <row r="655" ht="15.75" customHeight="1">
      <c r="A655" s="25" t="s">
        <v>1866</v>
      </c>
      <c r="B655" s="25" t="s">
        <v>1042</v>
      </c>
      <c r="C655" s="26">
        <v>46074.0</v>
      </c>
      <c r="D655" s="25" t="s">
        <v>999</v>
      </c>
      <c r="E655" s="25" t="s">
        <v>85</v>
      </c>
      <c r="F655" s="29">
        <v>60.0</v>
      </c>
      <c r="G655" s="30">
        <v>641.4</v>
      </c>
      <c r="H655" s="25" t="s">
        <v>1214</v>
      </c>
      <c r="I655" s="30">
        <f>F655-IFERROR(VLOOKUP(B655,crm_orders!$A:$S,10,FALSE),0)</f>
        <v>0</v>
      </c>
      <c r="J655" s="30">
        <f>G655-IFERROR(VLOOKUP(B655,crm_orders!$A:$S,12,FALSE),0)</f>
        <v>0</v>
      </c>
      <c r="K655" s="25" t="str">
        <f>IF(COUNTIF(crm_orders!$A:$A,B655)=0,"Orphan","OK")</f>
        <v>OK</v>
      </c>
    </row>
    <row r="656" ht="15.75" customHeight="1">
      <c r="A656" s="17" t="s">
        <v>1867</v>
      </c>
      <c r="B656" s="17" t="s">
        <v>250</v>
      </c>
      <c r="C656" s="18">
        <v>46115.0</v>
      </c>
      <c r="D656" s="17" t="s">
        <v>177</v>
      </c>
      <c r="E656" s="17" t="s">
        <v>95</v>
      </c>
      <c r="F656" s="21">
        <v>96.0</v>
      </c>
      <c r="G656" s="22">
        <v>955.2</v>
      </c>
      <c r="H656" s="17" t="s">
        <v>93</v>
      </c>
      <c r="I656" s="22">
        <f>F656-IFERROR(VLOOKUP(B656,crm_orders!$A:$S,10,FALSE),0)</f>
        <v>-24</v>
      </c>
      <c r="J656" s="22">
        <f>G656-IFERROR(VLOOKUP(B656,crm_orders!$A:$S,12,FALSE),0)</f>
        <v>-238.8</v>
      </c>
      <c r="K656" s="17" t="str">
        <f>IF(COUNTIF(crm_orders!$A:$A,B656)=0,"Orphan","OK")</f>
        <v>OK</v>
      </c>
    </row>
    <row r="657" ht="15.75" customHeight="1">
      <c r="A657" s="25" t="s">
        <v>1868</v>
      </c>
      <c r="B657" s="25" t="s">
        <v>404</v>
      </c>
      <c r="C657" s="26">
        <v>46138.0</v>
      </c>
      <c r="D657" s="25" t="s">
        <v>320</v>
      </c>
      <c r="E657" s="25" t="s">
        <v>123</v>
      </c>
      <c r="F657" s="29">
        <v>60.0</v>
      </c>
      <c r="G657" s="30">
        <v>630.6</v>
      </c>
      <c r="H657" s="25" t="s">
        <v>1214</v>
      </c>
      <c r="I657" s="30">
        <f>F657-IFERROR(VLOOKUP(B657,crm_orders!$A:$S,10,FALSE),0)</f>
        <v>0</v>
      </c>
      <c r="J657" s="30">
        <f>G657-IFERROR(VLOOKUP(B657,crm_orders!$A:$S,12,FALSE),0)</f>
        <v>0</v>
      </c>
      <c r="K657" s="25" t="str">
        <f>IF(COUNTIF(crm_orders!$A:$A,B657)=0,"Orphan","OK")</f>
        <v>OK</v>
      </c>
    </row>
    <row r="658" ht="15.75" customHeight="1">
      <c r="A658" s="17" t="s">
        <v>1869</v>
      </c>
      <c r="B658" s="17" t="s">
        <v>251</v>
      </c>
      <c r="C658" s="18">
        <v>46075.0</v>
      </c>
      <c r="D658" s="17" t="s">
        <v>226</v>
      </c>
      <c r="E658" s="17" t="s">
        <v>123</v>
      </c>
      <c r="F658" s="21">
        <v>24.0</v>
      </c>
      <c r="G658" s="22">
        <v>276.48</v>
      </c>
      <c r="H658" s="17" t="s">
        <v>1214</v>
      </c>
      <c r="I658" s="22">
        <f>F658-IFERROR(VLOOKUP(B658,crm_orders!$A:$S,10,FALSE),0)</f>
        <v>0</v>
      </c>
      <c r="J658" s="22">
        <f>G658-IFERROR(VLOOKUP(B658,crm_orders!$A:$S,12,FALSE),0)</f>
        <v>0</v>
      </c>
      <c r="K658" s="17" t="str">
        <f>IF(COUNTIF(crm_orders!$A:$A,B658)=0,"Orphan","OK")</f>
        <v>OK</v>
      </c>
    </row>
    <row r="659" ht="15.75" customHeight="1">
      <c r="A659" s="25" t="s">
        <v>1870</v>
      </c>
      <c r="B659" s="25" t="s">
        <v>405</v>
      </c>
      <c r="C659" s="26">
        <v>46064.0</v>
      </c>
      <c r="D659" s="25" t="s">
        <v>297</v>
      </c>
      <c r="E659" s="25" t="s">
        <v>95</v>
      </c>
      <c r="F659" s="29">
        <v>12.0</v>
      </c>
      <c r="G659" s="30">
        <v>134.68</v>
      </c>
      <c r="H659" s="25" t="s">
        <v>1212</v>
      </c>
      <c r="I659" s="30">
        <f>F659-IFERROR(VLOOKUP(B659,crm_orders!$A:$S,10,FALSE),0)</f>
        <v>0</v>
      </c>
      <c r="J659" s="30">
        <f>G659-IFERROR(VLOOKUP(B659,crm_orders!$A:$S,12,FALSE),0)</f>
        <v>0.52</v>
      </c>
      <c r="K659" s="25" t="str">
        <f>IF(COUNTIF(crm_orders!$A:$A,B659)=0,"Orphan","OK")</f>
        <v>OK</v>
      </c>
    </row>
    <row r="660" ht="15.75" customHeight="1">
      <c r="A660" s="17" t="s">
        <v>1871</v>
      </c>
      <c r="B660" s="17" t="s">
        <v>252</v>
      </c>
      <c r="C660" s="18">
        <v>46133.0</v>
      </c>
      <c r="D660" s="17" t="s">
        <v>170</v>
      </c>
      <c r="E660" s="17" t="s">
        <v>78</v>
      </c>
      <c r="F660" s="21">
        <v>6.0</v>
      </c>
      <c r="G660" s="22">
        <v>67.08</v>
      </c>
      <c r="H660" s="17" t="s">
        <v>93</v>
      </c>
      <c r="I660" s="22">
        <f>F660-IFERROR(VLOOKUP(B660,crm_orders!$A:$S,10,FALSE),0)</f>
        <v>-12</v>
      </c>
      <c r="J660" s="22">
        <f>G660-IFERROR(VLOOKUP(B660,crm_orders!$A:$S,12,FALSE),0)</f>
        <v>-134.16</v>
      </c>
      <c r="K660" s="17" t="str">
        <f>IF(COUNTIF(crm_orders!$A:$A,B660)=0,"Orphan","OK")</f>
        <v>OK</v>
      </c>
    </row>
    <row r="661" ht="15.75" customHeight="1">
      <c r="A661" s="25" t="s">
        <v>1872</v>
      </c>
      <c r="B661" s="25" t="s">
        <v>929</v>
      </c>
      <c r="C661" s="26">
        <v>46115.0</v>
      </c>
      <c r="D661" s="25" t="s">
        <v>853</v>
      </c>
      <c r="E661" s="25" t="s">
        <v>74</v>
      </c>
      <c r="F661" s="29">
        <v>6.0</v>
      </c>
      <c r="G661" s="30">
        <v>72.6</v>
      </c>
      <c r="H661" s="25" t="s">
        <v>1214</v>
      </c>
      <c r="I661" s="30">
        <f>F661-IFERROR(VLOOKUP(B661,crm_orders!$A:$S,10,FALSE),0)</f>
        <v>0</v>
      </c>
      <c r="J661" s="30">
        <f>G661-IFERROR(VLOOKUP(B661,crm_orders!$A:$S,12,FALSE),0)</f>
        <v>0</v>
      </c>
      <c r="K661" s="25" t="str">
        <f>IF(COUNTIF(crm_orders!$A:$A,B661)=0,"Orphan","OK")</f>
        <v>OK</v>
      </c>
    </row>
    <row r="662" ht="15.75" customHeight="1">
      <c r="A662" s="17" t="s">
        <v>1873</v>
      </c>
      <c r="B662" s="17" t="s">
        <v>930</v>
      </c>
      <c r="C662" s="18">
        <v>46104.0</v>
      </c>
      <c r="D662" s="17" t="s">
        <v>882</v>
      </c>
      <c r="E662" s="17" t="s">
        <v>162</v>
      </c>
      <c r="F662" s="21">
        <v>30.0</v>
      </c>
      <c r="G662" s="22">
        <v>296.1</v>
      </c>
      <c r="H662" s="17" t="s">
        <v>1214</v>
      </c>
      <c r="I662" s="22">
        <f>F662-IFERROR(VLOOKUP(B662,crm_orders!$A:$S,10,FALSE),0)</f>
        <v>0</v>
      </c>
      <c r="J662" s="22">
        <f>G662-IFERROR(VLOOKUP(B662,crm_orders!$A:$S,12,FALSE),0)</f>
        <v>0</v>
      </c>
      <c r="K662" s="17" t="str">
        <f>IF(COUNTIF(crm_orders!$A:$A,B662)=0,"Orphan","OK")</f>
        <v>OK</v>
      </c>
    </row>
    <row r="663" ht="15.75" customHeight="1">
      <c r="A663" s="25" t="s">
        <v>1874</v>
      </c>
      <c r="B663" s="25" t="s">
        <v>253</v>
      </c>
      <c r="C663" s="26">
        <v>46141.0</v>
      </c>
      <c r="D663" s="25" t="s">
        <v>184</v>
      </c>
      <c r="E663" s="25" t="s">
        <v>85</v>
      </c>
      <c r="F663" s="29">
        <v>96.0</v>
      </c>
      <c r="G663" s="30">
        <v>1020.48</v>
      </c>
      <c r="H663" s="25" t="s">
        <v>1214</v>
      </c>
      <c r="I663" s="30">
        <f>F663-IFERROR(VLOOKUP(B663,crm_orders!$A:$S,10,FALSE),0)</f>
        <v>0</v>
      </c>
      <c r="J663" s="30">
        <f>G663-IFERROR(VLOOKUP(B663,crm_orders!$A:$S,12,FALSE),0)</f>
        <v>0</v>
      </c>
      <c r="K663" s="25" t="str">
        <f>IF(COUNTIF(crm_orders!$A:$A,B663)=0,"Orphan","OK")</f>
        <v>OK</v>
      </c>
    </row>
    <row r="664" ht="15.75" customHeight="1">
      <c r="A664" s="17" t="s">
        <v>1875</v>
      </c>
      <c r="B664" s="17" t="s">
        <v>1176</v>
      </c>
      <c r="C664" s="18">
        <v>46138.0</v>
      </c>
      <c r="D664" s="17" t="s">
        <v>1129</v>
      </c>
      <c r="E664" s="17" t="s">
        <v>64</v>
      </c>
      <c r="F664" s="21">
        <v>36.0</v>
      </c>
      <c r="G664" s="22">
        <v>295.56</v>
      </c>
      <c r="H664" s="17" t="s">
        <v>1214</v>
      </c>
      <c r="I664" s="22">
        <f>F664-IFERROR(VLOOKUP(B664,crm_orders!$A:$S,10,FALSE),0)</f>
        <v>0</v>
      </c>
      <c r="J664" s="22">
        <f>G664-IFERROR(VLOOKUP(B664,crm_orders!$A:$S,12,FALSE),0)</f>
        <v>0</v>
      </c>
      <c r="K664" s="17" t="str">
        <f>IF(COUNTIF(crm_orders!$A:$A,B664)=0,"Orphan","OK")</f>
        <v>OK</v>
      </c>
    </row>
    <row r="665" ht="15.75" customHeight="1">
      <c r="A665" s="25" t="s">
        <v>1876</v>
      </c>
      <c r="B665" s="25" t="s">
        <v>514</v>
      </c>
      <c r="C665" s="26">
        <v>46057.0</v>
      </c>
      <c r="D665" s="25" t="s">
        <v>448</v>
      </c>
      <c r="E665" s="25" t="s">
        <v>64</v>
      </c>
      <c r="F665" s="29">
        <v>6.0</v>
      </c>
      <c r="G665" s="30">
        <v>50.64</v>
      </c>
      <c r="H665" s="25" t="s">
        <v>1214</v>
      </c>
      <c r="I665" s="30">
        <f>F665-IFERROR(VLOOKUP(B665,crm_orders!$A:$S,10,FALSE),0)</f>
        <v>0</v>
      </c>
      <c r="J665" s="30">
        <f>G665-IFERROR(VLOOKUP(B665,crm_orders!$A:$S,12,FALSE),0)</f>
        <v>0</v>
      </c>
      <c r="K665" s="25" t="str">
        <f>IF(COUNTIF(crm_orders!$A:$A,B665)=0,"Orphan","OK")</f>
        <v>OK</v>
      </c>
    </row>
    <row r="666" ht="15.75" customHeight="1">
      <c r="A666" s="17" t="s">
        <v>1877</v>
      </c>
      <c r="B666" s="17" t="s">
        <v>655</v>
      </c>
      <c r="C666" s="18">
        <v>46116.0</v>
      </c>
      <c r="D666" s="17" t="s">
        <v>593</v>
      </c>
      <c r="E666" s="17" t="s">
        <v>115</v>
      </c>
      <c r="F666" s="21">
        <v>18.0</v>
      </c>
      <c r="G666" s="22">
        <v>184.32</v>
      </c>
      <c r="H666" s="17" t="s">
        <v>1214</v>
      </c>
      <c r="I666" s="22">
        <f>F666-IFERROR(VLOOKUP(B666,crm_orders!$A:$S,10,FALSE),0)</f>
        <v>0</v>
      </c>
      <c r="J666" s="22">
        <f>G666-IFERROR(VLOOKUP(B666,crm_orders!$A:$S,12,FALSE),0)</f>
        <v>0</v>
      </c>
      <c r="K666" s="17" t="str">
        <f>IF(COUNTIF(crm_orders!$A:$A,B666)=0,"Orphan","OK")</f>
        <v>OK</v>
      </c>
    </row>
    <row r="667" ht="15.75" customHeight="1">
      <c r="A667" s="25" t="s">
        <v>1878</v>
      </c>
      <c r="B667" s="25" t="s">
        <v>1043</v>
      </c>
      <c r="C667" s="26">
        <v>46038.0</v>
      </c>
      <c r="D667" s="25" t="s">
        <v>953</v>
      </c>
      <c r="E667" s="25" t="s">
        <v>78</v>
      </c>
      <c r="F667" s="29">
        <v>72.0</v>
      </c>
      <c r="G667" s="30">
        <v>763.92</v>
      </c>
      <c r="H667" s="25" t="s">
        <v>1214</v>
      </c>
      <c r="I667" s="30">
        <f>F667-IFERROR(VLOOKUP(B667,crm_orders!$A:$S,10,FALSE),0)</f>
        <v>0</v>
      </c>
      <c r="J667" s="30">
        <f>G667-IFERROR(VLOOKUP(B667,crm_orders!$A:$S,12,FALSE),0)</f>
        <v>0</v>
      </c>
      <c r="K667" s="25" t="str">
        <f>IF(COUNTIF(crm_orders!$A:$A,B667)=0,"Orphan","OK")</f>
        <v>OK</v>
      </c>
    </row>
    <row r="668" ht="15.75" customHeight="1">
      <c r="A668" s="17" t="s">
        <v>1879</v>
      </c>
      <c r="B668" s="17" t="s">
        <v>656</v>
      </c>
      <c r="C668" s="18">
        <v>46061.0</v>
      </c>
      <c r="D668" s="17" t="s">
        <v>542</v>
      </c>
      <c r="E668" s="17" t="s">
        <v>115</v>
      </c>
      <c r="F668" s="21">
        <v>60.0</v>
      </c>
      <c r="G668" s="22">
        <v>658.8</v>
      </c>
      <c r="H668" s="17" t="s">
        <v>1214</v>
      </c>
      <c r="I668" s="22">
        <f>F668-IFERROR(VLOOKUP(B668,crm_orders!$A:$S,10,FALSE),0)</f>
        <v>0</v>
      </c>
      <c r="J668" s="22">
        <f>G668-IFERROR(VLOOKUP(B668,crm_orders!$A:$S,12,FALSE),0)</f>
        <v>0</v>
      </c>
      <c r="K668" s="17" t="str">
        <f>IF(COUNTIF(crm_orders!$A:$A,B668)=0,"Orphan","OK")</f>
        <v>OK</v>
      </c>
    </row>
    <row r="669" ht="15.75" customHeight="1">
      <c r="A669" s="25" t="s">
        <v>1880</v>
      </c>
      <c r="B669" s="25" t="s">
        <v>1177</v>
      </c>
      <c r="C669" s="26">
        <v>46082.0</v>
      </c>
      <c r="D669" s="25" t="s">
        <v>1126</v>
      </c>
      <c r="E669" s="25" t="s">
        <v>162</v>
      </c>
      <c r="F669" s="29">
        <v>6.0</v>
      </c>
      <c r="G669" s="30">
        <v>60.36</v>
      </c>
      <c r="H669" s="25" t="s">
        <v>93</v>
      </c>
      <c r="I669" s="30">
        <f>F669-IFERROR(VLOOKUP(B669,crm_orders!$A:$S,10,FALSE),0)</f>
        <v>-12</v>
      </c>
      <c r="J669" s="30">
        <f>G669-IFERROR(VLOOKUP(B669,crm_orders!$A:$S,12,FALSE),0)</f>
        <v>-120.72</v>
      </c>
      <c r="K669" s="25" t="str">
        <f>IF(COUNTIF(crm_orders!$A:$A,B669)=0,"Orphan","OK")</f>
        <v>OK</v>
      </c>
    </row>
    <row r="670" ht="15.75" customHeight="1">
      <c r="A670" s="17" t="s">
        <v>1881</v>
      </c>
      <c r="B670" s="17" t="s">
        <v>657</v>
      </c>
      <c r="C670" s="18">
        <v>46106.0</v>
      </c>
      <c r="D670" s="17" t="s">
        <v>573</v>
      </c>
      <c r="E670" s="17" t="s">
        <v>68</v>
      </c>
      <c r="F670" s="21">
        <v>120.0</v>
      </c>
      <c r="G670" s="22">
        <v>1297.2</v>
      </c>
      <c r="H670" s="17" t="s">
        <v>1214</v>
      </c>
      <c r="I670" s="22">
        <f>F670-IFERROR(VLOOKUP(B670,crm_orders!$A:$S,10,FALSE),0)</f>
        <v>0</v>
      </c>
      <c r="J670" s="22">
        <f>G670-IFERROR(VLOOKUP(B670,crm_orders!$A:$S,12,FALSE),0)</f>
        <v>0</v>
      </c>
      <c r="K670" s="17" t="str">
        <f>IF(COUNTIF(crm_orders!$A:$A,B670)=0,"Orphan","OK")</f>
        <v>OK</v>
      </c>
    </row>
    <row r="671" ht="15.75" customHeight="1">
      <c r="A671" s="25" t="s">
        <v>1882</v>
      </c>
      <c r="B671" s="25" t="s">
        <v>515</v>
      </c>
      <c r="C671" s="26">
        <v>46121.0</v>
      </c>
      <c r="D671" s="25" t="s">
        <v>446</v>
      </c>
      <c r="E671" s="25" t="s">
        <v>106</v>
      </c>
      <c r="F671" s="29">
        <v>48.0</v>
      </c>
      <c r="G671" s="30">
        <v>540.48</v>
      </c>
      <c r="H671" s="25" t="s">
        <v>1214</v>
      </c>
      <c r="I671" s="30">
        <f>F671-IFERROR(VLOOKUP(B671,crm_orders!$A:$S,10,FALSE),0)</f>
        <v>0</v>
      </c>
      <c r="J671" s="30">
        <f>G671-IFERROR(VLOOKUP(B671,crm_orders!$A:$S,12,FALSE),0)</f>
        <v>0</v>
      </c>
      <c r="K671" s="25" t="str">
        <f>IF(COUNTIF(crm_orders!$A:$A,B671)=0,"Orphan","OK")</f>
        <v>OK</v>
      </c>
    </row>
    <row r="672" ht="15.75" customHeight="1">
      <c r="A672" s="17" t="s">
        <v>1883</v>
      </c>
      <c r="B672" s="17" t="s">
        <v>66</v>
      </c>
      <c r="C672" s="18">
        <v>46103.0</v>
      </c>
      <c r="D672" s="17"/>
      <c r="E672" s="17" t="s">
        <v>68</v>
      </c>
      <c r="F672" s="21">
        <v>96.0</v>
      </c>
      <c r="G672" s="22">
        <v>1102.08</v>
      </c>
      <c r="H672" s="17" t="s">
        <v>93</v>
      </c>
      <c r="I672" s="22">
        <f>F672-IFERROR(VLOOKUP(B672,crm_orders!$A:$S,10,FALSE),0)</f>
        <v>-24</v>
      </c>
      <c r="J672" s="22">
        <f>G672-IFERROR(VLOOKUP(B672,crm_orders!$A:$S,12,FALSE),0)</f>
        <v>-275.52</v>
      </c>
      <c r="K672" s="17" t="str">
        <f>IF(COUNTIF(crm_orders!$A:$A,B672)=0,"Orphan","OK")</f>
        <v>OK</v>
      </c>
    </row>
    <row r="673" ht="15.75" customHeight="1">
      <c r="A673" s="25" t="s">
        <v>1884</v>
      </c>
      <c r="B673" s="25" t="s">
        <v>821</v>
      </c>
      <c r="C673" s="26">
        <v>46087.0</v>
      </c>
      <c r="D673" s="25" t="s">
        <v>735</v>
      </c>
      <c r="E673" s="25" t="s">
        <v>102</v>
      </c>
      <c r="F673" s="29">
        <v>120.0</v>
      </c>
      <c r="G673" s="30">
        <v>1286.4</v>
      </c>
      <c r="H673" s="25" t="s">
        <v>1214</v>
      </c>
      <c r="I673" s="30">
        <f>F673-IFERROR(VLOOKUP(B673,crm_orders!$A:$S,10,FALSE),0)</f>
        <v>0</v>
      </c>
      <c r="J673" s="30">
        <f>G673-IFERROR(VLOOKUP(B673,crm_orders!$A:$S,12,FALSE),0)</f>
        <v>0</v>
      </c>
      <c r="K673" s="25" t="str">
        <f>IF(COUNTIF(crm_orders!$A:$A,B673)=0,"Orphan","OK")</f>
        <v>OK</v>
      </c>
    </row>
    <row r="674" ht="15.75" customHeight="1">
      <c r="A674" s="17" t="s">
        <v>1885</v>
      </c>
      <c r="B674" s="17" t="s">
        <v>141</v>
      </c>
      <c r="C674" s="18">
        <v>46140.0</v>
      </c>
      <c r="D674" s="17" t="s">
        <v>73</v>
      </c>
      <c r="E674" s="17" t="s">
        <v>92</v>
      </c>
      <c r="F674" s="21">
        <v>60.0</v>
      </c>
      <c r="G674" s="22">
        <v>583.8</v>
      </c>
      <c r="H674" s="17" t="s">
        <v>1214</v>
      </c>
      <c r="I674" s="22">
        <f>F674-IFERROR(VLOOKUP(B674,crm_orders!$A:$S,10,FALSE),0)</f>
        <v>0</v>
      </c>
      <c r="J674" s="22">
        <f>G674-IFERROR(VLOOKUP(B674,crm_orders!$A:$S,12,FALSE),0)</f>
        <v>0</v>
      </c>
      <c r="K674" s="17" t="str">
        <f>IF(COUNTIF(crm_orders!$A:$A,B674)=0,"Orphan","OK")</f>
        <v>OK</v>
      </c>
    </row>
    <row r="675" ht="15.75" customHeight="1">
      <c r="A675" s="25" t="s">
        <v>1886</v>
      </c>
      <c r="B675" s="25" t="s">
        <v>406</v>
      </c>
      <c r="C675" s="26">
        <v>46142.0</v>
      </c>
      <c r="D675" s="25" t="s">
        <v>305</v>
      </c>
      <c r="E675" s="25" t="s">
        <v>90</v>
      </c>
      <c r="F675" s="29">
        <v>30.0</v>
      </c>
      <c r="G675" s="30">
        <v>236.1</v>
      </c>
      <c r="H675" s="25" t="s">
        <v>1214</v>
      </c>
      <c r="I675" s="30">
        <f>F675-IFERROR(VLOOKUP(B675,crm_orders!$A:$S,10,FALSE),0)</f>
        <v>0</v>
      </c>
      <c r="J675" s="30">
        <f>G675-IFERROR(VLOOKUP(B675,crm_orders!$A:$S,12,FALSE),0)</f>
        <v>0</v>
      </c>
      <c r="K675" s="25" t="str">
        <f>IF(COUNTIF(crm_orders!$A:$A,B675)=0,"Orphan","OK")</f>
        <v>OK</v>
      </c>
    </row>
    <row r="676" ht="15.75" customHeight="1">
      <c r="A676" s="17" t="s">
        <v>1887</v>
      </c>
      <c r="B676" s="17" t="s">
        <v>407</v>
      </c>
      <c r="C676" s="18">
        <v>46074.0</v>
      </c>
      <c r="D676" s="17" t="s">
        <v>339</v>
      </c>
      <c r="E676" s="17" t="s">
        <v>190</v>
      </c>
      <c r="F676" s="21">
        <v>48.0</v>
      </c>
      <c r="G676" s="22">
        <v>388.32</v>
      </c>
      <c r="H676" s="17" t="s">
        <v>1214</v>
      </c>
      <c r="I676" s="22">
        <f>F676-IFERROR(VLOOKUP(B676,crm_orders!$A:$S,10,FALSE),0)</f>
        <v>0</v>
      </c>
      <c r="J676" s="22">
        <f>G676-IFERROR(VLOOKUP(B676,crm_orders!$A:$S,12,FALSE),0)</f>
        <v>0</v>
      </c>
      <c r="K676" s="17" t="str">
        <f>IF(COUNTIF(crm_orders!$A:$A,B676)=0,"Orphan","OK")</f>
        <v>OK</v>
      </c>
    </row>
    <row r="677" ht="15.75" customHeight="1">
      <c r="A677" s="25" t="s">
        <v>1888</v>
      </c>
      <c r="B677" s="25" t="s">
        <v>822</v>
      </c>
      <c r="C677" s="26">
        <v>46039.0</v>
      </c>
      <c r="D677" s="25" t="s">
        <v>702</v>
      </c>
      <c r="E677" s="25" t="s">
        <v>74</v>
      </c>
      <c r="F677" s="29">
        <v>24.0</v>
      </c>
      <c r="G677" s="30">
        <v>256.56</v>
      </c>
      <c r="H677" s="25" t="s">
        <v>1214</v>
      </c>
      <c r="I677" s="30">
        <f>F677-IFERROR(VLOOKUP(B677,crm_orders!$A:$S,10,FALSE),0)</f>
        <v>0</v>
      </c>
      <c r="J677" s="30">
        <f>G677-IFERROR(VLOOKUP(B677,crm_orders!$A:$S,12,FALSE),0)</f>
        <v>0</v>
      </c>
      <c r="K677" s="25" t="str">
        <f>IF(COUNTIF(crm_orders!$A:$A,B677)=0,"Orphan","OK")</f>
        <v>OK</v>
      </c>
    </row>
    <row r="678" ht="15.75" customHeight="1">
      <c r="A678" s="17" t="s">
        <v>1889</v>
      </c>
      <c r="B678" s="17" t="s">
        <v>1178</v>
      </c>
      <c r="C678" s="18">
        <v>46039.0</v>
      </c>
      <c r="D678" s="17" t="s">
        <v>1133</v>
      </c>
      <c r="E678" s="17" t="s">
        <v>90</v>
      </c>
      <c r="F678" s="21">
        <v>60.0</v>
      </c>
      <c r="G678" s="22">
        <v>436.8</v>
      </c>
      <c r="H678" s="17" t="s">
        <v>1214</v>
      </c>
      <c r="I678" s="22">
        <f>F678-IFERROR(VLOOKUP(B678,crm_orders!$A:$S,10,FALSE),0)</f>
        <v>0</v>
      </c>
      <c r="J678" s="22">
        <f>G678-IFERROR(VLOOKUP(B678,crm_orders!$A:$S,12,FALSE),0)</f>
        <v>0</v>
      </c>
      <c r="K678" s="17" t="str">
        <f>IF(COUNTIF(crm_orders!$A:$A,B678)=0,"Orphan","OK")</f>
        <v>OK</v>
      </c>
    </row>
    <row r="679" ht="15.75" customHeight="1">
      <c r="A679" s="25" t="s">
        <v>1890</v>
      </c>
      <c r="B679" s="25" t="s">
        <v>1179</v>
      </c>
      <c r="C679" s="26">
        <v>46060.0</v>
      </c>
      <c r="D679" s="25" t="s">
        <v>1154</v>
      </c>
      <c r="E679" s="25" t="s">
        <v>64</v>
      </c>
      <c r="F679" s="29">
        <v>90.0</v>
      </c>
      <c r="G679" s="30">
        <v>766.8</v>
      </c>
      <c r="H679" s="25" t="s">
        <v>93</v>
      </c>
      <c r="I679" s="30">
        <f>F679-IFERROR(VLOOKUP(B679,crm_orders!$A:$S,10,FALSE),0)</f>
        <v>-6</v>
      </c>
      <c r="J679" s="30">
        <f>G679-IFERROR(VLOOKUP(B679,crm_orders!$A:$S,12,FALSE),0)</f>
        <v>-51.12</v>
      </c>
      <c r="K679" s="25" t="str">
        <f>IF(COUNTIF(crm_orders!$A:$A,B679)=0,"Orphan","OK")</f>
        <v>OK</v>
      </c>
    </row>
    <row r="680" ht="15.75" customHeight="1">
      <c r="A680" s="17" t="s">
        <v>1891</v>
      </c>
      <c r="B680" s="17" t="s">
        <v>254</v>
      </c>
      <c r="C680" s="18">
        <v>46121.0</v>
      </c>
      <c r="D680" s="17" t="s">
        <v>181</v>
      </c>
      <c r="E680" s="17" t="s">
        <v>90</v>
      </c>
      <c r="F680" s="21">
        <v>12.0</v>
      </c>
      <c r="G680" s="22">
        <v>96.96</v>
      </c>
      <c r="H680" s="17" t="s">
        <v>1214</v>
      </c>
      <c r="I680" s="22">
        <f>F680-IFERROR(VLOOKUP(B680,crm_orders!$A:$S,10,FALSE),0)</f>
        <v>0</v>
      </c>
      <c r="J680" s="22">
        <f>G680-IFERROR(VLOOKUP(B680,crm_orders!$A:$S,12,FALSE),0)</f>
        <v>0</v>
      </c>
      <c r="K680" s="17" t="str">
        <f>IF(COUNTIF(crm_orders!$A:$A,B680)=0,"Orphan","OK")</f>
        <v>OK</v>
      </c>
    </row>
    <row r="681" ht="15.75" customHeight="1">
      <c r="A681" s="25" t="s">
        <v>1892</v>
      </c>
      <c r="B681" s="25" t="s">
        <v>516</v>
      </c>
      <c r="C681" s="26">
        <v>46056.0</v>
      </c>
      <c r="D681" s="25" t="s">
        <v>464</v>
      </c>
      <c r="E681" s="25" t="s">
        <v>92</v>
      </c>
      <c r="F681" s="29">
        <v>6.0</v>
      </c>
      <c r="G681" s="30">
        <v>57.72</v>
      </c>
      <c r="H681" s="25" t="s">
        <v>1214</v>
      </c>
      <c r="I681" s="30">
        <f>F681-IFERROR(VLOOKUP(B681,crm_orders!$A:$S,10,FALSE),0)</f>
        <v>0</v>
      </c>
      <c r="J681" s="30">
        <f>G681-IFERROR(VLOOKUP(B681,crm_orders!$A:$S,12,FALSE),0)</f>
        <v>0</v>
      </c>
      <c r="K681" s="25" t="str">
        <f>IF(COUNTIF(crm_orders!$A:$A,B681)=0,"Orphan","OK")</f>
        <v>OK</v>
      </c>
    </row>
    <row r="682" ht="15.75" customHeight="1">
      <c r="A682" s="17" t="s">
        <v>1893</v>
      </c>
      <c r="B682" s="17" t="s">
        <v>1180</v>
      </c>
      <c r="C682" s="18">
        <v>46067.0</v>
      </c>
      <c r="D682" s="17" t="s">
        <v>1154</v>
      </c>
      <c r="E682" s="17" t="s">
        <v>156</v>
      </c>
      <c r="F682" s="21">
        <v>0.0</v>
      </c>
      <c r="G682" s="22">
        <v>0.0</v>
      </c>
      <c r="H682" s="17" t="s">
        <v>93</v>
      </c>
      <c r="I682" s="22">
        <f>F682-IFERROR(VLOOKUP(B682,crm_orders!$A:$S,10,FALSE),0)</f>
        <v>-6</v>
      </c>
      <c r="J682" s="22">
        <f>G682-IFERROR(VLOOKUP(B682,crm_orders!$A:$S,12,FALSE),0)</f>
        <v>-61.86</v>
      </c>
      <c r="K682" s="17" t="str">
        <f>IF(COUNTIF(crm_orders!$A:$A,B682)=0,"Orphan","OK")</f>
        <v>OK</v>
      </c>
    </row>
    <row r="683" ht="15.75" customHeight="1">
      <c r="A683" s="25" t="s">
        <v>1894</v>
      </c>
      <c r="B683" s="25" t="s">
        <v>255</v>
      </c>
      <c r="C683" s="26">
        <v>46071.0</v>
      </c>
      <c r="D683" s="25" t="s">
        <v>177</v>
      </c>
      <c r="E683" s="25" t="s">
        <v>102</v>
      </c>
      <c r="F683" s="29">
        <v>6.0</v>
      </c>
      <c r="G683" s="30">
        <v>69.24</v>
      </c>
      <c r="H683" s="25" t="s">
        <v>1214</v>
      </c>
      <c r="I683" s="30">
        <f>F683-IFERROR(VLOOKUP(B683,crm_orders!$A:$S,10,FALSE),0)</f>
        <v>0</v>
      </c>
      <c r="J683" s="30">
        <f>G683-IFERROR(VLOOKUP(B683,crm_orders!$A:$S,12,FALSE),0)</f>
        <v>0</v>
      </c>
      <c r="K683" s="25" t="str">
        <f>IF(COUNTIF(crm_orders!$A:$A,B683)=0,"Orphan","OK")</f>
        <v>OK</v>
      </c>
    </row>
    <row r="684" ht="15.75" customHeight="1">
      <c r="A684" s="17" t="s">
        <v>1895</v>
      </c>
      <c r="B684" s="17" t="s">
        <v>256</v>
      </c>
      <c r="C684" s="18">
        <v>46039.0</v>
      </c>
      <c r="D684" s="17" t="s">
        <v>181</v>
      </c>
      <c r="E684" s="17" t="s">
        <v>106</v>
      </c>
      <c r="F684" s="21">
        <v>6.0</v>
      </c>
      <c r="G684" s="22">
        <v>69.06</v>
      </c>
      <c r="H684" s="17" t="s">
        <v>1214</v>
      </c>
      <c r="I684" s="22">
        <f>F684-IFERROR(VLOOKUP(B684,crm_orders!$A:$S,10,FALSE),0)</f>
        <v>0</v>
      </c>
      <c r="J684" s="22">
        <f>G684-IFERROR(VLOOKUP(B684,crm_orders!$A:$S,12,FALSE),0)</f>
        <v>0</v>
      </c>
      <c r="K684" s="17" t="str">
        <f>IF(COUNTIF(crm_orders!$A:$A,B684)=0,"Orphan","OK")</f>
        <v>OK</v>
      </c>
    </row>
    <row r="685" ht="15.75" customHeight="1">
      <c r="A685" s="25" t="s">
        <v>1896</v>
      </c>
      <c r="B685" s="25" t="s">
        <v>1115</v>
      </c>
      <c r="C685" s="26">
        <v>46064.0</v>
      </c>
      <c r="D685" s="25" t="s">
        <v>1081</v>
      </c>
      <c r="E685" s="25" t="s">
        <v>78</v>
      </c>
      <c r="F685" s="29">
        <v>60.0</v>
      </c>
      <c r="G685" s="30">
        <v>684.0</v>
      </c>
      <c r="H685" s="25" t="s">
        <v>1214</v>
      </c>
      <c r="I685" s="30">
        <f>F685-IFERROR(VLOOKUP(B685,crm_orders!$A:$S,10,FALSE),0)</f>
        <v>0</v>
      </c>
      <c r="J685" s="30">
        <f>G685-IFERROR(VLOOKUP(B685,crm_orders!$A:$S,12,FALSE),0)</f>
        <v>0</v>
      </c>
      <c r="K685" s="25" t="str">
        <f>IF(COUNTIF(crm_orders!$A:$A,B685)=0,"Orphan","OK")</f>
        <v>OK</v>
      </c>
    </row>
    <row r="686" ht="15.75" customHeight="1">
      <c r="A686" s="17" t="s">
        <v>1897</v>
      </c>
      <c r="B686" s="17" t="s">
        <v>517</v>
      </c>
      <c r="C686" s="18">
        <v>46090.0</v>
      </c>
      <c r="D686" s="17" t="s">
        <v>448</v>
      </c>
      <c r="E686" s="17" t="s">
        <v>68</v>
      </c>
      <c r="F686" s="21">
        <v>24.0</v>
      </c>
      <c r="G686" s="22">
        <v>251.52</v>
      </c>
      <c r="H686" s="17" t="s">
        <v>1214</v>
      </c>
      <c r="I686" s="22">
        <f>F686-IFERROR(VLOOKUP(B686,crm_orders!$A:$S,10,FALSE),0)</f>
        <v>0</v>
      </c>
      <c r="J686" s="22">
        <f>G686-IFERROR(VLOOKUP(B686,crm_orders!$A:$S,12,FALSE),0)</f>
        <v>0</v>
      </c>
      <c r="K686" s="17" t="str">
        <f>IF(COUNTIF(crm_orders!$A:$A,B686)=0,"Orphan","OK")</f>
        <v>OK</v>
      </c>
    </row>
    <row r="687" ht="15.75" customHeight="1">
      <c r="A687" s="25" t="s">
        <v>1898</v>
      </c>
      <c r="B687" s="25" t="s">
        <v>1044</v>
      </c>
      <c r="C687" s="26">
        <v>46151.0</v>
      </c>
      <c r="D687" s="25" t="s">
        <v>968</v>
      </c>
      <c r="E687" s="25" t="s">
        <v>85</v>
      </c>
      <c r="F687" s="29">
        <v>42.0</v>
      </c>
      <c r="G687" s="30">
        <v>449.83</v>
      </c>
      <c r="H687" s="25" t="s">
        <v>1212</v>
      </c>
      <c r="I687" s="30">
        <f>F687-IFERROR(VLOOKUP(B687,crm_orders!$A:$S,10,FALSE),0)</f>
        <v>-18</v>
      </c>
      <c r="J687" s="30">
        <f>G687-IFERROR(VLOOKUP(B687,crm_orders!$A:$S,12,FALSE),0)</f>
        <v>-168.77</v>
      </c>
      <c r="K687" s="25" t="str">
        <f>IF(COUNTIF(crm_orders!$A:$A,B687)=0,"Orphan","OK")</f>
        <v>OK</v>
      </c>
    </row>
    <row r="688" ht="15.75" customHeight="1">
      <c r="A688" s="17" t="s">
        <v>1899</v>
      </c>
      <c r="B688" s="17" t="s">
        <v>518</v>
      </c>
      <c r="C688" s="18">
        <v>46093.0</v>
      </c>
      <c r="D688" s="17" t="s">
        <v>457</v>
      </c>
      <c r="E688" s="17" t="s">
        <v>95</v>
      </c>
      <c r="F688" s="21">
        <v>0.0</v>
      </c>
      <c r="G688" s="22">
        <v>0.0</v>
      </c>
      <c r="H688" s="17" t="s">
        <v>93</v>
      </c>
      <c r="I688" s="22">
        <f>F688-IFERROR(VLOOKUP(B688,crm_orders!$A:$S,10,FALSE),0)</f>
        <v>-12</v>
      </c>
      <c r="J688" s="22">
        <f>G688-IFERROR(VLOOKUP(B688,crm_orders!$A:$S,12,FALSE),0)</f>
        <v>-126.24</v>
      </c>
      <c r="K688" s="17" t="str">
        <f>IF(COUNTIF(crm_orders!$A:$A,B688)=0,"Orphan","OK")</f>
        <v>OK</v>
      </c>
    </row>
    <row r="689" ht="15.75" customHeight="1">
      <c r="A689" s="25" t="s">
        <v>1900</v>
      </c>
      <c r="B689" s="25" t="s">
        <v>142</v>
      </c>
      <c r="C689" s="26">
        <v>46131.0</v>
      </c>
      <c r="D689" s="25" t="s">
        <v>80</v>
      </c>
      <c r="E689" s="25" t="s">
        <v>110</v>
      </c>
      <c r="F689" s="29">
        <v>72.0</v>
      </c>
      <c r="G689" s="30">
        <v>715.68</v>
      </c>
      <c r="H689" s="25" t="s">
        <v>1214</v>
      </c>
      <c r="I689" s="30">
        <f>F689-IFERROR(VLOOKUP(B689,crm_orders!$A:$S,10,FALSE),0)</f>
        <v>0</v>
      </c>
      <c r="J689" s="30">
        <f>G689-IFERROR(VLOOKUP(B689,crm_orders!$A:$S,12,FALSE),0)</f>
        <v>0</v>
      </c>
      <c r="K689" s="25" t="str">
        <f>IF(COUNTIF(crm_orders!$A:$A,B689)=0,"Orphan","OK")</f>
        <v>OK</v>
      </c>
    </row>
    <row r="690" ht="15.75" customHeight="1">
      <c r="A690" s="17" t="s">
        <v>1901</v>
      </c>
      <c r="B690" s="17" t="s">
        <v>823</v>
      </c>
      <c r="C690" s="18">
        <v>46074.0</v>
      </c>
      <c r="D690" s="17" t="s">
        <v>729</v>
      </c>
      <c r="E690" s="17" t="s">
        <v>102</v>
      </c>
      <c r="F690" s="21">
        <v>96.0</v>
      </c>
      <c r="G690" s="22">
        <v>1103.04</v>
      </c>
      <c r="H690" s="17" t="s">
        <v>1214</v>
      </c>
      <c r="I690" s="22">
        <f>F690-IFERROR(VLOOKUP(B690,crm_orders!$A:$S,10,FALSE),0)</f>
        <v>0</v>
      </c>
      <c r="J690" s="22">
        <f>G690-IFERROR(VLOOKUP(B690,crm_orders!$A:$S,12,FALSE),0)</f>
        <v>0</v>
      </c>
      <c r="K690" s="17" t="str">
        <f>IF(COUNTIF(crm_orders!$A:$A,B690)=0,"Orphan","OK")</f>
        <v>OK</v>
      </c>
    </row>
    <row r="691" ht="15.75" customHeight="1">
      <c r="A691" s="25" t="s">
        <v>1902</v>
      </c>
      <c r="B691" s="25" t="s">
        <v>659</v>
      </c>
      <c r="C691" s="26">
        <v>46062.0</v>
      </c>
      <c r="D691" s="25" t="s">
        <v>588</v>
      </c>
      <c r="E691" s="25" t="s">
        <v>154</v>
      </c>
      <c r="F691" s="29">
        <v>18.0</v>
      </c>
      <c r="G691" s="30">
        <v>177.12</v>
      </c>
      <c r="H691" s="25" t="s">
        <v>1214</v>
      </c>
      <c r="I691" s="30">
        <f>F691-IFERROR(VLOOKUP(B691,crm_orders!$A:$S,10,FALSE),0)</f>
        <v>0</v>
      </c>
      <c r="J691" s="30">
        <f>G691-IFERROR(VLOOKUP(B691,crm_orders!$A:$S,12,FALSE),0)</f>
        <v>0</v>
      </c>
      <c r="K691" s="25" t="str">
        <f>IF(COUNTIF(crm_orders!$A:$A,B691)=0,"Orphan","OK")</f>
        <v>OK</v>
      </c>
    </row>
    <row r="692" ht="15.75" customHeight="1">
      <c r="A692" s="17" t="s">
        <v>1903</v>
      </c>
      <c r="B692" s="17" t="s">
        <v>931</v>
      </c>
      <c r="C692" s="18">
        <v>46032.0</v>
      </c>
      <c r="D692" s="17" t="s">
        <v>859</v>
      </c>
      <c r="E692" s="17" t="s">
        <v>78</v>
      </c>
      <c r="F692" s="21">
        <v>12.0</v>
      </c>
      <c r="G692" s="22">
        <v>132.96</v>
      </c>
      <c r="H692" s="17" t="s">
        <v>93</v>
      </c>
      <c r="I692" s="22">
        <f>F692-IFERROR(VLOOKUP(B692,crm_orders!$A:$S,10,FALSE),0)</f>
        <v>-6</v>
      </c>
      <c r="J692" s="22">
        <f>G692-IFERROR(VLOOKUP(B692,crm_orders!$A:$S,12,FALSE),0)</f>
        <v>-66.48</v>
      </c>
      <c r="K692" s="17" t="str">
        <f>IF(COUNTIF(crm_orders!$A:$A,B692)=0,"Orphan","OK")</f>
        <v>OK</v>
      </c>
    </row>
    <row r="693" ht="15.75" customHeight="1">
      <c r="A693" s="25" t="s">
        <v>1904</v>
      </c>
      <c r="B693" s="25" t="s">
        <v>824</v>
      </c>
      <c r="C693" s="26">
        <v>46071.0</v>
      </c>
      <c r="D693" s="25" t="s">
        <v>708</v>
      </c>
      <c r="E693" s="25" t="s">
        <v>71</v>
      </c>
      <c r="F693" s="29">
        <v>120.0</v>
      </c>
      <c r="G693" s="30">
        <v>1016.4</v>
      </c>
      <c r="H693" s="25" t="s">
        <v>1214</v>
      </c>
      <c r="I693" s="30">
        <f>F693-IFERROR(VLOOKUP(B693,crm_orders!$A:$S,10,FALSE),0)</f>
        <v>0</v>
      </c>
      <c r="J693" s="30">
        <f>G693-IFERROR(VLOOKUP(B693,crm_orders!$A:$S,12,FALSE),0)</f>
        <v>0</v>
      </c>
      <c r="K693" s="25" t="str">
        <f>IF(COUNTIF(crm_orders!$A:$A,B693)=0,"Orphan","OK")</f>
        <v>OK</v>
      </c>
    </row>
    <row r="694" ht="15.75" customHeight="1">
      <c r="A694" s="17" t="s">
        <v>1905</v>
      </c>
      <c r="B694" s="17" t="s">
        <v>1182</v>
      </c>
      <c r="C694" s="18">
        <v>46115.0</v>
      </c>
      <c r="D694" s="17" t="s">
        <v>1133</v>
      </c>
      <c r="E694" s="17" t="s">
        <v>156</v>
      </c>
      <c r="F694" s="21">
        <v>24.0</v>
      </c>
      <c r="G694" s="22">
        <v>257.28</v>
      </c>
      <c r="H694" s="17" t="s">
        <v>1214</v>
      </c>
      <c r="I694" s="22">
        <f>F694-IFERROR(VLOOKUP(B694,crm_orders!$A:$S,10,FALSE),0)</f>
        <v>0</v>
      </c>
      <c r="J694" s="22">
        <f>G694-IFERROR(VLOOKUP(B694,crm_orders!$A:$S,12,FALSE),0)</f>
        <v>0</v>
      </c>
      <c r="K694" s="17" t="str">
        <f>IF(COUNTIF(crm_orders!$A:$A,B694)=0,"Orphan","OK")</f>
        <v>OK</v>
      </c>
    </row>
    <row r="695" ht="15.75" customHeight="1">
      <c r="A695" s="25" t="s">
        <v>1906</v>
      </c>
      <c r="B695" s="25" t="s">
        <v>1045</v>
      </c>
      <c r="C695" s="26">
        <v>46050.0</v>
      </c>
      <c r="D695" s="25" t="s">
        <v>957</v>
      </c>
      <c r="E695" s="25" t="s">
        <v>81</v>
      </c>
      <c r="F695" s="29">
        <v>12.0</v>
      </c>
      <c r="G695" s="30">
        <v>83.52</v>
      </c>
      <c r="H695" s="25" t="s">
        <v>1214</v>
      </c>
      <c r="I695" s="30">
        <f>F695-IFERROR(VLOOKUP(B695,crm_orders!$A:$S,10,FALSE),0)</f>
        <v>0</v>
      </c>
      <c r="J695" s="30">
        <f>G695-IFERROR(VLOOKUP(B695,crm_orders!$A:$S,12,FALSE),0)</f>
        <v>0</v>
      </c>
      <c r="K695" s="25" t="str">
        <f>IF(COUNTIF(crm_orders!$A:$A,B695)=0,"Orphan","OK")</f>
        <v>OK</v>
      </c>
    </row>
    <row r="696" ht="15.75" customHeight="1">
      <c r="A696" s="17" t="s">
        <v>1907</v>
      </c>
      <c r="B696" s="17" t="s">
        <v>932</v>
      </c>
      <c r="C696" s="18">
        <v>46094.0</v>
      </c>
      <c r="D696" s="17" t="s">
        <v>864</v>
      </c>
      <c r="E696" s="17" t="s">
        <v>74</v>
      </c>
      <c r="F696" s="21">
        <v>60.0</v>
      </c>
      <c r="G696" s="22">
        <v>624.0</v>
      </c>
      <c r="H696" s="17" t="s">
        <v>1214</v>
      </c>
      <c r="I696" s="22">
        <f>F696-IFERROR(VLOOKUP(B696,crm_orders!$A:$S,10,FALSE),0)</f>
        <v>0</v>
      </c>
      <c r="J696" s="22">
        <f>G696-IFERROR(VLOOKUP(B696,crm_orders!$A:$S,12,FALSE),0)</f>
        <v>0</v>
      </c>
      <c r="K696" s="17" t="str">
        <f>IF(COUNTIF(crm_orders!$A:$A,B696)=0,"Orphan","OK")</f>
        <v>OK</v>
      </c>
    </row>
    <row r="697" ht="15.75" customHeight="1">
      <c r="A697" s="25" t="s">
        <v>1908</v>
      </c>
      <c r="B697" s="25" t="s">
        <v>1183</v>
      </c>
      <c r="C697" s="26">
        <v>46026.0</v>
      </c>
      <c r="D697" s="25" t="s">
        <v>1124</v>
      </c>
      <c r="E697" s="25" t="s">
        <v>92</v>
      </c>
      <c r="F697" s="29">
        <v>12.0</v>
      </c>
      <c r="G697" s="30">
        <v>129.24</v>
      </c>
      <c r="H697" s="25" t="s">
        <v>1214</v>
      </c>
      <c r="I697" s="30">
        <f>F697-IFERROR(VLOOKUP(B697,crm_orders!$A:$S,10,FALSE),0)</f>
        <v>0</v>
      </c>
      <c r="J697" s="30">
        <f>G697-IFERROR(VLOOKUP(B697,crm_orders!$A:$S,12,FALSE),0)</f>
        <v>0</v>
      </c>
      <c r="K697" s="25" t="str">
        <f>IF(COUNTIF(crm_orders!$A:$A,B697)=0,"Orphan","OK")</f>
        <v>OK</v>
      </c>
    </row>
    <row r="698" ht="15.75" customHeight="1">
      <c r="A698" s="17" t="s">
        <v>1909</v>
      </c>
      <c r="B698" s="17" t="s">
        <v>660</v>
      </c>
      <c r="C698" s="18">
        <v>46031.0</v>
      </c>
      <c r="D698" s="17" t="s">
        <v>544</v>
      </c>
      <c r="E698" s="17" t="s">
        <v>102</v>
      </c>
      <c r="F698" s="21">
        <v>60.0</v>
      </c>
      <c r="G698" s="22">
        <v>646.8</v>
      </c>
      <c r="H698" s="17" t="s">
        <v>1214</v>
      </c>
      <c r="I698" s="22">
        <f>F698-IFERROR(VLOOKUP(B698,crm_orders!$A:$S,10,FALSE),0)</f>
        <v>0</v>
      </c>
      <c r="J698" s="22">
        <f>G698-IFERROR(VLOOKUP(B698,crm_orders!$A:$S,12,FALSE),0)</f>
        <v>0</v>
      </c>
      <c r="K698" s="17" t="str">
        <f>IF(COUNTIF(crm_orders!$A:$A,B698)=0,"Orphan","OK")</f>
        <v>OK</v>
      </c>
    </row>
    <row r="699" ht="15.75" customHeight="1">
      <c r="A699" s="25" t="s">
        <v>1910</v>
      </c>
      <c r="B699" s="25" t="s">
        <v>825</v>
      </c>
      <c r="C699" s="26">
        <v>46104.0</v>
      </c>
      <c r="D699" s="25" t="s">
        <v>700</v>
      </c>
      <c r="E699" s="25" t="s">
        <v>108</v>
      </c>
      <c r="F699" s="29">
        <v>36.0</v>
      </c>
      <c r="G699" s="30">
        <v>390.96</v>
      </c>
      <c r="H699" s="25" t="s">
        <v>1214</v>
      </c>
      <c r="I699" s="30">
        <f>F699-IFERROR(VLOOKUP(B699,crm_orders!$A:$S,10,FALSE),0)</f>
        <v>0</v>
      </c>
      <c r="J699" s="30">
        <f>G699-IFERROR(VLOOKUP(B699,crm_orders!$A:$S,12,FALSE),0)</f>
        <v>0</v>
      </c>
      <c r="K699" s="25" t="str">
        <f>IF(COUNTIF(crm_orders!$A:$A,B699)=0,"Orphan","OK")</f>
        <v>OK</v>
      </c>
    </row>
    <row r="700" ht="15.75" customHeight="1">
      <c r="A700" s="17" t="s">
        <v>1911</v>
      </c>
      <c r="B700" s="17" t="s">
        <v>1046</v>
      </c>
      <c r="C700" s="18">
        <v>46082.0</v>
      </c>
      <c r="D700" s="17" t="s">
        <v>968</v>
      </c>
      <c r="E700" s="17" t="s">
        <v>68</v>
      </c>
      <c r="F700" s="21">
        <v>48.0</v>
      </c>
      <c r="G700" s="22">
        <v>455.52</v>
      </c>
      <c r="H700" s="17" t="s">
        <v>1214</v>
      </c>
      <c r="I700" s="22">
        <f>F700-IFERROR(VLOOKUP(B700,crm_orders!$A:$S,10,FALSE),0)</f>
        <v>0</v>
      </c>
      <c r="J700" s="22">
        <f>G700-IFERROR(VLOOKUP(B700,crm_orders!$A:$S,12,FALSE),0)</f>
        <v>0</v>
      </c>
      <c r="K700" s="17" t="str">
        <f>IF(COUNTIF(crm_orders!$A:$A,B700)=0,"Orphan","OK")</f>
        <v>OK</v>
      </c>
    </row>
    <row r="701" ht="15.75" customHeight="1">
      <c r="A701" s="25" t="s">
        <v>1912</v>
      </c>
      <c r="B701" s="25" t="s">
        <v>1184</v>
      </c>
      <c r="C701" s="26">
        <v>46150.0</v>
      </c>
      <c r="D701" s="25" t="s">
        <v>1136</v>
      </c>
      <c r="E701" s="25" t="s">
        <v>92</v>
      </c>
      <c r="F701" s="29">
        <v>96.0</v>
      </c>
      <c r="G701" s="30">
        <v>1079.04</v>
      </c>
      <c r="H701" s="25" t="s">
        <v>1214</v>
      </c>
      <c r="I701" s="30">
        <f>F701-IFERROR(VLOOKUP(B701,crm_orders!$A:$S,10,FALSE),0)</f>
        <v>0</v>
      </c>
      <c r="J701" s="30">
        <f>G701-IFERROR(VLOOKUP(B701,crm_orders!$A:$S,12,FALSE),0)</f>
        <v>0</v>
      </c>
      <c r="K701" s="25" t="str">
        <f>IF(COUNTIF(crm_orders!$A:$A,B701)=0,"Orphan","OK")</f>
        <v>OK</v>
      </c>
    </row>
    <row r="702" ht="15.75" customHeight="1">
      <c r="A702" s="17" t="s">
        <v>1913</v>
      </c>
      <c r="B702" s="17" t="s">
        <v>826</v>
      </c>
      <c r="C702" s="18">
        <v>46128.0</v>
      </c>
      <c r="D702" s="17" t="s">
        <v>729</v>
      </c>
      <c r="E702" s="17" t="s">
        <v>68</v>
      </c>
      <c r="F702" s="21">
        <v>60.0</v>
      </c>
      <c r="G702" s="22">
        <v>667.8</v>
      </c>
      <c r="H702" s="17" t="s">
        <v>1214</v>
      </c>
      <c r="I702" s="22">
        <f>F702-IFERROR(VLOOKUP(B702,crm_orders!$A:$S,10,FALSE),0)</f>
        <v>0</v>
      </c>
      <c r="J702" s="22">
        <f>G702-IFERROR(VLOOKUP(B702,crm_orders!$A:$S,12,FALSE),0)</f>
        <v>0</v>
      </c>
      <c r="K702" s="17" t="str">
        <f>IF(COUNTIF(crm_orders!$A:$A,B702)=0,"Orphan","OK")</f>
        <v>OK</v>
      </c>
    </row>
    <row r="703" ht="15.75" customHeight="1">
      <c r="A703" s="25" t="s">
        <v>1914</v>
      </c>
      <c r="B703" s="25" t="s">
        <v>1185</v>
      </c>
      <c r="C703" s="26">
        <v>46056.0</v>
      </c>
      <c r="D703" s="25" t="s">
        <v>1131</v>
      </c>
      <c r="E703" s="25" t="s">
        <v>85</v>
      </c>
      <c r="F703" s="29">
        <v>24.0</v>
      </c>
      <c r="G703" s="30">
        <v>229.2</v>
      </c>
      <c r="H703" s="25" t="s">
        <v>1214</v>
      </c>
      <c r="I703" s="30">
        <f>F703-IFERROR(VLOOKUP(B703,crm_orders!$A:$S,10,FALSE),0)</f>
        <v>0</v>
      </c>
      <c r="J703" s="30">
        <f>G703-IFERROR(VLOOKUP(B703,crm_orders!$A:$S,12,FALSE),0)</f>
        <v>0</v>
      </c>
      <c r="K703" s="25" t="str">
        <f>IF(COUNTIF(crm_orders!$A:$A,B703)=0,"Orphan","OK")</f>
        <v>OK</v>
      </c>
    </row>
    <row r="704" ht="15.75" customHeight="1">
      <c r="A704" s="17" t="s">
        <v>1915</v>
      </c>
      <c r="B704" s="17" t="s">
        <v>408</v>
      </c>
      <c r="C704" s="18">
        <v>46111.0</v>
      </c>
      <c r="D704" s="17" t="s">
        <v>303</v>
      </c>
      <c r="E704" s="17" t="s">
        <v>78</v>
      </c>
      <c r="F704" s="21">
        <v>24.0</v>
      </c>
      <c r="G704" s="22">
        <v>238.32</v>
      </c>
      <c r="H704" s="17" t="s">
        <v>1214</v>
      </c>
      <c r="I704" s="22">
        <f>F704-IFERROR(VLOOKUP(B704,crm_orders!$A:$S,10,FALSE),0)</f>
        <v>0</v>
      </c>
      <c r="J704" s="22">
        <f>G704-IFERROR(VLOOKUP(B704,crm_orders!$A:$S,12,FALSE),0)</f>
        <v>0</v>
      </c>
      <c r="K704" s="17" t="str">
        <f>IF(COUNTIF(crm_orders!$A:$A,B704)=0,"Orphan","OK")</f>
        <v>OK</v>
      </c>
    </row>
    <row r="705" ht="15.75" customHeight="1">
      <c r="A705" s="25" t="s">
        <v>1916</v>
      </c>
      <c r="B705" s="25" t="s">
        <v>258</v>
      </c>
      <c r="C705" s="26">
        <v>46062.0</v>
      </c>
      <c r="D705" s="25" t="s">
        <v>181</v>
      </c>
      <c r="E705" s="25" t="s">
        <v>81</v>
      </c>
      <c r="F705" s="29">
        <v>18.0</v>
      </c>
      <c r="G705" s="30">
        <v>139.68</v>
      </c>
      <c r="H705" s="25" t="s">
        <v>1214</v>
      </c>
      <c r="I705" s="30">
        <f>F705-IFERROR(VLOOKUP(B705,crm_orders!$A:$S,10,FALSE),0)</f>
        <v>0</v>
      </c>
      <c r="J705" s="30">
        <f>G705-IFERROR(VLOOKUP(B705,crm_orders!$A:$S,12,FALSE),0)</f>
        <v>0</v>
      </c>
      <c r="K705" s="25" t="str">
        <f>IF(COUNTIF(crm_orders!$A:$A,B705)=0,"Orphan","OK")</f>
        <v>OK</v>
      </c>
    </row>
    <row r="706" ht="15.75" customHeight="1">
      <c r="A706" s="17" t="s">
        <v>1917</v>
      </c>
      <c r="B706" s="17" t="s">
        <v>520</v>
      </c>
      <c r="C706" s="18">
        <v>46108.0</v>
      </c>
      <c r="D706" s="17" t="s">
        <v>464</v>
      </c>
      <c r="E706" s="17" t="s">
        <v>154</v>
      </c>
      <c r="F706" s="21">
        <v>12.0</v>
      </c>
      <c r="G706" s="22">
        <v>138.6</v>
      </c>
      <c r="H706" s="17" t="s">
        <v>1214</v>
      </c>
      <c r="I706" s="22">
        <f>F706-IFERROR(VLOOKUP(B706,crm_orders!$A:$S,10,FALSE),0)</f>
        <v>0</v>
      </c>
      <c r="J706" s="22">
        <f>G706-IFERROR(VLOOKUP(B706,crm_orders!$A:$S,12,FALSE),0)</f>
        <v>0</v>
      </c>
      <c r="K706" s="17" t="str">
        <f>IF(COUNTIF(crm_orders!$A:$A,B706)=0,"Orphan","OK")</f>
        <v>OK</v>
      </c>
    </row>
    <row r="707" ht="15.75" customHeight="1">
      <c r="A707" s="25" t="s">
        <v>1918</v>
      </c>
      <c r="B707" s="25" t="s">
        <v>143</v>
      </c>
      <c r="C707" s="26">
        <v>46048.0</v>
      </c>
      <c r="D707" s="25" t="s">
        <v>73</v>
      </c>
      <c r="E707" s="25" t="s">
        <v>78</v>
      </c>
      <c r="F707" s="29">
        <v>120.0</v>
      </c>
      <c r="G707" s="30">
        <v>1235.41</v>
      </c>
      <c r="H707" s="25" t="s">
        <v>1212</v>
      </c>
      <c r="I707" s="30">
        <f>F707-IFERROR(VLOOKUP(B707,crm_orders!$A:$S,10,FALSE),0)</f>
        <v>0</v>
      </c>
      <c r="J707" s="30">
        <f>G707-IFERROR(VLOOKUP(B707,crm_orders!$A:$S,12,FALSE),0)</f>
        <v>-19.79</v>
      </c>
      <c r="K707" s="25" t="str">
        <f>IF(COUNTIF(crm_orders!$A:$A,B707)=0,"Orphan","OK")</f>
        <v>OK</v>
      </c>
    </row>
    <row r="708" ht="15.75" customHeight="1">
      <c r="A708" s="17" t="s">
        <v>1919</v>
      </c>
      <c r="B708" s="17" t="s">
        <v>259</v>
      </c>
      <c r="C708" s="18">
        <v>46063.0</v>
      </c>
      <c r="D708" s="17" t="s">
        <v>181</v>
      </c>
      <c r="E708" s="17" t="s">
        <v>156</v>
      </c>
      <c r="F708" s="21">
        <v>36.0</v>
      </c>
      <c r="G708" s="22">
        <v>348.48</v>
      </c>
      <c r="H708" s="17" t="s">
        <v>93</v>
      </c>
      <c r="I708" s="22">
        <f>F708-IFERROR(VLOOKUP(B708,crm_orders!$A:$S,10,FALSE),0)</f>
        <v>-24</v>
      </c>
      <c r="J708" s="22">
        <f>G708-IFERROR(VLOOKUP(B708,crm_orders!$A:$S,12,FALSE),0)</f>
        <v>-232.32</v>
      </c>
      <c r="K708" s="17" t="str">
        <f>IF(COUNTIF(crm_orders!$A:$A,B708)=0,"Orphan","OK")</f>
        <v>OK</v>
      </c>
    </row>
    <row r="709" ht="15.75" customHeight="1">
      <c r="A709" s="25" t="s">
        <v>1920</v>
      </c>
      <c r="B709" s="25" t="s">
        <v>260</v>
      </c>
      <c r="C709" s="26">
        <v>46048.0</v>
      </c>
      <c r="D709" s="25" t="s">
        <v>168</v>
      </c>
      <c r="E709" s="25" t="s">
        <v>123</v>
      </c>
      <c r="F709" s="29">
        <v>72.0</v>
      </c>
      <c r="G709" s="30">
        <v>761.76</v>
      </c>
      <c r="H709" s="25" t="s">
        <v>1214</v>
      </c>
      <c r="I709" s="30">
        <f>F709-IFERROR(VLOOKUP(B709,crm_orders!$A:$S,10,FALSE),0)</f>
        <v>0</v>
      </c>
      <c r="J709" s="30">
        <f>G709-IFERROR(VLOOKUP(B709,crm_orders!$A:$S,12,FALSE),0)</f>
        <v>0</v>
      </c>
      <c r="K709" s="25" t="str">
        <f>IF(COUNTIF(crm_orders!$A:$A,B709)=0,"Orphan","OK")</f>
        <v>OK</v>
      </c>
    </row>
    <row r="710" ht="15.75" customHeight="1">
      <c r="A710" s="17" t="s">
        <v>1921</v>
      </c>
      <c r="B710" s="17" t="s">
        <v>661</v>
      </c>
      <c r="C710" s="18">
        <v>46127.0</v>
      </c>
      <c r="D710" s="17" t="s">
        <v>557</v>
      </c>
      <c r="E710" s="17" t="s">
        <v>190</v>
      </c>
      <c r="F710" s="21">
        <v>120.0</v>
      </c>
      <c r="G710" s="22">
        <v>874.8</v>
      </c>
      <c r="H710" s="17" t="s">
        <v>1214</v>
      </c>
      <c r="I710" s="22">
        <f>F710-IFERROR(VLOOKUP(B710,crm_orders!$A:$S,10,FALSE),0)</f>
        <v>0</v>
      </c>
      <c r="J710" s="22">
        <f>G710-IFERROR(VLOOKUP(B710,crm_orders!$A:$S,12,FALSE),0)</f>
        <v>0</v>
      </c>
      <c r="K710" s="17" t="str">
        <f>IF(COUNTIF(crm_orders!$A:$A,B710)=0,"Orphan","OK")</f>
        <v>OK</v>
      </c>
    </row>
    <row r="711" ht="15.75" customHeight="1">
      <c r="A711" s="25" t="s">
        <v>1922</v>
      </c>
      <c r="B711" s="25" t="s">
        <v>827</v>
      </c>
      <c r="C711" s="26">
        <v>46070.0</v>
      </c>
      <c r="D711" s="25" t="s">
        <v>710</v>
      </c>
      <c r="E711" s="25" t="s">
        <v>110</v>
      </c>
      <c r="F711" s="29">
        <v>36.0</v>
      </c>
      <c r="G711" s="30">
        <v>384.4</v>
      </c>
      <c r="H711" s="25" t="s">
        <v>1212</v>
      </c>
      <c r="I711" s="30">
        <f>F711-IFERROR(VLOOKUP(B711,crm_orders!$A:$S,10,FALSE),0)</f>
        <v>0</v>
      </c>
      <c r="J711" s="30">
        <f>G711-IFERROR(VLOOKUP(B711,crm_orders!$A:$S,12,FALSE),0)</f>
        <v>-3.68</v>
      </c>
      <c r="K711" s="25" t="str">
        <f>IF(COUNTIF(crm_orders!$A:$A,B711)=0,"Orphan","OK")</f>
        <v>OK</v>
      </c>
    </row>
    <row r="712" ht="15.75" customHeight="1">
      <c r="A712" s="17" t="s">
        <v>1923</v>
      </c>
      <c r="B712" s="17" t="s">
        <v>1047</v>
      </c>
      <c r="C712" s="18">
        <v>46140.0</v>
      </c>
      <c r="D712" s="17" t="s">
        <v>968</v>
      </c>
      <c r="E712" s="17" t="s">
        <v>85</v>
      </c>
      <c r="F712" s="21">
        <v>102.0</v>
      </c>
      <c r="G712" s="22">
        <v>952.68</v>
      </c>
      <c r="H712" s="17" t="s">
        <v>1212</v>
      </c>
      <c r="I712" s="22">
        <f>F712-IFERROR(VLOOKUP(B712,crm_orders!$A:$S,10,FALSE),0)</f>
        <v>6</v>
      </c>
      <c r="J712" s="22">
        <f>G712-IFERROR(VLOOKUP(B712,crm_orders!$A:$S,12,FALSE),0)</f>
        <v>56.04</v>
      </c>
      <c r="K712" s="17" t="str">
        <f>IF(COUNTIF(crm_orders!$A:$A,B712)=0,"Orphan","OK")</f>
        <v>OK</v>
      </c>
    </row>
    <row r="713" ht="15.75" customHeight="1">
      <c r="A713" s="25" t="s">
        <v>1924</v>
      </c>
      <c r="B713" s="25" t="s">
        <v>261</v>
      </c>
      <c r="C713" s="26">
        <v>46140.0</v>
      </c>
      <c r="D713" s="25" t="s">
        <v>179</v>
      </c>
      <c r="E713" s="25" t="s">
        <v>81</v>
      </c>
      <c r="F713" s="29">
        <v>30.0</v>
      </c>
      <c r="G713" s="30">
        <v>227.1</v>
      </c>
      <c r="H713" s="25" t="s">
        <v>1214</v>
      </c>
      <c r="I713" s="30">
        <f>F713-IFERROR(VLOOKUP(B713,crm_orders!$A:$S,10,FALSE),0)</f>
        <v>0</v>
      </c>
      <c r="J713" s="30">
        <f>G713-IFERROR(VLOOKUP(B713,crm_orders!$A:$S,12,FALSE),0)</f>
        <v>0</v>
      </c>
      <c r="K713" s="25" t="str">
        <f>IF(COUNTIF(crm_orders!$A:$A,B713)=0,"Orphan","OK")</f>
        <v>OK</v>
      </c>
    </row>
    <row r="714" ht="15.75" customHeight="1">
      <c r="A714" s="17" t="s">
        <v>1925</v>
      </c>
      <c r="B714" s="17" t="s">
        <v>662</v>
      </c>
      <c r="C714" s="18">
        <v>46094.0</v>
      </c>
      <c r="D714" s="17" t="s">
        <v>566</v>
      </c>
      <c r="E714" s="17" t="s">
        <v>106</v>
      </c>
      <c r="F714" s="21">
        <v>120.0</v>
      </c>
      <c r="G714" s="22">
        <v>1214.4</v>
      </c>
      <c r="H714" s="17" t="s">
        <v>1214</v>
      </c>
      <c r="I714" s="22">
        <f>F714-IFERROR(VLOOKUP(B714,crm_orders!$A:$S,10,FALSE),0)</f>
        <v>0</v>
      </c>
      <c r="J714" s="22">
        <f>G714-IFERROR(VLOOKUP(B714,crm_orders!$A:$S,12,FALSE),0)</f>
        <v>0</v>
      </c>
      <c r="K714" s="17" t="str">
        <f>IF(COUNTIF(crm_orders!$A:$A,B714)=0,"Orphan","OK")</f>
        <v>OK</v>
      </c>
    </row>
    <row r="715" ht="15.75" customHeight="1">
      <c r="A715" s="25" t="s">
        <v>1926</v>
      </c>
      <c r="B715" s="25" t="s">
        <v>409</v>
      </c>
      <c r="C715" s="26">
        <v>46127.0</v>
      </c>
      <c r="D715" s="25" t="s">
        <v>310</v>
      </c>
      <c r="E715" s="25" t="s">
        <v>106</v>
      </c>
      <c r="F715" s="29">
        <v>24.0</v>
      </c>
      <c r="G715" s="30">
        <v>277.68</v>
      </c>
      <c r="H715" s="25" t="s">
        <v>1214</v>
      </c>
      <c r="I715" s="30">
        <f>F715-IFERROR(VLOOKUP(B715,crm_orders!$A:$S,10,FALSE),0)</f>
        <v>0</v>
      </c>
      <c r="J715" s="30">
        <f>G715-IFERROR(VLOOKUP(B715,crm_orders!$A:$S,12,FALSE),0)</f>
        <v>0</v>
      </c>
      <c r="K715" s="25" t="str">
        <f>IF(COUNTIF(crm_orders!$A:$A,B715)=0,"Orphan","OK")</f>
        <v>OK</v>
      </c>
    </row>
    <row r="716" ht="15.75" customHeight="1">
      <c r="A716" s="17" t="s">
        <v>1927</v>
      </c>
      <c r="B716" s="17" t="s">
        <v>410</v>
      </c>
      <c r="C716" s="18">
        <v>46103.0</v>
      </c>
      <c r="D716" s="17" t="s">
        <v>305</v>
      </c>
      <c r="E716" s="17" t="s">
        <v>190</v>
      </c>
      <c r="F716" s="21">
        <v>30.0</v>
      </c>
      <c r="G716" s="22">
        <v>212.1</v>
      </c>
      <c r="H716" s="17" t="s">
        <v>1214</v>
      </c>
      <c r="I716" s="22">
        <f>F716-IFERROR(VLOOKUP(B716,crm_orders!$A:$S,10,FALSE),0)</f>
        <v>0</v>
      </c>
      <c r="J716" s="22">
        <f>G716-IFERROR(VLOOKUP(B716,crm_orders!$A:$S,12,FALSE),0)</f>
        <v>0</v>
      </c>
      <c r="K716" s="17" t="str">
        <f>IF(COUNTIF(crm_orders!$A:$A,B716)=0,"Orphan","OK")</f>
        <v>OK</v>
      </c>
    </row>
    <row r="717" ht="15.75" customHeight="1">
      <c r="A717" s="25" t="s">
        <v>1928</v>
      </c>
      <c r="B717" s="25" t="s">
        <v>663</v>
      </c>
      <c r="C717" s="26">
        <v>46105.0</v>
      </c>
      <c r="D717" s="25" t="s">
        <v>540</v>
      </c>
      <c r="E717" s="25" t="s">
        <v>81</v>
      </c>
      <c r="F717" s="29">
        <v>30.0</v>
      </c>
      <c r="G717" s="30">
        <v>206.1</v>
      </c>
      <c r="H717" s="25" t="s">
        <v>1214</v>
      </c>
      <c r="I717" s="30">
        <f>F717-IFERROR(VLOOKUP(B717,crm_orders!$A:$S,10,FALSE),0)</f>
        <v>0</v>
      </c>
      <c r="J717" s="30">
        <f>G717-IFERROR(VLOOKUP(B717,crm_orders!$A:$S,12,FALSE),0)</f>
        <v>0</v>
      </c>
      <c r="K717" s="25" t="str">
        <f>IF(COUNTIF(crm_orders!$A:$A,B717)=0,"Orphan","OK")</f>
        <v>OK</v>
      </c>
    </row>
    <row r="718" ht="15.75" customHeight="1">
      <c r="A718" s="17" t="s">
        <v>1929</v>
      </c>
      <c r="B718" s="17" t="s">
        <v>411</v>
      </c>
      <c r="C718" s="18">
        <v>46107.0</v>
      </c>
      <c r="D718" s="17" t="s">
        <v>291</v>
      </c>
      <c r="E718" s="17" t="s">
        <v>115</v>
      </c>
      <c r="F718" s="21">
        <v>72.0</v>
      </c>
      <c r="G718" s="22">
        <v>786.24</v>
      </c>
      <c r="H718" s="17" t="s">
        <v>1214</v>
      </c>
      <c r="I718" s="22">
        <f>F718-IFERROR(VLOOKUP(B718,crm_orders!$A:$S,10,FALSE),0)</f>
        <v>0</v>
      </c>
      <c r="J718" s="22">
        <f>G718-IFERROR(VLOOKUP(B718,crm_orders!$A:$S,12,FALSE),0)</f>
        <v>0</v>
      </c>
      <c r="K718" s="17" t="str">
        <f>IF(COUNTIF(crm_orders!$A:$A,B718)=0,"Orphan","OK")</f>
        <v>OK</v>
      </c>
    </row>
    <row r="719" ht="15.75" customHeight="1">
      <c r="A719" s="25" t="s">
        <v>1930</v>
      </c>
      <c r="B719" s="25" t="s">
        <v>664</v>
      </c>
      <c r="C719" s="26">
        <v>46073.0</v>
      </c>
      <c r="D719" s="25" t="s">
        <v>547</v>
      </c>
      <c r="E719" s="25" t="s">
        <v>74</v>
      </c>
      <c r="F719" s="29">
        <v>0.0</v>
      </c>
      <c r="G719" s="30">
        <v>0.0</v>
      </c>
      <c r="H719" s="25" t="s">
        <v>93</v>
      </c>
      <c r="I719" s="30">
        <f>F719-IFERROR(VLOOKUP(B719,crm_orders!$A:$S,10,FALSE),0)</f>
        <v>-24</v>
      </c>
      <c r="J719" s="30">
        <f>G719-IFERROR(VLOOKUP(B719,crm_orders!$A:$S,12,FALSE),0)</f>
        <v>-292.8</v>
      </c>
      <c r="K719" s="25" t="str">
        <f>IF(COUNTIF(crm_orders!$A:$A,B719)=0,"Orphan","OK")</f>
        <v>OK</v>
      </c>
    </row>
    <row r="720" ht="15.75" customHeight="1">
      <c r="A720" s="17" t="s">
        <v>1931</v>
      </c>
      <c r="B720" s="17" t="s">
        <v>666</v>
      </c>
      <c r="C720" s="18">
        <v>46084.0</v>
      </c>
      <c r="D720" s="17" t="s">
        <v>542</v>
      </c>
      <c r="E720" s="17" t="s">
        <v>68</v>
      </c>
      <c r="F720" s="21">
        <v>12.0</v>
      </c>
      <c r="G720" s="22">
        <v>117.12</v>
      </c>
      <c r="H720" s="17" t="s">
        <v>1214</v>
      </c>
      <c r="I720" s="22">
        <f>F720-IFERROR(VLOOKUP(B720,crm_orders!$A:$S,10,FALSE),0)</f>
        <v>0</v>
      </c>
      <c r="J720" s="22">
        <f>G720-IFERROR(VLOOKUP(B720,crm_orders!$A:$S,12,FALSE),0)</f>
        <v>0</v>
      </c>
      <c r="K720" s="17" t="str">
        <f>IF(COUNTIF(crm_orders!$A:$A,B720)=0,"Orphan","OK")</f>
        <v>OK</v>
      </c>
    </row>
    <row r="721" ht="15.75" customHeight="1">
      <c r="A721" s="25" t="s">
        <v>1932</v>
      </c>
      <c r="B721" s="25" t="s">
        <v>933</v>
      </c>
      <c r="C721" s="26">
        <v>46092.0</v>
      </c>
      <c r="D721" s="25" t="s">
        <v>855</v>
      </c>
      <c r="E721" s="25" t="s">
        <v>162</v>
      </c>
      <c r="F721" s="29">
        <v>12.0</v>
      </c>
      <c r="G721" s="30">
        <v>119.76</v>
      </c>
      <c r="H721" s="25" t="s">
        <v>1214</v>
      </c>
      <c r="I721" s="30">
        <f>F721-IFERROR(VLOOKUP(B721,crm_orders!$A:$S,10,FALSE),0)</f>
        <v>0</v>
      </c>
      <c r="J721" s="30">
        <f>G721-IFERROR(VLOOKUP(B721,crm_orders!$A:$S,12,FALSE),0)</f>
        <v>0</v>
      </c>
      <c r="K721" s="25" t="str">
        <f>IF(COUNTIF(crm_orders!$A:$A,B721)=0,"Orphan","OK")</f>
        <v>OK</v>
      </c>
    </row>
    <row r="722" ht="15.75" customHeight="1">
      <c r="A722" s="17" t="s">
        <v>1933</v>
      </c>
      <c r="B722" s="17" t="s">
        <v>144</v>
      </c>
      <c r="C722" s="18">
        <v>46113.0</v>
      </c>
      <c r="D722" s="17" t="s">
        <v>80</v>
      </c>
      <c r="E722" s="17" t="s">
        <v>90</v>
      </c>
      <c r="F722" s="21">
        <v>48.0</v>
      </c>
      <c r="G722" s="22">
        <v>395.52</v>
      </c>
      <c r="H722" s="17" t="s">
        <v>1214</v>
      </c>
      <c r="I722" s="22">
        <f>F722-IFERROR(VLOOKUP(B722,crm_orders!$A:$S,10,FALSE),0)</f>
        <v>0</v>
      </c>
      <c r="J722" s="22">
        <f>G722-IFERROR(VLOOKUP(B722,crm_orders!$A:$S,12,FALSE),0)</f>
        <v>0</v>
      </c>
      <c r="K722" s="17" t="str">
        <f>IF(COUNTIF(crm_orders!$A:$A,B722)=0,"Orphan","OK")</f>
        <v>OK</v>
      </c>
    </row>
    <row r="723" ht="15.75" customHeight="1">
      <c r="A723" s="25" t="s">
        <v>1934</v>
      </c>
      <c r="B723" s="25" t="s">
        <v>412</v>
      </c>
      <c r="C723" s="26">
        <v>46121.0</v>
      </c>
      <c r="D723" s="25" t="s">
        <v>305</v>
      </c>
      <c r="E723" s="25" t="s">
        <v>90</v>
      </c>
      <c r="F723" s="29">
        <v>60.0</v>
      </c>
      <c r="G723" s="30">
        <v>416.4</v>
      </c>
      <c r="H723" s="25" t="s">
        <v>1214</v>
      </c>
      <c r="I723" s="30">
        <f>F723-IFERROR(VLOOKUP(B723,crm_orders!$A:$S,10,FALSE),0)</f>
        <v>0</v>
      </c>
      <c r="J723" s="30">
        <f>G723-IFERROR(VLOOKUP(B723,crm_orders!$A:$S,12,FALSE),0)</f>
        <v>0</v>
      </c>
      <c r="K723" s="25" t="str">
        <f>IF(COUNTIF(crm_orders!$A:$A,B723)=0,"Orphan","OK")</f>
        <v>OK</v>
      </c>
    </row>
    <row r="724" ht="15.75" customHeight="1">
      <c r="A724" s="17" t="s">
        <v>1935</v>
      </c>
      <c r="B724" s="17" t="s">
        <v>262</v>
      </c>
      <c r="C724" s="18">
        <v>46151.0</v>
      </c>
      <c r="D724" s="17" t="s">
        <v>207</v>
      </c>
      <c r="E724" s="17" t="s">
        <v>154</v>
      </c>
      <c r="F724" s="21">
        <v>72.0</v>
      </c>
      <c r="G724" s="22">
        <v>752.56</v>
      </c>
      <c r="H724" s="17" t="s">
        <v>1212</v>
      </c>
      <c r="I724" s="22">
        <f>F724-IFERROR(VLOOKUP(B724,crm_orders!$A:$S,10,FALSE),0)</f>
        <v>0</v>
      </c>
      <c r="J724" s="22">
        <f>G724-IFERROR(VLOOKUP(B724,crm_orders!$A:$S,12,FALSE),0)</f>
        <v>-1.28</v>
      </c>
      <c r="K724" s="17" t="str">
        <f>IF(COUNTIF(crm_orders!$A:$A,B724)=0,"Orphan","OK")</f>
        <v>OK</v>
      </c>
    </row>
    <row r="725" ht="15.75" customHeight="1">
      <c r="A725" s="25" t="s">
        <v>1936</v>
      </c>
      <c r="B725" s="25" t="s">
        <v>413</v>
      </c>
      <c r="C725" s="26">
        <v>46090.0</v>
      </c>
      <c r="D725" s="25" t="s">
        <v>293</v>
      </c>
      <c r="E725" s="25" t="s">
        <v>95</v>
      </c>
      <c r="F725" s="29">
        <v>18.0</v>
      </c>
      <c r="G725" s="30">
        <v>174.6</v>
      </c>
      <c r="H725" s="25" t="s">
        <v>1214</v>
      </c>
      <c r="I725" s="30">
        <f>F725-IFERROR(VLOOKUP(B725,crm_orders!$A:$S,10,FALSE),0)</f>
        <v>0</v>
      </c>
      <c r="J725" s="30">
        <f>G725-IFERROR(VLOOKUP(B725,crm_orders!$A:$S,12,FALSE),0)</f>
        <v>0</v>
      </c>
      <c r="K725" s="25" t="str">
        <f>IF(COUNTIF(crm_orders!$A:$A,B725)=0,"Orphan","OK")</f>
        <v>OK</v>
      </c>
    </row>
    <row r="726" ht="15.75" customHeight="1">
      <c r="A726" s="17" t="s">
        <v>1937</v>
      </c>
      <c r="B726" s="17" t="s">
        <v>667</v>
      </c>
      <c r="C726" s="18">
        <v>46080.0</v>
      </c>
      <c r="D726" s="17" t="s">
        <v>566</v>
      </c>
      <c r="E726" s="17" t="s">
        <v>64</v>
      </c>
      <c r="F726" s="21">
        <v>6.0</v>
      </c>
      <c r="G726" s="22">
        <v>50.58</v>
      </c>
      <c r="H726" s="17" t="s">
        <v>1214</v>
      </c>
      <c r="I726" s="22">
        <f>F726-IFERROR(VLOOKUP(B726,crm_orders!$A:$S,10,FALSE),0)</f>
        <v>0</v>
      </c>
      <c r="J726" s="22">
        <f>G726-IFERROR(VLOOKUP(B726,crm_orders!$A:$S,12,FALSE),0)</f>
        <v>0</v>
      </c>
      <c r="K726" s="17" t="str">
        <f>IF(COUNTIF(crm_orders!$A:$A,B726)=0,"Orphan","OK")</f>
        <v>OK</v>
      </c>
    </row>
    <row r="727" ht="15.75" customHeight="1">
      <c r="A727" s="25" t="s">
        <v>1938</v>
      </c>
      <c r="B727" s="25" t="s">
        <v>1116</v>
      </c>
      <c r="C727" s="26">
        <v>46080.0</v>
      </c>
      <c r="D727" s="25" t="s">
        <v>1083</v>
      </c>
      <c r="E727" s="25" t="s">
        <v>81</v>
      </c>
      <c r="F727" s="29">
        <v>0.0</v>
      </c>
      <c r="G727" s="30">
        <v>0.0</v>
      </c>
      <c r="H727" s="25" t="s">
        <v>93</v>
      </c>
      <c r="I727" s="30">
        <f>F727-IFERROR(VLOOKUP(B727,crm_orders!$A:$S,10,FALSE),0)</f>
        <v>-12</v>
      </c>
      <c r="J727" s="30">
        <f>G727-IFERROR(VLOOKUP(B727,crm_orders!$A:$S,12,FALSE),0)</f>
        <v>-93.48</v>
      </c>
      <c r="K727" s="25" t="str">
        <f>IF(COUNTIF(crm_orders!$A:$A,B727)=0,"Orphan","OK")</f>
        <v>OK</v>
      </c>
    </row>
    <row r="728" ht="15.75" customHeight="1">
      <c r="A728" s="17" t="s">
        <v>1939</v>
      </c>
      <c r="B728" s="17" t="s">
        <v>1048</v>
      </c>
      <c r="C728" s="18">
        <v>46131.0</v>
      </c>
      <c r="D728" s="17" t="s">
        <v>984</v>
      </c>
      <c r="E728" s="17" t="s">
        <v>74</v>
      </c>
      <c r="F728" s="21">
        <v>30.0</v>
      </c>
      <c r="G728" s="22">
        <v>355.2</v>
      </c>
      <c r="H728" s="17" t="s">
        <v>1214</v>
      </c>
      <c r="I728" s="22">
        <f>F728-IFERROR(VLOOKUP(B728,crm_orders!$A:$S,10,FALSE),0)</f>
        <v>0</v>
      </c>
      <c r="J728" s="22">
        <f>G728-IFERROR(VLOOKUP(B728,crm_orders!$A:$S,12,FALSE),0)</f>
        <v>0</v>
      </c>
      <c r="K728" s="17" t="str">
        <f>IF(COUNTIF(crm_orders!$A:$A,B728)=0,"Orphan","OK")</f>
        <v>OK</v>
      </c>
    </row>
    <row r="729" ht="15.75" customHeight="1">
      <c r="A729" s="25" t="s">
        <v>1940</v>
      </c>
      <c r="B729" s="25" t="s">
        <v>146</v>
      </c>
      <c r="C729" s="26">
        <v>46116.0</v>
      </c>
      <c r="D729" s="25" t="s">
        <v>87</v>
      </c>
      <c r="E729" s="25" t="s">
        <v>81</v>
      </c>
      <c r="F729" s="29">
        <v>0.0</v>
      </c>
      <c r="G729" s="30">
        <v>0.0</v>
      </c>
      <c r="H729" s="25" t="s">
        <v>93</v>
      </c>
      <c r="I729" s="30">
        <f>F729-IFERROR(VLOOKUP(B729,crm_orders!$A:$S,10,FALSE),0)</f>
        <v>-12</v>
      </c>
      <c r="J729" s="30">
        <f>G729-IFERROR(VLOOKUP(B729,crm_orders!$A:$S,12,FALSE),0)</f>
        <v>-89.52</v>
      </c>
      <c r="K729" s="25" t="str">
        <f>IF(COUNTIF(crm_orders!$A:$A,B729)=0,"Orphan","OK")</f>
        <v>OK</v>
      </c>
    </row>
    <row r="730" ht="15.75" customHeight="1">
      <c r="A730" s="17" t="s">
        <v>1941</v>
      </c>
      <c r="B730" s="17" t="s">
        <v>414</v>
      </c>
      <c r="C730" s="18">
        <v>46058.0</v>
      </c>
      <c r="D730" s="17" t="s">
        <v>310</v>
      </c>
      <c r="E730" s="17" t="s">
        <v>162</v>
      </c>
      <c r="F730" s="21">
        <v>96.0</v>
      </c>
      <c r="G730" s="22">
        <v>968.81</v>
      </c>
      <c r="H730" s="17" t="s">
        <v>1212</v>
      </c>
      <c r="I730" s="22">
        <f>F730-IFERROR(VLOOKUP(B730,crm_orders!$A:$S,10,FALSE),0)</f>
        <v>0</v>
      </c>
      <c r="J730" s="22">
        <f>G730-IFERROR(VLOOKUP(B730,crm_orders!$A:$S,12,FALSE),0)</f>
        <v>-4.63</v>
      </c>
      <c r="K730" s="17" t="str">
        <f>IF(COUNTIF(crm_orders!$A:$A,B730)=0,"Orphan","OK")</f>
        <v>OK</v>
      </c>
    </row>
    <row r="731" ht="15.75" customHeight="1">
      <c r="A731" s="25" t="s">
        <v>1942</v>
      </c>
      <c r="B731" s="25" t="s">
        <v>934</v>
      </c>
      <c r="C731" s="26">
        <v>46076.0</v>
      </c>
      <c r="D731" s="25" t="s">
        <v>868</v>
      </c>
      <c r="E731" s="25" t="s">
        <v>156</v>
      </c>
      <c r="F731" s="29">
        <v>48.0</v>
      </c>
      <c r="G731" s="30">
        <v>449.28</v>
      </c>
      <c r="H731" s="25" t="s">
        <v>1214</v>
      </c>
      <c r="I731" s="30">
        <f>F731-IFERROR(VLOOKUP(B731,crm_orders!$A:$S,10,FALSE),0)</f>
        <v>0</v>
      </c>
      <c r="J731" s="30">
        <f>G731-IFERROR(VLOOKUP(B731,crm_orders!$A:$S,12,FALSE),0)</f>
        <v>0</v>
      </c>
      <c r="K731" s="25" t="str">
        <f>IF(COUNTIF(crm_orders!$A:$A,B731)=0,"Orphan","OK")</f>
        <v>OK</v>
      </c>
    </row>
    <row r="732" ht="15.75" customHeight="1">
      <c r="A732" s="17" t="s">
        <v>1943</v>
      </c>
      <c r="B732" s="17" t="s">
        <v>829</v>
      </c>
      <c r="C732" s="18">
        <v>46045.0</v>
      </c>
      <c r="D732" s="17" t="s">
        <v>712</v>
      </c>
      <c r="E732" s="17" t="s">
        <v>81</v>
      </c>
      <c r="F732" s="21">
        <v>24.0</v>
      </c>
      <c r="G732" s="22">
        <v>161.52</v>
      </c>
      <c r="H732" s="17" t="s">
        <v>93</v>
      </c>
      <c r="I732" s="22">
        <f>F732-IFERROR(VLOOKUP(B732,crm_orders!$A:$S,10,FALSE),0)</f>
        <v>-6</v>
      </c>
      <c r="J732" s="22">
        <f>G732-IFERROR(VLOOKUP(B732,crm_orders!$A:$S,12,FALSE),0)</f>
        <v>-40.38</v>
      </c>
      <c r="K732" s="17" t="str">
        <f>IF(COUNTIF(crm_orders!$A:$A,B732)=0,"Orphan","OK")</f>
        <v>OK</v>
      </c>
    </row>
    <row r="733" ht="15.75" customHeight="1">
      <c r="A733" s="25" t="s">
        <v>1944</v>
      </c>
      <c r="B733" s="25" t="s">
        <v>668</v>
      </c>
      <c r="C733" s="26">
        <v>46067.0</v>
      </c>
      <c r="D733" s="25" t="s">
        <v>575</v>
      </c>
      <c r="E733" s="25" t="s">
        <v>71</v>
      </c>
      <c r="F733" s="29">
        <v>18.0</v>
      </c>
      <c r="G733" s="30">
        <v>130.42</v>
      </c>
      <c r="H733" s="25" t="s">
        <v>1212</v>
      </c>
      <c r="I733" s="30">
        <f>F733-IFERROR(VLOOKUP(B733,crm_orders!$A:$S,10,FALSE),0)</f>
        <v>0</v>
      </c>
      <c r="J733" s="30">
        <f>G733-IFERROR(VLOOKUP(B733,crm_orders!$A:$S,12,FALSE),0)</f>
        <v>4.06</v>
      </c>
      <c r="K733" s="25" t="str">
        <f>IF(COUNTIF(crm_orders!$A:$A,B733)=0,"Orphan","OK")</f>
        <v>OK</v>
      </c>
    </row>
    <row r="734" ht="15.75" customHeight="1">
      <c r="A734" s="17" t="s">
        <v>1945</v>
      </c>
      <c r="B734" s="17" t="s">
        <v>415</v>
      </c>
      <c r="C734" s="18">
        <v>46144.0</v>
      </c>
      <c r="D734" s="17" t="s">
        <v>339</v>
      </c>
      <c r="E734" s="17" t="s">
        <v>106</v>
      </c>
      <c r="F734" s="21">
        <v>12.0</v>
      </c>
      <c r="G734" s="22">
        <v>117.48</v>
      </c>
      <c r="H734" s="17" t="s">
        <v>1214</v>
      </c>
      <c r="I734" s="22">
        <f>F734-IFERROR(VLOOKUP(B734,crm_orders!$A:$S,10,FALSE),0)</f>
        <v>0</v>
      </c>
      <c r="J734" s="22">
        <f>G734-IFERROR(VLOOKUP(B734,crm_orders!$A:$S,12,FALSE),0)</f>
        <v>0</v>
      </c>
      <c r="K734" s="17" t="str">
        <f>IF(COUNTIF(crm_orders!$A:$A,B734)=0,"Orphan","OK")</f>
        <v>OK</v>
      </c>
    </row>
    <row r="735" ht="15.75" customHeight="1">
      <c r="A735" s="25" t="s">
        <v>1946</v>
      </c>
      <c r="B735" s="25" t="s">
        <v>1050</v>
      </c>
      <c r="C735" s="26">
        <v>46059.0</v>
      </c>
      <c r="D735" s="25" t="s">
        <v>950</v>
      </c>
      <c r="E735" s="25" t="s">
        <v>78</v>
      </c>
      <c r="F735" s="29">
        <v>6.0</v>
      </c>
      <c r="G735" s="30">
        <v>62.39</v>
      </c>
      <c r="H735" s="25" t="s">
        <v>1212</v>
      </c>
      <c r="I735" s="30">
        <f>F735-IFERROR(VLOOKUP(B735,crm_orders!$A:$S,10,FALSE),0)</f>
        <v>0</v>
      </c>
      <c r="J735" s="30">
        <f>G735-IFERROR(VLOOKUP(B735,crm_orders!$A:$S,12,FALSE),0)</f>
        <v>0.23</v>
      </c>
      <c r="K735" s="25" t="str">
        <f>IF(COUNTIF(crm_orders!$A:$A,B735)=0,"Orphan","OK")</f>
        <v>OK</v>
      </c>
    </row>
    <row r="736" ht="15.75" customHeight="1">
      <c r="A736" s="17" t="s">
        <v>1947</v>
      </c>
      <c r="B736" s="17" t="s">
        <v>1051</v>
      </c>
      <c r="C736" s="18">
        <v>46088.0</v>
      </c>
      <c r="D736" s="17" t="s">
        <v>953</v>
      </c>
      <c r="E736" s="17" t="s">
        <v>108</v>
      </c>
      <c r="F736" s="21">
        <v>12.0</v>
      </c>
      <c r="G736" s="22">
        <v>137.88</v>
      </c>
      <c r="H736" s="17" t="s">
        <v>1214</v>
      </c>
      <c r="I736" s="22">
        <f>F736-IFERROR(VLOOKUP(B736,crm_orders!$A:$S,10,FALSE),0)</f>
        <v>0</v>
      </c>
      <c r="J736" s="22">
        <f>G736-IFERROR(VLOOKUP(B736,crm_orders!$A:$S,12,FALSE),0)</f>
        <v>0</v>
      </c>
      <c r="K736" s="17" t="str">
        <f>IF(COUNTIF(crm_orders!$A:$A,B736)=0,"Orphan","OK")</f>
        <v>OK</v>
      </c>
    </row>
    <row r="737" ht="15.75" customHeight="1">
      <c r="A737" s="25" t="s">
        <v>1948</v>
      </c>
      <c r="B737" s="25" t="s">
        <v>416</v>
      </c>
      <c r="C737" s="26">
        <v>46099.0</v>
      </c>
      <c r="D737" s="25" t="s">
        <v>310</v>
      </c>
      <c r="E737" s="25" t="s">
        <v>123</v>
      </c>
      <c r="F737" s="29">
        <v>48.0</v>
      </c>
      <c r="G737" s="30">
        <v>563.52</v>
      </c>
      <c r="H737" s="25" t="s">
        <v>1214</v>
      </c>
      <c r="I737" s="30">
        <f>F737-IFERROR(VLOOKUP(B737,crm_orders!$A:$S,10,FALSE),0)</f>
        <v>0</v>
      </c>
      <c r="J737" s="30">
        <f>G737-IFERROR(VLOOKUP(B737,crm_orders!$A:$S,12,FALSE),0)</f>
        <v>0</v>
      </c>
      <c r="K737" s="25" t="str">
        <f>IF(COUNTIF(crm_orders!$A:$A,B737)=0,"Orphan","OK")</f>
        <v>OK</v>
      </c>
    </row>
    <row r="738" ht="15.75" customHeight="1">
      <c r="A738" s="17" t="s">
        <v>1949</v>
      </c>
      <c r="B738" s="17" t="s">
        <v>264</v>
      </c>
      <c r="C738" s="18">
        <v>46034.0</v>
      </c>
      <c r="D738" s="17" t="s">
        <v>184</v>
      </c>
      <c r="E738" s="17" t="s">
        <v>154</v>
      </c>
      <c r="F738" s="21">
        <v>6.0</v>
      </c>
      <c r="G738" s="22">
        <v>70.08</v>
      </c>
      <c r="H738" s="17" t="s">
        <v>1214</v>
      </c>
      <c r="I738" s="22">
        <f>F738-IFERROR(VLOOKUP(B738,crm_orders!$A:$S,10,FALSE),0)</f>
        <v>0</v>
      </c>
      <c r="J738" s="22">
        <f>G738-IFERROR(VLOOKUP(B738,crm_orders!$A:$S,12,FALSE),0)</f>
        <v>0</v>
      </c>
      <c r="K738" s="17" t="str">
        <f>IF(COUNTIF(crm_orders!$A:$A,B738)=0,"Orphan","OK")</f>
        <v>OK</v>
      </c>
    </row>
    <row r="739" ht="15.75" customHeight="1">
      <c r="A739" s="25" t="s">
        <v>1950</v>
      </c>
      <c r="B739" s="25" t="s">
        <v>521</v>
      </c>
      <c r="C739" s="26">
        <v>46136.0</v>
      </c>
      <c r="D739" s="25" t="s">
        <v>446</v>
      </c>
      <c r="E739" s="25" t="s">
        <v>64</v>
      </c>
      <c r="F739" s="29">
        <v>72.0</v>
      </c>
      <c r="G739" s="30">
        <v>533.52</v>
      </c>
      <c r="H739" s="25" t="s">
        <v>1214</v>
      </c>
      <c r="I739" s="30">
        <f>F739-IFERROR(VLOOKUP(B739,crm_orders!$A:$S,10,FALSE),0)</f>
        <v>0</v>
      </c>
      <c r="J739" s="30">
        <f>G739-IFERROR(VLOOKUP(B739,crm_orders!$A:$S,12,FALSE),0)</f>
        <v>0</v>
      </c>
      <c r="K739" s="25" t="str">
        <f>IF(COUNTIF(crm_orders!$A:$A,B739)=0,"Orphan","OK")</f>
        <v>OK</v>
      </c>
    </row>
    <row r="740" ht="15.75" customHeight="1">
      <c r="A740" s="17" t="s">
        <v>1951</v>
      </c>
      <c r="B740" s="17" t="s">
        <v>1117</v>
      </c>
      <c r="C740" s="18">
        <v>46122.0</v>
      </c>
      <c r="D740" s="17" t="s">
        <v>1083</v>
      </c>
      <c r="E740" s="17" t="s">
        <v>85</v>
      </c>
      <c r="F740" s="21">
        <v>72.0</v>
      </c>
      <c r="G740" s="22">
        <v>811.44</v>
      </c>
      <c r="H740" s="17" t="s">
        <v>1214</v>
      </c>
      <c r="I740" s="22">
        <f>F740-IFERROR(VLOOKUP(B740,crm_orders!$A:$S,10,FALSE),0)</f>
        <v>0</v>
      </c>
      <c r="J740" s="22">
        <f>G740-IFERROR(VLOOKUP(B740,crm_orders!$A:$S,12,FALSE),0)</f>
        <v>0</v>
      </c>
      <c r="K740" s="17" t="str">
        <f>IF(COUNTIF(crm_orders!$A:$A,B740)=0,"Orphan","OK")</f>
        <v>OK</v>
      </c>
    </row>
    <row r="741" ht="15.75" customHeight="1">
      <c r="A741" s="25" t="s">
        <v>1952</v>
      </c>
      <c r="B741" s="25" t="s">
        <v>417</v>
      </c>
      <c r="C741" s="26">
        <v>46028.0</v>
      </c>
      <c r="D741" s="25" t="s">
        <v>295</v>
      </c>
      <c r="E741" s="25" t="s">
        <v>92</v>
      </c>
      <c r="F741" s="29">
        <v>0.0</v>
      </c>
      <c r="G741" s="30">
        <v>0.0</v>
      </c>
      <c r="H741" s="25" t="s">
        <v>93</v>
      </c>
      <c r="I741" s="30">
        <f>F741-IFERROR(VLOOKUP(B741,crm_orders!$A:$S,10,FALSE),0)</f>
        <v>-18</v>
      </c>
      <c r="J741" s="30">
        <f>G741-IFERROR(VLOOKUP(B741,crm_orders!$A:$S,12,FALSE),0)</f>
        <v>-194.58</v>
      </c>
      <c r="K741" s="25" t="str">
        <f>IF(COUNTIF(crm_orders!$A:$A,B741)=0,"Orphan","OK")</f>
        <v>OK</v>
      </c>
    </row>
    <row r="742" ht="15.75" customHeight="1">
      <c r="A742" s="17" t="s">
        <v>1953</v>
      </c>
      <c r="B742" s="17" t="s">
        <v>418</v>
      </c>
      <c r="C742" s="18">
        <v>46127.0</v>
      </c>
      <c r="D742" s="17" t="s">
        <v>314</v>
      </c>
      <c r="E742" s="17" t="s">
        <v>90</v>
      </c>
      <c r="F742" s="21">
        <v>48.0</v>
      </c>
      <c r="G742" s="22">
        <v>362.88</v>
      </c>
      <c r="H742" s="17" t="s">
        <v>1214</v>
      </c>
      <c r="I742" s="22">
        <f>F742-IFERROR(VLOOKUP(B742,crm_orders!$A:$S,10,FALSE),0)</f>
        <v>0</v>
      </c>
      <c r="J742" s="22">
        <f>G742-IFERROR(VLOOKUP(B742,crm_orders!$A:$S,12,FALSE),0)</f>
        <v>0</v>
      </c>
      <c r="K742" s="17" t="str">
        <f>IF(COUNTIF(crm_orders!$A:$A,B742)=0,"Orphan","OK")</f>
        <v>OK</v>
      </c>
    </row>
    <row r="743" ht="15.75" customHeight="1">
      <c r="A743" s="25" t="s">
        <v>1954</v>
      </c>
      <c r="B743" s="25" t="s">
        <v>830</v>
      </c>
      <c r="C743" s="26">
        <v>46116.0</v>
      </c>
      <c r="D743" s="25" t="s">
        <v>708</v>
      </c>
      <c r="E743" s="25" t="s">
        <v>74</v>
      </c>
      <c r="F743" s="29">
        <v>12.0</v>
      </c>
      <c r="G743" s="30">
        <v>133.92</v>
      </c>
      <c r="H743" s="25" t="s">
        <v>1214</v>
      </c>
      <c r="I743" s="30">
        <f>F743-IFERROR(VLOOKUP(B743,crm_orders!$A:$S,10,FALSE),0)</f>
        <v>0</v>
      </c>
      <c r="J743" s="30">
        <f>G743-IFERROR(VLOOKUP(B743,crm_orders!$A:$S,12,FALSE),0)</f>
        <v>0</v>
      </c>
      <c r="K743" s="25" t="str">
        <f>IF(COUNTIF(crm_orders!$A:$A,B743)=0,"Orphan","OK")</f>
        <v>OK</v>
      </c>
    </row>
    <row r="744" ht="15.75" customHeight="1">
      <c r="A744" s="17" t="s">
        <v>1955</v>
      </c>
      <c r="B744" s="17" t="s">
        <v>669</v>
      </c>
      <c r="C744" s="18">
        <v>46044.0</v>
      </c>
      <c r="D744" s="17" t="s">
        <v>588</v>
      </c>
      <c r="E744" s="17" t="s">
        <v>156</v>
      </c>
      <c r="F744" s="21">
        <v>60.0</v>
      </c>
      <c r="G744" s="22">
        <v>584.4</v>
      </c>
      <c r="H744" s="17" t="s">
        <v>1214</v>
      </c>
      <c r="I744" s="22">
        <f>F744-IFERROR(VLOOKUP(B744,crm_orders!$A:$S,10,FALSE),0)</f>
        <v>0</v>
      </c>
      <c r="J744" s="22">
        <f>G744-IFERROR(VLOOKUP(B744,crm_orders!$A:$S,12,FALSE),0)</f>
        <v>0</v>
      </c>
      <c r="K744" s="17" t="str">
        <f>IF(COUNTIF(crm_orders!$A:$A,B744)=0,"Orphan","OK")</f>
        <v>OK</v>
      </c>
    </row>
    <row r="745" ht="15.75" customHeight="1">
      <c r="A745" s="25" t="s">
        <v>1956</v>
      </c>
      <c r="B745" s="25" t="s">
        <v>670</v>
      </c>
      <c r="C745" s="26">
        <v>46051.0</v>
      </c>
      <c r="D745" s="25" t="s">
        <v>553</v>
      </c>
      <c r="E745" s="25" t="s">
        <v>68</v>
      </c>
      <c r="F745" s="29">
        <v>12.0</v>
      </c>
      <c r="G745" s="30">
        <v>133.92</v>
      </c>
      <c r="H745" s="25" t="s">
        <v>1214</v>
      </c>
      <c r="I745" s="30">
        <f>F745-IFERROR(VLOOKUP(B745,crm_orders!$A:$S,10,FALSE),0)</f>
        <v>0</v>
      </c>
      <c r="J745" s="30">
        <f>G745-IFERROR(VLOOKUP(B745,crm_orders!$A:$S,12,FALSE),0)</f>
        <v>0</v>
      </c>
      <c r="K745" s="25" t="str">
        <f>IF(COUNTIF(crm_orders!$A:$A,B745)=0,"Orphan","OK")</f>
        <v>OK</v>
      </c>
    </row>
    <row r="746" ht="15.75" customHeight="1">
      <c r="A746" s="17" t="s">
        <v>1957</v>
      </c>
      <c r="B746" s="17" t="s">
        <v>1053</v>
      </c>
      <c r="C746" s="18">
        <v>46071.0</v>
      </c>
      <c r="D746" s="17" t="s">
        <v>965</v>
      </c>
      <c r="E746" s="17" t="s">
        <v>95</v>
      </c>
      <c r="F746" s="21">
        <v>60.0</v>
      </c>
      <c r="G746" s="22">
        <v>681.0</v>
      </c>
      <c r="H746" s="17" t="s">
        <v>1214</v>
      </c>
      <c r="I746" s="22">
        <f>F746-IFERROR(VLOOKUP(B746,crm_orders!$A:$S,10,FALSE),0)</f>
        <v>0</v>
      </c>
      <c r="J746" s="22">
        <f>G746-IFERROR(VLOOKUP(B746,crm_orders!$A:$S,12,FALSE),0)</f>
        <v>0</v>
      </c>
      <c r="K746" s="17" t="str">
        <f>IF(COUNTIF(crm_orders!$A:$A,B746)=0,"Orphan","OK")</f>
        <v>OK</v>
      </c>
    </row>
    <row r="747" ht="15.75" customHeight="1">
      <c r="A747" s="25" t="s">
        <v>1958</v>
      </c>
      <c r="B747" s="25" t="s">
        <v>1187</v>
      </c>
      <c r="C747" s="26">
        <v>46102.0</v>
      </c>
      <c r="D747" s="25" t="s">
        <v>1133</v>
      </c>
      <c r="E747" s="25" t="s">
        <v>115</v>
      </c>
      <c r="F747" s="29">
        <v>72.0</v>
      </c>
      <c r="G747" s="30">
        <v>809.28</v>
      </c>
      <c r="H747" s="25" t="s">
        <v>1214</v>
      </c>
      <c r="I747" s="30">
        <f>F747-IFERROR(VLOOKUP(B747,crm_orders!$A:$S,10,FALSE),0)</f>
        <v>0</v>
      </c>
      <c r="J747" s="30">
        <f>G747-IFERROR(VLOOKUP(B747,crm_orders!$A:$S,12,FALSE),0)</f>
        <v>0</v>
      </c>
      <c r="K747" s="25" t="str">
        <f>IF(COUNTIF(crm_orders!$A:$A,B747)=0,"Orphan","OK")</f>
        <v>OK</v>
      </c>
    </row>
    <row r="748" ht="15.75" customHeight="1">
      <c r="A748" s="17" t="s">
        <v>1959</v>
      </c>
      <c r="B748" s="17" t="s">
        <v>1188</v>
      </c>
      <c r="C748" s="18">
        <v>46107.0</v>
      </c>
      <c r="D748" s="17" t="s">
        <v>1129</v>
      </c>
      <c r="E748" s="17" t="s">
        <v>110</v>
      </c>
      <c r="F748" s="21">
        <v>18.0</v>
      </c>
      <c r="G748" s="22">
        <v>207.72</v>
      </c>
      <c r="H748" s="17" t="s">
        <v>1214</v>
      </c>
      <c r="I748" s="22">
        <f>F748-IFERROR(VLOOKUP(B748,crm_orders!$A:$S,10,FALSE),0)</f>
        <v>0</v>
      </c>
      <c r="J748" s="22">
        <f>G748-IFERROR(VLOOKUP(B748,crm_orders!$A:$S,12,FALSE),0)</f>
        <v>0</v>
      </c>
      <c r="K748" s="17" t="str">
        <f>IF(COUNTIF(crm_orders!$A:$A,B748)=0,"Orphan","OK")</f>
        <v>OK</v>
      </c>
    </row>
    <row r="749" ht="15.75" customHeight="1">
      <c r="A749" s="25" t="s">
        <v>1960</v>
      </c>
      <c r="B749" s="25" t="s">
        <v>1054</v>
      </c>
      <c r="C749" s="26">
        <v>46141.0</v>
      </c>
      <c r="D749" s="25" t="s">
        <v>999</v>
      </c>
      <c r="E749" s="25" t="s">
        <v>162</v>
      </c>
      <c r="F749" s="29">
        <v>120.0</v>
      </c>
      <c r="G749" s="30">
        <v>1112.4</v>
      </c>
      <c r="H749" s="25" t="s">
        <v>1214</v>
      </c>
      <c r="I749" s="30">
        <f>F749-IFERROR(VLOOKUP(B749,crm_orders!$A:$S,10,FALSE),0)</f>
        <v>0</v>
      </c>
      <c r="J749" s="30">
        <f>G749-IFERROR(VLOOKUP(B749,crm_orders!$A:$S,12,FALSE),0)</f>
        <v>0</v>
      </c>
      <c r="K749" s="25" t="str">
        <f>IF(COUNTIF(crm_orders!$A:$A,B749)=0,"Orphan","OK")</f>
        <v>OK</v>
      </c>
    </row>
    <row r="750" ht="15.75" customHeight="1">
      <c r="A750" s="17" t="s">
        <v>1961</v>
      </c>
      <c r="B750" s="17" t="s">
        <v>1055</v>
      </c>
      <c r="C750" s="18">
        <v>46154.0</v>
      </c>
      <c r="D750" s="17" t="s">
        <v>961</v>
      </c>
      <c r="E750" s="17" t="s">
        <v>156</v>
      </c>
      <c r="F750" s="21">
        <v>48.0</v>
      </c>
      <c r="G750" s="22">
        <v>493.44</v>
      </c>
      <c r="H750" s="17" t="s">
        <v>1214</v>
      </c>
      <c r="I750" s="22">
        <f>F750-IFERROR(VLOOKUP(B750,crm_orders!$A:$S,10,FALSE),0)</f>
        <v>0</v>
      </c>
      <c r="J750" s="22">
        <f>G750-IFERROR(VLOOKUP(B750,crm_orders!$A:$S,12,FALSE),0)</f>
        <v>0</v>
      </c>
      <c r="K750" s="17" t="str">
        <f>IF(COUNTIF(crm_orders!$A:$A,B750)=0,"Orphan","OK")</f>
        <v>OK</v>
      </c>
    </row>
    <row r="751" ht="15.75" customHeight="1">
      <c r="A751" s="25" t="s">
        <v>1962</v>
      </c>
      <c r="B751" s="25" t="s">
        <v>1056</v>
      </c>
      <c r="C751" s="26">
        <v>46122.0</v>
      </c>
      <c r="D751" s="25" t="s">
        <v>999</v>
      </c>
      <c r="E751" s="25" t="s">
        <v>78</v>
      </c>
      <c r="F751" s="29">
        <v>72.0</v>
      </c>
      <c r="G751" s="30">
        <v>768.96</v>
      </c>
      <c r="H751" s="25" t="s">
        <v>1214</v>
      </c>
      <c r="I751" s="30">
        <f>F751-IFERROR(VLOOKUP(B751,crm_orders!$A:$S,10,FALSE),0)</f>
        <v>0</v>
      </c>
      <c r="J751" s="30">
        <f>G751-IFERROR(VLOOKUP(B751,crm_orders!$A:$S,12,FALSE),0)</f>
        <v>0</v>
      </c>
      <c r="K751" s="25" t="str">
        <f>IF(COUNTIF(crm_orders!$A:$A,B751)=0,"Orphan","OK")</f>
        <v>OK</v>
      </c>
    </row>
    <row r="752" ht="15.75" customHeight="1">
      <c r="A752" s="17" t="s">
        <v>1963</v>
      </c>
      <c r="B752" s="17" t="s">
        <v>419</v>
      </c>
      <c r="C752" s="18">
        <v>46074.0</v>
      </c>
      <c r="D752" s="17" t="s">
        <v>320</v>
      </c>
      <c r="E752" s="17" t="s">
        <v>74</v>
      </c>
      <c r="F752" s="21">
        <v>6.0</v>
      </c>
      <c r="G752" s="22">
        <v>67.5</v>
      </c>
      <c r="H752" s="17" t="s">
        <v>1214</v>
      </c>
      <c r="I752" s="22">
        <f>F752-IFERROR(VLOOKUP(B752,crm_orders!$A:$S,10,FALSE),0)</f>
        <v>0</v>
      </c>
      <c r="J752" s="22">
        <f>G752-IFERROR(VLOOKUP(B752,crm_orders!$A:$S,12,FALSE),0)</f>
        <v>0</v>
      </c>
      <c r="K752" s="17" t="str">
        <f>IF(COUNTIF(crm_orders!$A:$A,B752)=0,"Orphan","OK")</f>
        <v>OK</v>
      </c>
    </row>
    <row r="753" ht="15.75" customHeight="1">
      <c r="A753" s="25" t="s">
        <v>1964</v>
      </c>
      <c r="B753" s="25" t="s">
        <v>831</v>
      </c>
      <c r="C753" s="26">
        <v>46036.0</v>
      </c>
      <c r="D753" s="25" t="s">
        <v>698</v>
      </c>
      <c r="E753" s="25" t="s">
        <v>108</v>
      </c>
      <c r="F753" s="29">
        <v>24.0</v>
      </c>
      <c r="G753" s="30">
        <v>242.4</v>
      </c>
      <c r="H753" s="25" t="s">
        <v>1214</v>
      </c>
      <c r="I753" s="30">
        <f>F753-IFERROR(VLOOKUP(B753,crm_orders!$A:$S,10,FALSE),0)</f>
        <v>0</v>
      </c>
      <c r="J753" s="30">
        <f>G753-IFERROR(VLOOKUP(B753,crm_orders!$A:$S,12,FALSE),0)</f>
        <v>0</v>
      </c>
      <c r="K753" s="25" t="str">
        <f>IF(COUNTIF(crm_orders!$A:$A,B753)=0,"Orphan","OK")</f>
        <v>OK</v>
      </c>
    </row>
    <row r="754" ht="15.75" customHeight="1">
      <c r="A754" s="17" t="s">
        <v>1965</v>
      </c>
      <c r="B754" s="17" t="s">
        <v>671</v>
      </c>
      <c r="C754" s="18">
        <v>46138.0</v>
      </c>
      <c r="D754" s="17" t="s">
        <v>540</v>
      </c>
      <c r="E754" s="17" t="s">
        <v>64</v>
      </c>
      <c r="F754" s="21">
        <v>120.0</v>
      </c>
      <c r="G754" s="22">
        <v>1010.4</v>
      </c>
      <c r="H754" s="17" t="s">
        <v>1214</v>
      </c>
      <c r="I754" s="22">
        <f>F754-IFERROR(VLOOKUP(B754,crm_orders!$A:$S,10,FALSE),0)</f>
        <v>0</v>
      </c>
      <c r="J754" s="22">
        <f>G754-IFERROR(VLOOKUP(B754,crm_orders!$A:$S,12,FALSE),0)</f>
        <v>0</v>
      </c>
      <c r="K754" s="17" t="str">
        <f>IF(COUNTIF(crm_orders!$A:$A,B754)=0,"Orphan","OK")</f>
        <v>OK</v>
      </c>
    </row>
    <row r="755" ht="15.75" customHeight="1">
      <c r="A755" s="25" t="s">
        <v>1966</v>
      </c>
      <c r="B755" s="25" t="s">
        <v>1189</v>
      </c>
      <c r="C755" s="26">
        <v>46101.0</v>
      </c>
      <c r="D755" s="25" t="s">
        <v>1124</v>
      </c>
      <c r="E755" s="25" t="s">
        <v>92</v>
      </c>
      <c r="F755" s="29">
        <v>30.0</v>
      </c>
      <c r="G755" s="30">
        <v>342.9</v>
      </c>
      <c r="H755" s="25" t="s">
        <v>1212</v>
      </c>
      <c r="I755" s="30">
        <f>F755-IFERROR(VLOOKUP(B755,crm_orders!$A:$S,10,FALSE),0)</f>
        <v>6</v>
      </c>
      <c r="J755" s="30">
        <f>G755-IFERROR(VLOOKUP(B755,crm_orders!$A:$S,12,FALSE),0)</f>
        <v>68.58</v>
      </c>
      <c r="K755" s="25" t="str">
        <f>IF(COUNTIF(crm_orders!$A:$A,B755)=0,"Orphan","OK")</f>
        <v>OK</v>
      </c>
    </row>
    <row r="756" ht="15.75" customHeight="1">
      <c r="A756" s="17" t="s">
        <v>1967</v>
      </c>
      <c r="B756" s="17" t="s">
        <v>832</v>
      </c>
      <c r="C756" s="18">
        <v>46120.0</v>
      </c>
      <c r="D756" s="17" t="s">
        <v>712</v>
      </c>
      <c r="E756" s="17" t="s">
        <v>71</v>
      </c>
      <c r="F756" s="21">
        <v>48.0</v>
      </c>
      <c r="G756" s="22">
        <v>352.32</v>
      </c>
      <c r="H756" s="17" t="s">
        <v>1214</v>
      </c>
      <c r="I756" s="22">
        <f>F756-IFERROR(VLOOKUP(B756,crm_orders!$A:$S,10,FALSE),0)</f>
        <v>0</v>
      </c>
      <c r="J756" s="22">
        <f>G756-IFERROR(VLOOKUP(B756,crm_orders!$A:$S,12,FALSE),0)</f>
        <v>0</v>
      </c>
      <c r="K756" s="17" t="str">
        <f>IF(COUNTIF(crm_orders!$A:$A,B756)=0,"Orphan","OK")</f>
        <v>OK</v>
      </c>
    </row>
    <row r="757" ht="15.75" customHeight="1">
      <c r="A757" s="25" t="s">
        <v>1968</v>
      </c>
      <c r="B757" s="25" t="s">
        <v>266</v>
      </c>
      <c r="C757" s="26">
        <v>46114.0</v>
      </c>
      <c r="D757" s="25" t="s">
        <v>170</v>
      </c>
      <c r="E757" s="25" t="s">
        <v>71</v>
      </c>
      <c r="F757" s="29">
        <v>12.0</v>
      </c>
      <c r="G757" s="30">
        <v>90.0</v>
      </c>
      <c r="H757" s="25" t="s">
        <v>1214</v>
      </c>
      <c r="I757" s="30">
        <f>F757-IFERROR(VLOOKUP(B757,crm_orders!$A:$S,10,FALSE),0)</f>
        <v>0</v>
      </c>
      <c r="J757" s="30">
        <f>G757-IFERROR(VLOOKUP(B757,crm_orders!$A:$S,12,FALSE),0)</f>
        <v>0</v>
      </c>
      <c r="K757" s="25" t="str">
        <f>IF(COUNTIF(crm_orders!$A:$A,B757)=0,"Orphan","OK")</f>
        <v>OK</v>
      </c>
    </row>
    <row r="758" ht="15.75" customHeight="1">
      <c r="A758" s="17" t="s">
        <v>1969</v>
      </c>
      <c r="B758" s="17" t="s">
        <v>522</v>
      </c>
      <c r="C758" s="18">
        <v>46030.0</v>
      </c>
      <c r="D758" s="17" t="s">
        <v>464</v>
      </c>
      <c r="E758" s="17" t="s">
        <v>78</v>
      </c>
      <c r="F758" s="21">
        <v>96.0</v>
      </c>
      <c r="G758" s="22">
        <v>1076.16</v>
      </c>
      <c r="H758" s="17" t="s">
        <v>1214</v>
      </c>
      <c r="I758" s="22">
        <f>F758-IFERROR(VLOOKUP(B758,crm_orders!$A:$S,10,FALSE),0)</f>
        <v>0</v>
      </c>
      <c r="J758" s="22">
        <f>G758-IFERROR(VLOOKUP(B758,crm_orders!$A:$S,12,FALSE),0)</f>
        <v>0</v>
      </c>
      <c r="K758" s="17" t="str">
        <f>IF(COUNTIF(crm_orders!$A:$A,B758)=0,"Orphan","OK")</f>
        <v>OK</v>
      </c>
    </row>
    <row r="759" ht="15.75" customHeight="1">
      <c r="A759" s="25" t="s">
        <v>1970</v>
      </c>
      <c r="B759" s="25" t="s">
        <v>833</v>
      </c>
      <c r="C759" s="26">
        <v>46089.0</v>
      </c>
      <c r="D759" s="25" t="s">
        <v>720</v>
      </c>
      <c r="E759" s="25" t="s">
        <v>108</v>
      </c>
      <c r="F759" s="29">
        <v>96.0</v>
      </c>
      <c r="G759" s="30">
        <v>1020.48</v>
      </c>
      <c r="H759" s="25" t="s">
        <v>1214</v>
      </c>
      <c r="I759" s="30">
        <f>F759-IFERROR(VLOOKUP(B759,crm_orders!$A:$S,10,FALSE),0)</f>
        <v>0</v>
      </c>
      <c r="J759" s="30">
        <f>G759-IFERROR(VLOOKUP(B759,crm_orders!$A:$S,12,FALSE),0)</f>
        <v>0</v>
      </c>
      <c r="K759" s="25" t="str">
        <f>IF(COUNTIF(crm_orders!$A:$A,B759)=0,"Orphan","OK")</f>
        <v>OK</v>
      </c>
    </row>
    <row r="760" ht="15.75" customHeight="1">
      <c r="A760" s="17" t="s">
        <v>1971</v>
      </c>
      <c r="B760" s="17" t="s">
        <v>673</v>
      </c>
      <c r="C760" s="18">
        <v>46065.0</v>
      </c>
      <c r="D760" s="17" t="s">
        <v>559</v>
      </c>
      <c r="E760" s="17" t="s">
        <v>68</v>
      </c>
      <c r="F760" s="21">
        <v>96.0</v>
      </c>
      <c r="G760" s="22">
        <v>1085.76</v>
      </c>
      <c r="H760" s="17" t="s">
        <v>1214</v>
      </c>
      <c r="I760" s="22">
        <f>F760-IFERROR(VLOOKUP(B760,crm_orders!$A:$S,10,FALSE),0)</f>
        <v>0</v>
      </c>
      <c r="J760" s="22">
        <f>G760-IFERROR(VLOOKUP(B760,crm_orders!$A:$S,12,FALSE),0)</f>
        <v>0</v>
      </c>
      <c r="K760" s="17" t="str">
        <f>IF(COUNTIF(crm_orders!$A:$A,B760)=0,"Orphan","OK")</f>
        <v>OK</v>
      </c>
    </row>
    <row r="761" ht="15.75" customHeight="1">
      <c r="A761" s="25" t="s">
        <v>1972</v>
      </c>
      <c r="B761" s="25" t="s">
        <v>420</v>
      </c>
      <c r="C761" s="26">
        <v>46107.0</v>
      </c>
      <c r="D761" s="25" t="s">
        <v>330</v>
      </c>
      <c r="E761" s="25" t="s">
        <v>190</v>
      </c>
      <c r="F761" s="29">
        <v>120.0</v>
      </c>
      <c r="G761" s="30">
        <v>932.4</v>
      </c>
      <c r="H761" s="25" t="s">
        <v>1214</v>
      </c>
      <c r="I761" s="30">
        <f>F761-IFERROR(VLOOKUP(B761,crm_orders!$A:$S,10,FALSE),0)</f>
        <v>0</v>
      </c>
      <c r="J761" s="30">
        <f>G761-IFERROR(VLOOKUP(B761,crm_orders!$A:$S,12,FALSE),0)</f>
        <v>0</v>
      </c>
      <c r="K761" s="25" t="str">
        <f>IF(COUNTIF(crm_orders!$A:$A,B761)=0,"Orphan","OK")</f>
        <v>OK</v>
      </c>
    </row>
    <row r="762" ht="15.75" customHeight="1">
      <c r="A762" s="17" t="s">
        <v>1973</v>
      </c>
      <c r="B762" s="17" t="s">
        <v>674</v>
      </c>
      <c r="C762" s="18">
        <v>46108.0</v>
      </c>
      <c r="D762" s="17" t="s">
        <v>593</v>
      </c>
      <c r="E762" s="17" t="s">
        <v>162</v>
      </c>
      <c r="F762" s="21">
        <v>24.0</v>
      </c>
      <c r="G762" s="22">
        <v>259.92</v>
      </c>
      <c r="H762" s="17" t="s">
        <v>1214</v>
      </c>
      <c r="I762" s="22">
        <f>F762-IFERROR(VLOOKUP(B762,crm_orders!$A:$S,10,FALSE),0)</f>
        <v>0</v>
      </c>
      <c r="J762" s="22">
        <f>G762-IFERROR(VLOOKUP(B762,crm_orders!$A:$S,12,FALSE),0)</f>
        <v>0</v>
      </c>
      <c r="K762" s="17" t="str">
        <f>IF(COUNTIF(crm_orders!$A:$A,B762)=0,"Orphan","OK")</f>
        <v>OK</v>
      </c>
    </row>
    <row r="763" ht="15.75" customHeight="1">
      <c r="A763" s="25" t="s">
        <v>1974</v>
      </c>
      <c r="B763" s="25" t="s">
        <v>147</v>
      </c>
      <c r="C763" s="26">
        <v>46078.0</v>
      </c>
      <c r="D763" s="25" t="s">
        <v>80</v>
      </c>
      <c r="E763" s="25" t="s">
        <v>64</v>
      </c>
      <c r="F763" s="29">
        <v>72.0</v>
      </c>
      <c r="G763" s="30">
        <v>535.68</v>
      </c>
      <c r="H763" s="25" t="s">
        <v>93</v>
      </c>
      <c r="I763" s="30">
        <f>F763-IFERROR(VLOOKUP(B763,crm_orders!$A:$S,10,FALSE),0)</f>
        <v>-24</v>
      </c>
      <c r="J763" s="30">
        <f>G763-IFERROR(VLOOKUP(B763,crm_orders!$A:$S,12,FALSE),0)</f>
        <v>-178.56</v>
      </c>
      <c r="K763" s="25" t="str">
        <f>IF(COUNTIF(crm_orders!$A:$A,B763)=0,"Orphan","OK")</f>
        <v>OK</v>
      </c>
    </row>
    <row r="764" ht="15.75" customHeight="1">
      <c r="A764" s="17" t="s">
        <v>1975</v>
      </c>
      <c r="B764" s="17" t="s">
        <v>834</v>
      </c>
      <c r="C764" s="18">
        <v>46121.0</v>
      </c>
      <c r="D764" s="17" t="s">
        <v>702</v>
      </c>
      <c r="E764" s="17" t="s">
        <v>123</v>
      </c>
      <c r="F764" s="21">
        <v>24.0</v>
      </c>
      <c r="G764" s="22">
        <v>256.32</v>
      </c>
      <c r="H764" s="17" t="s">
        <v>1214</v>
      </c>
      <c r="I764" s="22">
        <f>F764-IFERROR(VLOOKUP(B764,crm_orders!$A:$S,10,FALSE),0)</f>
        <v>0</v>
      </c>
      <c r="J764" s="22">
        <f>G764-IFERROR(VLOOKUP(B764,crm_orders!$A:$S,12,FALSE),0)</f>
        <v>0</v>
      </c>
      <c r="K764" s="17" t="str">
        <f>IF(COUNTIF(crm_orders!$A:$A,B764)=0,"Orphan","OK")</f>
        <v>OK</v>
      </c>
    </row>
    <row r="765" ht="15.75" customHeight="1">
      <c r="A765" s="25" t="s">
        <v>1976</v>
      </c>
      <c r="B765" s="25" t="s">
        <v>935</v>
      </c>
      <c r="C765" s="26">
        <v>46131.0</v>
      </c>
      <c r="D765" s="25" t="s">
        <v>882</v>
      </c>
      <c r="E765" s="25" t="s">
        <v>154</v>
      </c>
      <c r="F765" s="29">
        <v>18.0</v>
      </c>
      <c r="G765" s="30">
        <v>188.28</v>
      </c>
      <c r="H765" s="25" t="s">
        <v>1212</v>
      </c>
      <c r="I765" s="30">
        <f>F765-IFERROR(VLOOKUP(B765,crm_orders!$A:$S,10,FALSE),0)</f>
        <v>12</v>
      </c>
      <c r="J765" s="30">
        <f>G765-IFERROR(VLOOKUP(B765,crm_orders!$A:$S,12,FALSE),0)</f>
        <v>125.52</v>
      </c>
      <c r="K765" s="25" t="str">
        <f>IF(COUNTIF(crm_orders!$A:$A,B765)=0,"Orphan","OK")</f>
        <v>OK</v>
      </c>
    </row>
    <row r="766" ht="15.75" customHeight="1">
      <c r="A766" s="17" t="s">
        <v>1977</v>
      </c>
      <c r="B766" s="17" t="s">
        <v>267</v>
      </c>
      <c r="C766" s="18">
        <v>46145.0</v>
      </c>
      <c r="D766" s="17" t="s">
        <v>168</v>
      </c>
      <c r="E766" s="17" t="s">
        <v>64</v>
      </c>
      <c r="F766" s="21">
        <v>36.0</v>
      </c>
      <c r="G766" s="22">
        <v>253.44</v>
      </c>
      <c r="H766" s="17" t="s">
        <v>1214</v>
      </c>
      <c r="I766" s="22">
        <f>F766-IFERROR(VLOOKUP(B766,crm_orders!$A:$S,10,FALSE),0)</f>
        <v>0</v>
      </c>
      <c r="J766" s="22">
        <f>G766-IFERROR(VLOOKUP(B766,crm_orders!$A:$S,12,FALSE),0)</f>
        <v>0</v>
      </c>
      <c r="K766" s="17" t="str">
        <f>IF(COUNTIF(crm_orders!$A:$A,B766)=0,"Orphan","OK")</f>
        <v>OK</v>
      </c>
    </row>
    <row r="767" ht="15.75" customHeight="1">
      <c r="A767" s="25" t="s">
        <v>1978</v>
      </c>
      <c r="B767" s="25" t="s">
        <v>1190</v>
      </c>
      <c r="C767" s="26">
        <v>46136.0</v>
      </c>
      <c r="D767" s="25" t="s">
        <v>1129</v>
      </c>
      <c r="E767" s="25" t="s">
        <v>92</v>
      </c>
      <c r="F767" s="29">
        <v>72.0</v>
      </c>
      <c r="G767" s="30">
        <v>717.84</v>
      </c>
      <c r="H767" s="25" t="s">
        <v>1214</v>
      </c>
      <c r="I767" s="30">
        <f>F767-IFERROR(VLOOKUP(B767,crm_orders!$A:$S,10,FALSE),0)</f>
        <v>0</v>
      </c>
      <c r="J767" s="30">
        <f>G767-IFERROR(VLOOKUP(B767,crm_orders!$A:$S,12,FALSE),0)</f>
        <v>0</v>
      </c>
      <c r="K767" s="25" t="str">
        <f>IF(COUNTIF(crm_orders!$A:$A,B767)=0,"Orphan","OK")</f>
        <v>OK</v>
      </c>
    </row>
    <row r="768" ht="15.75" customHeight="1">
      <c r="A768" s="17" t="s">
        <v>1979</v>
      </c>
      <c r="B768" s="17" t="s">
        <v>1191</v>
      </c>
      <c r="C768" s="18">
        <v>46082.0</v>
      </c>
      <c r="D768" s="17" t="s">
        <v>1126</v>
      </c>
      <c r="E768" s="17" t="s">
        <v>85</v>
      </c>
      <c r="F768" s="21">
        <v>120.0</v>
      </c>
      <c r="G768" s="22">
        <v>1300.8</v>
      </c>
      <c r="H768" s="17" t="s">
        <v>1214</v>
      </c>
      <c r="I768" s="22">
        <f>F768-IFERROR(VLOOKUP(B768,crm_orders!$A:$S,10,FALSE),0)</f>
        <v>0</v>
      </c>
      <c r="J768" s="22">
        <f>G768-IFERROR(VLOOKUP(B768,crm_orders!$A:$S,12,FALSE),0)</f>
        <v>0</v>
      </c>
      <c r="K768" s="17" t="str">
        <f>IF(COUNTIF(crm_orders!$A:$A,B768)=0,"Orphan","OK")</f>
        <v>OK</v>
      </c>
    </row>
    <row r="769" ht="15.75" customHeight="1">
      <c r="A769" s="25" t="s">
        <v>1980</v>
      </c>
      <c r="B769" s="25" t="s">
        <v>421</v>
      </c>
      <c r="C769" s="26">
        <v>46156.0</v>
      </c>
      <c r="D769" s="25" t="s">
        <v>291</v>
      </c>
      <c r="E769" s="25" t="s">
        <v>154</v>
      </c>
      <c r="F769" s="29">
        <v>84.0</v>
      </c>
      <c r="G769" s="30">
        <v>989.52</v>
      </c>
      <c r="H769" s="25" t="s">
        <v>1212</v>
      </c>
      <c r="I769" s="30">
        <f>F769-IFERROR(VLOOKUP(B769,crm_orders!$A:$S,10,FALSE),0)</f>
        <v>12</v>
      </c>
      <c r="J769" s="30">
        <f>G769-IFERROR(VLOOKUP(B769,crm_orders!$A:$S,12,FALSE),0)</f>
        <v>141.36</v>
      </c>
      <c r="K769" s="25" t="str">
        <f>IF(COUNTIF(crm_orders!$A:$A,B769)=0,"Orphan","OK")</f>
        <v>OK</v>
      </c>
    </row>
    <row r="770" ht="15.75" customHeight="1">
      <c r="A770" s="17" t="s">
        <v>1981</v>
      </c>
      <c r="B770" s="17" t="s">
        <v>422</v>
      </c>
      <c r="C770" s="18">
        <v>46052.0</v>
      </c>
      <c r="D770" s="17" t="s">
        <v>305</v>
      </c>
      <c r="E770" s="17" t="s">
        <v>162</v>
      </c>
      <c r="F770" s="21">
        <v>72.0</v>
      </c>
      <c r="G770" s="22">
        <v>720.0</v>
      </c>
      <c r="H770" s="17" t="s">
        <v>1214</v>
      </c>
      <c r="I770" s="22">
        <f>F770-IFERROR(VLOOKUP(B770,crm_orders!$A:$S,10,FALSE),0)</f>
        <v>0</v>
      </c>
      <c r="J770" s="22">
        <f>G770-IFERROR(VLOOKUP(B770,crm_orders!$A:$S,12,FALSE),0)</f>
        <v>0</v>
      </c>
      <c r="K770" s="17" t="str">
        <f>IF(COUNTIF(crm_orders!$A:$A,B770)=0,"Orphan","OK")</f>
        <v>OK</v>
      </c>
    </row>
    <row r="771" ht="15.75" customHeight="1">
      <c r="A771" s="25" t="s">
        <v>1982</v>
      </c>
      <c r="B771" s="25" t="s">
        <v>1192</v>
      </c>
      <c r="C771" s="26">
        <v>46140.0</v>
      </c>
      <c r="D771" s="25" t="s">
        <v>1136</v>
      </c>
      <c r="E771" s="25" t="s">
        <v>162</v>
      </c>
      <c r="F771" s="29">
        <v>72.0</v>
      </c>
      <c r="G771" s="30">
        <v>707.76</v>
      </c>
      <c r="H771" s="25" t="s">
        <v>1214</v>
      </c>
      <c r="I771" s="30">
        <f>F771-IFERROR(VLOOKUP(B771,crm_orders!$A:$S,10,FALSE),0)</f>
        <v>0</v>
      </c>
      <c r="J771" s="30">
        <f>G771-IFERROR(VLOOKUP(B771,crm_orders!$A:$S,12,FALSE),0)</f>
        <v>0</v>
      </c>
      <c r="K771" s="25" t="str">
        <f>IF(COUNTIF(crm_orders!$A:$A,B771)=0,"Orphan","OK")</f>
        <v>OK</v>
      </c>
    </row>
    <row r="772" ht="15.75" customHeight="1">
      <c r="A772" s="17" t="s">
        <v>1983</v>
      </c>
      <c r="B772" s="17" t="s">
        <v>148</v>
      </c>
      <c r="C772" s="18">
        <v>46054.0</v>
      </c>
      <c r="D772" s="17" t="s">
        <v>80</v>
      </c>
      <c r="E772" s="17" t="s">
        <v>90</v>
      </c>
      <c r="F772" s="21">
        <v>12.0</v>
      </c>
      <c r="G772" s="22">
        <v>97.06</v>
      </c>
      <c r="H772" s="17" t="s">
        <v>1212</v>
      </c>
      <c r="I772" s="22">
        <f>F772-IFERROR(VLOOKUP(B772,crm_orders!$A:$S,10,FALSE),0)</f>
        <v>0</v>
      </c>
      <c r="J772" s="22">
        <f>G772-IFERROR(VLOOKUP(B772,crm_orders!$A:$S,12,FALSE),0)</f>
        <v>1.9</v>
      </c>
      <c r="K772" s="17" t="str">
        <f>IF(COUNTIF(crm_orders!$A:$A,B772)=0,"Orphan","OK")</f>
        <v>OK</v>
      </c>
    </row>
    <row r="773" ht="15.75" customHeight="1">
      <c r="A773" s="25" t="s">
        <v>1984</v>
      </c>
      <c r="B773" s="25" t="s">
        <v>1057</v>
      </c>
      <c r="C773" s="26">
        <v>46078.0</v>
      </c>
      <c r="D773" s="25" t="s">
        <v>968</v>
      </c>
      <c r="E773" s="25" t="s">
        <v>190</v>
      </c>
      <c r="F773" s="29">
        <v>60.0</v>
      </c>
      <c r="G773" s="30">
        <v>465.25</v>
      </c>
      <c r="H773" s="25" t="s">
        <v>1212</v>
      </c>
      <c r="I773" s="30">
        <f>F773-IFERROR(VLOOKUP(B773,crm_orders!$A:$S,10,FALSE),0)</f>
        <v>0</v>
      </c>
      <c r="J773" s="30">
        <f>G773-IFERROR(VLOOKUP(B773,crm_orders!$A:$S,12,FALSE),0)</f>
        <v>13.45</v>
      </c>
      <c r="K773" s="25" t="str">
        <f>IF(COUNTIF(crm_orders!$A:$A,B773)=0,"Orphan","OK")</f>
        <v>OK</v>
      </c>
    </row>
    <row r="774" ht="15.75" customHeight="1">
      <c r="A774" s="17" t="s">
        <v>1985</v>
      </c>
      <c r="B774" s="17" t="s">
        <v>149</v>
      </c>
      <c r="C774" s="18">
        <v>46058.0</v>
      </c>
      <c r="D774" s="17" t="s">
        <v>73</v>
      </c>
      <c r="E774" s="17" t="s">
        <v>90</v>
      </c>
      <c r="F774" s="21">
        <v>108.0</v>
      </c>
      <c r="G774" s="22">
        <v>793.8</v>
      </c>
      <c r="H774" s="17" t="s">
        <v>1212</v>
      </c>
      <c r="I774" s="22">
        <f>F774-IFERROR(VLOOKUP(B774,crm_orders!$A:$S,10,FALSE),0)</f>
        <v>12</v>
      </c>
      <c r="J774" s="22">
        <f>G774-IFERROR(VLOOKUP(B774,crm_orders!$A:$S,12,FALSE),0)</f>
        <v>88.2</v>
      </c>
      <c r="K774" s="17" t="str">
        <f>IF(COUNTIF(crm_orders!$A:$A,B774)=0,"Orphan","OK")</f>
        <v>OK</v>
      </c>
    </row>
    <row r="775" ht="15.75" customHeight="1">
      <c r="A775" s="25" t="s">
        <v>1986</v>
      </c>
      <c r="B775" s="25" t="s">
        <v>523</v>
      </c>
      <c r="C775" s="26">
        <v>46080.0</v>
      </c>
      <c r="D775" s="25" t="s">
        <v>469</v>
      </c>
      <c r="E775" s="25" t="s">
        <v>123</v>
      </c>
      <c r="F775" s="29">
        <v>6.0</v>
      </c>
      <c r="G775" s="30">
        <v>61.98</v>
      </c>
      <c r="H775" s="25" t="s">
        <v>93</v>
      </c>
      <c r="I775" s="30">
        <f>F775-IFERROR(VLOOKUP(B775,crm_orders!$A:$S,10,FALSE),0)</f>
        <v>-18</v>
      </c>
      <c r="J775" s="30">
        <f>G775-IFERROR(VLOOKUP(B775,crm_orders!$A:$S,12,FALSE),0)</f>
        <v>-185.94</v>
      </c>
      <c r="K775" s="25" t="str">
        <f>IF(COUNTIF(crm_orders!$A:$A,B775)=0,"Orphan","OK")</f>
        <v>OK</v>
      </c>
    </row>
    <row r="776" ht="15.75" customHeight="1">
      <c r="A776" s="17" t="s">
        <v>1987</v>
      </c>
      <c r="B776" s="17" t="s">
        <v>268</v>
      </c>
      <c r="C776" s="18">
        <v>46074.0</v>
      </c>
      <c r="D776" s="17" t="s">
        <v>226</v>
      </c>
      <c r="E776" s="17" t="s">
        <v>110</v>
      </c>
      <c r="F776" s="21">
        <v>60.0</v>
      </c>
      <c r="G776" s="22">
        <v>662.4</v>
      </c>
      <c r="H776" s="17" t="s">
        <v>1214</v>
      </c>
      <c r="I776" s="22">
        <f>F776-IFERROR(VLOOKUP(B776,crm_orders!$A:$S,10,FALSE),0)</f>
        <v>0</v>
      </c>
      <c r="J776" s="22">
        <f>G776-IFERROR(VLOOKUP(B776,crm_orders!$A:$S,12,FALSE),0)</f>
        <v>0</v>
      </c>
      <c r="K776" s="17" t="str">
        <f>IF(COUNTIF(crm_orders!$A:$A,B776)=0,"Orphan","OK")</f>
        <v>OK</v>
      </c>
    </row>
    <row r="777" ht="15.75" customHeight="1">
      <c r="A777" s="25" t="s">
        <v>1988</v>
      </c>
      <c r="B777" s="25" t="s">
        <v>150</v>
      </c>
      <c r="C777" s="26">
        <v>46081.0</v>
      </c>
      <c r="D777" s="25" t="s">
        <v>77</v>
      </c>
      <c r="E777" s="25" t="s">
        <v>108</v>
      </c>
      <c r="F777" s="29">
        <v>36.0</v>
      </c>
      <c r="G777" s="30">
        <v>410.4</v>
      </c>
      <c r="H777" s="25" t="s">
        <v>1214</v>
      </c>
      <c r="I777" s="30">
        <f>F777-IFERROR(VLOOKUP(B777,crm_orders!$A:$S,10,FALSE),0)</f>
        <v>0</v>
      </c>
      <c r="J777" s="30">
        <f>G777-IFERROR(VLOOKUP(B777,crm_orders!$A:$S,12,FALSE),0)</f>
        <v>0</v>
      </c>
      <c r="K777" s="25" t="str">
        <f>IF(COUNTIF(crm_orders!$A:$A,B777)=0,"Orphan","OK")</f>
        <v>OK</v>
      </c>
    </row>
    <row r="778" ht="15.75" customHeight="1">
      <c r="A778" s="17" t="s">
        <v>1989</v>
      </c>
      <c r="B778" s="17" t="s">
        <v>524</v>
      </c>
      <c r="C778" s="18">
        <v>46146.0</v>
      </c>
      <c r="D778" s="17" t="s">
        <v>457</v>
      </c>
      <c r="E778" s="17" t="s">
        <v>68</v>
      </c>
      <c r="F778" s="21">
        <v>12.0</v>
      </c>
      <c r="G778" s="22">
        <v>120.84</v>
      </c>
      <c r="H778" s="17" t="s">
        <v>1214</v>
      </c>
      <c r="I778" s="22">
        <f>F778-IFERROR(VLOOKUP(B778,crm_orders!$A:$S,10,FALSE),0)</f>
        <v>0</v>
      </c>
      <c r="J778" s="22">
        <f>G778-IFERROR(VLOOKUP(B778,crm_orders!$A:$S,12,FALSE),0)</f>
        <v>0</v>
      </c>
      <c r="K778" s="17" t="str">
        <f>IF(COUNTIF(crm_orders!$A:$A,B778)=0,"Orphan","OK")</f>
        <v>OK</v>
      </c>
    </row>
    <row r="779" ht="15.75" customHeight="1">
      <c r="A779" s="25" t="s">
        <v>1990</v>
      </c>
      <c r="B779" s="25" t="s">
        <v>835</v>
      </c>
      <c r="C779" s="26">
        <v>46041.0</v>
      </c>
      <c r="D779" s="25" t="s">
        <v>712</v>
      </c>
      <c r="E779" s="25" t="s">
        <v>78</v>
      </c>
      <c r="F779" s="29">
        <v>42.0</v>
      </c>
      <c r="G779" s="30">
        <v>409.92</v>
      </c>
      <c r="H779" s="25" t="s">
        <v>1212</v>
      </c>
      <c r="I779" s="30">
        <f>F779-IFERROR(VLOOKUP(B779,crm_orders!$A:$S,10,FALSE),0)</f>
        <v>6</v>
      </c>
      <c r="J779" s="30">
        <f>G779-IFERROR(VLOOKUP(B779,crm_orders!$A:$S,12,FALSE),0)</f>
        <v>58.56</v>
      </c>
      <c r="K779" s="25" t="str">
        <f>IF(COUNTIF(crm_orders!$A:$A,B779)=0,"Orphan","OK")</f>
        <v>OK</v>
      </c>
    </row>
    <row r="780" ht="15.75" customHeight="1">
      <c r="A780" s="17" t="s">
        <v>1991</v>
      </c>
      <c r="B780" s="17" t="s">
        <v>269</v>
      </c>
      <c r="C780" s="18">
        <v>46049.0</v>
      </c>
      <c r="D780" s="17" t="s">
        <v>181</v>
      </c>
      <c r="E780" s="17" t="s">
        <v>115</v>
      </c>
      <c r="F780" s="21">
        <v>96.0</v>
      </c>
      <c r="G780" s="22">
        <v>1187.52</v>
      </c>
      <c r="H780" s="17" t="s">
        <v>1214</v>
      </c>
      <c r="I780" s="22">
        <f>F780-IFERROR(VLOOKUP(B780,crm_orders!$A:$S,10,FALSE),0)</f>
        <v>0</v>
      </c>
      <c r="J780" s="22">
        <f>G780-IFERROR(VLOOKUP(B780,crm_orders!$A:$S,12,FALSE),0)</f>
        <v>0</v>
      </c>
      <c r="K780" s="17" t="str">
        <f>IF(COUNTIF(crm_orders!$A:$A,B780)=0,"Orphan","OK")</f>
        <v>OK</v>
      </c>
    </row>
    <row r="781" ht="15.75" customHeight="1">
      <c r="A781" s="25" t="s">
        <v>1992</v>
      </c>
      <c r="B781" s="25" t="s">
        <v>675</v>
      </c>
      <c r="C781" s="26">
        <v>46130.0</v>
      </c>
      <c r="D781" s="25" t="s">
        <v>570</v>
      </c>
      <c r="E781" s="25" t="s">
        <v>102</v>
      </c>
      <c r="F781" s="29">
        <v>42.0</v>
      </c>
      <c r="G781" s="30">
        <v>488.04</v>
      </c>
      <c r="H781" s="25" t="s">
        <v>1212</v>
      </c>
      <c r="I781" s="30">
        <f>F781-IFERROR(VLOOKUP(B781,crm_orders!$A:$S,10,FALSE),0)</f>
        <v>6</v>
      </c>
      <c r="J781" s="30">
        <f>G781-IFERROR(VLOOKUP(B781,crm_orders!$A:$S,12,FALSE),0)</f>
        <v>69.72</v>
      </c>
      <c r="K781" s="25" t="str">
        <f>IF(COUNTIF(crm_orders!$A:$A,B781)=0,"Orphan","OK")</f>
        <v>OK</v>
      </c>
    </row>
    <row r="782" ht="15.75" customHeight="1">
      <c r="A782" s="17" t="s">
        <v>1993</v>
      </c>
      <c r="B782" s="17" t="s">
        <v>270</v>
      </c>
      <c r="C782" s="18">
        <v>46130.0</v>
      </c>
      <c r="D782" s="17" t="s">
        <v>184</v>
      </c>
      <c r="E782" s="17" t="s">
        <v>190</v>
      </c>
      <c r="F782" s="21">
        <v>0.0</v>
      </c>
      <c r="G782" s="22">
        <v>0.0</v>
      </c>
      <c r="H782" s="17" t="s">
        <v>93</v>
      </c>
      <c r="I782" s="22">
        <f>F782-IFERROR(VLOOKUP(B782,crm_orders!$A:$S,10,FALSE),0)</f>
        <v>-18</v>
      </c>
      <c r="J782" s="22">
        <f>G782-IFERROR(VLOOKUP(B782,crm_orders!$A:$S,12,FALSE),0)</f>
        <v>-144.9</v>
      </c>
      <c r="K782" s="17" t="str">
        <f>IF(COUNTIF(crm_orders!$A:$A,B782)=0,"Orphan","OK")</f>
        <v>OK</v>
      </c>
    </row>
    <row r="783" ht="15.75" customHeight="1">
      <c r="A783" s="25" t="s">
        <v>1994</v>
      </c>
      <c r="B783" s="25" t="s">
        <v>423</v>
      </c>
      <c r="C783" s="26">
        <v>46129.0</v>
      </c>
      <c r="D783" s="25" t="s">
        <v>310</v>
      </c>
      <c r="E783" s="25" t="s">
        <v>81</v>
      </c>
      <c r="F783" s="29">
        <v>60.0</v>
      </c>
      <c r="G783" s="30">
        <v>454.2</v>
      </c>
      <c r="H783" s="25" t="s">
        <v>1214</v>
      </c>
      <c r="I783" s="30">
        <f>F783-IFERROR(VLOOKUP(B783,crm_orders!$A:$S,10,FALSE),0)</f>
        <v>0</v>
      </c>
      <c r="J783" s="30">
        <f>G783-IFERROR(VLOOKUP(B783,crm_orders!$A:$S,12,FALSE),0)</f>
        <v>0</v>
      </c>
      <c r="K783" s="25" t="str">
        <f>IF(COUNTIF(crm_orders!$A:$A,B783)=0,"Orphan","OK")</f>
        <v>OK</v>
      </c>
    </row>
    <row r="784" ht="15.75" customHeight="1">
      <c r="A784" s="17" t="s">
        <v>1995</v>
      </c>
      <c r="B784" s="17" t="s">
        <v>836</v>
      </c>
      <c r="C784" s="18">
        <v>46051.0</v>
      </c>
      <c r="D784" s="17" t="s">
        <v>714</v>
      </c>
      <c r="E784" s="17" t="s">
        <v>108</v>
      </c>
      <c r="F784" s="21">
        <v>60.0</v>
      </c>
      <c r="G784" s="22">
        <v>638.4</v>
      </c>
      <c r="H784" s="17" t="s">
        <v>1214</v>
      </c>
      <c r="I784" s="22">
        <f>F784-IFERROR(VLOOKUP(B784,crm_orders!$A:$S,10,FALSE),0)</f>
        <v>0</v>
      </c>
      <c r="J784" s="22">
        <f>G784-IFERROR(VLOOKUP(B784,crm_orders!$A:$S,12,FALSE),0)</f>
        <v>0</v>
      </c>
      <c r="K784" s="17" t="str">
        <f>IF(COUNTIF(crm_orders!$A:$A,B784)=0,"Orphan","OK")</f>
        <v>OK</v>
      </c>
    </row>
    <row r="785" ht="15.75" customHeight="1">
      <c r="A785" s="25" t="s">
        <v>1996</v>
      </c>
      <c r="B785" s="25" t="s">
        <v>936</v>
      </c>
      <c r="C785" s="26">
        <v>46097.0</v>
      </c>
      <c r="D785" s="25" t="s">
        <v>864</v>
      </c>
      <c r="E785" s="25" t="s">
        <v>156</v>
      </c>
      <c r="F785" s="29">
        <v>120.0</v>
      </c>
      <c r="G785" s="30">
        <v>1280.4</v>
      </c>
      <c r="H785" s="25" t="s">
        <v>1214</v>
      </c>
      <c r="I785" s="30">
        <f>F785-IFERROR(VLOOKUP(B785,crm_orders!$A:$S,10,FALSE),0)</f>
        <v>0</v>
      </c>
      <c r="J785" s="30">
        <f>G785-IFERROR(VLOOKUP(B785,crm_orders!$A:$S,12,FALSE),0)</f>
        <v>0</v>
      </c>
      <c r="K785" s="25" t="str">
        <f>IF(COUNTIF(crm_orders!$A:$A,B785)=0,"Orphan","OK")</f>
        <v>OK</v>
      </c>
    </row>
    <row r="786" ht="15.75" customHeight="1">
      <c r="A786" s="17" t="s">
        <v>1997</v>
      </c>
      <c r="B786" s="17" t="s">
        <v>676</v>
      </c>
      <c r="C786" s="18">
        <v>46107.0</v>
      </c>
      <c r="D786" s="17" t="s">
        <v>570</v>
      </c>
      <c r="E786" s="17" t="s">
        <v>92</v>
      </c>
      <c r="F786" s="21">
        <v>6.0</v>
      </c>
      <c r="G786" s="22">
        <v>63.84</v>
      </c>
      <c r="H786" s="17" t="s">
        <v>1214</v>
      </c>
      <c r="I786" s="22">
        <f>F786-IFERROR(VLOOKUP(B786,crm_orders!$A:$S,10,FALSE),0)</f>
        <v>0</v>
      </c>
      <c r="J786" s="22">
        <f>G786-IFERROR(VLOOKUP(B786,crm_orders!$A:$S,12,FALSE),0)</f>
        <v>0</v>
      </c>
      <c r="K786" s="17" t="str">
        <f>IF(COUNTIF(crm_orders!$A:$A,B786)=0,"Orphan","OK")</f>
        <v>OK</v>
      </c>
    </row>
    <row r="787" ht="15.75" customHeight="1">
      <c r="A787" s="25" t="s">
        <v>1998</v>
      </c>
      <c r="B787" s="25" t="s">
        <v>271</v>
      </c>
      <c r="C787" s="26">
        <v>46108.0</v>
      </c>
      <c r="D787" s="25" t="s">
        <v>195</v>
      </c>
      <c r="E787" s="25" t="s">
        <v>71</v>
      </c>
      <c r="F787" s="29">
        <v>48.0</v>
      </c>
      <c r="G787" s="30">
        <v>407.52</v>
      </c>
      <c r="H787" s="25" t="s">
        <v>1214</v>
      </c>
      <c r="I787" s="30">
        <f>F787-IFERROR(VLOOKUP(B787,crm_orders!$A:$S,10,FALSE),0)</f>
        <v>0</v>
      </c>
      <c r="J787" s="30">
        <f>G787-IFERROR(VLOOKUP(B787,crm_orders!$A:$S,12,FALSE),0)</f>
        <v>0</v>
      </c>
      <c r="K787" s="25" t="str">
        <f>IF(COUNTIF(crm_orders!$A:$A,B787)=0,"Orphan","OK")</f>
        <v>OK</v>
      </c>
    </row>
    <row r="788" ht="15.75" customHeight="1">
      <c r="A788" s="17" t="s">
        <v>1999</v>
      </c>
      <c r="B788" s="17" t="s">
        <v>424</v>
      </c>
      <c r="C788" s="18">
        <v>46081.0</v>
      </c>
      <c r="D788" s="17" t="s">
        <v>326</v>
      </c>
      <c r="E788" s="17" t="s">
        <v>64</v>
      </c>
      <c r="F788" s="21">
        <v>120.0</v>
      </c>
      <c r="G788" s="22">
        <v>1003.2</v>
      </c>
      <c r="H788" s="17" t="s">
        <v>1214</v>
      </c>
      <c r="I788" s="22">
        <f>F788-IFERROR(VLOOKUP(B788,crm_orders!$A:$S,10,FALSE),0)</f>
        <v>0</v>
      </c>
      <c r="J788" s="22">
        <f>G788-IFERROR(VLOOKUP(B788,crm_orders!$A:$S,12,FALSE),0)</f>
        <v>0</v>
      </c>
      <c r="K788" s="17" t="str">
        <f>IF(COUNTIF(crm_orders!$A:$A,B788)=0,"Orphan","OK")</f>
        <v>OK</v>
      </c>
    </row>
    <row r="789" ht="15.75" customHeight="1">
      <c r="A789" s="25" t="s">
        <v>2000</v>
      </c>
      <c r="B789" s="25" t="s">
        <v>151</v>
      </c>
      <c r="C789" s="26">
        <v>46031.0</v>
      </c>
      <c r="D789" s="25" t="s">
        <v>70</v>
      </c>
      <c r="E789" s="25" t="s">
        <v>90</v>
      </c>
      <c r="F789" s="29">
        <v>18.0</v>
      </c>
      <c r="G789" s="30">
        <v>126.9</v>
      </c>
      <c r="H789" s="25" t="s">
        <v>1214</v>
      </c>
      <c r="I789" s="30">
        <f>F789-IFERROR(VLOOKUP(B789,crm_orders!$A:$S,10,FALSE),0)</f>
        <v>0</v>
      </c>
      <c r="J789" s="30">
        <f>G789-IFERROR(VLOOKUP(B789,crm_orders!$A:$S,12,FALSE),0)</f>
        <v>0</v>
      </c>
      <c r="K789" s="25" t="str">
        <f>IF(COUNTIF(crm_orders!$A:$A,B789)=0,"Orphan","OK")</f>
        <v>OK</v>
      </c>
    </row>
    <row r="790" ht="15.75" customHeight="1">
      <c r="A790" s="17" t="s">
        <v>2001</v>
      </c>
      <c r="B790" s="17" t="s">
        <v>837</v>
      </c>
      <c r="C790" s="18">
        <v>46042.0</v>
      </c>
      <c r="D790" s="17" t="s">
        <v>710</v>
      </c>
      <c r="E790" s="17" t="s">
        <v>74</v>
      </c>
      <c r="F790" s="21">
        <v>36.0</v>
      </c>
      <c r="G790" s="22">
        <v>415.44</v>
      </c>
      <c r="H790" s="17" t="s">
        <v>1214</v>
      </c>
      <c r="I790" s="22">
        <f>F790-IFERROR(VLOOKUP(B790,crm_orders!$A:$S,10,FALSE),0)</f>
        <v>0</v>
      </c>
      <c r="J790" s="22">
        <f>G790-IFERROR(VLOOKUP(B790,crm_orders!$A:$S,12,FALSE),0)</f>
        <v>0</v>
      </c>
      <c r="K790" s="17" t="str">
        <f>IF(COUNTIF(crm_orders!$A:$A,B790)=0,"Orphan","OK")</f>
        <v>OK</v>
      </c>
    </row>
    <row r="791" ht="15.75" customHeight="1">
      <c r="A791" s="25" t="s">
        <v>2002</v>
      </c>
      <c r="B791" s="25" t="s">
        <v>425</v>
      </c>
      <c r="C791" s="26">
        <v>46080.0</v>
      </c>
      <c r="D791" s="25" t="s">
        <v>305</v>
      </c>
      <c r="E791" s="25" t="s">
        <v>81</v>
      </c>
      <c r="F791" s="29">
        <v>60.0</v>
      </c>
      <c r="G791" s="30">
        <v>456.0</v>
      </c>
      <c r="H791" s="25" t="s">
        <v>1214</v>
      </c>
      <c r="I791" s="30">
        <f>F791-IFERROR(VLOOKUP(B791,crm_orders!$A:$S,10,FALSE),0)</f>
        <v>0</v>
      </c>
      <c r="J791" s="30">
        <f>G791-IFERROR(VLOOKUP(B791,crm_orders!$A:$S,12,FALSE),0)</f>
        <v>0</v>
      </c>
      <c r="K791" s="25" t="str">
        <f>IF(COUNTIF(crm_orders!$A:$A,B791)=0,"Orphan","OK")</f>
        <v>OK</v>
      </c>
    </row>
    <row r="792" ht="15.75" customHeight="1">
      <c r="A792" s="17" t="s">
        <v>2003</v>
      </c>
      <c r="B792" s="17" t="s">
        <v>426</v>
      </c>
      <c r="C792" s="18">
        <v>46052.0</v>
      </c>
      <c r="D792" s="17" t="s">
        <v>303</v>
      </c>
      <c r="E792" s="17" t="s">
        <v>90</v>
      </c>
      <c r="F792" s="21">
        <v>96.0</v>
      </c>
      <c r="G792" s="22">
        <v>730.56</v>
      </c>
      <c r="H792" s="17" t="s">
        <v>1214</v>
      </c>
      <c r="I792" s="22">
        <f>F792-IFERROR(VLOOKUP(B792,crm_orders!$A:$S,10,FALSE),0)</f>
        <v>0</v>
      </c>
      <c r="J792" s="22">
        <f>G792-IFERROR(VLOOKUP(B792,crm_orders!$A:$S,12,FALSE),0)</f>
        <v>0</v>
      </c>
      <c r="K792" s="17" t="str">
        <f>IF(COUNTIF(crm_orders!$A:$A,B792)=0,"Orphan","OK")</f>
        <v>OK</v>
      </c>
    </row>
    <row r="793" ht="15.75" customHeight="1">
      <c r="A793" s="25" t="s">
        <v>2004</v>
      </c>
      <c r="B793" s="25" t="s">
        <v>677</v>
      </c>
      <c r="C793" s="26">
        <v>46035.0</v>
      </c>
      <c r="D793" s="25" t="s">
        <v>566</v>
      </c>
      <c r="E793" s="25" t="s">
        <v>74</v>
      </c>
      <c r="F793" s="29">
        <v>48.0</v>
      </c>
      <c r="G793" s="30">
        <v>563.52</v>
      </c>
      <c r="H793" s="25" t="s">
        <v>1214</v>
      </c>
      <c r="I793" s="30">
        <f>F793-IFERROR(VLOOKUP(B793,crm_orders!$A:$S,10,FALSE),0)</f>
        <v>0</v>
      </c>
      <c r="J793" s="30">
        <f>G793-IFERROR(VLOOKUP(B793,crm_orders!$A:$S,12,FALSE),0)</f>
        <v>0</v>
      </c>
      <c r="K793" s="25" t="str">
        <f>IF(COUNTIF(crm_orders!$A:$A,B793)=0,"Orphan","OK")</f>
        <v>OK</v>
      </c>
    </row>
    <row r="794" ht="15.75" customHeight="1">
      <c r="A794" s="17" t="s">
        <v>2005</v>
      </c>
      <c r="B794" s="17" t="s">
        <v>427</v>
      </c>
      <c r="C794" s="18">
        <v>46130.0</v>
      </c>
      <c r="D794" s="17" t="s">
        <v>312</v>
      </c>
      <c r="E794" s="17" t="s">
        <v>95</v>
      </c>
      <c r="F794" s="21">
        <v>12.0</v>
      </c>
      <c r="G794" s="22">
        <v>120.6</v>
      </c>
      <c r="H794" s="17" t="s">
        <v>1214</v>
      </c>
      <c r="I794" s="22">
        <f>F794-IFERROR(VLOOKUP(B794,crm_orders!$A:$S,10,FALSE),0)</f>
        <v>0</v>
      </c>
      <c r="J794" s="22">
        <f>G794-IFERROR(VLOOKUP(B794,crm_orders!$A:$S,12,FALSE),0)</f>
        <v>0</v>
      </c>
      <c r="K794" s="17" t="str">
        <f>IF(COUNTIF(crm_orders!$A:$A,B794)=0,"Orphan","OK")</f>
        <v>OK</v>
      </c>
    </row>
    <row r="795" ht="15.75" customHeight="1">
      <c r="A795" s="25" t="s">
        <v>2006</v>
      </c>
      <c r="B795" s="25" t="s">
        <v>838</v>
      </c>
      <c r="C795" s="26">
        <v>46077.0</v>
      </c>
      <c r="D795" s="25" t="s">
        <v>717</v>
      </c>
      <c r="E795" s="25" t="s">
        <v>154</v>
      </c>
      <c r="F795" s="29">
        <v>24.0</v>
      </c>
      <c r="G795" s="30">
        <v>241.44</v>
      </c>
      <c r="H795" s="25" t="s">
        <v>1214</v>
      </c>
      <c r="I795" s="30">
        <f>F795-IFERROR(VLOOKUP(B795,crm_orders!$A:$S,10,FALSE),0)</f>
        <v>0</v>
      </c>
      <c r="J795" s="30">
        <f>G795-IFERROR(VLOOKUP(B795,crm_orders!$A:$S,12,FALSE),0)</f>
        <v>0</v>
      </c>
      <c r="K795" s="25" t="str">
        <f>IF(COUNTIF(crm_orders!$A:$A,B795)=0,"Orphan","OK")</f>
        <v>OK</v>
      </c>
    </row>
    <row r="796" ht="15.75" customHeight="1">
      <c r="A796" s="17" t="s">
        <v>2007</v>
      </c>
      <c r="B796" s="17" t="s">
        <v>1058</v>
      </c>
      <c r="C796" s="18">
        <v>46085.0</v>
      </c>
      <c r="D796" s="17" t="s">
        <v>953</v>
      </c>
      <c r="E796" s="17" t="s">
        <v>78</v>
      </c>
      <c r="F796" s="21">
        <v>6.0</v>
      </c>
      <c r="G796" s="22">
        <v>61.14</v>
      </c>
      <c r="H796" s="17" t="s">
        <v>1214</v>
      </c>
      <c r="I796" s="22">
        <f>F796-IFERROR(VLOOKUP(B796,crm_orders!$A:$S,10,FALSE),0)</f>
        <v>0</v>
      </c>
      <c r="J796" s="22">
        <f>G796-IFERROR(VLOOKUP(B796,crm_orders!$A:$S,12,FALSE),0)</f>
        <v>0</v>
      </c>
      <c r="K796" s="17" t="str">
        <f>IF(COUNTIF(crm_orders!$A:$A,B796)=0,"Orphan","OK")</f>
        <v>OK</v>
      </c>
    </row>
    <row r="797" ht="15.75" customHeight="1">
      <c r="A797" s="25" t="s">
        <v>2008</v>
      </c>
      <c r="B797" s="25" t="s">
        <v>839</v>
      </c>
      <c r="C797" s="26">
        <v>46152.0</v>
      </c>
      <c r="D797" s="25" t="s">
        <v>714</v>
      </c>
      <c r="E797" s="25" t="s">
        <v>162</v>
      </c>
      <c r="F797" s="29">
        <v>60.0</v>
      </c>
      <c r="G797" s="30">
        <v>604.2</v>
      </c>
      <c r="H797" s="25" t="s">
        <v>1214</v>
      </c>
      <c r="I797" s="30">
        <f>F797-IFERROR(VLOOKUP(B797,crm_orders!$A:$S,10,FALSE),0)</f>
        <v>0</v>
      </c>
      <c r="J797" s="30">
        <f>G797-IFERROR(VLOOKUP(B797,crm_orders!$A:$S,12,FALSE),0)</f>
        <v>0</v>
      </c>
      <c r="K797" s="25" t="str">
        <f>IF(COUNTIF(crm_orders!$A:$A,B797)=0,"Orphan","OK")</f>
        <v>OK</v>
      </c>
    </row>
    <row r="798" ht="15.75" customHeight="1">
      <c r="A798" s="17" t="s">
        <v>2009</v>
      </c>
      <c r="B798" s="17" t="s">
        <v>272</v>
      </c>
      <c r="C798" s="18">
        <v>46077.0</v>
      </c>
      <c r="D798" s="17" t="s">
        <v>181</v>
      </c>
      <c r="E798" s="17" t="s">
        <v>92</v>
      </c>
      <c r="F798" s="21">
        <v>60.0</v>
      </c>
      <c r="G798" s="22">
        <v>588.0</v>
      </c>
      <c r="H798" s="17" t="s">
        <v>1214</v>
      </c>
      <c r="I798" s="22">
        <f>F798-IFERROR(VLOOKUP(B798,crm_orders!$A:$S,10,FALSE),0)</f>
        <v>0</v>
      </c>
      <c r="J798" s="22">
        <f>G798-IFERROR(VLOOKUP(B798,crm_orders!$A:$S,12,FALSE),0)</f>
        <v>0</v>
      </c>
      <c r="K798" s="17" t="str">
        <f>IF(COUNTIF(crm_orders!$A:$A,B798)=0,"Orphan","OK")</f>
        <v>OK</v>
      </c>
    </row>
    <row r="799" ht="15.75" customHeight="1">
      <c r="A799" s="25" t="s">
        <v>2010</v>
      </c>
      <c r="B799" s="25" t="s">
        <v>152</v>
      </c>
      <c r="C799" s="26">
        <v>46084.0</v>
      </c>
      <c r="D799" s="25" t="s">
        <v>114</v>
      </c>
      <c r="E799" s="25" t="s">
        <v>74</v>
      </c>
      <c r="F799" s="29">
        <v>36.0</v>
      </c>
      <c r="G799" s="30">
        <v>434.52</v>
      </c>
      <c r="H799" s="25" t="s">
        <v>1214</v>
      </c>
      <c r="I799" s="30">
        <f>F799-IFERROR(VLOOKUP(B799,crm_orders!$A:$S,10,FALSE),0)</f>
        <v>0</v>
      </c>
      <c r="J799" s="30">
        <f>G799-IFERROR(VLOOKUP(B799,crm_orders!$A:$S,12,FALSE),0)</f>
        <v>0</v>
      </c>
      <c r="K799" s="25" t="str">
        <f>IF(COUNTIF(crm_orders!$A:$A,B799)=0,"Orphan","OK")</f>
        <v>OK</v>
      </c>
    </row>
    <row r="800" ht="15.75" customHeight="1">
      <c r="A800" s="17" t="s">
        <v>2011</v>
      </c>
      <c r="B800" s="17" t="s">
        <v>840</v>
      </c>
      <c r="C800" s="18">
        <v>46120.0</v>
      </c>
      <c r="D800" s="17" t="s">
        <v>723</v>
      </c>
      <c r="E800" s="17" t="s">
        <v>92</v>
      </c>
      <c r="F800" s="21">
        <v>60.0</v>
      </c>
      <c r="G800" s="22">
        <v>620.81</v>
      </c>
      <c r="H800" s="17" t="s">
        <v>1212</v>
      </c>
      <c r="I800" s="22">
        <f>F800-IFERROR(VLOOKUP(B800,crm_orders!$A:$S,10,FALSE),0)</f>
        <v>0</v>
      </c>
      <c r="J800" s="22">
        <f>G800-IFERROR(VLOOKUP(B800,crm_orders!$A:$S,12,FALSE),0)</f>
        <v>-7.39</v>
      </c>
      <c r="K800" s="17" t="str">
        <f>IF(COUNTIF(crm_orders!$A:$A,B800)=0,"Orphan","OK")</f>
        <v>OK</v>
      </c>
    </row>
    <row r="801" ht="15.75" customHeight="1">
      <c r="A801" s="25" t="s">
        <v>2012</v>
      </c>
      <c r="B801" s="25" t="s">
        <v>937</v>
      </c>
      <c r="C801" s="26">
        <v>46138.0</v>
      </c>
      <c r="D801" s="25" t="s">
        <v>855</v>
      </c>
      <c r="E801" s="25" t="s">
        <v>115</v>
      </c>
      <c r="F801" s="29">
        <v>18.0</v>
      </c>
      <c r="G801" s="30">
        <v>189.18</v>
      </c>
      <c r="H801" s="25" t="s">
        <v>1214</v>
      </c>
      <c r="I801" s="30">
        <f>F801-IFERROR(VLOOKUP(B801,crm_orders!$A:$S,10,FALSE),0)</f>
        <v>0</v>
      </c>
      <c r="J801" s="30">
        <f>G801-IFERROR(VLOOKUP(B801,crm_orders!$A:$S,12,FALSE),0)</f>
        <v>0</v>
      </c>
      <c r="K801" s="25" t="str">
        <f>IF(COUNTIF(crm_orders!$A:$A,B801)=0,"Orphan","OK")</f>
        <v>OK</v>
      </c>
    </row>
    <row r="802" ht="15.75" customHeight="1">
      <c r="A802" s="17" t="s">
        <v>2013</v>
      </c>
      <c r="B802" s="17" t="s">
        <v>525</v>
      </c>
      <c r="C802" s="18">
        <v>46122.0</v>
      </c>
      <c r="D802" s="17" t="s">
        <v>459</v>
      </c>
      <c r="E802" s="17" t="s">
        <v>110</v>
      </c>
      <c r="F802" s="21">
        <v>6.0</v>
      </c>
      <c r="G802" s="22">
        <v>68.34</v>
      </c>
      <c r="H802" s="17" t="s">
        <v>1214</v>
      </c>
      <c r="I802" s="22">
        <f>F802-IFERROR(VLOOKUP(B802,crm_orders!$A:$S,10,FALSE),0)</f>
        <v>0</v>
      </c>
      <c r="J802" s="22">
        <f>G802-IFERROR(VLOOKUP(B802,crm_orders!$A:$S,12,FALSE),0)</f>
        <v>0</v>
      </c>
      <c r="K802" s="17" t="str">
        <f>IF(COUNTIF(crm_orders!$A:$A,B802)=0,"Orphan","OK")</f>
        <v>OK</v>
      </c>
    </row>
    <row r="803" ht="15.75" customHeight="1">
      <c r="A803" s="25" t="s">
        <v>2014</v>
      </c>
      <c r="B803" s="25" t="s">
        <v>428</v>
      </c>
      <c r="C803" s="26">
        <v>46086.0</v>
      </c>
      <c r="D803" s="25" t="s">
        <v>320</v>
      </c>
      <c r="E803" s="25" t="s">
        <v>162</v>
      </c>
      <c r="F803" s="29">
        <v>6.0</v>
      </c>
      <c r="G803" s="30">
        <v>65.64</v>
      </c>
      <c r="H803" s="25" t="s">
        <v>1214</v>
      </c>
      <c r="I803" s="30">
        <f>F803-IFERROR(VLOOKUP(B803,crm_orders!$A:$S,10,FALSE),0)</f>
        <v>0</v>
      </c>
      <c r="J803" s="30">
        <f>G803-IFERROR(VLOOKUP(B803,crm_orders!$A:$S,12,FALSE),0)</f>
        <v>0</v>
      </c>
      <c r="K803" s="25" t="str">
        <f>IF(COUNTIF(crm_orders!$A:$A,B803)=0,"Orphan","OK")</f>
        <v>OK</v>
      </c>
    </row>
    <row r="804" ht="15.75" customHeight="1">
      <c r="A804" s="17" t="s">
        <v>2015</v>
      </c>
      <c r="B804" s="17" t="s">
        <v>1193</v>
      </c>
      <c r="C804" s="18">
        <v>46037.0</v>
      </c>
      <c r="D804" s="17" t="s">
        <v>1124</v>
      </c>
      <c r="E804" s="17" t="s">
        <v>71</v>
      </c>
      <c r="F804" s="21">
        <v>6.0</v>
      </c>
      <c r="G804" s="22">
        <v>50.16</v>
      </c>
      <c r="H804" s="17" t="s">
        <v>1212</v>
      </c>
      <c r="I804" s="22">
        <f>F804-IFERROR(VLOOKUP(B804,crm_orders!$A:$S,10,FALSE),0)</f>
        <v>0</v>
      </c>
      <c r="J804" s="22">
        <f>G804-IFERROR(VLOOKUP(B804,crm_orders!$A:$S,12,FALSE),0)</f>
        <v>1.14</v>
      </c>
      <c r="K804" s="17" t="str">
        <f>IF(COUNTIF(crm_orders!$A:$A,B804)=0,"Orphan","OK")</f>
        <v>OK</v>
      </c>
    </row>
    <row r="805" ht="15.75" customHeight="1">
      <c r="A805" s="25" t="s">
        <v>2016</v>
      </c>
      <c r="B805" s="25" t="s">
        <v>841</v>
      </c>
      <c r="C805" s="26">
        <v>46029.0</v>
      </c>
      <c r="D805" s="25" t="s">
        <v>700</v>
      </c>
      <c r="E805" s="25" t="s">
        <v>108</v>
      </c>
      <c r="F805" s="29">
        <v>6.0</v>
      </c>
      <c r="G805" s="30">
        <v>62.4</v>
      </c>
      <c r="H805" s="25" t="s">
        <v>1214</v>
      </c>
      <c r="I805" s="30">
        <f>F805-IFERROR(VLOOKUP(B805,crm_orders!$A:$S,10,FALSE),0)</f>
        <v>0</v>
      </c>
      <c r="J805" s="30">
        <f>G805-IFERROR(VLOOKUP(B805,crm_orders!$A:$S,12,FALSE),0)</f>
        <v>0</v>
      </c>
      <c r="K805" s="25" t="str">
        <f>IF(COUNTIF(crm_orders!$A:$A,B805)=0,"Orphan","OK")</f>
        <v>OK</v>
      </c>
    </row>
    <row r="806" ht="15.75" customHeight="1">
      <c r="A806" s="17" t="s">
        <v>2017</v>
      </c>
      <c r="B806" s="17" t="s">
        <v>429</v>
      </c>
      <c r="C806" s="18">
        <v>46078.0</v>
      </c>
      <c r="D806" s="17" t="s">
        <v>299</v>
      </c>
      <c r="E806" s="17" t="s">
        <v>81</v>
      </c>
      <c r="F806" s="21">
        <v>60.0</v>
      </c>
      <c r="G806" s="22">
        <v>402.0</v>
      </c>
      <c r="H806" s="17" t="s">
        <v>1212</v>
      </c>
      <c r="I806" s="22">
        <f>F806-IFERROR(VLOOKUP(B806,crm_orders!$A:$S,10,FALSE),0)</f>
        <v>12</v>
      </c>
      <c r="J806" s="22">
        <f>G806-IFERROR(VLOOKUP(B806,crm_orders!$A:$S,12,FALSE),0)</f>
        <v>80.4</v>
      </c>
      <c r="K806" s="17" t="str">
        <f>IF(COUNTIF(crm_orders!$A:$A,B806)=0,"Orphan","OK")</f>
        <v>OK</v>
      </c>
    </row>
    <row r="807" ht="15.75" customHeight="1">
      <c r="A807" s="25" t="s">
        <v>2018</v>
      </c>
      <c r="B807" s="25" t="s">
        <v>430</v>
      </c>
      <c r="C807" s="26">
        <v>46064.0</v>
      </c>
      <c r="D807" s="25" t="s">
        <v>330</v>
      </c>
      <c r="E807" s="25" t="s">
        <v>106</v>
      </c>
      <c r="F807" s="29">
        <v>60.0</v>
      </c>
      <c r="G807" s="30">
        <v>609.0</v>
      </c>
      <c r="H807" s="25" t="s">
        <v>1214</v>
      </c>
      <c r="I807" s="30">
        <f>F807-IFERROR(VLOOKUP(B807,crm_orders!$A:$S,10,FALSE),0)</f>
        <v>0</v>
      </c>
      <c r="J807" s="30">
        <f>G807-IFERROR(VLOOKUP(B807,crm_orders!$A:$S,12,FALSE),0)</f>
        <v>0</v>
      </c>
      <c r="K807" s="25" t="str">
        <f>IF(COUNTIF(crm_orders!$A:$A,B807)=0,"Orphan","OK")</f>
        <v>OK</v>
      </c>
    </row>
    <row r="808" ht="15.75" customHeight="1">
      <c r="A808" s="17" t="s">
        <v>2019</v>
      </c>
      <c r="B808" s="17" t="s">
        <v>527</v>
      </c>
      <c r="C808" s="18">
        <v>46068.0</v>
      </c>
      <c r="D808" s="17" t="s">
        <v>446</v>
      </c>
      <c r="E808" s="17" t="s">
        <v>108</v>
      </c>
      <c r="F808" s="21">
        <v>96.0</v>
      </c>
      <c r="G808" s="22">
        <v>1032.0</v>
      </c>
      <c r="H808" s="17" t="s">
        <v>1214</v>
      </c>
      <c r="I808" s="22">
        <f>F808-IFERROR(VLOOKUP(B808,crm_orders!$A:$S,10,FALSE),0)</f>
        <v>0</v>
      </c>
      <c r="J808" s="22">
        <f>G808-IFERROR(VLOOKUP(B808,crm_orders!$A:$S,12,FALSE),0)</f>
        <v>0</v>
      </c>
      <c r="K808" s="17" t="str">
        <f>IF(COUNTIF(crm_orders!$A:$A,B808)=0,"Orphan","OK")</f>
        <v>OK</v>
      </c>
    </row>
    <row r="809" ht="15.75" customHeight="1">
      <c r="A809" s="25" t="s">
        <v>2020</v>
      </c>
      <c r="B809" s="25" t="s">
        <v>431</v>
      </c>
      <c r="C809" s="26">
        <v>46109.0</v>
      </c>
      <c r="D809" s="25" t="s">
        <v>295</v>
      </c>
      <c r="E809" s="25" t="s">
        <v>92</v>
      </c>
      <c r="F809" s="29">
        <v>48.0</v>
      </c>
      <c r="G809" s="30">
        <v>521.76</v>
      </c>
      <c r="H809" s="25" t="s">
        <v>1214</v>
      </c>
      <c r="I809" s="30">
        <f>F809-IFERROR(VLOOKUP(B809,crm_orders!$A:$S,10,FALSE),0)</f>
        <v>0</v>
      </c>
      <c r="J809" s="30">
        <f>G809-IFERROR(VLOOKUP(B809,crm_orders!$A:$S,12,FALSE),0)</f>
        <v>0</v>
      </c>
      <c r="K809" s="25" t="str">
        <f>IF(COUNTIF(crm_orders!$A:$A,B809)=0,"Orphan","OK")</f>
        <v>OK</v>
      </c>
    </row>
    <row r="810" ht="15.75" customHeight="1">
      <c r="A810" s="17" t="s">
        <v>2021</v>
      </c>
      <c r="B810" s="17" t="s">
        <v>842</v>
      </c>
      <c r="C810" s="18">
        <v>46136.0</v>
      </c>
      <c r="D810" s="17" t="s">
        <v>698</v>
      </c>
      <c r="E810" s="17" t="s">
        <v>92</v>
      </c>
      <c r="F810" s="21">
        <v>120.0</v>
      </c>
      <c r="G810" s="22">
        <v>1255.2</v>
      </c>
      <c r="H810" s="17" t="s">
        <v>1214</v>
      </c>
      <c r="I810" s="22">
        <f>F810-IFERROR(VLOOKUP(B810,crm_orders!$A:$S,10,FALSE),0)</f>
        <v>0</v>
      </c>
      <c r="J810" s="22">
        <f>G810-IFERROR(VLOOKUP(B810,crm_orders!$A:$S,12,FALSE),0)</f>
        <v>0</v>
      </c>
      <c r="K810" s="17" t="str">
        <f>IF(COUNTIF(crm_orders!$A:$A,B810)=0,"Orphan","OK")</f>
        <v>OK</v>
      </c>
    </row>
    <row r="811" ht="15.75" customHeight="1">
      <c r="A811" s="25" t="s">
        <v>2022</v>
      </c>
      <c r="B811" s="25" t="s">
        <v>938</v>
      </c>
      <c r="C811" s="26">
        <v>46095.0</v>
      </c>
      <c r="D811" s="25" t="s">
        <v>864</v>
      </c>
      <c r="E811" s="25" t="s">
        <v>123</v>
      </c>
      <c r="F811" s="29">
        <v>78.0</v>
      </c>
      <c r="G811" s="30">
        <v>872.82</v>
      </c>
      <c r="H811" s="25" t="s">
        <v>93</v>
      </c>
      <c r="I811" s="30">
        <f>F811-IFERROR(VLOOKUP(B811,crm_orders!$A:$S,10,FALSE),0)</f>
        <v>-18</v>
      </c>
      <c r="J811" s="30">
        <f>G811-IFERROR(VLOOKUP(B811,crm_orders!$A:$S,12,FALSE),0)</f>
        <v>-201.42</v>
      </c>
      <c r="K811" s="25" t="str">
        <f>IF(COUNTIF(crm_orders!$A:$A,B811)=0,"Orphan","OK")</f>
        <v>OK</v>
      </c>
    </row>
    <row r="812" ht="15.75" customHeight="1">
      <c r="A812" s="17" t="s">
        <v>2023</v>
      </c>
      <c r="B812" s="17" t="s">
        <v>273</v>
      </c>
      <c r="C812" s="18">
        <v>46112.0</v>
      </c>
      <c r="D812" s="17" t="s">
        <v>226</v>
      </c>
      <c r="E812" s="17" t="s">
        <v>123</v>
      </c>
      <c r="F812" s="21">
        <v>12.0</v>
      </c>
      <c r="G812" s="22">
        <v>117.6</v>
      </c>
      <c r="H812" s="17" t="s">
        <v>1214</v>
      </c>
      <c r="I812" s="22">
        <f>F812-IFERROR(VLOOKUP(B812,crm_orders!$A:$S,10,FALSE),0)</f>
        <v>0</v>
      </c>
      <c r="J812" s="22">
        <f>G812-IFERROR(VLOOKUP(B812,crm_orders!$A:$S,12,FALSE),0)</f>
        <v>0</v>
      </c>
      <c r="K812" s="17" t="str">
        <f>IF(COUNTIF(crm_orders!$A:$A,B812)=0,"Orphan","OK")</f>
        <v>OK</v>
      </c>
    </row>
    <row r="813" ht="15.75" customHeight="1">
      <c r="A813" s="25" t="s">
        <v>2024</v>
      </c>
      <c r="B813" s="25" t="s">
        <v>843</v>
      </c>
      <c r="C813" s="26">
        <v>46091.0</v>
      </c>
      <c r="D813" s="25" t="s">
        <v>741</v>
      </c>
      <c r="E813" s="25" t="s">
        <v>71</v>
      </c>
      <c r="F813" s="29">
        <v>36.0</v>
      </c>
      <c r="G813" s="30">
        <v>258.48</v>
      </c>
      <c r="H813" s="25" t="s">
        <v>1214</v>
      </c>
      <c r="I813" s="30">
        <f>F813-IFERROR(VLOOKUP(B813,crm_orders!$A:$S,10,FALSE),0)</f>
        <v>0</v>
      </c>
      <c r="J813" s="30">
        <f>G813-IFERROR(VLOOKUP(B813,crm_orders!$A:$S,12,FALSE),0)</f>
        <v>0</v>
      </c>
      <c r="K813" s="25" t="str">
        <f>IF(COUNTIF(crm_orders!$A:$A,B813)=0,"Orphan","OK")</f>
        <v>OK</v>
      </c>
    </row>
    <row r="814" ht="15.75" customHeight="1">
      <c r="A814" s="17" t="s">
        <v>2025</v>
      </c>
      <c r="B814" s="17" t="s">
        <v>1059</v>
      </c>
      <c r="C814" s="18">
        <v>46127.0</v>
      </c>
      <c r="D814" s="17" t="s">
        <v>968</v>
      </c>
      <c r="E814" s="17" t="s">
        <v>102</v>
      </c>
      <c r="F814" s="21">
        <v>0.0</v>
      </c>
      <c r="G814" s="22">
        <v>0.0</v>
      </c>
      <c r="H814" s="17" t="s">
        <v>93</v>
      </c>
      <c r="I814" s="22">
        <f>F814-IFERROR(VLOOKUP(B814,crm_orders!$A:$S,10,FALSE),0)</f>
        <v>-6</v>
      </c>
      <c r="J814" s="22">
        <f>G814-IFERROR(VLOOKUP(B814,crm_orders!$A:$S,12,FALSE),0)</f>
        <v>-62.4</v>
      </c>
      <c r="K814" s="17" t="str">
        <f>IF(COUNTIF(crm_orders!$A:$A,B814)=0,"Orphan","OK")</f>
        <v>OK</v>
      </c>
    </row>
    <row r="815" ht="15.75" customHeight="1">
      <c r="A815" s="25" t="s">
        <v>2026</v>
      </c>
      <c r="B815" s="25" t="s">
        <v>1060</v>
      </c>
      <c r="C815" s="26">
        <v>46137.0</v>
      </c>
      <c r="D815" s="25" t="s">
        <v>984</v>
      </c>
      <c r="E815" s="25" t="s">
        <v>123</v>
      </c>
      <c r="F815" s="29">
        <v>120.0</v>
      </c>
      <c r="G815" s="30">
        <v>1340.4</v>
      </c>
      <c r="H815" s="25" t="s">
        <v>1214</v>
      </c>
      <c r="I815" s="30">
        <f>F815-IFERROR(VLOOKUP(B815,crm_orders!$A:$S,10,FALSE),0)</f>
        <v>0</v>
      </c>
      <c r="J815" s="30">
        <f>G815-IFERROR(VLOOKUP(B815,crm_orders!$A:$S,12,FALSE),0)</f>
        <v>0</v>
      </c>
      <c r="K815" s="25" t="str">
        <f>IF(COUNTIF(crm_orders!$A:$A,B815)=0,"Orphan","OK")</f>
        <v>OK</v>
      </c>
    </row>
    <row r="816" ht="15.75" customHeight="1">
      <c r="A816" s="17" t="s">
        <v>2027</v>
      </c>
      <c r="B816" s="17" t="s">
        <v>678</v>
      </c>
      <c r="C816" s="18">
        <v>46142.0</v>
      </c>
      <c r="D816" s="17" t="s">
        <v>547</v>
      </c>
      <c r="E816" s="17" t="s">
        <v>110</v>
      </c>
      <c r="F816" s="21">
        <v>60.0</v>
      </c>
      <c r="G816" s="22">
        <v>603.0</v>
      </c>
      <c r="H816" s="17" t="s">
        <v>1214</v>
      </c>
      <c r="I816" s="22">
        <f>F816-IFERROR(VLOOKUP(B816,crm_orders!$A:$S,10,FALSE),0)</f>
        <v>0</v>
      </c>
      <c r="J816" s="22">
        <f>G816-IFERROR(VLOOKUP(B816,crm_orders!$A:$S,12,FALSE),0)</f>
        <v>0</v>
      </c>
      <c r="K816" s="17" t="str">
        <f>IF(COUNTIF(crm_orders!$A:$A,B816)=0,"Orphan","OK")</f>
        <v>OK</v>
      </c>
    </row>
    <row r="817" ht="15.75" customHeight="1">
      <c r="A817" s="25" t="s">
        <v>2028</v>
      </c>
      <c r="B817" s="25" t="s">
        <v>1194</v>
      </c>
      <c r="C817" s="26">
        <v>46097.0</v>
      </c>
      <c r="D817" s="25" t="s">
        <v>1129</v>
      </c>
      <c r="E817" s="25" t="s">
        <v>64</v>
      </c>
      <c r="F817" s="29">
        <v>24.0</v>
      </c>
      <c r="G817" s="30">
        <v>176.16</v>
      </c>
      <c r="H817" s="25" t="s">
        <v>1214</v>
      </c>
      <c r="I817" s="30">
        <f>F817-IFERROR(VLOOKUP(B817,crm_orders!$A:$S,10,FALSE),0)</f>
        <v>0</v>
      </c>
      <c r="J817" s="30">
        <f>G817-IFERROR(VLOOKUP(B817,crm_orders!$A:$S,12,FALSE),0)</f>
        <v>0</v>
      </c>
      <c r="K817" s="25" t="str">
        <f>IF(COUNTIF(crm_orders!$A:$A,B817)=0,"Orphan","OK")</f>
        <v>OK</v>
      </c>
    </row>
    <row r="818" ht="15.75" customHeight="1">
      <c r="A818" s="17" t="s">
        <v>2029</v>
      </c>
      <c r="B818" s="17" t="s">
        <v>274</v>
      </c>
      <c r="C818" s="18">
        <v>46104.0</v>
      </c>
      <c r="D818" s="17" t="s">
        <v>170</v>
      </c>
      <c r="E818" s="17" t="s">
        <v>154</v>
      </c>
      <c r="F818" s="21">
        <v>24.0</v>
      </c>
      <c r="G818" s="22">
        <v>247.92</v>
      </c>
      <c r="H818" s="17" t="s">
        <v>1214</v>
      </c>
      <c r="I818" s="22">
        <f>F818-IFERROR(VLOOKUP(B818,crm_orders!$A:$S,10,FALSE),0)</f>
        <v>0</v>
      </c>
      <c r="J818" s="22">
        <f>G818-IFERROR(VLOOKUP(B818,crm_orders!$A:$S,12,FALSE),0)</f>
        <v>0</v>
      </c>
      <c r="K818" s="17" t="str">
        <f>IF(COUNTIF(crm_orders!$A:$A,B818)=0,"Orphan","OK")</f>
        <v>OK</v>
      </c>
    </row>
    <row r="819" ht="15.75" customHeight="1">
      <c r="A819" s="25" t="s">
        <v>2030</v>
      </c>
      <c r="B819" s="25" t="s">
        <v>275</v>
      </c>
      <c r="C819" s="26">
        <v>46083.0</v>
      </c>
      <c r="D819" s="25" t="s">
        <v>174</v>
      </c>
      <c r="E819" s="25" t="s">
        <v>68</v>
      </c>
      <c r="F819" s="29">
        <v>54.0</v>
      </c>
      <c r="G819" s="30">
        <v>529.2</v>
      </c>
      <c r="H819" s="25" t="s">
        <v>1212</v>
      </c>
      <c r="I819" s="30">
        <f>F819-IFERROR(VLOOKUP(B819,crm_orders!$A:$S,10,FALSE),0)</f>
        <v>6</v>
      </c>
      <c r="J819" s="30">
        <f>G819-IFERROR(VLOOKUP(B819,crm_orders!$A:$S,12,FALSE),0)</f>
        <v>58.8</v>
      </c>
      <c r="K819" s="25" t="str">
        <f>IF(COUNTIF(crm_orders!$A:$A,B819)=0,"Orphan","OK")</f>
        <v>OK</v>
      </c>
    </row>
    <row r="820" ht="15.75" customHeight="1">
      <c r="A820" s="17" t="s">
        <v>2031</v>
      </c>
      <c r="B820" s="17" t="s">
        <v>1061</v>
      </c>
      <c r="C820" s="18">
        <v>46031.0</v>
      </c>
      <c r="D820" s="17" t="s">
        <v>957</v>
      </c>
      <c r="E820" s="17" t="s">
        <v>90</v>
      </c>
      <c r="F820" s="21">
        <v>24.0</v>
      </c>
      <c r="G820" s="22">
        <v>177.36</v>
      </c>
      <c r="H820" s="17" t="s">
        <v>93</v>
      </c>
      <c r="I820" s="22">
        <f>F820-IFERROR(VLOOKUP(B820,crm_orders!$A:$S,10,FALSE),0)</f>
        <v>-24</v>
      </c>
      <c r="J820" s="22">
        <f>G820-IFERROR(VLOOKUP(B820,crm_orders!$A:$S,12,FALSE),0)</f>
        <v>-177.36</v>
      </c>
      <c r="K820" s="17" t="str">
        <f>IF(COUNTIF(crm_orders!$A:$A,B820)=0,"Orphan","OK")</f>
        <v>OK</v>
      </c>
    </row>
    <row r="821" ht="15.75" customHeight="1">
      <c r="A821" s="25" t="s">
        <v>2032</v>
      </c>
      <c r="B821" s="25" t="s">
        <v>153</v>
      </c>
      <c r="C821" s="26">
        <v>46067.0</v>
      </c>
      <c r="D821" s="25" t="s">
        <v>104</v>
      </c>
      <c r="E821" s="25" t="s">
        <v>154</v>
      </c>
      <c r="F821" s="29">
        <v>48.0</v>
      </c>
      <c r="G821" s="30">
        <v>512.16</v>
      </c>
      <c r="H821" s="25" t="s">
        <v>1214</v>
      </c>
      <c r="I821" s="30">
        <f>F821-IFERROR(VLOOKUP(B821,crm_orders!$A:$S,10,FALSE),0)</f>
        <v>0</v>
      </c>
      <c r="J821" s="30">
        <f>G821-IFERROR(VLOOKUP(B821,crm_orders!$A:$S,12,FALSE),0)</f>
        <v>0</v>
      </c>
      <c r="K821" s="25" t="str">
        <f>IF(COUNTIF(crm_orders!$A:$A,B821)=0,"Orphan","OK")</f>
        <v>OK</v>
      </c>
    </row>
    <row r="822" ht="15.75" customHeight="1">
      <c r="A822" s="17" t="s">
        <v>2033</v>
      </c>
      <c r="B822" s="17" t="s">
        <v>939</v>
      </c>
      <c r="C822" s="18">
        <v>46053.0</v>
      </c>
      <c r="D822" s="17" t="s">
        <v>866</v>
      </c>
      <c r="E822" s="17" t="s">
        <v>90</v>
      </c>
      <c r="F822" s="21">
        <v>18.0</v>
      </c>
      <c r="G822" s="22">
        <v>146.16</v>
      </c>
      <c r="H822" s="17" t="s">
        <v>1214</v>
      </c>
      <c r="I822" s="22">
        <f>F822-IFERROR(VLOOKUP(B822,crm_orders!$A:$S,10,FALSE),0)</f>
        <v>0</v>
      </c>
      <c r="J822" s="22">
        <f>G822-IFERROR(VLOOKUP(B822,crm_orders!$A:$S,12,FALSE),0)</f>
        <v>0</v>
      </c>
      <c r="K822" s="17" t="str">
        <f>IF(COUNTIF(crm_orders!$A:$A,B822)=0,"Orphan","OK")</f>
        <v>OK</v>
      </c>
    </row>
    <row r="823" ht="15.75" customHeight="1">
      <c r="A823" s="25" t="s">
        <v>2034</v>
      </c>
      <c r="B823" s="25" t="s">
        <v>940</v>
      </c>
      <c r="C823" s="26">
        <v>46076.0</v>
      </c>
      <c r="D823" s="25" t="s">
        <v>859</v>
      </c>
      <c r="E823" s="25" t="s">
        <v>68</v>
      </c>
      <c r="F823" s="29">
        <v>60.0</v>
      </c>
      <c r="G823" s="30">
        <v>606.0</v>
      </c>
      <c r="H823" s="25" t="s">
        <v>1214</v>
      </c>
      <c r="I823" s="30">
        <f>F823-IFERROR(VLOOKUP(B823,crm_orders!$A:$S,10,FALSE),0)</f>
        <v>0</v>
      </c>
      <c r="J823" s="30">
        <f>G823-IFERROR(VLOOKUP(B823,crm_orders!$A:$S,12,FALSE),0)</f>
        <v>0</v>
      </c>
      <c r="K823" s="25" t="str">
        <f>IF(COUNTIF(crm_orders!$A:$A,B823)=0,"Orphan","OK")</f>
        <v>OK</v>
      </c>
    </row>
    <row r="824" ht="15.75" customHeight="1">
      <c r="A824" s="17" t="s">
        <v>2035</v>
      </c>
      <c r="B824" s="17" t="s">
        <v>941</v>
      </c>
      <c r="C824" s="18">
        <v>46046.0</v>
      </c>
      <c r="D824" s="17" t="s">
        <v>868</v>
      </c>
      <c r="E824" s="17" t="s">
        <v>64</v>
      </c>
      <c r="F824" s="21">
        <v>24.0</v>
      </c>
      <c r="G824" s="22">
        <v>195.84</v>
      </c>
      <c r="H824" s="17" t="s">
        <v>1214</v>
      </c>
      <c r="I824" s="22">
        <f>F824-IFERROR(VLOOKUP(B824,crm_orders!$A:$S,10,FALSE),0)</f>
        <v>0</v>
      </c>
      <c r="J824" s="22">
        <f>G824-IFERROR(VLOOKUP(B824,crm_orders!$A:$S,12,FALSE),0)</f>
        <v>0</v>
      </c>
      <c r="K824" s="17" t="str">
        <f>IF(COUNTIF(crm_orders!$A:$A,B824)=0,"Orphan","OK")</f>
        <v>OK</v>
      </c>
    </row>
    <row r="825" ht="15.75" customHeight="1">
      <c r="A825" s="25" t="s">
        <v>2036</v>
      </c>
      <c r="B825" s="25" t="s">
        <v>844</v>
      </c>
      <c r="C825" s="26">
        <v>46121.0</v>
      </c>
      <c r="D825" s="25" t="s">
        <v>698</v>
      </c>
      <c r="E825" s="25" t="s">
        <v>68</v>
      </c>
      <c r="F825" s="29">
        <v>6.0</v>
      </c>
      <c r="G825" s="30">
        <v>64.92</v>
      </c>
      <c r="H825" s="25" t="s">
        <v>1214</v>
      </c>
      <c r="I825" s="30">
        <f>F825-IFERROR(VLOOKUP(B825,crm_orders!$A:$S,10,FALSE),0)</f>
        <v>0</v>
      </c>
      <c r="J825" s="30">
        <f>G825-IFERROR(VLOOKUP(B825,crm_orders!$A:$S,12,FALSE),0)</f>
        <v>0</v>
      </c>
      <c r="K825" s="25" t="str">
        <f>IF(COUNTIF(crm_orders!$A:$A,B825)=0,"Orphan","OK")</f>
        <v>OK</v>
      </c>
    </row>
    <row r="826" ht="15.75" customHeight="1">
      <c r="A826" s="17" t="s">
        <v>2037</v>
      </c>
      <c r="B826" s="17" t="s">
        <v>1062</v>
      </c>
      <c r="C826" s="18">
        <v>46122.0</v>
      </c>
      <c r="D826" s="17" t="s">
        <v>965</v>
      </c>
      <c r="E826" s="17" t="s">
        <v>156</v>
      </c>
      <c r="F826" s="21">
        <v>120.0</v>
      </c>
      <c r="G826" s="22">
        <v>1234.8</v>
      </c>
      <c r="H826" s="17" t="s">
        <v>1214</v>
      </c>
      <c r="I826" s="22">
        <f>F826-IFERROR(VLOOKUP(B826,crm_orders!$A:$S,10,FALSE),0)</f>
        <v>0</v>
      </c>
      <c r="J826" s="22">
        <f>G826-IFERROR(VLOOKUP(B826,crm_orders!$A:$S,12,FALSE),0)</f>
        <v>0</v>
      </c>
      <c r="K826" s="17" t="str">
        <f>IF(COUNTIF(crm_orders!$A:$A,B826)=0,"Orphan","OK")</f>
        <v>OK</v>
      </c>
    </row>
    <row r="827" ht="15.75" customHeight="1">
      <c r="A827" s="25" t="s">
        <v>2038</v>
      </c>
      <c r="B827" s="25" t="s">
        <v>1195</v>
      </c>
      <c r="C827" s="26">
        <v>46037.0</v>
      </c>
      <c r="D827" s="25" t="s">
        <v>1154</v>
      </c>
      <c r="E827" s="25" t="s">
        <v>154</v>
      </c>
      <c r="F827" s="29">
        <v>12.0</v>
      </c>
      <c r="G827" s="30">
        <v>135.96</v>
      </c>
      <c r="H827" s="25" t="s">
        <v>1214</v>
      </c>
      <c r="I827" s="30">
        <f>F827-IFERROR(VLOOKUP(B827,crm_orders!$A:$S,10,FALSE),0)</f>
        <v>0</v>
      </c>
      <c r="J827" s="30">
        <f>G827-IFERROR(VLOOKUP(B827,crm_orders!$A:$S,12,FALSE),0)</f>
        <v>0</v>
      </c>
      <c r="K827" s="25" t="str">
        <f>IF(COUNTIF(crm_orders!$A:$A,B827)=0,"Orphan","OK")</f>
        <v>OK</v>
      </c>
    </row>
    <row r="828" ht="15.75" customHeight="1">
      <c r="A828" s="17" t="s">
        <v>2039</v>
      </c>
      <c r="B828" s="17" t="s">
        <v>276</v>
      </c>
      <c r="C828" s="18">
        <v>46153.0</v>
      </c>
      <c r="D828" s="17" t="s">
        <v>174</v>
      </c>
      <c r="E828" s="17" t="s">
        <v>190</v>
      </c>
      <c r="F828" s="21">
        <v>6.0</v>
      </c>
      <c r="G828" s="22">
        <v>48.36</v>
      </c>
      <c r="H828" s="17" t="s">
        <v>93</v>
      </c>
      <c r="I828" s="22">
        <f>F828-IFERROR(VLOOKUP(B828,crm_orders!$A:$S,10,FALSE),0)</f>
        <v>-18</v>
      </c>
      <c r="J828" s="22">
        <f>G828-IFERROR(VLOOKUP(B828,crm_orders!$A:$S,12,FALSE),0)</f>
        <v>-145.08</v>
      </c>
      <c r="K828" s="17" t="str">
        <f>IF(COUNTIF(crm_orders!$A:$A,B828)=0,"Orphan","OK")</f>
        <v>OK</v>
      </c>
    </row>
    <row r="829" ht="15.75" customHeight="1">
      <c r="A829" s="25" t="s">
        <v>2040</v>
      </c>
      <c r="B829" s="25" t="s">
        <v>278</v>
      </c>
      <c r="C829" s="26">
        <v>46134.0</v>
      </c>
      <c r="D829" s="25" t="s">
        <v>177</v>
      </c>
      <c r="E829" s="25" t="s">
        <v>68</v>
      </c>
      <c r="F829" s="29">
        <v>0.0</v>
      </c>
      <c r="G829" s="30">
        <v>0.0</v>
      </c>
      <c r="H829" s="25" t="s">
        <v>93</v>
      </c>
      <c r="I829" s="30">
        <f>F829-IFERROR(VLOOKUP(B829,crm_orders!$A:$S,10,FALSE),0)</f>
        <v>-18</v>
      </c>
      <c r="J829" s="30">
        <f>G829-IFERROR(VLOOKUP(B829,crm_orders!$A:$S,12,FALSE),0)</f>
        <v>-180.18</v>
      </c>
      <c r="K829" s="25" t="str">
        <f>IF(COUNTIF(crm_orders!$A:$A,B829)=0,"Orphan","OK")</f>
        <v>OK</v>
      </c>
    </row>
    <row r="830" ht="15.75" customHeight="1">
      <c r="A830" s="17" t="s">
        <v>2041</v>
      </c>
      <c r="B830" s="17" t="s">
        <v>155</v>
      </c>
      <c r="C830" s="18">
        <v>46042.0</v>
      </c>
      <c r="D830" s="17" t="s">
        <v>83</v>
      </c>
      <c r="E830" s="17" t="s">
        <v>156</v>
      </c>
      <c r="F830" s="21">
        <v>12.0</v>
      </c>
      <c r="G830" s="22">
        <v>126.6</v>
      </c>
      <c r="H830" s="17" t="s">
        <v>1214</v>
      </c>
      <c r="I830" s="22">
        <f>F830-IFERROR(VLOOKUP(B830,crm_orders!$A:$S,10,FALSE),0)</f>
        <v>0</v>
      </c>
      <c r="J830" s="22">
        <f>G830-IFERROR(VLOOKUP(B830,crm_orders!$A:$S,12,FALSE),0)</f>
        <v>0</v>
      </c>
      <c r="K830" s="17" t="str">
        <f>IF(COUNTIF(crm_orders!$A:$A,B830)=0,"Orphan","OK")</f>
        <v>OK</v>
      </c>
    </row>
    <row r="831" ht="15.75" customHeight="1">
      <c r="A831" s="25" t="s">
        <v>2042</v>
      </c>
      <c r="B831" s="25" t="s">
        <v>432</v>
      </c>
      <c r="C831" s="26">
        <v>46118.0</v>
      </c>
      <c r="D831" s="25" t="s">
        <v>291</v>
      </c>
      <c r="E831" s="25" t="s">
        <v>154</v>
      </c>
      <c r="F831" s="29">
        <v>18.0</v>
      </c>
      <c r="G831" s="30">
        <v>181.8</v>
      </c>
      <c r="H831" s="25" t="s">
        <v>1214</v>
      </c>
      <c r="I831" s="30">
        <f>F831-IFERROR(VLOOKUP(B831,crm_orders!$A:$S,10,FALSE),0)</f>
        <v>0</v>
      </c>
      <c r="J831" s="30">
        <f>G831-IFERROR(VLOOKUP(B831,crm_orders!$A:$S,12,FALSE),0)</f>
        <v>0</v>
      </c>
      <c r="K831" s="25" t="str">
        <f>IF(COUNTIF(crm_orders!$A:$A,B831)=0,"Orphan","OK")</f>
        <v>OK</v>
      </c>
    </row>
    <row r="832" ht="15.75" customHeight="1">
      <c r="A832" s="17" t="s">
        <v>2043</v>
      </c>
      <c r="B832" s="17" t="s">
        <v>679</v>
      </c>
      <c r="C832" s="18">
        <v>46128.0</v>
      </c>
      <c r="D832" s="17" t="s">
        <v>593</v>
      </c>
      <c r="E832" s="17" t="s">
        <v>95</v>
      </c>
      <c r="F832" s="21">
        <v>18.0</v>
      </c>
      <c r="G832" s="22">
        <v>200.7</v>
      </c>
      <c r="H832" s="17" t="s">
        <v>1214</v>
      </c>
      <c r="I832" s="22">
        <f>F832-IFERROR(VLOOKUP(B832,crm_orders!$A:$S,10,FALSE),0)</f>
        <v>0</v>
      </c>
      <c r="J832" s="22">
        <f>G832-IFERROR(VLOOKUP(B832,crm_orders!$A:$S,12,FALSE),0)</f>
        <v>0</v>
      </c>
      <c r="K832" s="17" t="str">
        <f>IF(COUNTIF(crm_orders!$A:$A,B832)=0,"Orphan","OK")</f>
        <v>OK</v>
      </c>
    </row>
    <row r="833" ht="15.75" customHeight="1">
      <c r="A833" s="25" t="s">
        <v>2044</v>
      </c>
      <c r="B833" s="25" t="s">
        <v>528</v>
      </c>
      <c r="C833" s="26">
        <v>46042.0</v>
      </c>
      <c r="D833" s="25" t="s">
        <v>464</v>
      </c>
      <c r="E833" s="25" t="s">
        <v>154</v>
      </c>
      <c r="F833" s="29">
        <v>30.0</v>
      </c>
      <c r="G833" s="30">
        <v>295.8</v>
      </c>
      <c r="H833" s="25" t="s">
        <v>1214</v>
      </c>
      <c r="I833" s="30">
        <f>F833-IFERROR(VLOOKUP(B833,crm_orders!$A:$S,10,FALSE),0)</f>
        <v>0</v>
      </c>
      <c r="J833" s="30">
        <f>G833-IFERROR(VLOOKUP(B833,crm_orders!$A:$S,12,FALSE),0)</f>
        <v>0</v>
      </c>
      <c r="K833" s="25" t="str">
        <f>IF(COUNTIF(crm_orders!$A:$A,B833)=0,"Orphan","OK")</f>
        <v>OK</v>
      </c>
    </row>
    <row r="834" ht="15.75" customHeight="1">
      <c r="A834" s="17" t="s">
        <v>2045</v>
      </c>
      <c r="B834" s="17" t="s">
        <v>1196</v>
      </c>
      <c r="C834" s="18">
        <v>46025.0</v>
      </c>
      <c r="D834" s="17" t="s">
        <v>1126</v>
      </c>
      <c r="E834" s="17" t="s">
        <v>78</v>
      </c>
      <c r="F834" s="21">
        <v>6.0</v>
      </c>
      <c r="G834" s="22">
        <v>61.5</v>
      </c>
      <c r="H834" s="17" t="s">
        <v>1214</v>
      </c>
      <c r="I834" s="22">
        <f>F834-IFERROR(VLOOKUP(B834,crm_orders!$A:$S,10,FALSE),0)</f>
        <v>0</v>
      </c>
      <c r="J834" s="22">
        <f>G834-IFERROR(VLOOKUP(B834,crm_orders!$A:$S,12,FALSE),0)</f>
        <v>0</v>
      </c>
      <c r="K834" s="17" t="str">
        <f>IF(COUNTIF(crm_orders!$A:$A,B834)=0,"Orphan","OK")</f>
        <v>OK</v>
      </c>
    </row>
    <row r="835" ht="15.75" customHeight="1">
      <c r="A835" s="25" t="s">
        <v>2046</v>
      </c>
      <c r="B835" s="25" t="s">
        <v>680</v>
      </c>
      <c r="C835" s="26">
        <v>46114.0</v>
      </c>
      <c r="D835" s="25" t="s">
        <v>547</v>
      </c>
      <c r="E835" s="25" t="s">
        <v>106</v>
      </c>
      <c r="F835" s="29">
        <v>72.0</v>
      </c>
      <c r="G835" s="30">
        <v>849.6</v>
      </c>
      <c r="H835" s="25" t="s">
        <v>1214</v>
      </c>
      <c r="I835" s="30">
        <f>F835-IFERROR(VLOOKUP(B835,crm_orders!$A:$S,10,FALSE),0)</f>
        <v>0</v>
      </c>
      <c r="J835" s="30">
        <f>G835-IFERROR(VLOOKUP(B835,crm_orders!$A:$S,12,FALSE),0)</f>
        <v>0</v>
      </c>
      <c r="K835" s="25" t="str">
        <f>IF(COUNTIF(crm_orders!$A:$A,B835)=0,"Orphan","OK")</f>
        <v>OK</v>
      </c>
    </row>
    <row r="836" ht="15.75" customHeight="1">
      <c r="A836" s="17" t="s">
        <v>2047</v>
      </c>
      <c r="B836" s="17" t="s">
        <v>279</v>
      </c>
      <c r="C836" s="18">
        <v>46111.0</v>
      </c>
      <c r="D836" s="17" t="s">
        <v>166</v>
      </c>
      <c r="E836" s="17" t="s">
        <v>68</v>
      </c>
      <c r="F836" s="21">
        <v>36.0</v>
      </c>
      <c r="G836" s="22">
        <v>415.8</v>
      </c>
      <c r="H836" s="17" t="s">
        <v>1214</v>
      </c>
      <c r="I836" s="22">
        <f>F836-IFERROR(VLOOKUP(B836,crm_orders!$A:$S,10,FALSE),0)</f>
        <v>0</v>
      </c>
      <c r="J836" s="22">
        <f>G836-IFERROR(VLOOKUP(B836,crm_orders!$A:$S,12,FALSE),0)</f>
        <v>0</v>
      </c>
      <c r="K836" s="17" t="str">
        <f>IF(COUNTIF(crm_orders!$A:$A,B836)=0,"Orphan","OK")</f>
        <v>OK</v>
      </c>
    </row>
    <row r="837" ht="15.75" customHeight="1">
      <c r="A837" s="25" t="s">
        <v>2048</v>
      </c>
      <c r="B837" s="25" t="s">
        <v>845</v>
      </c>
      <c r="C837" s="26">
        <v>46128.0</v>
      </c>
      <c r="D837" s="25" t="s">
        <v>720</v>
      </c>
      <c r="E837" s="25" t="s">
        <v>92</v>
      </c>
      <c r="F837" s="29">
        <v>12.0</v>
      </c>
      <c r="G837" s="30">
        <v>113.52</v>
      </c>
      <c r="H837" s="25" t="s">
        <v>1214</v>
      </c>
      <c r="I837" s="30">
        <f>F837-IFERROR(VLOOKUP(B837,crm_orders!$A:$S,10,FALSE),0)</f>
        <v>0</v>
      </c>
      <c r="J837" s="30">
        <f>G837-IFERROR(VLOOKUP(B837,crm_orders!$A:$S,12,FALSE),0)</f>
        <v>0</v>
      </c>
      <c r="K837" s="25" t="str">
        <f>IF(COUNTIF(crm_orders!$A:$A,B837)=0,"Orphan","OK")</f>
        <v>OK</v>
      </c>
    </row>
    <row r="838" ht="15.75" customHeight="1">
      <c r="A838" s="17" t="s">
        <v>2049</v>
      </c>
      <c r="B838" s="17" t="s">
        <v>942</v>
      </c>
      <c r="C838" s="18">
        <v>46124.0</v>
      </c>
      <c r="D838" s="17" t="s">
        <v>857</v>
      </c>
      <c r="E838" s="17" t="s">
        <v>115</v>
      </c>
      <c r="F838" s="21">
        <v>24.0</v>
      </c>
      <c r="G838" s="22">
        <v>262.8</v>
      </c>
      <c r="H838" s="17" t="s">
        <v>1214</v>
      </c>
      <c r="I838" s="22">
        <f>F838-IFERROR(VLOOKUP(B838,crm_orders!$A:$S,10,FALSE),0)</f>
        <v>0</v>
      </c>
      <c r="J838" s="22">
        <f>G838-IFERROR(VLOOKUP(B838,crm_orders!$A:$S,12,FALSE),0)</f>
        <v>0</v>
      </c>
      <c r="K838" s="17" t="str">
        <f>IF(COUNTIF(crm_orders!$A:$A,B838)=0,"Orphan","OK")</f>
        <v>OK</v>
      </c>
    </row>
    <row r="839" ht="15.75" customHeight="1">
      <c r="A839" s="25" t="s">
        <v>2050</v>
      </c>
      <c r="B839" s="25" t="s">
        <v>681</v>
      </c>
      <c r="C839" s="26">
        <v>46032.0</v>
      </c>
      <c r="D839" s="25" t="s">
        <v>547</v>
      </c>
      <c r="E839" s="25" t="s">
        <v>92</v>
      </c>
      <c r="F839" s="29">
        <v>120.0</v>
      </c>
      <c r="G839" s="30">
        <v>1225.2</v>
      </c>
      <c r="H839" s="25" t="s">
        <v>1214</v>
      </c>
      <c r="I839" s="30">
        <f>F839-IFERROR(VLOOKUP(B839,crm_orders!$A:$S,10,FALSE),0)</f>
        <v>0</v>
      </c>
      <c r="J839" s="30">
        <f>G839-IFERROR(VLOOKUP(B839,crm_orders!$A:$S,12,FALSE),0)</f>
        <v>0</v>
      </c>
      <c r="K839" s="25" t="str">
        <f>IF(COUNTIF(crm_orders!$A:$A,B839)=0,"Orphan","OK")</f>
        <v>OK</v>
      </c>
    </row>
    <row r="840" ht="15.75" customHeight="1">
      <c r="A840" s="17" t="s">
        <v>2051</v>
      </c>
      <c r="B840" s="17" t="s">
        <v>943</v>
      </c>
      <c r="C840" s="18">
        <v>46129.0</v>
      </c>
      <c r="D840" s="17" t="s">
        <v>861</v>
      </c>
      <c r="E840" s="17" t="s">
        <v>78</v>
      </c>
      <c r="F840" s="21">
        <v>48.0</v>
      </c>
      <c r="G840" s="22">
        <v>494.88</v>
      </c>
      <c r="H840" s="17" t="s">
        <v>1214</v>
      </c>
      <c r="I840" s="22">
        <f>F840-IFERROR(VLOOKUP(B840,crm_orders!$A:$S,10,FALSE),0)</f>
        <v>0</v>
      </c>
      <c r="J840" s="22">
        <f>G840-IFERROR(VLOOKUP(B840,crm_orders!$A:$S,12,FALSE),0)</f>
        <v>0</v>
      </c>
      <c r="K840" s="17" t="str">
        <f>IF(COUNTIF(crm_orders!$A:$A,B840)=0,"Orphan","OK")</f>
        <v>OK</v>
      </c>
    </row>
    <row r="841" ht="15.75" customHeight="1">
      <c r="A841" s="25" t="s">
        <v>2052</v>
      </c>
      <c r="B841" s="25" t="s">
        <v>944</v>
      </c>
      <c r="C841" s="26">
        <v>46035.0</v>
      </c>
      <c r="D841" s="25" t="s">
        <v>866</v>
      </c>
      <c r="E841" s="25" t="s">
        <v>190</v>
      </c>
      <c r="F841" s="29">
        <v>18.0</v>
      </c>
      <c r="G841" s="30">
        <v>135.0</v>
      </c>
      <c r="H841" s="25" t="s">
        <v>1214</v>
      </c>
      <c r="I841" s="30">
        <f>F841-IFERROR(VLOOKUP(B841,crm_orders!$A:$S,10,FALSE),0)</f>
        <v>0</v>
      </c>
      <c r="J841" s="30">
        <f>G841-IFERROR(VLOOKUP(B841,crm_orders!$A:$S,12,FALSE),0)</f>
        <v>0</v>
      </c>
      <c r="K841" s="25" t="str">
        <f>IF(COUNTIF(crm_orders!$A:$A,B841)=0,"Orphan","OK")</f>
        <v>OK</v>
      </c>
    </row>
    <row r="842" ht="15.75" customHeight="1">
      <c r="A842" s="17" t="s">
        <v>2053</v>
      </c>
      <c r="B842" s="17" t="s">
        <v>433</v>
      </c>
      <c r="C842" s="18">
        <v>46038.0</v>
      </c>
      <c r="D842" s="17" t="s">
        <v>314</v>
      </c>
      <c r="E842" s="17" t="s">
        <v>74</v>
      </c>
      <c r="F842" s="21">
        <v>60.0</v>
      </c>
      <c r="G842" s="22">
        <v>712.2</v>
      </c>
      <c r="H842" s="17" t="s">
        <v>1214</v>
      </c>
      <c r="I842" s="22">
        <f>F842-IFERROR(VLOOKUP(B842,crm_orders!$A:$S,10,FALSE),0)</f>
        <v>0</v>
      </c>
      <c r="J842" s="22">
        <f>G842-IFERROR(VLOOKUP(B842,crm_orders!$A:$S,12,FALSE),0)</f>
        <v>0</v>
      </c>
      <c r="K842" s="17" t="str">
        <f>IF(COUNTIF(crm_orders!$A:$A,B842)=0,"Orphan","OK")</f>
        <v>OK</v>
      </c>
    </row>
    <row r="843" ht="15.75" customHeight="1">
      <c r="A843" s="25" t="s">
        <v>2054</v>
      </c>
      <c r="B843" s="25" t="s">
        <v>682</v>
      </c>
      <c r="C843" s="26">
        <v>46145.0</v>
      </c>
      <c r="D843" s="25" t="s">
        <v>540</v>
      </c>
      <c r="E843" s="25" t="s">
        <v>154</v>
      </c>
      <c r="F843" s="29">
        <v>36.0</v>
      </c>
      <c r="G843" s="30">
        <v>418.32</v>
      </c>
      <c r="H843" s="25" t="s">
        <v>1214</v>
      </c>
      <c r="I843" s="30">
        <f>F843-IFERROR(VLOOKUP(B843,crm_orders!$A:$S,10,FALSE),0)</f>
        <v>0</v>
      </c>
      <c r="J843" s="30">
        <f>G843-IFERROR(VLOOKUP(B843,crm_orders!$A:$S,12,FALSE),0)</f>
        <v>0</v>
      </c>
      <c r="K843" s="25" t="str">
        <f>IF(COUNTIF(crm_orders!$A:$A,B843)=0,"Orphan","OK")</f>
        <v>OK</v>
      </c>
    </row>
    <row r="844" ht="15.75" customHeight="1">
      <c r="A844" s="17" t="s">
        <v>2055</v>
      </c>
      <c r="B844" s="17" t="s">
        <v>1063</v>
      </c>
      <c r="C844" s="18">
        <v>46122.0</v>
      </c>
      <c r="D844" s="17" t="s">
        <v>984</v>
      </c>
      <c r="E844" s="17" t="s">
        <v>78</v>
      </c>
      <c r="F844" s="21">
        <v>18.0</v>
      </c>
      <c r="G844" s="22">
        <v>209.88</v>
      </c>
      <c r="H844" s="17" t="s">
        <v>1214</v>
      </c>
      <c r="I844" s="22">
        <f>F844-IFERROR(VLOOKUP(B844,crm_orders!$A:$S,10,FALSE),0)</f>
        <v>0</v>
      </c>
      <c r="J844" s="22">
        <f>G844-IFERROR(VLOOKUP(B844,crm_orders!$A:$S,12,FALSE),0)</f>
        <v>0</v>
      </c>
      <c r="K844" s="17" t="str">
        <f>IF(COUNTIF(crm_orders!$A:$A,B844)=0,"Orphan","OK")</f>
        <v>OK</v>
      </c>
    </row>
    <row r="845" ht="15.75" customHeight="1">
      <c r="A845" s="25" t="s">
        <v>2056</v>
      </c>
      <c r="B845" s="25" t="s">
        <v>280</v>
      </c>
      <c r="C845" s="26">
        <v>46038.0</v>
      </c>
      <c r="D845" s="25" t="s">
        <v>181</v>
      </c>
      <c r="E845" s="25" t="s">
        <v>71</v>
      </c>
      <c r="F845" s="29">
        <v>102.0</v>
      </c>
      <c r="G845" s="30">
        <v>766.02</v>
      </c>
      <c r="H845" s="25" t="s">
        <v>93</v>
      </c>
      <c r="I845" s="30">
        <f>F845-IFERROR(VLOOKUP(B845,crm_orders!$A:$S,10,FALSE),0)</f>
        <v>-18</v>
      </c>
      <c r="J845" s="30">
        <f>G845-IFERROR(VLOOKUP(B845,crm_orders!$A:$S,12,FALSE),0)</f>
        <v>-135.18</v>
      </c>
      <c r="K845" s="25" t="str">
        <f>IF(COUNTIF(crm_orders!$A:$A,B845)=0,"Orphan","OK")</f>
        <v>OK</v>
      </c>
    </row>
    <row r="846" ht="15.75" customHeight="1">
      <c r="A846" s="17" t="s">
        <v>2057</v>
      </c>
      <c r="B846" s="17" t="s">
        <v>683</v>
      </c>
      <c r="C846" s="18">
        <v>46135.0</v>
      </c>
      <c r="D846" s="17" t="s">
        <v>557</v>
      </c>
      <c r="E846" s="17" t="s">
        <v>108</v>
      </c>
      <c r="F846" s="21">
        <v>12.0</v>
      </c>
      <c r="G846" s="22">
        <v>121.92</v>
      </c>
      <c r="H846" s="17" t="s">
        <v>93</v>
      </c>
      <c r="I846" s="22">
        <f>F846-IFERROR(VLOOKUP(B846,crm_orders!$A:$S,10,FALSE),0)</f>
        <v>-12</v>
      </c>
      <c r="J846" s="22">
        <f>G846-IFERROR(VLOOKUP(B846,crm_orders!$A:$S,12,FALSE),0)</f>
        <v>-121.92</v>
      </c>
      <c r="K846" s="17" t="str">
        <f>IF(COUNTIF(crm_orders!$A:$A,B846)=0,"Orphan","OK")</f>
        <v>OK</v>
      </c>
    </row>
    <row r="847" ht="15.75" customHeight="1">
      <c r="A847" s="25" t="s">
        <v>2058</v>
      </c>
      <c r="B847" s="25" t="s">
        <v>684</v>
      </c>
      <c r="C847" s="26">
        <v>46097.0</v>
      </c>
      <c r="D847" s="25" t="s">
        <v>542</v>
      </c>
      <c r="E847" s="25" t="s">
        <v>78</v>
      </c>
      <c r="F847" s="29">
        <v>36.0</v>
      </c>
      <c r="G847" s="30">
        <v>358.2</v>
      </c>
      <c r="H847" s="25" t="s">
        <v>1214</v>
      </c>
      <c r="I847" s="30">
        <f>F847-IFERROR(VLOOKUP(B847,crm_orders!$A:$S,10,FALSE),0)</f>
        <v>0</v>
      </c>
      <c r="J847" s="30">
        <f>G847-IFERROR(VLOOKUP(B847,crm_orders!$A:$S,12,FALSE),0)</f>
        <v>0</v>
      </c>
      <c r="K847" s="25" t="str">
        <f>IF(COUNTIF(crm_orders!$A:$A,B847)=0,"Orphan","OK")</f>
        <v>OK</v>
      </c>
    </row>
    <row r="848" ht="15.75" customHeight="1">
      <c r="A848" s="17" t="s">
        <v>2059</v>
      </c>
      <c r="B848" s="17" t="s">
        <v>685</v>
      </c>
      <c r="C848" s="18">
        <v>46091.0</v>
      </c>
      <c r="D848" s="17" t="s">
        <v>542</v>
      </c>
      <c r="E848" s="17" t="s">
        <v>106</v>
      </c>
      <c r="F848" s="21">
        <v>36.0</v>
      </c>
      <c r="G848" s="22">
        <v>407.88</v>
      </c>
      <c r="H848" s="17" t="s">
        <v>1214</v>
      </c>
      <c r="I848" s="22">
        <f>F848-IFERROR(VLOOKUP(B848,crm_orders!$A:$S,10,FALSE),0)</f>
        <v>0</v>
      </c>
      <c r="J848" s="22">
        <f>G848-IFERROR(VLOOKUP(B848,crm_orders!$A:$S,12,FALSE),0)</f>
        <v>0</v>
      </c>
      <c r="K848" s="17" t="str">
        <f>IF(COUNTIF(crm_orders!$A:$A,B848)=0,"Orphan","OK")</f>
        <v>OK</v>
      </c>
    </row>
    <row r="849" ht="15.75" customHeight="1">
      <c r="A849" s="25" t="s">
        <v>2060</v>
      </c>
      <c r="B849" s="25" t="s">
        <v>529</v>
      </c>
      <c r="C849" s="26">
        <v>46085.0</v>
      </c>
      <c r="D849" s="25" t="s">
        <v>452</v>
      </c>
      <c r="E849" s="25" t="s">
        <v>78</v>
      </c>
      <c r="F849" s="29">
        <v>6.0</v>
      </c>
      <c r="G849" s="30">
        <v>64.98</v>
      </c>
      <c r="H849" s="25" t="s">
        <v>1214</v>
      </c>
      <c r="I849" s="30">
        <f>F849-IFERROR(VLOOKUP(B849,crm_orders!$A:$S,10,FALSE),0)</f>
        <v>0</v>
      </c>
      <c r="J849" s="30">
        <f>G849-IFERROR(VLOOKUP(B849,crm_orders!$A:$S,12,FALSE),0)</f>
        <v>0</v>
      </c>
      <c r="K849" s="25" t="str">
        <f>IF(COUNTIF(crm_orders!$A:$A,B849)=0,"Orphan","OK")</f>
        <v>OK</v>
      </c>
    </row>
    <row r="850" ht="15.75" customHeight="1">
      <c r="A850" s="17" t="s">
        <v>2061</v>
      </c>
      <c r="B850" s="17" t="s">
        <v>1064</v>
      </c>
      <c r="C850" s="18">
        <v>46113.0</v>
      </c>
      <c r="D850" s="17" t="s">
        <v>961</v>
      </c>
      <c r="E850" s="17" t="s">
        <v>85</v>
      </c>
      <c r="F850" s="21">
        <v>30.0</v>
      </c>
      <c r="G850" s="22">
        <v>285.6</v>
      </c>
      <c r="H850" s="17" t="s">
        <v>1214</v>
      </c>
      <c r="I850" s="22">
        <f>F850-IFERROR(VLOOKUP(B850,crm_orders!$A:$S,10,FALSE),0)</f>
        <v>0</v>
      </c>
      <c r="J850" s="22">
        <f>G850-IFERROR(VLOOKUP(B850,crm_orders!$A:$S,12,FALSE),0)</f>
        <v>0</v>
      </c>
      <c r="K850" s="17" t="str">
        <f>IF(COUNTIF(crm_orders!$A:$A,B850)=0,"Orphan","OK")</f>
        <v>OK</v>
      </c>
    </row>
    <row r="851" ht="15.75" customHeight="1">
      <c r="A851" s="25" t="s">
        <v>2062</v>
      </c>
      <c r="B851" s="25" t="s">
        <v>846</v>
      </c>
      <c r="C851" s="26">
        <v>46063.0</v>
      </c>
      <c r="D851" s="25" t="s">
        <v>698</v>
      </c>
      <c r="E851" s="25" t="s">
        <v>78</v>
      </c>
      <c r="F851" s="29">
        <v>96.0</v>
      </c>
      <c r="G851" s="30">
        <v>1027.2</v>
      </c>
      <c r="H851" s="25" t="s">
        <v>1214</v>
      </c>
      <c r="I851" s="30">
        <f>F851-IFERROR(VLOOKUP(B851,crm_orders!$A:$S,10,FALSE),0)</f>
        <v>0</v>
      </c>
      <c r="J851" s="30">
        <f>G851-IFERROR(VLOOKUP(B851,crm_orders!$A:$S,12,FALSE),0)</f>
        <v>0</v>
      </c>
      <c r="K851" s="25" t="str">
        <f>IF(COUNTIF(crm_orders!$A:$A,B851)=0,"Orphan","OK")</f>
        <v>OK</v>
      </c>
    </row>
    <row r="852" ht="15.75" customHeight="1">
      <c r="A852" s="17" t="s">
        <v>2063</v>
      </c>
      <c r="B852" s="17" t="s">
        <v>1118</v>
      </c>
      <c r="C852" s="18">
        <v>46142.0</v>
      </c>
      <c r="D852" s="17" t="s">
        <v>1081</v>
      </c>
      <c r="E852" s="17" t="s">
        <v>162</v>
      </c>
      <c r="F852" s="21">
        <v>24.0</v>
      </c>
      <c r="G852" s="22">
        <v>255.84</v>
      </c>
      <c r="H852" s="17" t="s">
        <v>1214</v>
      </c>
      <c r="I852" s="22">
        <f>F852-IFERROR(VLOOKUP(B852,crm_orders!$A:$S,10,FALSE),0)</f>
        <v>0</v>
      </c>
      <c r="J852" s="22">
        <f>G852-IFERROR(VLOOKUP(B852,crm_orders!$A:$S,12,FALSE),0)</f>
        <v>0</v>
      </c>
      <c r="K852" s="17" t="str">
        <f>IF(COUNTIF(crm_orders!$A:$A,B852)=0,"Orphan","OK")</f>
        <v>OK</v>
      </c>
    </row>
    <row r="853" ht="15.75" customHeight="1">
      <c r="A853" s="25" t="s">
        <v>2064</v>
      </c>
      <c r="B853" s="25" t="s">
        <v>686</v>
      </c>
      <c r="C853" s="26">
        <v>46032.0</v>
      </c>
      <c r="D853" s="25" t="s">
        <v>570</v>
      </c>
      <c r="E853" s="25" t="s">
        <v>154</v>
      </c>
      <c r="F853" s="29">
        <v>72.0</v>
      </c>
      <c r="G853" s="30">
        <v>757.44</v>
      </c>
      <c r="H853" s="25" t="s">
        <v>1214</v>
      </c>
      <c r="I853" s="30">
        <f>F853-IFERROR(VLOOKUP(B853,crm_orders!$A:$S,10,FALSE),0)</f>
        <v>0</v>
      </c>
      <c r="J853" s="30">
        <f>G853-IFERROR(VLOOKUP(B853,crm_orders!$A:$S,12,FALSE),0)</f>
        <v>0</v>
      </c>
      <c r="K853" s="25" t="str">
        <f>IF(COUNTIF(crm_orders!$A:$A,B853)=0,"Orphan","OK")</f>
        <v>OK</v>
      </c>
    </row>
    <row r="854" ht="15.75" customHeight="1">
      <c r="A854" s="17" t="s">
        <v>2065</v>
      </c>
      <c r="B854" s="17" t="s">
        <v>945</v>
      </c>
      <c r="C854" s="18">
        <v>46069.0</v>
      </c>
      <c r="D854" s="17" t="s">
        <v>857</v>
      </c>
      <c r="E854" s="17" t="s">
        <v>102</v>
      </c>
      <c r="F854" s="21">
        <v>24.0</v>
      </c>
      <c r="G854" s="22">
        <v>274.56</v>
      </c>
      <c r="H854" s="17" t="s">
        <v>1214</v>
      </c>
      <c r="I854" s="22">
        <f>F854-IFERROR(VLOOKUP(B854,crm_orders!$A:$S,10,FALSE),0)</f>
        <v>0</v>
      </c>
      <c r="J854" s="22">
        <f>G854-IFERROR(VLOOKUP(B854,crm_orders!$A:$S,12,FALSE),0)</f>
        <v>0</v>
      </c>
      <c r="K854" s="17" t="str">
        <f>IF(COUNTIF(crm_orders!$A:$A,B854)=0,"Orphan","OK")</f>
        <v>OK</v>
      </c>
    </row>
    <row r="855" ht="15.75" customHeight="1">
      <c r="A855" s="25" t="s">
        <v>2066</v>
      </c>
      <c r="B855" s="25" t="s">
        <v>687</v>
      </c>
      <c r="C855" s="26">
        <v>46141.0</v>
      </c>
      <c r="D855" s="25" t="s">
        <v>588</v>
      </c>
      <c r="E855" s="25" t="s">
        <v>95</v>
      </c>
      <c r="F855" s="29">
        <v>30.0</v>
      </c>
      <c r="G855" s="30">
        <v>312.3</v>
      </c>
      <c r="H855" s="25" t="s">
        <v>1214</v>
      </c>
      <c r="I855" s="30">
        <f>F855-IFERROR(VLOOKUP(B855,crm_orders!$A:$S,10,FALSE),0)</f>
        <v>0</v>
      </c>
      <c r="J855" s="30">
        <f>G855-IFERROR(VLOOKUP(B855,crm_orders!$A:$S,12,FALSE),0)</f>
        <v>0</v>
      </c>
      <c r="K855" s="25" t="str">
        <f>IF(COUNTIF(crm_orders!$A:$A,B855)=0,"Orphan","OK")</f>
        <v>OK</v>
      </c>
    </row>
    <row r="856" ht="15.75" customHeight="1">
      <c r="A856" s="17" t="s">
        <v>2067</v>
      </c>
      <c r="B856" s="17" t="s">
        <v>530</v>
      </c>
      <c r="C856" s="18">
        <v>46127.0</v>
      </c>
      <c r="D856" s="17" t="s">
        <v>446</v>
      </c>
      <c r="E856" s="17" t="s">
        <v>162</v>
      </c>
      <c r="F856" s="21">
        <v>120.0</v>
      </c>
      <c r="G856" s="22">
        <v>1108.8</v>
      </c>
      <c r="H856" s="17" t="s">
        <v>1214</v>
      </c>
      <c r="I856" s="22">
        <f>F856-IFERROR(VLOOKUP(B856,crm_orders!$A:$S,10,FALSE),0)</f>
        <v>0</v>
      </c>
      <c r="J856" s="22">
        <f>G856-IFERROR(VLOOKUP(B856,crm_orders!$A:$S,12,FALSE),0)</f>
        <v>0</v>
      </c>
      <c r="K856" s="17" t="str">
        <f>IF(COUNTIF(crm_orders!$A:$A,B856)=0,"Orphan","OK")</f>
        <v>OK</v>
      </c>
    </row>
    <row r="857" ht="15.75" customHeight="1">
      <c r="A857" s="25" t="s">
        <v>2068</v>
      </c>
      <c r="B857" s="25" t="s">
        <v>434</v>
      </c>
      <c r="C857" s="26">
        <v>46120.0</v>
      </c>
      <c r="D857" s="25" t="s">
        <v>295</v>
      </c>
      <c r="E857" s="25" t="s">
        <v>154</v>
      </c>
      <c r="F857" s="29">
        <v>48.0</v>
      </c>
      <c r="G857" s="30">
        <v>544.32</v>
      </c>
      <c r="H857" s="25" t="s">
        <v>1214</v>
      </c>
      <c r="I857" s="30">
        <f>F857-IFERROR(VLOOKUP(B857,crm_orders!$A:$S,10,FALSE),0)</f>
        <v>0</v>
      </c>
      <c r="J857" s="30">
        <f>G857-IFERROR(VLOOKUP(B857,crm_orders!$A:$S,12,FALSE),0)</f>
        <v>0</v>
      </c>
      <c r="K857" s="25" t="str">
        <f>IF(COUNTIF(crm_orders!$A:$A,B857)=0,"Orphan","OK")</f>
        <v>OK</v>
      </c>
    </row>
    <row r="858" ht="15.75" customHeight="1">
      <c r="A858" s="17" t="s">
        <v>2069</v>
      </c>
      <c r="B858" s="17" t="s">
        <v>282</v>
      </c>
      <c r="C858" s="18">
        <v>46066.0</v>
      </c>
      <c r="D858" s="17" t="s">
        <v>184</v>
      </c>
      <c r="E858" s="17" t="s">
        <v>106</v>
      </c>
      <c r="F858" s="21">
        <v>120.0</v>
      </c>
      <c r="G858" s="22">
        <v>1329.6</v>
      </c>
      <c r="H858" s="17" t="s">
        <v>1214</v>
      </c>
      <c r="I858" s="22">
        <f>F858-IFERROR(VLOOKUP(B858,crm_orders!$A:$S,10,FALSE),0)</f>
        <v>0</v>
      </c>
      <c r="J858" s="22">
        <f>G858-IFERROR(VLOOKUP(B858,crm_orders!$A:$S,12,FALSE),0)</f>
        <v>0</v>
      </c>
      <c r="K858" s="17" t="str">
        <f>IF(COUNTIF(crm_orders!$A:$A,B858)=0,"Orphan","OK")</f>
        <v>OK</v>
      </c>
    </row>
    <row r="859" ht="15.75" customHeight="1">
      <c r="A859" s="25" t="s">
        <v>2070</v>
      </c>
      <c r="B859" s="25" t="s">
        <v>283</v>
      </c>
      <c r="C859" s="26">
        <v>46060.0</v>
      </c>
      <c r="D859" s="25" t="s">
        <v>195</v>
      </c>
      <c r="E859" s="25" t="s">
        <v>190</v>
      </c>
      <c r="F859" s="29">
        <v>6.0</v>
      </c>
      <c r="G859" s="30">
        <v>45.78</v>
      </c>
      <c r="H859" s="25" t="s">
        <v>1214</v>
      </c>
      <c r="I859" s="30">
        <f>F859-IFERROR(VLOOKUP(B859,crm_orders!$A:$S,10,FALSE),0)</f>
        <v>0</v>
      </c>
      <c r="J859" s="30">
        <f>G859-IFERROR(VLOOKUP(B859,crm_orders!$A:$S,12,FALSE),0)</f>
        <v>0</v>
      </c>
      <c r="K859" s="25" t="str">
        <f>IF(COUNTIF(crm_orders!$A:$A,B859)=0,"Orphan","OK")</f>
        <v>OK</v>
      </c>
    </row>
    <row r="860" ht="15.75" customHeight="1">
      <c r="A860" s="17" t="s">
        <v>2071</v>
      </c>
      <c r="B860" s="17" t="s">
        <v>1198</v>
      </c>
      <c r="C860" s="18">
        <v>46063.0</v>
      </c>
      <c r="D860" s="17" t="s">
        <v>1131</v>
      </c>
      <c r="E860" s="17" t="s">
        <v>108</v>
      </c>
      <c r="F860" s="21">
        <v>96.0</v>
      </c>
      <c r="G860" s="22">
        <v>954.24</v>
      </c>
      <c r="H860" s="17" t="s">
        <v>1214</v>
      </c>
      <c r="I860" s="22">
        <f>F860-IFERROR(VLOOKUP(B860,crm_orders!$A:$S,10,FALSE),0)</f>
        <v>0</v>
      </c>
      <c r="J860" s="22">
        <f>G860-IFERROR(VLOOKUP(B860,crm_orders!$A:$S,12,FALSE),0)</f>
        <v>0</v>
      </c>
      <c r="K860" s="17" t="str">
        <f>IF(COUNTIF(crm_orders!$A:$A,B860)=0,"Orphan","OK")</f>
        <v>OK</v>
      </c>
    </row>
    <row r="861" ht="15.75" customHeight="1">
      <c r="A861" s="25" t="s">
        <v>2072</v>
      </c>
      <c r="B861" s="25" t="s">
        <v>847</v>
      </c>
      <c r="C861" s="26">
        <v>46108.0</v>
      </c>
      <c r="D861" s="25" t="s">
        <v>700</v>
      </c>
      <c r="E861" s="25" t="s">
        <v>106</v>
      </c>
      <c r="F861" s="29">
        <v>54.0</v>
      </c>
      <c r="G861" s="30">
        <v>613.44</v>
      </c>
      <c r="H861" s="25" t="s">
        <v>93</v>
      </c>
      <c r="I861" s="30">
        <f>F861-IFERROR(VLOOKUP(B861,crm_orders!$A:$S,10,FALSE),0)</f>
        <v>-18</v>
      </c>
      <c r="J861" s="30">
        <f>G861-IFERROR(VLOOKUP(B861,crm_orders!$A:$S,12,FALSE),0)</f>
        <v>-204.48</v>
      </c>
      <c r="K861" s="25" t="str">
        <f>IF(COUNTIF(crm_orders!$A:$A,B861)=0,"Orphan","OK")</f>
        <v>OK</v>
      </c>
    </row>
    <row r="862" ht="15.75" customHeight="1">
      <c r="A862" s="17" t="s">
        <v>2073</v>
      </c>
      <c r="B862" s="17" t="s">
        <v>284</v>
      </c>
      <c r="C862" s="18">
        <v>46129.0</v>
      </c>
      <c r="D862" s="17" t="s">
        <v>184</v>
      </c>
      <c r="E862" s="17"/>
      <c r="F862" s="21">
        <v>24.0</v>
      </c>
      <c r="G862" s="22">
        <v>282.0</v>
      </c>
      <c r="H862" s="17" t="s">
        <v>1214</v>
      </c>
      <c r="I862" s="22">
        <f>F862-IFERROR(VLOOKUP(B862,crm_orders!$A:$S,10,FALSE),0)</f>
        <v>0</v>
      </c>
      <c r="J862" s="22">
        <f>G862-IFERROR(VLOOKUP(B862,crm_orders!$A:$S,12,FALSE),0)</f>
        <v>0</v>
      </c>
      <c r="K862" s="17" t="str">
        <f>IF(COUNTIF(crm_orders!$A:$A,B862)=0,"Orphan","OK")</f>
        <v>OK</v>
      </c>
    </row>
    <row r="863" ht="15.75" customHeight="1">
      <c r="A863" s="25" t="s">
        <v>2074</v>
      </c>
      <c r="B863" s="25" t="s">
        <v>531</v>
      </c>
      <c r="C863" s="26">
        <v>46045.0</v>
      </c>
      <c r="D863" s="25" t="s">
        <v>469</v>
      </c>
      <c r="E863" s="25" t="s">
        <v>92</v>
      </c>
      <c r="F863" s="29">
        <v>6.0</v>
      </c>
      <c r="G863" s="30">
        <v>58.32</v>
      </c>
      <c r="H863" s="25" t="s">
        <v>1214</v>
      </c>
      <c r="I863" s="30">
        <f>F863-IFERROR(VLOOKUP(B863,crm_orders!$A:$S,10,FALSE),0)</f>
        <v>0</v>
      </c>
      <c r="J863" s="30">
        <f>G863-IFERROR(VLOOKUP(B863,crm_orders!$A:$S,12,FALSE),0)</f>
        <v>0</v>
      </c>
      <c r="K863" s="25" t="str">
        <f>IF(COUNTIF(crm_orders!$A:$A,B863)=0,"Orphan","OK")</f>
        <v>OK</v>
      </c>
    </row>
    <row r="864" ht="15.75" customHeight="1">
      <c r="A864" s="17" t="s">
        <v>2075</v>
      </c>
      <c r="B864" s="17" t="s">
        <v>285</v>
      </c>
      <c r="C864" s="18">
        <v>46092.0</v>
      </c>
      <c r="D864" s="17" t="s">
        <v>174</v>
      </c>
      <c r="E864" s="17" t="s">
        <v>78</v>
      </c>
      <c r="F864" s="21">
        <v>30.0</v>
      </c>
      <c r="G864" s="22">
        <v>313.8</v>
      </c>
      <c r="H864" s="17" t="s">
        <v>1214</v>
      </c>
      <c r="I864" s="22">
        <f>F864-IFERROR(VLOOKUP(B864,crm_orders!$A:$S,10,FALSE),0)</f>
        <v>0</v>
      </c>
      <c r="J864" s="22">
        <f>G864-IFERROR(VLOOKUP(B864,crm_orders!$A:$S,12,FALSE),0)</f>
        <v>0</v>
      </c>
      <c r="K864" s="17" t="str">
        <f>IF(COUNTIF(crm_orders!$A:$A,B864)=0,"Orphan","OK")</f>
        <v>OK</v>
      </c>
    </row>
    <row r="865" ht="15.75" customHeight="1">
      <c r="A865" s="25" t="s">
        <v>2076</v>
      </c>
      <c r="B865" s="25" t="s">
        <v>1119</v>
      </c>
      <c r="C865" s="26">
        <v>46120.0</v>
      </c>
      <c r="D865" s="25" t="s">
        <v>1077</v>
      </c>
      <c r="E865" s="25" t="s">
        <v>102</v>
      </c>
      <c r="F865" s="29">
        <v>72.0</v>
      </c>
      <c r="G865" s="30">
        <v>783.36</v>
      </c>
      <c r="H865" s="25" t="s">
        <v>1214</v>
      </c>
      <c r="I865" s="30">
        <f>F865-IFERROR(VLOOKUP(B865,crm_orders!$A:$S,10,FALSE),0)</f>
        <v>0</v>
      </c>
      <c r="J865" s="30">
        <f>G865-IFERROR(VLOOKUP(B865,crm_orders!$A:$S,12,FALSE),0)</f>
        <v>0</v>
      </c>
      <c r="K865" s="25" t="str">
        <f>IF(COUNTIF(crm_orders!$A:$A,B865)=0,"Orphan","OK")</f>
        <v>OK</v>
      </c>
    </row>
    <row r="866" ht="15.75" customHeight="1">
      <c r="A866" s="17" t="s">
        <v>2077</v>
      </c>
      <c r="B866" s="17" t="s">
        <v>158</v>
      </c>
      <c r="C866" s="18">
        <v>46101.0</v>
      </c>
      <c r="D866" s="17" t="s">
        <v>70</v>
      </c>
      <c r="E866" s="17" t="s">
        <v>81</v>
      </c>
      <c r="F866" s="21">
        <v>0.0</v>
      </c>
      <c r="G866" s="22">
        <v>0.0</v>
      </c>
      <c r="H866" s="17" t="s">
        <v>93</v>
      </c>
      <c r="I866" s="22">
        <f>F866-IFERROR(VLOOKUP(B866,crm_orders!$A:$S,10,FALSE),0)</f>
        <v>-24</v>
      </c>
      <c r="J866" s="22">
        <f>G866-IFERROR(VLOOKUP(B866,crm_orders!$A:$S,12,FALSE),0)</f>
        <v>-180.48</v>
      </c>
      <c r="K866" s="17" t="str">
        <f>IF(COUNTIF(crm_orders!$A:$A,B866)=0,"Orphan","OK")</f>
        <v>OK</v>
      </c>
    </row>
    <row r="867" ht="15.75" customHeight="1">
      <c r="A867" s="25" t="s">
        <v>2078</v>
      </c>
      <c r="B867" s="25" t="s">
        <v>532</v>
      </c>
      <c r="C867" s="26">
        <v>46048.0</v>
      </c>
      <c r="D867" s="25" t="s">
        <v>448</v>
      </c>
      <c r="E867" s="25" t="s">
        <v>162</v>
      </c>
      <c r="F867" s="29">
        <v>96.0</v>
      </c>
      <c r="G867" s="30">
        <v>994.56</v>
      </c>
      <c r="H867" s="25" t="s">
        <v>1214</v>
      </c>
      <c r="I867" s="30">
        <f>F867-IFERROR(VLOOKUP(B867,crm_orders!$A:$S,10,FALSE),0)</f>
        <v>0</v>
      </c>
      <c r="J867" s="30">
        <f>G867-IFERROR(VLOOKUP(B867,crm_orders!$A:$S,12,FALSE),0)</f>
        <v>0</v>
      </c>
      <c r="K867" s="25" t="str">
        <f>IF(COUNTIF(crm_orders!$A:$A,B867)=0,"Orphan","OK")</f>
        <v>OK</v>
      </c>
    </row>
    <row r="868" ht="15.75" customHeight="1">
      <c r="A868" s="17" t="s">
        <v>2079</v>
      </c>
      <c r="B868" s="17" t="s">
        <v>435</v>
      </c>
      <c r="C868" s="18">
        <v>46118.0</v>
      </c>
      <c r="D868" s="17" t="s">
        <v>339</v>
      </c>
      <c r="E868" s="17" t="s">
        <v>106</v>
      </c>
      <c r="F868" s="21">
        <v>18.0</v>
      </c>
      <c r="G868" s="22">
        <v>189.72</v>
      </c>
      <c r="H868" s="17" t="s">
        <v>1214</v>
      </c>
      <c r="I868" s="22">
        <f>F868-IFERROR(VLOOKUP(B868,crm_orders!$A:$S,10,FALSE),0)</f>
        <v>0</v>
      </c>
      <c r="J868" s="22">
        <f>G868-IFERROR(VLOOKUP(B868,crm_orders!$A:$S,12,FALSE),0)</f>
        <v>0</v>
      </c>
      <c r="K868" s="17" t="str">
        <f>IF(COUNTIF(crm_orders!$A:$A,B868)=0,"Orphan","OK")</f>
        <v>OK</v>
      </c>
    </row>
    <row r="869" ht="15.75" customHeight="1">
      <c r="A869" s="25" t="s">
        <v>2080</v>
      </c>
      <c r="B869" s="25" t="s">
        <v>436</v>
      </c>
      <c r="C869" s="26">
        <v>46110.0</v>
      </c>
      <c r="D869" s="25" t="s">
        <v>299</v>
      </c>
      <c r="E869" s="25" t="s">
        <v>110</v>
      </c>
      <c r="F869" s="29">
        <v>42.0</v>
      </c>
      <c r="G869" s="30">
        <v>507.78</v>
      </c>
      <c r="H869" s="25" t="s">
        <v>1212</v>
      </c>
      <c r="I869" s="30">
        <f>F869-IFERROR(VLOOKUP(B869,crm_orders!$A:$S,10,FALSE),0)</f>
        <v>12</v>
      </c>
      <c r="J869" s="30">
        <f>G869-IFERROR(VLOOKUP(B869,crm_orders!$A:$S,12,FALSE),0)</f>
        <v>145.08</v>
      </c>
      <c r="K869" s="25" t="str">
        <f>IF(COUNTIF(crm_orders!$A:$A,B869)=0,"Orphan","OK")</f>
        <v>OK</v>
      </c>
    </row>
    <row r="870" ht="15.75" customHeight="1">
      <c r="A870" s="17" t="s">
        <v>2081</v>
      </c>
      <c r="B870" s="17" t="s">
        <v>688</v>
      </c>
      <c r="C870" s="18">
        <v>46046.0</v>
      </c>
      <c r="D870" s="17" t="s">
        <v>559</v>
      </c>
      <c r="E870" s="17" t="s">
        <v>71</v>
      </c>
      <c r="F870" s="21">
        <v>48.0</v>
      </c>
      <c r="G870" s="22">
        <v>382.16</v>
      </c>
      <c r="H870" s="17" t="s">
        <v>1212</v>
      </c>
      <c r="I870" s="22">
        <f>F870-IFERROR(VLOOKUP(B870,crm_orders!$A:$S,10,FALSE),0)</f>
        <v>0</v>
      </c>
      <c r="J870" s="22">
        <f>G870-IFERROR(VLOOKUP(B870,crm_orders!$A:$S,12,FALSE),0)</f>
        <v>-13.84</v>
      </c>
      <c r="K870" s="17" t="str">
        <f>IF(COUNTIF(crm_orders!$A:$A,B870)=0,"Orphan","OK")</f>
        <v>OK</v>
      </c>
    </row>
    <row r="871" ht="15.75" customHeight="1">
      <c r="A871" s="25" t="s">
        <v>2082</v>
      </c>
      <c r="B871" s="25" t="s">
        <v>533</v>
      </c>
      <c r="C871" s="26">
        <v>46043.0</v>
      </c>
      <c r="D871" s="25" t="s">
        <v>457</v>
      </c>
      <c r="E871" s="25" t="s">
        <v>115</v>
      </c>
      <c r="F871" s="29">
        <v>72.0</v>
      </c>
      <c r="G871" s="30">
        <v>746.64</v>
      </c>
      <c r="H871" s="25" t="s">
        <v>1214</v>
      </c>
      <c r="I871" s="30">
        <f>F871-IFERROR(VLOOKUP(B871,crm_orders!$A:$S,10,FALSE),0)</f>
        <v>0</v>
      </c>
      <c r="J871" s="30">
        <f>G871-IFERROR(VLOOKUP(B871,crm_orders!$A:$S,12,FALSE),0)</f>
        <v>0</v>
      </c>
      <c r="K871" s="25" t="str">
        <f>IF(COUNTIF(crm_orders!$A:$A,B871)=0,"Orphan","OK")</f>
        <v>OK</v>
      </c>
    </row>
    <row r="872" ht="15.75" customHeight="1">
      <c r="A872" s="17" t="s">
        <v>2083</v>
      </c>
      <c r="B872" s="17" t="s">
        <v>1065</v>
      </c>
      <c r="C872" s="18">
        <v>46145.0</v>
      </c>
      <c r="D872" s="17" t="s">
        <v>980</v>
      </c>
      <c r="E872" s="17" t="s">
        <v>85</v>
      </c>
      <c r="F872" s="21">
        <v>24.0</v>
      </c>
      <c r="G872" s="22">
        <v>234.96</v>
      </c>
      <c r="H872" s="17" t="s">
        <v>1214</v>
      </c>
      <c r="I872" s="22">
        <f>F872-IFERROR(VLOOKUP(B872,crm_orders!$A:$S,10,FALSE),0)</f>
        <v>0</v>
      </c>
      <c r="J872" s="22">
        <f>G872-IFERROR(VLOOKUP(B872,crm_orders!$A:$S,12,FALSE),0)</f>
        <v>0</v>
      </c>
      <c r="K872" s="17" t="str">
        <f>IF(COUNTIF(crm_orders!$A:$A,B872)=0,"Orphan","OK")</f>
        <v>OK</v>
      </c>
    </row>
    <row r="873" ht="15.75" customHeight="1">
      <c r="A873" s="25" t="s">
        <v>2084</v>
      </c>
      <c r="B873" s="25" t="s">
        <v>946</v>
      </c>
      <c r="C873" s="26">
        <v>46046.0</v>
      </c>
      <c r="D873" s="25" t="s">
        <v>873</v>
      </c>
      <c r="E873" s="25" t="s">
        <v>78</v>
      </c>
      <c r="F873" s="29">
        <v>72.0</v>
      </c>
      <c r="G873" s="30">
        <v>809.28</v>
      </c>
      <c r="H873" s="25" t="s">
        <v>1214</v>
      </c>
      <c r="I873" s="30">
        <f>F873-IFERROR(VLOOKUP(B873,crm_orders!$A:$S,10,FALSE),0)</f>
        <v>0</v>
      </c>
      <c r="J873" s="30">
        <f>G873-IFERROR(VLOOKUP(B873,crm_orders!$A:$S,12,FALSE),0)</f>
        <v>0</v>
      </c>
      <c r="K873" s="25" t="str">
        <f>IF(COUNTIF(crm_orders!$A:$A,B873)=0,"Orphan","OK")</f>
        <v>OK</v>
      </c>
    </row>
    <row r="874" ht="15.75" customHeight="1">
      <c r="A874" s="17" t="s">
        <v>2085</v>
      </c>
      <c r="B874" s="17" t="s">
        <v>437</v>
      </c>
      <c r="C874" s="18">
        <v>46102.0</v>
      </c>
      <c r="D874" s="17" t="s">
        <v>312</v>
      </c>
      <c r="E874" s="17" t="s">
        <v>102</v>
      </c>
      <c r="F874" s="21">
        <v>30.0</v>
      </c>
      <c r="G874" s="22">
        <v>337.2</v>
      </c>
      <c r="H874" s="17" t="s">
        <v>1214</v>
      </c>
      <c r="I874" s="22">
        <f>F874-IFERROR(VLOOKUP(B874,crm_orders!$A:$S,10,FALSE),0)</f>
        <v>0</v>
      </c>
      <c r="J874" s="22">
        <f>G874-IFERROR(VLOOKUP(B874,crm_orders!$A:$S,12,FALSE),0)</f>
        <v>0</v>
      </c>
      <c r="K874" s="17" t="str">
        <f>IF(COUNTIF(crm_orders!$A:$A,B874)=0,"Orphan","OK")</f>
        <v>OK</v>
      </c>
    </row>
    <row r="875" ht="15.75" customHeight="1">
      <c r="A875" s="25" t="s">
        <v>2086</v>
      </c>
      <c r="B875" s="25" t="s">
        <v>1199</v>
      </c>
      <c r="C875" s="26">
        <v>46094.0</v>
      </c>
      <c r="D875" s="25" t="s">
        <v>1126</v>
      </c>
      <c r="E875" s="25" t="s">
        <v>81</v>
      </c>
      <c r="F875" s="29">
        <v>48.0</v>
      </c>
      <c r="G875" s="30">
        <v>346.56</v>
      </c>
      <c r="H875" s="25" t="s">
        <v>1214</v>
      </c>
      <c r="I875" s="30">
        <f>F875-IFERROR(VLOOKUP(B875,crm_orders!$A:$S,10,FALSE),0)</f>
        <v>0</v>
      </c>
      <c r="J875" s="30">
        <f>G875-IFERROR(VLOOKUP(B875,crm_orders!$A:$S,12,FALSE),0)</f>
        <v>0</v>
      </c>
      <c r="K875" s="25" t="str">
        <f>IF(COUNTIF(crm_orders!$A:$A,B875)=0,"Orphan","OK")</f>
        <v>OK</v>
      </c>
    </row>
    <row r="876" ht="15.75" customHeight="1">
      <c r="A876" s="17" t="s">
        <v>2087</v>
      </c>
      <c r="B876" s="17" t="s">
        <v>689</v>
      </c>
      <c r="C876" s="18">
        <v>46104.0</v>
      </c>
      <c r="D876" s="17" t="s">
        <v>566</v>
      </c>
      <c r="E876" s="17" t="s">
        <v>106</v>
      </c>
      <c r="F876" s="21">
        <v>6.0</v>
      </c>
      <c r="G876" s="22">
        <v>69.9</v>
      </c>
      <c r="H876" s="17" t="s">
        <v>1214</v>
      </c>
      <c r="I876" s="22">
        <f>F876-IFERROR(VLOOKUP(B876,crm_orders!$A:$S,10,FALSE),0)</f>
        <v>0</v>
      </c>
      <c r="J876" s="22">
        <f>G876-IFERROR(VLOOKUP(B876,crm_orders!$A:$S,12,FALSE),0)</f>
        <v>0</v>
      </c>
      <c r="K876" s="17" t="str">
        <f>IF(COUNTIF(crm_orders!$A:$A,B876)=0,"Orphan","OK")</f>
        <v>OK</v>
      </c>
    </row>
    <row r="877" ht="15.75" customHeight="1">
      <c r="A877" s="25" t="s">
        <v>2088</v>
      </c>
      <c r="B877" s="25" t="s">
        <v>1066</v>
      </c>
      <c r="C877" s="26">
        <v>46082.0</v>
      </c>
      <c r="D877" s="25" t="s">
        <v>961</v>
      </c>
      <c r="E877" s="25" t="s">
        <v>154</v>
      </c>
      <c r="F877" s="29">
        <v>60.0</v>
      </c>
      <c r="G877" s="30">
        <v>645.0</v>
      </c>
      <c r="H877" s="25" t="s">
        <v>1214</v>
      </c>
      <c r="I877" s="30">
        <f>F877-IFERROR(VLOOKUP(B877,crm_orders!$A:$S,10,FALSE),0)</f>
        <v>0</v>
      </c>
      <c r="J877" s="30">
        <f>G877-IFERROR(VLOOKUP(B877,crm_orders!$A:$S,12,FALSE),0)</f>
        <v>0</v>
      </c>
      <c r="K877" s="25" t="str">
        <f>IF(COUNTIF(crm_orders!$A:$A,B877)=0,"Orphan","OK")</f>
        <v>OK</v>
      </c>
    </row>
    <row r="878" ht="15.75" customHeight="1">
      <c r="A878" s="17" t="s">
        <v>2089</v>
      </c>
      <c r="B878" s="17" t="s">
        <v>159</v>
      </c>
      <c r="C878" s="18">
        <v>46127.0</v>
      </c>
      <c r="D878" s="17" t="s">
        <v>87</v>
      </c>
      <c r="E878" s="17" t="s">
        <v>108</v>
      </c>
      <c r="F878" s="21">
        <v>12.0</v>
      </c>
      <c r="G878" s="22">
        <v>132.48</v>
      </c>
      <c r="H878" s="17" t="s">
        <v>1214</v>
      </c>
      <c r="I878" s="22">
        <f>F878-IFERROR(VLOOKUP(B878,crm_orders!$A:$S,10,FALSE),0)</f>
        <v>0</v>
      </c>
      <c r="J878" s="22">
        <f>G878-IFERROR(VLOOKUP(B878,crm_orders!$A:$S,12,FALSE),0)</f>
        <v>0</v>
      </c>
      <c r="K878" s="17" t="str">
        <f>IF(COUNTIF(crm_orders!$A:$A,B878)=0,"Orphan","OK")</f>
        <v>OK</v>
      </c>
    </row>
    <row r="879" ht="15.75" customHeight="1">
      <c r="A879" s="25" t="s">
        <v>2090</v>
      </c>
      <c r="B879" s="25" t="s">
        <v>160</v>
      </c>
      <c r="C879" s="26">
        <v>46106.0</v>
      </c>
      <c r="D879" s="25" t="s">
        <v>114</v>
      </c>
      <c r="E879" s="25" t="s">
        <v>102</v>
      </c>
      <c r="F879" s="29">
        <v>6.0</v>
      </c>
      <c r="G879" s="30">
        <v>72.12</v>
      </c>
      <c r="H879" s="25" t="s">
        <v>1214</v>
      </c>
      <c r="I879" s="30">
        <f>F879-IFERROR(VLOOKUP(B879,crm_orders!$A:$S,10,FALSE),0)</f>
        <v>0</v>
      </c>
      <c r="J879" s="30">
        <f>G879-IFERROR(VLOOKUP(B879,crm_orders!$A:$S,12,FALSE),0)</f>
        <v>0</v>
      </c>
      <c r="K879" s="25" t="str">
        <f>IF(COUNTIF(crm_orders!$A:$A,B879)=0,"Orphan","OK")</f>
        <v>OK</v>
      </c>
    </row>
    <row r="880" ht="15.75" customHeight="1">
      <c r="A880" s="17" t="s">
        <v>2091</v>
      </c>
      <c r="B880" s="17" t="s">
        <v>169</v>
      </c>
      <c r="C880" s="18">
        <v>46114.0</v>
      </c>
      <c r="D880" s="17" t="s">
        <v>1126</v>
      </c>
      <c r="E880" s="17" t="s">
        <v>81</v>
      </c>
      <c r="F880" s="21">
        <v>96.0</v>
      </c>
      <c r="G880" s="22">
        <v>652.8</v>
      </c>
      <c r="H880" s="17" t="s">
        <v>1214</v>
      </c>
      <c r="I880" s="22">
        <f>F880-IFERROR(VLOOKUP(B880,crm_orders!$A:$S,10,FALSE),0)</f>
        <v>24</v>
      </c>
      <c r="J880" s="22">
        <f>G880-IFERROR(VLOOKUP(B880,crm_orders!$A:$S,12,FALSE),0)</f>
        <v>-125.52</v>
      </c>
      <c r="K880" s="17" t="str">
        <f>IF(COUNTIF(crm_orders!$A:$A,B880)=0,"Orphan","OK")</f>
        <v>OK</v>
      </c>
    </row>
    <row r="881" ht="15.75" customHeight="1">
      <c r="A881" s="25" t="s">
        <v>2092</v>
      </c>
      <c r="B881" s="25" t="s">
        <v>690</v>
      </c>
      <c r="C881" s="26">
        <v>46118.0</v>
      </c>
      <c r="D881" s="25" t="s">
        <v>573</v>
      </c>
      <c r="E881" s="25" t="s">
        <v>190</v>
      </c>
      <c r="F881" s="29">
        <v>96.0</v>
      </c>
      <c r="G881" s="30">
        <v>712.32</v>
      </c>
      <c r="H881" s="25" t="s">
        <v>1214</v>
      </c>
      <c r="I881" s="30">
        <f>F881-IFERROR(VLOOKUP(B881,crm_orders!$A:$S,10,FALSE),0)</f>
        <v>0</v>
      </c>
      <c r="J881" s="30">
        <f>G881-IFERROR(VLOOKUP(B881,crm_orders!$A:$S,12,FALSE),0)</f>
        <v>0</v>
      </c>
      <c r="K881" s="25" t="str">
        <f>IF(COUNTIF(crm_orders!$A:$A,B881)=0,"Orphan","OK")</f>
        <v>OK</v>
      </c>
    </row>
    <row r="882" ht="15.75" customHeight="1">
      <c r="A882" s="17" t="s">
        <v>2093</v>
      </c>
      <c r="B882" s="17" t="s">
        <v>1067</v>
      </c>
      <c r="C882" s="18">
        <v>46094.0</v>
      </c>
      <c r="D882" s="17" t="s">
        <v>965</v>
      </c>
      <c r="E882" s="17" t="s">
        <v>85</v>
      </c>
      <c r="F882" s="21">
        <v>6.0</v>
      </c>
      <c r="G882" s="22">
        <v>60.54</v>
      </c>
      <c r="H882" s="17" t="s">
        <v>1214</v>
      </c>
      <c r="I882" s="22">
        <f>F882-IFERROR(VLOOKUP(B882,crm_orders!$A:$S,10,FALSE),0)</f>
        <v>0</v>
      </c>
      <c r="J882" s="22">
        <f>G882-IFERROR(VLOOKUP(B882,crm_orders!$A:$S,12,FALSE),0)</f>
        <v>0</v>
      </c>
      <c r="K882" s="17" t="str">
        <f>IF(COUNTIF(crm_orders!$A:$A,B882)=0,"Orphan","OK")</f>
        <v>OK</v>
      </c>
    </row>
    <row r="883" ht="15.75" customHeight="1">
      <c r="A883" s="25" t="s">
        <v>2094</v>
      </c>
      <c r="B883" s="25" t="s">
        <v>534</v>
      </c>
      <c r="C883" s="26">
        <v>46140.0</v>
      </c>
      <c r="D883" s="25" t="s">
        <v>448</v>
      </c>
      <c r="E883" s="25" t="s">
        <v>81</v>
      </c>
      <c r="F883" s="29">
        <v>12.0</v>
      </c>
      <c r="G883" s="30">
        <v>83.4</v>
      </c>
      <c r="H883" s="25" t="s">
        <v>1214</v>
      </c>
      <c r="I883" s="30">
        <f>F883-IFERROR(VLOOKUP(B883,crm_orders!$A:$S,10,FALSE),0)</f>
        <v>0</v>
      </c>
      <c r="J883" s="30">
        <f>G883-IFERROR(VLOOKUP(B883,crm_orders!$A:$S,12,FALSE),0)</f>
        <v>0</v>
      </c>
      <c r="K883" s="25" t="str">
        <f>IF(COUNTIF(crm_orders!$A:$A,B883)=0,"Orphan","OK")</f>
        <v>OK</v>
      </c>
    </row>
    <row r="884" ht="15.75" customHeight="1">
      <c r="A884" s="17" t="s">
        <v>2095</v>
      </c>
      <c r="B884" s="17" t="s">
        <v>535</v>
      </c>
      <c r="C884" s="18">
        <v>46155.0</v>
      </c>
      <c r="D884" s="17" t="s">
        <v>446</v>
      </c>
      <c r="E884" s="17" t="s">
        <v>102</v>
      </c>
      <c r="F884" s="21">
        <v>120.0</v>
      </c>
      <c r="G884" s="22">
        <v>1323.6</v>
      </c>
      <c r="H884" s="17" t="s">
        <v>1214</v>
      </c>
      <c r="I884" s="22">
        <f>F884-IFERROR(VLOOKUP(B884,crm_orders!$A:$S,10,FALSE),0)</f>
        <v>0</v>
      </c>
      <c r="J884" s="22">
        <f>G884-IFERROR(VLOOKUP(B884,crm_orders!$A:$S,12,FALSE),0)</f>
        <v>0</v>
      </c>
      <c r="K884" s="17" t="str">
        <f>IF(COUNTIF(crm_orders!$A:$A,B884)=0,"Orphan","OK")</f>
        <v>OK</v>
      </c>
    </row>
    <row r="885" ht="15.75" customHeight="1">
      <c r="A885" s="25" t="s">
        <v>2096</v>
      </c>
      <c r="B885" s="25" t="s">
        <v>691</v>
      </c>
      <c r="C885" s="26">
        <v>46083.0</v>
      </c>
      <c r="D885" s="25" t="s">
        <v>547</v>
      </c>
      <c r="E885" s="25" t="s">
        <v>71</v>
      </c>
      <c r="F885" s="29">
        <v>36.0</v>
      </c>
      <c r="G885" s="30">
        <v>257.04</v>
      </c>
      <c r="H885" s="25" t="s">
        <v>1214</v>
      </c>
      <c r="I885" s="30">
        <f>F885-IFERROR(VLOOKUP(B885,crm_orders!$A:$S,10,FALSE),0)</f>
        <v>0</v>
      </c>
      <c r="J885" s="30">
        <f>G885-IFERROR(VLOOKUP(B885,crm_orders!$A:$S,12,FALSE),0)</f>
        <v>0</v>
      </c>
      <c r="K885" s="25" t="str">
        <f>IF(COUNTIF(crm_orders!$A:$A,B885)=0,"Orphan","OK")</f>
        <v>OK</v>
      </c>
    </row>
    <row r="886" ht="15.75" customHeight="1">
      <c r="A886" s="17" t="s">
        <v>2097</v>
      </c>
      <c r="B886" s="17" t="s">
        <v>161</v>
      </c>
      <c r="C886" s="18">
        <v>46038.0</v>
      </c>
      <c r="D886" s="17" t="s">
        <v>83</v>
      </c>
      <c r="E886" s="17" t="s">
        <v>162</v>
      </c>
      <c r="F886" s="21">
        <v>18.0</v>
      </c>
      <c r="G886" s="22">
        <v>181.26</v>
      </c>
      <c r="H886" s="17" t="s">
        <v>1214</v>
      </c>
      <c r="I886" s="22">
        <f>F886-IFERROR(VLOOKUP(B886,crm_orders!$A:$S,10,FALSE),0)</f>
        <v>0</v>
      </c>
      <c r="J886" s="22">
        <f>G886-IFERROR(VLOOKUP(B886,crm_orders!$A:$S,12,FALSE),0)</f>
        <v>0</v>
      </c>
      <c r="K886" s="17" t="str">
        <f>IF(COUNTIF(crm_orders!$A:$A,B886)=0,"Orphan","OK")</f>
        <v>OK</v>
      </c>
    </row>
    <row r="887" ht="15.75" customHeight="1">
      <c r="A887" s="25" t="s">
        <v>2098</v>
      </c>
      <c r="B887" s="25" t="s">
        <v>692</v>
      </c>
      <c r="C887" s="26">
        <v>46089.0</v>
      </c>
      <c r="D887" s="25" t="s">
        <v>570</v>
      </c>
      <c r="E887" s="25" t="s">
        <v>68</v>
      </c>
      <c r="F887" s="29">
        <v>72.0</v>
      </c>
      <c r="G887" s="30">
        <v>802.8</v>
      </c>
      <c r="H887" s="25" t="s">
        <v>1214</v>
      </c>
      <c r="I887" s="30">
        <f>F887-IFERROR(VLOOKUP(B887,crm_orders!$A:$S,10,FALSE),0)</f>
        <v>0</v>
      </c>
      <c r="J887" s="30">
        <f>G887-IFERROR(VLOOKUP(B887,crm_orders!$A:$S,12,FALSE),0)</f>
        <v>0</v>
      </c>
      <c r="K887" s="25" t="str">
        <f>IF(COUNTIF(crm_orders!$A:$A,B887)=0,"Orphan","OK")</f>
        <v>OK</v>
      </c>
    </row>
    <row r="888" ht="15.75" customHeight="1">
      <c r="A888" s="17" t="s">
        <v>2099</v>
      </c>
      <c r="B888" s="17" t="s">
        <v>438</v>
      </c>
      <c r="C888" s="18">
        <v>46074.0</v>
      </c>
      <c r="D888" s="17" t="s">
        <v>303</v>
      </c>
      <c r="E888" s="17" t="s">
        <v>156</v>
      </c>
      <c r="F888" s="21">
        <v>24.0</v>
      </c>
      <c r="G888" s="22">
        <v>221.28</v>
      </c>
      <c r="H888" s="17" t="s">
        <v>1214</v>
      </c>
      <c r="I888" s="22">
        <f>F888-IFERROR(VLOOKUP(B888,crm_orders!$A:$S,10,FALSE),0)</f>
        <v>0</v>
      </c>
      <c r="J888" s="22">
        <f>G888-IFERROR(VLOOKUP(B888,crm_orders!$A:$S,12,FALSE),0)</f>
        <v>0</v>
      </c>
      <c r="K888" s="17" t="str">
        <f>IF(COUNTIF(crm_orders!$A:$A,B888)=0,"Orphan","OK")</f>
        <v>OK</v>
      </c>
    </row>
    <row r="889" ht="15.75" customHeight="1">
      <c r="A889" s="25" t="s">
        <v>2100</v>
      </c>
      <c r="B889" s="25" t="s">
        <v>1068</v>
      </c>
      <c r="C889" s="26">
        <v>46094.0</v>
      </c>
      <c r="D889" s="25" t="s">
        <v>988</v>
      </c>
      <c r="E889" s="25" t="s">
        <v>162</v>
      </c>
      <c r="F889" s="29">
        <v>30.0</v>
      </c>
      <c r="G889" s="30">
        <v>284.1</v>
      </c>
      <c r="H889" s="25" t="s">
        <v>1214</v>
      </c>
      <c r="I889" s="30">
        <f>F889-IFERROR(VLOOKUP(B889,crm_orders!$A:$S,10,FALSE),0)</f>
        <v>0</v>
      </c>
      <c r="J889" s="30">
        <f>G889-IFERROR(VLOOKUP(B889,crm_orders!$A:$S,12,FALSE),0)</f>
        <v>0</v>
      </c>
      <c r="K889" s="25" t="str">
        <f>IF(COUNTIF(crm_orders!$A:$A,B889)=0,"Orphan","OK")</f>
        <v>OK</v>
      </c>
    </row>
    <row r="890" ht="15.75" customHeight="1">
      <c r="A890" s="17" t="s">
        <v>2101</v>
      </c>
      <c r="B890" s="17" t="s">
        <v>1069</v>
      </c>
      <c r="C890" s="18">
        <v>46098.0</v>
      </c>
      <c r="D890" s="17" t="s">
        <v>955</v>
      </c>
      <c r="E890" s="17" t="s">
        <v>106</v>
      </c>
      <c r="F890" s="21">
        <v>48.0</v>
      </c>
      <c r="G890" s="22">
        <v>478.08</v>
      </c>
      <c r="H890" s="17" t="s">
        <v>1214</v>
      </c>
      <c r="I890" s="22">
        <f>F890-IFERROR(VLOOKUP(B890,crm_orders!$A:$S,10,FALSE),0)</f>
        <v>0</v>
      </c>
      <c r="J890" s="22">
        <f>G890-IFERROR(VLOOKUP(B890,crm_orders!$A:$S,12,FALSE),0)</f>
        <v>0</v>
      </c>
      <c r="K890" s="17" t="str">
        <f>IF(COUNTIF(crm_orders!$A:$A,B890)=0,"Orphan","OK")</f>
        <v>OK</v>
      </c>
    </row>
    <row r="891" ht="15.75" customHeight="1">
      <c r="A891" s="25" t="s">
        <v>2102</v>
      </c>
      <c r="B891" s="25" t="s">
        <v>286</v>
      </c>
      <c r="C891" s="26">
        <v>46041.0</v>
      </c>
      <c r="D891" s="25" t="s">
        <v>181</v>
      </c>
      <c r="E891" s="25" t="s">
        <v>123</v>
      </c>
      <c r="F891" s="29">
        <v>30.0</v>
      </c>
      <c r="G891" s="30">
        <v>318.0</v>
      </c>
      <c r="H891" s="25" t="s">
        <v>93</v>
      </c>
      <c r="I891" s="30">
        <f>F891-IFERROR(VLOOKUP(B891,crm_orders!$A:$S,10,FALSE),0)</f>
        <v>-6</v>
      </c>
      <c r="J891" s="30">
        <f>G891-IFERROR(VLOOKUP(B891,crm_orders!$A:$S,12,FALSE),0)</f>
        <v>-63.6</v>
      </c>
      <c r="K891" s="25" t="str">
        <f>IF(COUNTIF(crm_orders!$A:$A,B891)=0,"Orphan","OK")</f>
        <v>OK</v>
      </c>
    </row>
    <row r="892" ht="15.75" customHeight="1">
      <c r="A892" s="17" t="s">
        <v>2103</v>
      </c>
      <c r="B892" s="17" t="s">
        <v>1120</v>
      </c>
      <c r="C892" s="18">
        <v>46059.0</v>
      </c>
      <c r="D892" s="17" t="s">
        <v>1075</v>
      </c>
      <c r="E892" s="17" t="s">
        <v>108</v>
      </c>
      <c r="F892" s="21">
        <v>72.0</v>
      </c>
      <c r="G892" s="22">
        <v>725.76</v>
      </c>
      <c r="H892" s="17" t="s">
        <v>1214</v>
      </c>
      <c r="I892" s="22">
        <f>F892-IFERROR(VLOOKUP(B892,crm_orders!$A:$S,10,FALSE),0)</f>
        <v>0</v>
      </c>
      <c r="J892" s="22">
        <f>G892-IFERROR(VLOOKUP(B892,crm_orders!$A:$S,12,FALSE),0)</f>
        <v>0</v>
      </c>
      <c r="K892" s="17" t="str">
        <f>IF(COUNTIF(crm_orders!$A:$A,B892)=0,"Orphan","OK")</f>
        <v>OK</v>
      </c>
    </row>
    <row r="893" ht="15.75" customHeight="1">
      <c r="A893" s="25" t="s">
        <v>2104</v>
      </c>
      <c r="B893" s="25" t="s">
        <v>1070</v>
      </c>
      <c r="C893" s="26">
        <v>46050.0</v>
      </c>
      <c r="D893" s="25" t="s">
        <v>1039</v>
      </c>
      <c r="E893" s="25" t="s">
        <v>108</v>
      </c>
      <c r="F893" s="29">
        <v>12.0</v>
      </c>
      <c r="G893" s="30">
        <v>131.97</v>
      </c>
      <c r="H893" s="25" t="s">
        <v>1212</v>
      </c>
      <c r="I893" s="30">
        <f>F893-IFERROR(VLOOKUP(B893,crm_orders!$A:$S,10,FALSE),0)</f>
        <v>0</v>
      </c>
      <c r="J893" s="30">
        <f>G893-IFERROR(VLOOKUP(B893,crm_orders!$A:$S,12,FALSE),0)</f>
        <v>-2.19</v>
      </c>
      <c r="K893" s="25" t="str">
        <f>IF(COUNTIF(crm_orders!$A:$A,B893)=0,"Orphan","OK")</f>
        <v>OK</v>
      </c>
    </row>
    <row r="894" ht="15.75" customHeight="1">
      <c r="A894" s="17" t="s">
        <v>2105</v>
      </c>
      <c r="B894" s="17" t="s">
        <v>475</v>
      </c>
      <c r="C894" s="18">
        <v>46088.0</v>
      </c>
      <c r="D894" s="17" t="s">
        <v>1083</v>
      </c>
      <c r="E894" s="17" t="s">
        <v>85</v>
      </c>
      <c r="F894" s="21">
        <v>18.0</v>
      </c>
      <c r="G894" s="22">
        <v>181.8</v>
      </c>
      <c r="H894" s="17" t="s">
        <v>1214</v>
      </c>
      <c r="I894" s="22">
        <f>F894-IFERROR(VLOOKUP(B894,crm_orders!$A:$S,10,FALSE),0)</f>
        <v>-12</v>
      </c>
      <c r="J894" s="22">
        <f>G894-IFERROR(VLOOKUP(B894,crm_orders!$A:$S,12,FALSE),0)</f>
        <v>-129</v>
      </c>
      <c r="K894" s="17" t="str">
        <f>IF(COUNTIF(crm_orders!$A:$A,B894)=0,"Orphan","OK")</f>
        <v>OK</v>
      </c>
    </row>
    <row r="895" ht="15.75" customHeight="1">
      <c r="A895" s="25" t="s">
        <v>2106</v>
      </c>
      <c r="B895" s="25" t="s">
        <v>848</v>
      </c>
      <c r="C895" s="26">
        <v>46058.0</v>
      </c>
      <c r="D895" s="25" t="s">
        <v>714</v>
      </c>
      <c r="E895" s="25" t="s">
        <v>123</v>
      </c>
      <c r="F895" s="29">
        <v>60.0</v>
      </c>
      <c r="G895" s="30">
        <v>593.19</v>
      </c>
      <c r="H895" s="25" t="s">
        <v>1212</v>
      </c>
      <c r="I895" s="30">
        <f>F895-IFERROR(VLOOKUP(B895,crm_orders!$A:$S,10,FALSE),0)</f>
        <v>0</v>
      </c>
      <c r="J895" s="30">
        <f>G895-IFERROR(VLOOKUP(B895,crm_orders!$A:$S,12,FALSE),0)</f>
        <v>4.59</v>
      </c>
      <c r="K895" s="25" t="str">
        <f>IF(COUNTIF(crm_orders!$A:$A,B895)=0,"Orphan","OK")</f>
        <v>OK</v>
      </c>
    </row>
    <row r="896" ht="15.75" customHeight="1">
      <c r="A896" s="17" t="s">
        <v>2107</v>
      </c>
      <c r="B896" s="17" t="s">
        <v>1071</v>
      </c>
      <c r="C896" s="18">
        <v>46060.0</v>
      </c>
      <c r="D896" s="17" t="s">
        <v>963</v>
      </c>
      <c r="E896" s="17" t="s">
        <v>108</v>
      </c>
      <c r="F896" s="21">
        <v>6.0</v>
      </c>
      <c r="G896" s="22">
        <v>60.42</v>
      </c>
      <c r="H896" s="17" t="s">
        <v>1214</v>
      </c>
      <c r="I896" s="22">
        <f>F896-IFERROR(VLOOKUP(B896,crm_orders!$A:$S,10,FALSE),0)</f>
        <v>0</v>
      </c>
      <c r="J896" s="22">
        <f>G896-IFERROR(VLOOKUP(B896,crm_orders!$A:$S,12,FALSE),0)</f>
        <v>0</v>
      </c>
      <c r="K896" s="17" t="str">
        <f>IF(COUNTIF(crm_orders!$A:$A,B896)=0,"Orphan","OK")</f>
        <v>OK</v>
      </c>
    </row>
    <row r="897" ht="15.75" customHeight="1">
      <c r="A897" s="25" t="s">
        <v>2108</v>
      </c>
      <c r="B897" s="25" t="s">
        <v>287</v>
      </c>
      <c r="C897" s="26">
        <v>46045.0</v>
      </c>
      <c r="D897" s="25" t="s">
        <v>195</v>
      </c>
      <c r="E897" s="25" t="s">
        <v>71</v>
      </c>
      <c r="F897" s="29">
        <v>30.0</v>
      </c>
      <c r="G897" s="30">
        <v>253.2</v>
      </c>
      <c r="H897" s="25" t="s">
        <v>1214</v>
      </c>
      <c r="I897" s="30">
        <f>F897-IFERROR(VLOOKUP(B897,crm_orders!$A:$S,10,FALSE),0)</f>
        <v>0</v>
      </c>
      <c r="J897" s="30">
        <f>G897-IFERROR(VLOOKUP(B897,crm_orders!$A:$S,12,FALSE),0)</f>
        <v>0</v>
      </c>
      <c r="K897" s="25" t="str">
        <f>IF(COUNTIF(crm_orders!$A:$A,B897)=0,"Orphan","OK")</f>
        <v>OK</v>
      </c>
    </row>
    <row r="898" ht="15.75" customHeight="1">
      <c r="A898" s="17" t="s">
        <v>2109</v>
      </c>
      <c r="B898" s="17" t="s">
        <v>288</v>
      </c>
      <c r="C898" s="18">
        <v>46071.0</v>
      </c>
      <c r="D898" s="17" t="s">
        <v>181</v>
      </c>
      <c r="E898" s="17" t="s">
        <v>85</v>
      </c>
      <c r="F898" s="21">
        <v>12.0</v>
      </c>
      <c r="G898" s="22">
        <v>129.0</v>
      </c>
      <c r="H898" s="17" t="s">
        <v>93</v>
      </c>
      <c r="I898" s="22">
        <f>F898-IFERROR(VLOOKUP(B898,crm_orders!$A:$S,10,FALSE),0)</f>
        <v>-24</v>
      </c>
      <c r="J898" s="22">
        <f>G898-IFERROR(VLOOKUP(B898,crm_orders!$A:$S,12,FALSE),0)</f>
        <v>-258</v>
      </c>
      <c r="K898" s="17" t="str">
        <f>IF(COUNTIF(crm_orders!$A:$A,B898)=0,"Orphan","OK")</f>
        <v>OK</v>
      </c>
    </row>
    <row r="899" ht="15.75" customHeight="1">
      <c r="A899" s="25" t="s">
        <v>2110</v>
      </c>
      <c r="B899" s="25" t="s">
        <v>643</v>
      </c>
      <c r="C899" s="26">
        <v>46138.0</v>
      </c>
      <c r="D899" s="25" t="s">
        <v>950</v>
      </c>
      <c r="E899" s="25" t="s">
        <v>110</v>
      </c>
      <c r="F899" s="29">
        <v>96.0</v>
      </c>
      <c r="G899" s="30">
        <v>975.36</v>
      </c>
      <c r="H899" s="25" t="s">
        <v>1214</v>
      </c>
      <c r="I899" s="30">
        <f>F899-IFERROR(VLOOKUP(B899,crm_orders!$A:$S,10,FALSE),0)</f>
        <v>60</v>
      </c>
      <c r="J899" s="30">
        <f>G899-IFERROR(VLOOKUP(B899,crm_orders!$A:$S,12,FALSE),0)</f>
        <v>710.04</v>
      </c>
      <c r="K899" s="25" t="str">
        <f>IF(COUNTIF(crm_orders!$A:$A,B899)=0,"Orphan","OK")</f>
        <v>OK</v>
      </c>
    </row>
    <row r="900" ht="15.75" customHeight="1">
      <c r="A900" s="17" t="s">
        <v>2111</v>
      </c>
      <c r="B900" s="17" t="s">
        <v>849</v>
      </c>
      <c r="C900" s="18">
        <v>46154.0</v>
      </c>
      <c r="D900" s="17" t="s">
        <v>712</v>
      </c>
      <c r="E900" s="17" t="s">
        <v>110</v>
      </c>
      <c r="F900" s="21">
        <v>42.0</v>
      </c>
      <c r="G900" s="22">
        <v>443.52</v>
      </c>
      <c r="H900" s="17" t="s">
        <v>1212</v>
      </c>
      <c r="I900" s="22">
        <f>F900-IFERROR(VLOOKUP(B900,crm_orders!$A:$S,10,FALSE),0)</f>
        <v>6</v>
      </c>
      <c r="J900" s="22">
        <f>G900-IFERROR(VLOOKUP(B900,crm_orders!$A:$S,12,FALSE),0)</f>
        <v>63.36</v>
      </c>
      <c r="K900" s="17" t="str">
        <f>IF(COUNTIF(crm_orders!$A:$A,B900)=0,"Orphan","OK")</f>
        <v>OK</v>
      </c>
    </row>
    <row r="901" ht="15.75" customHeight="1">
      <c r="A901" s="25" t="s">
        <v>2112</v>
      </c>
      <c r="B901" s="25" t="s">
        <v>693</v>
      </c>
      <c r="C901" s="26">
        <v>46095.0</v>
      </c>
      <c r="D901" s="25" t="s">
        <v>542</v>
      </c>
      <c r="E901" s="25" t="s">
        <v>108</v>
      </c>
      <c r="F901" s="29">
        <v>72.0</v>
      </c>
      <c r="G901" s="30">
        <v>847.44</v>
      </c>
      <c r="H901" s="25" t="s">
        <v>1214</v>
      </c>
      <c r="I901" s="30">
        <f>F901-IFERROR(VLOOKUP(B901,crm_orders!$A:$S,10,FALSE),0)</f>
        <v>0</v>
      </c>
      <c r="J901" s="30">
        <f>G901-IFERROR(VLOOKUP(B901,crm_orders!$A:$S,12,FALSE),0)</f>
        <v>0</v>
      </c>
      <c r="K901" s="25" t="str">
        <f>IF(COUNTIF(crm_orders!$A:$A,B901)=0,"Orphan","OK")</f>
        <v>OK</v>
      </c>
    </row>
    <row r="902" ht="15.75" customHeight="1">
      <c r="A902" s="17" t="s">
        <v>2113</v>
      </c>
      <c r="B902" s="17" t="s">
        <v>850</v>
      </c>
      <c r="C902" s="18">
        <v>46154.0</v>
      </c>
      <c r="D902" s="17" t="s">
        <v>729</v>
      </c>
      <c r="E902" s="17" t="s">
        <v>190</v>
      </c>
      <c r="F902" s="21">
        <v>6.0</v>
      </c>
      <c r="G902" s="22">
        <v>42.0</v>
      </c>
      <c r="H902" s="17" t="s">
        <v>1214</v>
      </c>
      <c r="I902" s="22">
        <f>F902-IFERROR(VLOOKUP(B902,crm_orders!$A:$S,10,FALSE),0)</f>
        <v>0</v>
      </c>
      <c r="J902" s="22">
        <f>G902-IFERROR(VLOOKUP(B902,crm_orders!$A:$S,12,FALSE),0)</f>
        <v>0</v>
      </c>
      <c r="K902" s="17" t="str">
        <f>IF(COUNTIF(crm_orders!$A:$A,B902)=0,"Orphan","OK")</f>
        <v>OK</v>
      </c>
    </row>
    <row r="903" ht="15.75" customHeight="1">
      <c r="A903" s="25" t="s">
        <v>2114</v>
      </c>
      <c r="B903" s="25" t="s">
        <v>1072</v>
      </c>
      <c r="C903" s="26">
        <v>46127.0</v>
      </c>
      <c r="D903" s="25" t="s">
        <v>957</v>
      </c>
      <c r="E903" s="25" t="s">
        <v>162</v>
      </c>
      <c r="F903" s="29">
        <v>72.0</v>
      </c>
      <c r="G903" s="30">
        <v>765.36</v>
      </c>
      <c r="H903" s="25" t="s">
        <v>1212</v>
      </c>
      <c r="I903" s="30">
        <f>F903-IFERROR(VLOOKUP(B903,crm_orders!$A:$S,10,FALSE),0)</f>
        <v>12</v>
      </c>
      <c r="J903" s="30">
        <f>G903-IFERROR(VLOOKUP(B903,crm_orders!$A:$S,12,FALSE),0)</f>
        <v>127.56</v>
      </c>
      <c r="K903" s="25" t="str">
        <f>IF(COUNTIF(crm_orders!$A:$A,B903)=0,"Orphan","OK")</f>
        <v>OK</v>
      </c>
    </row>
    <row r="904" ht="15.75" customHeight="1">
      <c r="A904" s="17" t="s">
        <v>2115</v>
      </c>
      <c r="B904" s="17" t="s">
        <v>289</v>
      </c>
      <c r="C904" s="18">
        <v>46082.0</v>
      </c>
      <c r="D904" s="17" t="s">
        <v>164</v>
      </c>
      <c r="E904" s="17" t="s">
        <v>106</v>
      </c>
      <c r="F904" s="21">
        <v>24.0</v>
      </c>
      <c r="G904" s="22">
        <v>234.5</v>
      </c>
      <c r="H904" s="17" t="s">
        <v>1212</v>
      </c>
      <c r="I904" s="22">
        <f>F904-IFERROR(VLOOKUP(B904,crm_orders!$A:$S,10,FALSE),0)</f>
        <v>0</v>
      </c>
      <c r="J904" s="22">
        <f>G904-IFERROR(VLOOKUP(B904,crm_orders!$A:$S,12,FALSE),0)</f>
        <v>-7.18</v>
      </c>
      <c r="K904" s="17" t="str">
        <f>IF(COUNTIF(crm_orders!$A:$A,B904)=0,"Orphan","OK")</f>
        <v>OK</v>
      </c>
    </row>
    <row r="905" ht="15.75" customHeight="1">
      <c r="A905" s="25" t="s">
        <v>2116</v>
      </c>
      <c r="B905" s="25" t="s">
        <v>1073</v>
      </c>
      <c r="C905" s="26">
        <v>46126.0</v>
      </c>
      <c r="D905" s="25" t="s">
        <v>961</v>
      </c>
      <c r="E905" s="25" t="s">
        <v>190</v>
      </c>
      <c r="F905" s="29">
        <v>6.0</v>
      </c>
      <c r="G905" s="30">
        <v>43.26</v>
      </c>
      <c r="H905" s="25" t="s">
        <v>93</v>
      </c>
      <c r="I905" s="30">
        <f>F905-IFERROR(VLOOKUP(B905,crm_orders!$A:$S,10,FALSE),0)</f>
        <v>-24</v>
      </c>
      <c r="J905" s="30">
        <f>G905-IFERROR(VLOOKUP(B905,crm_orders!$A:$S,12,FALSE),0)</f>
        <v>-173.04</v>
      </c>
      <c r="K905" s="25" t="str">
        <f>IF(COUNTIF(crm_orders!$A:$A,B905)=0,"Orphan","OK")</f>
        <v>OK</v>
      </c>
    </row>
    <row r="906" ht="15.75" customHeight="1">
      <c r="A906" s="17" t="s">
        <v>2117</v>
      </c>
      <c r="B906" s="17" t="s">
        <v>439</v>
      </c>
      <c r="C906" s="18">
        <v>46070.0</v>
      </c>
      <c r="D906" s="17" t="s">
        <v>320</v>
      </c>
      <c r="E906" s="17" t="s">
        <v>123</v>
      </c>
      <c r="F906" s="21">
        <v>30.0</v>
      </c>
      <c r="G906" s="22">
        <v>350.1</v>
      </c>
      <c r="H906" s="17" t="s">
        <v>1214</v>
      </c>
      <c r="I906" s="22">
        <f>F906-IFERROR(VLOOKUP(B906,crm_orders!$A:$S,10,FALSE),0)</f>
        <v>0</v>
      </c>
      <c r="J906" s="22">
        <f>G906-IFERROR(VLOOKUP(B906,crm_orders!$A:$S,12,FALSE),0)</f>
        <v>0</v>
      </c>
      <c r="K906" s="17" t="str">
        <f>IF(COUNTIF(crm_orders!$A:$A,B906)=0,"Orphan","OK")</f>
        <v>OK</v>
      </c>
    </row>
    <row r="907" ht="15.75" customHeight="1">
      <c r="A907" s="25" t="s">
        <v>2118</v>
      </c>
      <c r="B907" s="25" t="s">
        <v>440</v>
      </c>
      <c r="C907" s="26">
        <v>46072.0</v>
      </c>
      <c r="D907" s="25" t="s">
        <v>314</v>
      </c>
      <c r="E907" s="25" t="s">
        <v>71</v>
      </c>
      <c r="F907" s="29">
        <v>6.0</v>
      </c>
      <c r="G907" s="30">
        <v>47.7</v>
      </c>
      <c r="H907" s="25" t="s">
        <v>1214</v>
      </c>
      <c r="I907" s="30">
        <f>F907-IFERROR(VLOOKUP(B907,crm_orders!$A:$S,10,FALSE),0)</f>
        <v>0</v>
      </c>
      <c r="J907" s="30">
        <f>G907-IFERROR(VLOOKUP(B907,crm_orders!$A:$S,12,FALSE),0)</f>
        <v>0</v>
      </c>
      <c r="K907" s="25" t="str">
        <f>IF(COUNTIF(crm_orders!$A:$A,B907)=0,"Orphan","OK")</f>
        <v>OK</v>
      </c>
    </row>
    <row r="908" ht="15.75" customHeight="1">
      <c r="A908" s="17" t="s">
        <v>2119</v>
      </c>
      <c r="B908" s="17" t="s">
        <v>441</v>
      </c>
      <c r="C908" s="18">
        <v>46037.0</v>
      </c>
      <c r="D908" s="17" t="s">
        <v>320</v>
      </c>
      <c r="E908" s="17" t="s">
        <v>64</v>
      </c>
      <c r="F908" s="21">
        <v>48.0</v>
      </c>
      <c r="G908" s="22">
        <v>405.12</v>
      </c>
      <c r="H908" s="17" t="s">
        <v>1214</v>
      </c>
      <c r="I908" s="22">
        <f>F908-IFERROR(VLOOKUP(B908,crm_orders!$A:$S,10,FALSE),0)</f>
        <v>0</v>
      </c>
      <c r="J908" s="22">
        <f>G908-IFERROR(VLOOKUP(B908,crm_orders!$A:$S,12,FALSE),0)</f>
        <v>0</v>
      </c>
      <c r="K908" s="17" t="str">
        <f>IF(COUNTIF(crm_orders!$A:$A,B908)=0,"Orphan","OK")</f>
        <v>OK</v>
      </c>
    </row>
    <row r="909" ht="15.75" customHeight="1">
      <c r="A909" s="25" t="s">
        <v>2120</v>
      </c>
      <c r="B909" s="25" t="s">
        <v>536</v>
      </c>
      <c r="C909" s="26">
        <v>46071.0</v>
      </c>
      <c r="D909" s="25" t="s">
        <v>452</v>
      </c>
      <c r="E909" s="25" t="s">
        <v>92</v>
      </c>
      <c r="F909" s="29">
        <v>96.0</v>
      </c>
      <c r="G909" s="30">
        <v>1094.01</v>
      </c>
      <c r="H909" s="25" t="s">
        <v>1212</v>
      </c>
      <c r="I909" s="30">
        <f>F909-IFERROR(VLOOKUP(B909,crm_orders!$A:$S,10,FALSE),0)</f>
        <v>-24</v>
      </c>
      <c r="J909" s="30">
        <f>G909-IFERROR(VLOOKUP(B909,crm_orders!$A:$S,12,FALSE),0)</f>
        <v>-243.99</v>
      </c>
      <c r="K909" s="25" t="str">
        <f>IF(COUNTIF(crm_orders!$A:$A,B909)=0,"Orphan","OK")</f>
        <v>OK</v>
      </c>
    </row>
    <row r="910" ht="15.75" customHeight="1">
      <c r="A910" s="17" t="s">
        <v>2121</v>
      </c>
      <c r="B910" s="17" t="s">
        <v>694</v>
      </c>
      <c r="C910" s="18">
        <v>46037.0</v>
      </c>
      <c r="D910" s="17" t="s">
        <v>566</v>
      </c>
      <c r="E910" s="17" t="s">
        <v>90</v>
      </c>
      <c r="F910" s="21">
        <v>60.0</v>
      </c>
      <c r="G910" s="22">
        <v>421.8</v>
      </c>
      <c r="H910" s="17" t="s">
        <v>1214</v>
      </c>
      <c r="I910" s="22">
        <f>F910-IFERROR(VLOOKUP(B910,crm_orders!$A:$S,10,FALSE),0)</f>
        <v>0</v>
      </c>
      <c r="J910" s="22">
        <f>G910-IFERROR(VLOOKUP(B910,crm_orders!$A:$S,12,FALSE),0)</f>
        <v>0</v>
      </c>
      <c r="K910" s="17" t="str">
        <f>IF(COUNTIF(crm_orders!$A:$A,B910)=0,"Orphan","OK")</f>
        <v>OK</v>
      </c>
    </row>
    <row r="911" ht="15.75" customHeight="1">
      <c r="A911" s="25" t="s">
        <v>2122</v>
      </c>
      <c r="B911" s="25" t="s">
        <v>472</v>
      </c>
      <c r="C911" s="26">
        <v>46073.0</v>
      </c>
      <c r="D911" s="25" t="s">
        <v>706</v>
      </c>
      <c r="E911" s="25" t="s">
        <v>156</v>
      </c>
      <c r="F911" s="29">
        <v>48.0</v>
      </c>
      <c r="G911" s="30">
        <v>497.76</v>
      </c>
      <c r="H911" s="25" t="s">
        <v>1214</v>
      </c>
      <c r="I911" s="30">
        <f>F911-IFERROR(VLOOKUP(B911,crm_orders!$A:$S,10,FALSE),0)</f>
        <v>36</v>
      </c>
      <c r="J911" s="30">
        <f>G911-IFERROR(VLOOKUP(B911,crm_orders!$A:$S,12,FALSE),0)</f>
        <v>364.08</v>
      </c>
      <c r="K911" s="25" t="str">
        <f>IF(COUNTIF(crm_orders!$A:$A,B911)=0,"Orphan","OK")</f>
        <v>OK</v>
      </c>
    </row>
    <row r="912" ht="15.75" customHeight="1">
      <c r="A912" s="17" t="s">
        <v>2123</v>
      </c>
      <c r="B912" s="17" t="s">
        <v>947</v>
      </c>
      <c r="C912" s="18">
        <v>46117.0</v>
      </c>
      <c r="D912" s="17" t="s">
        <v>882</v>
      </c>
      <c r="E912" s="17" t="s">
        <v>78</v>
      </c>
      <c r="F912" s="21">
        <v>0.0</v>
      </c>
      <c r="G912" s="22">
        <v>0.0</v>
      </c>
      <c r="H912" s="17" t="s">
        <v>93</v>
      </c>
      <c r="I912" s="22">
        <f>F912-IFERROR(VLOOKUP(B912,crm_orders!$A:$S,10,FALSE),0)</f>
        <v>-6</v>
      </c>
      <c r="J912" s="22">
        <f>G912-IFERROR(VLOOKUP(B912,crm_orders!$A:$S,12,FALSE),0)</f>
        <v>-65.82</v>
      </c>
      <c r="K912" s="17" t="str">
        <f>IF(COUNTIF(crm_orders!$A:$A,B912)=0,"Orphan","OK")</f>
        <v>OK</v>
      </c>
    </row>
    <row r="913" ht="15.75" customHeight="1">
      <c r="A913" s="25" t="s">
        <v>2124</v>
      </c>
      <c r="B913" s="25" t="s">
        <v>537</v>
      </c>
      <c r="C913" s="26">
        <v>46055.0</v>
      </c>
      <c r="D913" s="25" t="s">
        <v>466</v>
      </c>
      <c r="E913" s="25" t="s">
        <v>85</v>
      </c>
      <c r="F913" s="29">
        <v>30.0</v>
      </c>
      <c r="G913" s="30">
        <v>285.6</v>
      </c>
      <c r="H913" s="25" t="s">
        <v>1214</v>
      </c>
      <c r="I913" s="30">
        <f>F913-IFERROR(VLOOKUP(B913,crm_orders!$A:$S,10,FALSE),0)</f>
        <v>0</v>
      </c>
      <c r="J913" s="30">
        <f>G913-IFERROR(VLOOKUP(B913,crm_orders!$A:$S,12,FALSE),0)</f>
        <v>0</v>
      </c>
      <c r="K913" s="25" t="str">
        <f>IF(COUNTIF(crm_orders!$A:$A,B913)=0,"Orphan","OK")</f>
        <v>OK</v>
      </c>
    </row>
    <row r="914" ht="15.75" customHeight="1">
      <c r="A914" s="17" t="s">
        <v>2125</v>
      </c>
      <c r="B914" s="17" t="s">
        <v>695</v>
      </c>
      <c r="C914" s="18">
        <v>46104.0</v>
      </c>
      <c r="D914" s="17" t="s">
        <v>573</v>
      </c>
      <c r="E914" s="17" t="s">
        <v>95</v>
      </c>
      <c r="F914" s="21">
        <v>120.0</v>
      </c>
      <c r="G914" s="22">
        <v>1270.8</v>
      </c>
      <c r="H914" s="17" t="s">
        <v>1214</v>
      </c>
      <c r="I914" s="22">
        <f>F914-IFERROR(VLOOKUP(B914,crm_orders!$A:$S,10,FALSE),0)</f>
        <v>0</v>
      </c>
      <c r="J914" s="22">
        <f>G914-IFERROR(VLOOKUP(B914,crm_orders!$A:$S,12,FALSE),0)</f>
        <v>0</v>
      </c>
      <c r="K914" s="17" t="str">
        <f>IF(COUNTIF(crm_orders!$A:$A,B914)=0,"Orphan","OK")</f>
        <v>OK</v>
      </c>
    </row>
    <row r="915" ht="15.75" customHeight="1">
      <c r="A915" s="25" t="s">
        <v>2126</v>
      </c>
      <c r="B915" s="25" t="s">
        <v>867</v>
      </c>
      <c r="C915" s="26">
        <v>46097.0</v>
      </c>
      <c r="D915" s="25" t="s">
        <v>950</v>
      </c>
      <c r="E915" s="25" t="s">
        <v>78</v>
      </c>
      <c r="F915" s="29">
        <v>24.0</v>
      </c>
      <c r="G915" s="30">
        <v>237.36</v>
      </c>
      <c r="H915" s="25" t="s">
        <v>1214</v>
      </c>
      <c r="I915" s="30">
        <f>F915-IFERROR(VLOOKUP(B915,crm_orders!$A:$S,10,FALSE),0)</f>
        <v>18</v>
      </c>
      <c r="J915" s="30">
        <f>G915-IFERROR(VLOOKUP(B915,crm_orders!$A:$S,12,FALSE),0)</f>
        <v>178.62</v>
      </c>
      <c r="K915" s="25" t="str">
        <f>IF(COUNTIF(crm_orders!$A:$A,B915)=0,"Orphan","OK")</f>
        <v>OK</v>
      </c>
    </row>
    <row r="916" ht="15.75" customHeight="1">
      <c r="A916" s="17" t="s">
        <v>2127</v>
      </c>
      <c r="B916" s="17" t="s">
        <v>571</v>
      </c>
      <c r="C916" s="18">
        <v>46143.0</v>
      </c>
      <c r="D916" s="17" t="s">
        <v>873</v>
      </c>
      <c r="E916" s="17" t="s">
        <v>110</v>
      </c>
      <c r="F916" s="21">
        <v>18.0</v>
      </c>
      <c r="G916" s="22">
        <v>195.12</v>
      </c>
      <c r="H916" s="17" t="s">
        <v>1214</v>
      </c>
      <c r="I916" s="22">
        <f>F916-IFERROR(VLOOKUP(B916,crm_orders!$A:$S,10,FALSE),0)</f>
        <v>-42</v>
      </c>
      <c r="J916" s="22">
        <f>G916-IFERROR(VLOOKUP(B916,crm_orders!$A:$S,12,FALSE),0)</f>
        <v>-376.68</v>
      </c>
      <c r="K916" s="17" t="str">
        <f>IF(COUNTIF(crm_orders!$A:$A,B916)=0,"Orphan","OK")</f>
        <v>OK</v>
      </c>
    </row>
    <row r="917" ht="15.75" customHeight="1">
      <c r="A917" s="25" t="s">
        <v>2128</v>
      </c>
      <c r="B917" s="25" t="s">
        <v>696</v>
      </c>
      <c r="C917" s="26">
        <v>46130.0</v>
      </c>
      <c r="D917" s="25" t="s">
        <v>570</v>
      </c>
      <c r="E917" s="25" t="s">
        <v>71</v>
      </c>
      <c r="F917" s="29">
        <v>12.0</v>
      </c>
      <c r="G917" s="30">
        <v>88.8</v>
      </c>
      <c r="H917" s="25" t="s">
        <v>1214</v>
      </c>
      <c r="I917" s="30">
        <f>F917-IFERROR(VLOOKUP(B917,crm_orders!$A:$S,10,FALSE),0)</f>
        <v>0</v>
      </c>
      <c r="J917" s="30">
        <f>G917-IFERROR(VLOOKUP(B917,crm_orders!$A:$S,12,FALSE),0)</f>
        <v>0</v>
      </c>
      <c r="K917" s="25" t="str">
        <f>IF(COUNTIF(crm_orders!$A:$A,B917)=0,"Orphan","OK")</f>
        <v>OK</v>
      </c>
    </row>
    <row r="918" ht="15.75" customHeight="1">
      <c r="A918" s="17" t="s">
        <v>2129</v>
      </c>
      <c r="B918" s="17" t="s">
        <v>538</v>
      </c>
      <c r="C918" s="18">
        <v>46141.0</v>
      </c>
      <c r="D918" s="17" t="s">
        <v>457</v>
      </c>
      <c r="E918" s="17" t="s">
        <v>156</v>
      </c>
      <c r="F918" s="21">
        <v>18.0</v>
      </c>
      <c r="G918" s="22">
        <v>190.08</v>
      </c>
      <c r="H918" s="17" t="s">
        <v>1214</v>
      </c>
      <c r="I918" s="22">
        <f>F918-IFERROR(VLOOKUP(B918,crm_orders!$A:$S,10,FALSE),0)</f>
        <v>0</v>
      </c>
      <c r="J918" s="22">
        <f>G918-IFERROR(VLOOKUP(B918,crm_orders!$A:$S,12,FALSE),0)</f>
        <v>0</v>
      </c>
      <c r="K918" s="17" t="str">
        <f>IF(COUNTIF(crm_orders!$A:$A,B918)=0,"Orphan","OK")</f>
        <v>OK</v>
      </c>
    </row>
    <row r="919" ht="15.75" customHeight="1">
      <c r="A919" s="25" t="s">
        <v>2130</v>
      </c>
      <c r="B919" s="25" t="s">
        <v>1201</v>
      </c>
      <c r="C919" s="26">
        <v>46050.0</v>
      </c>
      <c r="D919" s="25" t="s">
        <v>1131</v>
      </c>
      <c r="E919" s="25" t="s">
        <v>110</v>
      </c>
      <c r="F919" s="29">
        <v>30.0</v>
      </c>
      <c r="G919" s="30">
        <v>306.6</v>
      </c>
      <c r="H919" s="25" t="s">
        <v>1214</v>
      </c>
      <c r="I919" s="30">
        <f>F919-IFERROR(VLOOKUP(B919,crm_orders!$A:$S,10,FALSE),0)</f>
        <v>0</v>
      </c>
      <c r="J919" s="30">
        <f>G919-IFERROR(VLOOKUP(B919,crm_orders!$A:$S,12,FALSE),0)</f>
        <v>0</v>
      </c>
      <c r="K919" s="25" t="str">
        <f>IF(COUNTIF(crm_orders!$A:$A,B919)=0,"Orphan","OK")</f>
        <v>OK</v>
      </c>
    </row>
    <row r="920" ht="15.75" customHeight="1">
      <c r="A920" s="17" t="s">
        <v>2131</v>
      </c>
      <c r="B920" s="17" t="s">
        <v>442</v>
      </c>
      <c r="C920" s="18">
        <v>46096.0</v>
      </c>
      <c r="D920" s="17" t="s">
        <v>320</v>
      </c>
      <c r="E920" s="17" t="s">
        <v>90</v>
      </c>
      <c r="F920" s="21">
        <v>24.0</v>
      </c>
      <c r="G920" s="22">
        <v>169.73</v>
      </c>
      <c r="H920" s="17" t="s">
        <v>1212</v>
      </c>
      <c r="I920" s="22">
        <f>F920-IFERROR(VLOOKUP(B920,crm_orders!$A:$S,10,FALSE),0)</f>
        <v>0</v>
      </c>
      <c r="J920" s="22">
        <f>G920-IFERROR(VLOOKUP(B920,crm_orders!$A:$S,12,FALSE),0)</f>
        <v>-6.19</v>
      </c>
      <c r="K920" s="17" t="str">
        <f>IF(COUNTIF(crm_orders!$A:$A,B920)=0,"Orphan","OK")</f>
        <v>OK</v>
      </c>
    </row>
    <row r="921" ht="15.75" customHeight="1">
      <c r="A921" s="25" t="s">
        <v>2132</v>
      </c>
      <c r="B921" s="25" t="s">
        <v>2133</v>
      </c>
      <c r="C921" s="26">
        <v>46107.0</v>
      </c>
      <c r="D921" s="25" t="s">
        <v>1133</v>
      </c>
      <c r="E921" s="25" t="s">
        <v>156</v>
      </c>
      <c r="F921" s="29">
        <v>24.0</v>
      </c>
      <c r="G921" s="30">
        <v>240.0</v>
      </c>
      <c r="H921" s="25" t="s">
        <v>1214</v>
      </c>
      <c r="I921" s="30">
        <f>F921-IFERROR(VLOOKUP(B921,crm_orders!$A:$S,10,FALSE),0)</f>
        <v>24</v>
      </c>
      <c r="J921" s="30">
        <f>G921-IFERROR(VLOOKUP(B921,crm_orders!$A:$S,12,FALSE),0)</f>
        <v>240</v>
      </c>
      <c r="K921" s="25" t="str">
        <f>IF(COUNTIF(crm_orders!$A:$A,B921)=0,"Orphan","OK")</f>
        <v>Orphan</v>
      </c>
    </row>
    <row r="922" ht="15.75" customHeight="1">
      <c r="A922" s="17" t="s">
        <v>2134</v>
      </c>
      <c r="B922" s="17" t="s">
        <v>2135</v>
      </c>
      <c r="C922" s="18">
        <v>46136.0</v>
      </c>
      <c r="D922" s="17" t="s">
        <v>330</v>
      </c>
      <c r="E922" s="17" t="s">
        <v>190</v>
      </c>
      <c r="F922" s="21">
        <v>24.0</v>
      </c>
      <c r="G922" s="22">
        <v>180.0</v>
      </c>
      <c r="H922" s="17" t="s">
        <v>1214</v>
      </c>
      <c r="I922" s="22">
        <f>F922-IFERROR(VLOOKUP(B922,crm_orders!$A:$S,10,FALSE),0)</f>
        <v>24</v>
      </c>
      <c r="J922" s="22">
        <f>G922-IFERROR(VLOOKUP(B922,crm_orders!$A:$S,12,FALSE),0)</f>
        <v>180</v>
      </c>
      <c r="K922" s="17" t="str">
        <f>IF(COUNTIF(crm_orders!$A:$A,B922)=0,"Orphan","OK")</f>
        <v>Orphan</v>
      </c>
    </row>
    <row r="923" ht="15.75" customHeight="1">
      <c r="A923" s="25" t="s">
        <v>2136</v>
      </c>
      <c r="B923" s="25" t="s">
        <v>2137</v>
      </c>
      <c r="C923" s="26">
        <v>46143.0</v>
      </c>
      <c r="D923" s="25" t="s">
        <v>733</v>
      </c>
      <c r="E923" s="25" t="s">
        <v>85</v>
      </c>
      <c r="F923" s="29">
        <v>12.0</v>
      </c>
      <c r="G923" s="30">
        <v>123.0</v>
      </c>
      <c r="H923" s="25" t="s">
        <v>1214</v>
      </c>
      <c r="I923" s="30">
        <f>F923-IFERROR(VLOOKUP(B923,crm_orders!$A:$S,10,FALSE),0)</f>
        <v>12</v>
      </c>
      <c r="J923" s="30">
        <f>G923-IFERROR(VLOOKUP(B923,crm_orders!$A:$S,12,FALSE),0)</f>
        <v>123</v>
      </c>
      <c r="K923" s="25" t="str">
        <f>IF(COUNTIF(crm_orders!$A:$A,B923)=0,"Orphan","OK")</f>
        <v>Orphan</v>
      </c>
    </row>
    <row r="924" ht="15.75" customHeight="1">
      <c r="A924" s="17" t="s">
        <v>2138</v>
      </c>
      <c r="B924" s="17" t="s">
        <v>2139</v>
      </c>
      <c r="C924" s="18">
        <v>46057.0</v>
      </c>
      <c r="D924" s="17" t="s">
        <v>177</v>
      </c>
      <c r="E924" s="17" t="s">
        <v>90</v>
      </c>
      <c r="F924" s="21">
        <v>12.0</v>
      </c>
      <c r="G924" s="22">
        <v>90.0</v>
      </c>
      <c r="H924" s="17" t="s">
        <v>1214</v>
      </c>
      <c r="I924" s="22">
        <f>F924-IFERROR(VLOOKUP(B924,crm_orders!$A:$S,10,FALSE),0)</f>
        <v>12</v>
      </c>
      <c r="J924" s="22">
        <f>G924-IFERROR(VLOOKUP(B924,crm_orders!$A:$S,12,FALSE),0)</f>
        <v>90</v>
      </c>
      <c r="K924" s="17" t="str">
        <f>IF(COUNTIF(crm_orders!$A:$A,B924)=0,"Orphan","OK")</f>
        <v>Orphan</v>
      </c>
    </row>
    <row r="925" ht="15.75" customHeight="1">
      <c r="A925" s="25" t="s">
        <v>2140</v>
      </c>
      <c r="B925" s="25" t="s">
        <v>2141</v>
      </c>
      <c r="C925" s="26">
        <v>46060.0</v>
      </c>
      <c r="D925" s="25" t="s">
        <v>1131</v>
      </c>
      <c r="E925" s="25" t="s">
        <v>90</v>
      </c>
      <c r="F925" s="29">
        <v>36.0</v>
      </c>
      <c r="G925" s="30">
        <v>270.0</v>
      </c>
      <c r="H925" s="25" t="s">
        <v>1214</v>
      </c>
      <c r="I925" s="30">
        <f>F925-IFERROR(VLOOKUP(B925,crm_orders!$A:$S,10,FALSE),0)</f>
        <v>36</v>
      </c>
      <c r="J925" s="30">
        <f>G925-IFERROR(VLOOKUP(B925,crm_orders!$A:$S,12,FALSE),0)</f>
        <v>270</v>
      </c>
      <c r="K925" s="25" t="str">
        <f>IF(COUNTIF(crm_orders!$A:$A,B925)=0,"Orphan","OK")</f>
        <v>Orphan</v>
      </c>
    </row>
    <row r="926" ht="15.75" customHeight="1">
      <c r="A926" s="17" t="s">
        <v>2142</v>
      </c>
      <c r="B926" s="17" t="s">
        <v>2143</v>
      </c>
      <c r="C926" s="18">
        <v>46103.0</v>
      </c>
      <c r="D926" s="17" t="s">
        <v>1129</v>
      </c>
      <c r="E926" s="17" t="s">
        <v>78</v>
      </c>
      <c r="F926" s="21">
        <v>36.0</v>
      </c>
      <c r="G926" s="22">
        <v>387.0</v>
      </c>
      <c r="H926" s="17" t="s">
        <v>1214</v>
      </c>
      <c r="I926" s="22">
        <f>F926-IFERROR(VLOOKUP(B926,crm_orders!$A:$S,10,FALSE),0)</f>
        <v>36</v>
      </c>
      <c r="J926" s="22">
        <f>G926-IFERROR(VLOOKUP(B926,crm_orders!$A:$S,12,FALSE),0)</f>
        <v>387</v>
      </c>
      <c r="K926" s="17" t="str">
        <f>IF(COUNTIF(crm_orders!$A:$A,B926)=0,"Orphan","OK")</f>
        <v>Orphan</v>
      </c>
    </row>
    <row r="927" ht="15.75" customHeight="1">
      <c r="A927" s="25" t="s">
        <v>2144</v>
      </c>
      <c r="B927" s="25" t="s">
        <v>2145</v>
      </c>
      <c r="C927" s="26">
        <v>46051.0</v>
      </c>
      <c r="D927" s="25" t="s">
        <v>557</v>
      </c>
      <c r="E927" s="25" t="s">
        <v>81</v>
      </c>
      <c r="F927" s="29">
        <v>6.0</v>
      </c>
      <c r="G927" s="30">
        <v>43.5</v>
      </c>
      <c r="H927" s="25" t="s">
        <v>1214</v>
      </c>
      <c r="I927" s="30">
        <f>F927-IFERROR(VLOOKUP(B927,crm_orders!$A:$S,10,FALSE),0)</f>
        <v>6</v>
      </c>
      <c r="J927" s="30">
        <f>G927-IFERROR(VLOOKUP(B927,crm_orders!$A:$S,12,FALSE),0)</f>
        <v>43.5</v>
      </c>
      <c r="K927" s="25" t="str">
        <f>IF(COUNTIF(crm_orders!$A:$A,B927)=0,"Orphan","OK")</f>
        <v>Orphan</v>
      </c>
    </row>
    <row r="928" ht="15.75" customHeight="1">
      <c r="A928" s="17" t="s">
        <v>2146</v>
      </c>
      <c r="B928" s="17" t="s">
        <v>2147</v>
      </c>
      <c r="C928" s="18">
        <v>46143.0</v>
      </c>
      <c r="D928" s="17" t="s">
        <v>557</v>
      </c>
      <c r="E928" s="17" t="s">
        <v>85</v>
      </c>
      <c r="F928" s="21">
        <v>12.0</v>
      </c>
      <c r="G928" s="22">
        <v>123.0</v>
      </c>
      <c r="H928" s="17" t="s">
        <v>1214</v>
      </c>
      <c r="I928" s="22">
        <f>F928-IFERROR(VLOOKUP(B928,crm_orders!$A:$S,10,FALSE),0)</f>
        <v>12</v>
      </c>
      <c r="J928" s="22">
        <f>G928-IFERROR(VLOOKUP(B928,crm_orders!$A:$S,12,FALSE),0)</f>
        <v>123</v>
      </c>
      <c r="K928" s="17" t="str">
        <f>IF(COUNTIF(crm_orders!$A:$A,B928)=0,"Orphan","OK")</f>
        <v>Orphan</v>
      </c>
    </row>
    <row r="929" ht="15.75" customHeight="1">
      <c r="A929" s="25" t="s">
        <v>2148</v>
      </c>
      <c r="B929" s="25" t="s">
        <v>2149</v>
      </c>
      <c r="C929" s="26">
        <v>46105.0</v>
      </c>
      <c r="D929" s="25" t="s">
        <v>1131</v>
      </c>
      <c r="E929" s="25" t="s">
        <v>110</v>
      </c>
      <c r="F929" s="29">
        <v>6.0</v>
      </c>
      <c r="G929" s="30">
        <v>66.0</v>
      </c>
      <c r="H929" s="25" t="s">
        <v>1214</v>
      </c>
      <c r="I929" s="30">
        <f>F929-IFERROR(VLOOKUP(B929,crm_orders!$A:$S,10,FALSE),0)</f>
        <v>6</v>
      </c>
      <c r="J929" s="30">
        <f>G929-IFERROR(VLOOKUP(B929,crm_orders!$A:$S,12,FALSE),0)</f>
        <v>66</v>
      </c>
      <c r="K929" s="25" t="str">
        <f>IF(COUNTIF(crm_orders!$A:$A,B929)=0,"Orphan","OK")</f>
        <v>Orphan</v>
      </c>
    </row>
    <row r="930" ht="15.75" customHeight="1">
      <c r="A930" s="17" t="s">
        <v>2150</v>
      </c>
      <c r="B930" s="17" t="s">
        <v>2151</v>
      </c>
      <c r="C930" s="18">
        <v>46140.0</v>
      </c>
      <c r="D930" s="17" t="s">
        <v>573</v>
      </c>
      <c r="E930" s="17" t="s">
        <v>154</v>
      </c>
      <c r="F930" s="21">
        <v>36.0</v>
      </c>
      <c r="G930" s="22">
        <v>387.0</v>
      </c>
      <c r="H930" s="17" t="s">
        <v>1214</v>
      </c>
      <c r="I930" s="22">
        <f>F930-IFERROR(VLOOKUP(B930,crm_orders!$A:$S,10,FALSE),0)</f>
        <v>36</v>
      </c>
      <c r="J930" s="22">
        <f>G930-IFERROR(VLOOKUP(B930,crm_orders!$A:$S,12,FALSE),0)</f>
        <v>387</v>
      </c>
      <c r="K930" s="17" t="str">
        <f>IF(COUNTIF(crm_orders!$A:$A,B930)=0,"Orphan","OK")</f>
        <v>Orphan</v>
      </c>
    </row>
    <row r="931" ht="15.75" customHeight="1">
      <c r="A931" s="25" t="s">
        <v>2152</v>
      </c>
      <c r="B931" s="25" t="s">
        <v>2153</v>
      </c>
      <c r="C931" s="26">
        <v>46085.0</v>
      </c>
      <c r="D931" s="25" t="s">
        <v>452</v>
      </c>
      <c r="E931" s="25" t="s">
        <v>68</v>
      </c>
      <c r="F931" s="29">
        <v>24.0</v>
      </c>
      <c r="G931" s="30">
        <v>252.0</v>
      </c>
      <c r="H931" s="25" t="s">
        <v>1214</v>
      </c>
      <c r="I931" s="30">
        <f>F931-IFERROR(VLOOKUP(B931,crm_orders!$A:$S,10,FALSE),0)</f>
        <v>24</v>
      </c>
      <c r="J931" s="30">
        <f>G931-IFERROR(VLOOKUP(B931,crm_orders!$A:$S,12,FALSE),0)</f>
        <v>252</v>
      </c>
      <c r="K931" s="25" t="str">
        <f>IF(COUNTIF(crm_orders!$A:$A,B931)=0,"Orphan","OK")</f>
        <v>Orphan</v>
      </c>
    </row>
    <row r="932" ht="15.75" customHeight="1">
      <c r="A932" s="17" t="s">
        <v>2154</v>
      </c>
      <c r="B932" s="17" t="s">
        <v>2155</v>
      </c>
      <c r="C932" s="18">
        <v>46038.0</v>
      </c>
      <c r="D932" s="17" t="s">
        <v>226</v>
      </c>
      <c r="E932" s="17" t="s">
        <v>95</v>
      </c>
      <c r="F932" s="21">
        <v>36.0</v>
      </c>
      <c r="G932" s="22">
        <v>378.0</v>
      </c>
      <c r="H932" s="17" t="s">
        <v>1214</v>
      </c>
      <c r="I932" s="22">
        <f>F932-IFERROR(VLOOKUP(B932,crm_orders!$A:$S,10,FALSE),0)</f>
        <v>36</v>
      </c>
      <c r="J932" s="22">
        <f>G932-IFERROR(VLOOKUP(B932,crm_orders!$A:$S,12,FALSE),0)</f>
        <v>378</v>
      </c>
      <c r="K932" s="17" t="str">
        <f>IF(COUNTIF(crm_orders!$A:$A,B932)=0,"Orphan","OK")</f>
        <v>Orphan</v>
      </c>
    </row>
    <row r="933" ht="15.75" customHeight="1">
      <c r="A933" s="25" t="s">
        <v>2156</v>
      </c>
      <c r="B933" s="25" t="s">
        <v>2157</v>
      </c>
      <c r="C933" s="26">
        <v>46036.0</v>
      </c>
      <c r="D933" s="25" t="s">
        <v>704</v>
      </c>
      <c r="E933" s="25" t="s">
        <v>92</v>
      </c>
      <c r="F933" s="29">
        <v>36.0</v>
      </c>
      <c r="G933" s="30">
        <v>378.0</v>
      </c>
      <c r="H933" s="25" t="s">
        <v>1214</v>
      </c>
      <c r="I933" s="30">
        <f>F933-IFERROR(VLOOKUP(B933,crm_orders!$A:$S,10,FALSE),0)</f>
        <v>36</v>
      </c>
      <c r="J933" s="30">
        <f>G933-IFERROR(VLOOKUP(B933,crm_orders!$A:$S,12,FALSE),0)</f>
        <v>378</v>
      </c>
      <c r="K933" s="25" t="str">
        <f>IF(COUNTIF(crm_orders!$A:$A,B933)=0,"Orphan","OK")</f>
        <v>Orphan</v>
      </c>
    </row>
    <row r="934" ht="15.75" customHeight="1">
      <c r="A934" s="17" t="s">
        <v>2158</v>
      </c>
      <c r="B934" s="17" t="s">
        <v>2159</v>
      </c>
      <c r="C934" s="18">
        <v>46083.0</v>
      </c>
      <c r="D934" s="17" t="s">
        <v>984</v>
      </c>
      <c r="E934" s="17" t="s">
        <v>162</v>
      </c>
      <c r="F934" s="21">
        <v>24.0</v>
      </c>
      <c r="G934" s="22">
        <v>246.0</v>
      </c>
      <c r="H934" s="17" t="s">
        <v>1214</v>
      </c>
      <c r="I934" s="22">
        <f>F934-IFERROR(VLOOKUP(B934,crm_orders!$A:$S,10,FALSE),0)</f>
        <v>24</v>
      </c>
      <c r="J934" s="22">
        <f>G934-IFERROR(VLOOKUP(B934,crm_orders!$A:$S,12,FALSE),0)</f>
        <v>246</v>
      </c>
      <c r="K934" s="17" t="str">
        <f>IF(COUNTIF(crm_orders!$A:$A,B934)=0,"Orphan","OK")</f>
        <v>Orphan</v>
      </c>
    </row>
    <row r="935" ht="15.75" customHeight="1">
      <c r="A935" s="25" t="s">
        <v>2160</v>
      </c>
      <c r="B935" s="25" t="s">
        <v>2161</v>
      </c>
      <c r="C935" s="26">
        <v>46128.0</v>
      </c>
      <c r="D935" s="25" t="s">
        <v>70</v>
      </c>
      <c r="E935" s="25" t="s">
        <v>74</v>
      </c>
      <c r="F935" s="29">
        <v>12.0</v>
      </c>
      <c r="G935" s="30">
        <v>138.0</v>
      </c>
      <c r="H935" s="25" t="s">
        <v>1214</v>
      </c>
      <c r="I935" s="30">
        <f>F935-IFERROR(VLOOKUP(B935,crm_orders!$A:$S,10,FALSE),0)</f>
        <v>12</v>
      </c>
      <c r="J935" s="30">
        <f>G935-IFERROR(VLOOKUP(B935,crm_orders!$A:$S,12,FALSE),0)</f>
        <v>138</v>
      </c>
      <c r="K935" s="25" t="str">
        <f>IF(COUNTIF(crm_orders!$A:$A,B935)=0,"Orphan","OK")</f>
        <v>Orphan</v>
      </c>
    </row>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935"/>
  <conditionalFormatting sqref="I2:I935">
    <cfRule type="cellIs" dxfId="2" priority="1" operator="notEqual">
      <formula>0</formula>
    </cfRule>
  </conditionalFormatting>
  <conditionalFormatting sqref="J2:J935">
    <cfRule type="cellIs" dxfId="2" priority="2" operator="notEqual">
      <formula>0</formula>
    </cfRule>
  </conditionalFormatting>
  <conditionalFormatting sqref="K2:K935">
    <cfRule type="expression" dxfId="1" priority="3">
      <formula>K2="Orphan"</formula>
    </cfRule>
  </conditionalFormatting>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8.71"/>
    <col customWidth="1" min="2" max="2" width="18.86"/>
    <col customWidth="1" min="3" max="3" width="52.14"/>
    <col customWidth="1" min="4" max="6" width="10.0"/>
    <col customWidth="1" min="7" max="26" width="8.71"/>
  </cols>
  <sheetData>
    <row r="1">
      <c r="A1" s="1" t="s">
        <v>2162</v>
      </c>
      <c r="B1" s="2"/>
      <c r="C1" s="2"/>
      <c r="D1" s="2"/>
      <c r="E1" s="2"/>
      <c r="F1" s="3"/>
    </row>
    <row r="2">
      <c r="A2" s="33" t="s">
        <v>2163</v>
      </c>
    </row>
    <row r="3">
      <c r="A3" s="34" t="s">
        <v>2164</v>
      </c>
      <c r="B3" s="34" t="s">
        <v>2165</v>
      </c>
      <c r="C3" s="34" t="s">
        <v>2166</v>
      </c>
      <c r="D3" s="5"/>
      <c r="E3" s="5"/>
      <c r="F3" s="5"/>
    </row>
    <row r="4">
      <c r="A4" s="35" t="s">
        <v>5</v>
      </c>
      <c r="B4" s="36">
        <f>SUM(crm_orders!L:L)</f>
        <v>472328.52</v>
      </c>
      <c r="C4" s="37" t="s">
        <v>2167</v>
      </c>
    </row>
    <row r="5">
      <c r="A5" s="35" t="s">
        <v>7</v>
      </c>
      <c r="B5" s="36">
        <f>SUM(erp_invoices!G:G)</f>
        <v>429804.52</v>
      </c>
      <c r="C5" s="38" t="s">
        <v>2168</v>
      </c>
    </row>
    <row r="6">
      <c r="A6" s="35" t="s">
        <v>2169</v>
      </c>
      <c r="B6" s="39">
        <f>B5-B4</f>
        <v>-42524</v>
      </c>
      <c r="C6" s="37" t="s">
        <v>2170</v>
      </c>
    </row>
    <row r="7">
      <c r="A7" s="35" t="s">
        <v>2171</v>
      </c>
      <c r="B7" s="40">
        <f>(B6/B4)</f>
        <v>-0.09003055754</v>
      </c>
      <c r="C7" s="37" t="s">
        <v>2172</v>
      </c>
    </row>
    <row r="8">
      <c r="A8" s="35" t="s">
        <v>2173</v>
      </c>
      <c r="B8" s="41">
        <f>COUNTA(crm_orders!A:A)-1</f>
        <v>1000</v>
      </c>
      <c r="C8" s="37" t="s">
        <v>2174</v>
      </c>
    </row>
    <row r="9">
      <c r="A9" s="35" t="s">
        <v>2175</v>
      </c>
      <c r="B9" s="41">
        <f>COUNTA(erp_invoices!A:A)-1</f>
        <v>934</v>
      </c>
      <c r="C9" s="37" t="s">
        <v>2176</v>
      </c>
    </row>
    <row r="10">
      <c r="A10" s="35" t="s">
        <v>11</v>
      </c>
      <c r="B10" s="41">
        <f>COUNTIF(exception_log!F:F,"Open")</f>
        <v>116</v>
      </c>
      <c r="C10" s="37" t="s">
        <v>2177</v>
      </c>
    </row>
    <row r="11">
      <c r="A11" s="35" t="s">
        <v>13</v>
      </c>
      <c r="B11" s="41">
        <f>COUNTIF(exception_log!D:D,"Critical")</f>
        <v>24</v>
      </c>
      <c r="C11" s="37" t="s">
        <v>2178</v>
      </c>
    </row>
    <row r="12">
      <c r="A12" s="35" t="s">
        <v>15</v>
      </c>
      <c r="B12" s="41">
        <f>COUNTIF(crm_orders!P:P,"Short")</f>
        <v>3</v>
      </c>
      <c r="C12" s="37" t="s">
        <v>2179</v>
      </c>
    </row>
    <row r="13">
      <c r="A13" s="35" t="s">
        <v>2180</v>
      </c>
      <c r="B13" s="41">
        <f>COUNTIF(crm_orders!Q:Q,"Duplicate")</f>
        <v>16</v>
      </c>
      <c r="C13" s="37" t="s">
        <v>2181</v>
      </c>
    </row>
    <row r="14">
      <c r="A14" s="35" t="s">
        <v>2182</v>
      </c>
      <c r="B14" s="41">
        <f>COUNTIF(crm_orders!R:R,"Missing Key")</f>
        <v>5</v>
      </c>
      <c r="C14" s="37" t="s">
        <v>2183</v>
      </c>
    </row>
    <row r="15">
      <c r="A15" s="42" t="s">
        <v>2184</v>
      </c>
      <c r="B15" s="43">
        <f>COUNTIF(erp_invoices!K:K,"Orphan")</f>
        <v>15</v>
      </c>
      <c r="C15" s="37" t="s">
        <v>2185</v>
      </c>
    </row>
    <row r="16">
      <c r="A16" s="35" t="s">
        <v>2186</v>
      </c>
      <c r="B16" s="36">
        <f>SUM(returns_credit_memos!E:E)</f>
        <v>-15112.55</v>
      </c>
      <c r="C16" s="37" t="s">
        <v>2187</v>
      </c>
    </row>
    <row r="18">
      <c r="A18" s="10" t="s">
        <v>2188</v>
      </c>
      <c r="B18" s="2"/>
      <c r="C18" s="3"/>
    </row>
    <row r="19">
      <c r="A19" s="35" t="s">
        <v>2189</v>
      </c>
      <c r="B19" s="41">
        <f>COUNTA(warehouse_shipments!A:A)-1</f>
        <v>786</v>
      </c>
      <c r="C19" s="37" t="s">
        <v>2190</v>
      </c>
    </row>
    <row r="20">
      <c r="A20" s="35" t="s">
        <v>2191</v>
      </c>
      <c r="B20" s="41">
        <f>COUNTIF(warehouse_shipments!L:L,"No")</f>
        <v>615</v>
      </c>
      <c r="C20" s="37" t="s">
        <v>2192</v>
      </c>
    </row>
    <row r="21" ht="15.75" customHeight="1">
      <c r="A21" s="35" t="s">
        <v>2193</v>
      </c>
      <c r="B21" s="41">
        <f>COUNTIF(order_compliance_review!J:J,"Yes")</f>
        <v>238</v>
      </c>
      <c r="C21" s="37" t="s">
        <v>2194</v>
      </c>
    </row>
    <row r="22" ht="15.75" customHeight="1">
      <c r="A22" s="35" t="s">
        <v>2195</v>
      </c>
      <c r="B22" s="36">
        <f>SUM(accounts_receivable!I:I)</f>
        <v>149386.46</v>
      </c>
      <c r="C22" s="37" t="s">
        <v>2196</v>
      </c>
    </row>
    <row r="23" ht="15.75" customHeight="1">
      <c r="A23" s="35" t="s">
        <v>2197</v>
      </c>
      <c r="B23" s="41">
        <f>COUNTIF(accounts_receivable!K:K,"90+")</f>
        <v>26</v>
      </c>
      <c r="C23" s="37" t="s">
        <v>2198</v>
      </c>
    </row>
    <row r="24" ht="15.75" customHeight="1">
      <c r="A24" s="35" t="s">
        <v>2199</v>
      </c>
      <c r="B24" s="41">
        <f>COUNTA(customer_support_cases!A:A)-1</f>
        <v>340</v>
      </c>
      <c r="C24" s="37" t="s">
        <v>2200</v>
      </c>
    </row>
    <row r="25" ht="15.75" customHeight="1">
      <c r="A25" s="35" t="s">
        <v>2201</v>
      </c>
      <c r="B25" s="41">
        <f>COUNTIF(customer_support_cases!L:L,"Breach")</f>
        <v>268</v>
      </c>
      <c r="C25" s="37" t="s">
        <v>2202</v>
      </c>
    </row>
    <row r="26" ht="15.75" customHeight="1">
      <c r="A26" s="35" t="s">
        <v>2203</v>
      </c>
      <c r="B26" s="41">
        <f>COUNTIF(customer_crosswalk!G:G,"Review")</f>
        <v>14</v>
      </c>
      <c r="C26" s="37" t="s">
        <v>2204</v>
      </c>
    </row>
    <row r="27" ht="15.75" customHeight="1"/>
    <row r="28" ht="15.75" customHeight="1">
      <c r="A28" s="44" t="s">
        <v>2205</v>
      </c>
      <c r="B28" s="2"/>
      <c r="C28" s="3"/>
    </row>
    <row r="29" ht="15.75" customHeight="1">
      <c r="A29" s="42" t="s">
        <v>2206</v>
      </c>
      <c r="B29" s="45">
        <f>B9/B8</f>
        <v>0.934</v>
      </c>
    </row>
    <row r="30" ht="15.75" customHeight="1">
      <c r="A30" s="42" t="s">
        <v>2207</v>
      </c>
      <c r="B30" s="45">
        <f>B10/B8</f>
        <v>0.116</v>
      </c>
    </row>
    <row r="31" ht="15.75" customHeight="1">
      <c r="A31" s="42" t="s">
        <v>2208</v>
      </c>
      <c r="B31" s="45">
        <f>B11/B10</f>
        <v>0.2068965517</v>
      </c>
    </row>
    <row r="32" ht="15.75" customHeight="1">
      <c r="A32" s="42" t="s">
        <v>2209</v>
      </c>
      <c r="B32" s="45">
        <f>B16/B4</f>
        <v>-0.03199584476</v>
      </c>
    </row>
    <row r="33" ht="15.75" customHeight="1">
      <c r="A33" s="42" t="s">
        <v>2210</v>
      </c>
      <c r="B33" s="45">
        <f>B22/B5</f>
        <v>0.3475683783</v>
      </c>
    </row>
    <row r="34" ht="15.75" customHeight="1">
      <c r="A34" s="42" t="s">
        <v>2211</v>
      </c>
      <c r="B34" s="45">
        <f>B20/B19</f>
        <v>0.7824427481</v>
      </c>
    </row>
    <row r="35" ht="15.75" customHeight="1">
      <c r="A35" s="42" t="s">
        <v>2212</v>
      </c>
      <c r="B35" s="45">
        <f>B25/B24</f>
        <v>0.7882352941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2:F2"/>
    <mergeCell ref="A18:C18"/>
    <mergeCell ref="A28:C28"/>
  </mergeCells>
  <conditionalFormatting sqref="B29:B35">
    <cfRule type="expression" dxfId="3" priority="1">
      <formula>OR(   AND($A29="Invoice Coverage Rate",$B29&gt;=0.95,$B29&lt;0.98),   AND($A29="Exception Rate of CRM Order Count",$B29&gt;=0.05,$B29&lt;=0.1),   AND($A29="Critical Exception Rate",$B29&gt;=0.1,$B29&lt;=0.2),   AND($A29="Credit Memo % of CRM",ABS($B29)&gt;=0.02,ABS($B29)&lt;=0.05),   AND($A29="AR Outstanding % of Invoice Amount",$B29&gt;=0.15,$B29&lt;=0.3),   AND($A29="OTIF Failure Rate",$B29&gt;=0.05,$B29&lt;=0.15),   AND($A29="SLA Breach Rate",$B29&gt;=0.05,$B29&lt;=0.15) )</formula>
    </cfRule>
  </conditionalFormatting>
  <conditionalFormatting sqref="A38">
    <cfRule type="notContainsBlanks" dxfId="4" priority="2">
      <formula>LEN(TRIM(A38))&gt;0</formula>
    </cfRule>
  </conditionalFormatting>
  <conditionalFormatting sqref="A38">
    <cfRule type="notContainsBlanks" dxfId="4" priority="3">
      <formula>LEN(TRIM(A38))&gt;0</formula>
    </cfRule>
  </conditionalFormatting>
  <conditionalFormatting sqref="B29:B35">
    <cfRule type="expression" dxfId="5" priority="4">
      <formula>OR(   AND($A29="Invoice Coverage Rate",$B29&gt;=0.95,$B29&lt;0.98),   AND($A29="Exception Rate of CRM Order Count",$B29&gt;=0.05,$B29&lt;=0.1),   AND($A29="Critical Exception Rate",$B29&gt;=0.1,$B29&lt;=0.2),   AND($A29="Credit Memo % of CRM",ABS($B29)&gt;=0.02,ABS($B29)&lt;=0.05),   AND($A29="AR Outstanding % of Invoice Amount",$B29&gt;=0.15,$B29&lt;=0.3),   AND($A29="OTIF Failure Rate",$B29&gt;=0.05,$B29&lt;=0.15),   AND($A29="SLA Breach Rate",$B29&gt;=0.05,$B29&lt;=0.15) )</formula>
    </cfRule>
  </conditionalFormatting>
  <conditionalFormatting sqref="B29:B35">
    <cfRule type="expression" dxfId="6" priority="5">
      <formula>OR(   AND($A29="Invoice Coverage Rate",$B29&lt;0.95),   AND($A29="Exception Rate of CRM Order Count",$B29&gt;0.1),   AND($A29="Critical Exception Rate",$B29&gt;0.2),   AND($A29="Credit Memo % of CRM",ABS($B29)&gt;0.05),   AND($A29="AR Outstanding % of Invoice Amount",$B29&gt;0.3),   AND($A29="OTIF Failure Rate",$B29&gt;0.15),   AND($A29="SLA Breach Rate",$B29&gt;0.15) )</formula>
    </cfRule>
  </conditionalFormatting>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2" width="42.0"/>
    <col customWidth="1" min="3" max="3" width="10.0"/>
    <col customWidth="1" min="4" max="4" width="29.0"/>
    <col customWidth="1" min="5" max="5" width="32.0"/>
    <col customWidth="1" min="6" max="6" width="10.0"/>
    <col customWidth="1" min="7" max="26" width="8.71"/>
  </cols>
  <sheetData>
    <row r="1">
      <c r="A1" s="13" t="s">
        <v>2213</v>
      </c>
      <c r="B1" s="2"/>
      <c r="C1" s="2"/>
      <c r="D1" s="2"/>
      <c r="E1" s="2"/>
      <c r="F1" s="3"/>
    </row>
    <row r="2">
      <c r="A2" s="4" t="s">
        <v>2214</v>
      </c>
    </row>
    <row r="3">
      <c r="A3" s="5" t="s">
        <v>2164</v>
      </c>
      <c r="B3" s="5" t="s">
        <v>2165</v>
      </c>
      <c r="C3" s="5" t="s">
        <v>2215</v>
      </c>
      <c r="D3" s="5" t="s">
        <v>2216</v>
      </c>
      <c r="E3" s="5" t="s">
        <v>2217</v>
      </c>
      <c r="F3" s="5"/>
    </row>
    <row r="4">
      <c r="A4" s="6" t="s">
        <v>2218</v>
      </c>
      <c r="B4" s="46">
        <f>AVERAGE(warehouse_shipments!N:N)</f>
        <v>186.1679389</v>
      </c>
      <c r="C4" s="8">
        <v>72.0</v>
      </c>
      <c r="D4" s="47" t="str">
        <f>IF(B4&lt;=C4,"PASS","REVIEW")</f>
        <v>REVIEW</v>
      </c>
      <c r="E4" s="8" t="s">
        <v>2219</v>
      </c>
    </row>
    <row r="5">
      <c r="A5" s="6" t="s">
        <v>20</v>
      </c>
      <c r="B5" s="48">
        <f>COUNTIF(warehouse_shipments!L:L,"Yes")/(COUNTA(warehouse_shipments!L:L)-1)</f>
        <v>0.2175572519</v>
      </c>
      <c r="C5" s="49">
        <v>0.85</v>
      </c>
      <c r="D5" s="47" t="str">
        <f>IF(B5&gt;=C5,"PASS","REVIEW")</f>
        <v>REVIEW</v>
      </c>
      <c r="E5" s="8" t="s">
        <v>2220</v>
      </c>
    </row>
    <row r="6">
      <c r="A6" s="6" t="s">
        <v>2221</v>
      </c>
      <c r="B6" s="50">
        <f>AVERAGE(customer_support_cases!K:K)</f>
        <v>679.8411765</v>
      </c>
      <c r="C6" s="8">
        <v>72.0</v>
      </c>
      <c r="D6" s="47" t="str">
        <f t="shared" ref="D6:D9" si="1">IF(B6&lt;=C6,"PASS","REVIEW")</f>
        <v>REVIEW</v>
      </c>
      <c r="E6" s="8" t="s">
        <v>2222</v>
      </c>
    </row>
    <row r="7">
      <c r="A7" s="6" t="s">
        <v>2223</v>
      </c>
      <c r="B7" s="46">
        <f>COUNTIF(customer_support_cases!L:L,"Breach")</f>
        <v>268</v>
      </c>
      <c r="C7" s="8">
        <v>20.0</v>
      </c>
      <c r="D7" s="47" t="str">
        <f t="shared" si="1"/>
        <v>REVIEW</v>
      </c>
      <c r="E7" s="8" t="s">
        <v>2224</v>
      </c>
    </row>
    <row r="8">
      <c r="A8" s="6" t="s">
        <v>2225</v>
      </c>
      <c r="B8" s="46">
        <f>COUNTIF(order_compliance_review!J:J,"Yes")</f>
        <v>238</v>
      </c>
      <c r="C8" s="8">
        <v>15.0</v>
      </c>
      <c r="D8" s="47" t="str">
        <f t="shared" si="1"/>
        <v>REVIEW</v>
      </c>
      <c r="E8" s="8" t="s">
        <v>2226</v>
      </c>
    </row>
    <row r="9">
      <c r="A9" s="6" t="s">
        <v>2227</v>
      </c>
      <c r="B9" s="46">
        <f>COUNTIF(accounts_receivable!M:M,"Yes")</f>
        <v>93</v>
      </c>
      <c r="C9" s="8">
        <v>25.0</v>
      </c>
      <c r="D9" s="47" t="str">
        <f t="shared" si="1"/>
        <v>REVIEW</v>
      </c>
      <c r="E9" s="8" t="s">
        <v>2228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conditionalFormatting sqref="D4:D9">
    <cfRule type="expression" dxfId="2" priority="1">
      <formula>D4="REVIEW"</formula>
    </cfRule>
  </conditionalFormatting>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1.0"/>
    <col customWidth="1" min="3" max="3" width="21.0"/>
    <col customWidth="1" min="4" max="4" width="12.71"/>
    <col customWidth="1" min="5" max="5" width="18.0"/>
    <col customWidth="1" min="6" max="7" width="17.0"/>
    <col customWidth="1" min="8" max="8" width="15.0"/>
    <col customWidth="1" min="9" max="9" width="18.0"/>
    <col customWidth="1" min="10" max="11" width="14.0"/>
    <col customWidth="1" min="12" max="12" width="11.0"/>
    <col customWidth="1" min="13" max="13" width="20.0"/>
    <col customWidth="1" min="14" max="18" width="34.0"/>
    <col customWidth="1" min="19" max="26" width="8.71"/>
  </cols>
  <sheetData>
    <row r="1">
      <c r="A1" s="16" t="s">
        <v>2229</v>
      </c>
      <c r="B1" s="16" t="s">
        <v>43</v>
      </c>
      <c r="C1" s="16" t="s">
        <v>2230</v>
      </c>
      <c r="D1" s="16" t="s">
        <v>2231</v>
      </c>
      <c r="E1" s="16" t="s">
        <v>2232</v>
      </c>
      <c r="F1" s="16" t="s">
        <v>2233</v>
      </c>
      <c r="G1" s="16" t="s">
        <v>2234</v>
      </c>
      <c r="H1" s="16" t="s">
        <v>2235</v>
      </c>
      <c r="I1" s="16" t="s">
        <v>2236</v>
      </c>
      <c r="J1" s="16" t="s">
        <v>2237</v>
      </c>
      <c r="K1" s="16" t="s">
        <v>2238</v>
      </c>
      <c r="L1" s="16" t="s">
        <v>2239</v>
      </c>
      <c r="M1" s="16" t="s">
        <v>2240</v>
      </c>
      <c r="N1" s="16" t="s">
        <v>2241</v>
      </c>
      <c r="O1" s="51" t="s">
        <v>45</v>
      </c>
      <c r="P1" s="51" t="s">
        <v>47</v>
      </c>
      <c r="Q1" s="51" t="s">
        <v>49</v>
      </c>
      <c r="R1" s="51" t="s">
        <v>50</v>
      </c>
    </row>
    <row r="2">
      <c r="A2" s="17" t="s">
        <v>2242</v>
      </c>
      <c r="B2" s="17" t="s">
        <v>443</v>
      </c>
      <c r="C2" s="18">
        <v>46117.0</v>
      </c>
      <c r="D2" s="17" t="s">
        <v>2243</v>
      </c>
      <c r="E2" s="17" t="s">
        <v>2244</v>
      </c>
      <c r="F2" s="17" t="s">
        <v>2245</v>
      </c>
      <c r="G2" s="21">
        <v>30.0</v>
      </c>
      <c r="H2" s="21">
        <v>30.0</v>
      </c>
      <c r="I2" s="21">
        <v>0.0</v>
      </c>
      <c r="J2" s="17" t="s">
        <v>2246</v>
      </c>
      <c r="K2" s="17" t="s">
        <v>2247</v>
      </c>
      <c r="L2" s="17" t="s">
        <v>2246</v>
      </c>
      <c r="M2" s="17" t="s">
        <v>2248</v>
      </c>
      <c r="N2" s="21">
        <f>IFERROR((C2-VLOOKUP(B2,crm_orders!$A:$S,2,FALSE))*24,0)</f>
        <v>72</v>
      </c>
      <c r="O2" s="19" t="str">
        <f>IFERROR(VLOOKUP(B2,crm_orders!$A:$S,3,FALSE),"")</f>
        <v>DSP0057</v>
      </c>
      <c r="P2" s="19" t="str">
        <f>IFERROR(VLOOKUP(B2,crm_orders!$A:$S,5,FALSE),"")</f>
        <v>MO</v>
      </c>
      <c r="Q2" s="19" t="str">
        <f>IFERROR(VLOOKUP(B2,crm_orders!$A:$S,7,FALSE),"")</f>
        <v>Distributor</v>
      </c>
      <c r="R2" s="19" t="str">
        <f>IFERROR(VLOOKUP(B2,crm_orders!$A:$S,8,FALSE),"")</f>
        <v>SKU0003</v>
      </c>
    </row>
    <row r="3">
      <c r="A3" s="25" t="s">
        <v>2249</v>
      </c>
      <c r="B3" s="25" t="s">
        <v>165</v>
      </c>
      <c r="C3" s="26">
        <v>46126.0</v>
      </c>
      <c r="D3" s="25" t="s">
        <v>2250</v>
      </c>
      <c r="E3" s="25" t="s">
        <v>2251</v>
      </c>
      <c r="F3" s="25" t="s">
        <v>2252</v>
      </c>
      <c r="G3" s="29">
        <v>18.0</v>
      </c>
      <c r="H3" s="29">
        <v>18.0</v>
      </c>
      <c r="I3" s="29">
        <v>0.0</v>
      </c>
      <c r="J3" s="25" t="s">
        <v>2246</v>
      </c>
      <c r="K3" s="25" t="s">
        <v>2247</v>
      </c>
      <c r="L3" s="25" t="s">
        <v>2246</v>
      </c>
      <c r="M3" s="25" t="s">
        <v>2248</v>
      </c>
      <c r="N3" s="29">
        <f>IFERROR((C3-VLOOKUP(B3,crm_orders!$A:$S,2,FALSE))*24,0)</f>
        <v>264</v>
      </c>
      <c r="O3" s="27" t="str">
        <f>IFERROR(VLOOKUP(B3,crm_orders!$A:$S,3,FALSE),"")</f>
        <v>DSP0044</v>
      </c>
      <c r="P3" s="27" t="str">
        <f>IFERROR(VLOOKUP(B3,crm_orders!$A:$S,5,FALSE),"")</f>
        <v>MI</v>
      </c>
      <c r="Q3" s="27" t="str">
        <f>IFERROR(VLOOKUP(B3,crm_orders!$A:$S,7,FALSE),"")</f>
        <v>Distributor</v>
      </c>
      <c r="R3" s="27" t="str">
        <f>IFERROR(VLOOKUP(B3,crm_orders!$A:$S,8,FALSE),"")</f>
        <v>SKU0013</v>
      </c>
    </row>
    <row r="4">
      <c r="A4" s="17" t="s">
        <v>2253</v>
      </c>
      <c r="B4" s="17" t="s">
        <v>952</v>
      </c>
      <c r="C4" s="18">
        <v>46043.0</v>
      </c>
      <c r="D4" s="17" t="s">
        <v>2254</v>
      </c>
      <c r="E4" s="17" t="s">
        <v>2255</v>
      </c>
      <c r="F4" s="17" t="s">
        <v>2256</v>
      </c>
      <c r="G4" s="21">
        <v>120.0</v>
      </c>
      <c r="H4" s="21">
        <v>120.0</v>
      </c>
      <c r="I4" s="21">
        <v>0.0</v>
      </c>
      <c r="J4" s="17" t="s">
        <v>2246</v>
      </c>
      <c r="K4" s="17" t="s">
        <v>2247</v>
      </c>
      <c r="L4" s="17" t="s">
        <v>2246</v>
      </c>
      <c r="M4" s="17" t="s">
        <v>2248</v>
      </c>
      <c r="N4" s="21">
        <f>IFERROR((C4-VLOOKUP(B4,crm_orders!$A:$S,2,FALSE))*24,0)</f>
        <v>240</v>
      </c>
      <c r="O4" s="19" t="str">
        <f>IFERROR(VLOOKUP(B4,crm_orders!$A:$S,3,FALSE),"")</f>
        <v>DSP0073</v>
      </c>
      <c r="P4" s="19" t="str">
        <f>IFERROR(VLOOKUP(B4,crm_orders!$A:$S,5,FALSE),"")</f>
        <v>OR</v>
      </c>
      <c r="Q4" s="19" t="str">
        <f>IFERROR(VLOOKUP(B4,crm_orders!$A:$S,7,FALSE),"")</f>
        <v>Wholesale</v>
      </c>
      <c r="R4" s="19" t="str">
        <f>IFERROR(VLOOKUP(B4,crm_orders!$A:$S,8,FALSE),"")</f>
        <v>SKU0001</v>
      </c>
    </row>
    <row r="5">
      <c r="A5" s="25" t="s">
        <v>2257</v>
      </c>
      <c r="B5" s="25" t="s">
        <v>852</v>
      </c>
      <c r="C5" s="26">
        <v>46123.0</v>
      </c>
      <c r="D5" s="25" t="s">
        <v>2250</v>
      </c>
      <c r="E5" s="25" t="s">
        <v>2255</v>
      </c>
      <c r="F5" s="25" t="s">
        <v>2258</v>
      </c>
      <c r="G5" s="29">
        <v>48.0</v>
      </c>
      <c r="H5" s="29">
        <v>48.0</v>
      </c>
      <c r="I5" s="29">
        <v>0.0</v>
      </c>
      <c r="J5" s="25" t="s">
        <v>2246</v>
      </c>
      <c r="K5" s="25" t="s">
        <v>2247</v>
      </c>
      <c r="L5" s="25" t="s">
        <v>2246</v>
      </c>
      <c r="M5" s="25" t="s">
        <v>2248</v>
      </c>
      <c r="N5" s="29">
        <f>IFERROR((C5-VLOOKUP(B5,crm_orders!$A:$S,2,FALSE))*24,0)</f>
        <v>72</v>
      </c>
      <c r="O5" s="27" t="str">
        <f>IFERROR(VLOOKUP(B5,crm_orders!$A:$S,3,FALSE),"")</f>
        <v>DSP0042</v>
      </c>
      <c r="P5" s="27" t="str">
        <f>IFERROR(VLOOKUP(B5,crm_orders!$A:$S,5,FALSE),"")</f>
        <v>NV</v>
      </c>
      <c r="Q5" s="27" t="str">
        <f>IFERROR(VLOOKUP(B5,crm_orders!$A:$S,7,FALSE),"")</f>
        <v>Wholesale</v>
      </c>
      <c r="R5" s="27" t="str">
        <f>IFERROR(VLOOKUP(B5,crm_orders!$A:$S,8,FALSE),"")</f>
        <v>SKU0011</v>
      </c>
    </row>
    <row r="6">
      <c r="A6" s="17" t="s">
        <v>2259</v>
      </c>
      <c r="B6" s="17" t="s">
        <v>1123</v>
      </c>
      <c r="C6" s="18">
        <v>46054.0</v>
      </c>
      <c r="D6" s="17" t="s">
        <v>2260</v>
      </c>
      <c r="E6" s="17" t="s">
        <v>2261</v>
      </c>
      <c r="F6" s="17" t="s">
        <v>2262</v>
      </c>
      <c r="G6" s="21">
        <v>120.0</v>
      </c>
      <c r="H6" s="21">
        <v>120.0</v>
      </c>
      <c r="I6" s="21">
        <v>0.0</v>
      </c>
      <c r="J6" s="17" t="s">
        <v>2246</v>
      </c>
      <c r="K6" s="17" t="s">
        <v>2247</v>
      </c>
      <c r="L6" s="17" t="s">
        <v>2246</v>
      </c>
      <c r="M6" s="17" t="s">
        <v>2248</v>
      </c>
      <c r="N6" s="21">
        <f>IFERROR((C6-VLOOKUP(B6,crm_orders!$A:$S,2,FALSE))*24,0)</f>
        <v>72</v>
      </c>
      <c r="O6" s="19" t="str">
        <f>IFERROR(VLOOKUP(B6,crm_orders!$A:$S,3,FALSE),"")</f>
        <v>DSP0007</v>
      </c>
      <c r="P6" s="19" t="str">
        <f>IFERROR(VLOOKUP(B6,crm_orders!$A:$S,5,FALSE),"")</f>
        <v>IL</v>
      </c>
      <c r="Q6" s="19" t="str">
        <f>IFERROR(VLOOKUP(B6,crm_orders!$A:$S,7,FALSE),"")</f>
        <v>Wholesale</v>
      </c>
      <c r="R6" s="19" t="str">
        <f>IFERROR(VLOOKUP(B6,crm_orders!$A:$S,8,FALSE),"")</f>
        <v>SKU0012</v>
      </c>
    </row>
    <row r="7">
      <c r="A7" s="25" t="s">
        <v>2263</v>
      </c>
      <c r="B7" s="25" t="s">
        <v>699</v>
      </c>
      <c r="C7" s="26">
        <v>46047.0</v>
      </c>
      <c r="D7" s="25" t="s">
        <v>2260</v>
      </c>
      <c r="E7" s="25" t="s">
        <v>2261</v>
      </c>
      <c r="F7" s="25" t="s">
        <v>2264</v>
      </c>
      <c r="G7" s="29">
        <v>24.0</v>
      </c>
      <c r="H7" s="29">
        <v>24.0</v>
      </c>
      <c r="I7" s="29">
        <v>0.0</v>
      </c>
      <c r="J7" s="25" t="s">
        <v>2246</v>
      </c>
      <c r="K7" s="25" t="s">
        <v>2247</v>
      </c>
      <c r="L7" s="25" t="s">
        <v>2246</v>
      </c>
      <c r="M7" s="25" t="s">
        <v>2248</v>
      </c>
      <c r="N7" s="29">
        <f>IFERROR((C7-VLOOKUP(B7,crm_orders!$A:$S,2,FALSE))*24,0)</f>
        <v>120</v>
      </c>
      <c r="O7" s="27" t="str">
        <f>IFERROR(VLOOKUP(B7,crm_orders!$A:$S,3,FALSE),"")</f>
        <v>DSP0003</v>
      </c>
      <c r="P7" s="27" t="str">
        <f>IFERROR(VLOOKUP(B7,crm_orders!$A:$S,5,FALSE),"")</f>
        <v>CA</v>
      </c>
      <c r="Q7" s="27" t="str">
        <f>IFERROR(VLOOKUP(B7,crm_orders!$A:$S,7,FALSE),"")</f>
        <v>Wholesale</v>
      </c>
      <c r="R7" s="27" t="str">
        <f>IFERROR(VLOOKUP(B7,crm_orders!$A:$S,8,FALSE),"")</f>
        <v>SKU0020</v>
      </c>
    </row>
    <row r="8">
      <c r="A8" s="17" t="s">
        <v>2265</v>
      </c>
      <c r="B8" s="17" t="s">
        <v>167</v>
      </c>
      <c r="C8" s="18">
        <v>46051.0</v>
      </c>
      <c r="D8" s="17" t="s">
        <v>2250</v>
      </c>
      <c r="E8" s="17" t="s">
        <v>2261</v>
      </c>
      <c r="F8" s="17" t="s">
        <v>2266</v>
      </c>
      <c r="G8" s="21">
        <v>30.0</v>
      </c>
      <c r="H8" s="21">
        <v>24.0</v>
      </c>
      <c r="I8" s="21">
        <v>6.0</v>
      </c>
      <c r="J8" s="17" t="s">
        <v>2246</v>
      </c>
      <c r="K8" s="17" t="s">
        <v>2246</v>
      </c>
      <c r="L8" s="17" t="s">
        <v>2246</v>
      </c>
      <c r="M8" s="17" t="s">
        <v>2267</v>
      </c>
      <c r="N8" s="21">
        <f>IFERROR((C8-VLOOKUP(B8,crm_orders!$A:$S,2,FALSE))*24,0)</f>
        <v>360</v>
      </c>
      <c r="O8" s="19" t="str">
        <f>IFERROR(VLOOKUP(B8,crm_orders!$A:$S,3,FALSE),"")</f>
        <v>DSP0081</v>
      </c>
      <c r="P8" s="19" t="str">
        <f>IFERROR(VLOOKUP(B8,crm_orders!$A:$S,5,FALSE),"")</f>
        <v>MO</v>
      </c>
      <c r="Q8" s="19" t="str">
        <f>IFERROR(VLOOKUP(B8,crm_orders!$A:$S,7,FALSE),"")</f>
        <v>Wholesale</v>
      </c>
      <c r="R8" s="19" t="str">
        <f>IFERROR(VLOOKUP(B8,crm_orders!$A:$S,8,FALSE),"")</f>
        <v>SKU0008</v>
      </c>
    </row>
    <row r="9">
      <c r="A9" s="25" t="s">
        <v>2268</v>
      </c>
      <c r="B9" s="25" t="s">
        <v>701</v>
      </c>
      <c r="C9" s="26">
        <v>46118.0</v>
      </c>
      <c r="D9" s="25" t="s">
        <v>2269</v>
      </c>
      <c r="E9" s="25" t="s">
        <v>2251</v>
      </c>
      <c r="F9" s="25" t="s">
        <v>2270</v>
      </c>
      <c r="G9" s="29">
        <v>18.0</v>
      </c>
      <c r="H9" s="29">
        <v>18.0</v>
      </c>
      <c r="I9" s="29">
        <v>0.0</v>
      </c>
      <c r="J9" s="25" t="s">
        <v>2247</v>
      </c>
      <c r="K9" s="25" t="s">
        <v>2247</v>
      </c>
      <c r="L9" s="25" t="s">
        <v>2247</v>
      </c>
      <c r="M9" s="25" t="s">
        <v>2248</v>
      </c>
      <c r="N9" s="29">
        <f>IFERROR((C9-VLOOKUP(B9,crm_orders!$A:$S,2,FALSE))*24,0)</f>
        <v>120</v>
      </c>
      <c r="O9" s="27" t="str">
        <f>IFERROR(VLOOKUP(B9,crm_orders!$A:$S,3,FALSE),"")</f>
        <v>DSP0082</v>
      </c>
      <c r="P9" s="27" t="str">
        <f>IFERROR(VLOOKUP(B9,crm_orders!$A:$S,5,FALSE),"")</f>
        <v>NM</v>
      </c>
      <c r="Q9" s="27" t="str">
        <f>IFERROR(VLOOKUP(B9,crm_orders!$A:$S,7,FALSE),"")</f>
        <v>Distributor</v>
      </c>
      <c r="R9" s="27" t="str">
        <f>IFERROR(VLOOKUP(B9,crm_orders!$A:$S,8,FALSE),"")</f>
        <v>SKU0015</v>
      </c>
    </row>
    <row r="10">
      <c r="A10" s="17" t="s">
        <v>2271</v>
      </c>
      <c r="B10" s="17" t="s">
        <v>703</v>
      </c>
      <c r="C10" s="18">
        <v>46088.0</v>
      </c>
      <c r="D10" s="17" t="s">
        <v>2269</v>
      </c>
      <c r="E10" s="17" t="s">
        <v>2244</v>
      </c>
      <c r="F10" s="17" t="s">
        <v>2272</v>
      </c>
      <c r="G10" s="21">
        <v>48.0</v>
      </c>
      <c r="H10" s="21">
        <v>48.0</v>
      </c>
      <c r="I10" s="21">
        <v>0.0</v>
      </c>
      <c r="J10" s="17" t="s">
        <v>2246</v>
      </c>
      <c r="K10" s="17" t="s">
        <v>2247</v>
      </c>
      <c r="L10" s="17" t="s">
        <v>2246</v>
      </c>
      <c r="M10" s="17" t="s">
        <v>2248</v>
      </c>
      <c r="N10" s="21">
        <f>IFERROR((C10-VLOOKUP(B10,crm_orders!$A:$S,2,FALSE))*24,0)</f>
        <v>144</v>
      </c>
      <c r="O10" s="19" t="str">
        <f>IFERROR(VLOOKUP(B10,crm_orders!$A:$S,3,FALSE),"")</f>
        <v>DSP0100</v>
      </c>
      <c r="P10" s="19" t="str">
        <f>IFERROR(VLOOKUP(B10,crm_orders!$A:$S,5,FALSE),"")</f>
        <v>CO</v>
      </c>
      <c r="Q10" s="19" t="str">
        <f>IFERROR(VLOOKUP(B10,crm_orders!$A:$S,7,FALSE),"")</f>
        <v>Wholesale</v>
      </c>
      <c r="R10" s="19" t="str">
        <f>IFERROR(VLOOKUP(B10,crm_orders!$A:$S,8,FALSE),"")</f>
        <v>SKU0016</v>
      </c>
    </row>
    <row r="11">
      <c r="A11" s="25" t="s">
        <v>2273</v>
      </c>
      <c r="B11" s="25" t="s">
        <v>954</v>
      </c>
      <c r="C11" s="26">
        <v>46063.0</v>
      </c>
      <c r="D11" s="25" t="s">
        <v>2260</v>
      </c>
      <c r="E11" s="25" t="s">
        <v>2255</v>
      </c>
      <c r="F11" s="25" t="s">
        <v>2274</v>
      </c>
      <c r="G11" s="29">
        <v>60.0</v>
      </c>
      <c r="H11" s="29">
        <v>60.0</v>
      </c>
      <c r="I11" s="29">
        <v>0.0</v>
      </c>
      <c r="J11" s="25" t="s">
        <v>2246</v>
      </c>
      <c r="K11" s="25" t="s">
        <v>2247</v>
      </c>
      <c r="L11" s="25" t="s">
        <v>2246</v>
      </c>
      <c r="M11" s="25" t="s">
        <v>2248</v>
      </c>
      <c r="N11" s="29">
        <f>IFERROR((C11-VLOOKUP(B11,crm_orders!$A:$S,2,FALSE))*24,0)</f>
        <v>216</v>
      </c>
      <c r="O11" s="27" t="str">
        <f>IFERROR(VLOOKUP(B11,crm_orders!$A:$S,3,FALSE),"")</f>
        <v>DSP0113</v>
      </c>
      <c r="P11" s="27" t="str">
        <f>IFERROR(VLOOKUP(B11,crm_orders!$A:$S,5,FALSE),"")</f>
        <v>AZ</v>
      </c>
      <c r="Q11" s="27" t="str">
        <f>IFERROR(VLOOKUP(B11,crm_orders!$A:$S,7,FALSE),"")</f>
        <v>Wholesale</v>
      </c>
      <c r="R11" s="27" t="str">
        <f>IFERROR(VLOOKUP(B11,crm_orders!$A:$S,8,FALSE),"")</f>
        <v>SKU0015</v>
      </c>
    </row>
    <row r="12">
      <c r="A12" s="17" t="s">
        <v>2275</v>
      </c>
      <c r="B12" s="17" t="s">
        <v>445</v>
      </c>
      <c r="C12" s="18">
        <v>46132.0</v>
      </c>
      <c r="D12" s="17" t="s">
        <v>2243</v>
      </c>
      <c r="E12" s="17" t="s">
        <v>2261</v>
      </c>
      <c r="F12" s="17" t="s">
        <v>2276</v>
      </c>
      <c r="G12" s="21">
        <v>30.0</v>
      </c>
      <c r="H12" s="21">
        <v>30.0</v>
      </c>
      <c r="I12" s="21">
        <v>0.0</v>
      </c>
      <c r="J12" s="17" t="s">
        <v>2246</v>
      </c>
      <c r="K12" s="17" t="s">
        <v>2247</v>
      </c>
      <c r="L12" s="17" t="s">
        <v>2246</v>
      </c>
      <c r="M12" s="17" t="s">
        <v>2248</v>
      </c>
      <c r="N12" s="21">
        <f>IFERROR((C12-VLOOKUP(B12,crm_orders!$A:$S,2,FALSE))*24,0)</f>
        <v>168</v>
      </c>
      <c r="O12" s="19" t="str">
        <f>IFERROR(VLOOKUP(B12,crm_orders!$A:$S,3,FALSE),"")</f>
        <v>DSP0028</v>
      </c>
      <c r="P12" s="19" t="str">
        <f>IFERROR(VLOOKUP(B12,crm_orders!$A:$S,5,FALSE),"")</f>
        <v>CO</v>
      </c>
      <c r="Q12" s="19" t="str">
        <f>IFERROR(VLOOKUP(B12,crm_orders!$A:$S,7,FALSE),"")</f>
        <v>Retail</v>
      </c>
      <c r="R12" s="19" t="str">
        <f>IFERROR(VLOOKUP(B12,crm_orders!$A:$S,8,FALSE),"")</f>
        <v>SKU0012</v>
      </c>
    </row>
    <row r="13">
      <c r="A13" s="25" t="s">
        <v>2277</v>
      </c>
      <c r="B13" s="25" t="s">
        <v>541</v>
      </c>
      <c r="C13" s="26">
        <v>46063.0</v>
      </c>
      <c r="D13" s="25" t="s">
        <v>2260</v>
      </c>
      <c r="E13" s="25" t="s">
        <v>2255</v>
      </c>
      <c r="F13" s="25" t="s">
        <v>2278</v>
      </c>
      <c r="G13" s="29">
        <v>48.0</v>
      </c>
      <c r="H13" s="29">
        <v>42.0</v>
      </c>
      <c r="I13" s="29">
        <v>6.0</v>
      </c>
      <c r="J13" s="25" t="s">
        <v>2246</v>
      </c>
      <c r="K13" s="25" t="s">
        <v>2246</v>
      </c>
      <c r="L13" s="25" t="s">
        <v>2246</v>
      </c>
      <c r="M13" s="25" t="s">
        <v>2267</v>
      </c>
      <c r="N13" s="29">
        <f>IFERROR((C13-VLOOKUP(B13,crm_orders!$A:$S,2,FALSE))*24,0)</f>
        <v>240</v>
      </c>
      <c r="O13" s="27" t="str">
        <f>IFERROR(VLOOKUP(B13,crm_orders!$A:$S,3,FALSE),"")</f>
        <v>DSP0025</v>
      </c>
      <c r="P13" s="27" t="str">
        <f>IFERROR(VLOOKUP(B13,crm_orders!$A:$S,5,FALSE),"")</f>
        <v>OR</v>
      </c>
      <c r="Q13" s="27" t="str">
        <f>IFERROR(VLOOKUP(B13,crm_orders!$A:$S,7,FALSE),"")</f>
        <v>Retail</v>
      </c>
      <c r="R13" s="27" t="str">
        <f>IFERROR(VLOOKUP(B13,crm_orders!$A:$S,8,FALSE),"")</f>
        <v>SKU0003</v>
      </c>
    </row>
    <row r="14">
      <c r="A14" s="17" t="s">
        <v>2279</v>
      </c>
      <c r="B14" s="17" t="s">
        <v>543</v>
      </c>
      <c r="C14" s="18">
        <v>46073.0</v>
      </c>
      <c r="D14" s="17" t="s">
        <v>2250</v>
      </c>
      <c r="E14" s="17" t="s">
        <v>2255</v>
      </c>
      <c r="F14" s="17" t="s">
        <v>2280</v>
      </c>
      <c r="G14" s="21">
        <v>60.0</v>
      </c>
      <c r="H14" s="21">
        <v>60.0</v>
      </c>
      <c r="I14" s="21">
        <v>0.0</v>
      </c>
      <c r="J14" s="17" t="s">
        <v>2246</v>
      </c>
      <c r="K14" s="17" t="s">
        <v>2247</v>
      </c>
      <c r="L14" s="17" t="s">
        <v>2246</v>
      </c>
      <c r="M14" s="17" t="s">
        <v>2248</v>
      </c>
      <c r="N14" s="21">
        <f>IFERROR((C14-VLOOKUP(B14,crm_orders!$A:$S,2,FALSE))*24,0)</f>
        <v>120</v>
      </c>
      <c r="O14" s="19" t="str">
        <f>IFERROR(VLOOKUP(B14,crm_orders!$A:$S,3,FALSE),"")</f>
        <v>DSP0071</v>
      </c>
      <c r="P14" s="19" t="str">
        <f>IFERROR(VLOOKUP(B14,crm_orders!$A:$S,5,FALSE),"")</f>
        <v>NY</v>
      </c>
      <c r="Q14" s="19" t="str">
        <f>IFERROR(VLOOKUP(B14,crm_orders!$A:$S,7,FALSE),"")</f>
        <v>Wholesale</v>
      </c>
      <c r="R14" s="19" t="str">
        <f>IFERROR(VLOOKUP(B14,crm_orders!$A:$S,8,FALSE),"")</f>
        <v>SKU0011</v>
      </c>
    </row>
    <row r="15">
      <c r="A15" s="25" t="s">
        <v>2281</v>
      </c>
      <c r="B15" s="25" t="s">
        <v>1074</v>
      </c>
      <c r="C15" s="26">
        <v>46057.0</v>
      </c>
      <c r="D15" s="25" t="s">
        <v>2254</v>
      </c>
      <c r="E15" s="25" t="s">
        <v>2255</v>
      </c>
      <c r="F15" s="25" t="s">
        <v>2282</v>
      </c>
      <c r="G15" s="29">
        <v>24.0</v>
      </c>
      <c r="H15" s="29">
        <v>24.0</v>
      </c>
      <c r="I15" s="29">
        <v>0.0</v>
      </c>
      <c r="J15" s="25" t="s">
        <v>2246</v>
      </c>
      <c r="K15" s="25" t="s">
        <v>2247</v>
      </c>
      <c r="L15" s="25" t="s">
        <v>2246</v>
      </c>
      <c r="M15" s="25" t="s">
        <v>2248</v>
      </c>
      <c r="N15" s="29">
        <f>IFERROR((C15-VLOOKUP(B15,crm_orders!$A:$S,2,FALSE))*24,0)</f>
        <v>240</v>
      </c>
      <c r="O15" s="27" t="str">
        <f>IFERROR(VLOOKUP(B15,crm_orders!$A:$S,3,FALSE),"")</f>
        <v>DSP0098</v>
      </c>
      <c r="P15" s="27" t="str">
        <f>IFERROR(VLOOKUP(B15,crm_orders!$A:$S,5,FALSE),"")</f>
        <v>WA</v>
      </c>
      <c r="Q15" s="27" t="str">
        <f>IFERROR(VLOOKUP(B15,crm_orders!$A:$S,7,FALSE),"")</f>
        <v>Wholesale</v>
      </c>
      <c r="R15" s="27" t="str">
        <f>IFERROR(VLOOKUP(B15,crm_orders!$A:$S,8,FALSE),"")</f>
        <v>SKU0006</v>
      </c>
    </row>
    <row r="16">
      <c r="A16" s="17" t="s">
        <v>2283</v>
      </c>
      <c r="B16" s="17" t="s">
        <v>447</v>
      </c>
      <c r="C16" s="18">
        <v>46068.0</v>
      </c>
      <c r="D16" s="17" t="s">
        <v>2254</v>
      </c>
      <c r="E16" s="17" t="s">
        <v>2255</v>
      </c>
      <c r="F16" s="17" t="s">
        <v>2284</v>
      </c>
      <c r="G16" s="21">
        <v>24.0</v>
      </c>
      <c r="H16" s="21">
        <v>24.0</v>
      </c>
      <c r="I16" s="21">
        <v>0.0</v>
      </c>
      <c r="J16" s="17" t="s">
        <v>2246</v>
      </c>
      <c r="K16" s="17" t="s">
        <v>2247</v>
      </c>
      <c r="L16" s="17" t="s">
        <v>2246</v>
      </c>
      <c r="M16" s="17" t="s">
        <v>2248</v>
      </c>
      <c r="N16" s="21">
        <f>IFERROR((C16-VLOOKUP(B16,crm_orders!$A:$S,2,FALSE))*24,0)</f>
        <v>192</v>
      </c>
      <c r="O16" s="19" t="str">
        <f>IFERROR(VLOOKUP(B16,crm_orders!$A:$S,3,FALSE),"")</f>
        <v>DSP0107</v>
      </c>
      <c r="P16" s="19" t="str">
        <f>IFERROR(VLOOKUP(B16,crm_orders!$A:$S,5,FALSE),"")</f>
        <v>NY</v>
      </c>
      <c r="Q16" s="19" t="str">
        <f>IFERROR(VLOOKUP(B16,crm_orders!$A:$S,7,FALSE),"")</f>
        <v>Retail</v>
      </c>
      <c r="R16" s="19" t="str">
        <f>IFERROR(VLOOKUP(B16,crm_orders!$A:$S,8,FALSE),"")</f>
        <v>SKU0007</v>
      </c>
    </row>
    <row r="17">
      <c r="A17" s="25" t="s">
        <v>2285</v>
      </c>
      <c r="B17" s="25" t="s">
        <v>545</v>
      </c>
      <c r="C17" s="26">
        <v>46113.0</v>
      </c>
      <c r="D17" s="25" t="s">
        <v>2269</v>
      </c>
      <c r="E17" s="25" t="s">
        <v>2286</v>
      </c>
      <c r="F17" s="25" t="s">
        <v>2287</v>
      </c>
      <c r="G17" s="29">
        <v>18.0</v>
      </c>
      <c r="H17" s="29">
        <v>18.0</v>
      </c>
      <c r="I17" s="29">
        <v>0.0</v>
      </c>
      <c r="J17" s="25" t="s">
        <v>2247</v>
      </c>
      <c r="K17" s="25" t="s">
        <v>2247</v>
      </c>
      <c r="L17" s="25" t="s">
        <v>2247</v>
      </c>
      <c r="M17" s="25" t="s">
        <v>2248</v>
      </c>
      <c r="N17" s="29">
        <f>IFERROR((C17-VLOOKUP(B17,crm_orders!$A:$S,2,FALSE))*24,0)</f>
        <v>24</v>
      </c>
      <c r="O17" s="27" t="str">
        <f>IFERROR(VLOOKUP(B17,crm_orders!$A:$S,3,FALSE),"")</f>
        <v>DSP0071</v>
      </c>
      <c r="P17" s="27" t="str">
        <f>IFERROR(VLOOKUP(B17,crm_orders!$A:$S,5,FALSE),"")</f>
        <v>NY</v>
      </c>
      <c r="Q17" s="27" t="str">
        <f>IFERROR(VLOOKUP(B17,crm_orders!$A:$S,7,FALSE),"")</f>
        <v>Wholesale</v>
      </c>
      <c r="R17" s="27" t="str">
        <f>IFERROR(VLOOKUP(B17,crm_orders!$A:$S,8,FALSE),"")</f>
        <v>SKU0010</v>
      </c>
    </row>
    <row r="18">
      <c r="A18" s="17" t="s">
        <v>2288</v>
      </c>
      <c r="B18" s="17" t="s">
        <v>449</v>
      </c>
      <c r="C18" s="18">
        <v>46049.0</v>
      </c>
      <c r="D18" s="17" t="s">
        <v>2260</v>
      </c>
      <c r="E18" s="17" t="s">
        <v>2286</v>
      </c>
      <c r="F18" s="17" t="s">
        <v>2289</v>
      </c>
      <c r="G18" s="21">
        <v>6.0</v>
      </c>
      <c r="H18" s="21">
        <v>6.0</v>
      </c>
      <c r="I18" s="21">
        <v>0.0</v>
      </c>
      <c r="J18" s="17" t="s">
        <v>2246</v>
      </c>
      <c r="K18" s="17" t="s">
        <v>2247</v>
      </c>
      <c r="L18" s="17" t="s">
        <v>2246</v>
      </c>
      <c r="M18" s="17" t="s">
        <v>2248</v>
      </c>
      <c r="N18" s="21">
        <f>IFERROR((C18-VLOOKUP(B18,crm_orders!$A:$S,2,FALSE))*24,0)</f>
        <v>72</v>
      </c>
      <c r="O18" s="19" t="str">
        <f>IFERROR(VLOOKUP(B18,crm_orders!$A:$S,3,FALSE),"")</f>
        <v>DSP0057</v>
      </c>
      <c r="P18" s="19" t="str">
        <f>IFERROR(VLOOKUP(B18,crm_orders!$A:$S,5,FALSE),"")</f>
        <v>MO</v>
      </c>
      <c r="Q18" s="19" t="str">
        <f>IFERROR(VLOOKUP(B18,crm_orders!$A:$S,7,FALSE),"")</f>
        <v>Wholesale</v>
      </c>
      <c r="R18" s="19" t="str">
        <f>IFERROR(VLOOKUP(B18,crm_orders!$A:$S,8,FALSE),"")</f>
        <v>SKU0011</v>
      </c>
    </row>
    <row r="19">
      <c r="A19" s="25" t="s">
        <v>2290</v>
      </c>
      <c r="B19" s="25" t="s">
        <v>69</v>
      </c>
      <c r="C19" s="26">
        <v>46132.0</v>
      </c>
      <c r="D19" s="25" t="s">
        <v>2260</v>
      </c>
      <c r="E19" s="25" t="s">
        <v>2244</v>
      </c>
      <c r="F19" s="25" t="s">
        <v>2291</v>
      </c>
      <c r="G19" s="29">
        <v>96.0</v>
      </c>
      <c r="H19" s="29">
        <v>96.0</v>
      </c>
      <c r="I19" s="29">
        <v>0.0</v>
      </c>
      <c r="J19" s="25" t="s">
        <v>2247</v>
      </c>
      <c r="K19" s="25" t="s">
        <v>2247</v>
      </c>
      <c r="L19" s="25" t="s">
        <v>2247</v>
      </c>
      <c r="M19" s="25" t="s">
        <v>2248</v>
      </c>
      <c r="N19" s="29">
        <f>IFERROR((C19-VLOOKUP(B19,crm_orders!$A:$S,2,FALSE))*24,0)</f>
        <v>192</v>
      </c>
      <c r="O19" s="27" t="str">
        <f>IFERROR(VLOOKUP(B19,crm_orders!$A:$S,3,FALSE),"")</f>
        <v>DSP0078</v>
      </c>
      <c r="P19" s="27" t="str">
        <f>IFERROR(VLOOKUP(B19,crm_orders!$A:$S,5,FALSE),"")</f>
        <v>NV</v>
      </c>
      <c r="Q19" s="27" t="str">
        <f>IFERROR(VLOOKUP(B19,crm_orders!$A:$S,7,FALSE),"")</f>
        <v>Wholesale</v>
      </c>
      <c r="R19" s="27" t="str">
        <f>IFERROR(VLOOKUP(B19,crm_orders!$A:$S,8,FALSE),"")</f>
        <v>SKU0020</v>
      </c>
    </row>
    <row r="20">
      <c r="A20" s="17" t="s">
        <v>2292</v>
      </c>
      <c r="B20" s="17" t="s">
        <v>172</v>
      </c>
      <c r="C20" s="18">
        <v>46101.0</v>
      </c>
      <c r="D20" s="17" t="s">
        <v>2269</v>
      </c>
      <c r="E20" s="17" t="s">
        <v>2286</v>
      </c>
      <c r="F20" s="17" t="s">
        <v>2293</v>
      </c>
      <c r="G20" s="21">
        <v>96.0</v>
      </c>
      <c r="H20" s="21">
        <v>96.0</v>
      </c>
      <c r="I20" s="21">
        <v>0.0</v>
      </c>
      <c r="J20" s="17" t="s">
        <v>2246</v>
      </c>
      <c r="K20" s="17" t="s">
        <v>2247</v>
      </c>
      <c r="L20" s="17" t="s">
        <v>2246</v>
      </c>
      <c r="M20" s="17" t="s">
        <v>2248</v>
      </c>
      <c r="N20" s="21">
        <f>IFERROR((C20-VLOOKUP(B20,crm_orders!$A:$S,2,FALSE))*24,0)</f>
        <v>144</v>
      </c>
      <c r="O20" s="19" t="str">
        <f>IFERROR(VLOOKUP(B20,crm_orders!$A:$S,3,FALSE),"")</f>
        <v>DSP0055</v>
      </c>
      <c r="P20" s="19" t="str">
        <f>IFERROR(VLOOKUP(B20,crm_orders!$A:$S,5,FALSE),"")</f>
        <v>IL</v>
      </c>
      <c r="Q20" s="19" t="str">
        <f>IFERROR(VLOOKUP(B20,crm_orders!$A:$S,7,FALSE),"")</f>
        <v>Wholesale</v>
      </c>
      <c r="R20" s="19" t="str">
        <f>IFERROR(VLOOKUP(B20,crm_orders!$A:$S,8,FALSE),"")</f>
        <v>SKU0010</v>
      </c>
    </row>
    <row r="21" ht="15.75" customHeight="1">
      <c r="A21" s="25" t="s">
        <v>2294</v>
      </c>
      <c r="B21" s="25" t="s">
        <v>173</v>
      </c>
      <c r="C21" s="26">
        <v>46063.0</v>
      </c>
      <c r="D21" s="25" t="s">
        <v>2254</v>
      </c>
      <c r="E21" s="25" t="s">
        <v>2251</v>
      </c>
      <c r="F21" s="25" t="s">
        <v>2295</v>
      </c>
      <c r="G21" s="29">
        <v>18.0</v>
      </c>
      <c r="H21" s="29">
        <v>18.0</v>
      </c>
      <c r="I21" s="29">
        <v>0.0</v>
      </c>
      <c r="J21" s="25" t="s">
        <v>2247</v>
      </c>
      <c r="K21" s="25" t="s">
        <v>2247</v>
      </c>
      <c r="L21" s="25" t="s">
        <v>2247</v>
      </c>
      <c r="M21" s="25" t="s">
        <v>2248</v>
      </c>
      <c r="N21" s="29">
        <f>IFERROR((C21-VLOOKUP(B21,crm_orders!$A:$S,2,FALSE))*24,0)</f>
        <v>240</v>
      </c>
      <c r="O21" s="27" t="str">
        <f>IFERROR(VLOOKUP(B21,crm_orders!$A:$S,3,FALSE),"")</f>
        <v>DSP0011</v>
      </c>
      <c r="P21" s="27" t="str">
        <f>IFERROR(VLOOKUP(B21,crm_orders!$A:$S,5,FALSE),"")</f>
        <v>NY</v>
      </c>
      <c r="Q21" s="27" t="str">
        <f>IFERROR(VLOOKUP(B21,crm_orders!$A:$S,7,FALSE),"")</f>
        <v>Wholesale</v>
      </c>
      <c r="R21" s="27" t="str">
        <f>IFERROR(VLOOKUP(B21,crm_orders!$A:$S,8,FALSE),"")</f>
        <v>SKU0006</v>
      </c>
    </row>
    <row r="22" ht="15.75" customHeight="1">
      <c r="A22" s="17" t="s">
        <v>2296</v>
      </c>
      <c r="B22" s="17" t="s">
        <v>705</v>
      </c>
      <c r="C22" s="18">
        <v>46131.0</v>
      </c>
      <c r="D22" s="17" t="s">
        <v>2260</v>
      </c>
      <c r="E22" s="17" t="s">
        <v>2251</v>
      </c>
      <c r="F22" s="17" t="s">
        <v>2297</v>
      </c>
      <c r="G22" s="21">
        <v>60.0</v>
      </c>
      <c r="H22" s="21">
        <v>60.0</v>
      </c>
      <c r="I22" s="21">
        <v>0.0</v>
      </c>
      <c r="J22" s="17" t="s">
        <v>2246</v>
      </c>
      <c r="K22" s="17" t="s">
        <v>2247</v>
      </c>
      <c r="L22" s="17" t="s">
        <v>2246</v>
      </c>
      <c r="M22" s="17" t="s">
        <v>2248</v>
      </c>
      <c r="N22" s="21">
        <f>IFERROR((C22-VLOOKUP(B22,crm_orders!$A:$S,2,FALSE))*24,0)</f>
        <v>456</v>
      </c>
      <c r="O22" s="19" t="str">
        <f>IFERROR(VLOOKUP(B22,crm_orders!$A:$S,3,FALSE),"")</f>
        <v>DSP0037</v>
      </c>
      <c r="P22" s="19" t="str">
        <f>IFERROR(VLOOKUP(B22,crm_orders!$A:$S,5,FALSE),"")</f>
        <v>OR</v>
      </c>
      <c r="Q22" s="19" t="str">
        <f>IFERROR(VLOOKUP(B22,crm_orders!$A:$S,7,FALSE),"")</f>
        <v>Wholesale</v>
      </c>
      <c r="R22" s="19" t="str">
        <f>IFERROR(VLOOKUP(B22,crm_orders!$A:$S,8,FALSE),"")</f>
        <v>SKU0010</v>
      </c>
    </row>
    <row r="23" ht="15.75" customHeight="1">
      <c r="A23" s="25" t="s">
        <v>2298</v>
      </c>
      <c r="B23" s="25" t="s">
        <v>175</v>
      </c>
      <c r="C23" s="26">
        <v>46093.0</v>
      </c>
      <c r="D23" s="25" t="s">
        <v>2260</v>
      </c>
      <c r="E23" s="25" t="s">
        <v>2261</v>
      </c>
      <c r="F23" s="25" t="s">
        <v>2299</v>
      </c>
      <c r="G23" s="29">
        <v>24.0</v>
      </c>
      <c r="H23" s="29">
        <v>24.0</v>
      </c>
      <c r="I23" s="29">
        <v>0.0</v>
      </c>
      <c r="J23" s="25" t="s">
        <v>2247</v>
      </c>
      <c r="K23" s="25" t="s">
        <v>2247</v>
      </c>
      <c r="L23" s="25" t="s">
        <v>2247</v>
      </c>
      <c r="M23" s="25" t="s">
        <v>2248</v>
      </c>
      <c r="N23" s="29">
        <f>IFERROR((C23-VLOOKUP(B23,crm_orders!$A:$S,2,FALSE))*24,0)</f>
        <v>24</v>
      </c>
      <c r="O23" s="27" t="str">
        <f>IFERROR(VLOOKUP(B23,crm_orders!$A:$S,3,FALSE),"")</f>
        <v>DSP0055</v>
      </c>
      <c r="P23" s="27" t="str">
        <f>IFERROR(VLOOKUP(B23,crm_orders!$A:$S,5,FALSE),"")</f>
        <v>IL</v>
      </c>
      <c r="Q23" s="27" t="str">
        <f>IFERROR(VLOOKUP(B23,crm_orders!$A:$S,7,FALSE),"")</f>
        <v>Distributor</v>
      </c>
      <c r="R23" s="27" t="str">
        <f>IFERROR(VLOOKUP(B23,crm_orders!$A:$S,8,FALSE),"")</f>
        <v>SKU0004</v>
      </c>
    </row>
    <row r="24" ht="15.75" customHeight="1">
      <c r="A24" s="17" t="s">
        <v>2300</v>
      </c>
      <c r="B24" s="17" t="s">
        <v>1125</v>
      </c>
      <c r="C24" s="18">
        <v>46101.0</v>
      </c>
      <c r="D24" s="17" t="s">
        <v>2254</v>
      </c>
      <c r="E24" s="17" t="s">
        <v>2286</v>
      </c>
      <c r="F24" s="17" t="s">
        <v>2301</v>
      </c>
      <c r="G24" s="21">
        <v>6.0</v>
      </c>
      <c r="H24" s="21">
        <v>0.0</v>
      </c>
      <c r="I24" s="21">
        <v>6.0</v>
      </c>
      <c r="J24" s="17" t="s">
        <v>2246</v>
      </c>
      <c r="K24" s="17" t="s">
        <v>2246</v>
      </c>
      <c r="L24" s="17" t="s">
        <v>2246</v>
      </c>
      <c r="M24" s="17" t="s">
        <v>2267</v>
      </c>
      <c r="N24" s="21">
        <f>IFERROR((C24-VLOOKUP(B24,crm_orders!$A:$S,2,FALSE))*24,0)</f>
        <v>72</v>
      </c>
      <c r="O24" s="19" t="str">
        <f>IFERROR(VLOOKUP(B24,crm_orders!$A:$S,3,FALSE),"")</f>
        <v>DSP0087</v>
      </c>
      <c r="P24" s="19" t="str">
        <f>IFERROR(VLOOKUP(B24,crm_orders!$A:$S,5,FALSE),"")</f>
        <v>CA</v>
      </c>
      <c r="Q24" s="19" t="str">
        <f>IFERROR(VLOOKUP(B24,crm_orders!$A:$S,7,FALSE),"")</f>
        <v>Wholesale</v>
      </c>
      <c r="R24" s="19" t="str">
        <f>IFERROR(VLOOKUP(B24,crm_orders!$A:$S,8,FALSE),"")</f>
        <v>SKU0019</v>
      </c>
    </row>
    <row r="25" ht="15.75" customHeight="1">
      <c r="A25" s="25" t="s">
        <v>2302</v>
      </c>
      <c r="B25" s="25" t="s">
        <v>1076</v>
      </c>
      <c r="C25" s="26">
        <v>46149.0</v>
      </c>
      <c r="D25" s="25" t="s">
        <v>2260</v>
      </c>
      <c r="E25" s="25" t="s">
        <v>2286</v>
      </c>
      <c r="F25" s="25" t="s">
        <v>2303</v>
      </c>
      <c r="G25" s="29">
        <v>30.0</v>
      </c>
      <c r="H25" s="29">
        <v>30.0</v>
      </c>
      <c r="I25" s="29">
        <v>0.0</v>
      </c>
      <c r="J25" s="25" t="s">
        <v>2246</v>
      </c>
      <c r="K25" s="25" t="s">
        <v>2247</v>
      </c>
      <c r="L25" s="25" t="s">
        <v>2246</v>
      </c>
      <c r="M25" s="25" t="s">
        <v>2248</v>
      </c>
      <c r="N25" s="29">
        <f>IFERROR((C25-VLOOKUP(B25,crm_orders!$A:$S,2,FALSE))*24,0)</f>
        <v>216</v>
      </c>
      <c r="O25" s="27" t="str">
        <f>IFERROR(VLOOKUP(B25,crm_orders!$A:$S,3,FALSE),"")</f>
        <v>DSP0067</v>
      </c>
      <c r="P25" s="27" t="str">
        <f>IFERROR(VLOOKUP(B25,crm_orders!$A:$S,5,FALSE),"")</f>
        <v>IL</v>
      </c>
      <c r="Q25" s="27" t="str">
        <f>IFERROR(VLOOKUP(B25,crm_orders!$A:$S,7,FALSE),"")</f>
        <v>Wholesale</v>
      </c>
      <c r="R25" s="27" t="str">
        <f>IFERROR(VLOOKUP(B25,crm_orders!$A:$S,8,FALSE),"")</f>
        <v>SKU0015</v>
      </c>
    </row>
    <row r="26" ht="15.75" customHeight="1">
      <c r="A26" s="17" t="s">
        <v>2304</v>
      </c>
      <c r="B26" s="17" t="s">
        <v>296</v>
      </c>
      <c r="C26" s="18">
        <v>46073.0</v>
      </c>
      <c r="D26" s="17" t="s">
        <v>2260</v>
      </c>
      <c r="E26" s="17" t="s">
        <v>2261</v>
      </c>
      <c r="F26" s="17" t="s">
        <v>2305</v>
      </c>
      <c r="G26" s="21">
        <v>120.0</v>
      </c>
      <c r="H26" s="21">
        <v>120.0</v>
      </c>
      <c r="I26" s="21">
        <v>0.0</v>
      </c>
      <c r="J26" s="17" t="s">
        <v>2246</v>
      </c>
      <c r="K26" s="17" t="s">
        <v>2247</v>
      </c>
      <c r="L26" s="17" t="s">
        <v>2246</v>
      </c>
      <c r="M26" s="17" t="s">
        <v>2248</v>
      </c>
      <c r="N26" s="21">
        <f>IFERROR((C26-VLOOKUP(B26,crm_orders!$A:$S,2,FALSE))*24,0)</f>
        <v>216</v>
      </c>
      <c r="O26" s="19" t="str">
        <f>IFERROR(VLOOKUP(B26,crm_orders!$A:$S,3,FALSE),"")</f>
        <v>DSP0053</v>
      </c>
      <c r="P26" s="19" t="str">
        <f>IFERROR(VLOOKUP(B26,crm_orders!$A:$S,5,FALSE),"")</f>
        <v>AZ</v>
      </c>
      <c r="Q26" s="19" t="str">
        <f>IFERROR(VLOOKUP(B26,crm_orders!$A:$S,7,FALSE),"")</f>
        <v>Wholesale</v>
      </c>
      <c r="R26" s="19" t="str">
        <f>IFERROR(VLOOKUP(B26,crm_orders!$A:$S,8,FALSE),"")</f>
        <v>SKU0011</v>
      </c>
    </row>
    <row r="27" ht="15.75" customHeight="1">
      <c r="A27" s="25" t="s">
        <v>2306</v>
      </c>
      <c r="B27" s="25" t="s">
        <v>707</v>
      </c>
      <c r="C27" s="26">
        <v>46036.0</v>
      </c>
      <c r="D27" s="25" t="s">
        <v>2254</v>
      </c>
      <c r="E27" s="25" t="s">
        <v>2286</v>
      </c>
      <c r="F27" s="25" t="s">
        <v>2307</v>
      </c>
      <c r="G27" s="29">
        <v>60.0</v>
      </c>
      <c r="H27" s="29">
        <v>60.0</v>
      </c>
      <c r="I27" s="29">
        <v>0.0</v>
      </c>
      <c r="J27" s="25" t="s">
        <v>2246</v>
      </c>
      <c r="K27" s="25" t="s">
        <v>2247</v>
      </c>
      <c r="L27" s="25" t="s">
        <v>2246</v>
      </c>
      <c r="M27" s="25" t="s">
        <v>2248</v>
      </c>
      <c r="N27" s="29">
        <f>IFERROR((C27-VLOOKUP(B27,crm_orders!$A:$S,2,FALSE))*24,0)</f>
        <v>216</v>
      </c>
      <c r="O27" s="27" t="str">
        <f>IFERROR(VLOOKUP(B27,crm_orders!$A:$S,3,FALSE),"")</f>
        <v>DSP0105</v>
      </c>
      <c r="P27" s="27" t="str">
        <f>IFERROR(VLOOKUP(B27,crm_orders!$A:$S,5,FALSE),"")</f>
        <v>MO</v>
      </c>
      <c r="Q27" s="27" t="str">
        <f>IFERROR(VLOOKUP(B27,crm_orders!$A:$S,7,FALSE),"")</f>
        <v>Wholesale</v>
      </c>
      <c r="R27" s="27" t="str">
        <f>IFERROR(VLOOKUP(B27,crm_orders!$A:$S,8,FALSE),"")</f>
        <v>SKU0018</v>
      </c>
    </row>
    <row r="28" ht="15.75" customHeight="1">
      <c r="A28" s="17" t="s">
        <v>2308</v>
      </c>
      <c r="B28" s="17" t="s">
        <v>176</v>
      </c>
      <c r="C28" s="18">
        <v>46119.0</v>
      </c>
      <c r="D28" s="17" t="s">
        <v>2254</v>
      </c>
      <c r="E28" s="17" t="s">
        <v>2261</v>
      </c>
      <c r="F28" s="17" t="s">
        <v>2309</v>
      </c>
      <c r="G28" s="21">
        <v>18.0</v>
      </c>
      <c r="H28" s="21">
        <v>0.0</v>
      </c>
      <c r="I28" s="21">
        <v>18.0</v>
      </c>
      <c r="J28" s="17" t="s">
        <v>2246</v>
      </c>
      <c r="K28" s="17" t="s">
        <v>2246</v>
      </c>
      <c r="L28" s="17" t="s">
        <v>2246</v>
      </c>
      <c r="M28" s="17" t="s">
        <v>2267</v>
      </c>
      <c r="N28" s="21">
        <f>IFERROR((C28-VLOOKUP(B28,crm_orders!$A:$S,2,FALSE))*24,0)</f>
        <v>144</v>
      </c>
      <c r="O28" s="19" t="str">
        <f>IFERROR(VLOOKUP(B28,crm_orders!$A:$S,3,FALSE),"")</f>
        <v>DSP0103</v>
      </c>
      <c r="P28" s="19" t="str">
        <f>IFERROR(VLOOKUP(B28,crm_orders!$A:$S,5,FALSE),"")</f>
        <v>IL</v>
      </c>
      <c r="Q28" s="19" t="str">
        <f>IFERROR(VLOOKUP(B28,crm_orders!$A:$S,7,FALSE),"")</f>
        <v>Wholesale</v>
      </c>
      <c r="R28" s="19" t="str">
        <f>IFERROR(VLOOKUP(B28,crm_orders!$A:$S,8,FALSE),"")</f>
        <v>SKU0008</v>
      </c>
    </row>
    <row r="29" ht="15.75" customHeight="1">
      <c r="A29" s="25" t="s">
        <v>2310</v>
      </c>
      <c r="B29" s="25" t="s">
        <v>76</v>
      </c>
      <c r="C29" s="26">
        <v>46111.0</v>
      </c>
      <c r="D29" s="25" t="s">
        <v>2243</v>
      </c>
      <c r="E29" s="25" t="s">
        <v>2255</v>
      </c>
      <c r="F29" s="25" t="s">
        <v>2311</v>
      </c>
      <c r="G29" s="29">
        <v>18.0</v>
      </c>
      <c r="H29" s="29">
        <v>0.0</v>
      </c>
      <c r="I29" s="29">
        <v>18.0</v>
      </c>
      <c r="J29" s="25" t="s">
        <v>2246</v>
      </c>
      <c r="K29" s="25" t="s">
        <v>2246</v>
      </c>
      <c r="L29" s="25" t="s">
        <v>2246</v>
      </c>
      <c r="M29" s="25" t="s">
        <v>2312</v>
      </c>
      <c r="N29" s="29">
        <f>IFERROR((C29-VLOOKUP(B29,crm_orders!$A:$S,2,FALSE))*24,0)</f>
        <v>144</v>
      </c>
      <c r="O29" s="27" t="str">
        <f>IFERROR(VLOOKUP(B29,crm_orders!$A:$S,3,FALSE),"")</f>
        <v>DSP0060</v>
      </c>
      <c r="P29" s="27" t="str">
        <f>IFERROR(VLOOKUP(B29,crm_orders!$A:$S,5,FALSE),"")</f>
        <v>OK</v>
      </c>
      <c r="Q29" s="27" t="str">
        <f>IFERROR(VLOOKUP(B29,crm_orders!$A:$S,7,FALSE),"")</f>
        <v>Wholesale</v>
      </c>
      <c r="R29" s="27" t="str">
        <f>IFERROR(VLOOKUP(B29,crm_orders!$A:$S,8,FALSE),"")</f>
        <v>SKU0004</v>
      </c>
    </row>
    <row r="30" ht="15.75" customHeight="1">
      <c r="A30" s="17" t="s">
        <v>2313</v>
      </c>
      <c r="B30" s="17" t="s">
        <v>854</v>
      </c>
      <c r="C30" s="18">
        <v>46084.0</v>
      </c>
      <c r="D30" s="17" t="s">
        <v>2269</v>
      </c>
      <c r="E30" s="17" t="s">
        <v>2244</v>
      </c>
      <c r="F30" s="17" t="s">
        <v>2314</v>
      </c>
      <c r="G30" s="21">
        <v>72.0</v>
      </c>
      <c r="H30" s="21">
        <v>72.0</v>
      </c>
      <c r="I30" s="21">
        <v>0.0</v>
      </c>
      <c r="J30" s="17" t="s">
        <v>2247</v>
      </c>
      <c r="K30" s="17" t="s">
        <v>2247</v>
      </c>
      <c r="L30" s="17" t="s">
        <v>2247</v>
      </c>
      <c r="M30" s="17" t="s">
        <v>2248</v>
      </c>
      <c r="N30" s="21">
        <f>IFERROR((C30-VLOOKUP(B30,crm_orders!$A:$S,2,FALSE))*24,0)</f>
        <v>72</v>
      </c>
      <c r="O30" s="19" t="str">
        <f>IFERROR(VLOOKUP(B30,crm_orders!$A:$S,3,FALSE),"")</f>
        <v>DSP0061</v>
      </c>
      <c r="P30" s="19" t="str">
        <f>IFERROR(VLOOKUP(B30,crm_orders!$A:$S,5,FALSE),"")</f>
        <v>OR</v>
      </c>
      <c r="Q30" s="19" t="str">
        <f>IFERROR(VLOOKUP(B30,crm_orders!$A:$S,7,FALSE),"")</f>
        <v>Wholesale</v>
      </c>
      <c r="R30" s="19" t="str">
        <f>IFERROR(VLOOKUP(B30,crm_orders!$A:$S,8,FALSE),"")</f>
        <v>SKU0008</v>
      </c>
    </row>
    <row r="31" ht="15.75" customHeight="1">
      <c r="A31" s="25" t="s">
        <v>2315</v>
      </c>
      <c r="B31" s="25" t="s">
        <v>956</v>
      </c>
      <c r="C31" s="26">
        <v>46075.0</v>
      </c>
      <c r="D31" s="25" t="s">
        <v>2254</v>
      </c>
      <c r="E31" s="25" t="s">
        <v>2244</v>
      </c>
      <c r="F31" s="25" t="s">
        <v>2316</v>
      </c>
      <c r="G31" s="29">
        <v>72.0</v>
      </c>
      <c r="H31" s="29">
        <v>72.0</v>
      </c>
      <c r="I31" s="29">
        <v>0.0</v>
      </c>
      <c r="J31" s="25" t="s">
        <v>2247</v>
      </c>
      <c r="K31" s="25" t="s">
        <v>2247</v>
      </c>
      <c r="L31" s="25" t="s">
        <v>2247</v>
      </c>
      <c r="M31" s="25" t="s">
        <v>2248</v>
      </c>
      <c r="N31" s="29">
        <f>IFERROR((C31-VLOOKUP(B31,crm_orders!$A:$S,2,FALSE))*24,0)</f>
        <v>216</v>
      </c>
      <c r="O31" s="27" t="str">
        <f>IFERROR(VLOOKUP(B31,crm_orders!$A:$S,3,FALSE),"")</f>
        <v>DSP0102</v>
      </c>
      <c r="P31" s="27" t="str">
        <f>IFERROR(VLOOKUP(B31,crm_orders!$A:$S,5,FALSE),"")</f>
        <v>NV</v>
      </c>
      <c r="Q31" s="27" t="str">
        <f>IFERROR(VLOOKUP(B31,crm_orders!$A:$S,7,FALSE),"")</f>
        <v>Retail</v>
      </c>
      <c r="R31" s="27" t="str">
        <f>IFERROR(VLOOKUP(B31,crm_orders!$A:$S,8,FALSE),"")</f>
        <v>SKU0014</v>
      </c>
    </row>
    <row r="32" ht="15.75" customHeight="1">
      <c r="A32" s="17" t="s">
        <v>2317</v>
      </c>
      <c r="B32" s="17" t="s">
        <v>1127</v>
      </c>
      <c r="C32" s="18">
        <v>46086.0</v>
      </c>
      <c r="D32" s="17" t="s">
        <v>2250</v>
      </c>
      <c r="E32" s="17" t="s">
        <v>2255</v>
      </c>
      <c r="F32" s="17" t="s">
        <v>2318</v>
      </c>
      <c r="G32" s="21">
        <v>72.0</v>
      </c>
      <c r="H32" s="21">
        <v>72.0</v>
      </c>
      <c r="I32" s="21">
        <v>0.0</v>
      </c>
      <c r="J32" s="17" t="s">
        <v>2247</v>
      </c>
      <c r="K32" s="17" t="s">
        <v>2247</v>
      </c>
      <c r="L32" s="17" t="s">
        <v>2247</v>
      </c>
      <c r="M32" s="17" t="s">
        <v>2248</v>
      </c>
      <c r="N32" s="21">
        <f>IFERROR((C32-VLOOKUP(B32,crm_orders!$A:$S,2,FALSE))*24,0)</f>
        <v>144</v>
      </c>
      <c r="O32" s="19" t="str">
        <f>IFERROR(VLOOKUP(B32,crm_orders!$A:$S,3,FALSE),"")</f>
        <v>DSP0111</v>
      </c>
      <c r="P32" s="19" t="str">
        <f>IFERROR(VLOOKUP(B32,crm_orders!$A:$S,5,FALSE),"")</f>
        <v>CA</v>
      </c>
      <c r="Q32" s="19" t="str">
        <f>IFERROR(VLOOKUP(B32,crm_orders!$A:$S,7,FALSE),"")</f>
        <v>Retail</v>
      </c>
      <c r="R32" s="19" t="str">
        <f>IFERROR(VLOOKUP(B32,crm_orders!$A:$S,8,FALSE),"")</f>
        <v>SKU0005</v>
      </c>
    </row>
    <row r="33" ht="15.75" customHeight="1">
      <c r="A33" s="25" t="s">
        <v>2319</v>
      </c>
      <c r="B33" s="25" t="s">
        <v>548</v>
      </c>
      <c r="C33" s="26">
        <v>46105.0</v>
      </c>
      <c r="D33" s="25" t="s">
        <v>2254</v>
      </c>
      <c r="E33" s="25" t="s">
        <v>2261</v>
      </c>
      <c r="F33" s="25" t="s">
        <v>2320</v>
      </c>
      <c r="G33" s="29">
        <v>48.0</v>
      </c>
      <c r="H33" s="29">
        <v>48.0</v>
      </c>
      <c r="I33" s="29">
        <v>0.0</v>
      </c>
      <c r="J33" s="25" t="s">
        <v>2246</v>
      </c>
      <c r="K33" s="25" t="s">
        <v>2247</v>
      </c>
      <c r="L33" s="25" t="s">
        <v>2246</v>
      </c>
      <c r="M33" s="25" t="s">
        <v>2248</v>
      </c>
      <c r="N33" s="29">
        <f>IFERROR((C33-VLOOKUP(B33,crm_orders!$A:$S,2,FALSE))*24,0)</f>
        <v>216</v>
      </c>
      <c r="O33" s="27" t="str">
        <f>IFERROR(VLOOKUP(B33,crm_orders!$A:$S,3,FALSE),"")</f>
        <v>DSP0025</v>
      </c>
      <c r="P33" s="27" t="str">
        <f>IFERROR(VLOOKUP(B33,crm_orders!$A:$S,5,FALSE),"")</f>
        <v>OR</v>
      </c>
      <c r="Q33" s="27" t="str">
        <f>IFERROR(VLOOKUP(B33,crm_orders!$A:$S,7,FALSE),"")</f>
        <v>Wholesale</v>
      </c>
      <c r="R33" s="27" t="str">
        <f>IFERROR(VLOOKUP(B33,crm_orders!$A:$S,8,FALSE),"")</f>
        <v>SKU0008</v>
      </c>
    </row>
    <row r="34" ht="15.75" customHeight="1">
      <c r="A34" s="17" t="s">
        <v>2321</v>
      </c>
      <c r="B34" s="17" t="s">
        <v>958</v>
      </c>
      <c r="C34" s="18">
        <v>46091.0</v>
      </c>
      <c r="D34" s="17" t="s">
        <v>2254</v>
      </c>
      <c r="E34" s="17" t="s">
        <v>2255</v>
      </c>
      <c r="F34" s="17" t="s">
        <v>2322</v>
      </c>
      <c r="G34" s="21">
        <v>6.0</v>
      </c>
      <c r="H34" s="21">
        <v>6.0</v>
      </c>
      <c r="I34" s="21">
        <v>0.0</v>
      </c>
      <c r="J34" s="17" t="s">
        <v>2246</v>
      </c>
      <c r="K34" s="17" t="s">
        <v>2247</v>
      </c>
      <c r="L34" s="17" t="s">
        <v>2246</v>
      </c>
      <c r="M34" s="17" t="s">
        <v>2248</v>
      </c>
      <c r="N34" s="21">
        <f>IFERROR((C34-VLOOKUP(B34,crm_orders!$A:$S,2,FALSE))*24,0)</f>
        <v>120</v>
      </c>
      <c r="O34" s="19" t="str">
        <f>IFERROR(VLOOKUP(B34,crm_orders!$A:$S,3,FALSE),"")</f>
        <v>DSP0050</v>
      </c>
      <c r="P34" s="19" t="str">
        <f>IFERROR(VLOOKUP(B34,crm_orders!$A:$S,5,FALSE),"")</f>
        <v>WA</v>
      </c>
      <c r="Q34" s="19" t="str">
        <f>IFERROR(VLOOKUP(B34,crm_orders!$A:$S,7,FALSE),"")</f>
        <v>Wholesale</v>
      </c>
      <c r="R34" s="19" t="str">
        <f>IFERROR(VLOOKUP(B34,crm_orders!$A:$S,8,FALSE),"")</f>
        <v>SKU0005</v>
      </c>
    </row>
    <row r="35" ht="15.75" customHeight="1">
      <c r="A35" s="25" t="s">
        <v>2323</v>
      </c>
      <c r="B35" s="25" t="s">
        <v>856</v>
      </c>
      <c r="C35" s="26">
        <v>46034.0</v>
      </c>
      <c r="D35" s="25" t="s">
        <v>2254</v>
      </c>
      <c r="E35" s="25" t="s">
        <v>2255</v>
      </c>
      <c r="F35" s="25" t="s">
        <v>2324</v>
      </c>
      <c r="G35" s="29">
        <v>18.0</v>
      </c>
      <c r="H35" s="29">
        <v>18.0</v>
      </c>
      <c r="I35" s="29">
        <v>0.0</v>
      </c>
      <c r="J35" s="25" t="s">
        <v>2246</v>
      </c>
      <c r="K35" s="25" t="s">
        <v>2247</v>
      </c>
      <c r="L35" s="25" t="s">
        <v>2246</v>
      </c>
      <c r="M35" s="25" t="s">
        <v>2248</v>
      </c>
      <c r="N35" s="29">
        <f>IFERROR((C35-VLOOKUP(B35,crm_orders!$A:$S,2,FALSE))*24,0)</f>
        <v>240</v>
      </c>
      <c r="O35" s="27" t="str">
        <f>IFERROR(VLOOKUP(B35,crm_orders!$A:$S,3,FALSE),"")</f>
        <v>DSP0068</v>
      </c>
      <c r="P35" s="27" t="str">
        <f>IFERROR(VLOOKUP(B35,crm_orders!$A:$S,5,FALSE),"")</f>
        <v>MI</v>
      </c>
      <c r="Q35" s="27" t="str">
        <f>IFERROR(VLOOKUP(B35,crm_orders!$A:$S,7,FALSE),"")</f>
        <v>Wholesale</v>
      </c>
      <c r="R35" s="27" t="str">
        <f>IFERROR(VLOOKUP(B35,crm_orders!$A:$S,8,FALSE),"")</f>
        <v>SKU0015</v>
      </c>
    </row>
    <row r="36" ht="15.75" customHeight="1">
      <c r="A36" s="17" t="s">
        <v>2325</v>
      </c>
      <c r="B36" s="17" t="s">
        <v>300</v>
      </c>
      <c r="C36" s="18">
        <v>46113.0</v>
      </c>
      <c r="D36" s="17" t="s">
        <v>2269</v>
      </c>
      <c r="E36" s="17" t="s">
        <v>2255</v>
      </c>
      <c r="F36" s="17" t="s">
        <v>2326</v>
      </c>
      <c r="G36" s="21">
        <v>12.0</v>
      </c>
      <c r="H36" s="21">
        <v>6.0</v>
      </c>
      <c r="I36" s="21">
        <v>6.0</v>
      </c>
      <c r="J36" s="17" t="s">
        <v>2247</v>
      </c>
      <c r="K36" s="17" t="s">
        <v>2246</v>
      </c>
      <c r="L36" s="17" t="s">
        <v>2246</v>
      </c>
      <c r="M36" s="17" t="s">
        <v>2267</v>
      </c>
      <c r="N36" s="21">
        <f>IFERROR((C36-VLOOKUP(B36,crm_orders!$A:$S,2,FALSE))*24,0)</f>
        <v>168</v>
      </c>
      <c r="O36" s="19" t="str">
        <f>IFERROR(VLOOKUP(B36,crm_orders!$A:$S,3,FALSE),"")</f>
        <v>DSP0080</v>
      </c>
      <c r="P36" s="19" t="str">
        <f>IFERROR(VLOOKUP(B36,crm_orders!$A:$S,5,FALSE),"")</f>
        <v>MI</v>
      </c>
      <c r="Q36" s="19" t="str">
        <f>IFERROR(VLOOKUP(B36,crm_orders!$A:$S,7,FALSE),"")</f>
        <v>Distributor</v>
      </c>
      <c r="R36" s="19" t="str">
        <f>IFERROR(VLOOKUP(B36,crm_orders!$A:$S,8,FALSE),"")</f>
        <v>SKU0013</v>
      </c>
    </row>
    <row r="37" ht="15.75" customHeight="1">
      <c r="A37" s="25" t="s">
        <v>2327</v>
      </c>
      <c r="B37" s="25" t="s">
        <v>178</v>
      </c>
      <c r="C37" s="26">
        <v>46140.0</v>
      </c>
      <c r="D37" s="25" t="s">
        <v>2260</v>
      </c>
      <c r="E37" s="25" t="s">
        <v>2261</v>
      </c>
      <c r="F37" s="25" t="s">
        <v>2328</v>
      </c>
      <c r="G37" s="29">
        <v>72.0</v>
      </c>
      <c r="H37" s="29">
        <v>72.0</v>
      </c>
      <c r="I37" s="29">
        <v>0.0</v>
      </c>
      <c r="J37" s="25" t="s">
        <v>2246</v>
      </c>
      <c r="K37" s="25" t="s">
        <v>2247</v>
      </c>
      <c r="L37" s="25" t="s">
        <v>2246</v>
      </c>
      <c r="M37" s="25" t="s">
        <v>2248</v>
      </c>
      <c r="N37" s="29">
        <f>IFERROR((C37-VLOOKUP(B37,crm_orders!$A:$S,2,FALSE))*24,0)</f>
        <v>144</v>
      </c>
      <c r="O37" s="27" t="str">
        <f>IFERROR(VLOOKUP(B37,crm_orders!$A:$S,3,FALSE),"")</f>
        <v>DSP0114</v>
      </c>
      <c r="P37" s="27" t="str">
        <f>IFERROR(VLOOKUP(B37,crm_orders!$A:$S,5,FALSE),"")</f>
        <v>NV</v>
      </c>
      <c r="Q37" s="27" t="str">
        <f>IFERROR(VLOOKUP(B37,crm_orders!$A:$S,7,FALSE),"")</f>
        <v>Wholesale</v>
      </c>
      <c r="R37" s="27" t="str">
        <f>IFERROR(VLOOKUP(B37,crm_orders!$A:$S,8,FALSE),"")</f>
        <v>SKU0016</v>
      </c>
    </row>
    <row r="38" ht="15.75" customHeight="1">
      <c r="A38" s="17" t="s">
        <v>2329</v>
      </c>
      <c r="B38" s="17" t="s">
        <v>302</v>
      </c>
      <c r="C38" s="18">
        <v>46125.0</v>
      </c>
      <c r="D38" s="17" t="s">
        <v>2260</v>
      </c>
      <c r="E38" s="17" t="s">
        <v>2255</v>
      </c>
      <c r="F38" s="17" t="s">
        <v>2330</v>
      </c>
      <c r="G38" s="21">
        <v>120.0</v>
      </c>
      <c r="H38" s="21">
        <v>120.0</v>
      </c>
      <c r="I38" s="21">
        <v>0.0</v>
      </c>
      <c r="J38" s="17" t="s">
        <v>2247</v>
      </c>
      <c r="K38" s="17" t="s">
        <v>2247</v>
      </c>
      <c r="L38" s="17" t="s">
        <v>2247</v>
      </c>
      <c r="M38" s="17" t="s">
        <v>2248</v>
      </c>
      <c r="N38" s="21">
        <f>IFERROR((C38-VLOOKUP(B38,crm_orders!$A:$S,2,FALSE))*24,0)</f>
        <v>120</v>
      </c>
      <c r="O38" s="19" t="str">
        <f>IFERROR(VLOOKUP(B38,crm_orders!$A:$S,3,FALSE),"")</f>
        <v>DSP0056</v>
      </c>
      <c r="P38" s="19" t="str">
        <f>IFERROR(VLOOKUP(B38,crm_orders!$A:$S,5,FALSE),"")</f>
        <v>MI</v>
      </c>
      <c r="Q38" s="19" t="str">
        <f>IFERROR(VLOOKUP(B38,crm_orders!$A:$S,7,FALSE),"")</f>
        <v>Wholesale</v>
      </c>
      <c r="R38" s="19" t="str">
        <f>IFERROR(VLOOKUP(B38,crm_orders!$A:$S,8,FALSE),"")</f>
        <v>SKU0004</v>
      </c>
    </row>
    <row r="39" ht="15.75" customHeight="1">
      <c r="A39" s="25" t="s">
        <v>2331</v>
      </c>
      <c r="B39" s="25" t="s">
        <v>959</v>
      </c>
      <c r="C39" s="26">
        <v>46072.0</v>
      </c>
      <c r="D39" s="25" t="s">
        <v>2250</v>
      </c>
      <c r="E39" s="25" t="s">
        <v>2286</v>
      </c>
      <c r="F39" s="25" t="s">
        <v>2332</v>
      </c>
      <c r="G39" s="29">
        <v>36.0</v>
      </c>
      <c r="H39" s="29">
        <v>36.0</v>
      </c>
      <c r="I39" s="29">
        <v>0.0</v>
      </c>
      <c r="J39" s="25" t="s">
        <v>2246</v>
      </c>
      <c r="K39" s="25" t="s">
        <v>2247</v>
      </c>
      <c r="L39" s="25" t="s">
        <v>2246</v>
      </c>
      <c r="M39" s="25" t="s">
        <v>2248</v>
      </c>
      <c r="N39" s="29">
        <f>IFERROR((C39-VLOOKUP(B39,crm_orders!$A:$S,2,FALSE))*24,0)</f>
        <v>288</v>
      </c>
      <c r="O39" s="27" t="str">
        <f>IFERROR(VLOOKUP(B39,crm_orders!$A:$S,3,FALSE),"")</f>
        <v>DSP0102</v>
      </c>
      <c r="P39" s="27" t="str">
        <f>IFERROR(VLOOKUP(B39,crm_orders!$A:$S,5,FALSE),"")</f>
        <v>NV</v>
      </c>
      <c r="Q39" s="27" t="str">
        <f>IFERROR(VLOOKUP(B39,crm_orders!$A:$S,7,FALSE),"")</f>
        <v>Wholesale</v>
      </c>
      <c r="R39" s="27" t="str">
        <f>IFERROR(VLOOKUP(B39,crm_orders!$A:$S,8,FALSE),"")</f>
        <v>SKU0002</v>
      </c>
    </row>
    <row r="40" ht="15.75" customHeight="1">
      <c r="A40" s="17" t="s">
        <v>2333</v>
      </c>
      <c r="B40" s="17" t="s">
        <v>1128</v>
      </c>
      <c r="C40" s="18">
        <v>46105.0</v>
      </c>
      <c r="D40" s="17" t="s">
        <v>2269</v>
      </c>
      <c r="E40" s="17" t="s">
        <v>2251</v>
      </c>
      <c r="F40" s="17" t="s">
        <v>2334</v>
      </c>
      <c r="G40" s="21">
        <v>48.0</v>
      </c>
      <c r="H40" s="21">
        <v>48.0</v>
      </c>
      <c r="I40" s="21">
        <v>0.0</v>
      </c>
      <c r="J40" s="17" t="s">
        <v>2246</v>
      </c>
      <c r="K40" s="17" t="s">
        <v>2247</v>
      </c>
      <c r="L40" s="17" t="s">
        <v>2246</v>
      </c>
      <c r="M40" s="17" t="s">
        <v>2248</v>
      </c>
      <c r="N40" s="21">
        <f>IFERROR((C40-VLOOKUP(B40,crm_orders!$A:$S,2,FALSE))*24,0)</f>
        <v>96</v>
      </c>
      <c r="O40" s="19" t="str">
        <f>IFERROR(VLOOKUP(B40,crm_orders!$A:$S,3,FALSE),"")</f>
        <v>DSP0023</v>
      </c>
      <c r="P40" s="19" t="str">
        <f>IFERROR(VLOOKUP(B40,crm_orders!$A:$S,5,FALSE),"")</f>
        <v>NY</v>
      </c>
      <c r="Q40" s="19" t="str">
        <f>IFERROR(VLOOKUP(B40,crm_orders!$A:$S,7,FALSE),"")</f>
        <v>Distributor</v>
      </c>
      <c r="R40" s="19" t="str">
        <f>IFERROR(VLOOKUP(B40,crm_orders!$A:$S,8,FALSE),"")</f>
        <v>SKU0003</v>
      </c>
    </row>
    <row r="41" ht="15.75" customHeight="1">
      <c r="A41" s="25" t="s">
        <v>2335</v>
      </c>
      <c r="B41" s="25" t="s">
        <v>962</v>
      </c>
      <c r="C41" s="26">
        <v>46066.0</v>
      </c>
      <c r="D41" s="25" t="s">
        <v>2254</v>
      </c>
      <c r="E41" s="25" t="s">
        <v>2286</v>
      </c>
      <c r="F41" s="25" t="s">
        <v>2336</v>
      </c>
      <c r="G41" s="29">
        <v>120.0</v>
      </c>
      <c r="H41" s="29">
        <v>120.0</v>
      </c>
      <c r="I41" s="29">
        <v>0.0</v>
      </c>
      <c r="J41" s="25" t="s">
        <v>2247</v>
      </c>
      <c r="K41" s="25" t="s">
        <v>2247</v>
      </c>
      <c r="L41" s="25" t="s">
        <v>2247</v>
      </c>
      <c r="M41" s="25" t="s">
        <v>2248</v>
      </c>
      <c r="N41" s="29">
        <f>IFERROR((C41-VLOOKUP(B41,crm_orders!$A:$S,2,FALSE))*24,0)</f>
        <v>120</v>
      </c>
      <c r="O41" s="27" t="str">
        <f>IFERROR(VLOOKUP(B41,crm_orders!$A:$S,3,FALSE),"")</f>
        <v>DSP0045</v>
      </c>
      <c r="P41" s="27" t="str">
        <f>IFERROR(VLOOKUP(B41,crm_orders!$A:$S,5,FALSE),"")</f>
        <v>MO</v>
      </c>
      <c r="Q41" s="27" t="str">
        <f>IFERROR(VLOOKUP(B41,crm_orders!$A:$S,7,FALSE),"")</f>
        <v>Wholesale</v>
      </c>
      <c r="R41" s="27" t="str">
        <f>IFERROR(VLOOKUP(B41,crm_orders!$A:$S,8,FALSE),"")</f>
        <v>SKU0019</v>
      </c>
    </row>
    <row r="42" ht="15.75" customHeight="1">
      <c r="A42" s="17" t="s">
        <v>2337</v>
      </c>
      <c r="B42" s="17" t="s">
        <v>1130</v>
      </c>
      <c r="C42" s="18">
        <v>46060.0</v>
      </c>
      <c r="D42" s="17" t="s">
        <v>2254</v>
      </c>
      <c r="E42" s="17" t="s">
        <v>2261</v>
      </c>
      <c r="F42" s="17" t="s">
        <v>2338</v>
      </c>
      <c r="G42" s="21">
        <v>48.0</v>
      </c>
      <c r="H42" s="21">
        <v>0.0</v>
      </c>
      <c r="I42" s="21">
        <v>48.0</v>
      </c>
      <c r="J42" s="17" t="s">
        <v>2246</v>
      </c>
      <c r="K42" s="17" t="s">
        <v>2246</v>
      </c>
      <c r="L42" s="17" t="s">
        <v>2246</v>
      </c>
      <c r="M42" s="17" t="s">
        <v>2312</v>
      </c>
      <c r="N42" s="21">
        <f>IFERROR((C42-VLOOKUP(B42,crm_orders!$A:$S,2,FALSE))*24,0)</f>
        <v>168</v>
      </c>
      <c r="O42" s="19" t="str">
        <f>IFERROR(VLOOKUP(B42,crm_orders!$A:$S,3,FALSE),"")</f>
        <v>DSP0062</v>
      </c>
      <c r="P42" s="19" t="str">
        <f>IFERROR(VLOOKUP(B42,crm_orders!$A:$S,5,FALSE),"")</f>
        <v>WA</v>
      </c>
      <c r="Q42" s="19" t="str">
        <f>IFERROR(VLOOKUP(B42,crm_orders!$A:$S,7,FALSE),"")</f>
        <v>Distributor</v>
      </c>
      <c r="R42" s="19" t="str">
        <f>IFERROR(VLOOKUP(B42,crm_orders!$A:$S,8,FALSE),"")</f>
        <v>SKU0004</v>
      </c>
    </row>
    <row r="43" ht="15.75" customHeight="1">
      <c r="A43" s="25" t="s">
        <v>2339</v>
      </c>
      <c r="B43" s="25" t="s">
        <v>858</v>
      </c>
      <c r="C43" s="26">
        <v>46036.0</v>
      </c>
      <c r="D43" s="25" t="s">
        <v>2254</v>
      </c>
      <c r="E43" s="25" t="s">
        <v>2286</v>
      </c>
      <c r="F43" s="25" t="s">
        <v>2340</v>
      </c>
      <c r="G43" s="29">
        <v>96.0</v>
      </c>
      <c r="H43" s="29">
        <v>96.0</v>
      </c>
      <c r="I43" s="29">
        <v>0.0</v>
      </c>
      <c r="J43" s="25" t="s">
        <v>2246</v>
      </c>
      <c r="K43" s="25" t="s">
        <v>2247</v>
      </c>
      <c r="L43" s="25" t="s">
        <v>2246</v>
      </c>
      <c r="M43" s="25" t="s">
        <v>2248</v>
      </c>
      <c r="N43" s="29">
        <f>IFERROR((C43-VLOOKUP(B43,crm_orders!$A:$S,2,FALSE))*24,0)</f>
        <v>288</v>
      </c>
      <c r="O43" s="27" t="str">
        <f>IFERROR(VLOOKUP(B43,crm_orders!$A:$S,3,FALSE),"")</f>
        <v>DSP0051</v>
      </c>
      <c r="P43" s="27" t="str">
        <f>IFERROR(VLOOKUP(B43,crm_orders!$A:$S,5,FALSE),"")</f>
        <v>CA</v>
      </c>
      <c r="Q43" s="27" t="str">
        <f>IFERROR(VLOOKUP(B43,crm_orders!$A:$S,7,FALSE),"")</f>
        <v>Distributor</v>
      </c>
      <c r="R43" s="27" t="str">
        <f>IFERROR(VLOOKUP(B43,crm_orders!$A:$S,8,FALSE),"")</f>
        <v>SKU0009</v>
      </c>
    </row>
    <row r="44" ht="15.75" customHeight="1">
      <c r="A44" s="17" t="s">
        <v>2341</v>
      </c>
      <c r="B44" s="17" t="s">
        <v>860</v>
      </c>
      <c r="C44" s="18">
        <v>46134.0</v>
      </c>
      <c r="D44" s="17" t="s">
        <v>2269</v>
      </c>
      <c r="E44" s="17" t="s">
        <v>2244</v>
      </c>
      <c r="F44" s="17" t="s">
        <v>2342</v>
      </c>
      <c r="G44" s="21">
        <v>24.0</v>
      </c>
      <c r="H44" s="21">
        <v>24.0</v>
      </c>
      <c r="I44" s="21">
        <v>0.0</v>
      </c>
      <c r="J44" s="17" t="s">
        <v>2246</v>
      </c>
      <c r="K44" s="17" t="s">
        <v>2247</v>
      </c>
      <c r="L44" s="17" t="s">
        <v>2246</v>
      </c>
      <c r="M44" s="17" t="s">
        <v>2248</v>
      </c>
      <c r="N44" s="21">
        <f>IFERROR((C44-VLOOKUP(B44,crm_orders!$A:$S,2,FALSE))*24,0)</f>
        <v>288</v>
      </c>
      <c r="O44" s="19" t="str">
        <f>IFERROR(VLOOKUP(B44,crm_orders!$A:$S,3,FALSE),"")</f>
        <v>DSP0116</v>
      </c>
      <c r="P44" s="19" t="str">
        <f>IFERROR(VLOOKUP(B44,crm_orders!$A:$S,5,FALSE),"")</f>
        <v>MI</v>
      </c>
      <c r="Q44" s="19" t="str">
        <f>IFERROR(VLOOKUP(B44,crm_orders!$A:$S,7,FALSE),"")</f>
        <v>Wholesale</v>
      </c>
      <c r="R44" s="19" t="str">
        <f>IFERROR(VLOOKUP(B44,crm_orders!$A:$S,8,FALSE),"")</f>
        <v>SKU0010</v>
      </c>
    </row>
    <row r="45" ht="15.75" customHeight="1">
      <c r="A45" s="25" t="s">
        <v>2343</v>
      </c>
      <c r="B45" s="25" t="s">
        <v>180</v>
      </c>
      <c r="C45" s="26">
        <v>46120.0</v>
      </c>
      <c r="D45" s="25" t="s">
        <v>2260</v>
      </c>
      <c r="E45" s="25" t="s">
        <v>2255</v>
      </c>
      <c r="F45" s="25" t="s">
        <v>2344</v>
      </c>
      <c r="G45" s="29">
        <v>12.0</v>
      </c>
      <c r="H45" s="29">
        <v>12.0</v>
      </c>
      <c r="I45" s="29">
        <v>0.0</v>
      </c>
      <c r="J45" s="25" t="s">
        <v>2246</v>
      </c>
      <c r="K45" s="25" t="s">
        <v>2247</v>
      </c>
      <c r="L45" s="25" t="s">
        <v>2246</v>
      </c>
      <c r="M45" s="25" t="s">
        <v>2248</v>
      </c>
      <c r="N45" s="29">
        <f>IFERROR((C45-VLOOKUP(B45,crm_orders!$A:$S,2,FALSE))*24,0)</f>
        <v>408</v>
      </c>
      <c r="O45" s="27" t="str">
        <f>IFERROR(VLOOKUP(B45,crm_orders!$A:$S,3,FALSE),"")</f>
        <v>DSP0099</v>
      </c>
      <c r="P45" s="27" t="str">
        <f>IFERROR(VLOOKUP(B45,crm_orders!$A:$S,5,FALSE),"")</f>
        <v>CA</v>
      </c>
      <c r="Q45" s="27" t="str">
        <f>IFERROR(VLOOKUP(B45,crm_orders!$A:$S,7,FALSE),"")</f>
        <v>Wholesale</v>
      </c>
      <c r="R45" s="27" t="str">
        <f>IFERROR(VLOOKUP(B45,crm_orders!$A:$S,8,FALSE),"")</f>
        <v>SKU0005</v>
      </c>
    </row>
    <row r="46" ht="15.75" customHeight="1">
      <c r="A46" s="17" t="s">
        <v>2345</v>
      </c>
      <c r="B46" s="17" t="s">
        <v>1078</v>
      </c>
      <c r="C46" s="18">
        <v>46143.0</v>
      </c>
      <c r="D46" s="17" t="s">
        <v>2260</v>
      </c>
      <c r="E46" s="17" t="s">
        <v>2261</v>
      </c>
      <c r="F46" s="17" t="s">
        <v>2346</v>
      </c>
      <c r="G46" s="21">
        <v>18.0</v>
      </c>
      <c r="H46" s="21">
        <v>18.0</v>
      </c>
      <c r="I46" s="21">
        <v>0.0</v>
      </c>
      <c r="J46" s="17" t="s">
        <v>2246</v>
      </c>
      <c r="K46" s="17" t="s">
        <v>2247</v>
      </c>
      <c r="L46" s="17" t="s">
        <v>2246</v>
      </c>
      <c r="M46" s="17" t="s">
        <v>2248</v>
      </c>
      <c r="N46" s="21">
        <f>IFERROR((C46-VLOOKUP(B46,crm_orders!$A:$S,2,FALSE))*24,0)</f>
        <v>336</v>
      </c>
      <c r="O46" s="19" t="str">
        <f>IFERROR(VLOOKUP(B46,crm_orders!$A:$S,3,FALSE),"")</f>
        <v>DSP0065</v>
      </c>
      <c r="P46" s="19" t="str">
        <f>IFERROR(VLOOKUP(B46,crm_orders!$A:$S,5,FALSE),"")</f>
        <v>AZ</v>
      </c>
      <c r="Q46" s="19" t="str">
        <f>IFERROR(VLOOKUP(B46,crm_orders!$A:$S,7,FALSE),"")</f>
        <v>Wholesale</v>
      </c>
      <c r="R46" s="19" t="str">
        <f>IFERROR(VLOOKUP(B46,crm_orders!$A:$S,8,FALSE),"")</f>
        <v>SKU0009</v>
      </c>
    </row>
    <row r="47" ht="15.75" customHeight="1">
      <c r="A47" s="25" t="s">
        <v>2347</v>
      </c>
      <c r="B47" s="25" t="s">
        <v>1132</v>
      </c>
      <c r="C47" s="26">
        <v>46040.0</v>
      </c>
      <c r="D47" s="25" t="s">
        <v>2260</v>
      </c>
      <c r="E47" s="25" t="s">
        <v>2261</v>
      </c>
      <c r="F47" s="25" t="s">
        <v>2348</v>
      </c>
      <c r="G47" s="29">
        <v>18.0</v>
      </c>
      <c r="H47" s="29">
        <v>0.0</v>
      </c>
      <c r="I47" s="29">
        <v>18.0</v>
      </c>
      <c r="J47" s="25" t="s">
        <v>2246</v>
      </c>
      <c r="K47" s="25" t="s">
        <v>2246</v>
      </c>
      <c r="L47" s="25" t="s">
        <v>2246</v>
      </c>
      <c r="M47" s="25" t="s">
        <v>2312</v>
      </c>
      <c r="N47" s="29">
        <f>IFERROR((C47-VLOOKUP(B47,crm_orders!$A:$S,2,FALSE))*24,0)</f>
        <v>192</v>
      </c>
      <c r="O47" s="27" t="str">
        <f>IFERROR(VLOOKUP(B47,crm_orders!$A:$S,3,FALSE),"")</f>
        <v>DSP0015</v>
      </c>
      <c r="P47" s="27" t="str">
        <f>IFERROR(VLOOKUP(B47,crm_orders!$A:$S,5,FALSE),"")</f>
        <v>CA</v>
      </c>
      <c r="Q47" s="27" t="str">
        <f>IFERROR(VLOOKUP(B47,crm_orders!$A:$S,7,FALSE),"")</f>
        <v>Retail</v>
      </c>
      <c r="R47" s="27" t="str">
        <f>IFERROR(VLOOKUP(B47,crm_orders!$A:$S,8,FALSE),"")</f>
        <v>SKU0015</v>
      </c>
    </row>
    <row r="48" ht="15.75" customHeight="1">
      <c r="A48" s="17" t="s">
        <v>2349</v>
      </c>
      <c r="B48" s="17" t="s">
        <v>964</v>
      </c>
      <c r="C48" s="18">
        <v>46130.0</v>
      </c>
      <c r="D48" s="17" t="s">
        <v>2243</v>
      </c>
      <c r="E48" s="17" t="s">
        <v>2261</v>
      </c>
      <c r="F48" s="17" t="s">
        <v>2350</v>
      </c>
      <c r="G48" s="21">
        <v>48.0</v>
      </c>
      <c r="H48" s="21">
        <v>12.0</v>
      </c>
      <c r="I48" s="21">
        <v>36.0</v>
      </c>
      <c r="J48" s="17" t="s">
        <v>2246</v>
      </c>
      <c r="K48" s="17" t="s">
        <v>2246</v>
      </c>
      <c r="L48" s="17" t="s">
        <v>2246</v>
      </c>
      <c r="M48" s="17" t="s">
        <v>2267</v>
      </c>
      <c r="N48" s="21">
        <f>IFERROR((C48-VLOOKUP(B48,crm_orders!$A:$S,2,FALSE))*24,0)</f>
        <v>144</v>
      </c>
      <c r="O48" s="19" t="str">
        <f>IFERROR(VLOOKUP(B48,crm_orders!$A:$S,3,FALSE),"")</f>
        <v>DSP0047</v>
      </c>
      <c r="P48" s="19" t="str">
        <f>IFERROR(VLOOKUP(B48,crm_orders!$A:$S,5,FALSE),"")</f>
        <v>NY</v>
      </c>
      <c r="Q48" s="19" t="str">
        <f>IFERROR(VLOOKUP(B48,crm_orders!$A:$S,7,FALSE),"")</f>
        <v>Wholesale</v>
      </c>
      <c r="R48" s="19" t="str">
        <f>IFERROR(VLOOKUP(B48,crm_orders!$A:$S,8,FALSE),"")</f>
        <v>SKU0003</v>
      </c>
    </row>
    <row r="49" ht="15.75" customHeight="1">
      <c r="A49" s="25" t="s">
        <v>2351</v>
      </c>
      <c r="B49" s="25" t="s">
        <v>306</v>
      </c>
      <c r="C49" s="26">
        <v>46124.0</v>
      </c>
      <c r="D49" s="25" t="s">
        <v>2243</v>
      </c>
      <c r="E49" s="25" t="s">
        <v>2261</v>
      </c>
      <c r="F49" s="25" t="s">
        <v>2352</v>
      </c>
      <c r="G49" s="29">
        <v>24.0</v>
      </c>
      <c r="H49" s="29">
        <v>24.0</v>
      </c>
      <c r="I49" s="29">
        <v>0.0</v>
      </c>
      <c r="J49" s="25" t="s">
        <v>2246</v>
      </c>
      <c r="K49" s="25" t="s">
        <v>2247</v>
      </c>
      <c r="L49" s="25" t="s">
        <v>2246</v>
      </c>
      <c r="M49" s="25" t="s">
        <v>2248</v>
      </c>
      <c r="N49" s="29">
        <f>IFERROR((C49-VLOOKUP(B49,crm_orders!$A:$S,2,FALSE))*24,0)</f>
        <v>360</v>
      </c>
      <c r="O49" s="27" t="str">
        <f>IFERROR(VLOOKUP(B49,crm_orders!$A:$S,3,FALSE),"")</f>
        <v>DSP0048</v>
      </c>
      <c r="P49" s="27" t="str">
        <f>IFERROR(VLOOKUP(B49,crm_orders!$A:$S,5,FALSE),"")</f>
        <v>OK</v>
      </c>
      <c r="Q49" s="27" t="str">
        <f>IFERROR(VLOOKUP(B49,crm_orders!$A:$S,7,FALSE),"")</f>
        <v>Distributor</v>
      </c>
      <c r="R49" s="27" t="str">
        <f>IFERROR(VLOOKUP(B49,crm_orders!$A:$S,8,FALSE),"")</f>
        <v>SKU0004</v>
      </c>
    </row>
    <row r="50" ht="15.75" customHeight="1">
      <c r="A50" s="17" t="s">
        <v>2353</v>
      </c>
      <c r="B50" s="17" t="s">
        <v>709</v>
      </c>
      <c r="C50" s="18">
        <v>46142.0</v>
      </c>
      <c r="D50" s="17" t="s">
        <v>2243</v>
      </c>
      <c r="E50" s="17" t="s">
        <v>2286</v>
      </c>
      <c r="F50" s="17" t="s">
        <v>2354</v>
      </c>
      <c r="G50" s="21">
        <v>30.0</v>
      </c>
      <c r="H50" s="21">
        <v>0.0</v>
      </c>
      <c r="I50" s="21">
        <v>30.0</v>
      </c>
      <c r="J50" s="17" t="s">
        <v>2246</v>
      </c>
      <c r="K50" s="17" t="s">
        <v>2246</v>
      </c>
      <c r="L50" s="17" t="s">
        <v>2246</v>
      </c>
      <c r="M50" s="17" t="s">
        <v>2312</v>
      </c>
      <c r="N50" s="21">
        <f>IFERROR((C50-VLOOKUP(B50,crm_orders!$A:$S,2,FALSE))*24,0)</f>
        <v>72</v>
      </c>
      <c r="O50" s="19" t="str">
        <f>IFERROR(VLOOKUP(B50,crm_orders!$A:$S,3,FALSE),"")</f>
        <v>DSP0009</v>
      </c>
      <c r="P50" s="19" t="str">
        <f>IFERROR(VLOOKUP(B50,crm_orders!$A:$S,5,FALSE),"")</f>
        <v>MO</v>
      </c>
      <c r="Q50" s="19" t="str">
        <f>IFERROR(VLOOKUP(B50,crm_orders!$A:$S,7,FALSE),"")</f>
        <v>Wholesale</v>
      </c>
      <c r="R50" s="19" t="str">
        <f>IFERROR(VLOOKUP(B50,crm_orders!$A:$S,8,FALSE),"")</f>
        <v>SKU0015</v>
      </c>
    </row>
    <row r="51" ht="15.75" customHeight="1">
      <c r="A51" s="25" t="s">
        <v>2355</v>
      </c>
      <c r="B51" s="25" t="s">
        <v>450</v>
      </c>
      <c r="C51" s="26">
        <v>46061.0</v>
      </c>
      <c r="D51" s="25" t="s">
        <v>2243</v>
      </c>
      <c r="E51" s="25" t="s">
        <v>2255</v>
      </c>
      <c r="F51" s="25" t="s">
        <v>2356</v>
      </c>
      <c r="G51" s="29">
        <v>36.0</v>
      </c>
      <c r="H51" s="29">
        <v>36.0</v>
      </c>
      <c r="I51" s="29">
        <v>0.0</v>
      </c>
      <c r="J51" s="25" t="s">
        <v>2246</v>
      </c>
      <c r="K51" s="25" t="s">
        <v>2247</v>
      </c>
      <c r="L51" s="25" t="s">
        <v>2246</v>
      </c>
      <c r="M51" s="25" t="s">
        <v>2248</v>
      </c>
      <c r="N51" s="29">
        <f>IFERROR((C51-VLOOKUP(B51,crm_orders!$A:$S,2,FALSE))*24,0)</f>
        <v>192</v>
      </c>
      <c r="O51" s="27" t="str">
        <f>IFERROR(VLOOKUP(B51,crm_orders!$A:$S,3,FALSE),"")</f>
        <v>DSP0057</v>
      </c>
      <c r="P51" s="27" t="str">
        <f>IFERROR(VLOOKUP(B51,crm_orders!$A:$S,5,FALSE),"")</f>
        <v>MO</v>
      </c>
      <c r="Q51" s="27" t="str">
        <f>IFERROR(VLOOKUP(B51,crm_orders!$A:$S,7,FALSE),"")</f>
        <v>Wholesale</v>
      </c>
      <c r="R51" s="27" t="str">
        <f>IFERROR(VLOOKUP(B51,crm_orders!$A:$S,8,FALSE),"")</f>
        <v>SKU0015</v>
      </c>
    </row>
    <row r="52" ht="15.75" customHeight="1">
      <c r="A52" s="17" t="s">
        <v>2357</v>
      </c>
      <c r="B52" s="17" t="s">
        <v>1082</v>
      </c>
      <c r="C52" s="18">
        <v>46036.0</v>
      </c>
      <c r="D52" s="17" t="s">
        <v>2254</v>
      </c>
      <c r="E52" s="17" t="s">
        <v>2244</v>
      </c>
      <c r="F52" s="17" t="s">
        <v>2358</v>
      </c>
      <c r="G52" s="21">
        <v>120.0</v>
      </c>
      <c r="H52" s="21">
        <v>120.0</v>
      </c>
      <c r="I52" s="21">
        <v>0.0</v>
      </c>
      <c r="J52" s="17" t="s">
        <v>2246</v>
      </c>
      <c r="K52" s="17" t="s">
        <v>2247</v>
      </c>
      <c r="L52" s="17" t="s">
        <v>2246</v>
      </c>
      <c r="M52" s="17" t="s">
        <v>2248</v>
      </c>
      <c r="N52" s="21">
        <f>IFERROR((C52-VLOOKUP(B52,crm_orders!$A:$S,2,FALSE))*24,0)</f>
        <v>48</v>
      </c>
      <c r="O52" s="19" t="str">
        <f>IFERROR(VLOOKUP(B52,crm_orders!$A:$S,3,FALSE),"")</f>
        <v>DSP0016</v>
      </c>
      <c r="P52" s="19" t="str">
        <f>IFERROR(VLOOKUP(B52,crm_orders!$A:$S,5,FALSE),"")</f>
        <v>CO</v>
      </c>
      <c r="Q52" s="19" t="str">
        <f>IFERROR(VLOOKUP(B52,crm_orders!$A:$S,7,FALSE),"")</f>
        <v>Distributor</v>
      </c>
      <c r="R52" s="19" t="str">
        <f>IFERROR(VLOOKUP(B52,crm_orders!$A:$S,8,FALSE),"")</f>
        <v>SKU0015</v>
      </c>
    </row>
    <row r="53" ht="15.75" customHeight="1">
      <c r="A53" s="25" t="s">
        <v>2359</v>
      </c>
      <c r="B53" s="25" t="s">
        <v>862</v>
      </c>
      <c r="C53" s="26">
        <v>46037.0</v>
      </c>
      <c r="D53" s="25" t="s">
        <v>2260</v>
      </c>
      <c r="E53" s="25" t="s">
        <v>2261</v>
      </c>
      <c r="F53" s="25" t="s">
        <v>2360</v>
      </c>
      <c r="G53" s="29">
        <v>30.0</v>
      </c>
      <c r="H53" s="29">
        <v>30.0</v>
      </c>
      <c r="I53" s="29">
        <v>0.0</v>
      </c>
      <c r="J53" s="25" t="s">
        <v>2246</v>
      </c>
      <c r="K53" s="25" t="s">
        <v>2247</v>
      </c>
      <c r="L53" s="25" t="s">
        <v>2246</v>
      </c>
      <c r="M53" s="25" t="s">
        <v>2248</v>
      </c>
      <c r="N53" s="29">
        <f>IFERROR((C53-VLOOKUP(B53,crm_orders!$A:$S,2,FALSE))*24,0)</f>
        <v>336</v>
      </c>
      <c r="O53" s="27" t="str">
        <f>IFERROR(VLOOKUP(B53,crm_orders!$A:$S,3,FALSE),"")</f>
        <v>DSP0116</v>
      </c>
      <c r="P53" s="27" t="str">
        <f>IFERROR(VLOOKUP(B53,crm_orders!$A:$S,5,FALSE),"")</f>
        <v>MI</v>
      </c>
      <c r="Q53" s="27" t="str">
        <f>IFERROR(VLOOKUP(B53,crm_orders!$A:$S,7,FALSE),"")</f>
        <v>Wholesale</v>
      </c>
      <c r="R53" s="27" t="str">
        <f>IFERROR(VLOOKUP(B53,crm_orders!$A:$S,8,FALSE),"")</f>
        <v>SKU0020</v>
      </c>
    </row>
    <row r="54" ht="15.75" customHeight="1">
      <c r="A54" s="17" t="s">
        <v>2361</v>
      </c>
      <c r="B54" s="17" t="s">
        <v>1134</v>
      </c>
      <c r="C54" s="18">
        <v>46049.0</v>
      </c>
      <c r="D54" s="17" t="s">
        <v>2250</v>
      </c>
      <c r="E54" s="17" t="s">
        <v>2255</v>
      </c>
      <c r="F54" s="17" t="s">
        <v>2362</v>
      </c>
      <c r="G54" s="21">
        <v>6.0</v>
      </c>
      <c r="H54" s="21">
        <v>6.0</v>
      </c>
      <c r="I54" s="21">
        <v>0.0</v>
      </c>
      <c r="J54" s="17" t="s">
        <v>2246</v>
      </c>
      <c r="K54" s="17" t="s">
        <v>2247</v>
      </c>
      <c r="L54" s="17" t="s">
        <v>2246</v>
      </c>
      <c r="M54" s="17" t="s">
        <v>2248</v>
      </c>
      <c r="N54" s="21">
        <f>IFERROR((C54-VLOOKUP(B54,crm_orders!$A:$S,2,FALSE))*24,0)</f>
        <v>240</v>
      </c>
      <c r="O54" s="19" t="str">
        <f>IFERROR(VLOOKUP(B54,crm_orders!$A:$S,3,FALSE),"")</f>
        <v>DSP0111</v>
      </c>
      <c r="P54" s="19" t="str">
        <f>IFERROR(VLOOKUP(B54,crm_orders!$A:$S,5,FALSE),"")</f>
        <v>CA</v>
      </c>
      <c r="Q54" s="19" t="str">
        <f>IFERROR(VLOOKUP(B54,crm_orders!$A:$S,7,FALSE),"")</f>
        <v>Wholesale</v>
      </c>
      <c r="R54" s="19" t="str">
        <f>IFERROR(VLOOKUP(B54,crm_orders!$A:$S,8,FALSE),"")</f>
        <v>SKU0001</v>
      </c>
    </row>
    <row r="55" ht="15.75" customHeight="1">
      <c r="A55" s="25" t="s">
        <v>2363</v>
      </c>
      <c r="B55" s="25" t="s">
        <v>182</v>
      </c>
      <c r="C55" s="26">
        <v>46089.0</v>
      </c>
      <c r="D55" s="25" t="s">
        <v>2254</v>
      </c>
      <c r="E55" s="25" t="s">
        <v>2251</v>
      </c>
      <c r="F55" s="25" t="s">
        <v>2364</v>
      </c>
      <c r="G55" s="29">
        <v>60.0</v>
      </c>
      <c r="H55" s="29">
        <v>60.0</v>
      </c>
      <c r="I55" s="29">
        <v>0.0</v>
      </c>
      <c r="J55" s="25" t="s">
        <v>2246</v>
      </c>
      <c r="K55" s="25" t="s">
        <v>2247</v>
      </c>
      <c r="L55" s="25" t="s">
        <v>2246</v>
      </c>
      <c r="M55" s="25" t="s">
        <v>2248</v>
      </c>
      <c r="N55" s="29">
        <f>IFERROR((C55-VLOOKUP(B55,crm_orders!$A:$S,2,FALSE))*24,0)</f>
        <v>96</v>
      </c>
      <c r="O55" s="27" t="str">
        <f>IFERROR(VLOOKUP(B55,crm_orders!$A:$S,3,FALSE),"")</f>
        <v>DSP0055</v>
      </c>
      <c r="P55" s="27" t="str">
        <f>IFERROR(VLOOKUP(B55,crm_orders!$A:$S,5,FALSE),"")</f>
        <v>IL</v>
      </c>
      <c r="Q55" s="27" t="str">
        <f>IFERROR(VLOOKUP(B55,crm_orders!$A:$S,7,FALSE),"")</f>
        <v>Wholesale</v>
      </c>
      <c r="R55" s="27" t="str">
        <f>IFERROR(VLOOKUP(B55,crm_orders!$A:$S,8,FALSE),"")</f>
        <v>SKU0004</v>
      </c>
    </row>
    <row r="56" ht="15.75" customHeight="1">
      <c r="A56" s="17" t="s">
        <v>2365</v>
      </c>
      <c r="B56" s="17" t="s">
        <v>79</v>
      </c>
      <c r="C56" s="18">
        <v>46126.0</v>
      </c>
      <c r="D56" s="17" t="s">
        <v>2269</v>
      </c>
      <c r="E56" s="17" t="s">
        <v>2286</v>
      </c>
      <c r="F56" s="17" t="s">
        <v>2366</v>
      </c>
      <c r="G56" s="21">
        <v>36.0</v>
      </c>
      <c r="H56" s="21">
        <v>36.0</v>
      </c>
      <c r="I56" s="21">
        <v>0.0</v>
      </c>
      <c r="J56" s="17" t="s">
        <v>2246</v>
      </c>
      <c r="K56" s="17" t="s">
        <v>2247</v>
      </c>
      <c r="L56" s="17" t="s">
        <v>2246</v>
      </c>
      <c r="M56" s="17" t="s">
        <v>2248</v>
      </c>
      <c r="N56" s="21">
        <f>IFERROR((C56-VLOOKUP(B56,crm_orders!$A:$S,2,FALSE))*24,0)</f>
        <v>288</v>
      </c>
      <c r="O56" s="19" t="str">
        <f>IFERROR(VLOOKUP(B56,crm_orders!$A:$S,3,FALSE),"")</f>
        <v>DSP0075</v>
      </c>
      <c r="P56" s="19" t="str">
        <f>IFERROR(VLOOKUP(B56,crm_orders!$A:$S,5,FALSE),"")</f>
        <v>CA</v>
      </c>
      <c r="Q56" s="19" t="str">
        <f>IFERROR(VLOOKUP(B56,crm_orders!$A:$S,7,FALSE),"")</f>
        <v>Wholesale</v>
      </c>
      <c r="R56" s="19" t="str">
        <f>IFERROR(VLOOKUP(B56,crm_orders!$A:$S,8,FALSE),"")</f>
        <v>SKU0018</v>
      </c>
    </row>
    <row r="57" ht="15.75" customHeight="1">
      <c r="A57" s="25" t="s">
        <v>2367</v>
      </c>
      <c r="B57" s="25" t="s">
        <v>713</v>
      </c>
      <c r="C57" s="26">
        <v>46138.0</v>
      </c>
      <c r="D57" s="25" t="s">
        <v>2254</v>
      </c>
      <c r="E57" s="25" t="s">
        <v>2244</v>
      </c>
      <c r="F57" s="25" t="s">
        <v>2368</v>
      </c>
      <c r="G57" s="29">
        <v>120.0</v>
      </c>
      <c r="H57" s="29">
        <v>114.0</v>
      </c>
      <c r="I57" s="29">
        <v>6.0</v>
      </c>
      <c r="J57" s="25" t="s">
        <v>2246</v>
      </c>
      <c r="K57" s="25" t="s">
        <v>2246</v>
      </c>
      <c r="L57" s="25" t="s">
        <v>2246</v>
      </c>
      <c r="M57" s="25" t="s">
        <v>2267</v>
      </c>
      <c r="N57" s="29">
        <f>IFERROR((C57-VLOOKUP(B57,crm_orders!$A:$S,2,FALSE))*24,0)</f>
        <v>144</v>
      </c>
      <c r="O57" s="27" t="str">
        <f>IFERROR(VLOOKUP(B57,crm_orders!$A:$S,3,FALSE),"")</f>
        <v>DSP0090</v>
      </c>
      <c r="P57" s="27" t="str">
        <f>IFERROR(VLOOKUP(B57,crm_orders!$A:$S,5,FALSE),"")</f>
        <v>NV</v>
      </c>
      <c r="Q57" s="27" t="str">
        <f>IFERROR(VLOOKUP(B57,crm_orders!$A:$S,7,FALSE),"")</f>
        <v>Retail</v>
      </c>
      <c r="R57" s="27" t="str">
        <f>IFERROR(VLOOKUP(B57,crm_orders!$A:$S,8,FALSE),"")</f>
        <v>SKU0004</v>
      </c>
    </row>
    <row r="58" ht="15.75" customHeight="1">
      <c r="A58" s="17" t="s">
        <v>2369</v>
      </c>
      <c r="B58" s="17" t="s">
        <v>308</v>
      </c>
      <c r="C58" s="18">
        <v>46136.0</v>
      </c>
      <c r="D58" s="17" t="s">
        <v>2260</v>
      </c>
      <c r="E58" s="17" t="s">
        <v>2255</v>
      </c>
      <c r="F58" s="17" t="s">
        <v>2370</v>
      </c>
      <c r="G58" s="21">
        <v>60.0</v>
      </c>
      <c r="H58" s="21">
        <v>60.0</v>
      </c>
      <c r="I58" s="21">
        <v>0.0</v>
      </c>
      <c r="J58" s="17" t="s">
        <v>2246</v>
      </c>
      <c r="K58" s="17" t="s">
        <v>2247</v>
      </c>
      <c r="L58" s="17" t="s">
        <v>2246</v>
      </c>
      <c r="M58" s="17" t="s">
        <v>2248</v>
      </c>
      <c r="N58" s="21">
        <f>IFERROR((C58-VLOOKUP(B58,crm_orders!$A:$S,2,FALSE))*24,0)</f>
        <v>192</v>
      </c>
      <c r="O58" s="19" t="str">
        <f>IFERROR(VLOOKUP(B58,crm_orders!$A:$S,3,FALSE),"")</f>
        <v>DSP0053</v>
      </c>
      <c r="P58" s="19" t="str">
        <f>IFERROR(VLOOKUP(B58,crm_orders!$A:$S,5,FALSE),"")</f>
        <v>AZ</v>
      </c>
      <c r="Q58" s="19" t="str">
        <f>IFERROR(VLOOKUP(B58,crm_orders!$A:$S,7,FALSE),"")</f>
        <v>Wholesale</v>
      </c>
      <c r="R58" s="19" t="str">
        <f>IFERROR(VLOOKUP(B58,crm_orders!$A:$S,8,FALSE),"")</f>
        <v>SKU0011</v>
      </c>
    </row>
    <row r="59" ht="15.75" customHeight="1">
      <c r="A59" s="25" t="s">
        <v>2371</v>
      </c>
      <c r="B59" s="25" t="s">
        <v>1084</v>
      </c>
      <c r="C59" s="26">
        <v>46037.0</v>
      </c>
      <c r="D59" s="25" t="s">
        <v>2260</v>
      </c>
      <c r="E59" s="25" t="s">
        <v>2261</v>
      </c>
      <c r="F59" s="25" t="s">
        <v>2372</v>
      </c>
      <c r="G59" s="29">
        <v>12.0</v>
      </c>
      <c r="H59" s="29">
        <v>12.0</v>
      </c>
      <c r="I59" s="29">
        <v>0.0</v>
      </c>
      <c r="J59" s="25" t="s">
        <v>2247</v>
      </c>
      <c r="K59" s="25" t="s">
        <v>2247</v>
      </c>
      <c r="L59" s="25" t="s">
        <v>2247</v>
      </c>
      <c r="M59" s="25" t="s">
        <v>2248</v>
      </c>
      <c r="N59" s="29">
        <f>IFERROR((C59-VLOOKUP(B59,crm_orders!$A:$S,2,FALSE))*24,0)</f>
        <v>144</v>
      </c>
      <c r="O59" s="27" t="str">
        <f>IFERROR(VLOOKUP(B59,crm_orders!$A:$S,3,FALSE),"")</f>
        <v>DSP0020</v>
      </c>
      <c r="P59" s="27" t="str">
        <f>IFERROR(VLOOKUP(B59,crm_orders!$A:$S,5,FALSE),"")</f>
        <v>MI</v>
      </c>
      <c r="Q59" s="27" t="str">
        <f>IFERROR(VLOOKUP(B59,crm_orders!$A:$S,7,FALSE),"")</f>
        <v>Wholesale</v>
      </c>
      <c r="R59" s="27" t="str">
        <f>IFERROR(VLOOKUP(B59,crm_orders!$A:$S,8,FALSE),"")</f>
        <v>SKU0016</v>
      </c>
    </row>
    <row r="60" ht="15.75" customHeight="1">
      <c r="A60" s="17" t="s">
        <v>2373</v>
      </c>
      <c r="B60" s="17" t="s">
        <v>715</v>
      </c>
      <c r="C60" s="18">
        <v>46073.0</v>
      </c>
      <c r="D60" s="17" t="s">
        <v>2260</v>
      </c>
      <c r="E60" s="17" t="s">
        <v>2255</v>
      </c>
      <c r="F60" s="17" t="s">
        <v>2374</v>
      </c>
      <c r="G60" s="21">
        <v>36.0</v>
      </c>
      <c r="H60" s="21">
        <v>36.0</v>
      </c>
      <c r="I60" s="21">
        <v>0.0</v>
      </c>
      <c r="J60" s="17" t="s">
        <v>2246</v>
      </c>
      <c r="K60" s="17" t="s">
        <v>2247</v>
      </c>
      <c r="L60" s="17" t="s">
        <v>2246</v>
      </c>
      <c r="M60" s="17" t="s">
        <v>2248</v>
      </c>
      <c r="N60" s="21">
        <f>IFERROR((C60-VLOOKUP(B60,crm_orders!$A:$S,2,FALSE))*24,0)</f>
        <v>264</v>
      </c>
      <c r="O60" s="19" t="str">
        <f>IFERROR(VLOOKUP(B60,crm_orders!$A:$S,3,FALSE),"")</f>
        <v>DSP0037</v>
      </c>
      <c r="P60" s="19" t="str">
        <f>IFERROR(VLOOKUP(B60,crm_orders!$A:$S,5,FALSE),"")</f>
        <v>OR</v>
      </c>
      <c r="Q60" s="19" t="str">
        <f>IFERROR(VLOOKUP(B60,crm_orders!$A:$S,7,FALSE),"")</f>
        <v>Wholesale</v>
      </c>
      <c r="R60" s="19" t="str">
        <f>IFERROR(VLOOKUP(B60,crm_orders!$A:$S,8,FALSE),"")</f>
        <v>SKU0020</v>
      </c>
    </row>
    <row r="61" ht="15.75" customHeight="1">
      <c r="A61" s="25" t="s">
        <v>2375</v>
      </c>
      <c r="B61" s="25" t="s">
        <v>716</v>
      </c>
      <c r="C61" s="26">
        <v>46080.0</v>
      </c>
      <c r="D61" s="25" t="s">
        <v>2269</v>
      </c>
      <c r="E61" s="25" t="s">
        <v>2244</v>
      </c>
      <c r="F61" s="25" t="s">
        <v>2376</v>
      </c>
      <c r="G61" s="29">
        <v>12.0</v>
      </c>
      <c r="H61" s="29">
        <v>12.0</v>
      </c>
      <c r="I61" s="29">
        <v>0.0</v>
      </c>
      <c r="J61" s="25" t="s">
        <v>2246</v>
      </c>
      <c r="K61" s="25" t="s">
        <v>2247</v>
      </c>
      <c r="L61" s="25" t="s">
        <v>2246</v>
      </c>
      <c r="M61" s="25" t="s">
        <v>2248</v>
      </c>
      <c r="N61" s="29">
        <f>IFERROR((C61-VLOOKUP(B61,crm_orders!$A:$S,2,FALSE))*24,0)</f>
        <v>240</v>
      </c>
      <c r="O61" s="27" t="str">
        <f>IFERROR(VLOOKUP(B61,crm_orders!$A:$S,3,FALSE),"")</f>
        <v>DSP0109</v>
      </c>
      <c r="P61" s="27" t="str">
        <f>IFERROR(VLOOKUP(B61,crm_orders!$A:$S,5,FALSE),"")</f>
        <v>OR</v>
      </c>
      <c r="Q61" s="27" t="str">
        <f>IFERROR(VLOOKUP(B61,crm_orders!$A:$S,7,FALSE),"")</f>
        <v>Distributor</v>
      </c>
      <c r="R61" s="27" t="str">
        <f>IFERROR(VLOOKUP(B61,crm_orders!$A:$S,8,FALSE),"")</f>
        <v>SKU0018</v>
      </c>
    </row>
    <row r="62" ht="15.75" customHeight="1">
      <c r="A62" s="17" t="s">
        <v>2377</v>
      </c>
      <c r="B62" s="17" t="s">
        <v>549</v>
      </c>
      <c r="C62" s="18">
        <v>46028.0</v>
      </c>
      <c r="D62" s="17" t="s">
        <v>2250</v>
      </c>
      <c r="E62" s="17" t="s">
        <v>2255</v>
      </c>
      <c r="F62" s="17" t="s">
        <v>2378</v>
      </c>
      <c r="G62" s="21">
        <v>96.0</v>
      </c>
      <c r="H62" s="21">
        <v>96.0</v>
      </c>
      <c r="I62" s="21">
        <v>0.0</v>
      </c>
      <c r="J62" s="17" t="s">
        <v>2247</v>
      </c>
      <c r="K62" s="17" t="s">
        <v>2247</v>
      </c>
      <c r="L62" s="17" t="s">
        <v>2247</v>
      </c>
      <c r="M62" s="17" t="s">
        <v>2248</v>
      </c>
      <c r="N62" s="21">
        <f>IFERROR((C62-VLOOKUP(B62,crm_orders!$A:$S,2,FALSE))*24,0)</f>
        <v>48</v>
      </c>
      <c r="O62" s="19" t="str">
        <f>IFERROR(VLOOKUP(B62,crm_orders!$A:$S,3,FALSE),"")</f>
        <v>DSP0079</v>
      </c>
      <c r="P62" s="19" t="str">
        <f>IFERROR(VLOOKUP(B62,crm_orders!$A:$S,5,FALSE),"")</f>
        <v>IL</v>
      </c>
      <c r="Q62" s="19" t="str">
        <f>IFERROR(VLOOKUP(B62,crm_orders!$A:$S,7,FALSE),"")</f>
        <v>Wholesale</v>
      </c>
      <c r="R62" s="19" t="str">
        <f>IFERROR(VLOOKUP(B62,crm_orders!$A:$S,8,FALSE),"")</f>
        <v>SKU0018</v>
      </c>
    </row>
    <row r="63" ht="15.75" customHeight="1">
      <c r="A63" s="25" t="s">
        <v>2379</v>
      </c>
      <c r="B63" s="25" t="s">
        <v>453</v>
      </c>
      <c r="C63" s="26">
        <v>46072.0</v>
      </c>
      <c r="D63" s="25" t="s">
        <v>2254</v>
      </c>
      <c r="E63" s="25" t="s">
        <v>2286</v>
      </c>
      <c r="F63" s="25" t="s">
        <v>2380</v>
      </c>
      <c r="G63" s="29">
        <v>6.0</v>
      </c>
      <c r="H63" s="29">
        <v>0.0</v>
      </c>
      <c r="I63" s="29">
        <v>6.0</v>
      </c>
      <c r="J63" s="25" t="s">
        <v>2246</v>
      </c>
      <c r="K63" s="25" t="s">
        <v>2246</v>
      </c>
      <c r="L63" s="25" t="s">
        <v>2246</v>
      </c>
      <c r="M63" s="25" t="s">
        <v>2267</v>
      </c>
      <c r="N63" s="29">
        <f>IFERROR((C63-VLOOKUP(B63,crm_orders!$A:$S,2,FALSE))*24,0)</f>
        <v>120</v>
      </c>
      <c r="O63" s="27" t="str">
        <f>IFERROR(VLOOKUP(B63,crm_orders!$A:$S,3,FALSE),"")</f>
        <v>DSP0118</v>
      </c>
      <c r="P63" s="27" t="str">
        <f>IFERROR(VLOOKUP(B63,crm_orders!$A:$S,5,FALSE),"")</f>
        <v>NM</v>
      </c>
      <c r="Q63" s="27" t="str">
        <f>IFERROR(VLOOKUP(B63,crm_orders!$A:$S,7,FALSE),"")</f>
        <v>Retail</v>
      </c>
      <c r="R63" s="27" t="str">
        <f>IFERROR(VLOOKUP(B63,crm_orders!$A:$S,8,FALSE),"")</f>
        <v>SKU0011</v>
      </c>
    </row>
    <row r="64" ht="15.75" customHeight="1">
      <c r="A64" s="17" t="s">
        <v>2381</v>
      </c>
      <c r="B64" s="17" t="s">
        <v>966</v>
      </c>
      <c r="C64" s="18">
        <v>46038.0</v>
      </c>
      <c r="D64" s="17" t="s">
        <v>2260</v>
      </c>
      <c r="E64" s="17" t="s">
        <v>2251</v>
      </c>
      <c r="F64" s="17" t="s">
        <v>2382</v>
      </c>
      <c r="G64" s="21">
        <v>6.0</v>
      </c>
      <c r="H64" s="21">
        <v>6.0</v>
      </c>
      <c r="I64" s="21">
        <v>0.0</v>
      </c>
      <c r="J64" s="17" t="s">
        <v>2246</v>
      </c>
      <c r="K64" s="17" t="s">
        <v>2247</v>
      </c>
      <c r="L64" s="17" t="s">
        <v>2246</v>
      </c>
      <c r="M64" s="17" t="s">
        <v>2248</v>
      </c>
      <c r="N64" s="21">
        <f>IFERROR((C64-VLOOKUP(B64,crm_orders!$A:$S,2,FALSE))*24,0)</f>
        <v>120</v>
      </c>
      <c r="O64" s="19" t="str">
        <f>IFERROR(VLOOKUP(B64,crm_orders!$A:$S,3,FALSE),"")</f>
        <v>DSP0073</v>
      </c>
      <c r="P64" s="19" t="str">
        <f>IFERROR(VLOOKUP(B64,crm_orders!$A:$S,5,FALSE),"")</f>
        <v>OR</v>
      </c>
      <c r="Q64" s="19" t="str">
        <f>IFERROR(VLOOKUP(B64,crm_orders!$A:$S,7,FALSE),"")</f>
        <v>Wholesale</v>
      </c>
      <c r="R64" s="19" t="str">
        <f>IFERROR(VLOOKUP(B64,crm_orders!$A:$S,8,FALSE),"")</f>
        <v>SKU0020</v>
      </c>
    </row>
    <row r="65" ht="15.75" customHeight="1">
      <c r="A65" s="25" t="s">
        <v>2383</v>
      </c>
      <c r="B65" s="25" t="s">
        <v>82</v>
      </c>
      <c r="C65" s="26">
        <v>46089.0</v>
      </c>
      <c r="D65" s="25" t="s">
        <v>2243</v>
      </c>
      <c r="E65" s="25" t="s">
        <v>2244</v>
      </c>
      <c r="F65" s="25" t="s">
        <v>2384</v>
      </c>
      <c r="G65" s="29">
        <v>48.0</v>
      </c>
      <c r="H65" s="29">
        <v>30.0</v>
      </c>
      <c r="I65" s="29">
        <v>18.0</v>
      </c>
      <c r="J65" s="25" t="s">
        <v>2246</v>
      </c>
      <c r="K65" s="25" t="s">
        <v>2246</v>
      </c>
      <c r="L65" s="25" t="s">
        <v>2246</v>
      </c>
      <c r="M65" s="25" t="s">
        <v>2267</v>
      </c>
      <c r="N65" s="29">
        <f>IFERROR((C65-VLOOKUP(B65,crm_orders!$A:$S,2,FALSE))*24,0)</f>
        <v>240</v>
      </c>
      <c r="O65" s="27" t="str">
        <f>IFERROR(VLOOKUP(B65,crm_orders!$A:$S,3,FALSE),"")</f>
        <v>DSP0063</v>
      </c>
      <c r="P65" s="27" t="str">
        <f>IFERROR(VLOOKUP(B65,crm_orders!$A:$S,5,FALSE),"")</f>
        <v>CA</v>
      </c>
      <c r="Q65" s="27" t="str">
        <f>IFERROR(VLOOKUP(B65,crm_orders!$A:$S,7,FALSE),"")</f>
        <v>Wholesale</v>
      </c>
      <c r="R65" s="27" t="str">
        <f>IFERROR(VLOOKUP(B65,crm_orders!$A:$S,8,FALSE),"")</f>
        <v>SKU0020</v>
      </c>
    </row>
    <row r="66" ht="15.75" customHeight="1">
      <c r="A66" s="17" t="s">
        <v>2385</v>
      </c>
      <c r="B66" s="17" t="s">
        <v>1137</v>
      </c>
      <c r="C66" s="18">
        <v>46092.0</v>
      </c>
      <c r="D66" s="17" t="s">
        <v>2269</v>
      </c>
      <c r="E66" s="17" t="s">
        <v>2261</v>
      </c>
      <c r="F66" s="17" t="s">
        <v>2386</v>
      </c>
      <c r="G66" s="21">
        <v>120.0</v>
      </c>
      <c r="H66" s="21">
        <v>96.0</v>
      </c>
      <c r="I66" s="21">
        <v>24.0</v>
      </c>
      <c r="J66" s="17" t="s">
        <v>2246</v>
      </c>
      <c r="K66" s="17" t="s">
        <v>2246</v>
      </c>
      <c r="L66" s="17" t="s">
        <v>2246</v>
      </c>
      <c r="M66" s="17" t="s">
        <v>2267</v>
      </c>
      <c r="N66" s="21">
        <f>IFERROR((C66-VLOOKUP(B66,crm_orders!$A:$S,2,FALSE))*24,0)</f>
        <v>48</v>
      </c>
      <c r="O66" s="19" t="str">
        <f>IFERROR(VLOOKUP(B66,crm_orders!$A:$S,3,FALSE),"")</f>
        <v>DSP0076</v>
      </c>
      <c r="P66" s="19" t="str">
        <f>IFERROR(VLOOKUP(B66,crm_orders!$A:$S,5,FALSE),"")</f>
        <v>CO</v>
      </c>
      <c r="Q66" s="19" t="str">
        <f>IFERROR(VLOOKUP(B66,crm_orders!$A:$S,7,FALSE),"")</f>
        <v>Distributor</v>
      </c>
      <c r="R66" s="19" t="str">
        <f>IFERROR(VLOOKUP(B66,crm_orders!$A:$S,8,FALSE),"")</f>
        <v>SKU0016</v>
      </c>
    </row>
    <row r="67" ht="15.75" customHeight="1">
      <c r="A67" s="25" t="s">
        <v>2387</v>
      </c>
      <c r="B67" s="25" t="s">
        <v>455</v>
      </c>
      <c r="C67" s="26">
        <v>46136.0</v>
      </c>
      <c r="D67" s="25" t="s">
        <v>2250</v>
      </c>
      <c r="E67" s="25" t="s">
        <v>2255</v>
      </c>
      <c r="F67" s="25" t="s">
        <v>2388</v>
      </c>
      <c r="G67" s="29">
        <v>30.0</v>
      </c>
      <c r="H67" s="29">
        <v>30.0</v>
      </c>
      <c r="I67" s="29">
        <v>0.0</v>
      </c>
      <c r="J67" s="25" t="s">
        <v>2246</v>
      </c>
      <c r="K67" s="25" t="s">
        <v>2247</v>
      </c>
      <c r="L67" s="25" t="s">
        <v>2246</v>
      </c>
      <c r="M67" s="25" t="s">
        <v>2248</v>
      </c>
      <c r="N67" s="29">
        <f>IFERROR((C67-VLOOKUP(B67,crm_orders!$A:$S,2,FALSE))*24,0)</f>
        <v>384</v>
      </c>
      <c r="O67" s="27" t="str">
        <f>IFERROR(VLOOKUP(B67,crm_orders!$A:$S,3,FALSE),"")</f>
        <v>DSP0028</v>
      </c>
      <c r="P67" s="27" t="str">
        <f>IFERROR(VLOOKUP(B67,crm_orders!$A:$S,5,FALSE),"")</f>
        <v>CO</v>
      </c>
      <c r="Q67" s="27" t="str">
        <f>IFERROR(VLOOKUP(B67,crm_orders!$A:$S,7,FALSE),"")</f>
        <v>Wholesale</v>
      </c>
      <c r="R67" s="27" t="str">
        <f>IFERROR(VLOOKUP(B67,crm_orders!$A:$S,8,FALSE),"")</f>
        <v>SKU0005</v>
      </c>
    </row>
    <row r="68" ht="15.75" customHeight="1">
      <c r="A68" s="17" t="s">
        <v>2389</v>
      </c>
      <c r="B68" s="17" t="s">
        <v>552</v>
      </c>
      <c r="C68" s="18">
        <v>46087.0</v>
      </c>
      <c r="D68" s="17" t="s">
        <v>2254</v>
      </c>
      <c r="E68" s="17" t="s">
        <v>2286</v>
      </c>
      <c r="F68" s="17" t="s">
        <v>2390</v>
      </c>
      <c r="G68" s="21">
        <v>72.0</v>
      </c>
      <c r="H68" s="21">
        <v>48.0</v>
      </c>
      <c r="I68" s="21">
        <v>24.0</v>
      </c>
      <c r="J68" s="17" t="s">
        <v>2247</v>
      </c>
      <c r="K68" s="17" t="s">
        <v>2246</v>
      </c>
      <c r="L68" s="17" t="s">
        <v>2246</v>
      </c>
      <c r="M68" s="17" t="s">
        <v>2267</v>
      </c>
      <c r="N68" s="21">
        <f>IFERROR((C68-VLOOKUP(B68,crm_orders!$A:$S,2,FALSE))*24,0)</f>
        <v>0</v>
      </c>
      <c r="O68" s="19" t="str">
        <f>IFERROR(VLOOKUP(B68,crm_orders!$A:$S,3,FALSE),"")</f>
        <v>DSP0091</v>
      </c>
      <c r="P68" s="19" t="str">
        <f>IFERROR(VLOOKUP(B68,crm_orders!$A:$S,5,FALSE),"")</f>
        <v>IL</v>
      </c>
      <c r="Q68" s="19" t="str">
        <f>IFERROR(VLOOKUP(B68,crm_orders!$A:$S,7,FALSE),"")</f>
        <v>Wholesale</v>
      </c>
      <c r="R68" s="19" t="str">
        <f>IFERROR(VLOOKUP(B68,crm_orders!$A:$S,8,FALSE),"")</f>
        <v>SKU0008</v>
      </c>
    </row>
    <row r="69" ht="15.75" customHeight="1">
      <c r="A69" s="25" t="s">
        <v>2391</v>
      </c>
      <c r="B69" s="25" t="s">
        <v>456</v>
      </c>
      <c r="C69" s="26">
        <v>46100.0</v>
      </c>
      <c r="D69" s="25" t="s">
        <v>2269</v>
      </c>
      <c r="E69" s="25" t="s">
        <v>2255</v>
      </c>
      <c r="F69" s="25" t="s">
        <v>2392</v>
      </c>
      <c r="G69" s="29">
        <v>48.0</v>
      </c>
      <c r="H69" s="29">
        <v>48.0</v>
      </c>
      <c r="I69" s="29">
        <v>0.0</v>
      </c>
      <c r="J69" s="25" t="s">
        <v>2246</v>
      </c>
      <c r="K69" s="25" t="s">
        <v>2247</v>
      </c>
      <c r="L69" s="25" t="s">
        <v>2246</v>
      </c>
      <c r="M69" s="25" t="s">
        <v>2248</v>
      </c>
      <c r="N69" s="29">
        <f>IFERROR((C69-VLOOKUP(B69,crm_orders!$A:$S,2,FALSE))*24,0)</f>
        <v>96</v>
      </c>
      <c r="O69" s="27" t="str">
        <f>IFERROR(VLOOKUP(B69,crm_orders!$A:$S,3,FALSE),"")</f>
        <v>DSP0010</v>
      </c>
      <c r="P69" s="27" t="str">
        <f>IFERROR(VLOOKUP(B69,crm_orders!$A:$S,5,FALSE),"")</f>
        <v>NM</v>
      </c>
      <c r="Q69" s="27" t="str">
        <f>IFERROR(VLOOKUP(B69,crm_orders!$A:$S,7,FALSE),"")</f>
        <v>Wholesale</v>
      </c>
      <c r="R69" s="27" t="str">
        <f>IFERROR(VLOOKUP(B69,crm_orders!$A:$S,8,FALSE),"")</f>
        <v>SKU0011</v>
      </c>
    </row>
    <row r="70" ht="15.75" customHeight="1">
      <c r="A70" s="17" t="s">
        <v>2393</v>
      </c>
      <c r="B70" s="17" t="s">
        <v>458</v>
      </c>
      <c r="C70" s="18">
        <v>46096.0</v>
      </c>
      <c r="D70" s="17" t="s">
        <v>2269</v>
      </c>
      <c r="E70" s="17" t="s">
        <v>2255</v>
      </c>
      <c r="F70" s="17" t="s">
        <v>2394</v>
      </c>
      <c r="G70" s="21">
        <v>36.0</v>
      </c>
      <c r="H70" s="21">
        <v>0.0</v>
      </c>
      <c r="I70" s="21">
        <v>36.0</v>
      </c>
      <c r="J70" s="17" t="s">
        <v>2246</v>
      </c>
      <c r="K70" s="17" t="s">
        <v>2246</v>
      </c>
      <c r="L70" s="17" t="s">
        <v>2246</v>
      </c>
      <c r="M70" s="17" t="s">
        <v>2312</v>
      </c>
      <c r="N70" s="21">
        <f>IFERROR((C70-VLOOKUP(B70,crm_orders!$A:$S,2,FALSE))*24,0)</f>
        <v>360</v>
      </c>
      <c r="O70" s="19" t="str">
        <f>IFERROR(VLOOKUP(B70,crm_orders!$A:$S,3,FALSE),"")</f>
        <v>DSP0022</v>
      </c>
      <c r="P70" s="19" t="str">
        <f>IFERROR(VLOOKUP(B70,crm_orders!$A:$S,5,FALSE),"")</f>
        <v>NM</v>
      </c>
      <c r="Q70" s="19" t="str">
        <f>IFERROR(VLOOKUP(B70,crm_orders!$A:$S,7,FALSE),"")</f>
        <v>Wholesale</v>
      </c>
      <c r="R70" s="19" t="str">
        <f>IFERROR(VLOOKUP(B70,crm_orders!$A:$S,8,FALSE),"")</f>
        <v>SKU0020</v>
      </c>
    </row>
    <row r="71" ht="15.75" customHeight="1">
      <c r="A71" s="25" t="s">
        <v>2395</v>
      </c>
      <c r="B71" s="25" t="s">
        <v>554</v>
      </c>
      <c r="C71" s="26">
        <v>46120.0</v>
      </c>
      <c r="D71" s="25" t="s">
        <v>2269</v>
      </c>
      <c r="E71" s="25" t="s">
        <v>2244</v>
      </c>
      <c r="F71" s="25" t="s">
        <v>2396</v>
      </c>
      <c r="G71" s="29">
        <v>36.0</v>
      </c>
      <c r="H71" s="29">
        <v>18.0</v>
      </c>
      <c r="I71" s="29">
        <v>18.0</v>
      </c>
      <c r="J71" s="25" t="s">
        <v>2247</v>
      </c>
      <c r="K71" s="25" t="s">
        <v>2246</v>
      </c>
      <c r="L71" s="25" t="s">
        <v>2246</v>
      </c>
      <c r="M71" s="25" t="s">
        <v>2267</v>
      </c>
      <c r="N71" s="29">
        <f>IFERROR((C71-VLOOKUP(B71,crm_orders!$A:$S,2,FALSE))*24,0)</f>
        <v>48</v>
      </c>
      <c r="O71" s="27" t="str">
        <f>IFERROR(VLOOKUP(B71,crm_orders!$A:$S,3,FALSE),"")</f>
        <v>DSP0112</v>
      </c>
      <c r="P71" s="27" t="str">
        <f>IFERROR(VLOOKUP(B71,crm_orders!$A:$S,5,FALSE),"")</f>
        <v>CO</v>
      </c>
      <c r="Q71" s="27" t="str">
        <f>IFERROR(VLOOKUP(B71,crm_orders!$A:$S,7,FALSE),"")</f>
        <v>Wholesale</v>
      </c>
      <c r="R71" s="27" t="str">
        <f>IFERROR(VLOOKUP(B71,crm_orders!$A:$S,8,FALSE),"")</f>
        <v>SKU0010</v>
      </c>
    </row>
    <row r="72" ht="15.75" customHeight="1">
      <c r="A72" s="17" t="s">
        <v>2397</v>
      </c>
      <c r="B72" s="17" t="s">
        <v>718</v>
      </c>
      <c r="C72" s="18">
        <v>46071.0</v>
      </c>
      <c r="D72" s="17" t="s">
        <v>2260</v>
      </c>
      <c r="E72" s="17" t="s">
        <v>2255</v>
      </c>
      <c r="F72" s="17" t="s">
        <v>2398</v>
      </c>
      <c r="G72" s="21">
        <v>120.0</v>
      </c>
      <c r="H72" s="21">
        <v>120.0</v>
      </c>
      <c r="I72" s="21">
        <v>0.0</v>
      </c>
      <c r="J72" s="17" t="s">
        <v>2247</v>
      </c>
      <c r="K72" s="17" t="s">
        <v>2247</v>
      </c>
      <c r="L72" s="17" t="s">
        <v>2247</v>
      </c>
      <c r="M72" s="17" t="s">
        <v>2248</v>
      </c>
      <c r="N72" s="21">
        <f>IFERROR((C72-VLOOKUP(B72,crm_orders!$A:$S,2,FALSE))*24,0)</f>
        <v>96</v>
      </c>
      <c r="O72" s="19" t="str">
        <f>IFERROR(VLOOKUP(B72,crm_orders!$A:$S,3,FALSE),"")</f>
        <v>DSP0100</v>
      </c>
      <c r="P72" s="19" t="str">
        <f>IFERROR(VLOOKUP(B72,crm_orders!$A:$S,5,FALSE),"")</f>
        <v>CO</v>
      </c>
      <c r="Q72" s="19" t="str">
        <f>IFERROR(VLOOKUP(B72,crm_orders!$A:$S,7,FALSE),"")</f>
        <v>Wholesale</v>
      </c>
      <c r="R72" s="19" t="str">
        <f>IFERROR(VLOOKUP(B72,crm_orders!$A:$S,8,FALSE),"")</f>
        <v>SKU0012</v>
      </c>
    </row>
    <row r="73" ht="15.75" customHeight="1">
      <c r="A73" s="25" t="s">
        <v>2399</v>
      </c>
      <c r="B73" s="25" t="s">
        <v>1085</v>
      </c>
      <c r="C73" s="26">
        <v>46053.0</v>
      </c>
      <c r="D73" s="25" t="s">
        <v>2269</v>
      </c>
      <c r="E73" s="25" t="s">
        <v>2244</v>
      </c>
      <c r="F73" s="25" t="s">
        <v>2400</v>
      </c>
      <c r="G73" s="29">
        <v>120.0</v>
      </c>
      <c r="H73" s="29">
        <v>120.0</v>
      </c>
      <c r="I73" s="29">
        <v>0.0</v>
      </c>
      <c r="J73" s="25" t="s">
        <v>2247</v>
      </c>
      <c r="K73" s="25" t="s">
        <v>2247</v>
      </c>
      <c r="L73" s="25" t="s">
        <v>2247</v>
      </c>
      <c r="M73" s="25" t="s">
        <v>2248</v>
      </c>
      <c r="N73" s="29">
        <f>IFERROR((C73-VLOOKUP(B73,crm_orders!$A:$S,2,FALSE))*24,0)</f>
        <v>192</v>
      </c>
      <c r="O73" s="27" t="str">
        <f>IFERROR(VLOOKUP(B73,crm_orders!$A:$S,3,FALSE),"")</f>
        <v>DSP0098</v>
      </c>
      <c r="P73" s="27" t="str">
        <f>IFERROR(VLOOKUP(B73,crm_orders!$A:$S,5,FALSE),"")</f>
        <v>WA</v>
      </c>
      <c r="Q73" s="27" t="str">
        <f>IFERROR(VLOOKUP(B73,crm_orders!$A:$S,7,FALSE),"")</f>
        <v>Retail</v>
      </c>
      <c r="R73" s="27" t="str">
        <f>IFERROR(VLOOKUP(B73,crm_orders!$A:$S,8,FALSE),"")</f>
        <v>SKU0003</v>
      </c>
    </row>
    <row r="74" ht="15.75" customHeight="1">
      <c r="A74" s="17" t="s">
        <v>2401</v>
      </c>
      <c r="B74" s="17" t="s">
        <v>719</v>
      </c>
      <c r="C74" s="18">
        <v>46046.0</v>
      </c>
      <c r="D74" s="17" t="s">
        <v>2254</v>
      </c>
      <c r="E74" s="17" t="s">
        <v>2286</v>
      </c>
      <c r="F74" s="17" t="s">
        <v>2402</v>
      </c>
      <c r="G74" s="21">
        <v>30.0</v>
      </c>
      <c r="H74" s="21">
        <v>30.0</v>
      </c>
      <c r="I74" s="21">
        <v>0.0</v>
      </c>
      <c r="J74" s="17" t="s">
        <v>2246</v>
      </c>
      <c r="K74" s="17" t="s">
        <v>2247</v>
      </c>
      <c r="L74" s="17" t="s">
        <v>2246</v>
      </c>
      <c r="M74" s="17" t="s">
        <v>2248</v>
      </c>
      <c r="N74" s="21">
        <f>IFERROR((C74-VLOOKUP(B74,crm_orders!$A:$S,2,FALSE))*24,0)</f>
        <v>336</v>
      </c>
      <c r="O74" s="19" t="str">
        <f>IFERROR(VLOOKUP(B74,crm_orders!$A:$S,3,FALSE),"")</f>
        <v>DSP0046</v>
      </c>
      <c r="P74" s="19" t="str">
        <f>IFERROR(VLOOKUP(B74,crm_orders!$A:$S,5,FALSE),"")</f>
        <v>NM</v>
      </c>
      <c r="Q74" s="19" t="str">
        <f>IFERROR(VLOOKUP(B74,crm_orders!$A:$S,7,FALSE),"")</f>
        <v>Wholesale</v>
      </c>
      <c r="R74" s="19" t="str">
        <f>IFERROR(VLOOKUP(B74,crm_orders!$A:$S,8,FALSE),"")</f>
        <v>SKU0017</v>
      </c>
    </row>
    <row r="75" ht="15.75" customHeight="1">
      <c r="A75" s="25" t="s">
        <v>2403</v>
      </c>
      <c r="B75" s="25" t="s">
        <v>183</v>
      </c>
      <c r="C75" s="26">
        <v>46065.0</v>
      </c>
      <c r="D75" s="25" t="s">
        <v>2254</v>
      </c>
      <c r="E75" s="25" t="s">
        <v>2286</v>
      </c>
      <c r="F75" s="25" t="s">
        <v>2404</v>
      </c>
      <c r="G75" s="29">
        <v>96.0</v>
      </c>
      <c r="H75" s="29">
        <v>96.0</v>
      </c>
      <c r="I75" s="29">
        <v>0.0</v>
      </c>
      <c r="J75" s="25" t="s">
        <v>2247</v>
      </c>
      <c r="K75" s="25" t="s">
        <v>2247</v>
      </c>
      <c r="L75" s="25" t="s">
        <v>2247</v>
      </c>
      <c r="M75" s="25" t="s">
        <v>2248</v>
      </c>
      <c r="N75" s="29">
        <f>IFERROR((C75-VLOOKUP(B75,crm_orders!$A:$S,2,FALSE))*24,0)</f>
        <v>24</v>
      </c>
      <c r="O75" s="27" t="str">
        <f>IFERROR(VLOOKUP(B75,crm_orders!$A:$S,3,FALSE),"")</f>
        <v>DSP0084</v>
      </c>
      <c r="P75" s="27" t="str">
        <f>IFERROR(VLOOKUP(B75,crm_orders!$A:$S,5,FALSE),"")</f>
        <v>OK</v>
      </c>
      <c r="Q75" s="27" t="str">
        <f>IFERROR(VLOOKUP(B75,crm_orders!$A:$S,7,FALSE),"")</f>
        <v>Wholesale</v>
      </c>
      <c r="R75" s="27" t="str">
        <f>IFERROR(VLOOKUP(B75,crm_orders!$A:$S,8,FALSE),"")</f>
        <v>SKU0007</v>
      </c>
    </row>
    <row r="76" ht="15.75" customHeight="1">
      <c r="A76" s="17" t="s">
        <v>2405</v>
      </c>
      <c r="B76" s="17" t="s">
        <v>865</v>
      </c>
      <c r="C76" s="18">
        <v>46095.0</v>
      </c>
      <c r="D76" s="17" t="s">
        <v>2269</v>
      </c>
      <c r="E76" s="17" t="s">
        <v>2244</v>
      </c>
      <c r="F76" s="17" t="s">
        <v>2406</v>
      </c>
      <c r="G76" s="21">
        <v>120.0</v>
      </c>
      <c r="H76" s="21">
        <v>120.0</v>
      </c>
      <c r="I76" s="21">
        <v>0.0</v>
      </c>
      <c r="J76" s="17" t="s">
        <v>2247</v>
      </c>
      <c r="K76" s="17" t="s">
        <v>2247</v>
      </c>
      <c r="L76" s="17" t="s">
        <v>2247</v>
      </c>
      <c r="M76" s="17" t="s">
        <v>2248</v>
      </c>
      <c r="N76" s="21">
        <f>IFERROR((C76-VLOOKUP(B76,crm_orders!$A:$S,2,FALSE))*24,0)</f>
        <v>192</v>
      </c>
      <c r="O76" s="19" t="str">
        <f>IFERROR(VLOOKUP(B76,crm_orders!$A:$S,3,FALSE),"")</f>
        <v>DSP0092</v>
      </c>
      <c r="P76" s="19" t="str">
        <f>IFERROR(VLOOKUP(B76,crm_orders!$A:$S,5,FALSE),"")</f>
        <v>MI</v>
      </c>
      <c r="Q76" s="19" t="str">
        <f>IFERROR(VLOOKUP(B76,crm_orders!$A:$S,7,FALSE),"")</f>
        <v>Wholesale</v>
      </c>
      <c r="R76" s="19" t="str">
        <f>IFERROR(VLOOKUP(B76,crm_orders!$A:$S,8,FALSE),"")</f>
        <v>SKU0003</v>
      </c>
    </row>
    <row r="77" ht="15.75" customHeight="1">
      <c r="A77" s="25" t="s">
        <v>2407</v>
      </c>
      <c r="B77" s="25" t="s">
        <v>969</v>
      </c>
      <c r="C77" s="26">
        <v>46141.0</v>
      </c>
      <c r="D77" s="25" t="s">
        <v>2260</v>
      </c>
      <c r="E77" s="25" t="s">
        <v>2244</v>
      </c>
      <c r="F77" s="25" t="s">
        <v>2408</v>
      </c>
      <c r="G77" s="29">
        <v>30.0</v>
      </c>
      <c r="H77" s="29">
        <v>30.0</v>
      </c>
      <c r="I77" s="29">
        <v>0.0</v>
      </c>
      <c r="J77" s="25" t="s">
        <v>2247</v>
      </c>
      <c r="K77" s="25" t="s">
        <v>2247</v>
      </c>
      <c r="L77" s="25" t="s">
        <v>2247</v>
      </c>
      <c r="M77" s="25" t="s">
        <v>2248</v>
      </c>
      <c r="N77" s="29">
        <f>IFERROR((C77-VLOOKUP(B77,crm_orders!$A:$S,2,FALSE))*24,0)</f>
        <v>24</v>
      </c>
      <c r="O77" s="27" t="str">
        <f>IFERROR(VLOOKUP(B77,crm_orders!$A:$S,3,FALSE),"")</f>
        <v>DSP0047</v>
      </c>
      <c r="P77" s="27" t="str">
        <f>IFERROR(VLOOKUP(B77,crm_orders!$A:$S,5,FALSE),"")</f>
        <v>NY</v>
      </c>
      <c r="Q77" s="27" t="str">
        <f>IFERROR(VLOOKUP(B77,crm_orders!$A:$S,7,FALSE),"")</f>
        <v>Retail</v>
      </c>
      <c r="R77" s="27" t="str">
        <f>IFERROR(VLOOKUP(B77,crm_orders!$A:$S,8,FALSE),"")</f>
        <v>SKU0012</v>
      </c>
    </row>
    <row r="78" ht="15.75" customHeight="1">
      <c r="A78" s="17" t="s">
        <v>2409</v>
      </c>
      <c r="B78" s="17" t="s">
        <v>721</v>
      </c>
      <c r="C78" s="18">
        <v>46044.0</v>
      </c>
      <c r="D78" s="17" t="s">
        <v>2260</v>
      </c>
      <c r="E78" s="17" t="s">
        <v>2286</v>
      </c>
      <c r="F78" s="17" t="s">
        <v>2410</v>
      </c>
      <c r="G78" s="21">
        <v>72.0</v>
      </c>
      <c r="H78" s="21">
        <v>72.0</v>
      </c>
      <c r="I78" s="21">
        <v>0.0</v>
      </c>
      <c r="J78" s="17" t="s">
        <v>2247</v>
      </c>
      <c r="K78" s="17" t="s">
        <v>2247</v>
      </c>
      <c r="L78" s="17" t="s">
        <v>2247</v>
      </c>
      <c r="M78" s="17" t="s">
        <v>2248</v>
      </c>
      <c r="N78" s="21">
        <f>IFERROR((C78-VLOOKUP(B78,crm_orders!$A:$S,2,FALSE))*24,0)</f>
        <v>216</v>
      </c>
      <c r="O78" s="19" t="str">
        <f>IFERROR(VLOOKUP(B78,crm_orders!$A:$S,3,FALSE),"")</f>
        <v>DSP0009</v>
      </c>
      <c r="P78" s="19" t="str">
        <f>IFERROR(VLOOKUP(B78,crm_orders!$A:$S,5,FALSE),"")</f>
        <v>MO</v>
      </c>
      <c r="Q78" s="19" t="str">
        <f>IFERROR(VLOOKUP(B78,crm_orders!$A:$S,7,FALSE),"")</f>
        <v>Retail</v>
      </c>
      <c r="R78" s="19" t="str">
        <f>IFERROR(VLOOKUP(B78,crm_orders!$A:$S,8,FALSE),"")</f>
        <v>SKU0011</v>
      </c>
    </row>
    <row r="79" ht="15.75" customHeight="1">
      <c r="A79" s="25" t="s">
        <v>2411</v>
      </c>
      <c r="B79" s="25" t="s">
        <v>84</v>
      </c>
      <c r="C79" s="26">
        <v>46146.0</v>
      </c>
      <c r="D79" s="25" t="s">
        <v>2254</v>
      </c>
      <c r="E79" s="25" t="s">
        <v>2286</v>
      </c>
      <c r="F79" s="25" t="s">
        <v>2412</v>
      </c>
      <c r="G79" s="29">
        <v>36.0</v>
      </c>
      <c r="H79" s="29">
        <v>36.0</v>
      </c>
      <c r="I79" s="29">
        <v>0.0</v>
      </c>
      <c r="J79" s="25" t="s">
        <v>2246</v>
      </c>
      <c r="K79" s="25" t="s">
        <v>2247</v>
      </c>
      <c r="L79" s="25" t="s">
        <v>2246</v>
      </c>
      <c r="M79" s="25" t="s">
        <v>2248</v>
      </c>
      <c r="N79" s="29">
        <f>IFERROR((C79-VLOOKUP(B79,crm_orders!$A:$S,2,FALSE))*24,0)</f>
        <v>144</v>
      </c>
      <c r="O79" s="27" t="str">
        <f>IFERROR(VLOOKUP(B79,crm_orders!$A:$S,3,FALSE),"")</f>
        <v>DSP0075</v>
      </c>
      <c r="P79" s="27" t="str">
        <f>IFERROR(VLOOKUP(B79,crm_orders!$A:$S,5,FALSE),"")</f>
        <v>CA</v>
      </c>
      <c r="Q79" s="27" t="str">
        <f>IFERROR(VLOOKUP(B79,crm_orders!$A:$S,7,FALSE),"")</f>
        <v>Retail</v>
      </c>
      <c r="R79" s="27" t="str">
        <f>IFERROR(VLOOKUP(B79,crm_orders!$A:$S,8,FALSE),"")</f>
        <v>SKU0005</v>
      </c>
    </row>
    <row r="80" ht="15.75" customHeight="1">
      <c r="A80" s="17" t="s">
        <v>2413</v>
      </c>
      <c r="B80" s="17" t="s">
        <v>86</v>
      </c>
      <c r="C80" s="18">
        <v>46081.0</v>
      </c>
      <c r="D80" s="17" t="s">
        <v>2250</v>
      </c>
      <c r="E80" s="17" t="s">
        <v>2286</v>
      </c>
      <c r="F80" s="17" t="s">
        <v>2414</v>
      </c>
      <c r="G80" s="21">
        <v>120.0</v>
      </c>
      <c r="H80" s="21">
        <v>84.0</v>
      </c>
      <c r="I80" s="21">
        <v>36.0</v>
      </c>
      <c r="J80" s="17" t="s">
        <v>2246</v>
      </c>
      <c r="K80" s="17" t="s">
        <v>2246</v>
      </c>
      <c r="L80" s="17" t="s">
        <v>2246</v>
      </c>
      <c r="M80" s="17" t="s">
        <v>2267</v>
      </c>
      <c r="N80" s="21">
        <f>IFERROR((C80-VLOOKUP(B80,crm_orders!$A:$S,2,FALSE))*24,0)</f>
        <v>240</v>
      </c>
      <c r="O80" s="19" t="str">
        <f>IFERROR(VLOOKUP(B80,crm_orders!$A:$S,3,FALSE),"")</f>
        <v>DSP0040</v>
      </c>
      <c r="P80" s="19" t="str">
        <f>IFERROR(VLOOKUP(B80,crm_orders!$A:$S,5,FALSE),"")</f>
        <v>CO</v>
      </c>
      <c r="Q80" s="19" t="str">
        <f>IFERROR(VLOOKUP(B80,crm_orders!$A:$S,7,FALSE),"")</f>
        <v>Retail</v>
      </c>
      <c r="R80" s="19" t="str">
        <f>IFERROR(VLOOKUP(B80,crm_orders!$A:$S,8,FALSE),"")</f>
        <v>SKU0018</v>
      </c>
    </row>
    <row r="81" ht="15.75" customHeight="1">
      <c r="A81" s="25" t="s">
        <v>2415</v>
      </c>
      <c r="B81" s="25" t="s">
        <v>558</v>
      </c>
      <c r="C81" s="26">
        <v>46033.0</v>
      </c>
      <c r="D81" s="25" t="s">
        <v>2260</v>
      </c>
      <c r="E81" s="25" t="s">
        <v>2255</v>
      </c>
      <c r="F81" s="25" t="s">
        <v>2416</v>
      </c>
      <c r="G81" s="29">
        <v>36.0</v>
      </c>
      <c r="H81" s="29">
        <v>30.0</v>
      </c>
      <c r="I81" s="29">
        <v>6.0</v>
      </c>
      <c r="J81" s="25" t="s">
        <v>2247</v>
      </c>
      <c r="K81" s="25" t="s">
        <v>2246</v>
      </c>
      <c r="L81" s="25" t="s">
        <v>2246</v>
      </c>
      <c r="M81" s="25" t="s">
        <v>2267</v>
      </c>
      <c r="N81" s="29">
        <f>IFERROR((C81-VLOOKUP(B81,crm_orders!$A:$S,2,FALSE))*24,0)</f>
        <v>192</v>
      </c>
      <c r="O81" s="27" t="str">
        <f>IFERROR(VLOOKUP(B81,crm_orders!$A:$S,3,FALSE),"")</f>
        <v>DSP0066</v>
      </c>
      <c r="P81" s="27" t="str">
        <f>IFERROR(VLOOKUP(B81,crm_orders!$A:$S,5,FALSE),"")</f>
        <v>NV</v>
      </c>
      <c r="Q81" s="27" t="str">
        <f>IFERROR(VLOOKUP(B81,crm_orders!$A:$S,7,FALSE),"")</f>
        <v>Wholesale</v>
      </c>
      <c r="R81" s="27" t="str">
        <f>IFERROR(VLOOKUP(B81,crm_orders!$A:$S,8,FALSE),"")</f>
        <v>SKU0012</v>
      </c>
    </row>
    <row r="82" ht="15.75" customHeight="1">
      <c r="A82" s="17" t="s">
        <v>2417</v>
      </c>
      <c r="B82" s="17" t="s">
        <v>1086</v>
      </c>
      <c r="C82" s="18">
        <v>46070.0</v>
      </c>
      <c r="D82" s="17" t="s">
        <v>2254</v>
      </c>
      <c r="E82" s="17" t="s">
        <v>2251</v>
      </c>
      <c r="F82" s="17" t="s">
        <v>2418</v>
      </c>
      <c r="G82" s="21">
        <v>12.0</v>
      </c>
      <c r="H82" s="21">
        <v>12.0</v>
      </c>
      <c r="I82" s="21">
        <v>0.0</v>
      </c>
      <c r="J82" s="17" t="s">
        <v>2246</v>
      </c>
      <c r="K82" s="17" t="s">
        <v>2247</v>
      </c>
      <c r="L82" s="17" t="s">
        <v>2246</v>
      </c>
      <c r="M82" s="17" t="s">
        <v>2248</v>
      </c>
      <c r="N82" s="21">
        <f>IFERROR((C82-VLOOKUP(B82,crm_orders!$A:$S,2,FALSE))*24,0)</f>
        <v>240</v>
      </c>
      <c r="O82" s="19" t="str">
        <f>IFERROR(VLOOKUP(B82,crm_orders!$A:$S,3,FALSE),"")</f>
        <v>DSP0020</v>
      </c>
      <c r="P82" s="19" t="str">
        <f>IFERROR(VLOOKUP(B82,crm_orders!$A:$S,5,FALSE),"")</f>
        <v>MI</v>
      </c>
      <c r="Q82" s="19" t="str">
        <f>IFERROR(VLOOKUP(B82,crm_orders!$A:$S,7,FALSE),"")</f>
        <v>Retail</v>
      </c>
      <c r="R82" s="19" t="str">
        <f>IFERROR(VLOOKUP(B82,crm_orders!$A:$S,8,FALSE),"")</f>
        <v>SKU0003</v>
      </c>
    </row>
    <row r="83" ht="15.75" customHeight="1">
      <c r="A83" s="25" t="s">
        <v>2419</v>
      </c>
      <c r="B83" s="25" t="s">
        <v>185</v>
      </c>
      <c r="C83" s="26">
        <v>46050.0</v>
      </c>
      <c r="D83" s="25" t="s">
        <v>2260</v>
      </c>
      <c r="E83" s="25" t="s">
        <v>2286</v>
      </c>
      <c r="F83" s="25" t="s">
        <v>2420</v>
      </c>
      <c r="G83" s="29">
        <v>96.0</v>
      </c>
      <c r="H83" s="29">
        <v>96.0</v>
      </c>
      <c r="I83" s="29">
        <v>0.0</v>
      </c>
      <c r="J83" s="25" t="s">
        <v>2246</v>
      </c>
      <c r="K83" s="25" t="s">
        <v>2247</v>
      </c>
      <c r="L83" s="25" t="s">
        <v>2246</v>
      </c>
      <c r="M83" s="25" t="s">
        <v>2248</v>
      </c>
      <c r="N83" s="29">
        <f>IFERROR((C83-VLOOKUP(B83,crm_orders!$A:$S,2,FALSE))*24,0)</f>
        <v>264</v>
      </c>
      <c r="O83" s="27" t="str">
        <f>IFERROR(VLOOKUP(B83,crm_orders!$A:$S,3,FALSE),"")</f>
        <v>DSP0099</v>
      </c>
      <c r="P83" s="27" t="str">
        <f>IFERROR(VLOOKUP(B83,crm_orders!$A:$S,5,FALSE),"")</f>
        <v>CA</v>
      </c>
      <c r="Q83" s="27" t="str">
        <f>IFERROR(VLOOKUP(B83,crm_orders!$A:$S,7,FALSE),"")</f>
        <v>Distributor</v>
      </c>
      <c r="R83" s="27" t="str">
        <f>IFERROR(VLOOKUP(B83,crm_orders!$A:$S,8,FALSE),"")</f>
        <v>SKU0020</v>
      </c>
    </row>
    <row r="84" ht="15.75" customHeight="1">
      <c r="A84" s="17" t="s">
        <v>2421</v>
      </c>
      <c r="B84" s="17" t="s">
        <v>460</v>
      </c>
      <c r="C84" s="18">
        <v>46081.0</v>
      </c>
      <c r="D84" s="17" t="s">
        <v>2260</v>
      </c>
      <c r="E84" s="17" t="s">
        <v>2261</v>
      </c>
      <c r="F84" s="17" t="s">
        <v>2422</v>
      </c>
      <c r="G84" s="21">
        <v>36.0</v>
      </c>
      <c r="H84" s="21">
        <v>36.0</v>
      </c>
      <c r="I84" s="21">
        <v>0.0</v>
      </c>
      <c r="J84" s="17" t="s">
        <v>2246</v>
      </c>
      <c r="K84" s="17" t="s">
        <v>2247</v>
      </c>
      <c r="L84" s="17" t="s">
        <v>2246</v>
      </c>
      <c r="M84" s="17" t="s">
        <v>2248</v>
      </c>
      <c r="N84" s="21">
        <f>IFERROR((C84-VLOOKUP(B84,crm_orders!$A:$S,2,FALSE))*24,0)</f>
        <v>144</v>
      </c>
      <c r="O84" s="19" t="str">
        <f>IFERROR(VLOOKUP(B84,crm_orders!$A:$S,3,FALSE),"")</f>
        <v>DSP0057</v>
      </c>
      <c r="P84" s="19" t="str">
        <f>IFERROR(VLOOKUP(B84,crm_orders!$A:$S,5,FALSE),"")</f>
        <v>MO</v>
      </c>
      <c r="Q84" s="19" t="str">
        <f>IFERROR(VLOOKUP(B84,crm_orders!$A:$S,7,FALSE),"")</f>
        <v>Wholesale</v>
      </c>
      <c r="R84" s="19" t="str">
        <f>IFERROR(VLOOKUP(B84,crm_orders!$A:$S,8,FALSE),"")</f>
        <v>SKU0002</v>
      </c>
    </row>
    <row r="85" ht="15.75" customHeight="1">
      <c r="A85" s="25" t="s">
        <v>2423</v>
      </c>
      <c r="B85" s="25" t="s">
        <v>560</v>
      </c>
      <c r="C85" s="26">
        <v>46057.0</v>
      </c>
      <c r="D85" s="25" t="s">
        <v>2254</v>
      </c>
      <c r="E85" s="25" t="s">
        <v>2244</v>
      </c>
      <c r="F85" s="25" t="s">
        <v>2424</v>
      </c>
      <c r="G85" s="29">
        <v>30.0</v>
      </c>
      <c r="H85" s="29">
        <v>30.0</v>
      </c>
      <c r="I85" s="29">
        <v>0.0</v>
      </c>
      <c r="J85" s="25" t="s">
        <v>2247</v>
      </c>
      <c r="K85" s="25" t="s">
        <v>2247</v>
      </c>
      <c r="L85" s="25" t="s">
        <v>2247</v>
      </c>
      <c r="M85" s="25" t="s">
        <v>2248</v>
      </c>
      <c r="N85" s="29">
        <f>IFERROR((C85-VLOOKUP(B85,crm_orders!$A:$S,2,FALSE))*24,0)</f>
        <v>96</v>
      </c>
      <c r="O85" s="27" t="str">
        <f>IFERROR(VLOOKUP(B85,crm_orders!$A:$S,3,FALSE),"")</f>
        <v>DSP0030</v>
      </c>
      <c r="P85" s="27" t="str">
        <f>IFERROR(VLOOKUP(B85,crm_orders!$A:$S,5,FALSE),"")</f>
        <v>NV</v>
      </c>
      <c r="Q85" s="27" t="str">
        <f>IFERROR(VLOOKUP(B85,crm_orders!$A:$S,7,FALSE),"")</f>
        <v>Distributor</v>
      </c>
      <c r="R85" s="27" t="str">
        <f>IFERROR(VLOOKUP(B85,crm_orders!$A:$S,8,FALSE),"")</f>
        <v>SKU0018</v>
      </c>
    </row>
    <row r="86" ht="15.75" customHeight="1">
      <c r="A86" s="17" t="s">
        <v>2425</v>
      </c>
      <c r="B86" s="17" t="s">
        <v>461</v>
      </c>
      <c r="C86" s="18">
        <v>46126.0</v>
      </c>
      <c r="D86" s="17" t="s">
        <v>2254</v>
      </c>
      <c r="E86" s="17" t="s">
        <v>2251</v>
      </c>
      <c r="F86" s="17" t="s">
        <v>2426</v>
      </c>
      <c r="G86" s="21">
        <v>30.0</v>
      </c>
      <c r="H86" s="21">
        <v>30.0</v>
      </c>
      <c r="I86" s="21">
        <v>0.0</v>
      </c>
      <c r="J86" s="17" t="s">
        <v>2246</v>
      </c>
      <c r="K86" s="17" t="s">
        <v>2247</v>
      </c>
      <c r="L86" s="17" t="s">
        <v>2246</v>
      </c>
      <c r="M86" s="17" t="s">
        <v>2248</v>
      </c>
      <c r="N86" s="21">
        <f>IFERROR((C86-VLOOKUP(B86,crm_orders!$A:$S,2,FALSE))*24,0)</f>
        <v>120</v>
      </c>
      <c r="O86" s="19" t="str">
        <f>IFERROR(VLOOKUP(B86,crm_orders!$A:$S,3,FALSE),"")</f>
        <v>DSP0057</v>
      </c>
      <c r="P86" s="19" t="str">
        <f>IFERROR(VLOOKUP(B86,crm_orders!$A:$S,5,FALSE),"")</f>
        <v>MO</v>
      </c>
      <c r="Q86" s="19" t="str">
        <f>IFERROR(VLOOKUP(B86,crm_orders!$A:$S,7,FALSE),"")</f>
        <v>Wholesale</v>
      </c>
      <c r="R86" s="19" t="str">
        <f>IFERROR(VLOOKUP(B86,crm_orders!$A:$S,8,FALSE),"")</f>
        <v>SKU0015</v>
      </c>
    </row>
    <row r="87" ht="15.75" customHeight="1">
      <c r="A87" s="25" t="s">
        <v>2427</v>
      </c>
      <c r="B87" s="25" t="s">
        <v>1087</v>
      </c>
      <c r="C87" s="26">
        <v>46062.0</v>
      </c>
      <c r="D87" s="25" t="s">
        <v>2243</v>
      </c>
      <c r="E87" s="25" t="s">
        <v>2251</v>
      </c>
      <c r="F87" s="25" t="s">
        <v>2428</v>
      </c>
      <c r="G87" s="29">
        <v>60.0</v>
      </c>
      <c r="H87" s="29">
        <v>60.0</v>
      </c>
      <c r="I87" s="29">
        <v>0.0</v>
      </c>
      <c r="J87" s="25" t="s">
        <v>2246</v>
      </c>
      <c r="K87" s="25" t="s">
        <v>2247</v>
      </c>
      <c r="L87" s="25" t="s">
        <v>2246</v>
      </c>
      <c r="M87" s="25" t="s">
        <v>2248</v>
      </c>
      <c r="N87" s="29">
        <f>IFERROR((C87-VLOOKUP(B87,crm_orders!$A:$S,2,FALSE))*24,0)</f>
        <v>120</v>
      </c>
      <c r="O87" s="27" t="str">
        <f>IFERROR(VLOOKUP(B87,crm_orders!$A:$S,3,FALSE),"")</f>
        <v>DSP0098</v>
      </c>
      <c r="P87" s="27" t="str">
        <f>IFERROR(VLOOKUP(B87,crm_orders!$A:$S,5,FALSE),"")</f>
        <v>WA</v>
      </c>
      <c r="Q87" s="27" t="str">
        <f>IFERROR(VLOOKUP(B87,crm_orders!$A:$S,7,FALSE),"")</f>
        <v>Wholesale</v>
      </c>
      <c r="R87" s="27" t="str">
        <f>IFERROR(VLOOKUP(B87,crm_orders!$A:$S,8,FALSE),"")</f>
        <v>SKU0006</v>
      </c>
    </row>
    <row r="88" ht="15.75" customHeight="1">
      <c r="A88" s="17" t="s">
        <v>2429</v>
      </c>
      <c r="B88" s="17" t="s">
        <v>562</v>
      </c>
      <c r="C88" s="18">
        <v>46084.0</v>
      </c>
      <c r="D88" s="17" t="s">
        <v>2269</v>
      </c>
      <c r="E88" s="17" t="s">
        <v>2261</v>
      </c>
      <c r="F88" s="17" t="s">
        <v>2430</v>
      </c>
      <c r="G88" s="21">
        <v>96.0</v>
      </c>
      <c r="H88" s="21">
        <v>96.0</v>
      </c>
      <c r="I88" s="21">
        <v>0.0</v>
      </c>
      <c r="J88" s="17" t="s">
        <v>2246</v>
      </c>
      <c r="K88" s="17" t="s">
        <v>2247</v>
      </c>
      <c r="L88" s="17" t="s">
        <v>2246</v>
      </c>
      <c r="M88" s="17" t="s">
        <v>2248</v>
      </c>
      <c r="N88" s="21">
        <f>IFERROR((C88-VLOOKUP(B88,crm_orders!$A:$S,2,FALSE))*24,0)</f>
        <v>96</v>
      </c>
      <c r="O88" s="19" t="str">
        <f>IFERROR(VLOOKUP(B88,crm_orders!$A:$S,3,FALSE),"")</f>
        <v>DSP0091</v>
      </c>
      <c r="P88" s="19" t="str">
        <f>IFERROR(VLOOKUP(B88,crm_orders!$A:$S,5,FALSE),"")</f>
        <v>IL</v>
      </c>
      <c r="Q88" s="19" t="str">
        <f>IFERROR(VLOOKUP(B88,crm_orders!$A:$S,7,FALSE),"")</f>
        <v>Wholesale</v>
      </c>
      <c r="R88" s="19" t="str">
        <f>IFERROR(VLOOKUP(B88,crm_orders!$A:$S,8,FALSE),"")</f>
        <v>SKU0016</v>
      </c>
    </row>
    <row r="89" ht="15.75" customHeight="1">
      <c r="A89" s="25" t="s">
        <v>2431</v>
      </c>
      <c r="B89" s="25" t="s">
        <v>870</v>
      </c>
      <c r="C89" s="26">
        <v>46047.0</v>
      </c>
      <c r="D89" s="25" t="s">
        <v>2254</v>
      </c>
      <c r="E89" s="25" t="s">
        <v>2286</v>
      </c>
      <c r="F89" s="25" t="s">
        <v>2432</v>
      </c>
      <c r="G89" s="29">
        <v>30.0</v>
      </c>
      <c r="H89" s="29">
        <v>30.0</v>
      </c>
      <c r="I89" s="29">
        <v>0.0</v>
      </c>
      <c r="J89" s="25" t="s">
        <v>2247</v>
      </c>
      <c r="K89" s="25" t="s">
        <v>2247</v>
      </c>
      <c r="L89" s="25" t="s">
        <v>2247</v>
      </c>
      <c r="M89" s="25" t="s">
        <v>2248</v>
      </c>
      <c r="N89" s="29">
        <f>IFERROR((C89-VLOOKUP(B89,crm_orders!$A:$S,2,FALSE))*24,0)</f>
        <v>240</v>
      </c>
      <c r="O89" s="27" t="str">
        <f>IFERROR(VLOOKUP(B89,crm_orders!$A:$S,3,FALSE),"")</f>
        <v>DSP0068</v>
      </c>
      <c r="P89" s="27" t="str">
        <f>IFERROR(VLOOKUP(B89,crm_orders!$A:$S,5,FALSE),"")</f>
        <v>MI</v>
      </c>
      <c r="Q89" s="27" t="str">
        <f>IFERROR(VLOOKUP(B89,crm_orders!$A:$S,7,FALSE),"")</f>
        <v>Wholesale</v>
      </c>
      <c r="R89" s="27" t="str">
        <f>IFERROR(VLOOKUP(B89,crm_orders!$A:$S,8,FALSE),"")</f>
        <v>SKU0014</v>
      </c>
    </row>
    <row r="90" ht="15.75" customHeight="1">
      <c r="A90" s="17" t="s">
        <v>2433</v>
      </c>
      <c r="B90" s="17" t="s">
        <v>871</v>
      </c>
      <c r="C90" s="18">
        <v>46107.0</v>
      </c>
      <c r="D90" s="17" t="s">
        <v>2260</v>
      </c>
      <c r="E90" s="17" t="s">
        <v>2286</v>
      </c>
      <c r="F90" s="17" t="s">
        <v>2434</v>
      </c>
      <c r="G90" s="21">
        <v>72.0</v>
      </c>
      <c r="H90" s="21">
        <v>72.0</v>
      </c>
      <c r="I90" s="21">
        <v>0.0</v>
      </c>
      <c r="J90" s="17" t="s">
        <v>2246</v>
      </c>
      <c r="K90" s="17" t="s">
        <v>2247</v>
      </c>
      <c r="L90" s="17" t="s">
        <v>2246</v>
      </c>
      <c r="M90" s="17" t="s">
        <v>2248</v>
      </c>
      <c r="N90" s="21">
        <f>IFERROR((C90-VLOOKUP(B90,crm_orders!$A:$S,2,FALSE))*24,0)</f>
        <v>192</v>
      </c>
      <c r="O90" s="19" t="str">
        <f>IFERROR(VLOOKUP(B90,crm_orders!$A:$S,3,FALSE),"")</f>
        <v>DSP0116</v>
      </c>
      <c r="P90" s="19" t="str">
        <f>IFERROR(VLOOKUP(B90,crm_orders!$A:$S,5,FALSE),"")</f>
        <v>MI</v>
      </c>
      <c r="Q90" s="19" t="str">
        <f>IFERROR(VLOOKUP(B90,crm_orders!$A:$S,7,FALSE),"")</f>
        <v>Wholesale</v>
      </c>
      <c r="R90" s="19" t="str">
        <f>IFERROR(VLOOKUP(B90,crm_orders!$A:$S,8,FALSE),"")</f>
        <v/>
      </c>
    </row>
    <row r="91" ht="15.75" customHeight="1">
      <c r="A91" s="25" t="s">
        <v>2435</v>
      </c>
      <c r="B91" s="25" t="s">
        <v>724</v>
      </c>
      <c r="C91" s="26">
        <v>46102.0</v>
      </c>
      <c r="D91" s="25" t="s">
        <v>2260</v>
      </c>
      <c r="E91" s="25" t="s">
        <v>2255</v>
      </c>
      <c r="F91" s="25" t="s">
        <v>2436</v>
      </c>
      <c r="G91" s="29">
        <v>48.0</v>
      </c>
      <c r="H91" s="29">
        <v>48.0</v>
      </c>
      <c r="I91" s="29">
        <v>0.0</v>
      </c>
      <c r="J91" s="25" t="s">
        <v>2247</v>
      </c>
      <c r="K91" s="25" t="s">
        <v>2247</v>
      </c>
      <c r="L91" s="25" t="s">
        <v>2247</v>
      </c>
      <c r="M91" s="25" t="s">
        <v>2248</v>
      </c>
      <c r="N91" s="29">
        <f>IFERROR((C91-VLOOKUP(B91,crm_orders!$A:$S,2,FALSE))*24,0)</f>
        <v>144</v>
      </c>
      <c r="O91" s="27" t="str">
        <f>IFERROR(VLOOKUP(B91,crm_orders!$A:$S,3,FALSE),"")</f>
        <v>DSP0046</v>
      </c>
      <c r="P91" s="27" t="str">
        <f>IFERROR(VLOOKUP(B91,crm_orders!$A:$S,5,FALSE),"")</f>
        <v>NM</v>
      </c>
      <c r="Q91" s="27" t="str">
        <f>IFERROR(VLOOKUP(B91,crm_orders!$A:$S,7,FALSE),"")</f>
        <v>Wholesale</v>
      </c>
      <c r="R91" s="27" t="str">
        <f>IFERROR(VLOOKUP(B91,crm_orders!$A:$S,8,FALSE),"")</f>
        <v>SKU0008</v>
      </c>
    </row>
    <row r="92" ht="15.75" customHeight="1">
      <c r="A92" s="17" t="s">
        <v>2437</v>
      </c>
      <c r="B92" s="17" t="s">
        <v>309</v>
      </c>
      <c r="C92" s="18">
        <v>46073.0</v>
      </c>
      <c r="D92" s="17" t="s">
        <v>2250</v>
      </c>
      <c r="E92" s="17" t="s">
        <v>2261</v>
      </c>
      <c r="F92" s="17" t="s">
        <v>2438</v>
      </c>
      <c r="G92" s="21">
        <v>24.0</v>
      </c>
      <c r="H92" s="21">
        <v>24.0</v>
      </c>
      <c r="I92" s="21">
        <v>0.0</v>
      </c>
      <c r="J92" s="17" t="s">
        <v>2247</v>
      </c>
      <c r="K92" s="17" t="s">
        <v>2247</v>
      </c>
      <c r="L92" s="17" t="s">
        <v>2247</v>
      </c>
      <c r="M92" s="17" t="s">
        <v>2248</v>
      </c>
      <c r="N92" s="21">
        <f>IFERROR((C92-VLOOKUP(B92,crm_orders!$A:$S,2,FALSE))*24,0)</f>
        <v>144</v>
      </c>
      <c r="O92" s="19" t="str">
        <f>IFERROR(VLOOKUP(B92,crm_orders!$A:$S,3,FALSE),"")</f>
        <v>DSP0101</v>
      </c>
      <c r="P92" s="19" t="str">
        <f>IFERROR(VLOOKUP(B92,crm_orders!$A:$S,5,FALSE),"")</f>
        <v>AZ</v>
      </c>
      <c r="Q92" s="19" t="str">
        <f>IFERROR(VLOOKUP(B92,crm_orders!$A:$S,7,FALSE),"")</f>
        <v>Retail</v>
      </c>
      <c r="R92" s="19" t="str">
        <f>IFERROR(VLOOKUP(B92,crm_orders!$A:$S,8,FALSE),"")</f>
        <v>SKU0003</v>
      </c>
    </row>
    <row r="93" ht="15.75" customHeight="1">
      <c r="A93" s="25" t="s">
        <v>2439</v>
      </c>
      <c r="B93" s="25" t="s">
        <v>186</v>
      </c>
      <c r="C93" s="26">
        <v>46133.0</v>
      </c>
      <c r="D93" s="25" t="s">
        <v>2269</v>
      </c>
      <c r="E93" s="25" t="s">
        <v>2286</v>
      </c>
      <c r="F93" s="25" t="s">
        <v>2440</v>
      </c>
      <c r="G93" s="29">
        <v>120.0</v>
      </c>
      <c r="H93" s="29">
        <v>120.0</v>
      </c>
      <c r="I93" s="29">
        <v>0.0</v>
      </c>
      <c r="J93" s="25" t="s">
        <v>2246</v>
      </c>
      <c r="K93" s="25" t="s">
        <v>2247</v>
      </c>
      <c r="L93" s="25" t="s">
        <v>2246</v>
      </c>
      <c r="M93" s="25" t="s">
        <v>2248</v>
      </c>
      <c r="N93" s="29">
        <f>IFERROR((C93-VLOOKUP(B93,crm_orders!$A:$S,2,FALSE))*24,0)</f>
        <v>96</v>
      </c>
      <c r="O93" s="27" t="str">
        <f>IFERROR(VLOOKUP(B93,crm_orders!$A:$S,3,FALSE),"")</f>
        <v>DSP0044</v>
      </c>
      <c r="P93" s="27" t="str">
        <f>IFERROR(VLOOKUP(B93,crm_orders!$A:$S,5,FALSE),"")</f>
        <v>MI</v>
      </c>
      <c r="Q93" s="27" t="str">
        <f>IFERROR(VLOOKUP(B93,crm_orders!$A:$S,7,FALSE),"")</f>
        <v>Wholesale</v>
      </c>
      <c r="R93" s="27" t="str">
        <f>IFERROR(VLOOKUP(B93,crm_orders!$A:$S,8,FALSE),"")</f>
        <v>SKU0006</v>
      </c>
    </row>
    <row r="94" ht="15.75" customHeight="1">
      <c r="A94" s="17" t="s">
        <v>2441</v>
      </c>
      <c r="B94" s="17" t="s">
        <v>970</v>
      </c>
      <c r="C94" s="18">
        <v>46068.0</v>
      </c>
      <c r="D94" s="17" t="s">
        <v>2243</v>
      </c>
      <c r="E94" s="17" t="s">
        <v>2251</v>
      </c>
      <c r="F94" s="17" t="s">
        <v>2442</v>
      </c>
      <c r="G94" s="21">
        <v>24.0</v>
      </c>
      <c r="H94" s="21">
        <v>24.0</v>
      </c>
      <c r="I94" s="21">
        <v>0.0</v>
      </c>
      <c r="J94" s="17" t="s">
        <v>2246</v>
      </c>
      <c r="K94" s="17" t="s">
        <v>2247</v>
      </c>
      <c r="L94" s="17" t="s">
        <v>2246</v>
      </c>
      <c r="M94" s="17" t="s">
        <v>2248</v>
      </c>
      <c r="N94" s="21">
        <f>IFERROR((C94-VLOOKUP(B94,crm_orders!$A:$S,2,FALSE))*24,0)</f>
        <v>192</v>
      </c>
      <c r="O94" s="19" t="str">
        <f>IFERROR(VLOOKUP(B94,crm_orders!$A:$S,3,FALSE),"")</f>
        <v>DSP0059</v>
      </c>
      <c r="P94" s="19" t="str">
        <f>IFERROR(VLOOKUP(B94,crm_orders!$A:$S,5,FALSE),"")</f>
        <v>NY</v>
      </c>
      <c r="Q94" s="19" t="str">
        <f>IFERROR(VLOOKUP(B94,crm_orders!$A:$S,7,FALSE),"")</f>
        <v>Wholesale</v>
      </c>
      <c r="R94" s="19" t="str">
        <f>IFERROR(VLOOKUP(B94,crm_orders!$A:$S,8,FALSE),"")</f>
        <v>SKU0002</v>
      </c>
    </row>
    <row r="95" ht="15.75" customHeight="1">
      <c r="A95" s="25" t="s">
        <v>2443</v>
      </c>
      <c r="B95" s="25" t="s">
        <v>1138</v>
      </c>
      <c r="C95" s="26">
        <v>46065.0</v>
      </c>
      <c r="D95" s="25" t="s">
        <v>2269</v>
      </c>
      <c r="E95" s="25" t="s">
        <v>2251</v>
      </c>
      <c r="F95" s="25" t="s">
        <v>2444</v>
      </c>
      <c r="G95" s="29">
        <v>6.0</v>
      </c>
      <c r="H95" s="29">
        <v>6.0</v>
      </c>
      <c r="I95" s="29">
        <v>0.0</v>
      </c>
      <c r="J95" s="25" t="s">
        <v>2246</v>
      </c>
      <c r="K95" s="25" t="s">
        <v>2247</v>
      </c>
      <c r="L95" s="25" t="s">
        <v>2246</v>
      </c>
      <c r="M95" s="25" t="s">
        <v>2248</v>
      </c>
      <c r="N95" s="29">
        <f>IFERROR((C95-VLOOKUP(B95,crm_orders!$A:$S,2,FALSE))*24,0)</f>
        <v>240</v>
      </c>
      <c r="O95" s="27" t="str">
        <f>IFERROR(VLOOKUP(B95,crm_orders!$A:$S,3,FALSE),"")</f>
        <v>DSP0070</v>
      </c>
      <c r="P95" s="27" t="str">
        <f>IFERROR(VLOOKUP(B95,crm_orders!$A:$S,5,FALSE),"")</f>
        <v>NM</v>
      </c>
      <c r="Q95" s="27" t="str">
        <f>IFERROR(VLOOKUP(B95,crm_orders!$A:$S,7,FALSE),"")</f>
        <v>Wholesale</v>
      </c>
      <c r="R95" s="27" t="str">
        <f>IFERROR(VLOOKUP(B95,crm_orders!$A:$S,8,FALSE),"")</f>
        <v>SKU0016</v>
      </c>
    </row>
    <row r="96" ht="15.75" customHeight="1">
      <c r="A96" s="17" t="s">
        <v>2445</v>
      </c>
      <c r="B96" s="17" t="s">
        <v>1089</v>
      </c>
      <c r="C96" s="18">
        <v>46082.0</v>
      </c>
      <c r="D96" s="17" t="s">
        <v>2250</v>
      </c>
      <c r="E96" s="17" t="s">
        <v>2255</v>
      </c>
      <c r="F96" s="17" t="s">
        <v>2446</v>
      </c>
      <c r="G96" s="21">
        <v>48.0</v>
      </c>
      <c r="H96" s="21">
        <v>24.0</v>
      </c>
      <c r="I96" s="21">
        <v>24.0</v>
      </c>
      <c r="J96" s="17" t="s">
        <v>2246</v>
      </c>
      <c r="K96" s="17" t="s">
        <v>2246</v>
      </c>
      <c r="L96" s="17" t="s">
        <v>2246</v>
      </c>
      <c r="M96" s="17" t="s">
        <v>2267</v>
      </c>
      <c r="N96" s="21">
        <f>IFERROR((C96-VLOOKUP(B96,crm_orders!$A:$S,2,FALSE))*24,0)</f>
        <v>96</v>
      </c>
      <c r="O96" s="19" t="str">
        <f>IFERROR(VLOOKUP(B96,crm_orders!$A:$S,3,FALSE),"")</f>
        <v>DSP0016</v>
      </c>
      <c r="P96" s="19" t="str">
        <f>IFERROR(VLOOKUP(B96,crm_orders!$A:$S,5,FALSE),"")</f>
        <v>CO</v>
      </c>
      <c r="Q96" s="19" t="str">
        <f>IFERROR(VLOOKUP(B96,crm_orders!$A:$S,7,FALSE),"")</f>
        <v>Wholesale</v>
      </c>
      <c r="R96" s="19" t="str">
        <f>IFERROR(VLOOKUP(B96,crm_orders!$A:$S,8,FALSE),"")</f>
        <v>SKU0012</v>
      </c>
    </row>
    <row r="97" ht="15.75" customHeight="1">
      <c r="A97" s="25" t="s">
        <v>2447</v>
      </c>
      <c r="B97" s="25" t="s">
        <v>872</v>
      </c>
      <c r="C97" s="26">
        <v>46060.0</v>
      </c>
      <c r="D97" s="25" t="s">
        <v>2269</v>
      </c>
      <c r="E97" s="25" t="s">
        <v>2261</v>
      </c>
      <c r="F97" s="25" t="s">
        <v>2448</v>
      </c>
      <c r="G97" s="29">
        <v>12.0</v>
      </c>
      <c r="H97" s="29">
        <v>0.0</v>
      </c>
      <c r="I97" s="29">
        <v>12.0</v>
      </c>
      <c r="J97" s="25" t="s">
        <v>2247</v>
      </c>
      <c r="K97" s="25" t="s">
        <v>2246</v>
      </c>
      <c r="L97" s="25" t="s">
        <v>2246</v>
      </c>
      <c r="M97" s="25" t="s">
        <v>2267</v>
      </c>
      <c r="N97" s="29">
        <f>IFERROR((C97-VLOOKUP(B97,crm_orders!$A:$S,2,FALSE))*24,0)</f>
        <v>72</v>
      </c>
      <c r="O97" s="27" t="str">
        <f>IFERROR(VLOOKUP(B97,crm_orders!$A:$S,3,FALSE),"")</f>
        <v>DSP0119</v>
      </c>
      <c r="P97" s="27" t="str">
        <f>IFERROR(VLOOKUP(B97,crm_orders!$A:$S,5,FALSE),"")</f>
        <v>NY</v>
      </c>
      <c r="Q97" s="27" t="str">
        <f>IFERROR(VLOOKUP(B97,crm_orders!$A:$S,7,FALSE),"")</f>
        <v>Wholesale</v>
      </c>
      <c r="R97" s="27" t="str">
        <f>IFERROR(VLOOKUP(B97,crm_orders!$A:$S,8,FALSE),"")</f>
        <v>SKU0017</v>
      </c>
    </row>
    <row r="98" ht="15.75" customHeight="1">
      <c r="A98" s="17" t="s">
        <v>2449</v>
      </c>
      <c r="B98" s="17" t="s">
        <v>187</v>
      </c>
      <c r="C98" s="18">
        <v>46116.0</v>
      </c>
      <c r="D98" s="17" t="s">
        <v>2254</v>
      </c>
      <c r="E98" s="17" t="s">
        <v>2261</v>
      </c>
      <c r="F98" s="17" t="s">
        <v>2450</v>
      </c>
      <c r="G98" s="21">
        <v>30.0</v>
      </c>
      <c r="H98" s="21">
        <v>30.0</v>
      </c>
      <c r="I98" s="21">
        <v>0.0</v>
      </c>
      <c r="J98" s="17" t="s">
        <v>2246</v>
      </c>
      <c r="K98" s="17" t="s">
        <v>2247</v>
      </c>
      <c r="L98" s="17" t="s">
        <v>2246</v>
      </c>
      <c r="M98" s="17" t="s">
        <v>2248</v>
      </c>
      <c r="N98" s="21">
        <f>IFERROR((C98-VLOOKUP(B98,crm_orders!$A:$S,2,FALSE))*24,0)</f>
        <v>216</v>
      </c>
      <c r="O98" s="19" t="str">
        <f>IFERROR(VLOOKUP(B98,crm_orders!$A:$S,3,FALSE),"")</f>
        <v>DSP0011</v>
      </c>
      <c r="P98" s="19" t="str">
        <f>IFERROR(VLOOKUP(B98,crm_orders!$A:$S,5,FALSE),"")</f>
        <v>NY</v>
      </c>
      <c r="Q98" s="19" t="str">
        <f>IFERROR(VLOOKUP(B98,crm_orders!$A:$S,7,FALSE),"")</f>
        <v>Wholesale</v>
      </c>
      <c r="R98" s="19" t="str">
        <f>IFERROR(VLOOKUP(B98,crm_orders!$A:$S,8,FALSE),"")</f>
        <v>SKU0011</v>
      </c>
    </row>
    <row r="99" ht="15.75" customHeight="1">
      <c r="A99" s="25" t="s">
        <v>2451</v>
      </c>
      <c r="B99" s="25" t="s">
        <v>563</v>
      </c>
      <c r="C99" s="26">
        <v>46102.0</v>
      </c>
      <c r="D99" s="25" t="s">
        <v>2269</v>
      </c>
      <c r="E99" s="25" t="s">
        <v>2286</v>
      </c>
      <c r="F99" s="25" t="s">
        <v>2452</v>
      </c>
      <c r="G99" s="29">
        <v>48.0</v>
      </c>
      <c r="H99" s="29">
        <v>48.0</v>
      </c>
      <c r="I99" s="29">
        <v>0.0</v>
      </c>
      <c r="J99" s="25" t="s">
        <v>2247</v>
      </c>
      <c r="K99" s="25" t="s">
        <v>2247</v>
      </c>
      <c r="L99" s="25" t="s">
        <v>2247</v>
      </c>
      <c r="M99" s="25" t="s">
        <v>2248</v>
      </c>
      <c r="N99" s="29">
        <f>IFERROR((C99-VLOOKUP(B99,crm_orders!$A:$S,2,FALSE))*24,0)</f>
        <v>24</v>
      </c>
      <c r="O99" s="27" t="str">
        <f>IFERROR(VLOOKUP(B99,crm_orders!$A:$S,3,FALSE),"")</f>
        <v>DSP0112</v>
      </c>
      <c r="P99" s="27" t="str">
        <f>IFERROR(VLOOKUP(B99,crm_orders!$A:$S,5,FALSE),"")</f>
        <v>CO</v>
      </c>
      <c r="Q99" s="27" t="str">
        <f>IFERROR(VLOOKUP(B99,crm_orders!$A:$S,7,FALSE),"")</f>
        <v>Distributor</v>
      </c>
      <c r="R99" s="27" t="str">
        <f>IFERROR(VLOOKUP(B99,crm_orders!$A:$S,8,FALSE),"")</f>
        <v>SKU0012</v>
      </c>
    </row>
    <row r="100" ht="15.75" customHeight="1">
      <c r="A100" s="17" t="s">
        <v>2453</v>
      </c>
      <c r="B100" s="17" t="s">
        <v>564</v>
      </c>
      <c r="C100" s="18">
        <v>46028.0</v>
      </c>
      <c r="D100" s="17" t="s">
        <v>2260</v>
      </c>
      <c r="E100" s="17" t="s">
        <v>2255</v>
      </c>
      <c r="F100" s="17" t="s">
        <v>2454</v>
      </c>
      <c r="G100" s="21">
        <v>18.0</v>
      </c>
      <c r="H100" s="21">
        <v>18.0</v>
      </c>
      <c r="I100" s="21">
        <v>0.0</v>
      </c>
      <c r="J100" s="17" t="s">
        <v>2247</v>
      </c>
      <c r="K100" s="17" t="s">
        <v>2247</v>
      </c>
      <c r="L100" s="17" t="s">
        <v>2247</v>
      </c>
      <c r="M100" s="17" t="s">
        <v>2248</v>
      </c>
      <c r="N100" s="21">
        <f>IFERROR((C100-VLOOKUP(B100,crm_orders!$A:$S,2,FALSE))*24,0)</f>
        <v>48</v>
      </c>
      <c r="O100" s="19" t="str">
        <f>IFERROR(VLOOKUP(B100,crm_orders!$A:$S,3,FALSE),"")</f>
        <v>DSP0066</v>
      </c>
      <c r="P100" s="19" t="str">
        <f>IFERROR(VLOOKUP(B100,crm_orders!$A:$S,5,FALSE),"")</f>
        <v>NV</v>
      </c>
      <c r="Q100" s="19" t="str">
        <f>IFERROR(VLOOKUP(B100,crm_orders!$A:$S,7,FALSE),"")</f>
        <v>Wholesale</v>
      </c>
      <c r="R100" s="19" t="str">
        <f>IFERROR(VLOOKUP(B100,crm_orders!$A:$S,8,FALSE),"")</f>
        <v>SKU0006</v>
      </c>
    </row>
    <row r="101" ht="15.75" customHeight="1">
      <c r="A101" s="25" t="s">
        <v>2455</v>
      </c>
      <c r="B101" s="25" t="s">
        <v>971</v>
      </c>
      <c r="C101" s="26">
        <v>46079.0</v>
      </c>
      <c r="D101" s="25" t="s">
        <v>2269</v>
      </c>
      <c r="E101" s="25" t="s">
        <v>2244</v>
      </c>
      <c r="F101" s="25" t="s">
        <v>2456</v>
      </c>
      <c r="G101" s="29">
        <v>96.0</v>
      </c>
      <c r="H101" s="29">
        <v>96.0</v>
      </c>
      <c r="I101" s="29">
        <v>0.0</v>
      </c>
      <c r="J101" s="25" t="s">
        <v>2246</v>
      </c>
      <c r="K101" s="25" t="s">
        <v>2247</v>
      </c>
      <c r="L101" s="25" t="s">
        <v>2246</v>
      </c>
      <c r="M101" s="25" t="s">
        <v>2248</v>
      </c>
      <c r="N101" s="29">
        <f>IFERROR((C101-VLOOKUP(B101,crm_orders!$A:$S,2,FALSE))*24,0)</f>
        <v>168</v>
      </c>
      <c r="O101" s="27" t="str">
        <f>IFERROR(VLOOKUP(B101,crm_orders!$A:$S,3,FALSE),"")</f>
        <v>DSP0047</v>
      </c>
      <c r="P101" s="27" t="str">
        <f>IFERROR(VLOOKUP(B101,crm_orders!$A:$S,5,FALSE),"")</f>
        <v>NY</v>
      </c>
      <c r="Q101" s="27" t="str">
        <f>IFERROR(VLOOKUP(B101,crm_orders!$A:$S,7,FALSE),"")</f>
        <v>Wholesale</v>
      </c>
      <c r="R101" s="27" t="str">
        <f>IFERROR(VLOOKUP(B101,crm_orders!$A:$S,8,FALSE),"")</f>
        <v>SKU0012</v>
      </c>
    </row>
    <row r="102" ht="15.75" customHeight="1">
      <c r="A102" s="17" t="s">
        <v>2457</v>
      </c>
      <c r="B102" s="17" t="s">
        <v>311</v>
      </c>
      <c r="C102" s="18">
        <v>46091.0</v>
      </c>
      <c r="D102" s="17" t="s">
        <v>2250</v>
      </c>
      <c r="E102" s="17" t="s">
        <v>2251</v>
      </c>
      <c r="F102" s="17" t="s">
        <v>2458</v>
      </c>
      <c r="G102" s="21">
        <v>36.0</v>
      </c>
      <c r="H102" s="21">
        <v>36.0</v>
      </c>
      <c r="I102" s="21">
        <v>0.0</v>
      </c>
      <c r="J102" s="17" t="s">
        <v>2247</v>
      </c>
      <c r="K102" s="17" t="s">
        <v>2247</v>
      </c>
      <c r="L102" s="17" t="s">
        <v>2247</v>
      </c>
      <c r="M102" s="17" t="s">
        <v>2248</v>
      </c>
      <c r="N102" s="21">
        <f>IFERROR((C102-VLOOKUP(B102,crm_orders!$A:$S,2,FALSE))*24,0)</f>
        <v>24</v>
      </c>
      <c r="O102" s="19" t="str">
        <f>IFERROR(VLOOKUP(B102,crm_orders!$A:$S,3,FALSE),"")</f>
        <v>DSP0074</v>
      </c>
      <c r="P102" s="19" t="str">
        <f>IFERROR(VLOOKUP(B102,crm_orders!$A:$S,5,FALSE),"")</f>
        <v>WA</v>
      </c>
      <c r="Q102" s="19" t="str">
        <f>IFERROR(VLOOKUP(B102,crm_orders!$A:$S,7,FALSE),"")</f>
        <v>Wholesale</v>
      </c>
      <c r="R102" s="19" t="str">
        <f>IFERROR(VLOOKUP(B102,crm_orders!$A:$S,8,FALSE),"")</f>
        <v>SKU0005</v>
      </c>
    </row>
    <row r="103" ht="15.75" customHeight="1">
      <c r="A103" s="25" t="s">
        <v>2459</v>
      </c>
      <c r="B103" s="25" t="s">
        <v>1090</v>
      </c>
      <c r="C103" s="26">
        <v>46143.0</v>
      </c>
      <c r="D103" s="25" t="s">
        <v>2250</v>
      </c>
      <c r="E103" s="25" t="s">
        <v>2255</v>
      </c>
      <c r="F103" s="25" t="s">
        <v>2460</v>
      </c>
      <c r="G103" s="29">
        <v>72.0</v>
      </c>
      <c r="H103" s="29">
        <v>72.0</v>
      </c>
      <c r="I103" s="29">
        <v>0.0</v>
      </c>
      <c r="J103" s="25" t="s">
        <v>2247</v>
      </c>
      <c r="K103" s="25" t="s">
        <v>2247</v>
      </c>
      <c r="L103" s="25" t="s">
        <v>2247</v>
      </c>
      <c r="M103" s="25" t="s">
        <v>2248</v>
      </c>
      <c r="N103" s="29">
        <f>IFERROR((C103-VLOOKUP(B103,crm_orders!$A:$S,2,FALSE))*24,0)</f>
        <v>96</v>
      </c>
      <c r="O103" s="27" t="str">
        <f>IFERROR(VLOOKUP(B103,crm_orders!$A:$S,3,FALSE),"")</f>
        <v>DSP0067</v>
      </c>
      <c r="P103" s="27" t="str">
        <f>IFERROR(VLOOKUP(B103,crm_orders!$A:$S,5,FALSE),"")</f>
        <v>IL</v>
      </c>
      <c r="Q103" s="27" t="str">
        <f>IFERROR(VLOOKUP(B103,crm_orders!$A:$S,7,FALSE),"")</f>
        <v>Retail</v>
      </c>
      <c r="R103" s="27" t="str">
        <f>IFERROR(VLOOKUP(B103,crm_orders!$A:$S,8,FALSE),"")</f>
        <v>SKU0013</v>
      </c>
    </row>
    <row r="104" ht="15.75" customHeight="1">
      <c r="A104" s="17" t="s">
        <v>2461</v>
      </c>
      <c r="B104" s="17" t="s">
        <v>462</v>
      </c>
      <c r="C104" s="18">
        <v>46057.0</v>
      </c>
      <c r="D104" s="17" t="s">
        <v>2254</v>
      </c>
      <c r="E104" s="17" t="s">
        <v>2255</v>
      </c>
      <c r="F104" s="17" t="s">
        <v>2462</v>
      </c>
      <c r="G104" s="21">
        <v>12.0</v>
      </c>
      <c r="H104" s="21">
        <v>12.0</v>
      </c>
      <c r="I104" s="21">
        <v>0.0</v>
      </c>
      <c r="J104" s="17" t="s">
        <v>2246</v>
      </c>
      <c r="K104" s="17" t="s">
        <v>2247</v>
      </c>
      <c r="L104" s="17" t="s">
        <v>2246</v>
      </c>
      <c r="M104" s="17" t="s">
        <v>2248</v>
      </c>
      <c r="N104" s="21">
        <f>IFERROR((C104-VLOOKUP(B104,crm_orders!$A:$S,2,FALSE))*24,0)</f>
        <v>216</v>
      </c>
      <c r="O104" s="19" t="str">
        <f>IFERROR(VLOOKUP(B104,crm_orders!$A:$S,3,FALSE),"")</f>
        <v>DSP0118</v>
      </c>
      <c r="P104" s="19" t="str">
        <f>IFERROR(VLOOKUP(B104,crm_orders!$A:$S,5,FALSE),"")</f>
        <v>NM</v>
      </c>
      <c r="Q104" s="19" t="str">
        <f>IFERROR(VLOOKUP(B104,crm_orders!$A:$S,7,FALSE),"")</f>
        <v>Wholesale</v>
      </c>
      <c r="R104" s="19" t="str">
        <f>IFERROR(VLOOKUP(B104,crm_orders!$A:$S,8,FALSE),"")</f>
        <v>SKU0016</v>
      </c>
    </row>
    <row r="105" ht="15.75" customHeight="1">
      <c r="A105" s="25" t="s">
        <v>2463</v>
      </c>
      <c r="B105" s="25" t="s">
        <v>725</v>
      </c>
      <c r="C105" s="26">
        <v>46113.0</v>
      </c>
      <c r="D105" s="25" t="s">
        <v>2260</v>
      </c>
      <c r="E105" s="25" t="s">
        <v>2261</v>
      </c>
      <c r="F105" s="25" t="s">
        <v>2464</v>
      </c>
      <c r="G105" s="29">
        <v>36.0</v>
      </c>
      <c r="H105" s="29">
        <v>36.0</v>
      </c>
      <c r="I105" s="29">
        <v>0.0</v>
      </c>
      <c r="J105" s="25" t="s">
        <v>2247</v>
      </c>
      <c r="K105" s="25" t="s">
        <v>2247</v>
      </c>
      <c r="L105" s="25" t="s">
        <v>2247</v>
      </c>
      <c r="M105" s="25" t="s">
        <v>2248</v>
      </c>
      <c r="N105" s="29">
        <f>IFERROR((C105-VLOOKUP(B105,crm_orders!$A:$S,2,FALSE))*24,0)</f>
        <v>120</v>
      </c>
      <c r="O105" s="27" t="str">
        <f>IFERROR(VLOOKUP(B105,crm_orders!$A:$S,3,FALSE),"")</f>
        <v>DSP0109</v>
      </c>
      <c r="P105" s="27" t="str">
        <f>IFERROR(VLOOKUP(B105,crm_orders!$A:$S,5,FALSE),"")</f>
        <v>OR</v>
      </c>
      <c r="Q105" s="27" t="str">
        <f>IFERROR(VLOOKUP(B105,crm_orders!$A:$S,7,FALSE),"")</f>
        <v>Wholesale</v>
      </c>
      <c r="R105" s="27" t="str">
        <f>IFERROR(VLOOKUP(B105,crm_orders!$A:$S,8,FALSE),"")</f>
        <v>SKU0011</v>
      </c>
    </row>
    <row r="106" ht="15.75" customHeight="1">
      <c r="A106" s="17" t="s">
        <v>2465</v>
      </c>
      <c r="B106" s="17" t="s">
        <v>874</v>
      </c>
      <c r="C106" s="18">
        <v>46129.0</v>
      </c>
      <c r="D106" s="17" t="s">
        <v>2254</v>
      </c>
      <c r="E106" s="17" t="s">
        <v>2261</v>
      </c>
      <c r="F106" s="17" t="s">
        <v>2466</v>
      </c>
      <c r="G106" s="21">
        <v>36.0</v>
      </c>
      <c r="H106" s="21">
        <v>36.0</v>
      </c>
      <c r="I106" s="21">
        <v>0.0</v>
      </c>
      <c r="J106" s="17" t="s">
        <v>2246</v>
      </c>
      <c r="K106" s="17" t="s">
        <v>2247</v>
      </c>
      <c r="L106" s="17" t="s">
        <v>2246</v>
      </c>
      <c r="M106" s="17" t="s">
        <v>2248</v>
      </c>
      <c r="N106" s="21">
        <f>IFERROR((C106-VLOOKUP(B106,crm_orders!$A:$S,2,FALSE))*24,0)</f>
        <v>120</v>
      </c>
      <c r="O106" s="19" t="str">
        <f>IFERROR(VLOOKUP(B106,crm_orders!$A:$S,3,FALSE),"")</f>
        <v>DSP0119</v>
      </c>
      <c r="P106" s="19" t="str">
        <f>IFERROR(VLOOKUP(B106,crm_orders!$A:$S,5,FALSE),"")</f>
        <v>NY</v>
      </c>
      <c r="Q106" s="19" t="str">
        <f>IFERROR(VLOOKUP(B106,crm_orders!$A:$S,7,FALSE),"")</f>
        <v>Wholesale</v>
      </c>
      <c r="R106" s="19" t="str">
        <f>IFERROR(VLOOKUP(B106,crm_orders!$A:$S,8,FALSE),"")</f>
        <v>SKU0006</v>
      </c>
    </row>
    <row r="107" ht="15.75" customHeight="1">
      <c r="A107" s="25" t="s">
        <v>2467</v>
      </c>
      <c r="B107" s="25" t="s">
        <v>972</v>
      </c>
      <c r="C107" s="26">
        <v>46103.0</v>
      </c>
      <c r="D107" s="25" t="s">
        <v>2243</v>
      </c>
      <c r="E107" s="25" t="s">
        <v>2286</v>
      </c>
      <c r="F107" s="25" t="s">
        <v>2468</v>
      </c>
      <c r="G107" s="29">
        <v>36.0</v>
      </c>
      <c r="H107" s="29">
        <v>36.0</v>
      </c>
      <c r="I107" s="29">
        <v>0.0</v>
      </c>
      <c r="J107" s="25" t="s">
        <v>2246</v>
      </c>
      <c r="K107" s="25" t="s">
        <v>2247</v>
      </c>
      <c r="L107" s="25" t="s">
        <v>2246</v>
      </c>
      <c r="M107" s="25" t="s">
        <v>2248</v>
      </c>
      <c r="N107" s="29">
        <f>IFERROR((C107-VLOOKUP(B107,crm_orders!$A:$S,2,FALSE))*24,0)</f>
        <v>168</v>
      </c>
      <c r="O107" s="27" t="str">
        <f>IFERROR(VLOOKUP(B107,crm_orders!$A:$S,3,FALSE),"")</f>
        <v>DSP0047</v>
      </c>
      <c r="P107" s="27" t="str">
        <f>IFERROR(VLOOKUP(B107,crm_orders!$A:$S,5,FALSE),"")</f>
        <v>NY</v>
      </c>
      <c r="Q107" s="27" t="str">
        <f>IFERROR(VLOOKUP(B107,crm_orders!$A:$S,7,FALSE),"")</f>
        <v>Wholesale</v>
      </c>
      <c r="R107" s="27" t="str">
        <f>IFERROR(VLOOKUP(B107,crm_orders!$A:$S,8,FALSE),"")</f>
        <v>SKU0018</v>
      </c>
    </row>
    <row r="108" ht="15.75" customHeight="1">
      <c r="A108" s="17" t="s">
        <v>2469</v>
      </c>
      <c r="B108" s="17" t="s">
        <v>875</v>
      </c>
      <c r="C108" s="18">
        <v>46096.0</v>
      </c>
      <c r="D108" s="17" t="s">
        <v>2254</v>
      </c>
      <c r="E108" s="17" t="s">
        <v>2286</v>
      </c>
      <c r="F108" s="17" t="s">
        <v>2470</v>
      </c>
      <c r="G108" s="21">
        <v>48.0</v>
      </c>
      <c r="H108" s="21">
        <v>48.0</v>
      </c>
      <c r="I108" s="21">
        <v>0.0</v>
      </c>
      <c r="J108" s="17" t="s">
        <v>2247</v>
      </c>
      <c r="K108" s="17" t="s">
        <v>2247</v>
      </c>
      <c r="L108" s="17" t="s">
        <v>2247</v>
      </c>
      <c r="M108" s="17" t="s">
        <v>2248</v>
      </c>
      <c r="N108" s="21">
        <f>IFERROR((C108-VLOOKUP(B108,crm_orders!$A:$S,2,FALSE))*24,0)</f>
        <v>144</v>
      </c>
      <c r="O108" s="19" t="str">
        <f>IFERROR(VLOOKUP(B108,crm_orders!$A:$S,3,FALSE),"")</f>
        <v>DSP0092</v>
      </c>
      <c r="P108" s="19" t="str">
        <f>IFERROR(VLOOKUP(B108,crm_orders!$A:$S,5,FALSE),"")</f>
        <v>MI</v>
      </c>
      <c r="Q108" s="19" t="str">
        <f>IFERROR(VLOOKUP(B108,crm_orders!$A:$S,7,FALSE),"")</f>
        <v>Wholesale</v>
      </c>
      <c r="R108" s="19" t="str">
        <f>IFERROR(VLOOKUP(B108,crm_orders!$A:$S,8,FALSE),"")</f>
        <v>SKU0016</v>
      </c>
    </row>
    <row r="109" ht="15.75" customHeight="1">
      <c r="A109" s="25" t="s">
        <v>2471</v>
      </c>
      <c r="B109" s="25" t="s">
        <v>973</v>
      </c>
      <c r="C109" s="26">
        <v>46073.0</v>
      </c>
      <c r="D109" s="25" t="s">
        <v>2254</v>
      </c>
      <c r="E109" s="25" t="s">
        <v>2261</v>
      </c>
      <c r="F109" s="25" t="s">
        <v>2472</v>
      </c>
      <c r="G109" s="29">
        <v>18.0</v>
      </c>
      <c r="H109" s="29">
        <v>6.0</v>
      </c>
      <c r="I109" s="29">
        <v>12.0</v>
      </c>
      <c r="J109" s="25" t="s">
        <v>2246</v>
      </c>
      <c r="K109" s="25" t="s">
        <v>2246</v>
      </c>
      <c r="L109" s="25" t="s">
        <v>2246</v>
      </c>
      <c r="M109" s="25" t="s">
        <v>2267</v>
      </c>
      <c r="N109" s="29">
        <f>IFERROR((C109-VLOOKUP(B109,crm_orders!$A:$S,2,FALSE))*24,0)</f>
        <v>144</v>
      </c>
      <c r="O109" s="27" t="str">
        <f>IFERROR(VLOOKUP(B109,crm_orders!$A:$S,3,FALSE),"")</f>
        <v>DSP0088</v>
      </c>
      <c r="P109" s="27" t="str">
        <f>IFERROR(VLOOKUP(B109,crm_orders!$A:$S,5,FALSE),"")</f>
        <v>CO</v>
      </c>
      <c r="Q109" s="27" t="str">
        <f>IFERROR(VLOOKUP(B109,crm_orders!$A:$S,7,FALSE),"")</f>
        <v>Wholesale</v>
      </c>
      <c r="R109" s="27" t="str">
        <f>IFERROR(VLOOKUP(B109,crm_orders!$A:$S,8,FALSE),"")</f>
        <v>SKU0017</v>
      </c>
    </row>
    <row r="110" ht="15.75" customHeight="1">
      <c r="A110" s="17" t="s">
        <v>2473</v>
      </c>
      <c r="B110" s="17" t="s">
        <v>1091</v>
      </c>
      <c r="C110" s="18">
        <v>46138.0</v>
      </c>
      <c r="D110" s="17" t="s">
        <v>2269</v>
      </c>
      <c r="E110" s="17" t="s">
        <v>2286</v>
      </c>
      <c r="F110" s="17" t="s">
        <v>2474</v>
      </c>
      <c r="G110" s="21">
        <v>12.0</v>
      </c>
      <c r="H110" s="21">
        <v>12.0</v>
      </c>
      <c r="I110" s="21">
        <v>0.0</v>
      </c>
      <c r="J110" s="17" t="s">
        <v>2246</v>
      </c>
      <c r="K110" s="17" t="s">
        <v>2247</v>
      </c>
      <c r="L110" s="17" t="s">
        <v>2246</v>
      </c>
      <c r="M110" s="17" t="s">
        <v>2248</v>
      </c>
      <c r="N110" s="21">
        <f>IFERROR((C110-VLOOKUP(B110,crm_orders!$A:$S,2,FALSE))*24,0)</f>
        <v>216</v>
      </c>
      <c r="O110" s="19" t="str">
        <f>IFERROR(VLOOKUP(B110,crm_orders!$A:$S,3,FALSE),"")</f>
        <v>DSP0065</v>
      </c>
      <c r="P110" s="19" t="str">
        <f>IFERROR(VLOOKUP(B110,crm_orders!$A:$S,5,FALSE),"")</f>
        <v>AZ</v>
      </c>
      <c r="Q110" s="19" t="str">
        <f>IFERROR(VLOOKUP(B110,crm_orders!$A:$S,7,FALSE),"")</f>
        <v>Wholesale</v>
      </c>
      <c r="R110" s="19" t="str">
        <f>IFERROR(VLOOKUP(B110,crm_orders!$A:$S,8,FALSE),"")</f>
        <v>SKU0002</v>
      </c>
    </row>
    <row r="111" ht="15.75" customHeight="1">
      <c r="A111" s="25" t="s">
        <v>2475</v>
      </c>
      <c r="B111" s="25" t="s">
        <v>313</v>
      </c>
      <c r="C111" s="26">
        <v>46137.0</v>
      </c>
      <c r="D111" s="25" t="s">
        <v>2254</v>
      </c>
      <c r="E111" s="25" t="s">
        <v>2255</v>
      </c>
      <c r="F111" s="25" t="s">
        <v>2476</v>
      </c>
      <c r="G111" s="29">
        <v>12.0</v>
      </c>
      <c r="H111" s="29">
        <v>0.0</v>
      </c>
      <c r="I111" s="29">
        <v>12.0</v>
      </c>
      <c r="J111" s="25" t="s">
        <v>2246</v>
      </c>
      <c r="K111" s="25" t="s">
        <v>2246</v>
      </c>
      <c r="L111" s="25" t="s">
        <v>2246</v>
      </c>
      <c r="M111" s="25" t="s">
        <v>2267</v>
      </c>
      <c r="N111" s="29">
        <f>IFERROR((C111-VLOOKUP(B111,crm_orders!$A:$S,2,FALSE))*24,0)</f>
        <v>144</v>
      </c>
      <c r="O111" s="27" t="str">
        <f>IFERROR(VLOOKUP(B111,crm_orders!$A:$S,3,FALSE),"")</f>
        <v>DSP0115</v>
      </c>
      <c r="P111" s="27" t="str">
        <f>IFERROR(VLOOKUP(B111,crm_orders!$A:$S,5,FALSE),"")</f>
        <v>IL</v>
      </c>
      <c r="Q111" s="27" t="str">
        <f>IFERROR(VLOOKUP(B111,crm_orders!$A:$S,7,FALSE),"")</f>
        <v>Wholesale</v>
      </c>
      <c r="R111" s="27" t="str">
        <f>IFERROR(VLOOKUP(B111,crm_orders!$A:$S,8,FALSE),"")</f>
        <v>SKU0010</v>
      </c>
    </row>
    <row r="112" ht="15.75" customHeight="1">
      <c r="A112" s="17" t="s">
        <v>2477</v>
      </c>
      <c r="B112" s="17" t="s">
        <v>188</v>
      </c>
      <c r="C112" s="18">
        <v>46116.0</v>
      </c>
      <c r="D112" s="17" t="s">
        <v>2243</v>
      </c>
      <c r="E112" s="17" t="s">
        <v>2286</v>
      </c>
      <c r="F112" s="17" t="s">
        <v>2478</v>
      </c>
      <c r="G112" s="21">
        <v>18.0</v>
      </c>
      <c r="H112" s="21">
        <v>18.0</v>
      </c>
      <c r="I112" s="21">
        <v>0.0</v>
      </c>
      <c r="J112" s="17" t="s">
        <v>2246</v>
      </c>
      <c r="K112" s="17" t="s">
        <v>2247</v>
      </c>
      <c r="L112" s="17" t="s">
        <v>2246</v>
      </c>
      <c r="M112" s="17" t="s">
        <v>2248</v>
      </c>
      <c r="N112" s="21">
        <f>IFERROR((C112-VLOOKUP(B112,crm_orders!$A:$S,2,FALSE))*24,0)</f>
        <v>264</v>
      </c>
      <c r="O112" s="19" t="str">
        <f>IFERROR(VLOOKUP(B112,crm_orders!$A:$S,3,FALSE),"")</f>
        <v>DSP0012</v>
      </c>
      <c r="P112" s="19" t="str">
        <f>IFERROR(VLOOKUP(B112,crm_orders!$A:$S,5,FALSE),"")</f>
        <v>OK</v>
      </c>
      <c r="Q112" s="19" t="str">
        <f>IFERROR(VLOOKUP(B112,crm_orders!$A:$S,7,FALSE),"")</f>
        <v>Wholesale</v>
      </c>
      <c r="R112" s="19" t="str">
        <f>IFERROR(VLOOKUP(B112,crm_orders!$A:$S,8,FALSE),"")</f>
        <v>SKU0017</v>
      </c>
    </row>
    <row r="113" ht="15.75" customHeight="1">
      <c r="A113" s="25" t="s">
        <v>2479</v>
      </c>
      <c r="B113" s="25" t="s">
        <v>728</v>
      </c>
      <c r="C113" s="26">
        <v>46114.0</v>
      </c>
      <c r="D113" s="25" t="s">
        <v>2243</v>
      </c>
      <c r="E113" s="25" t="s">
        <v>2261</v>
      </c>
      <c r="F113" s="25" t="s">
        <v>2480</v>
      </c>
      <c r="G113" s="29">
        <v>6.0</v>
      </c>
      <c r="H113" s="29">
        <v>6.0</v>
      </c>
      <c r="I113" s="29">
        <v>0.0</v>
      </c>
      <c r="J113" s="25" t="s">
        <v>2246</v>
      </c>
      <c r="K113" s="25" t="s">
        <v>2247</v>
      </c>
      <c r="L113" s="25" t="s">
        <v>2246</v>
      </c>
      <c r="M113" s="25" t="s">
        <v>2248</v>
      </c>
      <c r="N113" s="29">
        <f>IFERROR((C113-VLOOKUP(B113,crm_orders!$A:$S,2,FALSE))*24,0)</f>
        <v>240</v>
      </c>
      <c r="O113" s="27" t="str">
        <f>IFERROR(VLOOKUP(B113,crm_orders!$A:$S,3,FALSE),"")</f>
        <v>DSP0054</v>
      </c>
      <c r="P113" s="27" t="str">
        <f>IFERROR(VLOOKUP(B113,crm_orders!$A:$S,5,FALSE),"")</f>
        <v>NV</v>
      </c>
      <c r="Q113" s="27" t="str">
        <f>IFERROR(VLOOKUP(B113,crm_orders!$A:$S,7,FALSE),"")</f>
        <v>Wholesale</v>
      </c>
      <c r="R113" s="27" t="str">
        <f>IFERROR(VLOOKUP(B113,crm_orders!$A:$S,8,FALSE),"")</f>
        <v>SKU0020</v>
      </c>
    </row>
    <row r="114" ht="15.75" customHeight="1">
      <c r="A114" s="17" t="s">
        <v>2481</v>
      </c>
      <c r="B114" s="17" t="s">
        <v>975</v>
      </c>
      <c r="C114" s="18">
        <v>46068.0</v>
      </c>
      <c r="D114" s="17" t="s">
        <v>2243</v>
      </c>
      <c r="E114" s="17" t="s">
        <v>2261</v>
      </c>
      <c r="F114" s="17" t="s">
        <v>2482</v>
      </c>
      <c r="G114" s="21">
        <v>60.0</v>
      </c>
      <c r="H114" s="21">
        <v>60.0</v>
      </c>
      <c r="I114" s="21">
        <v>0.0</v>
      </c>
      <c r="J114" s="17" t="s">
        <v>2247</v>
      </c>
      <c r="K114" s="17" t="s">
        <v>2247</v>
      </c>
      <c r="L114" s="17" t="s">
        <v>2247</v>
      </c>
      <c r="M114" s="17" t="s">
        <v>2248</v>
      </c>
      <c r="N114" s="21">
        <f>IFERROR((C114-VLOOKUP(B114,crm_orders!$A:$S,2,FALSE))*24,0)</f>
        <v>168</v>
      </c>
      <c r="O114" s="19" t="str">
        <f>IFERROR(VLOOKUP(B114,crm_orders!$A:$S,3,FALSE),"")</f>
        <v>DSP0088</v>
      </c>
      <c r="P114" s="19" t="str">
        <f>IFERROR(VLOOKUP(B114,crm_orders!$A:$S,5,FALSE),"")</f>
        <v>CO</v>
      </c>
      <c r="Q114" s="19" t="str">
        <f>IFERROR(VLOOKUP(B114,crm_orders!$A:$S,7,FALSE),"")</f>
        <v>Wholesale</v>
      </c>
      <c r="R114" s="19" t="str">
        <f>IFERROR(VLOOKUP(B114,crm_orders!$A:$S,8,FALSE),"")</f>
        <v>SKU0013</v>
      </c>
    </row>
    <row r="115" ht="15.75" customHeight="1">
      <c r="A115" s="25" t="s">
        <v>2483</v>
      </c>
      <c r="B115" s="25" t="s">
        <v>565</v>
      </c>
      <c r="C115" s="26">
        <v>46138.0</v>
      </c>
      <c r="D115" s="25" t="s">
        <v>2260</v>
      </c>
      <c r="E115" s="25" t="s">
        <v>2255</v>
      </c>
      <c r="F115" s="25" t="s">
        <v>2484</v>
      </c>
      <c r="G115" s="29">
        <v>36.0</v>
      </c>
      <c r="H115" s="29">
        <v>36.0</v>
      </c>
      <c r="I115" s="29">
        <v>0.0</v>
      </c>
      <c r="J115" s="25" t="s">
        <v>2246</v>
      </c>
      <c r="K115" s="25" t="s">
        <v>2247</v>
      </c>
      <c r="L115" s="25" t="s">
        <v>2246</v>
      </c>
      <c r="M115" s="25" t="s">
        <v>2248</v>
      </c>
      <c r="N115" s="29">
        <f>IFERROR((C115-VLOOKUP(B115,crm_orders!$A:$S,2,FALSE))*24,0)</f>
        <v>120</v>
      </c>
      <c r="O115" s="27" t="str">
        <f>IFERROR(VLOOKUP(B115,crm_orders!$A:$S,3,FALSE),"")</f>
        <v>DSP0019</v>
      </c>
      <c r="P115" s="27" t="str">
        <f>IFERROR(VLOOKUP(B115,crm_orders!$A:$S,5,FALSE),"")</f>
        <v>IL</v>
      </c>
      <c r="Q115" s="27" t="str">
        <f>IFERROR(VLOOKUP(B115,crm_orders!$A:$S,7,FALSE),"")</f>
        <v>Distributor</v>
      </c>
      <c r="R115" s="27" t="str">
        <f>IFERROR(VLOOKUP(B115,crm_orders!$A:$S,8,FALSE),"")</f>
        <v>SKU0011</v>
      </c>
    </row>
    <row r="116" ht="15.75" customHeight="1">
      <c r="A116" s="17" t="s">
        <v>2485</v>
      </c>
      <c r="B116" s="17" t="s">
        <v>567</v>
      </c>
      <c r="C116" s="18">
        <v>46060.0</v>
      </c>
      <c r="D116" s="17" t="s">
        <v>2243</v>
      </c>
      <c r="E116" s="17" t="s">
        <v>2261</v>
      </c>
      <c r="F116" s="17" t="s">
        <v>2486</v>
      </c>
      <c r="G116" s="21">
        <v>18.0</v>
      </c>
      <c r="H116" s="21">
        <v>18.0</v>
      </c>
      <c r="I116" s="21">
        <v>0.0</v>
      </c>
      <c r="J116" s="17" t="s">
        <v>2246</v>
      </c>
      <c r="K116" s="17" t="s">
        <v>2247</v>
      </c>
      <c r="L116" s="17" t="s">
        <v>2246</v>
      </c>
      <c r="M116" s="17" t="s">
        <v>2248</v>
      </c>
      <c r="N116" s="21">
        <f>IFERROR((C116-VLOOKUP(B116,crm_orders!$A:$S,2,FALSE))*24,0)</f>
        <v>144</v>
      </c>
      <c r="O116" s="19" t="str">
        <f>IFERROR(VLOOKUP(B116,crm_orders!$A:$S,3,FALSE),"")</f>
        <v>DSP0079</v>
      </c>
      <c r="P116" s="19" t="str">
        <f>IFERROR(VLOOKUP(B116,crm_orders!$A:$S,5,FALSE),"")</f>
        <v>IL</v>
      </c>
      <c r="Q116" s="19" t="str">
        <f>IFERROR(VLOOKUP(B116,crm_orders!$A:$S,7,FALSE),"")</f>
        <v>Retail</v>
      </c>
      <c r="R116" s="19" t="str">
        <f>IFERROR(VLOOKUP(B116,crm_orders!$A:$S,8,FALSE),"")</f>
        <v>SKU0014</v>
      </c>
    </row>
    <row r="117" ht="15.75" customHeight="1">
      <c r="A117" s="25" t="s">
        <v>2487</v>
      </c>
      <c r="B117" s="25" t="s">
        <v>568</v>
      </c>
      <c r="C117" s="26">
        <v>46099.0</v>
      </c>
      <c r="D117" s="25" t="s">
        <v>2254</v>
      </c>
      <c r="E117" s="25" t="s">
        <v>2255</v>
      </c>
      <c r="F117" s="25" t="s">
        <v>2488</v>
      </c>
      <c r="G117" s="29">
        <v>30.0</v>
      </c>
      <c r="H117" s="29">
        <v>30.0</v>
      </c>
      <c r="I117" s="29">
        <v>0.0</v>
      </c>
      <c r="J117" s="25" t="s">
        <v>2246</v>
      </c>
      <c r="K117" s="25" t="s">
        <v>2247</v>
      </c>
      <c r="L117" s="25" t="s">
        <v>2246</v>
      </c>
      <c r="M117" s="25" t="s">
        <v>2248</v>
      </c>
      <c r="N117" s="29">
        <f>IFERROR((C117-VLOOKUP(B117,crm_orders!$A:$S,2,FALSE))*24,0)</f>
        <v>312</v>
      </c>
      <c r="O117" s="27" t="str">
        <f>IFERROR(VLOOKUP(B117,crm_orders!$A:$S,3,FALSE),"")</f>
        <v>DSP0066</v>
      </c>
      <c r="P117" s="27" t="str">
        <f>IFERROR(VLOOKUP(B117,crm_orders!$A:$S,5,FALSE),"")</f>
        <v>NV</v>
      </c>
      <c r="Q117" s="27" t="str">
        <f>IFERROR(VLOOKUP(B117,crm_orders!$A:$S,7,FALSE),"")</f>
        <v>Wholesale</v>
      </c>
      <c r="R117" s="27" t="str">
        <f>IFERROR(VLOOKUP(B117,crm_orders!$A:$S,8,FALSE),"")</f>
        <v>SKU0015</v>
      </c>
    </row>
    <row r="118" ht="15.75" customHeight="1">
      <c r="A118" s="17" t="s">
        <v>2489</v>
      </c>
      <c r="B118" s="17" t="s">
        <v>465</v>
      </c>
      <c r="C118" s="18">
        <v>46049.0</v>
      </c>
      <c r="D118" s="17" t="s">
        <v>2250</v>
      </c>
      <c r="E118" s="17" t="s">
        <v>2261</v>
      </c>
      <c r="F118" s="17" t="s">
        <v>2490</v>
      </c>
      <c r="G118" s="21">
        <v>30.0</v>
      </c>
      <c r="H118" s="21">
        <v>30.0</v>
      </c>
      <c r="I118" s="21">
        <v>0.0</v>
      </c>
      <c r="J118" s="17" t="s">
        <v>2246</v>
      </c>
      <c r="K118" s="17" t="s">
        <v>2247</v>
      </c>
      <c r="L118" s="17" t="s">
        <v>2246</v>
      </c>
      <c r="M118" s="17" t="s">
        <v>2248</v>
      </c>
      <c r="N118" s="21">
        <f>IFERROR((C118-VLOOKUP(B118,crm_orders!$A:$S,2,FALSE))*24,0)</f>
        <v>216</v>
      </c>
      <c r="O118" s="19" t="str">
        <f>IFERROR(VLOOKUP(B118,crm_orders!$A:$S,3,FALSE),"")</f>
        <v>DSP0014</v>
      </c>
      <c r="P118" s="19" t="str">
        <f>IFERROR(VLOOKUP(B118,crm_orders!$A:$S,5,FALSE),"")</f>
        <v>WA</v>
      </c>
      <c r="Q118" s="19" t="str">
        <f>IFERROR(VLOOKUP(B118,crm_orders!$A:$S,7,FALSE),"")</f>
        <v>Wholesale</v>
      </c>
      <c r="R118" s="19" t="str">
        <f>IFERROR(VLOOKUP(B118,crm_orders!$A:$S,8,FALSE),"")</f>
        <v>SKU0014</v>
      </c>
    </row>
    <row r="119" ht="15.75" customHeight="1">
      <c r="A119" s="25" t="s">
        <v>2491</v>
      </c>
      <c r="B119" s="25" t="s">
        <v>731</v>
      </c>
      <c r="C119" s="26">
        <v>46089.0</v>
      </c>
      <c r="D119" s="25" t="s">
        <v>2243</v>
      </c>
      <c r="E119" s="25" t="s">
        <v>2261</v>
      </c>
      <c r="F119" s="25" t="s">
        <v>2492</v>
      </c>
      <c r="G119" s="29">
        <v>36.0</v>
      </c>
      <c r="H119" s="29">
        <v>36.0</v>
      </c>
      <c r="I119" s="29">
        <v>0.0</v>
      </c>
      <c r="J119" s="25" t="s">
        <v>2246</v>
      </c>
      <c r="K119" s="25" t="s">
        <v>2247</v>
      </c>
      <c r="L119" s="25" t="s">
        <v>2246</v>
      </c>
      <c r="M119" s="25" t="s">
        <v>2248</v>
      </c>
      <c r="N119" s="29">
        <f>IFERROR((C119-VLOOKUP(B119,crm_orders!$A:$S,2,FALSE))*24,0)</f>
        <v>456</v>
      </c>
      <c r="O119" s="27" t="str">
        <f>IFERROR(VLOOKUP(B119,crm_orders!$A:$S,3,FALSE),"")</f>
        <v>DSP0013</v>
      </c>
      <c r="P119" s="27" t="str">
        <f>IFERROR(VLOOKUP(B119,crm_orders!$A:$S,5,FALSE),"")</f>
        <v>OR</v>
      </c>
      <c r="Q119" s="27" t="str">
        <f>IFERROR(VLOOKUP(B119,crm_orders!$A:$S,7,FALSE),"")</f>
        <v>Wholesale</v>
      </c>
      <c r="R119" s="27" t="str">
        <f>IFERROR(VLOOKUP(B119,crm_orders!$A:$S,8,FALSE),"")</f>
        <v>SKU0013</v>
      </c>
    </row>
    <row r="120" ht="15.75" customHeight="1">
      <c r="A120" s="17" t="s">
        <v>2493</v>
      </c>
      <c r="B120" s="17" t="s">
        <v>439</v>
      </c>
      <c r="C120" s="18">
        <v>46050.0</v>
      </c>
      <c r="D120" s="17" t="s">
        <v>2269</v>
      </c>
      <c r="E120" s="17" t="s">
        <v>2251</v>
      </c>
      <c r="F120" s="17" t="s">
        <v>2494</v>
      </c>
      <c r="G120" s="21">
        <v>36.0</v>
      </c>
      <c r="H120" s="21">
        <v>36.0</v>
      </c>
      <c r="I120" s="21">
        <v>0.0</v>
      </c>
      <c r="J120" s="17" t="s">
        <v>2246</v>
      </c>
      <c r="K120" s="17" t="s">
        <v>2247</v>
      </c>
      <c r="L120" s="17" t="s">
        <v>2246</v>
      </c>
      <c r="M120" s="17" t="s">
        <v>2248</v>
      </c>
      <c r="N120" s="21">
        <f>IFERROR((C120-VLOOKUP(B120,crm_orders!$A:$S,2,FALSE))*24,0)</f>
        <v>-240</v>
      </c>
      <c r="O120" s="19" t="str">
        <f>IFERROR(VLOOKUP(B120,crm_orders!$A:$S,3,FALSE),"")</f>
        <v>DSP0069</v>
      </c>
      <c r="P120" s="19" t="str">
        <f>IFERROR(VLOOKUP(B120,crm_orders!$A:$S,5,FALSE),"")</f>
        <v>MO</v>
      </c>
      <c r="Q120" s="19" t="str">
        <f>IFERROR(VLOOKUP(B120,crm_orders!$A:$S,7,FALSE),"")</f>
        <v>Retail</v>
      </c>
      <c r="R120" s="19" t="str">
        <f>IFERROR(VLOOKUP(B120,crm_orders!$A:$S,8,FALSE),"")</f>
        <v>SKU0008</v>
      </c>
    </row>
    <row r="121" ht="15.75" customHeight="1">
      <c r="A121" s="25" t="s">
        <v>2495</v>
      </c>
      <c r="B121" s="25" t="s">
        <v>732</v>
      </c>
      <c r="C121" s="26">
        <v>46083.0</v>
      </c>
      <c r="D121" s="25" t="s">
        <v>2269</v>
      </c>
      <c r="E121" s="25" t="s">
        <v>2286</v>
      </c>
      <c r="F121" s="25" t="s">
        <v>2496</v>
      </c>
      <c r="G121" s="29">
        <v>96.0</v>
      </c>
      <c r="H121" s="29">
        <v>90.0</v>
      </c>
      <c r="I121" s="29">
        <v>6.0</v>
      </c>
      <c r="J121" s="25" t="s">
        <v>2246</v>
      </c>
      <c r="K121" s="25" t="s">
        <v>2246</v>
      </c>
      <c r="L121" s="25" t="s">
        <v>2246</v>
      </c>
      <c r="M121" s="25" t="s">
        <v>2267</v>
      </c>
      <c r="N121" s="29">
        <f>IFERROR((C121-VLOOKUP(B121,crm_orders!$A:$S,2,FALSE))*24,0)</f>
        <v>240</v>
      </c>
      <c r="O121" s="27" t="str">
        <f>IFERROR(VLOOKUP(B121,crm_orders!$A:$S,3,FALSE),"")</f>
        <v>DSP0041</v>
      </c>
      <c r="P121" s="27" t="str">
        <f>IFERROR(VLOOKUP(B121,crm_orders!$A:$S,5,FALSE),"")</f>
        <v>AZ</v>
      </c>
      <c r="Q121" s="27" t="str">
        <f>IFERROR(VLOOKUP(B121,crm_orders!$A:$S,7,FALSE),"")</f>
        <v>Wholesale</v>
      </c>
      <c r="R121" s="27" t="str">
        <f>IFERROR(VLOOKUP(B121,crm_orders!$A:$S,8,FALSE),"")</f>
        <v>SKU0006</v>
      </c>
    </row>
    <row r="122" ht="15.75" customHeight="1">
      <c r="A122" s="17" t="s">
        <v>2497</v>
      </c>
      <c r="B122" s="17" t="s">
        <v>569</v>
      </c>
      <c r="C122" s="18">
        <v>46142.0</v>
      </c>
      <c r="D122" s="17" t="s">
        <v>2254</v>
      </c>
      <c r="E122" s="17" t="s">
        <v>2261</v>
      </c>
      <c r="F122" s="17" t="s">
        <v>2498</v>
      </c>
      <c r="G122" s="21">
        <v>6.0</v>
      </c>
      <c r="H122" s="21">
        <v>6.0</v>
      </c>
      <c r="I122" s="21">
        <v>0.0</v>
      </c>
      <c r="J122" s="17" t="s">
        <v>2246</v>
      </c>
      <c r="K122" s="17" t="s">
        <v>2247</v>
      </c>
      <c r="L122" s="17" t="s">
        <v>2246</v>
      </c>
      <c r="M122" s="17" t="s">
        <v>2248</v>
      </c>
      <c r="N122" s="21">
        <f>IFERROR((C122-VLOOKUP(B122,crm_orders!$A:$S,2,FALSE))*24,0)</f>
        <v>360</v>
      </c>
      <c r="O122" s="19" t="str">
        <f>IFERROR(VLOOKUP(B122,crm_orders!$A:$S,3,FALSE),"")</f>
        <v>DSP0039</v>
      </c>
      <c r="P122" s="19" t="str">
        <f>IFERROR(VLOOKUP(B122,crm_orders!$A:$S,5,FALSE),"")</f>
        <v>CA</v>
      </c>
      <c r="Q122" s="19" t="str">
        <f>IFERROR(VLOOKUP(B122,crm_orders!$A:$S,7,FALSE),"")</f>
        <v>Distributor</v>
      </c>
      <c r="R122" s="19" t="str">
        <f>IFERROR(VLOOKUP(B122,crm_orders!$A:$S,8,FALSE),"")</f>
        <v>SKU0016</v>
      </c>
    </row>
    <row r="123" ht="15.75" customHeight="1">
      <c r="A123" s="25" t="s">
        <v>2499</v>
      </c>
      <c r="B123" s="25" t="s">
        <v>571</v>
      </c>
      <c r="C123" s="26">
        <v>46109.0</v>
      </c>
      <c r="D123" s="25" t="s">
        <v>2243</v>
      </c>
      <c r="E123" s="25" t="s">
        <v>2255</v>
      </c>
      <c r="F123" s="25" t="s">
        <v>2500</v>
      </c>
      <c r="G123" s="29">
        <v>60.0</v>
      </c>
      <c r="H123" s="29">
        <v>60.0</v>
      </c>
      <c r="I123" s="29">
        <v>0.0</v>
      </c>
      <c r="J123" s="25" t="s">
        <v>2247</v>
      </c>
      <c r="K123" s="25" t="s">
        <v>2247</v>
      </c>
      <c r="L123" s="25" t="s">
        <v>2247</v>
      </c>
      <c r="M123" s="25" t="s">
        <v>2248</v>
      </c>
      <c r="N123" s="29">
        <f>IFERROR((C123-VLOOKUP(B123,crm_orders!$A:$S,2,FALSE))*24,0)</f>
        <v>240</v>
      </c>
      <c r="O123" s="27" t="str">
        <f>IFERROR(VLOOKUP(B123,crm_orders!$A:$S,3,FALSE),"")</f>
        <v>DSP0112</v>
      </c>
      <c r="P123" s="27" t="str">
        <f>IFERROR(VLOOKUP(B123,crm_orders!$A:$S,5,FALSE),"")</f>
        <v>CO</v>
      </c>
      <c r="Q123" s="27" t="str">
        <f>IFERROR(VLOOKUP(B123,crm_orders!$A:$S,7,FALSE),"")</f>
        <v>Distributor</v>
      </c>
      <c r="R123" s="27" t="str">
        <f>IFERROR(VLOOKUP(B123,crm_orders!$A:$S,8,FALSE),"")</f>
        <v>SKU0001</v>
      </c>
    </row>
    <row r="124" ht="15.75" customHeight="1">
      <c r="A124" s="17" t="s">
        <v>2501</v>
      </c>
      <c r="B124" s="17" t="s">
        <v>88</v>
      </c>
      <c r="C124" s="18">
        <v>46048.0</v>
      </c>
      <c r="D124" s="17" t="s">
        <v>2254</v>
      </c>
      <c r="E124" s="17" t="s">
        <v>2261</v>
      </c>
      <c r="F124" s="17" t="s">
        <v>2502</v>
      </c>
      <c r="G124" s="21">
        <v>72.0</v>
      </c>
      <c r="H124" s="21">
        <v>66.0</v>
      </c>
      <c r="I124" s="21">
        <v>6.0</v>
      </c>
      <c r="J124" s="17" t="s">
        <v>2246</v>
      </c>
      <c r="K124" s="17" t="s">
        <v>2246</v>
      </c>
      <c r="L124" s="17" t="s">
        <v>2246</v>
      </c>
      <c r="M124" s="17" t="s">
        <v>2267</v>
      </c>
      <c r="N124" s="21">
        <f>IFERROR((C124-VLOOKUP(B124,crm_orders!$A:$S,2,FALSE))*24,0)</f>
        <v>96</v>
      </c>
      <c r="O124" s="19" t="str">
        <f>IFERROR(VLOOKUP(B124,crm_orders!$A:$S,3,FALSE),"")</f>
        <v>DSP0075</v>
      </c>
      <c r="P124" s="19" t="str">
        <f>IFERROR(VLOOKUP(B124,crm_orders!$A:$S,5,FALSE),"")</f>
        <v>CA</v>
      </c>
      <c r="Q124" s="19" t="str">
        <f>IFERROR(VLOOKUP(B124,crm_orders!$A:$S,7,FALSE),"")</f>
        <v>Distributor</v>
      </c>
      <c r="R124" s="19" t="str">
        <f>IFERROR(VLOOKUP(B124,crm_orders!$A:$S,8,FALSE),"")</f>
        <v>SKU0016</v>
      </c>
    </row>
    <row r="125" ht="15.75" customHeight="1">
      <c r="A125" s="25" t="s">
        <v>2503</v>
      </c>
      <c r="B125" s="25" t="s">
        <v>1140</v>
      </c>
      <c r="C125" s="26">
        <v>46145.0</v>
      </c>
      <c r="D125" s="25" t="s">
        <v>2269</v>
      </c>
      <c r="E125" s="25" t="s">
        <v>2251</v>
      </c>
      <c r="F125" s="25" t="s">
        <v>2504</v>
      </c>
      <c r="G125" s="29">
        <v>72.0</v>
      </c>
      <c r="H125" s="29">
        <v>72.0</v>
      </c>
      <c r="I125" s="29">
        <v>0.0</v>
      </c>
      <c r="J125" s="25" t="s">
        <v>2246</v>
      </c>
      <c r="K125" s="25" t="s">
        <v>2247</v>
      </c>
      <c r="L125" s="25" t="s">
        <v>2246</v>
      </c>
      <c r="M125" s="25" t="s">
        <v>2248</v>
      </c>
      <c r="N125" s="29">
        <f>IFERROR((C125-VLOOKUP(B125,crm_orders!$A:$S,2,FALSE))*24,0)</f>
        <v>144</v>
      </c>
      <c r="O125" s="27" t="str">
        <f>IFERROR(VLOOKUP(B125,crm_orders!$A:$S,3,FALSE),"")</f>
        <v>DSP0023</v>
      </c>
      <c r="P125" s="27" t="str">
        <f>IFERROR(VLOOKUP(B125,crm_orders!$A:$S,5,FALSE),"")</f>
        <v>NY</v>
      </c>
      <c r="Q125" s="27" t="str">
        <f>IFERROR(VLOOKUP(B125,crm_orders!$A:$S,7,FALSE),"")</f>
        <v>Retail</v>
      </c>
      <c r="R125" s="27" t="str">
        <f>IFERROR(VLOOKUP(B125,crm_orders!$A:$S,8,FALSE),"")</f>
        <v>SKU0015</v>
      </c>
    </row>
    <row r="126" ht="15.75" customHeight="1">
      <c r="A126" s="17" t="s">
        <v>2505</v>
      </c>
      <c r="B126" s="17" t="s">
        <v>572</v>
      </c>
      <c r="C126" s="18">
        <v>46100.0</v>
      </c>
      <c r="D126" s="17" t="s">
        <v>2260</v>
      </c>
      <c r="E126" s="17" t="s">
        <v>2244</v>
      </c>
      <c r="F126" s="17" t="s">
        <v>2506</v>
      </c>
      <c r="G126" s="21">
        <v>30.0</v>
      </c>
      <c r="H126" s="21">
        <v>30.0</v>
      </c>
      <c r="I126" s="21">
        <v>0.0</v>
      </c>
      <c r="J126" s="17" t="s">
        <v>2246</v>
      </c>
      <c r="K126" s="17" t="s">
        <v>2247</v>
      </c>
      <c r="L126" s="17" t="s">
        <v>2246</v>
      </c>
      <c r="M126" s="17" t="s">
        <v>2248</v>
      </c>
      <c r="N126" s="21">
        <f>IFERROR((C126-VLOOKUP(B126,crm_orders!$A:$S,2,FALSE))*24,0)</f>
        <v>144</v>
      </c>
      <c r="O126" s="19" t="str">
        <f>IFERROR(VLOOKUP(B126,crm_orders!$A:$S,3,FALSE),"")</f>
        <v>DSP0032</v>
      </c>
      <c r="P126" s="19" t="str">
        <f>IFERROR(VLOOKUP(B126,crm_orders!$A:$S,5,FALSE),"")</f>
        <v>MI</v>
      </c>
      <c r="Q126" s="19" t="str">
        <f>IFERROR(VLOOKUP(B126,crm_orders!$A:$S,7,FALSE),"")</f>
        <v>Wholesale</v>
      </c>
      <c r="R126" s="19" t="str">
        <f>IFERROR(VLOOKUP(B126,crm_orders!$A:$S,8,FALSE),"")</f>
        <v>SKU0009</v>
      </c>
    </row>
    <row r="127" ht="15.75" customHeight="1">
      <c r="A127" s="25" t="s">
        <v>2507</v>
      </c>
      <c r="B127" s="25" t="s">
        <v>91</v>
      </c>
      <c r="C127" s="26">
        <v>46090.0</v>
      </c>
      <c r="D127" s="25" t="s">
        <v>2254</v>
      </c>
      <c r="E127" s="25" t="s">
        <v>2261</v>
      </c>
      <c r="F127" s="25" t="s">
        <v>2508</v>
      </c>
      <c r="G127" s="29">
        <v>36.0</v>
      </c>
      <c r="H127" s="29">
        <v>36.0</v>
      </c>
      <c r="I127" s="29">
        <v>0.0</v>
      </c>
      <c r="J127" s="25" t="s">
        <v>2246</v>
      </c>
      <c r="K127" s="25" t="s">
        <v>2247</v>
      </c>
      <c r="L127" s="25" t="s">
        <v>2246</v>
      </c>
      <c r="M127" s="25" t="s">
        <v>2248</v>
      </c>
      <c r="N127" s="29">
        <f>IFERROR((C127-VLOOKUP(B127,crm_orders!$A:$S,2,FALSE))*24,0)</f>
        <v>144</v>
      </c>
      <c r="O127" s="27" t="str">
        <f>IFERROR(VLOOKUP(B127,crm_orders!$A:$S,3,FALSE),"")</f>
        <v>DSP0063</v>
      </c>
      <c r="P127" s="27" t="str">
        <f>IFERROR(VLOOKUP(B127,crm_orders!$A:$S,5,FALSE),"")</f>
        <v>CA</v>
      </c>
      <c r="Q127" s="27" t="str">
        <f>IFERROR(VLOOKUP(B127,crm_orders!$A:$S,7,FALSE),"")</f>
        <v>Retail</v>
      </c>
      <c r="R127" s="27" t="str">
        <f>IFERROR(VLOOKUP(B127,crm_orders!$A:$S,8,FALSE),"")</f>
        <v>SKU0011</v>
      </c>
    </row>
    <row r="128" ht="15.75" customHeight="1">
      <c r="A128" s="17" t="s">
        <v>2509</v>
      </c>
      <c r="B128" s="17" t="s">
        <v>734</v>
      </c>
      <c r="C128" s="18">
        <v>46134.0</v>
      </c>
      <c r="D128" s="17" t="s">
        <v>2254</v>
      </c>
      <c r="E128" s="17" t="s">
        <v>2244</v>
      </c>
      <c r="F128" s="17" t="s">
        <v>2510</v>
      </c>
      <c r="G128" s="21">
        <v>36.0</v>
      </c>
      <c r="H128" s="21">
        <v>36.0</v>
      </c>
      <c r="I128" s="21">
        <v>0.0</v>
      </c>
      <c r="J128" s="17" t="s">
        <v>2246</v>
      </c>
      <c r="K128" s="17" t="s">
        <v>2247</v>
      </c>
      <c r="L128" s="17" t="s">
        <v>2246</v>
      </c>
      <c r="M128" s="17" t="s">
        <v>2248</v>
      </c>
      <c r="N128" s="21">
        <f>IFERROR((C128-VLOOKUP(B128,crm_orders!$A:$S,2,FALSE))*24,0)</f>
        <v>168</v>
      </c>
      <c r="O128" s="19" t="str">
        <f>IFERROR(VLOOKUP(B128,crm_orders!$A:$S,3,FALSE),"")</f>
        <v>DSP0049</v>
      </c>
      <c r="P128" s="19" t="str">
        <f>IFERROR(VLOOKUP(B128,crm_orders!$A:$S,5,FALSE),"")</f>
        <v>OR</v>
      </c>
      <c r="Q128" s="19" t="str">
        <f>IFERROR(VLOOKUP(B128,crm_orders!$A:$S,7,FALSE),"")</f>
        <v>Wholesale</v>
      </c>
      <c r="R128" s="19" t="str">
        <f>IFERROR(VLOOKUP(B128,crm_orders!$A:$S,8,FALSE),"")</f>
        <v>SKU0013</v>
      </c>
    </row>
    <row r="129" ht="15.75" customHeight="1">
      <c r="A129" s="25" t="s">
        <v>2511</v>
      </c>
      <c r="B129" s="25" t="s">
        <v>876</v>
      </c>
      <c r="C129" s="26">
        <v>46113.0</v>
      </c>
      <c r="D129" s="25" t="s">
        <v>2254</v>
      </c>
      <c r="E129" s="25" t="s">
        <v>2244</v>
      </c>
      <c r="F129" s="25" t="s">
        <v>2512</v>
      </c>
      <c r="G129" s="29">
        <v>30.0</v>
      </c>
      <c r="H129" s="29">
        <v>30.0</v>
      </c>
      <c r="I129" s="29">
        <v>0.0</v>
      </c>
      <c r="J129" s="25" t="s">
        <v>2246</v>
      </c>
      <c r="K129" s="25" t="s">
        <v>2247</v>
      </c>
      <c r="L129" s="25" t="s">
        <v>2246</v>
      </c>
      <c r="M129" s="25" t="s">
        <v>2248</v>
      </c>
      <c r="N129" s="29">
        <f>IFERROR((C129-VLOOKUP(B129,crm_orders!$A:$S,2,FALSE))*24,0)</f>
        <v>168</v>
      </c>
      <c r="O129" s="27" t="str">
        <f>IFERROR(VLOOKUP(B129,crm_orders!$A:$S,3,FALSE),"")</f>
        <v>DSP0119</v>
      </c>
      <c r="P129" s="27" t="str">
        <f>IFERROR(VLOOKUP(B129,crm_orders!$A:$S,5,FALSE),"")</f>
        <v>NY</v>
      </c>
      <c r="Q129" s="27" t="str">
        <f>IFERROR(VLOOKUP(B129,crm_orders!$A:$S,7,FALSE),"")</f>
        <v>Distributor</v>
      </c>
      <c r="R129" s="27" t="str">
        <f>IFERROR(VLOOKUP(B129,crm_orders!$A:$S,8,FALSE),"")</f>
        <v>SKU0015</v>
      </c>
    </row>
    <row r="130" ht="15.75" customHeight="1">
      <c r="A130" s="17" t="s">
        <v>2513</v>
      </c>
      <c r="B130" s="17" t="s">
        <v>191</v>
      </c>
      <c r="C130" s="18">
        <v>46086.0</v>
      </c>
      <c r="D130" s="17" t="s">
        <v>2254</v>
      </c>
      <c r="E130" s="17" t="s">
        <v>2244</v>
      </c>
      <c r="F130" s="17" t="s">
        <v>2514</v>
      </c>
      <c r="G130" s="21">
        <v>120.0</v>
      </c>
      <c r="H130" s="21">
        <v>120.0</v>
      </c>
      <c r="I130" s="21">
        <v>0.0</v>
      </c>
      <c r="J130" s="17" t="s">
        <v>2246</v>
      </c>
      <c r="K130" s="17" t="s">
        <v>2247</v>
      </c>
      <c r="L130" s="17" t="s">
        <v>2246</v>
      </c>
      <c r="M130" s="17" t="s">
        <v>2248</v>
      </c>
      <c r="N130" s="21">
        <f>IFERROR((C130-VLOOKUP(B130,crm_orders!$A:$S,2,FALSE))*24,0)</f>
        <v>48</v>
      </c>
      <c r="O130" s="19" t="str">
        <f>IFERROR(VLOOKUP(B130,crm_orders!$A:$S,3,FALSE),"")</f>
        <v>DSP0084</v>
      </c>
      <c r="P130" s="19" t="str">
        <f>IFERROR(VLOOKUP(B130,crm_orders!$A:$S,5,FALSE),"")</f>
        <v>OK</v>
      </c>
      <c r="Q130" s="19" t="str">
        <f>IFERROR(VLOOKUP(B130,crm_orders!$A:$S,7,FALSE),"")</f>
        <v>Wholesale</v>
      </c>
      <c r="R130" s="19" t="str">
        <f>IFERROR(VLOOKUP(B130,crm_orders!$A:$S,8,FALSE),"")</f>
        <v>SKU0016</v>
      </c>
    </row>
    <row r="131" ht="15.75" customHeight="1">
      <c r="A131" s="25" t="s">
        <v>2515</v>
      </c>
      <c r="B131" s="25" t="s">
        <v>317</v>
      </c>
      <c r="C131" s="26">
        <v>46096.0</v>
      </c>
      <c r="D131" s="25" t="s">
        <v>2260</v>
      </c>
      <c r="E131" s="25" t="s">
        <v>2255</v>
      </c>
      <c r="F131" s="25" t="s">
        <v>2516</v>
      </c>
      <c r="G131" s="29">
        <v>6.0</v>
      </c>
      <c r="H131" s="29">
        <v>0.0</v>
      </c>
      <c r="I131" s="29">
        <v>6.0</v>
      </c>
      <c r="J131" s="25" t="s">
        <v>2246</v>
      </c>
      <c r="K131" s="25" t="s">
        <v>2246</v>
      </c>
      <c r="L131" s="25" t="s">
        <v>2246</v>
      </c>
      <c r="M131" s="25" t="s">
        <v>2267</v>
      </c>
      <c r="N131" s="29">
        <f>IFERROR((C131-VLOOKUP(B131,crm_orders!$A:$S,2,FALSE))*24,0)</f>
        <v>120</v>
      </c>
      <c r="O131" s="27" t="str">
        <f>IFERROR(VLOOKUP(B131,crm_orders!$A:$S,3,FALSE),"")</f>
        <v>DSP0074</v>
      </c>
      <c r="P131" s="27" t="str">
        <f>IFERROR(VLOOKUP(B131,crm_orders!$A:$S,5,FALSE),"")</f>
        <v>WA</v>
      </c>
      <c r="Q131" s="27" t="str">
        <f>IFERROR(VLOOKUP(B131,crm_orders!$A:$S,7,FALSE),"")</f>
        <v>Distributor</v>
      </c>
      <c r="R131" s="27" t="str">
        <f>IFERROR(VLOOKUP(B131,crm_orders!$A:$S,8,FALSE),"")</f>
        <v>SKU0008</v>
      </c>
    </row>
    <row r="132" ht="15.75" customHeight="1">
      <c r="A132" s="17" t="s">
        <v>2517</v>
      </c>
      <c r="B132" s="17" t="s">
        <v>737</v>
      </c>
      <c r="C132" s="18">
        <v>46130.0</v>
      </c>
      <c r="D132" s="17" t="s">
        <v>2250</v>
      </c>
      <c r="E132" s="17" t="s">
        <v>2244</v>
      </c>
      <c r="F132" s="17" t="s">
        <v>2518</v>
      </c>
      <c r="G132" s="21">
        <v>60.0</v>
      </c>
      <c r="H132" s="21">
        <v>60.0</v>
      </c>
      <c r="I132" s="21">
        <v>0.0</v>
      </c>
      <c r="J132" s="17" t="s">
        <v>2246</v>
      </c>
      <c r="K132" s="17" t="s">
        <v>2247</v>
      </c>
      <c r="L132" s="17" t="s">
        <v>2246</v>
      </c>
      <c r="M132" s="17" t="s">
        <v>2248</v>
      </c>
      <c r="N132" s="21">
        <f>IFERROR((C132-VLOOKUP(B132,crm_orders!$A:$S,2,FALSE))*24,0)</f>
        <v>168</v>
      </c>
      <c r="O132" s="19" t="str">
        <f>IFERROR(VLOOKUP(B132,crm_orders!$A:$S,3,FALSE),"")</f>
        <v>DSP0108</v>
      </c>
      <c r="P132" s="19" t="str">
        <f>IFERROR(VLOOKUP(B132,crm_orders!$A:$S,5,FALSE),"")</f>
        <v>OK</v>
      </c>
      <c r="Q132" s="19" t="str">
        <f>IFERROR(VLOOKUP(B132,crm_orders!$A:$S,7,FALSE),"")</f>
        <v>Distributor</v>
      </c>
      <c r="R132" s="19" t="str">
        <f>IFERROR(VLOOKUP(B132,crm_orders!$A:$S,8,FALSE),"")</f>
        <v>SKU0013</v>
      </c>
    </row>
    <row r="133" ht="15.75" customHeight="1">
      <c r="A133" s="25" t="s">
        <v>2519</v>
      </c>
      <c r="B133" s="25" t="s">
        <v>1092</v>
      </c>
      <c r="C133" s="26">
        <v>46062.0</v>
      </c>
      <c r="D133" s="25" t="s">
        <v>2254</v>
      </c>
      <c r="E133" s="25" t="s">
        <v>2255</v>
      </c>
      <c r="F133" s="25" t="s">
        <v>2520</v>
      </c>
      <c r="G133" s="29">
        <v>24.0</v>
      </c>
      <c r="H133" s="29">
        <v>24.0</v>
      </c>
      <c r="I133" s="29">
        <v>0.0</v>
      </c>
      <c r="J133" s="25" t="s">
        <v>2247</v>
      </c>
      <c r="K133" s="25" t="s">
        <v>2247</v>
      </c>
      <c r="L133" s="25" t="s">
        <v>2247</v>
      </c>
      <c r="M133" s="25" t="s">
        <v>2248</v>
      </c>
      <c r="N133" s="29">
        <f>IFERROR((C133-VLOOKUP(B133,crm_orders!$A:$S,2,FALSE))*24,0)</f>
        <v>120</v>
      </c>
      <c r="O133" s="27" t="str">
        <f>IFERROR(VLOOKUP(B133,crm_orders!$A:$S,3,FALSE),"")</f>
        <v>DSP0065</v>
      </c>
      <c r="P133" s="27" t="str">
        <f>IFERROR(VLOOKUP(B133,crm_orders!$A:$S,5,FALSE),"")</f>
        <v>AZ</v>
      </c>
      <c r="Q133" s="27" t="str">
        <f>IFERROR(VLOOKUP(B133,crm_orders!$A:$S,7,FALSE),"")</f>
        <v>Retail</v>
      </c>
      <c r="R133" s="27" t="str">
        <f>IFERROR(VLOOKUP(B133,crm_orders!$A:$S,8,FALSE),"")</f>
        <v>SKU0015</v>
      </c>
    </row>
    <row r="134" ht="15.75" customHeight="1">
      <c r="A134" s="17" t="s">
        <v>2521</v>
      </c>
      <c r="B134" s="17" t="s">
        <v>192</v>
      </c>
      <c r="C134" s="18">
        <v>46104.0</v>
      </c>
      <c r="D134" s="17" t="s">
        <v>2260</v>
      </c>
      <c r="E134" s="17" t="s">
        <v>2244</v>
      </c>
      <c r="F134" s="17" t="s">
        <v>2522</v>
      </c>
      <c r="G134" s="21">
        <v>120.0</v>
      </c>
      <c r="H134" s="21">
        <v>0.0</v>
      </c>
      <c r="I134" s="21">
        <v>120.0</v>
      </c>
      <c r="J134" s="17" t="s">
        <v>2246</v>
      </c>
      <c r="K134" s="17" t="s">
        <v>2246</v>
      </c>
      <c r="L134" s="17" t="s">
        <v>2246</v>
      </c>
      <c r="M134" s="17" t="s">
        <v>2312</v>
      </c>
      <c r="N134" s="21">
        <f>IFERROR((C134-VLOOKUP(B134,crm_orders!$A:$S,2,FALSE))*24,0)</f>
        <v>216</v>
      </c>
      <c r="O134" s="19" t="str">
        <f>IFERROR(VLOOKUP(B134,crm_orders!$A:$S,3,FALSE),"")</f>
        <v>DSP0044</v>
      </c>
      <c r="P134" s="19" t="str">
        <f>IFERROR(VLOOKUP(B134,crm_orders!$A:$S,5,FALSE),"")</f>
        <v>MI</v>
      </c>
      <c r="Q134" s="19" t="str">
        <f>IFERROR(VLOOKUP(B134,crm_orders!$A:$S,7,FALSE),"")</f>
        <v>Distributor</v>
      </c>
      <c r="R134" s="19" t="str">
        <f>IFERROR(VLOOKUP(B134,crm_orders!$A:$S,8,FALSE),"")</f>
        <v>SKU0010</v>
      </c>
    </row>
    <row r="135" ht="15.75" customHeight="1">
      <c r="A135" s="25" t="s">
        <v>2523</v>
      </c>
      <c r="B135" s="25" t="s">
        <v>193</v>
      </c>
      <c r="C135" s="26">
        <v>46121.0</v>
      </c>
      <c r="D135" s="25" t="s">
        <v>2243</v>
      </c>
      <c r="E135" s="25" t="s">
        <v>2261</v>
      </c>
      <c r="F135" s="25" t="s">
        <v>2524</v>
      </c>
      <c r="G135" s="29">
        <v>12.0</v>
      </c>
      <c r="H135" s="29">
        <v>12.0</v>
      </c>
      <c r="I135" s="29">
        <v>0.0</v>
      </c>
      <c r="J135" s="25" t="s">
        <v>2246</v>
      </c>
      <c r="K135" s="25" t="s">
        <v>2247</v>
      </c>
      <c r="L135" s="25" t="s">
        <v>2246</v>
      </c>
      <c r="M135" s="25" t="s">
        <v>2248</v>
      </c>
      <c r="N135" s="29">
        <f>IFERROR((C135-VLOOKUP(B135,crm_orders!$A:$S,2,FALSE))*24,0)</f>
        <v>312</v>
      </c>
      <c r="O135" s="27" t="str">
        <f>IFERROR(VLOOKUP(B135,crm_orders!$A:$S,3,FALSE),"")</f>
        <v>DSP0012</v>
      </c>
      <c r="P135" s="27" t="str">
        <f>IFERROR(VLOOKUP(B135,crm_orders!$A:$S,5,FALSE),"")</f>
        <v>OK</v>
      </c>
      <c r="Q135" s="27" t="str">
        <f>IFERROR(VLOOKUP(B135,crm_orders!$A:$S,7,FALSE),"")</f>
        <v>Wholesale</v>
      </c>
      <c r="R135" s="27" t="str">
        <f>IFERROR(VLOOKUP(B135,crm_orders!$A:$S,8,FALSE),"")</f>
        <v>SKU0013</v>
      </c>
    </row>
    <row r="136" ht="15.75" customHeight="1">
      <c r="A136" s="17" t="s">
        <v>2525</v>
      </c>
      <c r="B136" s="17" t="s">
        <v>468</v>
      </c>
      <c r="C136" s="18">
        <v>46071.0</v>
      </c>
      <c r="D136" s="17" t="s">
        <v>2260</v>
      </c>
      <c r="E136" s="17" t="s">
        <v>2244</v>
      </c>
      <c r="F136" s="17" t="s">
        <v>2526</v>
      </c>
      <c r="G136" s="21">
        <v>30.0</v>
      </c>
      <c r="H136" s="21">
        <v>6.0</v>
      </c>
      <c r="I136" s="21">
        <v>24.0</v>
      </c>
      <c r="J136" s="17" t="s">
        <v>2247</v>
      </c>
      <c r="K136" s="17" t="s">
        <v>2246</v>
      </c>
      <c r="L136" s="17" t="s">
        <v>2246</v>
      </c>
      <c r="M136" s="17" t="s">
        <v>2267</v>
      </c>
      <c r="N136" s="21">
        <f>IFERROR((C136-VLOOKUP(B136,crm_orders!$A:$S,2,FALSE))*24,0)</f>
        <v>144</v>
      </c>
      <c r="O136" s="19" t="str">
        <f>IFERROR(VLOOKUP(B136,crm_orders!$A:$S,3,FALSE),"")</f>
        <v>DSP0058</v>
      </c>
      <c r="P136" s="19" t="str">
        <f>IFERROR(VLOOKUP(B136,crm_orders!$A:$S,5,FALSE),"")</f>
        <v>NM</v>
      </c>
      <c r="Q136" s="19" t="str">
        <f>IFERROR(VLOOKUP(B136,crm_orders!$A:$S,7,FALSE),"")</f>
        <v>Wholesale</v>
      </c>
      <c r="R136" s="19" t="str">
        <f>IFERROR(VLOOKUP(B136,crm_orders!$A:$S,8,FALSE),"")</f>
        <v>SKU0009</v>
      </c>
    </row>
    <row r="137" ht="15.75" customHeight="1">
      <c r="A137" s="25" t="s">
        <v>2527</v>
      </c>
      <c r="B137" s="25" t="s">
        <v>1093</v>
      </c>
      <c r="C137" s="26">
        <v>46066.0</v>
      </c>
      <c r="D137" s="25" t="s">
        <v>2269</v>
      </c>
      <c r="E137" s="25" t="s">
        <v>2261</v>
      </c>
      <c r="F137" s="25" t="s">
        <v>2528</v>
      </c>
      <c r="G137" s="29">
        <v>18.0</v>
      </c>
      <c r="H137" s="29">
        <v>0.0</v>
      </c>
      <c r="I137" s="29">
        <v>18.0</v>
      </c>
      <c r="J137" s="25" t="s">
        <v>2247</v>
      </c>
      <c r="K137" s="25" t="s">
        <v>2246</v>
      </c>
      <c r="L137" s="25" t="s">
        <v>2246</v>
      </c>
      <c r="M137" s="25" t="s">
        <v>2267</v>
      </c>
      <c r="N137" s="29">
        <f>IFERROR((C137-VLOOKUP(B137,crm_orders!$A:$S,2,FALSE))*24,0)</f>
        <v>96</v>
      </c>
      <c r="O137" s="27" t="str">
        <f>IFERROR(VLOOKUP(B137,crm_orders!$A:$S,3,FALSE),"")</f>
        <v>DSP0016</v>
      </c>
      <c r="P137" s="27" t="str">
        <f>IFERROR(VLOOKUP(B137,crm_orders!$A:$S,5,FALSE),"")</f>
        <v>CO</v>
      </c>
      <c r="Q137" s="27" t="str">
        <f>IFERROR(VLOOKUP(B137,crm_orders!$A:$S,7,FALSE),"")</f>
        <v>Distributor</v>
      </c>
      <c r="R137" s="27" t="str">
        <f>IFERROR(VLOOKUP(B137,crm_orders!$A:$S,8,FALSE),"")</f>
        <v>SKU0015</v>
      </c>
    </row>
    <row r="138" ht="15.75" customHeight="1">
      <c r="A138" s="17" t="s">
        <v>2529</v>
      </c>
      <c r="B138" s="17" t="s">
        <v>318</v>
      </c>
      <c r="C138" s="18">
        <v>46114.0</v>
      </c>
      <c r="D138" s="17" t="s">
        <v>2269</v>
      </c>
      <c r="E138" s="17" t="s">
        <v>2261</v>
      </c>
      <c r="F138" s="17" t="s">
        <v>2530</v>
      </c>
      <c r="G138" s="21">
        <v>24.0</v>
      </c>
      <c r="H138" s="21">
        <v>18.0</v>
      </c>
      <c r="I138" s="21">
        <v>6.0</v>
      </c>
      <c r="J138" s="17" t="s">
        <v>2246</v>
      </c>
      <c r="K138" s="17" t="s">
        <v>2246</v>
      </c>
      <c r="L138" s="17" t="s">
        <v>2246</v>
      </c>
      <c r="M138" s="17" t="s">
        <v>2267</v>
      </c>
      <c r="N138" s="21">
        <f>IFERROR((C138-VLOOKUP(B138,crm_orders!$A:$S,2,FALSE))*24,0)</f>
        <v>312</v>
      </c>
      <c r="O138" s="19" t="str">
        <f>IFERROR(VLOOKUP(B138,crm_orders!$A:$S,3,FALSE),"")</f>
        <v>DSP0038</v>
      </c>
      <c r="P138" s="19" t="str">
        <f>IFERROR(VLOOKUP(B138,crm_orders!$A:$S,5,FALSE),"")</f>
        <v>WA</v>
      </c>
      <c r="Q138" s="19" t="str">
        <f>IFERROR(VLOOKUP(B138,crm_orders!$A:$S,7,FALSE),"")</f>
        <v>Wholesale</v>
      </c>
      <c r="R138" s="19" t="str">
        <f>IFERROR(VLOOKUP(B138,crm_orders!$A:$S,8,FALSE),"")</f>
        <v>SKU0012</v>
      </c>
    </row>
    <row r="139" ht="15.75" customHeight="1">
      <c r="A139" s="25" t="s">
        <v>2531</v>
      </c>
      <c r="B139" s="25" t="s">
        <v>470</v>
      </c>
      <c r="C139" s="26">
        <v>46123.0</v>
      </c>
      <c r="D139" s="25" t="s">
        <v>2243</v>
      </c>
      <c r="E139" s="25" t="s">
        <v>2251</v>
      </c>
      <c r="F139" s="25" t="s">
        <v>2532</v>
      </c>
      <c r="G139" s="29">
        <v>36.0</v>
      </c>
      <c r="H139" s="29">
        <v>36.0</v>
      </c>
      <c r="I139" s="29">
        <v>0.0</v>
      </c>
      <c r="J139" s="25" t="s">
        <v>2246</v>
      </c>
      <c r="K139" s="25" t="s">
        <v>2247</v>
      </c>
      <c r="L139" s="25" t="s">
        <v>2246</v>
      </c>
      <c r="M139" s="25" t="s">
        <v>2248</v>
      </c>
      <c r="N139" s="29">
        <f>IFERROR((C139-VLOOKUP(B139,crm_orders!$A:$S,2,FALSE))*24,0)</f>
        <v>240</v>
      </c>
      <c r="O139" s="27" t="str">
        <f>IFERROR(VLOOKUP(B139,crm_orders!$A:$S,3,FALSE),"")</f>
        <v>DSP0058</v>
      </c>
      <c r="P139" s="27" t="str">
        <f>IFERROR(VLOOKUP(B139,crm_orders!$A:$S,5,FALSE),"")</f>
        <v>NM</v>
      </c>
      <c r="Q139" s="27" t="str">
        <f>IFERROR(VLOOKUP(B139,crm_orders!$A:$S,7,FALSE),"")</f>
        <v>Wholesale</v>
      </c>
      <c r="R139" s="27" t="str">
        <f>IFERROR(VLOOKUP(B139,crm_orders!$A:$S,8,FALSE),"")</f>
        <v>SKU0017</v>
      </c>
    </row>
    <row r="140" ht="15.75" customHeight="1">
      <c r="A140" s="17" t="s">
        <v>2533</v>
      </c>
      <c r="B140" s="17" t="s">
        <v>738</v>
      </c>
      <c r="C140" s="18">
        <v>46061.0</v>
      </c>
      <c r="D140" s="17" t="s">
        <v>2269</v>
      </c>
      <c r="E140" s="17" t="s">
        <v>2261</v>
      </c>
      <c r="F140" s="17" t="s">
        <v>2534</v>
      </c>
      <c r="G140" s="21">
        <v>6.0</v>
      </c>
      <c r="H140" s="21">
        <v>6.0</v>
      </c>
      <c r="I140" s="21">
        <v>0.0</v>
      </c>
      <c r="J140" s="17" t="s">
        <v>2247</v>
      </c>
      <c r="K140" s="17" t="s">
        <v>2247</v>
      </c>
      <c r="L140" s="17" t="s">
        <v>2247</v>
      </c>
      <c r="M140" s="17" t="s">
        <v>2248</v>
      </c>
      <c r="N140" s="21">
        <f>IFERROR((C140-VLOOKUP(B140,crm_orders!$A:$S,2,FALSE))*24,0)</f>
        <v>144</v>
      </c>
      <c r="O140" s="19" t="str">
        <f>IFERROR(VLOOKUP(B140,crm_orders!$A:$S,3,FALSE),"")</f>
        <v>DSP0003</v>
      </c>
      <c r="P140" s="19" t="str">
        <f>IFERROR(VLOOKUP(B140,crm_orders!$A:$S,5,FALSE),"")</f>
        <v>CA</v>
      </c>
      <c r="Q140" s="19" t="str">
        <f>IFERROR(VLOOKUP(B140,crm_orders!$A:$S,7,FALSE),"")</f>
        <v>Wholesale</v>
      </c>
      <c r="R140" s="19" t="str">
        <f>IFERROR(VLOOKUP(B140,crm_orders!$A:$S,8,FALSE),"")</f>
        <v>SKU0013</v>
      </c>
    </row>
    <row r="141" ht="15.75" customHeight="1">
      <c r="A141" s="25" t="s">
        <v>2535</v>
      </c>
      <c r="B141" s="25" t="s">
        <v>472</v>
      </c>
      <c r="C141" s="26">
        <v>46079.0</v>
      </c>
      <c r="D141" s="25" t="s">
        <v>2254</v>
      </c>
      <c r="E141" s="25" t="s">
        <v>2251</v>
      </c>
      <c r="F141" s="25" t="s">
        <v>2536</v>
      </c>
      <c r="G141" s="29">
        <v>12.0</v>
      </c>
      <c r="H141" s="29">
        <v>12.0</v>
      </c>
      <c r="I141" s="29">
        <v>0.0</v>
      </c>
      <c r="J141" s="25" t="s">
        <v>2246</v>
      </c>
      <c r="K141" s="25" t="s">
        <v>2247</v>
      </c>
      <c r="L141" s="25" t="s">
        <v>2246</v>
      </c>
      <c r="M141" s="25" t="s">
        <v>2248</v>
      </c>
      <c r="N141" s="29">
        <f>IFERROR((C141-VLOOKUP(B141,crm_orders!$A:$S,2,FALSE))*24,0)</f>
        <v>192</v>
      </c>
      <c r="O141" s="27" t="str">
        <f>IFERROR(VLOOKUP(B141,crm_orders!$A:$S,3,FALSE),"")</f>
        <v>DSP0058</v>
      </c>
      <c r="P141" s="27" t="str">
        <f>IFERROR(VLOOKUP(B141,crm_orders!$A:$S,5,FALSE),"")</f>
        <v>NM</v>
      </c>
      <c r="Q141" s="27" t="str">
        <f>IFERROR(VLOOKUP(B141,crm_orders!$A:$S,7,FALSE),"")</f>
        <v>Wholesale</v>
      </c>
      <c r="R141" s="27" t="str">
        <f>IFERROR(VLOOKUP(B141,crm_orders!$A:$S,8,FALSE),"")</f>
        <v>SKU0013</v>
      </c>
    </row>
    <row r="142" ht="15.75" customHeight="1">
      <c r="A142" s="17" t="s">
        <v>2537</v>
      </c>
      <c r="B142" s="17" t="s">
        <v>576</v>
      </c>
      <c r="C142" s="18">
        <v>46056.0</v>
      </c>
      <c r="D142" s="17" t="s">
        <v>2269</v>
      </c>
      <c r="E142" s="17" t="s">
        <v>2261</v>
      </c>
      <c r="F142" s="17" t="s">
        <v>2538</v>
      </c>
      <c r="G142" s="21">
        <v>24.0</v>
      </c>
      <c r="H142" s="21">
        <v>24.0</v>
      </c>
      <c r="I142" s="21">
        <v>0.0</v>
      </c>
      <c r="J142" s="17" t="s">
        <v>2246</v>
      </c>
      <c r="K142" s="17" t="s">
        <v>2247</v>
      </c>
      <c r="L142" s="17" t="s">
        <v>2246</v>
      </c>
      <c r="M142" s="17" t="s">
        <v>2248</v>
      </c>
      <c r="N142" s="21">
        <f>IFERROR((C142-VLOOKUP(B142,crm_orders!$A:$S,2,FALSE))*24,0)</f>
        <v>72</v>
      </c>
      <c r="O142" s="19" t="str">
        <f>IFERROR(VLOOKUP(B142,crm_orders!$A:$S,3,FALSE),"")</f>
        <v>DSP0079</v>
      </c>
      <c r="P142" s="19" t="str">
        <f>IFERROR(VLOOKUP(B142,crm_orders!$A:$S,5,FALSE),"")</f>
        <v>IL</v>
      </c>
      <c r="Q142" s="19" t="str">
        <f>IFERROR(VLOOKUP(B142,crm_orders!$A:$S,7,FALSE),"")</f>
        <v>Wholesale</v>
      </c>
      <c r="R142" s="19" t="str">
        <f>IFERROR(VLOOKUP(B142,crm_orders!$A:$S,8,FALSE),"")</f>
        <v>SKU0001</v>
      </c>
    </row>
    <row r="143" ht="15.75" customHeight="1">
      <c r="A143" s="25" t="s">
        <v>2539</v>
      </c>
      <c r="B143" s="25" t="s">
        <v>473</v>
      </c>
      <c r="C143" s="26">
        <v>46098.0</v>
      </c>
      <c r="D143" s="25" t="s">
        <v>2243</v>
      </c>
      <c r="E143" s="25" t="s">
        <v>2244</v>
      </c>
      <c r="F143" s="25" t="s">
        <v>2540</v>
      </c>
      <c r="G143" s="29">
        <v>24.0</v>
      </c>
      <c r="H143" s="29">
        <v>24.0</v>
      </c>
      <c r="I143" s="29">
        <v>0.0</v>
      </c>
      <c r="J143" s="25" t="s">
        <v>2246</v>
      </c>
      <c r="K143" s="25" t="s">
        <v>2247</v>
      </c>
      <c r="L143" s="25" t="s">
        <v>2246</v>
      </c>
      <c r="M143" s="25" t="s">
        <v>2248</v>
      </c>
      <c r="N143" s="29">
        <f>IFERROR((C143-VLOOKUP(B143,crm_orders!$A:$S,2,FALSE))*24,0)</f>
        <v>144</v>
      </c>
      <c r="O143" s="27" t="str">
        <f>IFERROR(VLOOKUP(B143,crm_orders!$A:$S,3,FALSE),"")</f>
        <v>DSP0057</v>
      </c>
      <c r="P143" s="27" t="str">
        <f>IFERROR(VLOOKUP(B143,crm_orders!$A:$S,5,FALSE),"")</f>
        <v>MO</v>
      </c>
      <c r="Q143" s="27" t="str">
        <f>IFERROR(VLOOKUP(B143,crm_orders!$A:$S,7,FALSE),"")</f>
        <v>Wholesale</v>
      </c>
      <c r="R143" s="27" t="str">
        <f>IFERROR(VLOOKUP(B143,crm_orders!$A:$S,8,FALSE),"")</f>
        <v>SKU0008</v>
      </c>
    </row>
    <row r="144" ht="15.75" customHeight="1">
      <c r="A144" s="17" t="s">
        <v>2541</v>
      </c>
      <c r="B144" s="17" t="s">
        <v>323</v>
      </c>
      <c r="C144" s="18">
        <v>46060.0</v>
      </c>
      <c r="D144" s="17" t="s">
        <v>2260</v>
      </c>
      <c r="E144" s="17" t="s">
        <v>2244</v>
      </c>
      <c r="F144" s="17" t="s">
        <v>2542</v>
      </c>
      <c r="G144" s="21">
        <v>6.0</v>
      </c>
      <c r="H144" s="21">
        <v>6.0</v>
      </c>
      <c r="I144" s="21">
        <v>0.0</v>
      </c>
      <c r="J144" s="17" t="s">
        <v>2247</v>
      </c>
      <c r="K144" s="17" t="s">
        <v>2247</v>
      </c>
      <c r="L144" s="17" t="s">
        <v>2247</v>
      </c>
      <c r="M144" s="17" t="s">
        <v>2248</v>
      </c>
      <c r="N144" s="21">
        <f>IFERROR((C144-VLOOKUP(B144,crm_orders!$A:$S,2,FALSE))*24,0)</f>
        <v>48</v>
      </c>
      <c r="O144" s="19" t="str">
        <f>IFERROR(VLOOKUP(B144,crm_orders!$A:$S,3,FALSE),"")</f>
        <v>DSP0053</v>
      </c>
      <c r="P144" s="19" t="str">
        <f>IFERROR(VLOOKUP(B144,crm_orders!$A:$S,5,FALSE),"")</f>
        <v>AZ</v>
      </c>
      <c r="Q144" s="19" t="str">
        <f>IFERROR(VLOOKUP(B144,crm_orders!$A:$S,7,FALSE),"")</f>
        <v>Retail</v>
      </c>
      <c r="R144" s="19" t="str">
        <f>IFERROR(VLOOKUP(B144,crm_orders!$A:$S,8,FALSE),"")</f>
        <v>SKU0010</v>
      </c>
    </row>
    <row r="145" ht="15.75" customHeight="1">
      <c r="A145" s="25" t="s">
        <v>2543</v>
      </c>
      <c r="B145" s="25" t="s">
        <v>94</v>
      </c>
      <c r="C145" s="26">
        <v>46077.0</v>
      </c>
      <c r="D145" s="25" t="s">
        <v>2254</v>
      </c>
      <c r="E145" s="25" t="s">
        <v>2261</v>
      </c>
      <c r="F145" s="25" t="s">
        <v>2544</v>
      </c>
      <c r="G145" s="29">
        <v>120.0</v>
      </c>
      <c r="H145" s="29">
        <v>120.0</v>
      </c>
      <c r="I145" s="29">
        <v>0.0</v>
      </c>
      <c r="J145" s="25" t="s">
        <v>2246</v>
      </c>
      <c r="K145" s="25" t="s">
        <v>2247</v>
      </c>
      <c r="L145" s="25" t="s">
        <v>2246</v>
      </c>
      <c r="M145" s="25" t="s">
        <v>2248</v>
      </c>
      <c r="N145" s="29">
        <f>IFERROR((C145-VLOOKUP(B145,crm_orders!$A:$S,2,FALSE))*24,0)</f>
        <v>240</v>
      </c>
      <c r="O145" s="27" t="str">
        <f>IFERROR(VLOOKUP(B145,crm_orders!$A:$S,3,FALSE),"")</f>
        <v>DSP0064</v>
      </c>
      <c r="P145" s="27" t="str">
        <f>IFERROR(VLOOKUP(B145,crm_orders!$A:$S,5,FALSE),"")</f>
        <v>CO</v>
      </c>
      <c r="Q145" s="27" t="str">
        <f>IFERROR(VLOOKUP(B145,crm_orders!$A:$S,7,FALSE),"")</f>
        <v>Wholesale</v>
      </c>
      <c r="R145" s="27" t="str">
        <f>IFERROR(VLOOKUP(B145,crm_orders!$A:$S,8,FALSE),"")</f>
        <v>SKU0002</v>
      </c>
    </row>
    <row r="146" ht="15.75" customHeight="1">
      <c r="A146" s="17" t="s">
        <v>2545</v>
      </c>
      <c r="B146" s="17" t="s">
        <v>878</v>
      </c>
      <c r="C146" s="18">
        <v>46091.0</v>
      </c>
      <c r="D146" s="17" t="s">
        <v>2269</v>
      </c>
      <c r="E146" s="17" t="s">
        <v>2286</v>
      </c>
      <c r="F146" s="17" t="s">
        <v>2546</v>
      </c>
      <c r="G146" s="21">
        <v>24.0</v>
      </c>
      <c r="H146" s="21">
        <v>24.0</v>
      </c>
      <c r="I146" s="21">
        <v>0.0</v>
      </c>
      <c r="J146" s="17" t="s">
        <v>2247</v>
      </c>
      <c r="K146" s="17" t="s">
        <v>2247</v>
      </c>
      <c r="L146" s="17" t="s">
        <v>2247</v>
      </c>
      <c r="M146" s="17" t="s">
        <v>2248</v>
      </c>
      <c r="N146" s="21">
        <f>IFERROR((C146-VLOOKUP(B146,crm_orders!$A:$S,2,FALSE))*24,0)</f>
        <v>192</v>
      </c>
      <c r="O146" s="19" t="str">
        <f>IFERROR(VLOOKUP(B146,crm_orders!$A:$S,3,FALSE),"")</f>
        <v>DSP0024</v>
      </c>
      <c r="P146" s="19" t="str">
        <f>IFERROR(VLOOKUP(B146,crm_orders!$A:$S,5,FALSE),"")</f>
        <v>OK</v>
      </c>
      <c r="Q146" s="19" t="str">
        <f>IFERROR(VLOOKUP(B146,crm_orders!$A:$S,7,FALSE),"")</f>
        <v>Retail</v>
      </c>
      <c r="R146" s="19" t="str">
        <f>IFERROR(VLOOKUP(B146,crm_orders!$A:$S,8,FALSE),"")</f>
        <v>SKU0018</v>
      </c>
    </row>
    <row r="147" ht="15.75" customHeight="1">
      <c r="A147" s="25" t="s">
        <v>2547</v>
      </c>
      <c r="B147" s="25" t="s">
        <v>739</v>
      </c>
      <c r="C147" s="26">
        <v>46093.0</v>
      </c>
      <c r="D147" s="25" t="s">
        <v>2243</v>
      </c>
      <c r="E147" s="25" t="s">
        <v>2251</v>
      </c>
      <c r="F147" s="25" t="s">
        <v>2548</v>
      </c>
      <c r="G147" s="29">
        <v>18.0</v>
      </c>
      <c r="H147" s="29">
        <v>18.0</v>
      </c>
      <c r="I147" s="29">
        <v>0.0</v>
      </c>
      <c r="J147" s="25" t="s">
        <v>2246</v>
      </c>
      <c r="K147" s="25" t="s">
        <v>2247</v>
      </c>
      <c r="L147" s="25" t="s">
        <v>2246</v>
      </c>
      <c r="M147" s="25" t="s">
        <v>2248</v>
      </c>
      <c r="N147" s="29">
        <f>IFERROR((C147-VLOOKUP(B147,crm_orders!$A:$S,2,FALSE))*24,0)</f>
        <v>72</v>
      </c>
      <c r="O147" s="27" t="str">
        <f>IFERROR(VLOOKUP(B147,crm_orders!$A:$S,3,FALSE),"")</f>
        <v>DSP0054</v>
      </c>
      <c r="P147" s="27" t="str">
        <f>IFERROR(VLOOKUP(B147,crm_orders!$A:$S,5,FALSE),"")</f>
        <v>NV</v>
      </c>
      <c r="Q147" s="27" t="str">
        <f>IFERROR(VLOOKUP(B147,crm_orders!$A:$S,7,FALSE),"")</f>
        <v>Wholesale</v>
      </c>
      <c r="R147" s="27" t="str">
        <f>IFERROR(VLOOKUP(B147,crm_orders!$A:$S,8,FALSE),"")</f>
        <v>SKU0018</v>
      </c>
    </row>
    <row r="148" ht="15.75" customHeight="1">
      <c r="A148" s="17" t="s">
        <v>2549</v>
      </c>
      <c r="B148" s="17" t="s">
        <v>474</v>
      </c>
      <c r="C148" s="18">
        <v>46128.0</v>
      </c>
      <c r="D148" s="17" t="s">
        <v>2250</v>
      </c>
      <c r="E148" s="17" t="s">
        <v>2244</v>
      </c>
      <c r="F148" s="17" t="s">
        <v>2550</v>
      </c>
      <c r="G148" s="21">
        <v>12.0</v>
      </c>
      <c r="H148" s="21">
        <v>12.0</v>
      </c>
      <c r="I148" s="21">
        <v>0.0</v>
      </c>
      <c r="J148" s="17" t="s">
        <v>2246</v>
      </c>
      <c r="K148" s="17" t="s">
        <v>2247</v>
      </c>
      <c r="L148" s="17" t="s">
        <v>2246</v>
      </c>
      <c r="M148" s="17" t="s">
        <v>2248</v>
      </c>
      <c r="N148" s="21">
        <f>IFERROR((C148-VLOOKUP(B148,crm_orders!$A:$S,2,FALSE))*24,0)</f>
        <v>264</v>
      </c>
      <c r="O148" s="19" t="str">
        <f>IFERROR(VLOOKUP(B148,crm_orders!$A:$S,3,FALSE),"")</f>
        <v>DSP0028</v>
      </c>
      <c r="P148" s="19" t="str">
        <f>IFERROR(VLOOKUP(B148,crm_orders!$A:$S,5,FALSE),"")</f>
        <v>CO</v>
      </c>
      <c r="Q148" s="19" t="str">
        <f>IFERROR(VLOOKUP(B148,crm_orders!$A:$S,7,FALSE),"")</f>
        <v>Distributor</v>
      </c>
      <c r="R148" s="19" t="str">
        <f>IFERROR(VLOOKUP(B148,crm_orders!$A:$S,8,FALSE),"")</f>
        <v>SKU0007</v>
      </c>
    </row>
    <row r="149" ht="15.75" customHeight="1">
      <c r="A149" s="25" t="s">
        <v>2551</v>
      </c>
      <c r="B149" s="25" t="s">
        <v>740</v>
      </c>
      <c r="C149" s="26">
        <v>46071.0</v>
      </c>
      <c r="D149" s="25" t="s">
        <v>2250</v>
      </c>
      <c r="E149" s="25" t="s">
        <v>2261</v>
      </c>
      <c r="F149" s="25" t="s">
        <v>2552</v>
      </c>
      <c r="G149" s="29">
        <v>30.0</v>
      </c>
      <c r="H149" s="29">
        <v>0.0</v>
      </c>
      <c r="I149" s="29">
        <v>30.0</v>
      </c>
      <c r="J149" s="25" t="s">
        <v>2246</v>
      </c>
      <c r="K149" s="25" t="s">
        <v>2246</v>
      </c>
      <c r="L149" s="25" t="s">
        <v>2246</v>
      </c>
      <c r="M149" s="25" t="s">
        <v>2312</v>
      </c>
      <c r="N149" s="29">
        <f>IFERROR((C149-VLOOKUP(B149,crm_orders!$A:$S,2,FALSE))*24,0)</f>
        <v>168</v>
      </c>
      <c r="O149" s="27" t="str">
        <f>IFERROR(VLOOKUP(B149,crm_orders!$A:$S,3,FALSE),"")</f>
        <v>DSP0031</v>
      </c>
      <c r="P149" s="27" t="str">
        <f>IFERROR(VLOOKUP(B149,crm_orders!$A:$S,5,FALSE),"")</f>
        <v>IL</v>
      </c>
      <c r="Q149" s="27" t="str">
        <f>IFERROR(VLOOKUP(B149,crm_orders!$A:$S,7,FALSE),"")</f>
        <v>Wholesale</v>
      </c>
      <c r="R149" s="27" t="str">
        <f>IFERROR(VLOOKUP(B149,crm_orders!$A:$S,8,FALSE),"")</f>
        <v>SKU0018</v>
      </c>
    </row>
    <row r="150" ht="15.75" customHeight="1">
      <c r="A150" s="17" t="s">
        <v>2553</v>
      </c>
      <c r="B150" s="17" t="s">
        <v>96</v>
      </c>
      <c r="C150" s="18">
        <v>46133.0</v>
      </c>
      <c r="D150" s="17" t="s">
        <v>2260</v>
      </c>
      <c r="E150" s="17" t="s">
        <v>2244</v>
      </c>
      <c r="F150" s="17" t="s">
        <v>2554</v>
      </c>
      <c r="G150" s="21">
        <v>60.0</v>
      </c>
      <c r="H150" s="21">
        <v>60.0</v>
      </c>
      <c r="I150" s="21">
        <v>0.0</v>
      </c>
      <c r="J150" s="17" t="s">
        <v>2246</v>
      </c>
      <c r="K150" s="17" t="s">
        <v>2247</v>
      </c>
      <c r="L150" s="17" t="s">
        <v>2246</v>
      </c>
      <c r="M150" s="17" t="s">
        <v>2248</v>
      </c>
      <c r="N150" s="21">
        <f>IFERROR((C150-VLOOKUP(B150,crm_orders!$A:$S,2,FALSE))*24,0)</f>
        <v>192</v>
      </c>
      <c r="O150" s="19" t="str">
        <f>IFERROR(VLOOKUP(B150,crm_orders!$A:$S,3,FALSE),"")</f>
        <v>DSP0060</v>
      </c>
      <c r="P150" s="19" t="str">
        <f>IFERROR(VLOOKUP(B150,crm_orders!$A:$S,5,FALSE),"")</f>
        <v>OK</v>
      </c>
      <c r="Q150" s="19" t="str">
        <f>IFERROR(VLOOKUP(B150,crm_orders!$A:$S,7,FALSE),"")</f>
        <v>Wholesale</v>
      </c>
      <c r="R150" s="19" t="str">
        <f>IFERROR(VLOOKUP(B150,crm_orders!$A:$S,8,FALSE),"")</f>
        <v>SKU0004</v>
      </c>
    </row>
    <row r="151" ht="15.75" customHeight="1">
      <c r="A151" s="25" t="s">
        <v>2555</v>
      </c>
      <c r="B151" s="25" t="s">
        <v>475</v>
      </c>
      <c r="C151" s="26">
        <v>46030.0</v>
      </c>
      <c r="D151" s="25" t="s">
        <v>2260</v>
      </c>
      <c r="E151" s="25" t="s">
        <v>2261</v>
      </c>
      <c r="F151" s="25" t="s">
        <v>2556</v>
      </c>
      <c r="G151" s="29">
        <v>30.0</v>
      </c>
      <c r="H151" s="29">
        <v>30.0</v>
      </c>
      <c r="I151" s="29">
        <v>0.0</v>
      </c>
      <c r="J151" s="25" t="s">
        <v>2247</v>
      </c>
      <c r="K151" s="25" t="s">
        <v>2247</v>
      </c>
      <c r="L151" s="25" t="s">
        <v>2247</v>
      </c>
      <c r="M151" s="25" t="s">
        <v>2248</v>
      </c>
      <c r="N151" s="29">
        <f>IFERROR((C151-VLOOKUP(B151,crm_orders!$A:$S,2,FALSE))*24,0)</f>
        <v>120</v>
      </c>
      <c r="O151" s="27" t="str">
        <f>IFERROR(VLOOKUP(B151,crm_orders!$A:$S,3,FALSE),"")</f>
        <v>DSP0029</v>
      </c>
      <c r="P151" s="27" t="str">
        <f>IFERROR(VLOOKUP(B151,crm_orders!$A:$S,5,FALSE),"")</f>
        <v>AZ</v>
      </c>
      <c r="Q151" s="27" t="str">
        <f>IFERROR(VLOOKUP(B151,crm_orders!$A:$S,7,FALSE),"")</f>
        <v>Retail</v>
      </c>
      <c r="R151" s="27" t="str">
        <f>IFERROR(VLOOKUP(B151,crm_orders!$A:$S,8,FALSE),"")</f>
        <v>SKU0005</v>
      </c>
    </row>
    <row r="152" ht="15.75" customHeight="1">
      <c r="A152" s="17" t="s">
        <v>2557</v>
      </c>
      <c r="B152" s="17" t="s">
        <v>742</v>
      </c>
      <c r="C152" s="18">
        <v>46136.0</v>
      </c>
      <c r="D152" s="17" t="s">
        <v>2254</v>
      </c>
      <c r="E152" s="17" t="s">
        <v>2251</v>
      </c>
      <c r="F152" s="17" t="s">
        <v>2558</v>
      </c>
      <c r="G152" s="21">
        <v>24.0</v>
      </c>
      <c r="H152" s="21">
        <v>24.0</v>
      </c>
      <c r="I152" s="21">
        <v>0.0</v>
      </c>
      <c r="J152" s="17" t="s">
        <v>2246</v>
      </c>
      <c r="K152" s="17" t="s">
        <v>2247</v>
      </c>
      <c r="L152" s="17" t="s">
        <v>2246</v>
      </c>
      <c r="M152" s="17" t="s">
        <v>2248</v>
      </c>
      <c r="N152" s="21">
        <f>IFERROR((C152-VLOOKUP(B152,crm_orders!$A:$S,2,FALSE))*24,0)</f>
        <v>168</v>
      </c>
      <c r="O152" s="19" t="str">
        <f>IFERROR(VLOOKUP(B152,crm_orders!$A:$S,3,FALSE),"")</f>
        <v>DSP0049</v>
      </c>
      <c r="P152" s="19" t="str">
        <f>IFERROR(VLOOKUP(B152,crm_orders!$A:$S,5,FALSE),"")</f>
        <v>OR</v>
      </c>
      <c r="Q152" s="19" t="str">
        <f>IFERROR(VLOOKUP(B152,crm_orders!$A:$S,7,FALSE),"")</f>
        <v>Retail</v>
      </c>
      <c r="R152" s="19" t="str">
        <f>IFERROR(VLOOKUP(B152,crm_orders!$A:$S,8,FALSE),"")</f>
        <v>SKU0019</v>
      </c>
    </row>
    <row r="153" ht="15.75" customHeight="1">
      <c r="A153" s="25" t="s">
        <v>2559</v>
      </c>
      <c r="B153" s="25" t="s">
        <v>197</v>
      </c>
      <c r="C153" s="26">
        <v>46092.0</v>
      </c>
      <c r="D153" s="25" t="s">
        <v>2269</v>
      </c>
      <c r="E153" s="25" t="s">
        <v>2286</v>
      </c>
      <c r="F153" s="25" t="s">
        <v>2560</v>
      </c>
      <c r="G153" s="29">
        <v>18.0</v>
      </c>
      <c r="H153" s="29">
        <v>0.0</v>
      </c>
      <c r="I153" s="29">
        <v>18.0</v>
      </c>
      <c r="J153" s="25" t="s">
        <v>2246</v>
      </c>
      <c r="K153" s="25" t="s">
        <v>2246</v>
      </c>
      <c r="L153" s="25" t="s">
        <v>2246</v>
      </c>
      <c r="M153" s="25" t="s">
        <v>2312</v>
      </c>
      <c r="N153" s="29">
        <f>IFERROR((C153-VLOOKUP(B153,crm_orders!$A:$S,2,FALSE))*24,0)</f>
        <v>264</v>
      </c>
      <c r="O153" s="27" t="str">
        <f>IFERROR(VLOOKUP(B153,crm_orders!$A:$S,3,FALSE),"")</f>
        <v>DSP0093</v>
      </c>
      <c r="P153" s="27" t="str">
        <f>IFERROR(VLOOKUP(B153,crm_orders!$A:$S,5,FALSE),"")</f>
        <v>MO</v>
      </c>
      <c r="Q153" s="27" t="str">
        <f>IFERROR(VLOOKUP(B153,crm_orders!$A:$S,7,FALSE),"")</f>
        <v>Wholesale</v>
      </c>
      <c r="R153" s="27" t="str">
        <f>IFERROR(VLOOKUP(B153,crm_orders!$A:$S,8,FALSE),"")</f>
        <v>SKU0016</v>
      </c>
    </row>
    <row r="154" ht="15.75" customHeight="1">
      <c r="A154" s="17" t="s">
        <v>2561</v>
      </c>
      <c r="B154" s="17" t="s">
        <v>1141</v>
      </c>
      <c r="C154" s="18">
        <v>46091.0</v>
      </c>
      <c r="D154" s="17" t="s">
        <v>2254</v>
      </c>
      <c r="E154" s="17" t="s">
        <v>2251</v>
      </c>
      <c r="F154" s="17" t="s">
        <v>2562</v>
      </c>
      <c r="G154" s="21">
        <v>6.0</v>
      </c>
      <c r="H154" s="21">
        <v>6.0</v>
      </c>
      <c r="I154" s="21">
        <v>0.0</v>
      </c>
      <c r="J154" s="17" t="s">
        <v>2247</v>
      </c>
      <c r="K154" s="17" t="s">
        <v>2247</v>
      </c>
      <c r="L154" s="17" t="s">
        <v>2247</v>
      </c>
      <c r="M154" s="17" t="s">
        <v>2248</v>
      </c>
      <c r="N154" s="21">
        <f>IFERROR((C154-VLOOKUP(B154,crm_orders!$A:$S,2,FALSE))*24,0)</f>
        <v>24</v>
      </c>
      <c r="O154" s="19" t="str">
        <f>IFERROR(VLOOKUP(B154,crm_orders!$A:$S,3,FALSE),"")</f>
        <v>DSP0070</v>
      </c>
      <c r="P154" s="19" t="str">
        <f>IFERROR(VLOOKUP(B154,crm_orders!$A:$S,5,FALSE),"")</f>
        <v>NM</v>
      </c>
      <c r="Q154" s="19" t="str">
        <f>IFERROR(VLOOKUP(B154,crm_orders!$A:$S,7,FALSE),"")</f>
        <v>Distributor</v>
      </c>
      <c r="R154" s="19" t="str">
        <f>IFERROR(VLOOKUP(B154,crm_orders!$A:$S,8,FALSE),"")</f>
        <v>SKU0002</v>
      </c>
    </row>
    <row r="155" ht="15.75" customHeight="1">
      <c r="A155" s="25" t="s">
        <v>2563</v>
      </c>
      <c r="B155" s="25" t="s">
        <v>743</v>
      </c>
      <c r="C155" s="26">
        <v>46042.0</v>
      </c>
      <c r="D155" s="25" t="s">
        <v>2254</v>
      </c>
      <c r="E155" s="25" t="s">
        <v>2286</v>
      </c>
      <c r="F155" s="25" t="s">
        <v>2564</v>
      </c>
      <c r="G155" s="29">
        <v>18.0</v>
      </c>
      <c r="H155" s="29">
        <v>18.0</v>
      </c>
      <c r="I155" s="29">
        <v>0.0</v>
      </c>
      <c r="J155" s="25" t="s">
        <v>2246</v>
      </c>
      <c r="K155" s="25" t="s">
        <v>2247</v>
      </c>
      <c r="L155" s="25" t="s">
        <v>2246</v>
      </c>
      <c r="M155" s="25" t="s">
        <v>2248</v>
      </c>
      <c r="N155" s="29">
        <f>IFERROR((C155-VLOOKUP(B155,crm_orders!$A:$S,2,FALSE))*24,0)</f>
        <v>264</v>
      </c>
      <c r="O155" s="27" t="str">
        <f>IFERROR(VLOOKUP(B155,crm_orders!$A:$S,3,FALSE),"")</f>
        <v>DSP0108</v>
      </c>
      <c r="P155" s="27" t="str">
        <f>IFERROR(VLOOKUP(B155,crm_orders!$A:$S,5,FALSE),"")</f>
        <v>OK</v>
      </c>
      <c r="Q155" s="27" t="str">
        <f>IFERROR(VLOOKUP(B155,crm_orders!$A:$S,7,FALSE),"")</f>
        <v>Wholesale</v>
      </c>
      <c r="R155" s="27" t="str">
        <f>IFERROR(VLOOKUP(B155,crm_orders!$A:$S,8,FALSE),"")</f>
        <v>SKU0008</v>
      </c>
    </row>
    <row r="156" ht="15.75" customHeight="1">
      <c r="A156" s="17" t="s">
        <v>2565</v>
      </c>
      <c r="B156" s="17" t="s">
        <v>199</v>
      </c>
      <c r="C156" s="18">
        <v>46111.0</v>
      </c>
      <c r="D156" s="17" t="s">
        <v>2243</v>
      </c>
      <c r="E156" s="17" t="s">
        <v>2251</v>
      </c>
      <c r="F156" s="17" t="s">
        <v>2566</v>
      </c>
      <c r="G156" s="21">
        <v>60.0</v>
      </c>
      <c r="H156" s="21">
        <v>60.0</v>
      </c>
      <c r="I156" s="21">
        <v>0.0</v>
      </c>
      <c r="J156" s="17" t="s">
        <v>2246</v>
      </c>
      <c r="K156" s="17" t="s">
        <v>2247</v>
      </c>
      <c r="L156" s="17" t="s">
        <v>2246</v>
      </c>
      <c r="M156" s="17" t="s">
        <v>2248</v>
      </c>
      <c r="N156" s="21">
        <f>IFERROR((C156-VLOOKUP(B156,crm_orders!$A:$S,2,FALSE))*24,0)</f>
        <v>96</v>
      </c>
      <c r="O156" s="19" t="str">
        <f>IFERROR(VLOOKUP(B156,crm_orders!$A:$S,3,FALSE),"")</f>
        <v>DSP0117</v>
      </c>
      <c r="P156" s="19" t="str">
        <f>IFERROR(VLOOKUP(B156,crm_orders!$A:$S,5,FALSE),"")</f>
        <v>MO</v>
      </c>
      <c r="Q156" s="19" t="str">
        <f>IFERROR(VLOOKUP(B156,crm_orders!$A:$S,7,FALSE),"")</f>
        <v>Wholesale</v>
      </c>
      <c r="R156" s="19" t="str">
        <f>IFERROR(VLOOKUP(B156,crm_orders!$A:$S,8,FALSE),"")</f>
        <v>SKU0016</v>
      </c>
    </row>
    <row r="157" ht="15.75" customHeight="1">
      <c r="A157" s="25" t="s">
        <v>2567</v>
      </c>
      <c r="B157" s="25" t="s">
        <v>744</v>
      </c>
      <c r="C157" s="26">
        <v>46091.0</v>
      </c>
      <c r="D157" s="25" t="s">
        <v>2269</v>
      </c>
      <c r="E157" s="25" t="s">
        <v>2251</v>
      </c>
      <c r="F157" s="25" t="s">
        <v>2568</v>
      </c>
      <c r="G157" s="29">
        <v>120.0</v>
      </c>
      <c r="H157" s="29">
        <v>120.0</v>
      </c>
      <c r="I157" s="29">
        <v>0.0</v>
      </c>
      <c r="J157" s="25" t="s">
        <v>2246</v>
      </c>
      <c r="K157" s="25" t="s">
        <v>2247</v>
      </c>
      <c r="L157" s="25" t="s">
        <v>2246</v>
      </c>
      <c r="M157" s="25" t="s">
        <v>2248</v>
      </c>
      <c r="N157" s="29">
        <f>IFERROR((C157-VLOOKUP(B157,crm_orders!$A:$S,2,FALSE))*24,0)</f>
        <v>96</v>
      </c>
      <c r="O157" s="27" t="str">
        <f>IFERROR(VLOOKUP(B157,crm_orders!$A:$S,3,FALSE),"")</f>
        <v>DSP0037</v>
      </c>
      <c r="P157" s="27" t="str">
        <f>IFERROR(VLOOKUP(B157,crm_orders!$A:$S,5,FALSE),"")</f>
        <v>OR</v>
      </c>
      <c r="Q157" s="27" t="str">
        <f>IFERROR(VLOOKUP(B157,crm_orders!$A:$S,7,FALSE),"")</f>
        <v>Wholesale</v>
      </c>
      <c r="R157" s="27" t="str">
        <f>IFERROR(VLOOKUP(B157,crm_orders!$A:$S,8,FALSE),"")</f>
        <v>SKU0001</v>
      </c>
    </row>
    <row r="158" ht="15.75" customHeight="1">
      <c r="A158" s="17" t="s">
        <v>2569</v>
      </c>
      <c r="B158" s="17" t="s">
        <v>577</v>
      </c>
      <c r="C158" s="18">
        <v>46036.0</v>
      </c>
      <c r="D158" s="17" t="s">
        <v>2254</v>
      </c>
      <c r="E158" s="17" t="s">
        <v>2244</v>
      </c>
      <c r="F158" s="17" t="s">
        <v>2570</v>
      </c>
      <c r="G158" s="21">
        <v>120.0</v>
      </c>
      <c r="H158" s="21">
        <v>120.0</v>
      </c>
      <c r="I158" s="21">
        <v>0.0</v>
      </c>
      <c r="J158" s="17" t="s">
        <v>2247</v>
      </c>
      <c r="K158" s="17" t="s">
        <v>2247</v>
      </c>
      <c r="L158" s="17" t="s">
        <v>2247</v>
      </c>
      <c r="M158" s="17" t="s">
        <v>2248</v>
      </c>
      <c r="N158" s="21">
        <f>IFERROR((C158-VLOOKUP(B158,crm_orders!$A:$S,2,FALSE))*24,0)</f>
        <v>144</v>
      </c>
      <c r="O158" s="19" t="str">
        <f>IFERROR(VLOOKUP(B158,crm_orders!$A:$S,3,FALSE),"")</f>
        <v>DSP0071</v>
      </c>
      <c r="P158" s="19" t="str">
        <f>IFERROR(VLOOKUP(B158,crm_orders!$A:$S,5,FALSE),"")</f>
        <v>NY</v>
      </c>
      <c r="Q158" s="19" t="str">
        <f>IFERROR(VLOOKUP(B158,crm_orders!$A:$S,7,FALSE),"")</f>
        <v>Wholesale</v>
      </c>
      <c r="R158" s="19" t="str">
        <f>IFERROR(VLOOKUP(B158,crm_orders!$A:$S,8,FALSE),"")</f>
        <v>SKU0016</v>
      </c>
    </row>
    <row r="159" ht="15.75" customHeight="1">
      <c r="A159" s="25" t="s">
        <v>2571</v>
      </c>
      <c r="B159" s="25" t="s">
        <v>578</v>
      </c>
      <c r="C159" s="26">
        <v>46148.0</v>
      </c>
      <c r="D159" s="25" t="s">
        <v>2250</v>
      </c>
      <c r="E159" s="25" t="s">
        <v>2255</v>
      </c>
      <c r="F159" s="25" t="s">
        <v>2572</v>
      </c>
      <c r="G159" s="29">
        <v>72.0</v>
      </c>
      <c r="H159" s="29">
        <v>0.0</v>
      </c>
      <c r="I159" s="29">
        <v>72.0</v>
      </c>
      <c r="J159" s="25" t="s">
        <v>2246</v>
      </c>
      <c r="K159" s="25" t="s">
        <v>2246</v>
      </c>
      <c r="L159" s="25" t="s">
        <v>2246</v>
      </c>
      <c r="M159" s="25" t="s">
        <v>2312</v>
      </c>
      <c r="N159" s="29">
        <f>IFERROR((C159-VLOOKUP(B159,crm_orders!$A:$S,2,FALSE))*24,0)</f>
        <v>264</v>
      </c>
      <c r="O159" s="27" t="str">
        <f>IFERROR(VLOOKUP(B159,crm_orders!$A:$S,3,FALSE),"")</f>
        <v>DSP0110</v>
      </c>
      <c r="P159" s="27" t="str">
        <f>IFERROR(VLOOKUP(B159,crm_orders!$A:$S,5,FALSE),"")</f>
        <v>WA</v>
      </c>
      <c r="Q159" s="27" t="str">
        <f>IFERROR(VLOOKUP(B159,crm_orders!$A:$S,7,FALSE),"")</f>
        <v>Distributor</v>
      </c>
      <c r="R159" s="27" t="str">
        <f>IFERROR(VLOOKUP(B159,crm_orders!$A:$S,8,FALSE),"")</f>
        <v>SKU0004</v>
      </c>
    </row>
    <row r="160" ht="15.75" customHeight="1">
      <c r="A160" s="17" t="s">
        <v>2573</v>
      </c>
      <c r="B160" s="17" t="s">
        <v>476</v>
      </c>
      <c r="C160" s="18">
        <v>46145.0</v>
      </c>
      <c r="D160" s="17" t="s">
        <v>2243</v>
      </c>
      <c r="E160" s="17" t="s">
        <v>2286</v>
      </c>
      <c r="F160" s="17" t="s">
        <v>2574</v>
      </c>
      <c r="G160" s="21">
        <v>72.0</v>
      </c>
      <c r="H160" s="21">
        <v>72.0</v>
      </c>
      <c r="I160" s="21">
        <v>0.0</v>
      </c>
      <c r="J160" s="17" t="s">
        <v>2246</v>
      </c>
      <c r="K160" s="17" t="s">
        <v>2247</v>
      </c>
      <c r="L160" s="17" t="s">
        <v>2246</v>
      </c>
      <c r="M160" s="17" t="s">
        <v>2248</v>
      </c>
      <c r="N160" s="21">
        <f>IFERROR((C160-VLOOKUP(B160,crm_orders!$A:$S,2,FALSE))*24,0)</f>
        <v>168</v>
      </c>
      <c r="O160" s="19" t="str">
        <f>IFERROR(VLOOKUP(B160,crm_orders!$A:$S,3,FALSE),"")</f>
        <v>DSP0010</v>
      </c>
      <c r="P160" s="19" t="str">
        <f>IFERROR(VLOOKUP(B160,crm_orders!$A:$S,5,FALSE),"")</f>
        <v>NM</v>
      </c>
      <c r="Q160" s="19" t="str">
        <f>IFERROR(VLOOKUP(B160,crm_orders!$A:$S,7,FALSE),"")</f>
        <v>Distributor</v>
      </c>
      <c r="R160" s="19" t="str">
        <f>IFERROR(VLOOKUP(B160,crm_orders!$A:$S,8,FALSE),"")</f>
        <v>SKU0009</v>
      </c>
    </row>
    <row r="161" ht="15.75" customHeight="1">
      <c r="A161" s="25" t="s">
        <v>2575</v>
      </c>
      <c r="B161" s="25" t="s">
        <v>579</v>
      </c>
      <c r="C161" s="26">
        <v>46150.0</v>
      </c>
      <c r="D161" s="25" t="s">
        <v>2269</v>
      </c>
      <c r="E161" s="25" t="s">
        <v>2251</v>
      </c>
      <c r="F161" s="25" t="s">
        <v>2576</v>
      </c>
      <c r="G161" s="29">
        <v>12.0</v>
      </c>
      <c r="H161" s="29">
        <v>12.0</v>
      </c>
      <c r="I161" s="29">
        <v>0.0</v>
      </c>
      <c r="J161" s="25" t="s">
        <v>2246</v>
      </c>
      <c r="K161" s="25" t="s">
        <v>2247</v>
      </c>
      <c r="L161" s="25" t="s">
        <v>2246</v>
      </c>
      <c r="M161" s="25" t="s">
        <v>2248</v>
      </c>
      <c r="N161" s="29">
        <f>IFERROR((C161-VLOOKUP(B161,crm_orders!$A:$S,2,FALSE))*24,0)</f>
        <v>216</v>
      </c>
      <c r="O161" s="27" t="str">
        <f>IFERROR(VLOOKUP(B161,crm_orders!$A:$S,3,FALSE),"")</f>
        <v>DSP0019</v>
      </c>
      <c r="P161" s="27" t="str">
        <f>IFERROR(VLOOKUP(B161,crm_orders!$A:$S,5,FALSE),"")</f>
        <v>IL</v>
      </c>
      <c r="Q161" s="27" t="str">
        <f>IFERROR(VLOOKUP(B161,crm_orders!$A:$S,7,FALSE),"")</f>
        <v>Wholesale</v>
      </c>
      <c r="R161" s="27" t="str">
        <f>IFERROR(VLOOKUP(B161,crm_orders!$A:$S,8,FALSE),"")</f>
        <v>SKU0013</v>
      </c>
    </row>
    <row r="162" ht="15.75" customHeight="1">
      <c r="A162" s="17" t="s">
        <v>2577</v>
      </c>
      <c r="B162" s="17" t="s">
        <v>978</v>
      </c>
      <c r="C162" s="18">
        <v>46140.0</v>
      </c>
      <c r="D162" s="17" t="s">
        <v>2243</v>
      </c>
      <c r="E162" s="17" t="s">
        <v>2251</v>
      </c>
      <c r="F162" s="17" t="s">
        <v>2578</v>
      </c>
      <c r="G162" s="21">
        <v>12.0</v>
      </c>
      <c r="H162" s="21">
        <v>12.0</v>
      </c>
      <c r="I162" s="21">
        <v>0.0</v>
      </c>
      <c r="J162" s="17" t="s">
        <v>2246</v>
      </c>
      <c r="K162" s="17" t="s">
        <v>2247</v>
      </c>
      <c r="L162" s="17" t="s">
        <v>2246</v>
      </c>
      <c r="M162" s="17" t="s">
        <v>2248</v>
      </c>
      <c r="N162" s="21">
        <f>IFERROR((C162-VLOOKUP(B162,crm_orders!$A:$S,2,FALSE))*24,0)</f>
        <v>384</v>
      </c>
      <c r="O162" s="19" t="str">
        <f>IFERROR(VLOOKUP(B162,crm_orders!$A:$S,3,FALSE),"")</f>
        <v>DSP0050</v>
      </c>
      <c r="P162" s="19" t="str">
        <f>IFERROR(VLOOKUP(B162,crm_orders!$A:$S,5,FALSE),"")</f>
        <v>WA</v>
      </c>
      <c r="Q162" s="19" t="str">
        <f>IFERROR(VLOOKUP(B162,crm_orders!$A:$S,7,FALSE),"")</f>
        <v>Wholesale</v>
      </c>
      <c r="R162" s="19" t="str">
        <f>IFERROR(VLOOKUP(B162,crm_orders!$A:$S,8,FALSE),"")</f>
        <v>SKU0005</v>
      </c>
    </row>
    <row r="163" ht="15.75" customHeight="1">
      <c r="A163" s="25" t="s">
        <v>2579</v>
      </c>
      <c r="B163" s="25" t="s">
        <v>98</v>
      </c>
      <c r="C163" s="26">
        <v>46108.0</v>
      </c>
      <c r="D163" s="25" t="s">
        <v>2250</v>
      </c>
      <c r="E163" s="25" t="s">
        <v>2244</v>
      </c>
      <c r="F163" s="25" t="s">
        <v>2580</v>
      </c>
      <c r="G163" s="29">
        <v>48.0</v>
      </c>
      <c r="H163" s="29">
        <v>48.0</v>
      </c>
      <c r="I163" s="29">
        <v>0.0</v>
      </c>
      <c r="J163" s="25" t="s">
        <v>2246</v>
      </c>
      <c r="K163" s="25" t="s">
        <v>2247</v>
      </c>
      <c r="L163" s="25" t="s">
        <v>2246</v>
      </c>
      <c r="M163" s="25" t="s">
        <v>2248</v>
      </c>
      <c r="N163" s="29">
        <f>IFERROR((C163-VLOOKUP(B163,crm_orders!$A:$S,2,FALSE))*24,0)</f>
        <v>216</v>
      </c>
      <c r="O163" s="27" t="str">
        <f>IFERROR(VLOOKUP(B163,crm_orders!$A:$S,3,FALSE),"")</f>
        <v>DSP0078</v>
      </c>
      <c r="P163" s="27" t="str">
        <f>IFERROR(VLOOKUP(B163,crm_orders!$A:$S,5,FALSE),"")</f>
        <v>NV</v>
      </c>
      <c r="Q163" s="27" t="str">
        <f>IFERROR(VLOOKUP(B163,crm_orders!$A:$S,7,FALSE),"")</f>
        <v>Wholesale</v>
      </c>
      <c r="R163" s="27" t="str">
        <f>IFERROR(VLOOKUP(B163,crm_orders!$A:$S,8,FALSE),"")</f>
        <v>SKU0020</v>
      </c>
    </row>
    <row r="164" ht="15.75" customHeight="1">
      <c r="A164" s="17" t="s">
        <v>2581</v>
      </c>
      <c r="B164" s="17" t="s">
        <v>200</v>
      </c>
      <c r="C164" s="18">
        <v>46048.0</v>
      </c>
      <c r="D164" s="17" t="s">
        <v>2243</v>
      </c>
      <c r="E164" s="17" t="s">
        <v>2251</v>
      </c>
      <c r="F164" s="17" t="s">
        <v>2582</v>
      </c>
      <c r="G164" s="21">
        <v>48.0</v>
      </c>
      <c r="H164" s="21">
        <v>48.0</v>
      </c>
      <c r="I164" s="21">
        <v>0.0</v>
      </c>
      <c r="J164" s="17" t="s">
        <v>2247</v>
      </c>
      <c r="K164" s="17" t="s">
        <v>2247</v>
      </c>
      <c r="L164" s="17" t="s">
        <v>2247</v>
      </c>
      <c r="M164" s="17" t="s">
        <v>2248</v>
      </c>
      <c r="N164" s="21">
        <f>IFERROR((C164-VLOOKUP(B164,crm_orders!$A:$S,2,FALSE))*24,0)</f>
        <v>144</v>
      </c>
      <c r="O164" s="19" t="str">
        <f>IFERROR(VLOOKUP(B164,crm_orders!$A:$S,3,FALSE),"")</f>
        <v>DSP0011</v>
      </c>
      <c r="P164" s="19" t="str">
        <f>IFERROR(VLOOKUP(B164,crm_orders!$A:$S,5,FALSE),"")</f>
        <v>NY</v>
      </c>
      <c r="Q164" s="19" t="str">
        <f>IFERROR(VLOOKUP(B164,crm_orders!$A:$S,7,FALSE),"")</f>
        <v>Retail</v>
      </c>
      <c r="R164" s="19" t="str">
        <f>IFERROR(VLOOKUP(B164,crm_orders!$A:$S,8,FALSE),"")</f>
        <v>SKU0009</v>
      </c>
    </row>
    <row r="165" ht="15.75" customHeight="1">
      <c r="A165" s="25" t="s">
        <v>2583</v>
      </c>
      <c r="B165" s="25" t="s">
        <v>99</v>
      </c>
      <c r="C165" s="26">
        <v>46079.0</v>
      </c>
      <c r="D165" s="25" t="s">
        <v>2260</v>
      </c>
      <c r="E165" s="25" t="s">
        <v>2255</v>
      </c>
      <c r="F165" s="25" t="s">
        <v>2584</v>
      </c>
      <c r="G165" s="29">
        <v>30.0</v>
      </c>
      <c r="H165" s="29">
        <v>30.0</v>
      </c>
      <c r="I165" s="29">
        <v>0.0</v>
      </c>
      <c r="J165" s="25" t="s">
        <v>2246</v>
      </c>
      <c r="K165" s="25" t="s">
        <v>2247</v>
      </c>
      <c r="L165" s="25" t="s">
        <v>2246</v>
      </c>
      <c r="M165" s="25" t="s">
        <v>2248</v>
      </c>
      <c r="N165" s="29">
        <f>IFERROR((C165-VLOOKUP(B165,crm_orders!$A:$S,2,FALSE))*24,0)</f>
        <v>240</v>
      </c>
      <c r="O165" s="27" t="str">
        <f>IFERROR(VLOOKUP(B165,crm_orders!$A:$S,3,FALSE),"")</f>
        <v>DSP0040</v>
      </c>
      <c r="P165" s="27" t="str">
        <f>IFERROR(VLOOKUP(B165,crm_orders!$A:$S,5,FALSE),"")</f>
        <v>CO</v>
      </c>
      <c r="Q165" s="27" t="str">
        <f>IFERROR(VLOOKUP(B165,crm_orders!$A:$S,7,FALSE),"")</f>
        <v>Wholesale</v>
      </c>
      <c r="R165" s="27" t="str">
        <f>IFERROR(VLOOKUP(B165,crm_orders!$A:$S,8,FALSE),"")</f>
        <v>SKU0015</v>
      </c>
    </row>
    <row r="166" ht="15.75" customHeight="1">
      <c r="A166" s="17" t="s">
        <v>2585</v>
      </c>
      <c r="B166" s="17" t="s">
        <v>580</v>
      </c>
      <c r="C166" s="18">
        <v>46075.0</v>
      </c>
      <c r="D166" s="17" t="s">
        <v>2254</v>
      </c>
      <c r="E166" s="17" t="s">
        <v>2286</v>
      </c>
      <c r="F166" s="17" t="s">
        <v>2586</v>
      </c>
      <c r="G166" s="21">
        <v>72.0</v>
      </c>
      <c r="H166" s="21">
        <v>72.0</v>
      </c>
      <c r="I166" s="21">
        <v>0.0</v>
      </c>
      <c r="J166" s="17" t="s">
        <v>2247</v>
      </c>
      <c r="K166" s="17" t="s">
        <v>2247</v>
      </c>
      <c r="L166" s="17" t="s">
        <v>2247</v>
      </c>
      <c r="M166" s="17" t="s">
        <v>2248</v>
      </c>
      <c r="N166" s="21">
        <f>IFERROR((C166-VLOOKUP(B166,crm_orders!$A:$S,2,FALSE))*24,0)</f>
        <v>168</v>
      </c>
      <c r="O166" s="19" t="str">
        <f>IFERROR(VLOOKUP(B166,crm_orders!$A:$S,3,FALSE),"")</f>
        <v>DSP0004</v>
      </c>
      <c r="P166" s="19" t="str">
        <f>IFERROR(VLOOKUP(B166,crm_orders!$A:$S,5,FALSE),"")</f>
        <v>CO</v>
      </c>
      <c r="Q166" s="19" t="str">
        <f>IFERROR(VLOOKUP(B166,crm_orders!$A:$S,7,FALSE),"")</f>
        <v>Wholesale</v>
      </c>
      <c r="R166" s="19" t="str">
        <f>IFERROR(VLOOKUP(B166,crm_orders!$A:$S,8,FALSE),"")</f>
        <v>SKU0003</v>
      </c>
    </row>
    <row r="167" ht="15.75" customHeight="1">
      <c r="A167" s="25" t="s">
        <v>2587</v>
      </c>
      <c r="B167" s="25" t="s">
        <v>747</v>
      </c>
      <c r="C167" s="26">
        <v>46119.0</v>
      </c>
      <c r="D167" s="25" t="s">
        <v>2250</v>
      </c>
      <c r="E167" s="25" t="s">
        <v>2255</v>
      </c>
      <c r="F167" s="25" t="s">
        <v>2588</v>
      </c>
      <c r="G167" s="29">
        <v>72.0</v>
      </c>
      <c r="H167" s="29">
        <v>72.0</v>
      </c>
      <c r="I167" s="29">
        <v>0.0</v>
      </c>
      <c r="J167" s="25" t="s">
        <v>2246</v>
      </c>
      <c r="K167" s="25" t="s">
        <v>2247</v>
      </c>
      <c r="L167" s="25" t="s">
        <v>2246</v>
      </c>
      <c r="M167" s="25" t="s">
        <v>2248</v>
      </c>
      <c r="N167" s="29">
        <f>IFERROR((C167-VLOOKUP(B167,crm_orders!$A:$S,2,FALSE))*24,0)</f>
        <v>96</v>
      </c>
      <c r="O167" s="27" t="str">
        <f>IFERROR(VLOOKUP(B167,crm_orders!$A:$S,3,FALSE),"")</f>
        <v>DSP0100</v>
      </c>
      <c r="P167" s="27" t="str">
        <f>IFERROR(VLOOKUP(B167,crm_orders!$A:$S,5,FALSE),"")</f>
        <v>CO</v>
      </c>
      <c r="Q167" s="27" t="str">
        <f>IFERROR(VLOOKUP(B167,crm_orders!$A:$S,7,FALSE),"")</f>
        <v>Wholesale</v>
      </c>
      <c r="R167" s="27" t="str">
        <f>IFERROR(VLOOKUP(B167,crm_orders!$A:$S,8,FALSE),"")</f>
        <v>SKU0003</v>
      </c>
    </row>
    <row r="168" ht="15.75" customHeight="1">
      <c r="A168" s="17" t="s">
        <v>2589</v>
      </c>
      <c r="B168" s="17" t="s">
        <v>979</v>
      </c>
      <c r="C168" s="18">
        <v>46064.0</v>
      </c>
      <c r="D168" s="17" t="s">
        <v>2260</v>
      </c>
      <c r="E168" s="17" t="s">
        <v>2255</v>
      </c>
      <c r="F168" s="17" t="s">
        <v>2590</v>
      </c>
      <c r="G168" s="21">
        <v>60.0</v>
      </c>
      <c r="H168" s="21">
        <v>42.0</v>
      </c>
      <c r="I168" s="21">
        <v>18.0</v>
      </c>
      <c r="J168" s="17" t="s">
        <v>2246</v>
      </c>
      <c r="K168" s="17" t="s">
        <v>2246</v>
      </c>
      <c r="L168" s="17" t="s">
        <v>2246</v>
      </c>
      <c r="M168" s="17" t="s">
        <v>2267</v>
      </c>
      <c r="N168" s="21">
        <f>IFERROR((C168-VLOOKUP(B168,crm_orders!$A:$S,2,FALSE))*24,0)</f>
        <v>168</v>
      </c>
      <c r="O168" s="19" t="str">
        <f>IFERROR(VLOOKUP(B168,crm_orders!$A:$S,3,FALSE),"")</f>
        <v>DSP0035</v>
      </c>
      <c r="P168" s="19" t="str">
        <f>IFERROR(VLOOKUP(B168,crm_orders!$A:$S,5,FALSE),"")</f>
        <v>NY</v>
      </c>
      <c r="Q168" s="19" t="str">
        <f>IFERROR(VLOOKUP(B168,crm_orders!$A:$S,7,FALSE),"")</f>
        <v>Wholesale</v>
      </c>
      <c r="R168" s="19" t="str">
        <f>IFERROR(VLOOKUP(B168,crm_orders!$A:$S,8,FALSE),"")</f>
        <v>SKU0010</v>
      </c>
    </row>
    <row r="169" ht="15.75" customHeight="1">
      <c r="A169" s="25" t="s">
        <v>2591</v>
      </c>
      <c r="B169" s="25" t="s">
        <v>581</v>
      </c>
      <c r="C169" s="26">
        <v>46119.0</v>
      </c>
      <c r="D169" s="25" t="s">
        <v>2260</v>
      </c>
      <c r="E169" s="25" t="s">
        <v>2261</v>
      </c>
      <c r="F169" s="25" t="s">
        <v>2592</v>
      </c>
      <c r="G169" s="29">
        <v>120.0</v>
      </c>
      <c r="H169" s="29">
        <v>108.0</v>
      </c>
      <c r="I169" s="29">
        <v>12.0</v>
      </c>
      <c r="J169" s="25" t="s">
        <v>2246</v>
      </c>
      <c r="K169" s="25" t="s">
        <v>2246</v>
      </c>
      <c r="L169" s="25" t="s">
        <v>2246</v>
      </c>
      <c r="M169" s="25" t="s">
        <v>2267</v>
      </c>
      <c r="N169" s="29">
        <f>IFERROR((C169-VLOOKUP(B169,crm_orders!$A:$S,2,FALSE))*24,0)</f>
        <v>96</v>
      </c>
      <c r="O169" s="27" t="str">
        <f>IFERROR(VLOOKUP(B169,crm_orders!$A:$S,3,FALSE),"")</f>
        <v>DSP0033</v>
      </c>
      <c r="P169" s="27" t="str">
        <f>IFERROR(VLOOKUP(B169,crm_orders!$A:$S,5,FALSE),"")</f>
        <v>MO</v>
      </c>
      <c r="Q169" s="27" t="str">
        <f>IFERROR(VLOOKUP(B169,crm_orders!$A:$S,7,FALSE),"")</f>
        <v>Wholesale</v>
      </c>
      <c r="R169" s="27" t="str">
        <f>IFERROR(VLOOKUP(B169,crm_orders!$A:$S,8,FALSE),"")</f>
        <v>SKU0008</v>
      </c>
    </row>
    <row r="170" ht="15.75" customHeight="1">
      <c r="A170" s="17" t="s">
        <v>2593</v>
      </c>
      <c r="B170" s="17" t="s">
        <v>880</v>
      </c>
      <c r="C170" s="18">
        <v>46072.0</v>
      </c>
      <c r="D170" s="17" t="s">
        <v>2250</v>
      </c>
      <c r="E170" s="17" t="s">
        <v>2244</v>
      </c>
      <c r="F170" s="17" t="s">
        <v>2594</v>
      </c>
      <c r="G170" s="21">
        <v>48.0</v>
      </c>
      <c r="H170" s="21">
        <v>48.0</v>
      </c>
      <c r="I170" s="21">
        <v>0.0</v>
      </c>
      <c r="J170" s="17" t="s">
        <v>2246</v>
      </c>
      <c r="K170" s="17" t="s">
        <v>2247</v>
      </c>
      <c r="L170" s="17" t="s">
        <v>2246</v>
      </c>
      <c r="M170" s="17" t="s">
        <v>2248</v>
      </c>
      <c r="N170" s="21">
        <f>IFERROR((C170-VLOOKUP(B170,crm_orders!$A:$S,2,FALSE))*24,0)</f>
        <v>336</v>
      </c>
      <c r="O170" s="19" t="str">
        <f>IFERROR(VLOOKUP(B170,crm_orders!$A:$S,3,FALSE),"")</f>
        <v>DSP0042</v>
      </c>
      <c r="P170" s="19" t="str">
        <f>IFERROR(VLOOKUP(B170,crm_orders!$A:$S,5,FALSE),"")</f>
        <v>NV</v>
      </c>
      <c r="Q170" s="19" t="str">
        <f>IFERROR(VLOOKUP(B170,crm_orders!$A:$S,7,FALSE),"")</f>
        <v>Wholesale</v>
      </c>
      <c r="R170" s="19" t="str">
        <f>IFERROR(VLOOKUP(B170,crm_orders!$A:$S,8,FALSE),"")</f>
        <v>SKU0013</v>
      </c>
    </row>
    <row r="171" ht="15.75" customHeight="1">
      <c r="A171" s="25" t="s">
        <v>2595</v>
      </c>
      <c r="B171" s="25" t="s">
        <v>583</v>
      </c>
      <c r="C171" s="26">
        <v>46155.0</v>
      </c>
      <c r="D171" s="25" t="s">
        <v>2269</v>
      </c>
      <c r="E171" s="25" t="s">
        <v>2244</v>
      </c>
      <c r="F171" s="25" t="s">
        <v>2596</v>
      </c>
      <c r="G171" s="29">
        <v>24.0</v>
      </c>
      <c r="H171" s="29">
        <v>24.0</v>
      </c>
      <c r="I171" s="29">
        <v>0.0</v>
      </c>
      <c r="J171" s="25" t="s">
        <v>2246</v>
      </c>
      <c r="K171" s="25" t="s">
        <v>2247</v>
      </c>
      <c r="L171" s="25" t="s">
        <v>2246</v>
      </c>
      <c r="M171" s="25" t="s">
        <v>2248</v>
      </c>
      <c r="N171" s="29">
        <f>IFERROR((C171-VLOOKUP(B171,crm_orders!$A:$S,2,FALSE))*24,0)</f>
        <v>288</v>
      </c>
      <c r="O171" s="27" t="str">
        <f>IFERROR(VLOOKUP(B171,crm_orders!$A:$S,3,FALSE),"")</f>
        <v>DSP0004</v>
      </c>
      <c r="P171" s="27" t="str">
        <f>IFERROR(VLOOKUP(B171,crm_orders!$A:$S,5,FALSE),"")</f>
        <v>CO</v>
      </c>
      <c r="Q171" s="27" t="str">
        <f>IFERROR(VLOOKUP(B171,crm_orders!$A:$S,7,FALSE),"")</f>
        <v>Retail</v>
      </c>
      <c r="R171" s="27" t="str">
        <f>IFERROR(VLOOKUP(B171,crm_orders!$A:$S,8,FALSE),"")</f>
        <v>SKU0015</v>
      </c>
    </row>
    <row r="172" ht="15.75" customHeight="1">
      <c r="A172" s="17" t="s">
        <v>2597</v>
      </c>
      <c r="B172" s="17" t="s">
        <v>881</v>
      </c>
      <c r="C172" s="18">
        <v>46098.0</v>
      </c>
      <c r="D172" s="17" t="s">
        <v>2254</v>
      </c>
      <c r="E172" s="17" t="s">
        <v>2244</v>
      </c>
      <c r="F172" s="17" t="s">
        <v>2598</v>
      </c>
      <c r="G172" s="21">
        <v>48.0</v>
      </c>
      <c r="H172" s="21">
        <v>48.0</v>
      </c>
      <c r="I172" s="21">
        <v>0.0</v>
      </c>
      <c r="J172" s="17" t="s">
        <v>2246</v>
      </c>
      <c r="K172" s="17" t="s">
        <v>2247</v>
      </c>
      <c r="L172" s="17" t="s">
        <v>2246</v>
      </c>
      <c r="M172" s="17" t="s">
        <v>2248</v>
      </c>
      <c r="N172" s="21">
        <f>IFERROR((C172-VLOOKUP(B172,crm_orders!$A:$S,2,FALSE))*24,0)</f>
        <v>264</v>
      </c>
      <c r="O172" s="19" t="str">
        <f>IFERROR(VLOOKUP(B172,crm_orders!$A:$S,3,FALSE),"")</f>
        <v>DSP0052</v>
      </c>
      <c r="P172" s="19" t="str">
        <f>IFERROR(VLOOKUP(B172,crm_orders!$A:$S,5,FALSE),"")</f>
        <v>CO</v>
      </c>
      <c r="Q172" s="19" t="str">
        <f>IFERROR(VLOOKUP(B172,crm_orders!$A:$S,7,FALSE),"")</f>
        <v>Wholesale</v>
      </c>
      <c r="R172" s="19" t="str">
        <f>IFERROR(VLOOKUP(B172,crm_orders!$A:$S,8,FALSE),"")</f>
        <v>SKU0018</v>
      </c>
    </row>
    <row r="173" ht="15.75" customHeight="1">
      <c r="A173" s="25" t="s">
        <v>2599</v>
      </c>
      <c r="B173" s="25" t="s">
        <v>477</v>
      </c>
      <c r="C173" s="26">
        <v>46115.0</v>
      </c>
      <c r="D173" s="25" t="s">
        <v>2250</v>
      </c>
      <c r="E173" s="25" t="s">
        <v>2251</v>
      </c>
      <c r="F173" s="25" t="s">
        <v>2600</v>
      </c>
      <c r="G173" s="29">
        <v>120.0</v>
      </c>
      <c r="H173" s="29">
        <v>120.0</v>
      </c>
      <c r="I173" s="29">
        <v>0.0</v>
      </c>
      <c r="J173" s="25" t="s">
        <v>2246</v>
      </c>
      <c r="K173" s="25" t="s">
        <v>2247</v>
      </c>
      <c r="L173" s="25" t="s">
        <v>2246</v>
      </c>
      <c r="M173" s="25" t="s">
        <v>2248</v>
      </c>
      <c r="N173" s="29">
        <f>IFERROR((C173-VLOOKUP(B173,crm_orders!$A:$S,2,FALSE))*24,0)</f>
        <v>192</v>
      </c>
      <c r="O173" s="27" t="str">
        <f>IFERROR(VLOOKUP(B173,crm_orders!$A:$S,3,FALSE),"")</f>
        <v>DSP0014</v>
      </c>
      <c r="P173" s="27" t="str">
        <f>IFERROR(VLOOKUP(B173,crm_orders!$A:$S,5,FALSE),"")</f>
        <v>WA</v>
      </c>
      <c r="Q173" s="27" t="str">
        <f>IFERROR(VLOOKUP(B173,crm_orders!$A:$S,7,FALSE),"")</f>
        <v>Wholesale</v>
      </c>
      <c r="R173" s="27" t="str">
        <f>IFERROR(VLOOKUP(B173,crm_orders!$A:$S,8,FALSE),"")</f>
        <v>SKU0008</v>
      </c>
    </row>
    <row r="174" ht="15.75" customHeight="1">
      <c r="A174" s="17" t="s">
        <v>2601</v>
      </c>
      <c r="B174" s="17" t="s">
        <v>981</v>
      </c>
      <c r="C174" s="18">
        <v>46046.0</v>
      </c>
      <c r="D174" s="17" t="s">
        <v>2260</v>
      </c>
      <c r="E174" s="17" t="s">
        <v>2255</v>
      </c>
      <c r="F174" s="17" t="s">
        <v>2602</v>
      </c>
      <c r="G174" s="21">
        <v>6.0</v>
      </c>
      <c r="H174" s="21">
        <v>6.0</v>
      </c>
      <c r="I174" s="21">
        <v>0.0</v>
      </c>
      <c r="J174" s="17" t="s">
        <v>2246</v>
      </c>
      <c r="K174" s="17" t="s">
        <v>2247</v>
      </c>
      <c r="L174" s="17" t="s">
        <v>2246</v>
      </c>
      <c r="M174" s="17" t="s">
        <v>2248</v>
      </c>
      <c r="N174" s="21">
        <f>IFERROR((C174-VLOOKUP(B174,crm_orders!$A:$S,2,FALSE))*24,0)</f>
        <v>240</v>
      </c>
      <c r="O174" s="19" t="str">
        <f>IFERROR(VLOOKUP(B174,crm_orders!$A:$S,3,FALSE),"")</f>
        <v>DSP0102</v>
      </c>
      <c r="P174" s="19" t="str">
        <f>IFERROR(VLOOKUP(B174,crm_orders!$A:$S,5,FALSE),"")</f>
        <v>NV</v>
      </c>
      <c r="Q174" s="19" t="str">
        <f>IFERROR(VLOOKUP(B174,crm_orders!$A:$S,7,FALSE),"")</f>
        <v>Retail</v>
      </c>
      <c r="R174" s="19" t="str">
        <f>IFERROR(VLOOKUP(B174,crm_orders!$A:$S,8,FALSE),"")</f>
        <v>SKU0014</v>
      </c>
    </row>
    <row r="175" ht="15.75" customHeight="1">
      <c r="A175" s="25" t="s">
        <v>2603</v>
      </c>
      <c r="B175" s="25" t="s">
        <v>478</v>
      </c>
      <c r="C175" s="26">
        <v>46080.0</v>
      </c>
      <c r="D175" s="25" t="s">
        <v>2254</v>
      </c>
      <c r="E175" s="25" t="s">
        <v>2251</v>
      </c>
      <c r="F175" s="25" t="s">
        <v>2604</v>
      </c>
      <c r="G175" s="29">
        <v>60.0</v>
      </c>
      <c r="H175" s="29">
        <v>60.0</v>
      </c>
      <c r="I175" s="29">
        <v>0.0</v>
      </c>
      <c r="J175" s="25" t="s">
        <v>2246</v>
      </c>
      <c r="K175" s="25" t="s">
        <v>2247</v>
      </c>
      <c r="L175" s="25" t="s">
        <v>2246</v>
      </c>
      <c r="M175" s="25" t="s">
        <v>2248</v>
      </c>
      <c r="N175" s="29">
        <f>IFERROR((C175-VLOOKUP(B175,crm_orders!$A:$S,2,FALSE))*24,0)</f>
        <v>168</v>
      </c>
      <c r="O175" s="27" t="str">
        <f>IFERROR(VLOOKUP(B175,crm_orders!$A:$S,3,FALSE),"")</f>
        <v>DSP0058</v>
      </c>
      <c r="P175" s="27" t="str">
        <f>IFERROR(VLOOKUP(B175,crm_orders!$A:$S,5,FALSE),"")</f>
        <v>NM</v>
      </c>
      <c r="Q175" s="27" t="str">
        <f>IFERROR(VLOOKUP(B175,crm_orders!$A:$S,7,FALSE),"")</f>
        <v>Wholesale</v>
      </c>
      <c r="R175" s="27" t="str">
        <f>IFERROR(VLOOKUP(B175,crm_orders!$A:$S,8,FALSE),"")</f>
        <v>SKU0012</v>
      </c>
    </row>
    <row r="176" ht="15.75" customHeight="1">
      <c r="A176" s="17" t="s">
        <v>2605</v>
      </c>
      <c r="B176" s="17" t="s">
        <v>327</v>
      </c>
      <c r="C176" s="18">
        <v>46148.0</v>
      </c>
      <c r="D176" s="17" t="s">
        <v>2260</v>
      </c>
      <c r="E176" s="17" t="s">
        <v>2255</v>
      </c>
      <c r="F176" s="17" t="s">
        <v>2606</v>
      </c>
      <c r="G176" s="21">
        <v>12.0</v>
      </c>
      <c r="H176" s="21">
        <v>12.0</v>
      </c>
      <c r="I176" s="21">
        <v>0.0</v>
      </c>
      <c r="J176" s="17" t="s">
        <v>2246</v>
      </c>
      <c r="K176" s="17" t="s">
        <v>2247</v>
      </c>
      <c r="L176" s="17" t="s">
        <v>2246</v>
      </c>
      <c r="M176" s="17" t="s">
        <v>2248</v>
      </c>
      <c r="N176" s="21">
        <f>IFERROR((C176-VLOOKUP(B176,crm_orders!$A:$S,2,FALSE))*24,0)</f>
        <v>192</v>
      </c>
      <c r="O176" s="19" t="str">
        <f>IFERROR(VLOOKUP(B176,crm_orders!$A:$S,3,FALSE),"")</f>
        <v>DSP0038</v>
      </c>
      <c r="P176" s="19" t="str">
        <f>IFERROR(VLOOKUP(B176,crm_orders!$A:$S,5,FALSE),"")</f>
        <v>WA</v>
      </c>
      <c r="Q176" s="19" t="str">
        <f>IFERROR(VLOOKUP(B176,crm_orders!$A:$S,7,FALSE),"")</f>
        <v>Wholesale</v>
      </c>
      <c r="R176" s="19" t="str">
        <f>IFERROR(VLOOKUP(B176,crm_orders!$A:$S,8,FALSE),"")</f>
        <v>SKU0014</v>
      </c>
    </row>
    <row r="177" ht="15.75" customHeight="1">
      <c r="A177" s="25" t="s">
        <v>2607</v>
      </c>
      <c r="B177" s="25" t="s">
        <v>1095</v>
      </c>
      <c r="C177" s="26">
        <v>46078.0</v>
      </c>
      <c r="D177" s="25" t="s">
        <v>2250</v>
      </c>
      <c r="E177" s="25" t="s">
        <v>2255</v>
      </c>
      <c r="F177" s="25" t="s">
        <v>2608</v>
      </c>
      <c r="G177" s="29">
        <v>60.0</v>
      </c>
      <c r="H177" s="29">
        <v>60.0</v>
      </c>
      <c r="I177" s="29">
        <v>0.0</v>
      </c>
      <c r="J177" s="25" t="s">
        <v>2246</v>
      </c>
      <c r="K177" s="25" t="s">
        <v>2247</v>
      </c>
      <c r="L177" s="25" t="s">
        <v>2246</v>
      </c>
      <c r="M177" s="25" t="s">
        <v>2248</v>
      </c>
      <c r="N177" s="29">
        <f>IFERROR((C177-VLOOKUP(B177,crm_orders!$A:$S,2,FALSE))*24,0)</f>
        <v>264</v>
      </c>
      <c r="O177" s="27" t="str">
        <f>IFERROR(VLOOKUP(B177,crm_orders!$A:$S,3,FALSE),"")</f>
        <v>DSP0067</v>
      </c>
      <c r="P177" s="27" t="str">
        <f>IFERROR(VLOOKUP(B177,crm_orders!$A:$S,5,FALSE),"")</f>
        <v>IL</v>
      </c>
      <c r="Q177" s="27" t="str">
        <f>IFERROR(VLOOKUP(B177,crm_orders!$A:$S,7,FALSE),"")</f>
        <v>Wholesale</v>
      </c>
      <c r="R177" s="27" t="str">
        <f>IFERROR(VLOOKUP(B177,crm_orders!$A:$S,8,FALSE),"")</f>
        <v>SKU0016</v>
      </c>
    </row>
    <row r="178" ht="15.75" customHeight="1">
      <c r="A178" s="17" t="s">
        <v>2609</v>
      </c>
      <c r="B178" s="17" t="s">
        <v>851</v>
      </c>
      <c r="C178" s="18">
        <v>46134.0</v>
      </c>
      <c r="D178" s="17" t="s">
        <v>2260</v>
      </c>
      <c r="E178" s="17" t="s">
        <v>2286</v>
      </c>
      <c r="F178" s="17" t="s">
        <v>2610</v>
      </c>
      <c r="G178" s="21">
        <v>36.0</v>
      </c>
      <c r="H178" s="21">
        <v>36.0</v>
      </c>
      <c r="I178" s="21">
        <v>0.0</v>
      </c>
      <c r="J178" s="17" t="s">
        <v>2247</v>
      </c>
      <c r="K178" s="17" t="s">
        <v>2247</v>
      </c>
      <c r="L178" s="17" t="s">
        <v>2247</v>
      </c>
      <c r="M178" s="17" t="s">
        <v>2248</v>
      </c>
      <c r="N178" s="21">
        <f>IFERROR((C178-VLOOKUP(B178,crm_orders!$A:$S,2,FALSE))*24,0)</f>
        <v>2232</v>
      </c>
      <c r="O178" s="19" t="str">
        <f>IFERROR(VLOOKUP(B178,crm_orders!$A:$S,3,FALSE),"")</f>
        <v>DSP0108</v>
      </c>
      <c r="P178" s="19" t="str">
        <f>IFERROR(VLOOKUP(B178,crm_orders!$A:$S,5,FALSE),"")</f>
        <v>OK</v>
      </c>
      <c r="Q178" s="19" t="str">
        <f>IFERROR(VLOOKUP(B178,crm_orders!$A:$S,7,FALSE),"")</f>
        <v>Wholesale</v>
      </c>
      <c r="R178" s="19" t="str">
        <f>IFERROR(VLOOKUP(B178,crm_orders!$A:$S,8,FALSE),"")</f>
        <v>SKU0014</v>
      </c>
    </row>
    <row r="179" ht="15.75" customHeight="1">
      <c r="A179" s="25" t="s">
        <v>2611</v>
      </c>
      <c r="B179" s="25" t="s">
        <v>201</v>
      </c>
      <c r="C179" s="26">
        <v>46087.0</v>
      </c>
      <c r="D179" s="25" t="s">
        <v>2260</v>
      </c>
      <c r="E179" s="25" t="s">
        <v>2244</v>
      </c>
      <c r="F179" s="25" t="s">
        <v>2612</v>
      </c>
      <c r="G179" s="29">
        <v>96.0</v>
      </c>
      <c r="H179" s="29">
        <v>96.0</v>
      </c>
      <c r="I179" s="29">
        <v>0.0</v>
      </c>
      <c r="J179" s="25" t="s">
        <v>2246</v>
      </c>
      <c r="K179" s="25" t="s">
        <v>2247</v>
      </c>
      <c r="L179" s="25" t="s">
        <v>2246</v>
      </c>
      <c r="M179" s="25" t="s">
        <v>2248</v>
      </c>
      <c r="N179" s="29">
        <f>IFERROR((C179-VLOOKUP(B179,crm_orders!$A:$S,2,FALSE))*24,0)</f>
        <v>168</v>
      </c>
      <c r="O179" s="27" t="str">
        <f>IFERROR(VLOOKUP(B179,crm_orders!$A:$S,3,FALSE),"")</f>
        <v>DSP0114</v>
      </c>
      <c r="P179" s="27" t="str">
        <f>IFERROR(VLOOKUP(B179,crm_orders!$A:$S,5,FALSE),"")</f>
        <v>NV</v>
      </c>
      <c r="Q179" s="27" t="str">
        <f>IFERROR(VLOOKUP(B179,crm_orders!$A:$S,7,FALSE),"")</f>
        <v>Wholesale</v>
      </c>
      <c r="R179" s="27" t="str">
        <f>IFERROR(VLOOKUP(B179,crm_orders!$A:$S,8,FALSE),"")</f>
        <v>SKU0007</v>
      </c>
    </row>
    <row r="180" ht="15.75" customHeight="1">
      <c r="A180" s="17" t="s">
        <v>2613</v>
      </c>
      <c r="B180" s="17" t="s">
        <v>749</v>
      </c>
      <c r="C180" s="18">
        <v>46041.0</v>
      </c>
      <c r="D180" s="17" t="s">
        <v>2269</v>
      </c>
      <c r="E180" s="17" t="s">
        <v>2244</v>
      </c>
      <c r="F180" s="17" t="s">
        <v>2614</v>
      </c>
      <c r="G180" s="21">
        <v>72.0</v>
      </c>
      <c r="H180" s="21">
        <v>72.0</v>
      </c>
      <c r="I180" s="21">
        <v>0.0</v>
      </c>
      <c r="J180" s="17" t="s">
        <v>2247</v>
      </c>
      <c r="K180" s="17" t="s">
        <v>2247</v>
      </c>
      <c r="L180" s="17" t="s">
        <v>2247</v>
      </c>
      <c r="M180" s="17" t="s">
        <v>2248</v>
      </c>
      <c r="N180" s="21">
        <f>IFERROR((C180-VLOOKUP(B180,crm_orders!$A:$S,2,FALSE))*24,0)</f>
        <v>120</v>
      </c>
      <c r="O180" s="19" t="str">
        <f>IFERROR(VLOOKUP(B180,crm_orders!$A:$S,3,FALSE),"")</f>
        <v>DSP0009</v>
      </c>
      <c r="P180" s="19" t="str">
        <f>IFERROR(VLOOKUP(B180,crm_orders!$A:$S,5,FALSE),"")</f>
        <v>MO</v>
      </c>
      <c r="Q180" s="19" t="str">
        <f>IFERROR(VLOOKUP(B180,crm_orders!$A:$S,7,FALSE),"")</f>
        <v>Wholesale</v>
      </c>
      <c r="R180" s="19" t="str">
        <f>IFERROR(VLOOKUP(B180,crm_orders!$A:$S,8,FALSE),"")</f>
        <v>SKU0019</v>
      </c>
    </row>
    <row r="181" ht="15.75" customHeight="1">
      <c r="A181" s="25" t="s">
        <v>2615</v>
      </c>
      <c r="B181" s="25" t="s">
        <v>750</v>
      </c>
      <c r="C181" s="26">
        <v>46107.0</v>
      </c>
      <c r="D181" s="25" t="s">
        <v>2250</v>
      </c>
      <c r="E181" s="25" t="s">
        <v>2244</v>
      </c>
      <c r="F181" s="25" t="s">
        <v>2616</v>
      </c>
      <c r="G181" s="29">
        <v>48.0</v>
      </c>
      <c r="H181" s="29">
        <v>24.0</v>
      </c>
      <c r="I181" s="29">
        <v>24.0</v>
      </c>
      <c r="J181" s="25" t="s">
        <v>2247</v>
      </c>
      <c r="K181" s="25" t="s">
        <v>2246</v>
      </c>
      <c r="L181" s="25" t="s">
        <v>2246</v>
      </c>
      <c r="M181" s="25" t="s">
        <v>2267</v>
      </c>
      <c r="N181" s="29">
        <f>IFERROR((C181-VLOOKUP(B181,crm_orders!$A:$S,2,FALSE))*24,0)</f>
        <v>192</v>
      </c>
      <c r="O181" s="27" t="str">
        <f>IFERROR(VLOOKUP(B181,crm_orders!$A:$S,3,FALSE),"")</f>
        <v>DSP0082</v>
      </c>
      <c r="P181" s="27" t="str">
        <f>IFERROR(VLOOKUP(B181,crm_orders!$A:$S,5,FALSE),"")</f>
        <v>NM</v>
      </c>
      <c r="Q181" s="27" t="str">
        <f>IFERROR(VLOOKUP(B181,crm_orders!$A:$S,7,FALSE),"")</f>
        <v>Wholesale</v>
      </c>
      <c r="R181" s="27" t="str">
        <f>IFERROR(VLOOKUP(B181,crm_orders!$A:$S,8,FALSE),"")</f>
        <v>SKU0011</v>
      </c>
    </row>
    <row r="182" ht="15.75" customHeight="1">
      <c r="A182" s="17" t="s">
        <v>2617</v>
      </c>
      <c r="B182" s="17" t="s">
        <v>751</v>
      </c>
      <c r="C182" s="18">
        <v>46093.0</v>
      </c>
      <c r="D182" s="17" t="s">
        <v>2250</v>
      </c>
      <c r="E182" s="17" t="s">
        <v>2261</v>
      </c>
      <c r="F182" s="17" t="s">
        <v>2618</v>
      </c>
      <c r="G182" s="21">
        <v>48.0</v>
      </c>
      <c r="H182" s="21">
        <v>48.0</v>
      </c>
      <c r="I182" s="21">
        <v>0.0</v>
      </c>
      <c r="J182" s="17" t="s">
        <v>2246</v>
      </c>
      <c r="K182" s="17" t="s">
        <v>2247</v>
      </c>
      <c r="L182" s="17" t="s">
        <v>2246</v>
      </c>
      <c r="M182" s="17" t="s">
        <v>2248</v>
      </c>
      <c r="N182" s="21">
        <f>IFERROR((C182-VLOOKUP(B182,crm_orders!$A:$S,2,FALSE))*24,0)</f>
        <v>120</v>
      </c>
      <c r="O182" s="19" t="str">
        <f>IFERROR(VLOOKUP(B182,crm_orders!$A:$S,3,FALSE),"")</f>
        <v>DSP0089</v>
      </c>
      <c r="P182" s="19" t="str">
        <f>IFERROR(VLOOKUP(B182,crm_orders!$A:$S,5,FALSE),"")</f>
        <v>AZ</v>
      </c>
      <c r="Q182" s="19" t="str">
        <f>IFERROR(VLOOKUP(B182,crm_orders!$A:$S,7,FALSE),"")</f>
        <v>Wholesale</v>
      </c>
      <c r="R182" s="19" t="str">
        <f>IFERROR(VLOOKUP(B182,crm_orders!$A:$S,8,FALSE),"")</f>
        <v>SKU0005</v>
      </c>
    </row>
    <row r="183" ht="15.75" customHeight="1">
      <c r="A183" s="25" t="s">
        <v>2619</v>
      </c>
      <c r="B183" s="25" t="s">
        <v>329</v>
      </c>
      <c r="C183" s="26">
        <v>46049.0</v>
      </c>
      <c r="D183" s="25" t="s">
        <v>2260</v>
      </c>
      <c r="E183" s="25" t="s">
        <v>2255</v>
      </c>
      <c r="F183" s="25" t="s">
        <v>2620</v>
      </c>
      <c r="G183" s="29">
        <v>24.0</v>
      </c>
      <c r="H183" s="29">
        <v>24.0</v>
      </c>
      <c r="I183" s="29">
        <v>0.0</v>
      </c>
      <c r="J183" s="25" t="s">
        <v>2246</v>
      </c>
      <c r="K183" s="25" t="s">
        <v>2247</v>
      </c>
      <c r="L183" s="25" t="s">
        <v>2246</v>
      </c>
      <c r="M183" s="25" t="s">
        <v>2248</v>
      </c>
      <c r="N183" s="29">
        <f>IFERROR((C183-VLOOKUP(B183,crm_orders!$A:$S,2,FALSE))*24,0)</f>
        <v>216</v>
      </c>
      <c r="O183" s="27" t="str">
        <f>IFERROR(VLOOKUP(B183,crm_orders!$A:$S,3,FALSE),"")</f>
        <v>DSP0002</v>
      </c>
      <c r="P183" s="27" t="str">
        <f>IFERROR(VLOOKUP(B183,crm_orders!$A:$S,5,FALSE),"")</f>
        <v>WA</v>
      </c>
      <c r="Q183" s="27" t="str">
        <f>IFERROR(VLOOKUP(B183,crm_orders!$A:$S,7,FALSE),"")</f>
        <v>Wholesale</v>
      </c>
      <c r="R183" s="27" t="str">
        <f>IFERROR(VLOOKUP(B183,crm_orders!$A:$S,8,FALSE),"")</f>
        <v>SKU0016</v>
      </c>
    </row>
    <row r="184" ht="15.75" customHeight="1">
      <c r="A184" s="17" t="s">
        <v>2621</v>
      </c>
      <c r="B184" s="17" t="s">
        <v>586</v>
      </c>
      <c r="C184" s="18">
        <v>46093.0</v>
      </c>
      <c r="D184" s="17" t="s">
        <v>2254</v>
      </c>
      <c r="E184" s="17" t="s">
        <v>2255</v>
      </c>
      <c r="F184" s="17" t="s">
        <v>2622</v>
      </c>
      <c r="G184" s="21">
        <v>18.0</v>
      </c>
      <c r="H184" s="21">
        <v>18.0</v>
      </c>
      <c r="I184" s="21">
        <v>0.0</v>
      </c>
      <c r="J184" s="17" t="s">
        <v>2246</v>
      </c>
      <c r="K184" s="17" t="s">
        <v>2247</v>
      </c>
      <c r="L184" s="17" t="s">
        <v>2246</v>
      </c>
      <c r="M184" s="17" t="s">
        <v>2248</v>
      </c>
      <c r="N184" s="21">
        <f>IFERROR((C184-VLOOKUP(B184,crm_orders!$A:$S,2,FALSE))*24,0)</f>
        <v>192</v>
      </c>
      <c r="O184" s="19" t="str">
        <f>IFERROR(VLOOKUP(B184,crm_orders!$A:$S,3,FALSE),"")</f>
        <v>DSP0091</v>
      </c>
      <c r="P184" s="19" t="str">
        <f>IFERROR(VLOOKUP(B184,crm_orders!$A:$S,5,FALSE),"")</f>
        <v>IL</v>
      </c>
      <c r="Q184" s="19" t="str">
        <f>IFERROR(VLOOKUP(B184,crm_orders!$A:$S,7,FALSE),"")</f>
        <v>Retail</v>
      </c>
      <c r="R184" s="19" t="str">
        <f>IFERROR(VLOOKUP(B184,crm_orders!$A:$S,8,FALSE),"")</f>
        <v>SKU0015</v>
      </c>
    </row>
    <row r="185" ht="15.75" customHeight="1">
      <c r="A185" s="25" t="s">
        <v>2623</v>
      </c>
      <c r="B185" s="25" t="s">
        <v>752</v>
      </c>
      <c r="C185" s="26">
        <v>46132.0</v>
      </c>
      <c r="D185" s="25" t="s">
        <v>2250</v>
      </c>
      <c r="E185" s="25" t="s">
        <v>2255</v>
      </c>
      <c r="F185" s="25" t="s">
        <v>2624</v>
      </c>
      <c r="G185" s="29">
        <v>60.0</v>
      </c>
      <c r="H185" s="29">
        <v>60.0</v>
      </c>
      <c r="I185" s="29">
        <v>0.0</v>
      </c>
      <c r="J185" s="25" t="s">
        <v>2246</v>
      </c>
      <c r="K185" s="25" t="s">
        <v>2247</v>
      </c>
      <c r="L185" s="25" t="s">
        <v>2246</v>
      </c>
      <c r="M185" s="25" t="s">
        <v>2248</v>
      </c>
      <c r="N185" s="29">
        <f>IFERROR((C185-VLOOKUP(B185,crm_orders!$A:$S,2,FALSE))*24,0)</f>
        <v>240</v>
      </c>
      <c r="O185" s="27" t="str">
        <f>IFERROR(VLOOKUP(B185,crm_orders!$A:$S,3,FALSE),"")</f>
        <v>DSP0037</v>
      </c>
      <c r="P185" s="27" t="str">
        <f>IFERROR(VLOOKUP(B185,crm_orders!$A:$S,5,FALSE),"")</f>
        <v>OR</v>
      </c>
      <c r="Q185" s="27" t="str">
        <f>IFERROR(VLOOKUP(B185,crm_orders!$A:$S,7,FALSE),"")</f>
        <v>Wholesale</v>
      </c>
      <c r="R185" s="27" t="str">
        <f>IFERROR(VLOOKUP(B185,crm_orders!$A:$S,8,FALSE),"")</f>
        <v>SKU0006</v>
      </c>
    </row>
    <row r="186" ht="15.75" customHeight="1">
      <c r="A186" s="17" t="s">
        <v>2625</v>
      </c>
      <c r="B186" s="17" t="s">
        <v>753</v>
      </c>
      <c r="C186" s="18">
        <v>46138.0</v>
      </c>
      <c r="D186" s="17" t="s">
        <v>2243</v>
      </c>
      <c r="E186" s="17" t="s">
        <v>2251</v>
      </c>
      <c r="F186" s="17" t="s">
        <v>2626</v>
      </c>
      <c r="G186" s="21">
        <v>36.0</v>
      </c>
      <c r="H186" s="21">
        <v>12.0</v>
      </c>
      <c r="I186" s="21">
        <v>24.0</v>
      </c>
      <c r="J186" s="17" t="s">
        <v>2246</v>
      </c>
      <c r="K186" s="17" t="s">
        <v>2246</v>
      </c>
      <c r="L186" s="17" t="s">
        <v>2246</v>
      </c>
      <c r="M186" s="17" t="s">
        <v>2267</v>
      </c>
      <c r="N186" s="21">
        <f>IFERROR((C186-VLOOKUP(B186,crm_orders!$A:$S,2,FALSE))*24,0)</f>
        <v>240</v>
      </c>
      <c r="O186" s="19" t="str">
        <f>IFERROR(VLOOKUP(B186,crm_orders!$A:$S,3,FALSE),"")</f>
        <v>DSP0100</v>
      </c>
      <c r="P186" s="19" t="str">
        <f>IFERROR(VLOOKUP(B186,crm_orders!$A:$S,5,FALSE),"")</f>
        <v>CO</v>
      </c>
      <c r="Q186" s="19" t="str">
        <f>IFERROR(VLOOKUP(B186,crm_orders!$A:$S,7,FALSE),"")</f>
        <v>Retail</v>
      </c>
      <c r="R186" s="19" t="str">
        <f>IFERROR(VLOOKUP(B186,crm_orders!$A:$S,8,FALSE),"")</f>
        <v>SKU0018</v>
      </c>
    </row>
    <row r="187" ht="15.75" customHeight="1">
      <c r="A187" s="25" t="s">
        <v>2627</v>
      </c>
      <c r="B187" s="25" t="s">
        <v>480</v>
      </c>
      <c r="C187" s="26">
        <v>46070.0</v>
      </c>
      <c r="D187" s="25" t="s">
        <v>2250</v>
      </c>
      <c r="E187" s="25" t="s">
        <v>2251</v>
      </c>
      <c r="F187" s="25" t="s">
        <v>2628</v>
      </c>
      <c r="G187" s="29">
        <v>6.0</v>
      </c>
      <c r="H187" s="29">
        <v>6.0</v>
      </c>
      <c r="I187" s="29">
        <v>0.0</v>
      </c>
      <c r="J187" s="25" t="s">
        <v>2246</v>
      </c>
      <c r="K187" s="25" t="s">
        <v>2247</v>
      </c>
      <c r="L187" s="25" t="s">
        <v>2246</v>
      </c>
      <c r="M187" s="25" t="s">
        <v>2248</v>
      </c>
      <c r="N187" s="29">
        <f>IFERROR((C187-VLOOKUP(B187,crm_orders!$A:$S,2,FALSE))*24,0)</f>
        <v>216</v>
      </c>
      <c r="O187" s="27" t="str">
        <f>IFERROR(VLOOKUP(B187,crm_orders!$A:$S,3,FALSE),"")</f>
        <v>DSP0014</v>
      </c>
      <c r="P187" s="27" t="str">
        <f>IFERROR(VLOOKUP(B187,crm_orders!$A:$S,5,FALSE),"")</f>
        <v>WA</v>
      </c>
      <c r="Q187" s="27" t="str">
        <f>IFERROR(VLOOKUP(B187,crm_orders!$A:$S,7,FALSE),"")</f>
        <v>Distributor</v>
      </c>
      <c r="R187" s="27" t="str">
        <f>IFERROR(VLOOKUP(B187,crm_orders!$A:$S,8,FALSE),"")</f>
        <v>SKU0008</v>
      </c>
    </row>
    <row r="188" ht="15.75" customHeight="1">
      <c r="A188" s="17" t="s">
        <v>2629</v>
      </c>
      <c r="B188" s="17" t="s">
        <v>331</v>
      </c>
      <c r="C188" s="18">
        <v>46138.0</v>
      </c>
      <c r="D188" s="17" t="s">
        <v>2254</v>
      </c>
      <c r="E188" s="17" t="s">
        <v>2286</v>
      </c>
      <c r="F188" s="17" t="s">
        <v>2630</v>
      </c>
      <c r="G188" s="21">
        <v>6.0</v>
      </c>
      <c r="H188" s="21">
        <v>6.0</v>
      </c>
      <c r="I188" s="21">
        <v>0.0</v>
      </c>
      <c r="J188" s="17" t="s">
        <v>2246</v>
      </c>
      <c r="K188" s="17" t="s">
        <v>2247</v>
      </c>
      <c r="L188" s="17" t="s">
        <v>2246</v>
      </c>
      <c r="M188" s="17" t="s">
        <v>2248</v>
      </c>
      <c r="N188" s="21">
        <f>IFERROR((C188-VLOOKUP(B188,crm_orders!$A:$S,2,FALSE))*24,0)</f>
        <v>288</v>
      </c>
      <c r="O188" s="19" t="str">
        <f>IFERROR(VLOOKUP(B188,crm_orders!$A:$S,3,FALSE),"")</f>
        <v>DSP0027</v>
      </c>
      <c r="P188" s="19" t="str">
        <f>IFERROR(VLOOKUP(B188,crm_orders!$A:$S,5,FALSE),"")</f>
        <v>CA</v>
      </c>
      <c r="Q188" s="19" t="str">
        <f>IFERROR(VLOOKUP(B188,crm_orders!$A:$S,7,FALSE),"")</f>
        <v>Wholesale</v>
      </c>
      <c r="R188" s="19" t="str">
        <f>IFERROR(VLOOKUP(B188,crm_orders!$A:$S,8,FALSE),"")</f>
        <v>SKU0007</v>
      </c>
    </row>
    <row r="189" ht="15.75" customHeight="1">
      <c r="A189" s="25" t="s">
        <v>2631</v>
      </c>
      <c r="B189" s="25" t="s">
        <v>332</v>
      </c>
      <c r="C189" s="26">
        <v>46063.0</v>
      </c>
      <c r="D189" s="25" t="s">
        <v>2250</v>
      </c>
      <c r="E189" s="25" t="s">
        <v>2244</v>
      </c>
      <c r="F189" s="25" t="s">
        <v>2632</v>
      </c>
      <c r="G189" s="29">
        <v>72.0</v>
      </c>
      <c r="H189" s="29">
        <v>72.0</v>
      </c>
      <c r="I189" s="29">
        <v>0.0</v>
      </c>
      <c r="J189" s="25" t="s">
        <v>2247</v>
      </c>
      <c r="K189" s="25" t="s">
        <v>2247</v>
      </c>
      <c r="L189" s="25" t="s">
        <v>2247</v>
      </c>
      <c r="M189" s="25" t="s">
        <v>2248</v>
      </c>
      <c r="N189" s="29">
        <f>IFERROR((C189-VLOOKUP(B189,crm_orders!$A:$S,2,FALSE))*24,0)</f>
        <v>144</v>
      </c>
      <c r="O189" s="27" t="str">
        <f>IFERROR(VLOOKUP(B189,crm_orders!$A:$S,3,FALSE),"")</f>
        <v>DSP0038</v>
      </c>
      <c r="P189" s="27" t="str">
        <f>IFERROR(VLOOKUP(B189,crm_orders!$A:$S,5,FALSE),"")</f>
        <v>WA</v>
      </c>
      <c r="Q189" s="27" t="str">
        <f>IFERROR(VLOOKUP(B189,crm_orders!$A:$S,7,FALSE),"")</f>
        <v>Wholesale</v>
      </c>
      <c r="R189" s="27" t="str">
        <f>IFERROR(VLOOKUP(B189,crm_orders!$A:$S,8,FALSE),"")</f>
        <v>SKU0019</v>
      </c>
    </row>
    <row r="190" ht="15.75" customHeight="1">
      <c r="A190" s="17" t="s">
        <v>2633</v>
      </c>
      <c r="B190" s="17" t="s">
        <v>982</v>
      </c>
      <c r="C190" s="18">
        <v>46078.0</v>
      </c>
      <c r="D190" s="17" t="s">
        <v>2243</v>
      </c>
      <c r="E190" s="17" t="s">
        <v>2255</v>
      </c>
      <c r="F190" s="17" t="s">
        <v>2634</v>
      </c>
      <c r="G190" s="21">
        <v>60.0</v>
      </c>
      <c r="H190" s="21">
        <v>60.0</v>
      </c>
      <c r="I190" s="21">
        <v>0.0</v>
      </c>
      <c r="J190" s="17" t="s">
        <v>2247</v>
      </c>
      <c r="K190" s="17" t="s">
        <v>2247</v>
      </c>
      <c r="L190" s="17" t="s">
        <v>2247</v>
      </c>
      <c r="M190" s="17" t="s">
        <v>2248</v>
      </c>
      <c r="N190" s="21">
        <f>IFERROR((C190-VLOOKUP(B190,crm_orders!$A:$S,2,FALSE))*24,0)</f>
        <v>168</v>
      </c>
      <c r="O190" s="19" t="str">
        <f>IFERROR(VLOOKUP(B190,crm_orders!$A:$S,3,FALSE),"")</f>
        <v>DSP0035</v>
      </c>
      <c r="P190" s="19" t="str">
        <f>IFERROR(VLOOKUP(B190,crm_orders!$A:$S,5,FALSE),"")</f>
        <v>NY</v>
      </c>
      <c r="Q190" s="19" t="str">
        <f>IFERROR(VLOOKUP(B190,crm_orders!$A:$S,7,FALSE),"")</f>
        <v>Retail</v>
      </c>
      <c r="R190" s="19" t="str">
        <f>IFERROR(VLOOKUP(B190,crm_orders!$A:$S,8,FALSE),"")</f>
        <v>SKU0014</v>
      </c>
    </row>
    <row r="191" ht="15.75" customHeight="1">
      <c r="A191" s="25" t="s">
        <v>2635</v>
      </c>
      <c r="B191" s="25" t="s">
        <v>883</v>
      </c>
      <c r="C191" s="26">
        <v>46083.0</v>
      </c>
      <c r="D191" s="25" t="s">
        <v>2254</v>
      </c>
      <c r="E191" s="25" t="s">
        <v>2251</v>
      </c>
      <c r="F191" s="25" t="s">
        <v>2636</v>
      </c>
      <c r="G191" s="29">
        <v>60.0</v>
      </c>
      <c r="H191" s="29">
        <v>60.0</v>
      </c>
      <c r="I191" s="29">
        <v>0.0</v>
      </c>
      <c r="J191" s="25" t="s">
        <v>2247</v>
      </c>
      <c r="K191" s="25" t="s">
        <v>2247</v>
      </c>
      <c r="L191" s="25" t="s">
        <v>2247</v>
      </c>
      <c r="M191" s="25" t="s">
        <v>2248</v>
      </c>
      <c r="N191" s="29">
        <f>IFERROR((C191-VLOOKUP(B191,crm_orders!$A:$S,2,FALSE))*24,0)</f>
        <v>48</v>
      </c>
      <c r="O191" s="27" t="str">
        <f>IFERROR(VLOOKUP(B191,crm_orders!$A:$S,3,FALSE),"")</f>
        <v>DSP0120</v>
      </c>
      <c r="P191" s="27" t="str">
        <f>IFERROR(VLOOKUP(B191,crm_orders!$A:$S,5,FALSE),"")</f>
        <v>OK</v>
      </c>
      <c r="Q191" s="27" t="str">
        <f>IFERROR(VLOOKUP(B191,crm_orders!$A:$S,7,FALSE),"")</f>
        <v>Retail</v>
      </c>
      <c r="R191" s="27" t="str">
        <f>IFERROR(VLOOKUP(B191,crm_orders!$A:$S,8,FALSE),"")</f>
        <v>SKU0012</v>
      </c>
    </row>
    <row r="192" ht="15.75" customHeight="1">
      <c r="A192" s="17" t="s">
        <v>2637</v>
      </c>
      <c r="B192" s="17" t="s">
        <v>754</v>
      </c>
      <c r="C192" s="18">
        <v>46095.0</v>
      </c>
      <c r="D192" s="17" t="s">
        <v>2260</v>
      </c>
      <c r="E192" s="17" t="s">
        <v>2251</v>
      </c>
      <c r="F192" s="17" t="s">
        <v>2638</v>
      </c>
      <c r="G192" s="21">
        <v>96.0</v>
      </c>
      <c r="H192" s="21">
        <v>96.0</v>
      </c>
      <c r="I192" s="21">
        <v>0.0</v>
      </c>
      <c r="J192" s="17" t="s">
        <v>2246</v>
      </c>
      <c r="K192" s="17" t="s">
        <v>2247</v>
      </c>
      <c r="L192" s="17" t="s">
        <v>2246</v>
      </c>
      <c r="M192" s="17" t="s">
        <v>2248</v>
      </c>
      <c r="N192" s="21">
        <f>IFERROR((C192-VLOOKUP(B192,crm_orders!$A:$S,2,FALSE))*24,0)</f>
        <v>48</v>
      </c>
      <c r="O192" s="19" t="str">
        <f>IFERROR(VLOOKUP(B192,crm_orders!$A:$S,3,FALSE),"")</f>
        <v>DSP0037</v>
      </c>
      <c r="P192" s="19" t="str">
        <f>IFERROR(VLOOKUP(B192,crm_orders!$A:$S,5,FALSE),"")</f>
        <v>OR</v>
      </c>
      <c r="Q192" s="19" t="str">
        <f>IFERROR(VLOOKUP(B192,crm_orders!$A:$S,7,FALSE),"")</f>
        <v>Retail</v>
      </c>
      <c r="R192" s="19" t="str">
        <f>IFERROR(VLOOKUP(B192,crm_orders!$A:$S,8,FALSE),"")</f>
        <v>SKU0011</v>
      </c>
    </row>
    <row r="193" ht="15.75" customHeight="1">
      <c r="A193" s="25" t="s">
        <v>2639</v>
      </c>
      <c r="B193" s="25" t="s">
        <v>333</v>
      </c>
      <c r="C193" s="26">
        <v>46047.0</v>
      </c>
      <c r="D193" s="25" t="s">
        <v>2254</v>
      </c>
      <c r="E193" s="25" t="s">
        <v>2286</v>
      </c>
      <c r="F193" s="25" t="s">
        <v>2640</v>
      </c>
      <c r="G193" s="29">
        <v>30.0</v>
      </c>
      <c r="H193" s="29">
        <v>30.0</v>
      </c>
      <c r="I193" s="29">
        <v>0.0</v>
      </c>
      <c r="J193" s="25" t="s">
        <v>2246</v>
      </c>
      <c r="K193" s="25" t="s">
        <v>2247</v>
      </c>
      <c r="L193" s="25" t="s">
        <v>2246</v>
      </c>
      <c r="M193" s="25" t="s">
        <v>2248</v>
      </c>
      <c r="N193" s="29">
        <f>IFERROR((C193-VLOOKUP(B193,crm_orders!$A:$S,2,FALSE))*24,0)</f>
        <v>96</v>
      </c>
      <c r="O193" s="27" t="str">
        <f>IFERROR(VLOOKUP(B193,crm_orders!$A:$S,3,FALSE),"")</f>
        <v>DSP0017</v>
      </c>
      <c r="P193" s="27" t="str">
        <f>IFERROR(VLOOKUP(B193,crm_orders!$A:$S,5,FALSE),"")</f>
        <v>AZ</v>
      </c>
      <c r="Q193" s="27" t="str">
        <f>IFERROR(VLOOKUP(B193,crm_orders!$A:$S,7,FALSE),"")</f>
        <v>Wholesale</v>
      </c>
      <c r="R193" s="27" t="str">
        <f>IFERROR(VLOOKUP(B193,crm_orders!$A:$S,8,FALSE),"")</f>
        <v>SKU0010</v>
      </c>
    </row>
    <row r="194" ht="15.75" customHeight="1">
      <c r="A194" s="17" t="s">
        <v>2641</v>
      </c>
      <c r="B194" s="17" t="s">
        <v>202</v>
      </c>
      <c r="C194" s="18">
        <v>46080.0</v>
      </c>
      <c r="D194" s="17" t="s">
        <v>2243</v>
      </c>
      <c r="E194" s="17" t="s">
        <v>2286</v>
      </c>
      <c r="F194" s="17" t="s">
        <v>2642</v>
      </c>
      <c r="G194" s="21">
        <v>120.0</v>
      </c>
      <c r="H194" s="21">
        <v>114.0</v>
      </c>
      <c r="I194" s="21">
        <v>6.0</v>
      </c>
      <c r="J194" s="17" t="s">
        <v>2246</v>
      </c>
      <c r="K194" s="17" t="s">
        <v>2246</v>
      </c>
      <c r="L194" s="17" t="s">
        <v>2246</v>
      </c>
      <c r="M194" s="17" t="s">
        <v>2267</v>
      </c>
      <c r="N194" s="21">
        <f>IFERROR((C194-VLOOKUP(B194,crm_orders!$A:$S,2,FALSE))*24,0)</f>
        <v>72</v>
      </c>
      <c r="O194" s="19" t="str">
        <f>IFERROR(VLOOKUP(B194,crm_orders!$A:$S,3,FALSE),"")</f>
        <v>DSP0093</v>
      </c>
      <c r="P194" s="19" t="str">
        <f>IFERROR(VLOOKUP(B194,crm_orders!$A:$S,5,FALSE),"")</f>
        <v>MO</v>
      </c>
      <c r="Q194" s="19" t="str">
        <f>IFERROR(VLOOKUP(B194,crm_orders!$A:$S,7,FALSE),"")</f>
        <v>Wholesale</v>
      </c>
      <c r="R194" s="19" t="str">
        <f>IFERROR(VLOOKUP(B194,crm_orders!$A:$S,8,FALSE),"")</f>
        <v>SKU0008</v>
      </c>
    </row>
    <row r="195" ht="15.75" customHeight="1">
      <c r="A195" s="25" t="s">
        <v>2643</v>
      </c>
      <c r="B195" s="25" t="s">
        <v>985</v>
      </c>
      <c r="C195" s="26">
        <v>46031.0</v>
      </c>
      <c r="D195" s="25" t="s">
        <v>2254</v>
      </c>
      <c r="E195" s="25" t="s">
        <v>2244</v>
      </c>
      <c r="F195" s="25" t="s">
        <v>2644</v>
      </c>
      <c r="G195" s="29">
        <v>6.0</v>
      </c>
      <c r="H195" s="29">
        <v>6.0</v>
      </c>
      <c r="I195" s="29">
        <v>0.0</v>
      </c>
      <c r="J195" s="25" t="s">
        <v>2247</v>
      </c>
      <c r="K195" s="25" t="s">
        <v>2247</v>
      </c>
      <c r="L195" s="25" t="s">
        <v>2247</v>
      </c>
      <c r="M195" s="25" t="s">
        <v>2248</v>
      </c>
      <c r="N195" s="29">
        <f>IFERROR((C195-VLOOKUP(B195,crm_orders!$A:$S,2,FALSE))*24,0)</f>
        <v>168</v>
      </c>
      <c r="O195" s="27" t="str">
        <f>IFERROR(VLOOKUP(B195,crm_orders!$A:$S,3,FALSE),"")</f>
        <v>DSP0088</v>
      </c>
      <c r="P195" s="27" t="str">
        <f>IFERROR(VLOOKUP(B195,crm_orders!$A:$S,5,FALSE),"")</f>
        <v>CO</v>
      </c>
      <c r="Q195" s="27" t="str">
        <f>IFERROR(VLOOKUP(B195,crm_orders!$A:$S,7,FALSE),"")</f>
        <v>Distributor</v>
      </c>
      <c r="R195" s="27" t="str">
        <f>IFERROR(VLOOKUP(B195,crm_orders!$A:$S,8,FALSE),"")</f>
        <v>SKU0015</v>
      </c>
    </row>
    <row r="196" ht="15.75" customHeight="1">
      <c r="A196" s="17" t="s">
        <v>2645</v>
      </c>
      <c r="B196" s="17" t="s">
        <v>589</v>
      </c>
      <c r="C196" s="18">
        <v>46044.0</v>
      </c>
      <c r="D196" s="17" t="s">
        <v>2269</v>
      </c>
      <c r="E196" s="17" t="s">
        <v>2255</v>
      </c>
      <c r="F196" s="17" t="s">
        <v>2646</v>
      </c>
      <c r="G196" s="21">
        <v>12.0</v>
      </c>
      <c r="H196" s="21">
        <v>12.0</v>
      </c>
      <c r="I196" s="21">
        <v>0.0</v>
      </c>
      <c r="J196" s="17" t="s">
        <v>2246</v>
      </c>
      <c r="K196" s="17" t="s">
        <v>2247</v>
      </c>
      <c r="L196" s="17" t="s">
        <v>2246</v>
      </c>
      <c r="M196" s="17" t="s">
        <v>2248</v>
      </c>
      <c r="N196" s="21">
        <f>IFERROR((C196-VLOOKUP(B196,crm_orders!$A:$S,2,FALSE))*24,0)</f>
        <v>240</v>
      </c>
      <c r="O196" s="19" t="str">
        <f>IFERROR(VLOOKUP(B196,crm_orders!$A:$S,3,FALSE),"")</f>
        <v>DSP0030</v>
      </c>
      <c r="P196" s="19" t="str">
        <f>IFERROR(VLOOKUP(B196,crm_orders!$A:$S,5,FALSE),"")</f>
        <v>NV</v>
      </c>
      <c r="Q196" s="19" t="str">
        <f>IFERROR(VLOOKUP(B196,crm_orders!$A:$S,7,FALSE),"")</f>
        <v>Wholesale</v>
      </c>
      <c r="R196" s="19" t="str">
        <f>IFERROR(VLOOKUP(B196,crm_orders!$A:$S,8,FALSE),"")</f>
        <v>SKU0013</v>
      </c>
    </row>
    <row r="197" ht="15.75" customHeight="1">
      <c r="A197" s="25" t="s">
        <v>2647</v>
      </c>
      <c r="B197" s="25" t="s">
        <v>756</v>
      </c>
      <c r="C197" s="26">
        <v>46038.0</v>
      </c>
      <c r="D197" s="25" t="s">
        <v>2260</v>
      </c>
      <c r="E197" s="25" t="s">
        <v>2286</v>
      </c>
      <c r="F197" s="25" t="s">
        <v>2648</v>
      </c>
      <c r="G197" s="29">
        <v>72.0</v>
      </c>
      <c r="H197" s="29">
        <v>72.0</v>
      </c>
      <c r="I197" s="29">
        <v>0.0</v>
      </c>
      <c r="J197" s="25" t="s">
        <v>2246</v>
      </c>
      <c r="K197" s="25" t="s">
        <v>2247</v>
      </c>
      <c r="L197" s="25" t="s">
        <v>2246</v>
      </c>
      <c r="M197" s="25" t="s">
        <v>2248</v>
      </c>
      <c r="N197" s="29">
        <f>IFERROR((C197-VLOOKUP(B197,crm_orders!$A:$S,2,FALSE))*24,0)</f>
        <v>168</v>
      </c>
      <c r="O197" s="27" t="str">
        <f>IFERROR(VLOOKUP(B197,crm_orders!$A:$S,3,FALSE),"")</f>
        <v>DSP0018</v>
      </c>
      <c r="P197" s="27" t="str">
        <f>IFERROR(VLOOKUP(B197,crm_orders!$A:$S,5,FALSE),"")</f>
        <v>NV</v>
      </c>
      <c r="Q197" s="27" t="str">
        <f>IFERROR(VLOOKUP(B197,crm_orders!$A:$S,7,FALSE),"")</f>
        <v>Wholesale</v>
      </c>
      <c r="R197" s="27" t="str">
        <f>IFERROR(VLOOKUP(B197,crm_orders!$A:$S,8,FALSE),"")</f>
        <v>SKU0005</v>
      </c>
    </row>
    <row r="198" ht="15.75" customHeight="1">
      <c r="A198" s="17" t="s">
        <v>2649</v>
      </c>
      <c r="B198" s="17" t="s">
        <v>1096</v>
      </c>
      <c r="C198" s="18">
        <v>46105.0</v>
      </c>
      <c r="D198" s="17" t="s">
        <v>2243</v>
      </c>
      <c r="E198" s="17" t="s">
        <v>2251</v>
      </c>
      <c r="F198" s="17" t="s">
        <v>2650</v>
      </c>
      <c r="G198" s="21">
        <v>120.0</v>
      </c>
      <c r="H198" s="21">
        <v>120.0</v>
      </c>
      <c r="I198" s="21">
        <v>0.0</v>
      </c>
      <c r="J198" s="17" t="s">
        <v>2246</v>
      </c>
      <c r="K198" s="17" t="s">
        <v>2247</v>
      </c>
      <c r="L198" s="17" t="s">
        <v>2246</v>
      </c>
      <c r="M198" s="17" t="s">
        <v>2248</v>
      </c>
      <c r="N198" s="21">
        <f>IFERROR((C198-VLOOKUP(B198,crm_orders!$A:$S,2,FALSE))*24,0)</f>
        <v>96</v>
      </c>
      <c r="O198" s="19" t="str">
        <f>IFERROR(VLOOKUP(B198,crm_orders!$A:$S,3,FALSE),"")</f>
        <v>DSP0020</v>
      </c>
      <c r="P198" s="19" t="str">
        <f>IFERROR(VLOOKUP(B198,crm_orders!$A:$S,5,FALSE),"")</f>
        <v>MI</v>
      </c>
      <c r="Q198" s="19" t="str">
        <f>IFERROR(VLOOKUP(B198,crm_orders!$A:$S,7,FALSE),"")</f>
        <v>Distributor</v>
      </c>
      <c r="R198" s="19" t="str">
        <f>IFERROR(VLOOKUP(B198,crm_orders!$A:$S,8,FALSE),"")</f>
        <v>SKU0014</v>
      </c>
    </row>
    <row r="199" ht="15.75" customHeight="1">
      <c r="A199" s="25" t="s">
        <v>2651</v>
      </c>
      <c r="B199" s="25" t="s">
        <v>986</v>
      </c>
      <c r="C199" s="26">
        <v>46082.0</v>
      </c>
      <c r="D199" s="25" t="s">
        <v>2254</v>
      </c>
      <c r="E199" s="25" t="s">
        <v>2286</v>
      </c>
      <c r="F199" s="25" t="s">
        <v>2652</v>
      </c>
      <c r="G199" s="29">
        <v>36.0</v>
      </c>
      <c r="H199" s="29">
        <v>30.0</v>
      </c>
      <c r="I199" s="29">
        <v>6.0</v>
      </c>
      <c r="J199" s="25" t="s">
        <v>2246</v>
      </c>
      <c r="K199" s="25" t="s">
        <v>2246</v>
      </c>
      <c r="L199" s="25" t="s">
        <v>2246</v>
      </c>
      <c r="M199" s="25" t="s">
        <v>2267</v>
      </c>
      <c r="N199" s="29">
        <f>IFERROR((C199-VLOOKUP(B199,crm_orders!$A:$S,2,FALSE))*24,0)</f>
        <v>120</v>
      </c>
      <c r="O199" s="27" t="str">
        <f>IFERROR(VLOOKUP(B199,crm_orders!$A:$S,3,FALSE),"")</f>
        <v>DSP0050</v>
      </c>
      <c r="P199" s="27" t="str">
        <f>IFERROR(VLOOKUP(B199,crm_orders!$A:$S,5,FALSE),"")</f>
        <v>WA</v>
      </c>
      <c r="Q199" s="27" t="str">
        <f>IFERROR(VLOOKUP(B199,crm_orders!$A:$S,7,FALSE),"")</f>
        <v>Wholesale</v>
      </c>
      <c r="R199" s="27" t="str">
        <f>IFERROR(VLOOKUP(B199,crm_orders!$A:$S,8,FALSE),"")</f>
        <v>SKU0012</v>
      </c>
    </row>
    <row r="200" ht="15.75" customHeight="1">
      <c r="A200" s="17" t="s">
        <v>2653</v>
      </c>
      <c r="B200" s="17" t="s">
        <v>101</v>
      </c>
      <c r="C200" s="18">
        <v>46133.0</v>
      </c>
      <c r="D200" s="17" t="s">
        <v>2269</v>
      </c>
      <c r="E200" s="17" t="s">
        <v>2255</v>
      </c>
      <c r="F200" s="17" t="s">
        <v>2654</v>
      </c>
      <c r="G200" s="21">
        <v>6.0</v>
      </c>
      <c r="H200" s="21">
        <v>6.0</v>
      </c>
      <c r="I200" s="21">
        <v>0.0</v>
      </c>
      <c r="J200" s="17" t="s">
        <v>2246</v>
      </c>
      <c r="K200" s="17" t="s">
        <v>2247</v>
      </c>
      <c r="L200" s="17" t="s">
        <v>2246</v>
      </c>
      <c r="M200" s="17" t="s">
        <v>2248</v>
      </c>
      <c r="N200" s="21">
        <f>IFERROR((C200-VLOOKUP(B200,crm_orders!$A:$S,2,FALSE))*24,0)</f>
        <v>264</v>
      </c>
      <c r="O200" s="19" t="str">
        <f>IFERROR(VLOOKUP(B200,crm_orders!$A:$S,3,FALSE),"")</f>
        <v>DSP0078</v>
      </c>
      <c r="P200" s="19" t="str">
        <f>IFERROR(VLOOKUP(B200,crm_orders!$A:$S,5,FALSE),"")</f>
        <v>NV</v>
      </c>
      <c r="Q200" s="19" t="str">
        <f>IFERROR(VLOOKUP(B200,crm_orders!$A:$S,7,FALSE),"")</f>
        <v>Wholesale</v>
      </c>
      <c r="R200" s="19" t="str">
        <f>IFERROR(VLOOKUP(B200,crm_orders!$A:$S,8,FALSE),"")</f>
        <v>SKU0010</v>
      </c>
    </row>
    <row r="201" ht="15.75" customHeight="1">
      <c r="A201" s="25" t="s">
        <v>2655</v>
      </c>
      <c r="B201" s="25" t="s">
        <v>884</v>
      </c>
      <c r="C201" s="26">
        <v>46114.0</v>
      </c>
      <c r="D201" s="25" t="s">
        <v>2254</v>
      </c>
      <c r="E201" s="25" t="s">
        <v>2255</v>
      </c>
      <c r="F201" s="25" t="s">
        <v>2656</v>
      </c>
      <c r="G201" s="29">
        <v>6.0</v>
      </c>
      <c r="H201" s="29">
        <v>6.0</v>
      </c>
      <c r="I201" s="29">
        <v>0.0</v>
      </c>
      <c r="J201" s="25" t="s">
        <v>2246</v>
      </c>
      <c r="K201" s="25" t="s">
        <v>2247</v>
      </c>
      <c r="L201" s="25" t="s">
        <v>2246</v>
      </c>
      <c r="M201" s="25" t="s">
        <v>2248</v>
      </c>
      <c r="N201" s="29">
        <f>IFERROR((C201-VLOOKUP(B201,crm_orders!$A:$S,2,FALSE))*24,0)</f>
        <v>216</v>
      </c>
      <c r="O201" s="27" t="str">
        <f>IFERROR(VLOOKUP(B201,crm_orders!$A:$S,3,FALSE),"")</f>
        <v>DSP0051</v>
      </c>
      <c r="P201" s="27" t="str">
        <f>IFERROR(VLOOKUP(B201,crm_orders!$A:$S,5,FALSE),"")</f>
        <v>CA</v>
      </c>
      <c r="Q201" s="27" t="str">
        <f>IFERROR(VLOOKUP(B201,crm_orders!$A:$S,7,FALSE),"")</f>
        <v>Wholesale</v>
      </c>
      <c r="R201" s="27" t="str">
        <f>IFERROR(VLOOKUP(B201,crm_orders!$A:$S,8,FALSE),"")</f>
        <v>SKU0010</v>
      </c>
    </row>
    <row r="202" ht="15.75" customHeight="1">
      <c r="A202" s="17" t="s">
        <v>2657</v>
      </c>
      <c r="B202" s="17" t="s">
        <v>334</v>
      </c>
      <c r="C202" s="18">
        <v>46101.0</v>
      </c>
      <c r="D202" s="17" t="s">
        <v>2260</v>
      </c>
      <c r="E202" s="17" t="s">
        <v>2261</v>
      </c>
      <c r="F202" s="17" t="s">
        <v>2658</v>
      </c>
      <c r="G202" s="21">
        <v>6.0</v>
      </c>
      <c r="H202" s="21">
        <v>6.0</v>
      </c>
      <c r="I202" s="21">
        <v>0.0</v>
      </c>
      <c r="J202" s="17" t="s">
        <v>2246</v>
      </c>
      <c r="K202" s="17" t="s">
        <v>2247</v>
      </c>
      <c r="L202" s="17" t="s">
        <v>2246</v>
      </c>
      <c r="M202" s="17" t="s">
        <v>2248</v>
      </c>
      <c r="N202" s="21">
        <f>IFERROR((C202-VLOOKUP(B202,crm_orders!$A:$S,2,FALSE))*24,0)</f>
        <v>264</v>
      </c>
      <c r="O202" s="19" t="str">
        <f>IFERROR(VLOOKUP(B202,crm_orders!$A:$S,3,FALSE),"")</f>
        <v>DSP0077</v>
      </c>
      <c r="P202" s="19" t="str">
        <f>IFERROR(VLOOKUP(B202,crm_orders!$A:$S,5,FALSE),"")</f>
        <v>AZ</v>
      </c>
      <c r="Q202" s="19" t="str">
        <f>IFERROR(VLOOKUP(B202,crm_orders!$A:$S,7,FALSE),"")</f>
        <v>Wholesale</v>
      </c>
      <c r="R202" s="19" t="str">
        <f>IFERROR(VLOOKUP(B202,crm_orders!$A:$S,8,FALSE),"")</f>
        <v>SKU0003</v>
      </c>
    </row>
    <row r="203" ht="15.75" customHeight="1">
      <c r="A203" s="25" t="s">
        <v>2659</v>
      </c>
      <c r="B203" s="25" t="s">
        <v>1143</v>
      </c>
      <c r="C203" s="26">
        <v>46125.0</v>
      </c>
      <c r="D203" s="25" t="s">
        <v>2269</v>
      </c>
      <c r="E203" s="25" t="s">
        <v>2261</v>
      </c>
      <c r="F203" s="25" t="s">
        <v>2660</v>
      </c>
      <c r="G203" s="29">
        <v>12.0</v>
      </c>
      <c r="H203" s="29">
        <v>12.0</v>
      </c>
      <c r="I203" s="29">
        <v>0.0</v>
      </c>
      <c r="J203" s="25" t="s">
        <v>2246</v>
      </c>
      <c r="K203" s="25" t="s">
        <v>2247</v>
      </c>
      <c r="L203" s="25" t="s">
        <v>2246</v>
      </c>
      <c r="M203" s="25" t="s">
        <v>2248</v>
      </c>
      <c r="N203" s="29">
        <f>IFERROR((C203-VLOOKUP(B203,crm_orders!$A:$S,2,FALSE))*24,0)</f>
        <v>96</v>
      </c>
      <c r="O203" s="27" t="str">
        <f>IFERROR(VLOOKUP(B203,crm_orders!$A:$S,3,FALSE),"")</f>
        <v>DSP0023</v>
      </c>
      <c r="P203" s="27" t="str">
        <f>IFERROR(VLOOKUP(B203,crm_orders!$A:$S,5,FALSE),"")</f>
        <v>NY</v>
      </c>
      <c r="Q203" s="27" t="str">
        <f>IFERROR(VLOOKUP(B203,crm_orders!$A:$S,7,FALSE),"")</f>
        <v>Wholesale</v>
      </c>
      <c r="R203" s="27" t="str">
        <f>IFERROR(VLOOKUP(B203,crm_orders!$A:$S,8,FALSE),"")</f>
        <v>SKU0016</v>
      </c>
    </row>
    <row r="204" ht="15.75" customHeight="1">
      <c r="A204" s="17" t="s">
        <v>2661</v>
      </c>
      <c r="B204" s="17" t="s">
        <v>885</v>
      </c>
      <c r="C204" s="18">
        <v>46069.0</v>
      </c>
      <c r="D204" s="17" t="s">
        <v>2254</v>
      </c>
      <c r="E204" s="17" t="s">
        <v>2255</v>
      </c>
      <c r="F204" s="17" t="s">
        <v>2662</v>
      </c>
      <c r="G204" s="21">
        <v>120.0</v>
      </c>
      <c r="H204" s="21">
        <v>120.0</v>
      </c>
      <c r="I204" s="21">
        <v>0.0</v>
      </c>
      <c r="J204" s="17" t="s">
        <v>2246</v>
      </c>
      <c r="K204" s="17" t="s">
        <v>2247</v>
      </c>
      <c r="L204" s="17" t="s">
        <v>2246</v>
      </c>
      <c r="M204" s="17" t="s">
        <v>2248</v>
      </c>
      <c r="N204" s="21">
        <f>IFERROR((C204-VLOOKUP(B204,crm_orders!$A:$S,2,FALSE))*24,0)</f>
        <v>240</v>
      </c>
      <c r="O204" s="19" t="str">
        <f>IFERROR(VLOOKUP(B204,crm_orders!$A:$S,3,FALSE),"")</f>
        <v>DSP0051</v>
      </c>
      <c r="P204" s="19" t="str">
        <f>IFERROR(VLOOKUP(B204,crm_orders!$A:$S,5,FALSE),"")</f>
        <v>CA</v>
      </c>
      <c r="Q204" s="19" t="str">
        <f>IFERROR(VLOOKUP(B204,crm_orders!$A:$S,7,FALSE),"")</f>
        <v>Wholesale</v>
      </c>
      <c r="R204" s="19" t="str">
        <f>IFERROR(VLOOKUP(B204,crm_orders!$A:$S,8,FALSE),"")</f>
        <v>SKU0017</v>
      </c>
    </row>
    <row r="205" ht="15.75" customHeight="1">
      <c r="A205" s="25" t="s">
        <v>2663</v>
      </c>
      <c r="B205" s="25" t="s">
        <v>590</v>
      </c>
      <c r="C205" s="26">
        <v>46062.0</v>
      </c>
      <c r="D205" s="25" t="s">
        <v>2260</v>
      </c>
      <c r="E205" s="25" t="s">
        <v>2286</v>
      </c>
      <c r="F205" s="25" t="s">
        <v>2664</v>
      </c>
      <c r="G205" s="29">
        <v>12.0</v>
      </c>
      <c r="H205" s="29">
        <v>12.0</v>
      </c>
      <c r="I205" s="29">
        <v>0.0</v>
      </c>
      <c r="J205" s="25" t="s">
        <v>2246</v>
      </c>
      <c r="K205" s="25" t="s">
        <v>2247</v>
      </c>
      <c r="L205" s="25" t="s">
        <v>2246</v>
      </c>
      <c r="M205" s="25" t="s">
        <v>2248</v>
      </c>
      <c r="N205" s="29">
        <f>IFERROR((C205-VLOOKUP(B205,crm_orders!$A:$S,2,FALSE))*24,0)</f>
        <v>96</v>
      </c>
      <c r="O205" s="27" t="str">
        <f>IFERROR(VLOOKUP(B205,crm_orders!$A:$S,3,FALSE),"")</f>
        <v>DSP0079</v>
      </c>
      <c r="P205" s="27" t="str">
        <f>IFERROR(VLOOKUP(B205,crm_orders!$A:$S,5,FALSE),"")</f>
        <v>IL</v>
      </c>
      <c r="Q205" s="27" t="str">
        <f>IFERROR(VLOOKUP(B205,crm_orders!$A:$S,7,FALSE),"")</f>
        <v>Wholesale</v>
      </c>
      <c r="R205" s="27" t="str">
        <f>IFERROR(VLOOKUP(B205,crm_orders!$A:$S,8,FALSE),"")</f>
        <v>SKU0005</v>
      </c>
    </row>
    <row r="206" ht="15.75" customHeight="1">
      <c r="A206" s="17" t="s">
        <v>2665</v>
      </c>
      <c r="B206" s="17" t="s">
        <v>757</v>
      </c>
      <c r="C206" s="18">
        <v>46067.0</v>
      </c>
      <c r="D206" s="17" t="s">
        <v>2254</v>
      </c>
      <c r="E206" s="17" t="s">
        <v>2251</v>
      </c>
      <c r="F206" s="17" t="s">
        <v>2666</v>
      </c>
      <c r="G206" s="21">
        <v>48.0</v>
      </c>
      <c r="H206" s="21">
        <v>48.0</v>
      </c>
      <c r="I206" s="21">
        <v>0.0</v>
      </c>
      <c r="J206" s="17" t="s">
        <v>2246</v>
      </c>
      <c r="K206" s="17" t="s">
        <v>2247</v>
      </c>
      <c r="L206" s="17" t="s">
        <v>2246</v>
      </c>
      <c r="M206" s="17" t="s">
        <v>2248</v>
      </c>
      <c r="N206" s="21">
        <f>IFERROR((C206-VLOOKUP(B206,crm_orders!$A:$S,2,FALSE))*24,0)</f>
        <v>120</v>
      </c>
      <c r="O206" s="19" t="str">
        <f>IFERROR(VLOOKUP(B206,crm_orders!$A:$S,3,FALSE),"")</f>
        <v>DSP0082</v>
      </c>
      <c r="P206" s="19" t="str">
        <f>IFERROR(VLOOKUP(B206,crm_orders!$A:$S,5,FALSE),"")</f>
        <v>NM</v>
      </c>
      <c r="Q206" s="19" t="str">
        <f>IFERROR(VLOOKUP(B206,crm_orders!$A:$S,7,FALSE),"")</f>
        <v>Wholesale</v>
      </c>
      <c r="R206" s="19" t="str">
        <f>IFERROR(VLOOKUP(B206,crm_orders!$A:$S,8,FALSE),"")</f>
        <v>SKU0003</v>
      </c>
    </row>
    <row r="207" ht="15.75" customHeight="1">
      <c r="A207" s="25" t="s">
        <v>2667</v>
      </c>
      <c r="B207" s="25" t="s">
        <v>591</v>
      </c>
      <c r="C207" s="26">
        <v>46033.0</v>
      </c>
      <c r="D207" s="25" t="s">
        <v>2243</v>
      </c>
      <c r="E207" s="25" t="s">
        <v>2261</v>
      </c>
      <c r="F207" s="25" t="s">
        <v>2668</v>
      </c>
      <c r="G207" s="29">
        <v>30.0</v>
      </c>
      <c r="H207" s="29">
        <v>30.0</v>
      </c>
      <c r="I207" s="29">
        <v>0.0</v>
      </c>
      <c r="J207" s="25" t="s">
        <v>2246</v>
      </c>
      <c r="K207" s="25" t="s">
        <v>2247</v>
      </c>
      <c r="L207" s="25" t="s">
        <v>2246</v>
      </c>
      <c r="M207" s="25" t="s">
        <v>2248</v>
      </c>
      <c r="N207" s="29">
        <f>IFERROR((C207-VLOOKUP(B207,crm_orders!$A:$S,2,FALSE))*24,0)</f>
        <v>72</v>
      </c>
      <c r="O207" s="27" t="str">
        <f>IFERROR(VLOOKUP(B207,crm_orders!$A:$S,3,FALSE),"")</f>
        <v>DSP0079</v>
      </c>
      <c r="P207" s="27" t="str">
        <f>IFERROR(VLOOKUP(B207,crm_orders!$A:$S,5,FALSE),"")</f>
        <v>IL</v>
      </c>
      <c r="Q207" s="27" t="str">
        <f>IFERROR(VLOOKUP(B207,crm_orders!$A:$S,7,FALSE),"")</f>
        <v>Wholesale</v>
      </c>
      <c r="R207" s="27" t="str">
        <f>IFERROR(VLOOKUP(B207,crm_orders!$A:$S,8,FALSE),"")</f>
        <v>SKU0020</v>
      </c>
    </row>
    <row r="208" ht="15.75" customHeight="1">
      <c r="A208" s="17" t="s">
        <v>2669</v>
      </c>
      <c r="B208" s="17" t="s">
        <v>987</v>
      </c>
      <c r="C208" s="18">
        <v>46074.0</v>
      </c>
      <c r="D208" s="17" t="s">
        <v>2269</v>
      </c>
      <c r="E208" s="17" t="s">
        <v>2286</v>
      </c>
      <c r="F208" s="17" t="s">
        <v>2670</v>
      </c>
      <c r="G208" s="21">
        <v>72.0</v>
      </c>
      <c r="H208" s="21">
        <v>72.0</v>
      </c>
      <c r="I208" s="21">
        <v>0.0</v>
      </c>
      <c r="J208" s="17" t="s">
        <v>2246</v>
      </c>
      <c r="K208" s="17" t="s">
        <v>2247</v>
      </c>
      <c r="L208" s="17" t="s">
        <v>2246</v>
      </c>
      <c r="M208" s="17" t="s">
        <v>2248</v>
      </c>
      <c r="N208" s="21">
        <f>IFERROR((C208-VLOOKUP(B208,crm_orders!$A:$S,2,FALSE))*24,0)</f>
        <v>168</v>
      </c>
      <c r="O208" s="19" t="str">
        <f>IFERROR(VLOOKUP(B208,crm_orders!$A:$S,3,FALSE),"")</f>
        <v>DSP0021</v>
      </c>
      <c r="P208" s="19" t="str">
        <f>IFERROR(VLOOKUP(B208,crm_orders!$A:$S,5,FALSE),"")</f>
        <v>MO</v>
      </c>
      <c r="Q208" s="19" t="str">
        <f>IFERROR(VLOOKUP(B208,crm_orders!$A:$S,7,FALSE),"")</f>
        <v>Wholesale</v>
      </c>
      <c r="R208" s="19" t="str">
        <f>IFERROR(VLOOKUP(B208,crm_orders!$A:$S,8,FALSE),"")</f>
        <v>SKU0016</v>
      </c>
    </row>
    <row r="209" ht="15.75" customHeight="1">
      <c r="A209" s="25" t="s">
        <v>2671</v>
      </c>
      <c r="B209" s="25" t="s">
        <v>481</v>
      </c>
      <c r="C209" s="26">
        <v>46087.0</v>
      </c>
      <c r="D209" s="25" t="s">
        <v>2243</v>
      </c>
      <c r="E209" s="25" t="s">
        <v>2286</v>
      </c>
      <c r="F209" s="25" t="s">
        <v>2672</v>
      </c>
      <c r="G209" s="29">
        <v>72.0</v>
      </c>
      <c r="H209" s="29">
        <v>72.0</v>
      </c>
      <c r="I209" s="29">
        <v>0.0</v>
      </c>
      <c r="J209" s="25" t="s">
        <v>2247</v>
      </c>
      <c r="K209" s="25" t="s">
        <v>2247</v>
      </c>
      <c r="L209" s="25" t="s">
        <v>2247</v>
      </c>
      <c r="M209" s="25" t="s">
        <v>2248</v>
      </c>
      <c r="N209" s="29">
        <f>IFERROR((C209-VLOOKUP(B209,crm_orders!$A:$S,2,FALSE))*24,0)</f>
        <v>144</v>
      </c>
      <c r="O209" s="27" t="str">
        <f>IFERROR(VLOOKUP(B209,crm_orders!$A:$S,3,FALSE),"")</f>
        <v>DSP0010</v>
      </c>
      <c r="P209" s="27" t="str">
        <f>IFERROR(VLOOKUP(B209,crm_orders!$A:$S,5,FALSE),"")</f>
        <v>NM</v>
      </c>
      <c r="Q209" s="27" t="str">
        <f>IFERROR(VLOOKUP(B209,crm_orders!$A:$S,7,FALSE),"")</f>
        <v>Wholesale</v>
      </c>
      <c r="R209" s="27" t="str">
        <f>IFERROR(VLOOKUP(B209,crm_orders!$A:$S,8,FALSE),"")</f>
        <v>SKU0016</v>
      </c>
    </row>
    <row r="210" ht="15.75" customHeight="1">
      <c r="A210" s="17" t="s">
        <v>2673</v>
      </c>
      <c r="B210" s="17" t="s">
        <v>335</v>
      </c>
      <c r="C210" s="18">
        <v>46112.0</v>
      </c>
      <c r="D210" s="17" t="s">
        <v>2254</v>
      </c>
      <c r="E210" s="17" t="s">
        <v>2286</v>
      </c>
      <c r="F210" s="17" t="s">
        <v>2674</v>
      </c>
      <c r="G210" s="21">
        <v>12.0</v>
      </c>
      <c r="H210" s="21">
        <v>12.0</v>
      </c>
      <c r="I210" s="21">
        <v>0.0</v>
      </c>
      <c r="J210" s="17" t="s">
        <v>2246</v>
      </c>
      <c r="K210" s="17" t="s">
        <v>2247</v>
      </c>
      <c r="L210" s="17" t="s">
        <v>2246</v>
      </c>
      <c r="M210" s="17" t="s">
        <v>2248</v>
      </c>
      <c r="N210" s="21">
        <f>IFERROR((C210-VLOOKUP(B210,crm_orders!$A:$S,2,FALSE))*24,0)</f>
        <v>72</v>
      </c>
      <c r="O210" s="19" t="str">
        <f>IFERROR(VLOOKUP(B210,crm_orders!$A:$S,3,FALSE),"")</f>
        <v>DSP0115</v>
      </c>
      <c r="P210" s="19" t="str">
        <f>IFERROR(VLOOKUP(B210,crm_orders!$A:$S,5,FALSE),"")</f>
        <v>IL</v>
      </c>
      <c r="Q210" s="19" t="str">
        <f>IFERROR(VLOOKUP(B210,crm_orders!$A:$S,7,FALSE),"")</f>
        <v>Wholesale</v>
      </c>
      <c r="R210" s="19" t="str">
        <f>IFERROR(VLOOKUP(B210,crm_orders!$A:$S,8,FALSE),"")</f>
        <v>SKU0019</v>
      </c>
    </row>
    <row r="211" ht="15.75" customHeight="1">
      <c r="A211" s="25" t="s">
        <v>2675</v>
      </c>
      <c r="B211" s="25" t="s">
        <v>990</v>
      </c>
      <c r="C211" s="26">
        <v>46053.0</v>
      </c>
      <c r="D211" s="25" t="s">
        <v>2260</v>
      </c>
      <c r="E211" s="25" t="s">
        <v>2251</v>
      </c>
      <c r="F211" s="25" t="s">
        <v>2676</v>
      </c>
      <c r="G211" s="29">
        <v>6.0</v>
      </c>
      <c r="H211" s="29">
        <v>6.0</v>
      </c>
      <c r="I211" s="29">
        <v>0.0</v>
      </c>
      <c r="J211" s="25" t="s">
        <v>2246</v>
      </c>
      <c r="K211" s="25" t="s">
        <v>2247</v>
      </c>
      <c r="L211" s="25" t="s">
        <v>2246</v>
      </c>
      <c r="M211" s="25" t="s">
        <v>2248</v>
      </c>
      <c r="N211" s="29">
        <f>IFERROR((C211-VLOOKUP(B211,crm_orders!$A:$S,2,FALSE))*24,0)</f>
        <v>192</v>
      </c>
      <c r="O211" s="27" t="str">
        <f>IFERROR(VLOOKUP(B211,crm_orders!$A:$S,3,FALSE),"")</f>
        <v>DSP0050</v>
      </c>
      <c r="P211" s="27" t="str">
        <f>IFERROR(VLOOKUP(B211,crm_orders!$A:$S,5,FALSE),"")</f>
        <v>WA</v>
      </c>
      <c r="Q211" s="27" t="str">
        <f>IFERROR(VLOOKUP(B211,crm_orders!$A:$S,7,FALSE),"")</f>
        <v>Retail</v>
      </c>
      <c r="R211" s="27" t="str">
        <f>IFERROR(VLOOKUP(B211,crm_orders!$A:$S,8,FALSE),"")</f>
        <v>SKU0005</v>
      </c>
    </row>
    <row r="212" ht="15.75" customHeight="1">
      <c r="A212" s="17" t="s">
        <v>2677</v>
      </c>
      <c r="B212" s="17" t="s">
        <v>482</v>
      </c>
      <c r="C212" s="18">
        <v>46059.0</v>
      </c>
      <c r="D212" s="17" t="s">
        <v>2254</v>
      </c>
      <c r="E212" s="17" t="s">
        <v>2261</v>
      </c>
      <c r="F212" s="17" t="s">
        <v>2678</v>
      </c>
      <c r="G212" s="21">
        <v>12.0</v>
      </c>
      <c r="H212" s="21">
        <v>12.0</v>
      </c>
      <c r="I212" s="21">
        <v>0.0</v>
      </c>
      <c r="J212" s="17" t="s">
        <v>2246</v>
      </c>
      <c r="K212" s="17" t="s">
        <v>2247</v>
      </c>
      <c r="L212" s="17" t="s">
        <v>2246</v>
      </c>
      <c r="M212" s="17" t="s">
        <v>2248</v>
      </c>
      <c r="N212" s="21">
        <f>IFERROR((C212-VLOOKUP(B212,crm_orders!$A:$S,2,FALSE))*24,0)</f>
        <v>48</v>
      </c>
      <c r="O212" s="19" t="str">
        <f>IFERROR(VLOOKUP(B212,crm_orders!$A:$S,3,FALSE),"")</f>
        <v>DSP0118</v>
      </c>
      <c r="P212" s="19" t="str">
        <f>IFERROR(VLOOKUP(B212,crm_orders!$A:$S,5,FALSE),"")</f>
        <v>NM</v>
      </c>
      <c r="Q212" s="19" t="str">
        <f>IFERROR(VLOOKUP(B212,crm_orders!$A:$S,7,FALSE),"")</f>
        <v>Retail</v>
      </c>
      <c r="R212" s="19" t="str">
        <f>IFERROR(VLOOKUP(B212,crm_orders!$A:$S,8,FALSE),"")</f>
        <v>SKU0011</v>
      </c>
    </row>
    <row r="213" ht="15.75" customHeight="1">
      <c r="A213" s="25" t="s">
        <v>2679</v>
      </c>
      <c r="B213" s="25" t="s">
        <v>483</v>
      </c>
      <c r="C213" s="26">
        <v>46034.0</v>
      </c>
      <c r="D213" s="25" t="s">
        <v>2269</v>
      </c>
      <c r="E213" s="25" t="s">
        <v>2255</v>
      </c>
      <c r="F213" s="25" t="s">
        <v>2680</v>
      </c>
      <c r="G213" s="29">
        <v>60.0</v>
      </c>
      <c r="H213" s="29">
        <v>36.0</v>
      </c>
      <c r="I213" s="29">
        <v>24.0</v>
      </c>
      <c r="J213" s="25" t="s">
        <v>2246</v>
      </c>
      <c r="K213" s="25" t="s">
        <v>2246</v>
      </c>
      <c r="L213" s="25" t="s">
        <v>2246</v>
      </c>
      <c r="M213" s="25" t="s">
        <v>2267</v>
      </c>
      <c r="N213" s="29">
        <f>IFERROR((C213-VLOOKUP(B213,crm_orders!$A:$S,2,FALSE))*24,0)</f>
        <v>72</v>
      </c>
      <c r="O213" s="27" t="str">
        <f>IFERROR(VLOOKUP(B213,crm_orders!$A:$S,3,FALSE),"")</f>
        <v>DSP0006</v>
      </c>
      <c r="P213" s="27" t="str">
        <f>IFERROR(VLOOKUP(B213,crm_orders!$A:$S,5,FALSE),"")</f>
        <v>NV</v>
      </c>
      <c r="Q213" s="27" t="str">
        <f>IFERROR(VLOOKUP(B213,crm_orders!$A:$S,7,FALSE),"")</f>
        <v>Wholesale</v>
      </c>
      <c r="R213" s="27" t="str">
        <f>IFERROR(VLOOKUP(B213,crm_orders!$A:$S,8,FALSE),"")</f>
        <v>SKU0013</v>
      </c>
    </row>
    <row r="214" ht="15.75" customHeight="1">
      <c r="A214" s="17" t="s">
        <v>2681</v>
      </c>
      <c r="B214" s="17" t="s">
        <v>592</v>
      </c>
      <c r="C214" s="18">
        <v>46106.0</v>
      </c>
      <c r="D214" s="17" t="s">
        <v>2254</v>
      </c>
      <c r="E214" s="17" t="s">
        <v>2255</v>
      </c>
      <c r="F214" s="17" t="s">
        <v>2682</v>
      </c>
      <c r="G214" s="21">
        <v>30.0</v>
      </c>
      <c r="H214" s="21">
        <v>30.0</v>
      </c>
      <c r="I214" s="21">
        <v>0.0</v>
      </c>
      <c r="J214" s="17" t="s">
        <v>2246</v>
      </c>
      <c r="K214" s="17" t="s">
        <v>2247</v>
      </c>
      <c r="L214" s="17" t="s">
        <v>2246</v>
      </c>
      <c r="M214" s="17" t="s">
        <v>2248</v>
      </c>
      <c r="N214" s="21">
        <f>IFERROR((C214-VLOOKUP(B214,crm_orders!$A:$S,2,FALSE))*24,0)</f>
        <v>264</v>
      </c>
      <c r="O214" s="19" t="str">
        <f>IFERROR(VLOOKUP(B214,crm_orders!$A:$S,3,FALSE),"")</f>
        <v>DSP0026</v>
      </c>
      <c r="P214" s="19" t="str">
        <f>IFERROR(VLOOKUP(B214,crm_orders!$A:$S,5,FALSE),"")</f>
        <v>WA</v>
      </c>
      <c r="Q214" s="19" t="str">
        <f>IFERROR(VLOOKUP(B214,crm_orders!$A:$S,7,FALSE),"")</f>
        <v>Wholesale</v>
      </c>
      <c r="R214" s="19" t="str">
        <f>IFERROR(VLOOKUP(B214,crm_orders!$A:$S,8,FALSE),"")</f>
        <v>SKU0010</v>
      </c>
    </row>
    <row r="215" ht="15.75" customHeight="1">
      <c r="A215" s="25" t="s">
        <v>2683</v>
      </c>
      <c r="B215" s="25" t="s">
        <v>103</v>
      </c>
      <c r="C215" s="26">
        <v>46130.0</v>
      </c>
      <c r="D215" s="25" t="s">
        <v>2250</v>
      </c>
      <c r="E215" s="25" t="s">
        <v>2255</v>
      </c>
      <c r="F215" s="25" t="s">
        <v>2684</v>
      </c>
      <c r="G215" s="29">
        <v>24.0</v>
      </c>
      <c r="H215" s="29">
        <v>6.0</v>
      </c>
      <c r="I215" s="29">
        <v>18.0</v>
      </c>
      <c r="J215" s="25" t="s">
        <v>2246</v>
      </c>
      <c r="K215" s="25" t="s">
        <v>2246</v>
      </c>
      <c r="L215" s="25" t="s">
        <v>2246</v>
      </c>
      <c r="M215" s="25" t="s">
        <v>2267</v>
      </c>
      <c r="N215" s="29">
        <f>IFERROR((C215-VLOOKUP(B215,crm_orders!$A:$S,2,FALSE))*24,0)</f>
        <v>240</v>
      </c>
      <c r="O215" s="27" t="str">
        <f>IFERROR(VLOOKUP(B215,crm_orders!$A:$S,3,FALSE),"")</f>
        <v>DSP0094</v>
      </c>
      <c r="P215" s="27" t="str">
        <f>IFERROR(VLOOKUP(B215,crm_orders!$A:$S,5,FALSE),"")</f>
        <v>NM</v>
      </c>
      <c r="Q215" s="27" t="str">
        <f>IFERROR(VLOOKUP(B215,crm_orders!$A:$S,7,FALSE),"")</f>
        <v>Wholesale</v>
      </c>
      <c r="R215" s="27" t="str">
        <f>IFERROR(VLOOKUP(B215,crm_orders!$A:$S,8,FALSE),"")</f>
        <v>SKU0018</v>
      </c>
    </row>
    <row r="216" ht="15.75" customHeight="1">
      <c r="A216" s="17" t="s">
        <v>2685</v>
      </c>
      <c r="B216" s="17" t="s">
        <v>758</v>
      </c>
      <c r="C216" s="18">
        <v>46088.0</v>
      </c>
      <c r="D216" s="17" t="s">
        <v>2260</v>
      </c>
      <c r="E216" s="17" t="s">
        <v>2255</v>
      </c>
      <c r="F216" s="17" t="s">
        <v>2686</v>
      </c>
      <c r="G216" s="21">
        <v>6.0</v>
      </c>
      <c r="H216" s="21">
        <v>6.0</v>
      </c>
      <c r="I216" s="21">
        <v>0.0</v>
      </c>
      <c r="J216" s="17" t="s">
        <v>2246</v>
      </c>
      <c r="K216" s="17" t="s">
        <v>2247</v>
      </c>
      <c r="L216" s="17" t="s">
        <v>2246</v>
      </c>
      <c r="M216" s="17" t="s">
        <v>2248</v>
      </c>
      <c r="N216" s="21">
        <f>IFERROR((C216-VLOOKUP(B216,crm_orders!$A:$S,2,FALSE))*24,0)</f>
        <v>72</v>
      </c>
      <c r="O216" s="19" t="str">
        <f>IFERROR(VLOOKUP(B216,crm_orders!$A:$S,3,FALSE),"")</f>
        <v>DSP0031</v>
      </c>
      <c r="P216" s="19" t="str">
        <f>IFERROR(VLOOKUP(B216,crm_orders!$A:$S,5,FALSE),"")</f>
        <v>IL</v>
      </c>
      <c r="Q216" s="19" t="str">
        <f>IFERROR(VLOOKUP(B216,crm_orders!$A:$S,7,FALSE),"")</f>
        <v>Wholesale</v>
      </c>
      <c r="R216" s="19" t="str">
        <f>IFERROR(VLOOKUP(B216,crm_orders!$A:$S,8,FALSE),"")</f>
        <v>SKU0014</v>
      </c>
    </row>
    <row r="217" ht="15.75" customHeight="1">
      <c r="A217" s="25" t="s">
        <v>2687</v>
      </c>
      <c r="B217" s="25" t="s">
        <v>1097</v>
      </c>
      <c r="C217" s="26">
        <v>46124.0</v>
      </c>
      <c r="D217" s="25" t="s">
        <v>2254</v>
      </c>
      <c r="E217" s="25" t="s">
        <v>2286</v>
      </c>
      <c r="F217" s="25" t="s">
        <v>2688</v>
      </c>
      <c r="G217" s="29">
        <v>36.0</v>
      </c>
      <c r="H217" s="29">
        <v>36.0</v>
      </c>
      <c r="I217" s="29">
        <v>0.0</v>
      </c>
      <c r="J217" s="25" t="s">
        <v>2246</v>
      </c>
      <c r="K217" s="25" t="s">
        <v>2247</v>
      </c>
      <c r="L217" s="25" t="s">
        <v>2246</v>
      </c>
      <c r="M217" s="25" t="s">
        <v>2248</v>
      </c>
      <c r="N217" s="29">
        <f>IFERROR((C217-VLOOKUP(B217,crm_orders!$A:$S,2,FALSE))*24,0)</f>
        <v>288</v>
      </c>
      <c r="O217" s="27" t="str">
        <f>IFERROR(VLOOKUP(B217,crm_orders!$A:$S,3,FALSE),"")</f>
        <v>DSP0067</v>
      </c>
      <c r="P217" s="27" t="str">
        <f>IFERROR(VLOOKUP(B217,crm_orders!$A:$S,5,FALSE),"")</f>
        <v>IL</v>
      </c>
      <c r="Q217" s="27" t="str">
        <f>IFERROR(VLOOKUP(B217,crm_orders!$A:$S,7,FALSE),"")</f>
        <v>Wholesale</v>
      </c>
      <c r="R217" s="27" t="str">
        <f>IFERROR(VLOOKUP(B217,crm_orders!$A:$S,8,FALSE),"")</f>
        <v>SKU0014</v>
      </c>
    </row>
    <row r="218" ht="15.75" customHeight="1">
      <c r="A218" s="17" t="s">
        <v>2689</v>
      </c>
      <c r="B218" s="17" t="s">
        <v>484</v>
      </c>
      <c r="C218" s="18">
        <v>46105.0</v>
      </c>
      <c r="D218" s="17" t="s">
        <v>2243</v>
      </c>
      <c r="E218" s="17" t="s">
        <v>2244</v>
      </c>
      <c r="F218" s="17" t="s">
        <v>2690</v>
      </c>
      <c r="G218" s="21">
        <v>6.0</v>
      </c>
      <c r="H218" s="21">
        <v>6.0</v>
      </c>
      <c r="I218" s="21">
        <v>0.0</v>
      </c>
      <c r="J218" s="17" t="s">
        <v>2246</v>
      </c>
      <c r="K218" s="17" t="s">
        <v>2247</v>
      </c>
      <c r="L218" s="17" t="s">
        <v>2246</v>
      </c>
      <c r="M218" s="17" t="s">
        <v>2248</v>
      </c>
      <c r="N218" s="21">
        <f>IFERROR((C218-VLOOKUP(B218,crm_orders!$A:$S,2,FALSE))*24,0)</f>
        <v>240</v>
      </c>
      <c r="O218" s="19" t="str">
        <f>IFERROR(VLOOKUP(B218,crm_orders!$A:$S,3,FALSE),"")</f>
        <v>DSP0010</v>
      </c>
      <c r="P218" s="19" t="str">
        <f>IFERROR(VLOOKUP(B218,crm_orders!$A:$S,5,FALSE),"")</f>
        <v>NM</v>
      </c>
      <c r="Q218" s="19" t="str">
        <f>IFERROR(VLOOKUP(B218,crm_orders!$A:$S,7,FALSE),"")</f>
        <v>Wholesale</v>
      </c>
      <c r="R218" s="19" t="str">
        <f>IFERROR(VLOOKUP(B218,crm_orders!$A:$S,8,FALSE),"")</f>
        <v>SKU0019</v>
      </c>
    </row>
    <row r="219" ht="15.75" customHeight="1">
      <c r="A219" s="25" t="s">
        <v>2691</v>
      </c>
      <c r="B219" s="25" t="s">
        <v>485</v>
      </c>
      <c r="C219" s="26">
        <v>46074.0</v>
      </c>
      <c r="D219" s="25" t="s">
        <v>2260</v>
      </c>
      <c r="E219" s="25" t="s">
        <v>2244</v>
      </c>
      <c r="F219" s="25" t="s">
        <v>2692</v>
      </c>
      <c r="G219" s="29">
        <v>48.0</v>
      </c>
      <c r="H219" s="29">
        <v>48.0</v>
      </c>
      <c r="I219" s="29">
        <v>0.0</v>
      </c>
      <c r="J219" s="25" t="s">
        <v>2246</v>
      </c>
      <c r="K219" s="25" t="s">
        <v>2247</v>
      </c>
      <c r="L219" s="25" t="s">
        <v>2246</v>
      </c>
      <c r="M219" s="25" t="s">
        <v>2248</v>
      </c>
      <c r="N219" s="29">
        <f>IFERROR((C219-VLOOKUP(B219,crm_orders!$A:$S,2,FALSE))*24,0)</f>
        <v>264</v>
      </c>
      <c r="O219" s="27" t="str">
        <f>IFERROR(VLOOKUP(B219,crm_orders!$A:$S,3,FALSE),"")</f>
        <v>DSP0058</v>
      </c>
      <c r="P219" s="27" t="str">
        <f>IFERROR(VLOOKUP(B219,crm_orders!$A:$S,5,FALSE),"")</f>
        <v>NM</v>
      </c>
      <c r="Q219" s="27" t="str">
        <f>IFERROR(VLOOKUP(B219,crm_orders!$A:$S,7,FALSE),"")</f>
        <v>Retail</v>
      </c>
      <c r="R219" s="27" t="str">
        <f>IFERROR(VLOOKUP(B219,crm_orders!$A:$S,8,FALSE),"")</f>
        <v>SKU0015</v>
      </c>
    </row>
    <row r="220" ht="15.75" customHeight="1">
      <c r="A220" s="17" t="s">
        <v>2693</v>
      </c>
      <c r="B220" s="17" t="s">
        <v>1098</v>
      </c>
      <c r="C220" s="18">
        <v>46049.0</v>
      </c>
      <c r="D220" s="17" t="s">
        <v>2254</v>
      </c>
      <c r="E220" s="17" t="s">
        <v>2255</v>
      </c>
      <c r="F220" s="17" t="s">
        <v>2694</v>
      </c>
      <c r="G220" s="21">
        <v>120.0</v>
      </c>
      <c r="H220" s="21">
        <v>120.0</v>
      </c>
      <c r="I220" s="21">
        <v>0.0</v>
      </c>
      <c r="J220" s="17" t="s">
        <v>2246</v>
      </c>
      <c r="K220" s="17" t="s">
        <v>2247</v>
      </c>
      <c r="L220" s="17" t="s">
        <v>2246</v>
      </c>
      <c r="M220" s="17" t="s">
        <v>2248</v>
      </c>
      <c r="N220" s="21">
        <f>IFERROR((C220-VLOOKUP(B220,crm_orders!$A:$S,2,FALSE))*24,0)</f>
        <v>144</v>
      </c>
      <c r="O220" s="19" t="str">
        <f>IFERROR(VLOOKUP(B220,crm_orders!$A:$S,3,FALSE),"")</f>
        <v>DSP0016</v>
      </c>
      <c r="P220" s="19" t="str">
        <f>IFERROR(VLOOKUP(B220,crm_orders!$A:$S,5,FALSE),"")</f>
        <v>CO</v>
      </c>
      <c r="Q220" s="19" t="str">
        <f>IFERROR(VLOOKUP(B220,crm_orders!$A:$S,7,FALSE),"")</f>
        <v>Wholesale</v>
      </c>
      <c r="R220" s="19" t="str">
        <f>IFERROR(VLOOKUP(B220,crm_orders!$A:$S,8,FALSE),"")</f>
        <v>SKU0003</v>
      </c>
    </row>
    <row r="221" ht="15.75" customHeight="1">
      <c r="A221" s="25" t="s">
        <v>2695</v>
      </c>
      <c r="B221" s="25" t="s">
        <v>203</v>
      </c>
      <c r="C221" s="26">
        <v>46073.0</v>
      </c>
      <c r="D221" s="25" t="s">
        <v>2254</v>
      </c>
      <c r="E221" s="25" t="s">
        <v>2251</v>
      </c>
      <c r="F221" s="25" t="s">
        <v>2696</v>
      </c>
      <c r="G221" s="29">
        <v>48.0</v>
      </c>
      <c r="H221" s="29">
        <v>48.0</v>
      </c>
      <c r="I221" s="29">
        <v>0.0</v>
      </c>
      <c r="J221" s="25" t="s">
        <v>2246</v>
      </c>
      <c r="K221" s="25" t="s">
        <v>2247</v>
      </c>
      <c r="L221" s="25" t="s">
        <v>2246</v>
      </c>
      <c r="M221" s="25" t="s">
        <v>2248</v>
      </c>
      <c r="N221" s="29">
        <f>IFERROR((C221-VLOOKUP(B221,crm_orders!$A:$S,2,FALSE))*24,0)</f>
        <v>120</v>
      </c>
      <c r="O221" s="27" t="str">
        <f>IFERROR(VLOOKUP(B221,crm_orders!$A:$S,3,FALSE),"")</f>
        <v>DSP0012</v>
      </c>
      <c r="P221" s="27" t="str">
        <f>IFERROR(VLOOKUP(B221,crm_orders!$A:$S,5,FALSE),"")</f>
        <v>OK</v>
      </c>
      <c r="Q221" s="27" t="str">
        <f>IFERROR(VLOOKUP(B221,crm_orders!$A:$S,7,FALSE),"")</f>
        <v>Wholesale</v>
      </c>
      <c r="R221" s="27" t="str">
        <f>IFERROR(VLOOKUP(B221,crm_orders!$A:$S,8,FALSE),"")</f>
        <v>SKU0008</v>
      </c>
    </row>
    <row r="222" ht="15.75" customHeight="1">
      <c r="A222" s="17" t="s">
        <v>2697</v>
      </c>
      <c r="B222" s="17" t="s">
        <v>760</v>
      </c>
      <c r="C222" s="18">
        <v>46027.0</v>
      </c>
      <c r="D222" s="17" t="s">
        <v>2243</v>
      </c>
      <c r="E222" s="17" t="s">
        <v>2251</v>
      </c>
      <c r="F222" s="17" t="s">
        <v>2698</v>
      </c>
      <c r="G222" s="21">
        <v>12.0</v>
      </c>
      <c r="H222" s="21">
        <v>12.0</v>
      </c>
      <c r="I222" s="21">
        <v>0.0</v>
      </c>
      <c r="J222" s="17" t="s">
        <v>2247</v>
      </c>
      <c r="K222" s="17" t="s">
        <v>2247</v>
      </c>
      <c r="L222" s="17" t="s">
        <v>2247</v>
      </c>
      <c r="M222" s="17" t="s">
        <v>2248</v>
      </c>
      <c r="N222" s="21">
        <f>IFERROR((C222-VLOOKUP(B222,crm_orders!$A:$S,2,FALSE))*24,0)</f>
        <v>48</v>
      </c>
      <c r="O222" s="19" t="str">
        <f>IFERROR(VLOOKUP(B222,crm_orders!$A:$S,3,FALSE),"")</f>
        <v>DSP0105</v>
      </c>
      <c r="P222" s="19" t="str">
        <f>IFERROR(VLOOKUP(B222,crm_orders!$A:$S,5,FALSE),"")</f>
        <v>MO</v>
      </c>
      <c r="Q222" s="19" t="str">
        <f>IFERROR(VLOOKUP(B222,crm_orders!$A:$S,7,FALSE),"")</f>
        <v>Distributor</v>
      </c>
      <c r="R222" s="19" t="str">
        <f>IFERROR(VLOOKUP(B222,crm_orders!$A:$S,8,FALSE),"")</f>
        <v>SKU0003</v>
      </c>
    </row>
    <row r="223" ht="15.75" customHeight="1">
      <c r="A223" s="25" t="s">
        <v>2699</v>
      </c>
      <c r="B223" s="25" t="s">
        <v>336</v>
      </c>
      <c r="C223" s="26">
        <v>46034.0</v>
      </c>
      <c r="D223" s="25" t="s">
        <v>2269</v>
      </c>
      <c r="E223" s="25" t="s">
        <v>2244</v>
      </c>
      <c r="F223" s="25" t="s">
        <v>2700</v>
      </c>
      <c r="G223" s="29">
        <v>60.0</v>
      </c>
      <c r="H223" s="29">
        <v>60.0</v>
      </c>
      <c r="I223" s="29">
        <v>0.0</v>
      </c>
      <c r="J223" s="25" t="s">
        <v>2247</v>
      </c>
      <c r="K223" s="25" t="s">
        <v>2247</v>
      </c>
      <c r="L223" s="25" t="s">
        <v>2247</v>
      </c>
      <c r="M223" s="25" t="s">
        <v>2248</v>
      </c>
      <c r="N223" s="29">
        <f>IFERROR((C223-VLOOKUP(B223,crm_orders!$A:$S,2,FALSE))*24,0)</f>
        <v>144</v>
      </c>
      <c r="O223" s="27" t="str">
        <f>IFERROR(VLOOKUP(B223,crm_orders!$A:$S,3,FALSE),"")</f>
        <v>DSP0043</v>
      </c>
      <c r="P223" s="27" t="str">
        <f>IFERROR(VLOOKUP(B223,crm_orders!$A:$S,5,FALSE),"")</f>
        <v>IL</v>
      </c>
      <c r="Q223" s="27" t="str">
        <f>IFERROR(VLOOKUP(B223,crm_orders!$A:$S,7,FALSE),"")</f>
        <v>Wholesale</v>
      </c>
      <c r="R223" s="27" t="str">
        <f>IFERROR(VLOOKUP(B223,crm_orders!$A:$S,8,FALSE),"")</f>
        <v>SKU0004</v>
      </c>
    </row>
    <row r="224" ht="15.75" customHeight="1">
      <c r="A224" s="17" t="s">
        <v>2701</v>
      </c>
      <c r="B224" s="17" t="s">
        <v>204</v>
      </c>
      <c r="C224" s="18">
        <v>46072.0</v>
      </c>
      <c r="D224" s="17" t="s">
        <v>2254</v>
      </c>
      <c r="E224" s="17" t="s">
        <v>2255</v>
      </c>
      <c r="F224" s="17" t="s">
        <v>2702</v>
      </c>
      <c r="G224" s="21">
        <v>24.0</v>
      </c>
      <c r="H224" s="21">
        <v>24.0</v>
      </c>
      <c r="I224" s="21">
        <v>0.0</v>
      </c>
      <c r="J224" s="17" t="s">
        <v>2246</v>
      </c>
      <c r="K224" s="17" t="s">
        <v>2247</v>
      </c>
      <c r="L224" s="17" t="s">
        <v>2246</v>
      </c>
      <c r="M224" s="17" t="s">
        <v>2248</v>
      </c>
      <c r="N224" s="21">
        <f>IFERROR((C224-VLOOKUP(B224,crm_orders!$A:$S,2,FALSE))*24,0)</f>
        <v>96</v>
      </c>
      <c r="O224" s="19" t="str">
        <f>IFERROR(VLOOKUP(B224,crm_orders!$A:$S,3,FALSE),"")</f>
        <v>DSP0055</v>
      </c>
      <c r="P224" s="19" t="str">
        <f>IFERROR(VLOOKUP(B224,crm_orders!$A:$S,5,FALSE),"")</f>
        <v>IL</v>
      </c>
      <c r="Q224" s="19" t="str">
        <f>IFERROR(VLOOKUP(B224,crm_orders!$A:$S,7,FALSE),"")</f>
        <v>Wholesale</v>
      </c>
      <c r="R224" s="19" t="str">
        <f>IFERROR(VLOOKUP(B224,crm_orders!$A:$S,8,FALSE),"")</f>
        <v>SKU0006</v>
      </c>
    </row>
    <row r="225" ht="15.75" customHeight="1">
      <c r="A225" s="25" t="s">
        <v>2703</v>
      </c>
      <c r="B225" s="25" t="s">
        <v>205</v>
      </c>
      <c r="C225" s="26">
        <v>46062.0</v>
      </c>
      <c r="D225" s="25" t="s">
        <v>2269</v>
      </c>
      <c r="E225" s="25" t="s">
        <v>2286</v>
      </c>
      <c r="F225" s="25" t="s">
        <v>2704</v>
      </c>
      <c r="G225" s="29">
        <v>120.0</v>
      </c>
      <c r="H225" s="29">
        <v>120.0</v>
      </c>
      <c r="I225" s="29">
        <v>0.0</v>
      </c>
      <c r="J225" s="25" t="s">
        <v>2246</v>
      </c>
      <c r="K225" s="25" t="s">
        <v>2247</v>
      </c>
      <c r="L225" s="25" t="s">
        <v>2246</v>
      </c>
      <c r="M225" s="25" t="s">
        <v>2248</v>
      </c>
      <c r="N225" s="29">
        <f>IFERROR((C225-VLOOKUP(B225,crm_orders!$A:$S,2,FALSE))*24,0)</f>
        <v>192</v>
      </c>
      <c r="O225" s="27" t="str">
        <f>IFERROR(VLOOKUP(B225,crm_orders!$A:$S,3,FALSE),"")</f>
        <v>DSP0114</v>
      </c>
      <c r="P225" s="27" t="str">
        <f>IFERROR(VLOOKUP(B225,crm_orders!$A:$S,5,FALSE),"")</f>
        <v>NV</v>
      </c>
      <c r="Q225" s="27" t="str">
        <f>IFERROR(VLOOKUP(B225,crm_orders!$A:$S,7,FALSE),"")</f>
        <v>Wholesale</v>
      </c>
      <c r="R225" s="27" t="str">
        <f>IFERROR(VLOOKUP(B225,crm_orders!$A:$S,8,FALSE),"")</f>
        <v>SKU0017</v>
      </c>
    </row>
    <row r="226" ht="15.75" customHeight="1">
      <c r="A226" s="17" t="s">
        <v>2705</v>
      </c>
      <c r="B226" s="17" t="s">
        <v>595</v>
      </c>
      <c r="C226" s="18">
        <v>46034.0</v>
      </c>
      <c r="D226" s="17" t="s">
        <v>2254</v>
      </c>
      <c r="E226" s="17" t="s">
        <v>2286</v>
      </c>
      <c r="F226" s="17" t="s">
        <v>2706</v>
      </c>
      <c r="G226" s="21">
        <v>60.0</v>
      </c>
      <c r="H226" s="21">
        <v>36.0</v>
      </c>
      <c r="I226" s="21">
        <v>24.0</v>
      </c>
      <c r="J226" s="17" t="s">
        <v>2246</v>
      </c>
      <c r="K226" s="17" t="s">
        <v>2246</v>
      </c>
      <c r="L226" s="17" t="s">
        <v>2246</v>
      </c>
      <c r="M226" s="17" t="s">
        <v>2267</v>
      </c>
      <c r="N226" s="21">
        <f>IFERROR((C226-VLOOKUP(B226,crm_orders!$A:$S,2,FALSE))*24,0)</f>
        <v>96</v>
      </c>
      <c r="O226" s="19" t="str">
        <f>IFERROR(VLOOKUP(B226,crm_orders!$A:$S,3,FALSE),"")</f>
        <v>DSP0104</v>
      </c>
      <c r="P226" s="19" t="str">
        <f>IFERROR(VLOOKUP(B226,crm_orders!$A:$S,5,FALSE),"")</f>
        <v>MI</v>
      </c>
      <c r="Q226" s="19" t="str">
        <f>IFERROR(VLOOKUP(B226,crm_orders!$A:$S,7,FALSE),"")</f>
        <v>Distributor</v>
      </c>
      <c r="R226" s="19" t="str">
        <f>IFERROR(VLOOKUP(B226,crm_orders!$A:$S,8,FALSE),"")</f>
        <v>SKU0009</v>
      </c>
    </row>
    <row r="227" ht="15.75" customHeight="1">
      <c r="A227" s="25" t="s">
        <v>2707</v>
      </c>
      <c r="B227" s="25" t="s">
        <v>992</v>
      </c>
      <c r="C227" s="26">
        <v>46143.0</v>
      </c>
      <c r="D227" s="25" t="s">
        <v>2250</v>
      </c>
      <c r="E227" s="25" t="s">
        <v>2255</v>
      </c>
      <c r="F227" s="25" t="s">
        <v>2708</v>
      </c>
      <c r="G227" s="29">
        <v>6.0</v>
      </c>
      <c r="H227" s="29">
        <v>6.0</v>
      </c>
      <c r="I227" s="29">
        <v>0.0</v>
      </c>
      <c r="J227" s="25" t="s">
        <v>2246</v>
      </c>
      <c r="K227" s="25" t="s">
        <v>2247</v>
      </c>
      <c r="L227" s="25" t="s">
        <v>2246</v>
      </c>
      <c r="M227" s="25" t="s">
        <v>2248</v>
      </c>
      <c r="N227" s="29">
        <f>IFERROR((C227-VLOOKUP(B227,crm_orders!$A:$S,2,FALSE))*24,0)</f>
        <v>384</v>
      </c>
      <c r="O227" s="27" t="str">
        <f>IFERROR(VLOOKUP(B227,crm_orders!$A:$S,3,FALSE),"")</f>
        <v>DSP0035</v>
      </c>
      <c r="P227" s="27" t="str">
        <f>IFERROR(VLOOKUP(B227,crm_orders!$A:$S,5,FALSE),"")</f>
        <v>NY</v>
      </c>
      <c r="Q227" s="27" t="str">
        <f>IFERROR(VLOOKUP(B227,crm_orders!$A:$S,7,FALSE),"")</f>
        <v>Wholesale</v>
      </c>
      <c r="R227" s="27" t="str">
        <f>IFERROR(VLOOKUP(B227,crm_orders!$A:$S,8,FALSE),"")</f>
        <v>SKU0018</v>
      </c>
    </row>
    <row r="228" ht="15.75" customHeight="1">
      <c r="A228" s="17" t="s">
        <v>2709</v>
      </c>
      <c r="B228" s="17" t="s">
        <v>761</v>
      </c>
      <c r="C228" s="18">
        <v>46056.0</v>
      </c>
      <c r="D228" s="17" t="s">
        <v>2243</v>
      </c>
      <c r="E228" s="17" t="s">
        <v>2261</v>
      </c>
      <c r="F228" s="17" t="s">
        <v>2710</v>
      </c>
      <c r="G228" s="21">
        <v>24.0</v>
      </c>
      <c r="H228" s="21">
        <v>24.0</v>
      </c>
      <c r="I228" s="21">
        <v>0.0</v>
      </c>
      <c r="J228" s="17" t="s">
        <v>2246</v>
      </c>
      <c r="K228" s="17" t="s">
        <v>2247</v>
      </c>
      <c r="L228" s="17" t="s">
        <v>2246</v>
      </c>
      <c r="M228" s="17" t="s">
        <v>2248</v>
      </c>
      <c r="N228" s="21">
        <f>IFERROR((C228-VLOOKUP(B228,crm_orders!$A:$S,2,FALSE))*24,0)</f>
        <v>264</v>
      </c>
      <c r="O228" s="19" t="str">
        <f>IFERROR(VLOOKUP(B228,crm_orders!$A:$S,3,FALSE),"")</f>
        <v>DSP0109</v>
      </c>
      <c r="P228" s="19" t="str">
        <f>IFERROR(VLOOKUP(B228,crm_orders!$A:$S,5,FALSE),"")</f>
        <v>OR</v>
      </c>
      <c r="Q228" s="19" t="str">
        <f>IFERROR(VLOOKUP(B228,crm_orders!$A:$S,7,FALSE),"")</f>
        <v>Retail</v>
      </c>
      <c r="R228" s="19" t="str">
        <f>IFERROR(VLOOKUP(B228,crm_orders!$A:$S,8,FALSE),"")</f>
        <v>SKU0006</v>
      </c>
    </row>
    <row r="229" ht="15.75" customHeight="1">
      <c r="A229" s="25" t="s">
        <v>2711</v>
      </c>
      <c r="B229" s="25" t="s">
        <v>993</v>
      </c>
      <c r="C229" s="26">
        <v>46051.0</v>
      </c>
      <c r="D229" s="25" t="s">
        <v>2260</v>
      </c>
      <c r="E229" s="25" t="s">
        <v>2251</v>
      </c>
      <c r="F229" s="25" t="s">
        <v>2712</v>
      </c>
      <c r="G229" s="29">
        <v>96.0</v>
      </c>
      <c r="H229" s="29">
        <v>96.0</v>
      </c>
      <c r="I229" s="29">
        <v>0.0</v>
      </c>
      <c r="J229" s="25" t="s">
        <v>2246</v>
      </c>
      <c r="K229" s="25" t="s">
        <v>2247</v>
      </c>
      <c r="L229" s="25" t="s">
        <v>2246</v>
      </c>
      <c r="M229" s="25" t="s">
        <v>2248</v>
      </c>
      <c r="N229" s="29">
        <f>IFERROR((C229-VLOOKUP(B229,crm_orders!$A:$S,2,FALSE))*24,0)</f>
        <v>240</v>
      </c>
      <c r="O229" s="27" t="str">
        <f>IFERROR(VLOOKUP(B229,crm_orders!$A:$S,3,FALSE),"")</f>
        <v>DSP0073</v>
      </c>
      <c r="P229" s="27" t="str">
        <f>IFERROR(VLOOKUP(B229,crm_orders!$A:$S,5,FALSE),"")</f>
        <v>OR</v>
      </c>
      <c r="Q229" s="27" t="str">
        <f>IFERROR(VLOOKUP(B229,crm_orders!$A:$S,7,FALSE),"")</f>
        <v>Distributor</v>
      </c>
      <c r="R229" s="27" t="str">
        <f>IFERROR(VLOOKUP(B229,crm_orders!$A:$S,8,FALSE),"")</f>
        <v>SKU0019</v>
      </c>
    </row>
    <row r="230" ht="15.75" customHeight="1">
      <c r="A230" s="17" t="s">
        <v>2713</v>
      </c>
      <c r="B230" s="17" t="s">
        <v>206</v>
      </c>
      <c r="C230" s="18">
        <v>46036.0</v>
      </c>
      <c r="D230" s="17" t="s">
        <v>2243</v>
      </c>
      <c r="E230" s="17" t="s">
        <v>2261</v>
      </c>
      <c r="F230" s="17" t="s">
        <v>2714</v>
      </c>
      <c r="G230" s="21">
        <v>24.0</v>
      </c>
      <c r="H230" s="21">
        <v>24.0</v>
      </c>
      <c r="I230" s="21">
        <v>0.0</v>
      </c>
      <c r="J230" s="17" t="s">
        <v>2247</v>
      </c>
      <c r="K230" s="17" t="s">
        <v>2247</v>
      </c>
      <c r="L230" s="17" t="s">
        <v>2247</v>
      </c>
      <c r="M230" s="17" t="s">
        <v>2248</v>
      </c>
      <c r="N230" s="21">
        <f>IFERROR((C230-VLOOKUP(B230,crm_orders!$A:$S,2,FALSE))*24,0)</f>
        <v>144</v>
      </c>
      <c r="O230" s="19" t="str">
        <f>IFERROR(VLOOKUP(B230,crm_orders!$A:$S,3,FALSE),"")</f>
        <v>DSP0005</v>
      </c>
      <c r="P230" s="19" t="str">
        <f>IFERROR(VLOOKUP(B230,crm_orders!$A:$S,5,FALSE),"")</f>
        <v>AZ</v>
      </c>
      <c r="Q230" s="19" t="str">
        <f>IFERROR(VLOOKUP(B230,crm_orders!$A:$S,7,FALSE),"")</f>
        <v>Wholesale</v>
      </c>
      <c r="R230" s="19" t="str">
        <f>IFERROR(VLOOKUP(B230,crm_orders!$A:$S,8,FALSE),"")</f>
        <v>SKU0003</v>
      </c>
    </row>
    <row r="231" ht="15.75" customHeight="1">
      <c r="A231" s="25" t="s">
        <v>2715</v>
      </c>
      <c r="B231" s="25" t="s">
        <v>596</v>
      </c>
      <c r="C231" s="26">
        <v>46141.0</v>
      </c>
      <c r="D231" s="25" t="s">
        <v>2254</v>
      </c>
      <c r="E231" s="25" t="s">
        <v>2286</v>
      </c>
      <c r="F231" s="25" t="s">
        <v>2716</v>
      </c>
      <c r="G231" s="29">
        <v>72.0</v>
      </c>
      <c r="H231" s="29">
        <v>72.0</v>
      </c>
      <c r="I231" s="29">
        <v>0.0</v>
      </c>
      <c r="J231" s="25" t="s">
        <v>2246</v>
      </c>
      <c r="K231" s="25" t="s">
        <v>2247</v>
      </c>
      <c r="L231" s="25" t="s">
        <v>2246</v>
      </c>
      <c r="M231" s="25" t="s">
        <v>2248</v>
      </c>
      <c r="N231" s="29">
        <f>IFERROR((C231-VLOOKUP(B231,crm_orders!$A:$S,2,FALSE))*24,0)</f>
        <v>240</v>
      </c>
      <c r="O231" s="27" t="str">
        <f>IFERROR(VLOOKUP(B231,crm_orders!$A:$S,3,FALSE),"")</f>
        <v>DSP0019</v>
      </c>
      <c r="P231" s="27" t="str">
        <f>IFERROR(VLOOKUP(B231,crm_orders!$A:$S,5,FALSE),"")</f>
        <v>IL</v>
      </c>
      <c r="Q231" s="27" t="str">
        <f>IFERROR(VLOOKUP(B231,crm_orders!$A:$S,7,FALSE),"")</f>
        <v>Wholesale</v>
      </c>
      <c r="R231" s="27" t="str">
        <f>IFERROR(VLOOKUP(B231,crm_orders!$A:$S,8,FALSE),"")</f>
        <v>SKU0004</v>
      </c>
    </row>
    <row r="232" ht="15.75" customHeight="1">
      <c r="A232" s="17" t="s">
        <v>2717</v>
      </c>
      <c r="B232" s="17" t="s">
        <v>887</v>
      </c>
      <c r="C232" s="18">
        <v>46047.0</v>
      </c>
      <c r="D232" s="17" t="s">
        <v>2250</v>
      </c>
      <c r="E232" s="17" t="s">
        <v>2251</v>
      </c>
      <c r="F232" s="17" t="s">
        <v>2718</v>
      </c>
      <c r="G232" s="21">
        <v>48.0</v>
      </c>
      <c r="H232" s="21">
        <v>48.0</v>
      </c>
      <c r="I232" s="21">
        <v>0.0</v>
      </c>
      <c r="J232" s="17" t="s">
        <v>2246</v>
      </c>
      <c r="K232" s="17" t="s">
        <v>2247</v>
      </c>
      <c r="L232" s="17" t="s">
        <v>2246</v>
      </c>
      <c r="M232" s="17" t="s">
        <v>2248</v>
      </c>
      <c r="N232" s="21">
        <f>IFERROR((C232-VLOOKUP(B232,crm_orders!$A:$S,2,FALSE))*24,0)</f>
        <v>96</v>
      </c>
      <c r="O232" s="19" t="str">
        <f>IFERROR(VLOOKUP(B232,crm_orders!$A:$S,3,FALSE),"")</f>
        <v>DSP0042</v>
      </c>
      <c r="P232" s="19" t="str">
        <f>IFERROR(VLOOKUP(B232,crm_orders!$A:$S,5,FALSE),"")</f>
        <v>NV</v>
      </c>
      <c r="Q232" s="19" t="str">
        <f>IFERROR(VLOOKUP(B232,crm_orders!$A:$S,7,FALSE),"")</f>
        <v>Wholesale</v>
      </c>
      <c r="R232" s="19" t="str">
        <f>IFERROR(VLOOKUP(B232,crm_orders!$A:$S,8,FALSE),"")</f>
        <v>SKU0005</v>
      </c>
    </row>
    <row r="233" ht="15.75" customHeight="1">
      <c r="A233" s="25" t="s">
        <v>2719</v>
      </c>
      <c r="B233" s="25" t="s">
        <v>208</v>
      </c>
      <c r="C233" s="26">
        <v>46130.0</v>
      </c>
      <c r="D233" s="25" t="s">
        <v>2260</v>
      </c>
      <c r="E233" s="25" t="s">
        <v>2261</v>
      </c>
      <c r="F233" s="25" t="s">
        <v>2720</v>
      </c>
      <c r="G233" s="29">
        <v>36.0</v>
      </c>
      <c r="H233" s="29">
        <v>36.0</v>
      </c>
      <c r="I233" s="29">
        <v>0.0</v>
      </c>
      <c r="J233" s="25" t="s">
        <v>2246</v>
      </c>
      <c r="K233" s="25" t="s">
        <v>2247</v>
      </c>
      <c r="L233" s="25" t="s">
        <v>2246</v>
      </c>
      <c r="M233" s="25" t="s">
        <v>2248</v>
      </c>
      <c r="N233" s="29">
        <f>IFERROR((C233-VLOOKUP(B233,crm_orders!$A:$S,2,FALSE))*24,0)</f>
        <v>168</v>
      </c>
      <c r="O233" s="27" t="str">
        <f>IFERROR(VLOOKUP(B233,crm_orders!$A:$S,3,FALSE),"")</f>
        <v>DSP0114</v>
      </c>
      <c r="P233" s="27" t="str">
        <f>IFERROR(VLOOKUP(B233,crm_orders!$A:$S,5,FALSE),"")</f>
        <v>NV</v>
      </c>
      <c r="Q233" s="27" t="str">
        <f>IFERROR(VLOOKUP(B233,crm_orders!$A:$S,7,FALSE),"")</f>
        <v>Wholesale</v>
      </c>
      <c r="R233" s="27" t="str">
        <f>IFERROR(VLOOKUP(B233,crm_orders!$A:$S,8,FALSE),"")</f>
        <v>SKU0020</v>
      </c>
    </row>
    <row r="234" ht="15.75" customHeight="1">
      <c r="A234" s="17" t="s">
        <v>2721</v>
      </c>
      <c r="B234" s="17" t="s">
        <v>1145</v>
      </c>
      <c r="C234" s="18">
        <v>46115.0</v>
      </c>
      <c r="D234" s="17" t="s">
        <v>2250</v>
      </c>
      <c r="E234" s="17" t="s">
        <v>2255</v>
      </c>
      <c r="F234" s="17" t="s">
        <v>2722</v>
      </c>
      <c r="G234" s="21">
        <v>96.0</v>
      </c>
      <c r="H234" s="21">
        <v>78.0</v>
      </c>
      <c r="I234" s="21">
        <v>18.0</v>
      </c>
      <c r="J234" s="17" t="s">
        <v>2246</v>
      </c>
      <c r="K234" s="17" t="s">
        <v>2246</v>
      </c>
      <c r="L234" s="17" t="s">
        <v>2246</v>
      </c>
      <c r="M234" s="17" t="s">
        <v>2267</v>
      </c>
      <c r="N234" s="21">
        <f>IFERROR((C234-VLOOKUP(B234,crm_orders!$A:$S,2,FALSE))*24,0)</f>
        <v>72</v>
      </c>
      <c r="O234" s="19" t="str">
        <f>IFERROR(VLOOKUP(B234,crm_orders!$A:$S,3,FALSE),"")</f>
        <v>DSP0023</v>
      </c>
      <c r="P234" s="19" t="str">
        <f>IFERROR(VLOOKUP(B234,crm_orders!$A:$S,5,FALSE),"")</f>
        <v>NY</v>
      </c>
      <c r="Q234" s="19" t="str">
        <f>IFERROR(VLOOKUP(B234,crm_orders!$A:$S,7,FALSE),"")</f>
        <v>Distributor</v>
      </c>
      <c r="R234" s="19" t="str">
        <f>IFERROR(VLOOKUP(B234,crm_orders!$A:$S,8,FALSE),"")</f>
        <v>SKU0001</v>
      </c>
    </row>
    <row r="235" ht="15.75" customHeight="1">
      <c r="A235" s="25" t="s">
        <v>2723</v>
      </c>
      <c r="B235" s="25" t="s">
        <v>597</v>
      </c>
      <c r="C235" s="26">
        <v>46056.0</v>
      </c>
      <c r="D235" s="25" t="s">
        <v>2254</v>
      </c>
      <c r="E235" s="25" t="s">
        <v>2255</v>
      </c>
      <c r="F235" s="25" t="s">
        <v>2724</v>
      </c>
      <c r="G235" s="29">
        <v>120.0</v>
      </c>
      <c r="H235" s="29">
        <v>120.0</v>
      </c>
      <c r="I235" s="29">
        <v>0.0</v>
      </c>
      <c r="J235" s="25" t="s">
        <v>2246</v>
      </c>
      <c r="K235" s="25" t="s">
        <v>2247</v>
      </c>
      <c r="L235" s="25" t="s">
        <v>2246</v>
      </c>
      <c r="M235" s="25" t="s">
        <v>2248</v>
      </c>
      <c r="N235" s="29">
        <f>IFERROR((C235-VLOOKUP(B235,crm_orders!$A:$S,2,FALSE))*24,0)</f>
        <v>120</v>
      </c>
      <c r="O235" s="27" t="str">
        <f>IFERROR(VLOOKUP(B235,crm_orders!$A:$S,3,FALSE),"")</f>
        <v>DSP0104</v>
      </c>
      <c r="P235" s="27" t="str">
        <f>IFERROR(VLOOKUP(B235,crm_orders!$A:$S,5,FALSE),"")</f>
        <v>MI</v>
      </c>
      <c r="Q235" s="27" t="str">
        <f>IFERROR(VLOOKUP(B235,crm_orders!$A:$S,7,FALSE),"")</f>
        <v>Wholesale</v>
      </c>
      <c r="R235" s="27" t="str">
        <f>IFERROR(VLOOKUP(B235,crm_orders!$A:$S,8,FALSE),"")</f>
        <v>SKU0020</v>
      </c>
    </row>
    <row r="236" ht="15.75" customHeight="1">
      <c r="A236" s="17" t="s">
        <v>2725</v>
      </c>
      <c r="B236" s="17" t="s">
        <v>487</v>
      </c>
      <c r="C236" s="18">
        <v>46142.0</v>
      </c>
      <c r="D236" s="17" t="s">
        <v>2250</v>
      </c>
      <c r="E236" s="17" t="s">
        <v>2244</v>
      </c>
      <c r="F236" s="17" t="s">
        <v>2726</v>
      </c>
      <c r="G236" s="21">
        <v>120.0</v>
      </c>
      <c r="H236" s="21">
        <v>120.0</v>
      </c>
      <c r="I236" s="21">
        <v>0.0</v>
      </c>
      <c r="J236" s="17" t="s">
        <v>2246</v>
      </c>
      <c r="K236" s="17" t="s">
        <v>2247</v>
      </c>
      <c r="L236" s="17" t="s">
        <v>2246</v>
      </c>
      <c r="M236" s="17" t="s">
        <v>2248</v>
      </c>
      <c r="N236" s="21">
        <f>IFERROR((C236-VLOOKUP(B236,crm_orders!$A:$S,2,FALSE))*24,0)</f>
        <v>336</v>
      </c>
      <c r="O236" s="19" t="str">
        <f>IFERROR(VLOOKUP(B236,crm_orders!$A:$S,3,FALSE),"")</f>
        <v>DSP0022</v>
      </c>
      <c r="P236" s="19" t="str">
        <f>IFERROR(VLOOKUP(B236,crm_orders!$A:$S,5,FALSE),"")</f>
        <v>NM</v>
      </c>
      <c r="Q236" s="19" t="str">
        <f>IFERROR(VLOOKUP(B236,crm_orders!$A:$S,7,FALSE),"")</f>
        <v>Wholesale</v>
      </c>
      <c r="R236" s="19" t="str">
        <f>IFERROR(VLOOKUP(B236,crm_orders!$A:$S,8,FALSE),"")</f>
        <v>SKU0003</v>
      </c>
    </row>
    <row r="237" ht="15.75" customHeight="1">
      <c r="A237" s="25" t="s">
        <v>2727</v>
      </c>
      <c r="B237" s="25" t="s">
        <v>994</v>
      </c>
      <c r="C237" s="26">
        <v>46132.0</v>
      </c>
      <c r="D237" s="25" t="s">
        <v>2254</v>
      </c>
      <c r="E237" s="25" t="s">
        <v>2251</v>
      </c>
      <c r="F237" s="25" t="s">
        <v>2728</v>
      </c>
      <c r="G237" s="29">
        <v>12.0</v>
      </c>
      <c r="H237" s="29">
        <v>12.0</v>
      </c>
      <c r="I237" s="29">
        <v>0.0</v>
      </c>
      <c r="J237" s="25" t="s">
        <v>2246</v>
      </c>
      <c r="K237" s="25" t="s">
        <v>2247</v>
      </c>
      <c r="L237" s="25" t="s">
        <v>2246</v>
      </c>
      <c r="M237" s="25" t="s">
        <v>2248</v>
      </c>
      <c r="N237" s="29">
        <f>IFERROR((C237-VLOOKUP(B237,crm_orders!$A:$S,2,FALSE))*24,0)</f>
        <v>216</v>
      </c>
      <c r="O237" s="27" t="str">
        <f>IFERROR(VLOOKUP(B237,crm_orders!$A:$S,3,FALSE),"")</f>
        <v>DSP0045</v>
      </c>
      <c r="P237" s="27" t="str">
        <f>IFERROR(VLOOKUP(B237,crm_orders!$A:$S,5,FALSE),"")</f>
        <v>MO</v>
      </c>
      <c r="Q237" s="27" t="str">
        <f>IFERROR(VLOOKUP(B237,crm_orders!$A:$S,7,FALSE),"")</f>
        <v>Wholesale</v>
      </c>
      <c r="R237" s="27" t="str">
        <f>IFERROR(VLOOKUP(B237,crm_orders!$A:$S,8,FALSE),"")</f>
        <v>SKU0009</v>
      </c>
    </row>
    <row r="238" ht="15.75" customHeight="1">
      <c r="A238" s="17" t="s">
        <v>2729</v>
      </c>
      <c r="B238" s="17" t="s">
        <v>105</v>
      </c>
      <c r="C238" s="18">
        <v>46076.0</v>
      </c>
      <c r="D238" s="17" t="s">
        <v>2260</v>
      </c>
      <c r="E238" s="17" t="s">
        <v>2286</v>
      </c>
      <c r="F238" s="17" t="s">
        <v>2730</v>
      </c>
      <c r="G238" s="21">
        <v>72.0</v>
      </c>
      <c r="H238" s="21">
        <v>72.0</v>
      </c>
      <c r="I238" s="21">
        <v>0.0</v>
      </c>
      <c r="J238" s="17" t="s">
        <v>2247</v>
      </c>
      <c r="K238" s="17" t="s">
        <v>2247</v>
      </c>
      <c r="L238" s="17" t="s">
        <v>2247</v>
      </c>
      <c r="M238" s="17" t="s">
        <v>2248</v>
      </c>
      <c r="N238" s="21">
        <f>IFERROR((C238-VLOOKUP(B238,crm_orders!$A:$S,2,FALSE))*24,0)</f>
        <v>216</v>
      </c>
      <c r="O238" s="19" t="str">
        <f>IFERROR(VLOOKUP(B238,crm_orders!$A:$S,3,FALSE),"")</f>
        <v>DSP0064</v>
      </c>
      <c r="P238" s="19" t="str">
        <f>IFERROR(VLOOKUP(B238,crm_orders!$A:$S,5,FALSE),"")</f>
        <v>CO</v>
      </c>
      <c r="Q238" s="19" t="str">
        <f>IFERROR(VLOOKUP(B238,crm_orders!$A:$S,7,FALSE),"")</f>
        <v>Retail</v>
      </c>
      <c r="R238" s="19" t="str">
        <f>IFERROR(VLOOKUP(B238,crm_orders!$A:$S,8,FALSE),"")</f>
        <v>SKU0013</v>
      </c>
    </row>
    <row r="239" ht="15.75" customHeight="1">
      <c r="A239" s="25" t="s">
        <v>2731</v>
      </c>
      <c r="B239" s="25" t="s">
        <v>995</v>
      </c>
      <c r="C239" s="26">
        <v>46034.0</v>
      </c>
      <c r="D239" s="25" t="s">
        <v>2250</v>
      </c>
      <c r="E239" s="25" t="s">
        <v>2286</v>
      </c>
      <c r="F239" s="25" t="s">
        <v>2732</v>
      </c>
      <c r="G239" s="29">
        <v>6.0</v>
      </c>
      <c r="H239" s="29">
        <v>6.0</v>
      </c>
      <c r="I239" s="29">
        <v>0.0</v>
      </c>
      <c r="J239" s="25" t="s">
        <v>2247</v>
      </c>
      <c r="K239" s="25" t="s">
        <v>2247</v>
      </c>
      <c r="L239" s="25" t="s">
        <v>2247</v>
      </c>
      <c r="M239" s="25" t="s">
        <v>2248</v>
      </c>
      <c r="N239" s="29">
        <f>IFERROR((C239-VLOOKUP(B239,crm_orders!$A:$S,2,FALSE))*24,0)</f>
        <v>48</v>
      </c>
      <c r="O239" s="27" t="str">
        <f>IFERROR(VLOOKUP(B239,crm_orders!$A:$S,3,FALSE),"")</f>
        <v>DSP0021</v>
      </c>
      <c r="P239" s="27" t="str">
        <f>IFERROR(VLOOKUP(B239,crm_orders!$A:$S,5,FALSE),"")</f>
        <v>MO</v>
      </c>
      <c r="Q239" s="27" t="str">
        <f>IFERROR(VLOOKUP(B239,crm_orders!$A:$S,7,FALSE),"")</f>
        <v>Distributor</v>
      </c>
      <c r="R239" s="27" t="str">
        <f>IFERROR(VLOOKUP(B239,crm_orders!$A:$S,8,FALSE),"")</f>
        <v>SKU0015</v>
      </c>
    </row>
    <row r="240" ht="15.75" customHeight="1">
      <c r="A240" s="17" t="s">
        <v>2733</v>
      </c>
      <c r="B240" s="17" t="s">
        <v>996</v>
      </c>
      <c r="C240" s="18">
        <v>46103.0</v>
      </c>
      <c r="D240" s="17" t="s">
        <v>2254</v>
      </c>
      <c r="E240" s="17" t="s">
        <v>2261</v>
      </c>
      <c r="F240" s="17" t="s">
        <v>2734</v>
      </c>
      <c r="G240" s="21">
        <v>12.0</v>
      </c>
      <c r="H240" s="21">
        <v>12.0</v>
      </c>
      <c r="I240" s="21">
        <v>0.0</v>
      </c>
      <c r="J240" s="17" t="s">
        <v>2246</v>
      </c>
      <c r="K240" s="17" t="s">
        <v>2247</v>
      </c>
      <c r="L240" s="17" t="s">
        <v>2246</v>
      </c>
      <c r="M240" s="17" t="s">
        <v>2248</v>
      </c>
      <c r="N240" s="21">
        <f>IFERROR((C240-VLOOKUP(B240,crm_orders!$A:$S,2,FALSE))*24,0)</f>
        <v>240</v>
      </c>
      <c r="O240" s="19" t="str">
        <f>IFERROR(VLOOKUP(B240,crm_orders!$A:$S,3,FALSE),"")</f>
        <v>DSP0021</v>
      </c>
      <c r="P240" s="19" t="str">
        <f>IFERROR(VLOOKUP(B240,crm_orders!$A:$S,5,FALSE),"")</f>
        <v>MO</v>
      </c>
      <c r="Q240" s="19" t="str">
        <f>IFERROR(VLOOKUP(B240,crm_orders!$A:$S,7,FALSE),"")</f>
        <v>Distributor</v>
      </c>
      <c r="R240" s="19" t="str">
        <f>IFERROR(VLOOKUP(B240,crm_orders!$A:$S,8,FALSE),"")</f>
        <v>SKU0003</v>
      </c>
    </row>
    <row r="241" ht="15.75" customHeight="1">
      <c r="A241" s="25" t="s">
        <v>2735</v>
      </c>
      <c r="B241" s="25" t="s">
        <v>107</v>
      </c>
      <c r="C241" s="26">
        <v>46051.0</v>
      </c>
      <c r="D241" s="25" t="s">
        <v>2243</v>
      </c>
      <c r="E241" s="25" t="s">
        <v>2244</v>
      </c>
      <c r="F241" s="25" t="s">
        <v>2736</v>
      </c>
      <c r="G241" s="29">
        <v>6.0</v>
      </c>
      <c r="H241" s="29">
        <v>6.0</v>
      </c>
      <c r="I241" s="29">
        <v>0.0</v>
      </c>
      <c r="J241" s="25" t="s">
        <v>2247</v>
      </c>
      <c r="K241" s="25" t="s">
        <v>2247</v>
      </c>
      <c r="L241" s="25" t="s">
        <v>2247</v>
      </c>
      <c r="M241" s="25" t="s">
        <v>2248</v>
      </c>
      <c r="N241" s="29">
        <f>IFERROR((C241-VLOOKUP(B241,crm_orders!$A:$S,2,FALSE))*24,0)</f>
        <v>192</v>
      </c>
      <c r="O241" s="27" t="str">
        <f>IFERROR(VLOOKUP(B241,crm_orders!$A:$S,3,FALSE),"")</f>
        <v>DSP0078</v>
      </c>
      <c r="P241" s="27" t="str">
        <f>IFERROR(VLOOKUP(B241,crm_orders!$A:$S,5,FALSE),"")</f>
        <v>NV</v>
      </c>
      <c r="Q241" s="27" t="str">
        <f>IFERROR(VLOOKUP(B241,crm_orders!$A:$S,7,FALSE),"")</f>
        <v>Wholesale</v>
      </c>
      <c r="R241" s="27" t="str">
        <f>IFERROR(VLOOKUP(B241,crm_orders!$A:$S,8,FALSE),"")</f>
        <v>SKU0014</v>
      </c>
    </row>
    <row r="242" ht="15.75" customHeight="1">
      <c r="A242" s="17" t="s">
        <v>2737</v>
      </c>
      <c r="B242" s="17" t="s">
        <v>209</v>
      </c>
      <c r="C242" s="18">
        <v>46069.0</v>
      </c>
      <c r="D242" s="17" t="s">
        <v>2250</v>
      </c>
      <c r="E242" s="17" t="s">
        <v>2244</v>
      </c>
      <c r="F242" s="17" t="s">
        <v>2738</v>
      </c>
      <c r="G242" s="21">
        <v>120.0</v>
      </c>
      <c r="H242" s="21">
        <v>120.0</v>
      </c>
      <c r="I242" s="21">
        <v>0.0</v>
      </c>
      <c r="J242" s="17" t="s">
        <v>2246</v>
      </c>
      <c r="K242" s="17" t="s">
        <v>2247</v>
      </c>
      <c r="L242" s="17" t="s">
        <v>2246</v>
      </c>
      <c r="M242" s="17" t="s">
        <v>2248</v>
      </c>
      <c r="N242" s="21">
        <f>IFERROR((C242-VLOOKUP(B242,crm_orders!$A:$S,2,FALSE))*24,0)</f>
        <v>216</v>
      </c>
      <c r="O242" s="19" t="str">
        <f>IFERROR(VLOOKUP(B242,crm_orders!$A:$S,3,FALSE),"")</f>
        <v>DSP0055</v>
      </c>
      <c r="P242" s="19" t="str">
        <f>IFERROR(VLOOKUP(B242,crm_orders!$A:$S,5,FALSE),"")</f>
        <v>IL</v>
      </c>
      <c r="Q242" s="19" t="str">
        <f>IFERROR(VLOOKUP(B242,crm_orders!$A:$S,7,FALSE),"")</f>
        <v>Wholesale</v>
      </c>
      <c r="R242" s="19" t="str">
        <f>IFERROR(VLOOKUP(B242,crm_orders!$A:$S,8,FALSE),"")</f>
        <v>SKU0003</v>
      </c>
    </row>
    <row r="243" ht="15.75" customHeight="1">
      <c r="A243" s="25" t="s">
        <v>2739</v>
      </c>
      <c r="B243" s="25" t="s">
        <v>599</v>
      </c>
      <c r="C243" s="26">
        <v>46088.0</v>
      </c>
      <c r="D243" s="25" t="s">
        <v>2243</v>
      </c>
      <c r="E243" s="25" t="s">
        <v>2255</v>
      </c>
      <c r="F243" s="25" t="s">
        <v>2740</v>
      </c>
      <c r="G243" s="29">
        <v>6.0</v>
      </c>
      <c r="H243" s="29">
        <v>6.0</v>
      </c>
      <c r="I243" s="29">
        <v>0.0</v>
      </c>
      <c r="J243" s="25" t="s">
        <v>2246</v>
      </c>
      <c r="K243" s="25" t="s">
        <v>2247</v>
      </c>
      <c r="L243" s="25" t="s">
        <v>2246</v>
      </c>
      <c r="M243" s="25" t="s">
        <v>2248</v>
      </c>
      <c r="N243" s="29">
        <f>IFERROR((C243-VLOOKUP(B243,crm_orders!$A:$S,2,FALSE))*24,0)</f>
        <v>360</v>
      </c>
      <c r="O243" s="27" t="str">
        <f>IFERROR(VLOOKUP(B243,crm_orders!$A:$S,3,FALSE),"")</f>
        <v>DSP0039</v>
      </c>
      <c r="P243" s="27" t="str">
        <f>IFERROR(VLOOKUP(B243,crm_orders!$A:$S,5,FALSE),"")</f>
        <v>CA</v>
      </c>
      <c r="Q243" s="27" t="str">
        <f>IFERROR(VLOOKUP(B243,crm_orders!$A:$S,7,FALSE),"")</f>
        <v>Distributor</v>
      </c>
      <c r="R243" s="27" t="str">
        <f>IFERROR(VLOOKUP(B243,crm_orders!$A:$S,8,FALSE),"")</f>
        <v>SKU0003</v>
      </c>
    </row>
    <row r="244" ht="15.75" customHeight="1">
      <c r="A244" s="17" t="s">
        <v>2741</v>
      </c>
      <c r="B244" s="17" t="s">
        <v>488</v>
      </c>
      <c r="C244" s="18">
        <v>46054.0</v>
      </c>
      <c r="D244" s="17" t="s">
        <v>2243</v>
      </c>
      <c r="E244" s="17" t="s">
        <v>2261</v>
      </c>
      <c r="F244" s="17" t="s">
        <v>2742</v>
      </c>
      <c r="G244" s="21">
        <v>24.0</v>
      </c>
      <c r="H244" s="21">
        <v>24.0</v>
      </c>
      <c r="I244" s="21">
        <v>0.0</v>
      </c>
      <c r="J244" s="17" t="s">
        <v>2246</v>
      </c>
      <c r="K244" s="17" t="s">
        <v>2247</v>
      </c>
      <c r="L244" s="17" t="s">
        <v>2246</v>
      </c>
      <c r="M244" s="17" t="s">
        <v>2248</v>
      </c>
      <c r="N244" s="21">
        <f>IFERROR((C244-VLOOKUP(B244,crm_orders!$A:$S,2,FALSE))*24,0)</f>
        <v>240</v>
      </c>
      <c r="O244" s="19" t="str">
        <f>IFERROR(VLOOKUP(B244,crm_orders!$A:$S,3,FALSE),"")</f>
        <v>DSP0058</v>
      </c>
      <c r="P244" s="19" t="str">
        <f>IFERROR(VLOOKUP(B244,crm_orders!$A:$S,5,FALSE),"")</f>
        <v>NM</v>
      </c>
      <c r="Q244" s="19" t="str">
        <f>IFERROR(VLOOKUP(B244,crm_orders!$A:$S,7,FALSE),"")</f>
        <v>Wholesale</v>
      </c>
      <c r="R244" s="19" t="str">
        <f>IFERROR(VLOOKUP(B244,crm_orders!$A:$S,8,FALSE),"")</f>
        <v>SKU0006</v>
      </c>
    </row>
    <row r="245" ht="15.75" customHeight="1">
      <c r="A245" s="25" t="s">
        <v>2743</v>
      </c>
      <c r="B245" s="25" t="s">
        <v>600</v>
      </c>
      <c r="C245" s="26">
        <v>46063.0</v>
      </c>
      <c r="D245" s="25" t="s">
        <v>2243</v>
      </c>
      <c r="E245" s="25" t="s">
        <v>2251</v>
      </c>
      <c r="F245" s="25" t="s">
        <v>2744</v>
      </c>
      <c r="G245" s="29">
        <v>36.0</v>
      </c>
      <c r="H245" s="29">
        <v>36.0</v>
      </c>
      <c r="I245" s="29">
        <v>0.0</v>
      </c>
      <c r="J245" s="25" t="s">
        <v>2247</v>
      </c>
      <c r="K245" s="25" t="s">
        <v>2247</v>
      </c>
      <c r="L245" s="25" t="s">
        <v>2247</v>
      </c>
      <c r="M245" s="25" t="s">
        <v>2248</v>
      </c>
      <c r="N245" s="29">
        <f>IFERROR((C245-VLOOKUP(B245,crm_orders!$A:$S,2,FALSE))*24,0)</f>
        <v>168</v>
      </c>
      <c r="O245" s="27" t="str">
        <f>IFERROR(VLOOKUP(B245,crm_orders!$A:$S,3,FALSE),"")</f>
        <v>DSP0019</v>
      </c>
      <c r="P245" s="27" t="str">
        <f>IFERROR(VLOOKUP(B245,crm_orders!$A:$S,5,FALSE),"")</f>
        <v>IL</v>
      </c>
      <c r="Q245" s="27" t="str">
        <f>IFERROR(VLOOKUP(B245,crm_orders!$A:$S,7,FALSE),"")</f>
        <v>Wholesale</v>
      </c>
      <c r="R245" s="27" t="str">
        <f>IFERROR(VLOOKUP(B245,crm_orders!$A:$S,8,FALSE),"")</f>
        <v>SKU0020</v>
      </c>
    </row>
    <row r="246" ht="15.75" customHeight="1">
      <c r="A246" s="17" t="s">
        <v>2745</v>
      </c>
      <c r="B246" s="17" t="s">
        <v>601</v>
      </c>
      <c r="C246" s="18">
        <v>46100.0</v>
      </c>
      <c r="D246" s="17" t="s">
        <v>2260</v>
      </c>
      <c r="E246" s="17" t="s">
        <v>2244</v>
      </c>
      <c r="F246" s="17" t="s">
        <v>2746</v>
      </c>
      <c r="G246" s="21">
        <v>60.0</v>
      </c>
      <c r="H246" s="21">
        <v>60.0</v>
      </c>
      <c r="I246" s="21">
        <v>0.0</v>
      </c>
      <c r="J246" s="17" t="s">
        <v>2246</v>
      </c>
      <c r="K246" s="17" t="s">
        <v>2247</v>
      </c>
      <c r="L246" s="17" t="s">
        <v>2246</v>
      </c>
      <c r="M246" s="17" t="s">
        <v>2248</v>
      </c>
      <c r="N246" s="21">
        <f>IFERROR((C246-VLOOKUP(B246,crm_orders!$A:$S,2,FALSE))*24,0)</f>
        <v>264</v>
      </c>
      <c r="O246" s="19" t="str">
        <f>IFERROR(VLOOKUP(B246,crm_orders!$A:$S,3,FALSE),"")</f>
        <v>DSP0110</v>
      </c>
      <c r="P246" s="19" t="str">
        <f>IFERROR(VLOOKUP(B246,crm_orders!$A:$S,5,FALSE),"")</f>
        <v>WA</v>
      </c>
      <c r="Q246" s="19" t="str">
        <f>IFERROR(VLOOKUP(B246,crm_orders!$A:$S,7,FALSE),"")</f>
        <v>Retail</v>
      </c>
      <c r="R246" s="19" t="str">
        <f>IFERROR(VLOOKUP(B246,crm_orders!$A:$S,8,FALSE),"")</f>
        <v>SKU0009</v>
      </c>
    </row>
    <row r="247" ht="15.75" customHeight="1">
      <c r="A247" s="25" t="s">
        <v>2747</v>
      </c>
      <c r="B247" s="25" t="s">
        <v>762</v>
      </c>
      <c r="C247" s="26">
        <v>46042.0</v>
      </c>
      <c r="D247" s="25" t="s">
        <v>2243</v>
      </c>
      <c r="E247" s="25" t="s">
        <v>2251</v>
      </c>
      <c r="F247" s="25" t="s">
        <v>2748</v>
      </c>
      <c r="G247" s="29">
        <v>96.0</v>
      </c>
      <c r="H247" s="29">
        <v>96.0</v>
      </c>
      <c r="I247" s="29">
        <v>0.0</v>
      </c>
      <c r="J247" s="25" t="s">
        <v>2247</v>
      </c>
      <c r="K247" s="25" t="s">
        <v>2247</v>
      </c>
      <c r="L247" s="25" t="s">
        <v>2247</v>
      </c>
      <c r="M247" s="25" t="s">
        <v>2248</v>
      </c>
      <c r="N247" s="29">
        <f>IFERROR((C247-VLOOKUP(B247,crm_orders!$A:$S,2,FALSE))*24,0)</f>
        <v>24</v>
      </c>
      <c r="O247" s="27" t="str">
        <f>IFERROR(VLOOKUP(B247,crm_orders!$A:$S,3,FALSE),"")</f>
        <v>DSP0054</v>
      </c>
      <c r="P247" s="27" t="str">
        <f>IFERROR(VLOOKUP(B247,crm_orders!$A:$S,5,FALSE),"")</f>
        <v>NV</v>
      </c>
      <c r="Q247" s="27" t="str">
        <f>IFERROR(VLOOKUP(B247,crm_orders!$A:$S,7,FALSE),"")</f>
        <v>Distributor</v>
      </c>
      <c r="R247" s="27" t="str">
        <f>IFERROR(VLOOKUP(B247,crm_orders!$A:$S,8,FALSE),"")</f>
        <v>SKU0005</v>
      </c>
    </row>
    <row r="248" ht="15.75" customHeight="1">
      <c r="A248" s="17" t="s">
        <v>2749</v>
      </c>
      <c r="B248" s="17" t="s">
        <v>763</v>
      </c>
      <c r="C248" s="18">
        <v>46147.0</v>
      </c>
      <c r="D248" s="17" t="s">
        <v>2243</v>
      </c>
      <c r="E248" s="17" t="s">
        <v>2286</v>
      </c>
      <c r="F248" s="17" t="s">
        <v>2750</v>
      </c>
      <c r="G248" s="21">
        <v>36.0</v>
      </c>
      <c r="H248" s="21">
        <v>36.0</v>
      </c>
      <c r="I248" s="21">
        <v>0.0</v>
      </c>
      <c r="J248" s="17" t="s">
        <v>2246</v>
      </c>
      <c r="K248" s="17" t="s">
        <v>2247</v>
      </c>
      <c r="L248" s="17" t="s">
        <v>2246</v>
      </c>
      <c r="M248" s="17" t="s">
        <v>2248</v>
      </c>
      <c r="N248" s="21">
        <f>IFERROR((C248-VLOOKUP(B248,crm_orders!$A:$S,2,FALSE))*24,0)</f>
        <v>288</v>
      </c>
      <c r="O248" s="19" t="str">
        <f>IFERROR(VLOOKUP(B248,crm_orders!$A:$S,3,FALSE),"")</f>
        <v>DSP0037</v>
      </c>
      <c r="P248" s="19" t="str">
        <f>IFERROR(VLOOKUP(B248,crm_orders!$A:$S,5,FALSE),"")</f>
        <v>OR</v>
      </c>
      <c r="Q248" s="19" t="str">
        <f>IFERROR(VLOOKUP(B248,crm_orders!$A:$S,7,FALSE),"")</f>
        <v>Retail</v>
      </c>
      <c r="R248" s="19" t="str">
        <f>IFERROR(VLOOKUP(B248,crm_orders!$A:$S,8,FALSE),"")</f>
        <v>SKU0018</v>
      </c>
    </row>
    <row r="249" ht="15.75" customHeight="1">
      <c r="A249" s="25" t="s">
        <v>2751</v>
      </c>
      <c r="B249" s="25" t="s">
        <v>998</v>
      </c>
      <c r="C249" s="26">
        <v>46050.0</v>
      </c>
      <c r="D249" s="25" t="s">
        <v>2260</v>
      </c>
      <c r="E249" s="25" t="s">
        <v>2251</v>
      </c>
      <c r="F249" s="25" t="s">
        <v>2752</v>
      </c>
      <c r="G249" s="29">
        <v>96.0</v>
      </c>
      <c r="H249" s="29">
        <v>96.0</v>
      </c>
      <c r="I249" s="29">
        <v>0.0</v>
      </c>
      <c r="J249" s="25" t="s">
        <v>2246</v>
      </c>
      <c r="K249" s="25" t="s">
        <v>2247</v>
      </c>
      <c r="L249" s="25" t="s">
        <v>2246</v>
      </c>
      <c r="M249" s="25" t="s">
        <v>2248</v>
      </c>
      <c r="N249" s="29">
        <f>IFERROR((C249-VLOOKUP(B249,crm_orders!$A:$S,2,FALSE))*24,0)</f>
        <v>216</v>
      </c>
      <c r="O249" s="27" t="str">
        <f>IFERROR(VLOOKUP(B249,crm_orders!$A:$S,3,FALSE),"")</f>
        <v>DSP0036</v>
      </c>
      <c r="P249" s="27" t="str">
        <f>IFERROR(VLOOKUP(B249,crm_orders!$A:$S,5,FALSE),"")</f>
        <v>OK</v>
      </c>
      <c r="Q249" s="27" t="str">
        <f>IFERROR(VLOOKUP(B249,crm_orders!$A:$S,7,FALSE),"")</f>
        <v>Wholesale</v>
      </c>
      <c r="R249" s="27" t="str">
        <f>IFERROR(VLOOKUP(B249,crm_orders!$A:$S,8,FALSE),"")</f>
        <v>SKU0013</v>
      </c>
    </row>
    <row r="250" ht="15.75" customHeight="1">
      <c r="A250" s="17" t="s">
        <v>2753</v>
      </c>
      <c r="B250" s="17" t="s">
        <v>889</v>
      </c>
      <c r="C250" s="18">
        <v>46145.0</v>
      </c>
      <c r="D250" s="17" t="s">
        <v>2250</v>
      </c>
      <c r="E250" s="17" t="s">
        <v>2255</v>
      </c>
      <c r="F250" s="17" t="s">
        <v>2754</v>
      </c>
      <c r="G250" s="21">
        <v>36.0</v>
      </c>
      <c r="H250" s="21">
        <v>36.0</v>
      </c>
      <c r="I250" s="21">
        <v>0.0</v>
      </c>
      <c r="J250" s="17" t="s">
        <v>2246</v>
      </c>
      <c r="K250" s="17" t="s">
        <v>2247</v>
      </c>
      <c r="L250" s="17" t="s">
        <v>2246</v>
      </c>
      <c r="M250" s="17" t="s">
        <v>2248</v>
      </c>
      <c r="N250" s="21">
        <f>IFERROR((C250-VLOOKUP(B250,crm_orders!$A:$S,2,FALSE))*24,0)</f>
        <v>192</v>
      </c>
      <c r="O250" s="19" t="str">
        <f>IFERROR(VLOOKUP(B250,crm_orders!$A:$S,3,FALSE),"")</f>
        <v>DSP0061</v>
      </c>
      <c r="P250" s="19" t="str">
        <f>IFERROR(VLOOKUP(B250,crm_orders!$A:$S,5,FALSE),"")</f>
        <v>OR</v>
      </c>
      <c r="Q250" s="19" t="str">
        <f>IFERROR(VLOOKUP(B250,crm_orders!$A:$S,7,FALSE),"")</f>
        <v>Wholesale</v>
      </c>
      <c r="R250" s="19" t="str">
        <f>IFERROR(VLOOKUP(B250,crm_orders!$A:$S,8,FALSE),"")</f>
        <v>SKU0009</v>
      </c>
    </row>
    <row r="251" ht="15.75" customHeight="1">
      <c r="A251" s="25" t="s">
        <v>2755</v>
      </c>
      <c r="B251" s="25" t="s">
        <v>1000</v>
      </c>
      <c r="C251" s="26">
        <v>46142.0</v>
      </c>
      <c r="D251" s="25" t="s">
        <v>2254</v>
      </c>
      <c r="E251" s="25" t="s">
        <v>2286</v>
      </c>
      <c r="F251" s="25" t="s">
        <v>2756</v>
      </c>
      <c r="G251" s="29">
        <v>24.0</v>
      </c>
      <c r="H251" s="29">
        <v>24.0</v>
      </c>
      <c r="I251" s="29">
        <v>0.0</v>
      </c>
      <c r="J251" s="25" t="s">
        <v>2246</v>
      </c>
      <c r="K251" s="25" t="s">
        <v>2247</v>
      </c>
      <c r="L251" s="25" t="s">
        <v>2246</v>
      </c>
      <c r="M251" s="25" t="s">
        <v>2248</v>
      </c>
      <c r="N251" s="29">
        <f>IFERROR((C251-VLOOKUP(B251,crm_orders!$A:$S,2,FALSE))*24,0)</f>
        <v>192</v>
      </c>
      <c r="O251" s="27" t="str">
        <f>IFERROR(VLOOKUP(B251,crm_orders!$A:$S,3,FALSE),"")</f>
        <v>DSP0088</v>
      </c>
      <c r="P251" s="27" t="str">
        <f>IFERROR(VLOOKUP(B251,crm_orders!$A:$S,5,FALSE),"")</f>
        <v>CO</v>
      </c>
      <c r="Q251" s="27" t="str">
        <f>IFERROR(VLOOKUP(B251,crm_orders!$A:$S,7,FALSE),"")</f>
        <v>Wholesale</v>
      </c>
      <c r="R251" s="27" t="str">
        <f>IFERROR(VLOOKUP(B251,crm_orders!$A:$S,8,FALSE),"")</f>
        <v>SKU0004</v>
      </c>
    </row>
    <row r="252" ht="15.75" customHeight="1">
      <c r="A252" s="17" t="s">
        <v>2757</v>
      </c>
      <c r="B252" s="17" t="s">
        <v>1001</v>
      </c>
      <c r="C252" s="18">
        <v>46057.0</v>
      </c>
      <c r="D252" s="17" t="s">
        <v>2260</v>
      </c>
      <c r="E252" s="17" t="s">
        <v>2255</v>
      </c>
      <c r="F252" s="17" t="s">
        <v>2758</v>
      </c>
      <c r="G252" s="21">
        <v>60.0</v>
      </c>
      <c r="H252" s="21">
        <v>60.0</v>
      </c>
      <c r="I252" s="21">
        <v>0.0</v>
      </c>
      <c r="J252" s="17" t="s">
        <v>2246</v>
      </c>
      <c r="K252" s="17" t="s">
        <v>2247</v>
      </c>
      <c r="L252" s="17" t="s">
        <v>2246</v>
      </c>
      <c r="M252" s="17" t="s">
        <v>2248</v>
      </c>
      <c r="N252" s="21">
        <f>IFERROR((C252-VLOOKUP(B252,crm_orders!$A:$S,2,FALSE))*24,0)</f>
        <v>240</v>
      </c>
      <c r="O252" s="19" t="str">
        <f>IFERROR(VLOOKUP(B252,crm_orders!$A:$S,3,FALSE),"")</f>
        <v>DSP0083</v>
      </c>
      <c r="P252" s="19" t="str">
        <f>IFERROR(VLOOKUP(B252,crm_orders!$A:$S,5,FALSE),"")</f>
        <v>NY</v>
      </c>
      <c r="Q252" s="19" t="str">
        <f>IFERROR(VLOOKUP(B252,crm_orders!$A:$S,7,FALSE),"")</f>
        <v>Retail</v>
      </c>
      <c r="R252" s="19" t="str">
        <f>IFERROR(VLOOKUP(B252,crm_orders!$A:$S,8,FALSE),"")</f>
        <v>SKU0003</v>
      </c>
    </row>
    <row r="253" ht="15.75" customHeight="1">
      <c r="A253" s="25" t="s">
        <v>2759</v>
      </c>
      <c r="B253" s="25" t="s">
        <v>1099</v>
      </c>
      <c r="C253" s="26">
        <v>46115.0</v>
      </c>
      <c r="D253" s="25" t="s">
        <v>2243</v>
      </c>
      <c r="E253" s="25" t="s">
        <v>2244</v>
      </c>
      <c r="F253" s="25" t="s">
        <v>2760</v>
      </c>
      <c r="G253" s="29">
        <v>12.0</v>
      </c>
      <c r="H253" s="29">
        <v>0.0</v>
      </c>
      <c r="I253" s="29">
        <v>12.0</v>
      </c>
      <c r="J253" s="25" t="s">
        <v>2246</v>
      </c>
      <c r="K253" s="25" t="s">
        <v>2246</v>
      </c>
      <c r="L253" s="25" t="s">
        <v>2246</v>
      </c>
      <c r="M253" s="25" t="s">
        <v>2267</v>
      </c>
      <c r="N253" s="29">
        <f>IFERROR((C253-VLOOKUP(B253,crm_orders!$A:$S,2,FALSE))*24,0)</f>
        <v>264</v>
      </c>
      <c r="O253" s="27" t="str">
        <f>IFERROR(VLOOKUP(B253,crm_orders!$A:$S,3,FALSE),"")</f>
        <v>DSP0065</v>
      </c>
      <c r="P253" s="27" t="str">
        <f>IFERROR(VLOOKUP(B253,crm_orders!$A:$S,5,FALSE),"")</f>
        <v>AZ</v>
      </c>
      <c r="Q253" s="27" t="str">
        <f>IFERROR(VLOOKUP(B253,crm_orders!$A:$S,7,FALSE),"")</f>
        <v>Wholesale</v>
      </c>
      <c r="R253" s="27" t="str">
        <f>IFERROR(VLOOKUP(B253,crm_orders!$A:$S,8,FALSE),"")</f>
        <v>SKU0013</v>
      </c>
    </row>
    <row r="254" ht="15.75" customHeight="1">
      <c r="A254" s="17" t="s">
        <v>2761</v>
      </c>
      <c r="B254" s="17" t="s">
        <v>1146</v>
      </c>
      <c r="C254" s="18">
        <v>46070.0</v>
      </c>
      <c r="D254" s="17" t="s">
        <v>2254</v>
      </c>
      <c r="E254" s="17" t="s">
        <v>2244</v>
      </c>
      <c r="F254" s="17" t="s">
        <v>2762</v>
      </c>
      <c r="G254" s="21">
        <v>36.0</v>
      </c>
      <c r="H254" s="21">
        <v>36.0</v>
      </c>
      <c r="I254" s="21">
        <v>0.0</v>
      </c>
      <c r="J254" s="17" t="s">
        <v>2246</v>
      </c>
      <c r="K254" s="17" t="s">
        <v>2247</v>
      </c>
      <c r="L254" s="17" t="s">
        <v>2246</v>
      </c>
      <c r="M254" s="17" t="s">
        <v>2248</v>
      </c>
      <c r="N254" s="21">
        <f>IFERROR((C254-VLOOKUP(B254,crm_orders!$A:$S,2,FALSE))*24,0)</f>
        <v>72</v>
      </c>
      <c r="O254" s="19" t="str">
        <f>IFERROR(VLOOKUP(B254,crm_orders!$A:$S,3,FALSE),"")</f>
        <v>DSP0076</v>
      </c>
      <c r="P254" s="19" t="str">
        <f>IFERROR(VLOOKUP(B254,crm_orders!$A:$S,5,FALSE),"")</f>
        <v>CO</v>
      </c>
      <c r="Q254" s="19" t="str">
        <f>IFERROR(VLOOKUP(B254,crm_orders!$A:$S,7,FALSE),"")</f>
        <v>Retail</v>
      </c>
      <c r="R254" s="19" t="str">
        <f>IFERROR(VLOOKUP(B254,crm_orders!$A:$S,8,FALSE),"")</f>
        <v>SKU0018</v>
      </c>
    </row>
    <row r="255" ht="15.75" customHeight="1">
      <c r="A255" s="25" t="s">
        <v>2763</v>
      </c>
      <c r="B255" s="25" t="s">
        <v>1002</v>
      </c>
      <c r="C255" s="26">
        <v>46128.0</v>
      </c>
      <c r="D255" s="25" t="s">
        <v>2260</v>
      </c>
      <c r="E255" s="25" t="s">
        <v>2261</v>
      </c>
      <c r="F255" s="25" t="s">
        <v>2764</v>
      </c>
      <c r="G255" s="29">
        <v>24.0</v>
      </c>
      <c r="H255" s="29">
        <v>18.0</v>
      </c>
      <c r="I255" s="29">
        <v>6.0</v>
      </c>
      <c r="J255" s="25" t="s">
        <v>2246</v>
      </c>
      <c r="K255" s="25" t="s">
        <v>2246</v>
      </c>
      <c r="L255" s="25" t="s">
        <v>2246</v>
      </c>
      <c r="M255" s="25" t="s">
        <v>2267</v>
      </c>
      <c r="N255" s="29">
        <f>IFERROR((C255-VLOOKUP(B255,crm_orders!$A:$S,2,FALSE))*24,0)</f>
        <v>144</v>
      </c>
      <c r="O255" s="27" t="str">
        <f>IFERROR(VLOOKUP(B255,crm_orders!$A:$S,3,FALSE),"")</f>
        <v>DSP0021</v>
      </c>
      <c r="P255" s="27" t="str">
        <f>IFERROR(VLOOKUP(B255,crm_orders!$A:$S,5,FALSE),"")</f>
        <v>MO</v>
      </c>
      <c r="Q255" s="27" t="str">
        <f>IFERROR(VLOOKUP(B255,crm_orders!$A:$S,7,FALSE),"")</f>
        <v>Retail</v>
      </c>
      <c r="R255" s="27" t="str">
        <f>IFERROR(VLOOKUP(B255,crm_orders!$A:$S,8,FALSE),"")</f>
        <v>SKU0019</v>
      </c>
    </row>
    <row r="256" ht="15.75" customHeight="1">
      <c r="A256" s="17" t="s">
        <v>2765</v>
      </c>
      <c r="B256" s="17" t="s">
        <v>891</v>
      </c>
      <c r="C256" s="18">
        <v>46044.0</v>
      </c>
      <c r="D256" s="17" t="s">
        <v>2260</v>
      </c>
      <c r="E256" s="17" t="s">
        <v>2244</v>
      </c>
      <c r="F256" s="17" t="s">
        <v>2766</v>
      </c>
      <c r="G256" s="21">
        <v>6.0</v>
      </c>
      <c r="H256" s="21">
        <v>6.0</v>
      </c>
      <c r="I256" s="21">
        <v>0.0</v>
      </c>
      <c r="J256" s="17" t="s">
        <v>2246</v>
      </c>
      <c r="K256" s="17" t="s">
        <v>2247</v>
      </c>
      <c r="L256" s="17" t="s">
        <v>2246</v>
      </c>
      <c r="M256" s="17" t="s">
        <v>2248</v>
      </c>
      <c r="N256" s="21">
        <f>IFERROR((C256-VLOOKUP(B256,crm_orders!$A:$S,2,FALSE))*24,0)</f>
        <v>192</v>
      </c>
      <c r="O256" s="19" t="str">
        <f>IFERROR(VLOOKUP(B256,crm_orders!$A:$S,3,FALSE),"")</f>
        <v>DSP0051</v>
      </c>
      <c r="P256" s="19" t="str">
        <f>IFERROR(VLOOKUP(B256,crm_orders!$A:$S,5,FALSE),"")</f>
        <v>CA</v>
      </c>
      <c r="Q256" s="19" t="str">
        <f>IFERROR(VLOOKUP(B256,crm_orders!$A:$S,7,FALSE),"")</f>
        <v>Distributor</v>
      </c>
      <c r="R256" s="19" t="str">
        <f>IFERROR(VLOOKUP(B256,crm_orders!$A:$S,8,FALSE),"")</f>
        <v>SKU0019</v>
      </c>
    </row>
    <row r="257" ht="15.75" customHeight="1">
      <c r="A257" s="25" t="s">
        <v>2767</v>
      </c>
      <c r="B257" s="25" t="s">
        <v>764</v>
      </c>
      <c r="C257" s="26">
        <v>46117.0</v>
      </c>
      <c r="D257" s="25" t="s">
        <v>2250</v>
      </c>
      <c r="E257" s="25" t="s">
        <v>2255</v>
      </c>
      <c r="F257" s="25" t="s">
        <v>2768</v>
      </c>
      <c r="G257" s="29">
        <v>12.0</v>
      </c>
      <c r="H257" s="29">
        <v>6.0</v>
      </c>
      <c r="I257" s="29">
        <v>6.0</v>
      </c>
      <c r="J257" s="25" t="s">
        <v>2246</v>
      </c>
      <c r="K257" s="25" t="s">
        <v>2246</v>
      </c>
      <c r="L257" s="25" t="s">
        <v>2246</v>
      </c>
      <c r="M257" s="25" t="s">
        <v>2267</v>
      </c>
      <c r="N257" s="29">
        <f>IFERROR((C257-VLOOKUP(B257,crm_orders!$A:$S,2,FALSE))*24,0)</f>
        <v>168</v>
      </c>
      <c r="O257" s="27" t="str">
        <f>IFERROR(VLOOKUP(B257,crm_orders!$A:$S,3,FALSE),"")</f>
        <v>DSP0037</v>
      </c>
      <c r="P257" s="27" t="str">
        <f>IFERROR(VLOOKUP(B257,crm_orders!$A:$S,5,FALSE),"")</f>
        <v>OR</v>
      </c>
      <c r="Q257" s="27" t="str">
        <f>IFERROR(VLOOKUP(B257,crm_orders!$A:$S,7,FALSE),"")</f>
        <v>Wholesale</v>
      </c>
      <c r="R257" s="27" t="str">
        <f>IFERROR(VLOOKUP(B257,crm_orders!$A:$S,8,FALSE),"")</f>
        <v>SKU0010</v>
      </c>
    </row>
    <row r="258" ht="15.75" customHeight="1">
      <c r="A258" s="17" t="s">
        <v>2769</v>
      </c>
      <c r="B258" s="17" t="s">
        <v>892</v>
      </c>
      <c r="C258" s="18">
        <v>46057.0</v>
      </c>
      <c r="D258" s="17" t="s">
        <v>2254</v>
      </c>
      <c r="E258" s="17" t="s">
        <v>2286</v>
      </c>
      <c r="F258" s="17" t="s">
        <v>2770</v>
      </c>
      <c r="G258" s="21">
        <v>18.0</v>
      </c>
      <c r="H258" s="21">
        <v>18.0</v>
      </c>
      <c r="I258" s="21">
        <v>0.0</v>
      </c>
      <c r="J258" s="17" t="s">
        <v>2247</v>
      </c>
      <c r="K258" s="17" t="s">
        <v>2247</v>
      </c>
      <c r="L258" s="17" t="s">
        <v>2247</v>
      </c>
      <c r="M258" s="17" t="s">
        <v>2248</v>
      </c>
      <c r="N258" s="21">
        <f>IFERROR((C258-VLOOKUP(B258,crm_orders!$A:$S,2,FALSE))*24,0)</f>
        <v>240</v>
      </c>
      <c r="O258" s="19" t="str">
        <f>IFERROR(VLOOKUP(B258,crm_orders!$A:$S,3,FALSE),"")</f>
        <v>DSP0092</v>
      </c>
      <c r="P258" s="19" t="str">
        <f>IFERROR(VLOOKUP(B258,crm_orders!$A:$S,5,FALSE),"")</f>
        <v>MI</v>
      </c>
      <c r="Q258" s="19" t="str">
        <f>IFERROR(VLOOKUP(B258,crm_orders!$A:$S,7,FALSE),"")</f>
        <v>Wholesale</v>
      </c>
      <c r="R258" s="19" t="str">
        <f>IFERROR(VLOOKUP(B258,crm_orders!$A:$S,8,FALSE),"")</f>
        <v>SKU0010</v>
      </c>
    </row>
    <row r="259" ht="15.75" customHeight="1">
      <c r="A259" s="25" t="s">
        <v>2771</v>
      </c>
      <c r="B259" s="25" t="s">
        <v>765</v>
      </c>
      <c r="C259" s="26">
        <v>46118.0</v>
      </c>
      <c r="D259" s="25" t="s">
        <v>2260</v>
      </c>
      <c r="E259" s="25" t="s">
        <v>2251</v>
      </c>
      <c r="F259" s="25" t="s">
        <v>2772</v>
      </c>
      <c r="G259" s="29">
        <v>60.0</v>
      </c>
      <c r="H259" s="29">
        <v>60.0</v>
      </c>
      <c r="I259" s="29">
        <v>0.0</v>
      </c>
      <c r="J259" s="25" t="s">
        <v>2246</v>
      </c>
      <c r="K259" s="25" t="s">
        <v>2247</v>
      </c>
      <c r="L259" s="25" t="s">
        <v>2246</v>
      </c>
      <c r="M259" s="25" t="s">
        <v>2248</v>
      </c>
      <c r="N259" s="29">
        <f>IFERROR((C259-VLOOKUP(B259,crm_orders!$A:$S,2,FALSE))*24,0)</f>
        <v>288</v>
      </c>
      <c r="O259" s="27" t="str">
        <f>IFERROR(VLOOKUP(B259,crm_orders!$A:$S,3,FALSE),"")</f>
        <v>DSP0018</v>
      </c>
      <c r="P259" s="27" t="str">
        <f>IFERROR(VLOOKUP(B259,crm_orders!$A:$S,5,FALSE),"")</f>
        <v>NV</v>
      </c>
      <c r="Q259" s="27" t="str">
        <f>IFERROR(VLOOKUP(B259,crm_orders!$A:$S,7,FALSE),"")</f>
        <v>Wholesale</v>
      </c>
      <c r="R259" s="27" t="str">
        <f>IFERROR(VLOOKUP(B259,crm_orders!$A:$S,8,FALSE),"")</f>
        <v>SKU0001</v>
      </c>
    </row>
    <row r="260" ht="15.75" customHeight="1">
      <c r="A260" s="17" t="s">
        <v>2773</v>
      </c>
      <c r="B260" s="17" t="s">
        <v>340</v>
      </c>
      <c r="C260" s="18">
        <v>46073.0</v>
      </c>
      <c r="D260" s="17" t="s">
        <v>2260</v>
      </c>
      <c r="E260" s="17" t="s">
        <v>2251</v>
      </c>
      <c r="F260" s="17" t="s">
        <v>2774</v>
      </c>
      <c r="G260" s="21">
        <v>24.0</v>
      </c>
      <c r="H260" s="21">
        <v>24.0</v>
      </c>
      <c r="I260" s="21">
        <v>0.0</v>
      </c>
      <c r="J260" s="17" t="s">
        <v>2246</v>
      </c>
      <c r="K260" s="17" t="s">
        <v>2247</v>
      </c>
      <c r="L260" s="17" t="s">
        <v>2246</v>
      </c>
      <c r="M260" s="17" t="s">
        <v>2248</v>
      </c>
      <c r="N260" s="21">
        <f>IFERROR((C260-VLOOKUP(B260,crm_orders!$A:$S,2,FALSE))*24,0)</f>
        <v>168</v>
      </c>
      <c r="O260" s="19" t="str">
        <f>IFERROR(VLOOKUP(B260,crm_orders!$A:$S,3,FALSE),"")</f>
        <v>DSP0074</v>
      </c>
      <c r="P260" s="19" t="str">
        <f>IFERROR(VLOOKUP(B260,crm_orders!$A:$S,5,FALSE),"")</f>
        <v>WA</v>
      </c>
      <c r="Q260" s="19" t="str">
        <f>IFERROR(VLOOKUP(B260,crm_orders!$A:$S,7,FALSE),"")</f>
        <v>Wholesale</v>
      </c>
      <c r="R260" s="19" t="str">
        <f>IFERROR(VLOOKUP(B260,crm_orders!$A:$S,8,FALSE),"")</f>
        <v>SKU0007</v>
      </c>
    </row>
    <row r="261" ht="15.75" customHeight="1">
      <c r="A261" s="25" t="s">
        <v>2775</v>
      </c>
      <c r="B261" s="25" t="s">
        <v>766</v>
      </c>
      <c r="C261" s="26">
        <v>46054.0</v>
      </c>
      <c r="D261" s="25" t="s">
        <v>2269</v>
      </c>
      <c r="E261" s="25" t="s">
        <v>2255</v>
      </c>
      <c r="F261" s="25" t="s">
        <v>2776</v>
      </c>
      <c r="G261" s="29">
        <v>30.0</v>
      </c>
      <c r="H261" s="29">
        <v>0.0</v>
      </c>
      <c r="I261" s="29">
        <v>30.0</v>
      </c>
      <c r="J261" s="25" t="s">
        <v>2247</v>
      </c>
      <c r="K261" s="25" t="s">
        <v>2246</v>
      </c>
      <c r="L261" s="25" t="s">
        <v>2246</v>
      </c>
      <c r="M261" s="25" t="s">
        <v>2267</v>
      </c>
      <c r="N261" s="29">
        <f>IFERROR((C261-VLOOKUP(B261,crm_orders!$A:$S,2,FALSE))*24,0)</f>
        <v>192</v>
      </c>
      <c r="O261" s="27" t="str">
        <f>IFERROR(VLOOKUP(B261,crm_orders!$A:$S,3,FALSE),"")</f>
        <v>DSP0108</v>
      </c>
      <c r="P261" s="27" t="str">
        <f>IFERROR(VLOOKUP(B261,crm_orders!$A:$S,5,FALSE),"")</f>
        <v>OK</v>
      </c>
      <c r="Q261" s="27" t="str">
        <f>IFERROR(VLOOKUP(B261,crm_orders!$A:$S,7,FALSE),"")</f>
        <v>Wholesale</v>
      </c>
      <c r="R261" s="27" t="str">
        <f>IFERROR(VLOOKUP(B261,crm_orders!$A:$S,8,FALSE),"")</f>
        <v>SKU0018</v>
      </c>
    </row>
    <row r="262" ht="15.75" customHeight="1">
      <c r="A262" s="17" t="s">
        <v>2777</v>
      </c>
      <c r="B262" s="17" t="s">
        <v>1003</v>
      </c>
      <c r="C262" s="18">
        <v>46113.0</v>
      </c>
      <c r="D262" s="17" t="s">
        <v>2243</v>
      </c>
      <c r="E262" s="17" t="s">
        <v>2251</v>
      </c>
      <c r="F262" s="17" t="s">
        <v>2778</v>
      </c>
      <c r="G262" s="21">
        <v>12.0</v>
      </c>
      <c r="H262" s="21">
        <v>12.0</v>
      </c>
      <c r="I262" s="21">
        <v>0.0</v>
      </c>
      <c r="J262" s="17" t="s">
        <v>2247</v>
      </c>
      <c r="K262" s="17" t="s">
        <v>2247</v>
      </c>
      <c r="L262" s="17" t="s">
        <v>2247</v>
      </c>
      <c r="M262" s="17" t="s">
        <v>2248</v>
      </c>
      <c r="N262" s="21">
        <f>IFERROR((C262-VLOOKUP(B262,crm_orders!$A:$S,2,FALSE))*24,0)</f>
        <v>168</v>
      </c>
      <c r="O262" s="19" t="str">
        <f>IFERROR(VLOOKUP(B262,crm_orders!$A:$S,3,FALSE),"")</f>
        <v>DSP0088</v>
      </c>
      <c r="P262" s="19" t="str">
        <f>IFERROR(VLOOKUP(B262,crm_orders!$A:$S,5,FALSE),"")</f>
        <v>CO</v>
      </c>
      <c r="Q262" s="19" t="str">
        <f>IFERROR(VLOOKUP(B262,crm_orders!$A:$S,7,FALSE),"")</f>
        <v>Distributor</v>
      </c>
      <c r="R262" s="19" t="str">
        <f>IFERROR(VLOOKUP(B262,crm_orders!$A:$S,8,FALSE),"")</f>
        <v>SKU0011</v>
      </c>
    </row>
    <row r="263" ht="15.75" customHeight="1">
      <c r="A263" s="25" t="s">
        <v>2779</v>
      </c>
      <c r="B263" s="25" t="s">
        <v>604</v>
      </c>
      <c r="C263" s="26">
        <v>46080.0</v>
      </c>
      <c r="D263" s="25" t="s">
        <v>2260</v>
      </c>
      <c r="E263" s="25" t="s">
        <v>2261</v>
      </c>
      <c r="F263" s="25" t="s">
        <v>2780</v>
      </c>
      <c r="G263" s="29">
        <v>96.0</v>
      </c>
      <c r="H263" s="29">
        <v>84.0</v>
      </c>
      <c r="I263" s="29">
        <v>12.0</v>
      </c>
      <c r="J263" s="25" t="s">
        <v>2246</v>
      </c>
      <c r="K263" s="25" t="s">
        <v>2246</v>
      </c>
      <c r="L263" s="25" t="s">
        <v>2246</v>
      </c>
      <c r="M263" s="25" t="s">
        <v>2267</v>
      </c>
      <c r="N263" s="29">
        <f>IFERROR((C263-VLOOKUP(B263,crm_orders!$A:$S,2,FALSE))*24,0)</f>
        <v>120</v>
      </c>
      <c r="O263" s="27" t="str">
        <f>IFERROR(VLOOKUP(B263,crm_orders!$A:$S,3,FALSE),"")</f>
        <v>DSP0026</v>
      </c>
      <c r="P263" s="27" t="str">
        <f>IFERROR(VLOOKUP(B263,crm_orders!$A:$S,5,FALSE),"")</f>
        <v>WA</v>
      </c>
      <c r="Q263" s="27" t="str">
        <f>IFERROR(VLOOKUP(B263,crm_orders!$A:$S,7,FALSE),"")</f>
        <v>Wholesale</v>
      </c>
      <c r="R263" s="27" t="str">
        <f>IFERROR(VLOOKUP(B263,crm_orders!$A:$S,8,FALSE),"")</f>
        <v>SKU0011</v>
      </c>
    </row>
    <row r="264" ht="15.75" customHeight="1">
      <c r="A264" s="17" t="s">
        <v>2781</v>
      </c>
      <c r="B264" s="17" t="s">
        <v>605</v>
      </c>
      <c r="C264" s="18">
        <v>46026.0</v>
      </c>
      <c r="D264" s="17" t="s">
        <v>2243</v>
      </c>
      <c r="E264" s="17" t="s">
        <v>2244</v>
      </c>
      <c r="F264" s="17" t="s">
        <v>2782</v>
      </c>
      <c r="G264" s="21">
        <v>36.0</v>
      </c>
      <c r="H264" s="21">
        <v>36.0</v>
      </c>
      <c r="I264" s="21">
        <v>0.0</v>
      </c>
      <c r="J264" s="17" t="s">
        <v>2246</v>
      </c>
      <c r="K264" s="17" t="s">
        <v>2247</v>
      </c>
      <c r="L264" s="17" t="s">
        <v>2246</v>
      </c>
      <c r="M264" s="17" t="s">
        <v>2248</v>
      </c>
      <c r="N264" s="21">
        <f>IFERROR((C264-VLOOKUP(B264,crm_orders!$A:$S,2,FALSE))*24,0)</f>
        <v>48</v>
      </c>
      <c r="O264" s="19" t="str">
        <f>IFERROR(VLOOKUP(B264,crm_orders!$A:$S,3,FALSE),"")</f>
        <v>DSP0026</v>
      </c>
      <c r="P264" s="19" t="str">
        <f>IFERROR(VLOOKUP(B264,crm_orders!$A:$S,5,FALSE),"")</f>
        <v>WA</v>
      </c>
      <c r="Q264" s="19" t="str">
        <f>IFERROR(VLOOKUP(B264,crm_orders!$A:$S,7,FALSE),"")</f>
        <v>Wholesale</v>
      </c>
      <c r="R264" s="19" t="str">
        <f>IFERROR(VLOOKUP(B264,crm_orders!$A:$S,8,FALSE),"")</f>
        <v>SKU0012</v>
      </c>
    </row>
    <row r="265" ht="15.75" customHeight="1">
      <c r="A265" s="25" t="s">
        <v>2783</v>
      </c>
      <c r="B265" s="25" t="s">
        <v>767</v>
      </c>
      <c r="C265" s="26">
        <v>46065.0</v>
      </c>
      <c r="D265" s="25" t="s">
        <v>2260</v>
      </c>
      <c r="E265" s="25" t="s">
        <v>2286</v>
      </c>
      <c r="F265" s="25" t="s">
        <v>2784</v>
      </c>
      <c r="G265" s="29">
        <v>18.0</v>
      </c>
      <c r="H265" s="29">
        <v>18.0</v>
      </c>
      <c r="I265" s="29">
        <v>0.0</v>
      </c>
      <c r="J265" s="25" t="s">
        <v>2246</v>
      </c>
      <c r="K265" s="25" t="s">
        <v>2247</v>
      </c>
      <c r="L265" s="25" t="s">
        <v>2246</v>
      </c>
      <c r="M265" s="25" t="s">
        <v>2248</v>
      </c>
      <c r="N265" s="29">
        <f>IFERROR((C265-VLOOKUP(B265,crm_orders!$A:$S,2,FALSE))*24,0)</f>
        <v>72</v>
      </c>
      <c r="O265" s="27" t="str">
        <f>IFERROR(VLOOKUP(B265,crm_orders!$A:$S,3,FALSE),"")</f>
        <v>DSP0089</v>
      </c>
      <c r="P265" s="27" t="str">
        <f>IFERROR(VLOOKUP(B265,crm_orders!$A:$S,5,FALSE),"")</f>
        <v>AZ</v>
      </c>
      <c r="Q265" s="27" t="str">
        <f>IFERROR(VLOOKUP(B265,crm_orders!$A:$S,7,FALSE),"")</f>
        <v>Wholesale</v>
      </c>
      <c r="R265" s="27" t="str">
        <f>IFERROR(VLOOKUP(B265,crm_orders!$A:$S,8,FALSE),"")</f>
        <v>SKU0012</v>
      </c>
    </row>
    <row r="266" ht="15.75" customHeight="1">
      <c r="A266" s="17" t="s">
        <v>2785</v>
      </c>
      <c r="B266" s="17" t="s">
        <v>343</v>
      </c>
      <c r="C266" s="18">
        <v>46128.0</v>
      </c>
      <c r="D266" s="17" t="s">
        <v>2250</v>
      </c>
      <c r="E266" s="17" t="s">
        <v>2251</v>
      </c>
      <c r="F266" s="17" t="s">
        <v>2786</v>
      </c>
      <c r="G266" s="21">
        <v>72.0</v>
      </c>
      <c r="H266" s="21">
        <v>48.0</v>
      </c>
      <c r="I266" s="21">
        <v>24.0</v>
      </c>
      <c r="J266" s="17" t="s">
        <v>2246</v>
      </c>
      <c r="K266" s="17" t="s">
        <v>2246</v>
      </c>
      <c r="L266" s="17" t="s">
        <v>2246</v>
      </c>
      <c r="M266" s="17" t="s">
        <v>2267</v>
      </c>
      <c r="N266" s="21">
        <f>IFERROR((C266-VLOOKUP(B266,crm_orders!$A:$S,2,FALSE))*24,0)</f>
        <v>288</v>
      </c>
      <c r="O266" s="19" t="str">
        <f>IFERROR(VLOOKUP(B266,crm_orders!$A:$S,3,FALSE),"")</f>
        <v>DSP0038</v>
      </c>
      <c r="P266" s="19" t="str">
        <f>IFERROR(VLOOKUP(B266,crm_orders!$A:$S,5,FALSE),"")</f>
        <v>WA</v>
      </c>
      <c r="Q266" s="19" t="str">
        <f>IFERROR(VLOOKUP(B266,crm_orders!$A:$S,7,FALSE),"")</f>
        <v>Distributor</v>
      </c>
      <c r="R266" s="19" t="str">
        <f>IFERROR(VLOOKUP(B266,crm_orders!$A:$S,8,FALSE),"")</f>
        <v>SKU0015</v>
      </c>
    </row>
    <row r="267" ht="15.75" customHeight="1">
      <c r="A267" s="25" t="s">
        <v>2787</v>
      </c>
      <c r="B267" s="25" t="s">
        <v>768</v>
      </c>
      <c r="C267" s="26">
        <v>46048.0</v>
      </c>
      <c r="D267" s="25" t="s">
        <v>2250</v>
      </c>
      <c r="E267" s="25" t="s">
        <v>2286</v>
      </c>
      <c r="F267" s="25" t="s">
        <v>2788</v>
      </c>
      <c r="G267" s="29">
        <v>48.0</v>
      </c>
      <c r="H267" s="29">
        <v>0.0</v>
      </c>
      <c r="I267" s="29">
        <v>48.0</v>
      </c>
      <c r="J267" s="25" t="s">
        <v>2247</v>
      </c>
      <c r="K267" s="25" t="s">
        <v>2246</v>
      </c>
      <c r="L267" s="25" t="s">
        <v>2246</v>
      </c>
      <c r="M267" s="25" t="s">
        <v>2312</v>
      </c>
      <c r="N267" s="29">
        <f>IFERROR((C267-VLOOKUP(B267,crm_orders!$A:$S,2,FALSE))*24,0)</f>
        <v>96</v>
      </c>
      <c r="O267" s="27" t="str">
        <f>IFERROR(VLOOKUP(B267,crm_orders!$A:$S,3,FALSE),"")</f>
        <v>DSP0046</v>
      </c>
      <c r="P267" s="27" t="str">
        <f>IFERROR(VLOOKUP(B267,crm_orders!$A:$S,5,FALSE),"")</f>
        <v>NM</v>
      </c>
      <c r="Q267" s="27" t="str">
        <f>IFERROR(VLOOKUP(B267,crm_orders!$A:$S,7,FALSE),"")</f>
        <v>Distributor</v>
      </c>
      <c r="R267" s="27" t="str">
        <f>IFERROR(VLOOKUP(B267,crm_orders!$A:$S,8,FALSE),"")</f>
        <v>SKU0007</v>
      </c>
    </row>
    <row r="268" ht="15.75" customHeight="1">
      <c r="A268" s="17" t="s">
        <v>2789</v>
      </c>
      <c r="B268" s="17" t="s">
        <v>1148</v>
      </c>
      <c r="C268" s="18">
        <v>46107.0</v>
      </c>
      <c r="D268" s="17" t="s">
        <v>2260</v>
      </c>
      <c r="E268" s="17" t="s">
        <v>2261</v>
      </c>
      <c r="F268" s="17" t="s">
        <v>2790</v>
      </c>
      <c r="G268" s="21">
        <v>6.0</v>
      </c>
      <c r="H268" s="21">
        <v>0.0</v>
      </c>
      <c r="I268" s="21">
        <v>6.0</v>
      </c>
      <c r="J268" s="17" t="s">
        <v>2247</v>
      </c>
      <c r="K268" s="17" t="s">
        <v>2246</v>
      </c>
      <c r="L268" s="17" t="s">
        <v>2246</v>
      </c>
      <c r="M268" s="17" t="s">
        <v>2267</v>
      </c>
      <c r="N268" s="21">
        <f>IFERROR((C268-VLOOKUP(B268,crm_orders!$A:$S,2,FALSE))*24,0)</f>
        <v>24</v>
      </c>
      <c r="O268" s="19" t="str">
        <f>IFERROR(VLOOKUP(B268,crm_orders!$A:$S,3,FALSE),"")</f>
        <v>DSP0007</v>
      </c>
      <c r="P268" s="19" t="str">
        <f>IFERROR(VLOOKUP(B268,crm_orders!$A:$S,5,FALSE),"")</f>
        <v>IL</v>
      </c>
      <c r="Q268" s="19" t="str">
        <f>IFERROR(VLOOKUP(B268,crm_orders!$A:$S,7,FALSE),"")</f>
        <v>Wholesale</v>
      </c>
      <c r="R268" s="19" t="str">
        <f>IFERROR(VLOOKUP(B268,crm_orders!$A:$S,8,FALSE),"")</f>
        <v>SKU0004</v>
      </c>
    </row>
    <row r="269" ht="15.75" customHeight="1">
      <c r="A269" s="25" t="s">
        <v>2791</v>
      </c>
      <c r="B269" s="25" t="s">
        <v>1100</v>
      </c>
      <c r="C269" s="26">
        <v>46120.0</v>
      </c>
      <c r="D269" s="25" t="s">
        <v>2254</v>
      </c>
      <c r="E269" s="25" t="s">
        <v>2255</v>
      </c>
      <c r="F269" s="25" t="s">
        <v>2792</v>
      </c>
      <c r="G269" s="29">
        <v>120.0</v>
      </c>
      <c r="H269" s="29">
        <v>120.0</v>
      </c>
      <c r="I269" s="29">
        <v>0.0</v>
      </c>
      <c r="J269" s="25" t="s">
        <v>2247</v>
      </c>
      <c r="K269" s="25" t="s">
        <v>2247</v>
      </c>
      <c r="L269" s="25" t="s">
        <v>2247</v>
      </c>
      <c r="M269" s="25" t="s">
        <v>2248</v>
      </c>
      <c r="N269" s="29">
        <f>IFERROR((C269-VLOOKUP(B269,crm_orders!$A:$S,2,FALSE))*24,0)</f>
        <v>216</v>
      </c>
      <c r="O269" s="27" t="str">
        <f>IFERROR(VLOOKUP(B269,crm_orders!$A:$S,3,FALSE),"")</f>
        <v>DSP0020</v>
      </c>
      <c r="P269" s="27" t="str">
        <f>IFERROR(VLOOKUP(B269,crm_orders!$A:$S,5,FALSE),"")</f>
        <v>MI</v>
      </c>
      <c r="Q269" s="27" t="str">
        <f>IFERROR(VLOOKUP(B269,crm_orders!$A:$S,7,FALSE),"")</f>
        <v>Retail</v>
      </c>
      <c r="R269" s="27" t="str">
        <f>IFERROR(VLOOKUP(B269,crm_orders!$A:$S,8,FALSE),"")</f>
        <v>SKU0007</v>
      </c>
    </row>
    <row r="270" ht="15.75" customHeight="1">
      <c r="A270" s="17" t="s">
        <v>2793</v>
      </c>
      <c r="B270" s="17" t="s">
        <v>769</v>
      </c>
      <c r="C270" s="18">
        <v>46133.0</v>
      </c>
      <c r="D270" s="17" t="s">
        <v>2260</v>
      </c>
      <c r="E270" s="17" t="s">
        <v>2251</v>
      </c>
      <c r="F270" s="17" t="s">
        <v>2794</v>
      </c>
      <c r="G270" s="21">
        <v>12.0</v>
      </c>
      <c r="H270" s="21">
        <v>12.0</v>
      </c>
      <c r="I270" s="21">
        <v>0.0</v>
      </c>
      <c r="J270" s="17" t="s">
        <v>2246</v>
      </c>
      <c r="K270" s="17" t="s">
        <v>2247</v>
      </c>
      <c r="L270" s="17" t="s">
        <v>2246</v>
      </c>
      <c r="M270" s="17" t="s">
        <v>2248</v>
      </c>
      <c r="N270" s="21">
        <f>IFERROR((C270-VLOOKUP(B270,crm_orders!$A:$S,2,FALSE))*24,0)</f>
        <v>96</v>
      </c>
      <c r="O270" s="19" t="str">
        <f>IFERROR(VLOOKUP(B270,crm_orders!$A:$S,3,FALSE),"")</f>
        <v>DSP0018</v>
      </c>
      <c r="P270" s="19" t="str">
        <f>IFERROR(VLOOKUP(B270,crm_orders!$A:$S,5,FALSE),"")</f>
        <v>NV</v>
      </c>
      <c r="Q270" s="19" t="str">
        <f>IFERROR(VLOOKUP(B270,crm_orders!$A:$S,7,FALSE),"")</f>
        <v>Wholesale</v>
      </c>
      <c r="R270" s="19" t="str">
        <f>IFERROR(VLOOKUP(B270,crm_orders!$A:$S,8,FALSE),"")</f>
        <v>SKU0014</v>
      </c>
    </row>
    <row r="271" ht="15.75" customHeight="1">
      <c r="A271" s="25" t="s">
        <v>2795</v>
      </c>
      <c r="B271" s="25" t="s">
        <v>770</v>
      </c>
      <c r="C271" s="26">
        <v>46137.0</v>
      </c>
      <c r="D271" s="25" t="s">
        <v>2269</v>
      </c>
      <c r="E271" s="25" t="s">
        <v>2286</v>
      </c>
      <c r="F271" s="25" t="s">
        <v>2796</v>
      </c>
      <c r="G271" s="29">
        <v>72.0</v>
      </c>
      <c r="H271" s="29">
        <v>54.0</v>
      </c>
      <c r="I271" s="29">
        <v>18.0</v>
      </c>
      <c r="J271" s="25" t="s">
        <v>2246</v>
      </c>
      <c r="K271" s="25" t="s">
        <v>2246</v>
      </c>
      <c r="L271" s="25" t="s">
        <v>2246</v>
      </c>
      <c r="M271" s="25" t="s">
        <v>2267</v>
      </c>
      <c r="N271" s="29">
        <f>IFERROR((C271-VLOOKUP(B271,crm_orders!$A:$S,2,FALSE))*24,0)</f>
        <v>192</v>
      </c>
      <c r="O271" s="27" t="str">
        <f>IFERROR(VLOOKUP(B271,crm_orders!$A:$S,3,FALSE),"")</f>
        <v>DSP0100</v>
      </c>
      <c r="P271" s="27" t="str">
        <f>IFERROR(VLOOKUP(B271,crm_orders!$A:$S,5,FALSE),"")</f>
        <v>CO</v>
      </c>
      <c r="Q271" s="27" t="str">
        <f>IFERROR(VLOOKUP(B271,crm_orders!$A:$S,7,FALSE),"")</f>
        <v>Wholesale</v>
      </c>
      <c r="R271" s="27" t="str">
        <f>IFERROR(VLOOKUP(B271,crm_orders!$A:$S,8,FALSE),"")</f>
        <v>SKU0009</v>
      </c>
    </row>
    <row r="272" ht="15.75" customHeight="1">
      <c r="A272" s="17" t="s">
        <v>2797</v>
      </c>
      <c r="B272" s="17" t="s">
        <v>344</v>
      </c>
      <c r="C272" s="18">
        <v>46074.0</v>
      </c>
      <c r="D272" s="17" t="s">
        <v>2254</v>
      </c>
      <c r="E272" s="17" t="s">
        <v>2251</v>
      </c>
      <c r="F272" s="17" t="s">
        <v>2798</v>
      </c>
      <c r="G272" s="21">
        <v>24.0</v>
      </c>
      <c r="H272" s="21">
        <v>24.0</v>
      </c>
      <c r="I272" s="21">
        <v>0.0</v>
      </c>
      <c r="J272" s="17" t="s">
        <v>2247</v>
      </c>
      <c r="K272" s="17" t="s">
        <v>2247</v>
      </c>
      <c r="L272" s="17" t="s">
        <v>2247</v>
      </c>
      <c r="M272" s="17" t="s">
        <v>2248</v>
      </c>
      <c r="N272" s="21">
        <f>IFERROR((C272-VLOOKUP(B272,crm_orders!$A:$S,2,FALSE))*24,0)</f>
        <v>216</v>
      </c>
      <c r="O272" s="19" t="str">
        <f>IFERROR(VLOOKUP(B272,crm_orders!$A:$S,3,FALSE),"")</f>
        <v>DSP0027</v>
      </c>
      <c r="P272" s="19" t="str">
        <f>IFERROR(VLOOKUP(B272,crm_orders!$A:$S,5,FALSE),"")</f>
        <v>CA</v>
      </c>
      <c r="Q272" s="19" t="str">
        <f>IFERROR(VLOOKUP(B272,crm_orders!$A:$S,7,FALSE),"")</f>
        <v>Distributor</v>
      </c>
      <c r="R272" s="19" t="str">
        <f>IFERROR(VLOOKUP(B272,crm_orders!$A:$S,8,FALSE),"")</f>
        <v>SKU0016</v>
      </c>
    </row>
    <row r="273" ht="15.75" customHeight="1">
      <c r="A273" s="25" t="s">
        <v>2799</v>
      </c>
      <c r="B273" s="25" t="s">
        <v>212</v>
      </c>
      <c r="C273" s="26">
        <v>46039.0</v>
      </c>
      <c r="D273" s="25" t="s">
        <v>2260</v>
      </c>
      <c r="E273" s="25" t="s">
        <v>2286</v>
      </c>
      <c r="F273" s="25" t="s">
        <v>2800</v>
      </c>
      <c r="G273" s="29">
        <v>12.0</v>
      </c>
      <c r="H273" s="29">
        <v>12.0</v>
      </c>
      <c r="I273" s="29">
        <v>0.0</v>
      </c>
      <c r="J273" s="25" t="s">
        <v>2246</v>
      </c>
      <c r="K273" s="25" t="s">
        <v>2247</v>
      </c>
      <c r="L273" s="25" t="s">
        <v>2246</v>
      </c>
      <c r="M273" s="25" t="s">
        <v>2248</v>
      </c>
      <c r="N273" s="29">
        <f>IFERROR((C273-VLOOKUP(B273,crm_orders!$A:$S,2,FALSE))*24,0)</f>
        <v>168</v>
      </c>
      <c r="O273" s="27" t="str">
        <f>IFERROR(VLOOKUP(B273,crm_orders!$A:$S,3,FALSE),"")</f>
        <v>DSP0012</v>
      </c>
      <c r="P273" s="27" t="str">
        <f>IFERROR(VLOOKUP(B273,crm_orders!$A:$S,5,FALSE),"")</f>
        <v>OK</v>
      </c>
      <c r="Q273" s="27" t="str">
        <f>IFERROR(VLOOKUP(B273,crm_orders!$A:$S,7,FALSE),"")</f>
        <v>Wholesale</v>
      </c>
      <c r="R273" s="27" t="str">
        <f>IFERROR(VLOOKUP(B273,crm_orders!$A:$S,8,FALSE),"")</f>
        <v>SKU0017</v>
      </c>
    </row>
    <row r="274" ht="15.75" customHeight="1">
      <c r="A274" s="17" t="s">
        <v>2801</v>
      </c>
      <c r="B274" s="17" t="s">
        <v>771</v>
      </c>
      <c r="C274" s="18">
        <v>46142.0</v>
      </c>
      <c r="D274" s="17" t="s">
        <v>2250</v>
      </c>
      <c r="E274" s="17" t="s">
        <v>2286</v>
      </c>
      <c r="F274" s="17" t="s">
        <v>2802</v>
      </c>
      <c r="G274" s="21">
        <v>6.0</v>
      </c>
      <c r="H274" s="21">
        <v>0.0</v>
      </c>
      <c r="I274" s="21">
        <v>6.0</v>
      </c>
      <c r="J274" s="17" t="s">
        <v>2246</v>
      </c>
      <c r="K274" s="17" t="s">
        <v>2246</v>
      </c>
      <c r="L274" s="17" t="s">
        <v>2246</v>
      </c>
      <c r="M274" s="17" t="s">
        <v>2267</v>
      </c>
      <c r="N274" s="21">
        <f>IFERROR((C274-VLOOKUP(B274,crm_orders!$A:$S,2,FALSE))*24,0)</f>
        <v>192</v>
      </c>
      <c r="O274" s="19" t="str">
        <f>IFERROR(VLOOKUP(B274,crm_orders!$A:$S,3,FALSE),"")</f>
        <v>DSP0105</v>
      </c>
      <c r="P274" s="19" t="str">
        <f>IFERROR(VLOOKUP(B274,crm_orders!$A:$S,5,FALSE),"")</f>
        <v>MO</v>
      </c>
      <c r="Q274" s="19" t="str">
        <f>IFERROR(VLOOKUP(B274,crm_orders!$A:$S,7,FALSE),"")</f>
        <v>Retail</v>
      </c>
      <c r="R274" s="19" t="str">
        <f>IFERROR(VLOOKUP(B274,crm_orders!$A:$S,8,FALSE),"")</f>
        <v>SKU0006</v>
      </c>
    </row>
    <row r="275" ht="15.75" customHeight="1">
      <c r="A275" s="25" t="s">
        <v>2803</v>
      </c>
      <c r="B275" s="25" t="s">
        <v>1101</v>
      </c>
      <c r="C275" s="26">
        <v>46031.0</v>
      </c>
      <c r="D275" s="25" t="s">
        <v>2243</v>
      </c>
      <c r="E275" s="25" t="s">
        <v>2286</v>
      </c>
      <c r="F275" s="25" t="s">
        <v>2804</v>
      </c>
      <c r="G275" s="29">
        <v>18.0</v>
      </c>
      <c r="H275" s="29">
        <v>18.0</v>
      </c>
      <c r="I275" s="29">
        <v>0.0</v>
      </c>
      <c r="J275" s="25" t="s">
        <v>2247</v>
      </c>
      <c r="K275" s="25" t="s">
        <v>2247</v>
      </c>
      <c r="L275" s="25" t="s">
        <v>2247</v>
      </c>
      <c r="M275" s="25" t="s">
        <v>2248</v>
      </c>
      <c r="N275" s="29">
        <f>IFERROR((C275-VLOOKUP(B275,crm_orders!$A:$S,2,FALSE))*24,0)</f>
        <v>168</v>
      </c>
      <c r="O275" s="27" t="str">
        <f>IFERROR(VLOOKUP(B275,crm_orders!$A:$S,3,FALSE),"")</f>
        <v>DSP0098</v>
      </c>
      <c r="P275" s="27" t="str">
        <f>IFERROR(VLOOKUP(B275,crm_orders!$A:$S,5,FALSE),"")</f>
        <v>WA</v>
      </c>
      <c r="Q275" s="27" t="str">
        <f>IFERROR(VLOOKUP(B275,crm_orders!$A:$S,7,FALSE),"")</f>
        <v>Wholesale</v>
      </c>
      <c r="R275" s="27" t="str">
        <f>IFERROR(VLOOKUP(B275,crm_orders!$A:$S,8,FALSE),"")</f>
        <v>SKU0002</v>
      </c>
    </row>
    <row r="276" ht="15.75" customHeight="1">
      <c r="A276" s="17" t="s">
        <v>2805</v>
      </c>
      <c r="B276" s="17" t="s">
        <v>1149</v>
      </c>
      <c r="C276" s="18">
        <v>46110.0</v>
      </c>
      <c r="D276" s="17" t="s">
        <v>2269</v>
      </c>
      <c r="E276" s="17" t="s">
        <v>2261</v>
      </c>
      <c r="F276" s="17" t="s">
        <v>2806</v>
      </c>
      <c r="G276" s="21">
        <v>18.0</v>
      </c>
      <c r="H276" s="21">
        <v>18.0</v>
      </c>
      <c r="I276" s="21">
        <v>0.0</v>
      </c>
      <c r="J276" s="17" t="s">
        <v>2246</v>
      </c>
      <c r="K276" s="17" t="s">
        <v>2247</v>
      </c>
      <c r="L276" s="17" t="s">
        <v>2246</v>
      </c>
      <c r="M276" s="17" t="s">
        <v>2248</v>
      </c>
      <c r="N276" s="21">
        <f>IFERROR((C276-VLOOKUP(B276,crm_orders!$A:$S,2,FALSE))*24,0)</f>
        <v>96</v>
      </c>
      <c r="O276" s="19" t="str">
        <f>IFERROR(VLOOKUP(B276,crm_orders!$A:$S,3,FALSE),"")</f>
        <v>DSP0062</v>
      </c>
      <c r="P276" s="19" t="str">
        <f>IFERROR(VLOOKUP(B276,crm_orders!$A:$S,5,FALSE),"")</f>
        <v>WA</v>
      </c>
      <c r="Q276" s="19" t="str">
        <f>IFERROR(VLOOKUP(B276,crm_orders!$A:$S,7,FALSE),"")</f>
        <v>Wholesale</v>
      </c>
      <c r="R276" s="19" t="str">
        <f>IFERROR(VLOOKUP(B276,crm_orders!$A:$S,8,FALSE),"")</f>
        <v>SKU0014</v>
      </c>
    </row>
    <row r="277" ht="15.75" customHeight="1">
      <c r="A277" s="25" t="s">
        <v>2807</v>
      </c>
      <c r="B277" s="25" t="s">
        <v>606</v>
      </c>
      <c r="C277" s="26">
        <v>46136.0</v>
      </c>
      <c r="D277" s="25" t="s">
        <v>2260</v>
      </c>
      <c r="E277" s="25" t="s">
        <v>2286</v>
      </c>
      <c r="F277" s="25" t="s">
        <v>2808</v>
      </c>
      <c r="G277" s="29">
        <v>96.0</v>
      </c>
      <c r="H277" s="29">
        <v>96.0</v>
      </c>
      <c r="I277" s="29">
        <v>0.0</v>
      </c>
      <c r="J277" s="25" t="s">
        <v>2246</v>
      </c>
      <c r="K277" s="25" t="s">
        <v>2247</v>
      </c>
      <c r="L277" s="25" t="s">
        <v>2246</v>
      </c>
      <c r="M277" s="25" t="s">
        <v>2248</v>
      </c>
      <c r="N277" s="29">
        <f>IFERROR((C277-VLOOKUP(B277,crm_orders!$A:$S,2,FALSE))*24,0)</f>
        <v>360</v>
      </c>
      <c r="O277" s="27" t="str">
        <f>IFERROR(VLOOKUP(B277,crm_orders!$A:$S,3,FALSE),"")</f>
        <v>DSP0112</v>
      </c>
      <c r="P277" s="27" t="str">
        <f>IFERROR(VLOOKUP(B277,crm_orders!$A:$S,5,FALSE),"")</f>
        <v>CO</v>
      </c>
      <c r="Q277" s="27" t="str">
        <f>IFERROR(VLOOKUP(B277,crm_orders!$A:$S,7,FALSE),"")</f>
        <v>Distributor</v>
      </c>
      <c r="R277" s="27" t="str">
        <f>IFERROR(VLOOKUP(B277,crm_orders!$A:$S,8,FALSE),"")</f>
        <v>SKU0017</v>
      </c>
    </row>
    <row r="278" ht="15.75" customHeight="1">
      <c r="A278" s="17" t="s">
        <v>2809</v>
      </c>
      <c r="B278" s="17" t="s">
        <v>345</v>
      </c>
      <c r="C278" s="18">
        <v>46085.0</v>
      </c>
      <c r="D278" s="17" t="s">
        <v>2250</v>
      </c>
      <c r="E278" s="17" t="s">
        <v>2251</v>
      </c>
      <c r="F278" s="17" t="s">
        <v>2810</v>
      </c>
      <c r="G278" s="21">
        <v>120.0</v>
      </c>
      <c r="H278" s="21">
        <v>120.0</v>
      </c>
      <c r="I278" s="21">
        <v>0.0</v>
      </c>
      <c r="J278" s="17" t="s">
        <v>2247</v>
      </c>
      <c r="K278" s="17" t="s">
        <v>2247</v>
      </c>
      <c r="L278" s="17" t="s">
        <v>2247</v>
      </c>
      <c r="M278" s="17" t="s">
        <v>2248</v>
      </c>
      <c r="N278" s="21">
        <f>IFERROR((C278-VLOOKUP(B278,crm_orders!$A:$S,2,FALSE))*24,0)</f>
        <v>168</v>
      </c>
      <c r="O278" s="19" t="str">
        <f>IFERROR(VLOOKUP(B278,crm_orders!$A:$S,3,FALSE),"")</f>
        <v>DSP0080</v>
      </c>
      <c r="P278" s="19" t="str">
        <f>IFERROR(VLOOKUP(B278,crm_orders!$A:$S,5,FALSE),"")</f>
        <v>MI</v>
      </c>
      <c r="Q278" s="19" t="str">
        <f>IFERROR(VLOOKUP(B278,crm_orders!$A:$S,7,FALSE),"")</f>
        <v>Retail</v>
      </c>
      <c r="R278" s="19" t="str">
        <f>IFERROR(VLOOKUP(B278,crm_orders!$A:$S,8,FALSE),"")</f>
        <v>SKU0004</v>
      </c>
    </row>
    <row r="279" ht="15.75" customHeight="1">
      <c r="A279" s="25" t="s">
        <v>2811</v>
      </c>
      <c r="B279" s="25" t="s">
        <v>346</v>
      </c>
      <c r="C279" s="26">
        <v>46039.0</v>
      </c>
      <c r="D279" s="25" t="s">
        <v>2250</v>
      </c>
      <c r="E279" s="25" t="s">
        <v>2261</v>
      </c>
      <c r="F279" s="25" t="s">
        <v>2812</v>
      </c>
      <c r="G279" s="29">
        <v>6.0</v>
      </c>
      <c r="H279" s="29">
        <v>6.0</v>
      </c>
      <c r="I279" s="29">
        <v>0.0</v>
      </c>
      <c r="J279" s="25" t="s">
        <v>2246</v>
      </c>
      <c r="K279" s="25" t="s">
        <v>2247</v>
      </c>
      <c r="L279" s="25" t="s">
        <v>2246</v>
      </c>
      <c r="M279" s="25" t="s">
        <v>2248</v>
      </c>
      <c r="N279" s="29">
        <f>IFERROR((C279-VLOOKUP(B279,crm_orders!$A:$S,2,FALSE))*24,0)</f>
        <v>240</v>
      </c>
      <c r="O279" s="27" t="str">
        <f>IFERROR(VLOOKUP(B279,crm_orders!$A:$S,3,FALSE),"")</f>
        <v>DSP0115</v>
      </c>
      <c r="P279" s="27" t="str">
        <f>IFERROR(VLOOKUP(B279,crm_orders!$A:$S,5,FALSE),"")</f>
        <v>IL</v>
      </c>
      <c r="Q279" s="27" t="str">
        <f>IFERROR(VLOOKUP(B279,crm_orders!$A:$S,7,FALSE),"")</f>
        <v>Distributor</v>
      </c>
      <c r="R279" s="27" t="str">
        <f>IFERROR(VLOOKUP(B279,crm_orders!$A:$S,8,FALSE),"")</f>
        <v>SKU0020</v>
      </c>
    </row>
    <row r="280" ht="15.75" customHeight="1">
      <c r="A280" s="17" t="s">
        <v>2813</v>
      </c>
      <c r="B280" s="17" t="s">
        <v>112</v>
      </c>
      <c r="C280" s="18">
        <v>46063.0</v>
      </c>
      <c r="D280" s="17" t="s">
        <v>2260</v>
      </c>
      <c r="E280" s="17" t="s">
        <v>2251</v>
      </c>
      <c r="F280" s="17" t="s">
        <v>2814</v>
      </c>
      <c r="G280" s="21">
        <v>36.0</v>
      </c>
      <c r="H280" s="21">
        <v>36.0</v>
      </c>
      <c r="I280" s="21">
        <v>0.0</v>
      </c>
      <c r="J280" s="17" t="s">
        <v>2246</v>
      </c>
      <c r="K280" s="17" t="s">
        <v>2247</v>
      </c>
      <c r="L280" s="17" t="s">
        <v>2246</v>
      </c>
      <c r="M280" s="17" t="s">
        <v>2248</v>
      </c>
      <c r="N280" s="21">
        <f>IFERROR((C280-VLOOKUP(B280,crm_orders!$A:$S,2,FALSE))*24,0)</f>
        <v>240</v>
      </c>
      <c r="O280" s="19" t="str">
        <f>IFERROR(VLOOKUP(B280,crm_orders!$A:$S,3,FALSE),"")</f>
        <v>DSP0063</v>
      </c>
      <c r="P280" s="19" t="str">
        <f>IFERROR(VLOOKUP(B280,crm_orders!$A:$S,5,FALSE),"")</f>
        <v>CA</v>
      </c>
      <c r="Q280" s="19" t="str">
        <f>IFERROR(VLOOKUP(B280,crm_orders!$A:$S,7,FALSE),"")</f>
        <v>Wholesale</v>
      </c>
      <c r="R280" s="19" t="str">
        <f>IFERROR(VLOOKUP(B280,crm_orders!$A:$S,8,FALSE),"")</f>
        <v>SKU0011</v>
      </c>
    </row>
    <row r="281" ht="15.75" customHeight="1">
      <c r="A281" s="25" t="s">
        <v>2815</v>
      </c>
      <c r="B281" s="25" t="s">
        <v>1004</v>
      </c>
      <c r="C281" s="26">
        <v>46129.0</v>
      </c>
      <c r="D281" s="25" t="s">
        <v>2254</v>
      </c>
      <c r="E281" s="25" t="s">
        <v>2255</v>
      </c>
      <c r="F281" s="25" t="s">
        <v>2816</v>
      </c>
      <c r="G281" s="29">
        <v>96.0</v>
      </c>
      <c r="H281" s="29">
        <v>96.0</v>
      </c>
      <c r="I281" s="29">
        <v>0.0</v>
      </c>
      <c r="J281" s="25" t="s">
        <v>2246</v>
      </c>
      <c r="K281" s="25" t="s">
        <v>2247</v>
      </c>
      <c r="L281" s="25" t="s">
        <v>2246</v>
      </c>
      <c r="M281" s="25" t="s">
        <v>2248</v>
      </c>
      <c r="N281" s="29">
        <f>IFERROR((C281-VLOOKUP(B281,crm_orders!$A:$S,2,FALSE))*24,0)</f>
        <v>96</v>
      </c>
      <c r="O281" s="27" t="str">
        <f>IFERROR(VLOOKUP(B281,crm_orders!$A:$S,3,FALSE),"")</f>
        <v>DSP0059</v>
      </c>
      <c r="P281" s="27" t="str">
        <f>IFERROR(VLOOKUP(B281,crm_orders!$A:$S,5,FALSE),"")</f>
        <v>NY</v>
      </c>
      <c r="Q281" s="27" t="str">
        <f>IFERROR(VLOOKUP(B281,crm_orders!$A:$S,7,FALSE),"")</f>
        <v>Wholesale</v>
      </c>
      <c r="R281" s="27" t="str">
        <f>IFERROR(VLOOKUP(B281,crm_orders!$A:$S,8,FALSE),"")</f>
        <v>SKU0015</v>
      </c>
    </row>
    <row r="282" ht="15.75" customHeight="1">
      <c r="A282" s="17" t="s">
        <v>2817</v>
      </c>
      <c r="B282" s="17" t="s">
        <v>772</v>
      </c>
      <c r="C282" s="18">
        <v>46085.0</v>
      </c>
      <c r="D282" s="17" t="s">
        <v>2243</v>
      </c>
      <c r="E282" s="17" t="s">
        <v>2255</v>
      </c>
      <c r="F282" s="17" t="s">
        <v>2818</v>
      </c>
      <c r="G282" s="21">
        <v>48.0</v>
      </c>
      <c r="H282" s="21">
        <v>48.0</v>
      </c>
      <c r="I282" s="21">
        <v>0.0</v>
      </c>
      <c r="J282" s="17" t="s">
        <v>2246</v>
      </c>
      <c r="K282" s="17" t="s">
        <v>2247</v>
      </c>
      <c r="L282" s="17" t="s">
        <v>2246</v>
      </c>
      <c r="M282" s="17" t="s">
        <v>2248</v>
      </c>
      <c r="N282" s="21">
        <f>IFERROR((C282-VLOOKUP(B282,crm_orders!$A:$S,2,FALSE))*24,0)</f>
        <v>264</v>
      </c>
      <c r="O282" s="19" t="str">
        <f>IFERROR(VLOOKUP(B282,crm_orders!$A:$S,3,FALSE),"")</f>
        <v>DSP0003</v>
      </c>
      <c r="P282" s="19" t="str">
        <f>IFERROR(VLOOKUP(B282,crm_orders!$A:$S,5,FALSE),"")</f>
        <v>CA</v>
      </c>
      <c r="Q282" s="19" t="str">
        <f>IFERROR(VLOOKUP(B282,crm_orders!$A:$S,7,FALSE),"")</f>
        <v>Distributor</v>
      </c>
      <c r="R282" s="19" t="str">
        <f>IFERROR(VLOOKUP(B282,crm_orders!$A:$S,8,FALSE),"")</f>
        <v>SKU0004</v>
      </c>
    </row>
    <row r="283" ht="15.75" customHeight="1">
      <c r="A283" s="25" t="s">
        <v>2819</v>
      </c>
      <c r="B283" s="25" t="s">
        <v>347</v>
      </c>
      <c r="C283" s="26">
        <v>46129.0</v>
      </c>
      <c r="D283" s="25" t="s">
        <v>2243</v>
      </c>
      <c r="E283" s="25" t="s">
        <v>2286</v>
      </c>
      <c r="F283" s="25" t="s">
        <v>2820</v>
      </c>
      <c r="G283" s="29">
        <v>96.0</v>
      </c>
      <c r="H283" s="29">
        <v>60.0</v>
      </c>
      <c r="I283" s="29">
        <v>36.0</v>
      </c>
      <c r="J283" s="25" t="s">
        <v>2247</v>
      </c>
      <c r="K283" s="25" t="s">
        <v>2246</v>
      </c>
      <c r="L283" s="25" t="s">
        <v>2246</v>
      </c>
      <c r="M283" s="25" t="s">
        <v>2267</v>
      </c>
      <c r="N283" s="29">
        <f>IFERROR((C283-VLOOKUP(B283,crm_orders!$A:$S,2,FALSE))*24,0)</f>
        <v>192</v>
      </c>
      <c r="O283" s="27" t="str">
        <f>IFERROR(VLOOKUP(B283,crm_orders!$A:$S,3,FALSE),"")</f>
        <v>DSP0043</v>
      </c>
      <c r="P283" s="27" t="str">
        <f>IFERROR(VLOOKUP(B283,crm_orders!$A:$S,5,FALSE),"")</f>
        <v>IL</v>
      </c>
      <c r="Q283" s="27" t="str">
        <f>IFERROR(VLOOKUP(B283,crm_orders!$A:$S,7,FALSE),"")</f>
        <v>Wholesale</v>
      </c>
      <c r="R283" s="27" t="str">
        <f>IFERROR(VLOOKUP(B283,crm_orders!$A:$S,8,FALSE),"")</f>
        <v>SKU0018</v>
      </c>
    </row>
    <row r="284" ht="15.75" customHeight="1">
      <c r="A284" s="17" t="s">
        <v>2821</v>
      </c>
      <c r="B284" s="17" t="s">
        <v>490</v>
      </c>
      <c r="C284" s="18">
        <v>46075.0</v>
      </c>
      <c r="D284" s="17" t="s">
        <v>2254</v>
      </c>
      <c r="E284" s="17" t="s">
        <v>2286</v>
      </c>
      <c r="F284" s="17" t="s">
        <v>2822</v>
      </c>
      <c r="G284" s="21">
        <v>36.0</v>
      </c>
      <c r="H284" s="21">
        <v>36.0</v>
      </c>
      <c r="I284" s="21">
        <v>0.0</v>
      </c>
      <c r="J284" s="17" t="s">
        <v>2247</v>
      </c>
      <c r="K284" s="17" t="s">
        <v>2247</v>
      </c>
      <c r="L284" s="17" t="s">
        <v>2247</v>
      </c>
      <c r="M284" s="17" t="s">
        <v>2248</v>
      </c>
      <c r="N284" s="21">
        <f>IFERROR((C284-VLOOKUP(B284,crm_orders!$A:$S,2,FALSE))*24,0)</f>
        <v>216</v>
      </c>
      <c r="O284" s="19" t="str">
        <f>IFERROR(VLOOKUP(B284,crm_orders!$A:$S,3,FALSE),"")</f>
        <v>DSP0029</v>
      </c>
      <c r="P284" s="19" t="str">
        <f>IFERROR(VLOOKUP(B284,crm_orders!$A:$S,5,FALSE),"")</f>
        <v>AZ</v>
      </c>
      <c r="Q284" s="19" t="str">
        <f>IFERROR(VLOOKUP(B284,crm_orders!$A:$S,7,FALSE),"")</f>
        <v>Wholesale</v>
      </c>
      <c r="R284" s="19" t="str">
        <f>IFERROR(VLOOKUP(B284,crm_orders!$A:$S,8,FALSE),"")</f>
        <v>SKU0001</v>
      </c>
    </row>
    <row r="285" ht="15.75" customHeight="1">
      <c r="A285" s="25" t="s">
        <v>2823</v>
      </c>
      <c r="B285" s="25" t="s">
        <v>348</v>
      </c>
      <c r="C285" s="26">
        <v>46091.0</v>
      </c>
      <c r="D285" s="25" t="s">
        <v>2269</v>
      </c>
      <c r="E285" s="25" t="s">
        <v>2261</v>
      </c>
      <c r="F285" s="25" t="s">
        <v>2824</v>
      </c>
      <c r="G285" s="29">
        <v>18.0</v>
      </c>
      <c r="H285" s="29">
        <v>18.0</v>
      </c>
      <c r="I285" s="29">
        <v>0.0</v>
      </c>
      <c r="J285" s="25" t="s">
        <v>2247</v>
      </c>
      <c r="K285" s="25" t="s">
        <v>2247</v>
      </c>
      <c r="L285" s="25" t="s">
        <v>2247</v>
      </c>
      <c r="M285" s="25" t="s">
        <v>2248</v>
      </c>
      <c r="N285" s="29">
        <f>IFERROR((C285-VLOOKUP(B285,crm_orders!$A:$S,2,FALSE))*24,0)</f>
        <v>120</v>
      </c>
      <c r="O285" s="27" t="str">
        <f>IFERROR(VLOOKUP(B285,crm_orders!$A:$S,3,FALSE),"")</f>
        <v>DSP0115</v>
      </c>
      <c r="P285" s="27" t="str">
        <f>IFERROR(VLOOKUP(B285,crm_orders!$A:$S,5,FALSE),"")</f>
        <v>IL</v>
      </c>
      <c r="Q285" s="27" t="str">
        <f>IFERROR(VLOOKUP(B285,crm_orders!$A:$S,7,FALSE),"")</f>
        <v>Wholesale</v>
      </c>
      <c r="R285" s="27" t="str">
        <f>IFERROR(VLOOKUP(B285,crm_orders!$A:$S,8,FALSE),"")</f>
        <v>SKU0006</v>
      </c>
    </row>
    <row r="286" ht="15.75" customHeight="1">
      <c r="A286" s="17" t="s">
        <v>2825</v>
      </c>
      <c r="B286" s="17" t="s">
        <v>894</v>
      </c>
      <c r="C286" s="18">
        <v>46058.0</v>
      </c>
      <c r="D286" s="17" t="s">
        <v>2254</v>
      </c>
      <c r="E286" s="17" t="s">
        <v>2255</v>
      </c>
      <c r="F286" s="17" t="s">
        <v>2826</v>
      </c>
      <c r="G286" s="21">
        <v>60.0</v>
      </c>
      <c r="H286" s="21">
        <v>60.0</v>
      </c>
      <c r="I286" s="21">
        <v>0.0</v>
      </c>
      <c r="J286" s="17" t="s">
        <v>2246</v>
      </c>
      <c r="K286" s="17" t="s">
        <v>2247</v>
      </c>
      <c r="L286" s="17" t="s">
        <v>2246</v>
      </c>
      <c r="M286" s="17" t="s">
        <v>2248</v>
      </c>
      <c r="N286" s="21">
        <f>IFERROR((C286-VLOOKUP(B286,crm_orders!$A:$S,2,FALSE))*24,0)</f>
        <v>192</v>
      </c>
      <c r="O286" s="19" t="str">
        <f>IFERROR(VLOOKUP(B286,crm_orders!$A:$S,3,FALSE),"")</f>
        <v>DSP0120</v>
      </c>
      <c r="P286" s="19" t="str">
        <f>IFERROR(VLOOKUP(B286,crm_orders!$A:$S,5,FALSE),"")</f>
        <v>OK</v>
      </c>
      <c r="Q286" s="19" t="str">
        <f>IFERROR(VLOOKUP(B286,crm_orders!$A:$S,7,FALSE),"")</f>
        <v>Wholesale</v>
      </c>
      <c r="R286" s="19" t="str">
        <f>IFERROR(VLOOKUP(B286,crm_orders!$A:$S,8,FALSE),"")</f>
        <v>SKU0013</v>
      </c>
    </row>
    <row r="287" ht="15.75" customHeight="1">
      <c r="A287" s="25" t="s">
        <v>2827</v>
      </c>
      <c r="B287" s="25" t="s">
        <v>62</v>
      </c>
      <c r="C287" s="26">
        <v>46048.0</v>
      </c>
      <c r="D287" s="25" t="s">
        <v>2243</v>
      </c>
      <c r="E287" s="25" t="s">
        <v>2255</v>
      </c>
      <c r="F287" s="25" t="s">
        <v>2828</v>
      </c>
      <c r="G287" s="29">
        <v>60.0</v>
      </c>
      <c r="H287" s="29">
        <v>60.0</v>
      </c>
      <c r="I287" s="29">
        <v>0.0</v>
      </c>
      <c r="J287" s="25" t="s">
        <v>2246</v>
      </c>
      <c r="K287" s="25" t="s">
        <v>2247</v>
      </c>
      <c r="L287" s="25" t="s">
        <v>2246</v>
      </c>
      <c r="M287" s="25" t="s">
        <v>2248</v>
      </c>
      <c r="N287" s="29">
        <f>IFERROR((C287-VLOOKUP(B287,crm_orders!$A:$S,2,FALSE))*24,0)</f>
        <v>240</v>
      </c>
      <c r="O287" s="27" t="str">
        <f>IFERROR(VLOOKUP(B287,crm_orders!$A:$S,3,FALSE),"")</f>
        <v/>
      </c>
      <c r="P287" s="27" t="str">
        <f>IFERROR(VLOOKUP(B287,crm_orders!$A:$S,5,FALSE),"")</f>
        <v/>
      </c>
      <c r="Q287" s="27" t="str">
        <f>IFERROR(VLOOKUP(B287,crm_orders!$A:$S,7,FALSE),"")</f>
        <v>Wholesale</v>
      </c>
      <c r="R287" s="27" t="str">
        <f>IFERROR(VLOOKUP(B287,crm_orders!$A:$S,8,FALSE),"")</f>
        <v>SKU0019</v>
      </c>
    </row>
    <row r="288" ht="15.75" customHeight="1">
      <c r="A288" s="17" t="s">
        <v>2829</v>
      </c>
      <c r="B288" s="17" t="s">
        <v>607</v>
      </c>
      <c r="C288" s="18">
        <v>46135.0</v>
      </c>
      <c r="D288" s="17" t="s">
        <v>2254</v>
      </c>
      <c r="E288" s="17" t="s">
        <v>2251</v>
      </c>
      <c r="F288" s="17" t="s">
        <v>2830</v>
      </c>
      <c r="G288" s="21">
        <v>96.0</v>
      </c>
      <c r="H288" s="21">
        <v>96.0</v>
      </c>
      <c r="I288" s="21">
        <v>0.0</v>
      </c>
      <c r="J288" s="17" t="s">
        <v>2246</v>
      </c>
      <c r="K288" s="17" t="s">
        <v>2247</v>
      </c>
      <c r="L288" s="17" t="s">
        <v>2246</v>
      </c>
      <c r="M288" s="17" t="s">
        <v>2248</v>
      </c>
      <c r="N288" s="21">
        <f>IFERROR((C288-VLOOKUP(B288,crm_orders!$A:$S,2,FALSE))*24,0)</f>
        <v>120</v>
      </c>
      <c r="O288" s="19" t="str">
        <f>IFERROR(VLOOKUP(B288,crm_orders!$A:$S,3,FALSE),"")</f>
        <v>DSP0071</v>
      </c>
      <c r="P288" s="19" t="str">
        <f>IFERROR(VLOOKUP(B288,crm_orders!$A:$S,5,FALSE),"")</f>
        <v>NY</v>
      </c>
      <c r="Q288" s="19" t="str">
        <f>IFERROR(VLOOKUP(B288,crm_orders!$A:$S,7,FALSE),"")</f>
        <v>Distributor</v>
      </c>
      <c r="R288" s="19" t="str">
        <f>IFERROR(VLOOKUP(B288,crm_orders!$A:$S,8,FALSE),"")</f>
        <v>SKU0014</v>
      </c>
    </row>
    <row r="289" ht="15.75" customHeight="1">
      <c r="A289" s="25" t="s">
        <v>2831</v>
      </c>
      <c r="B289" s="25" t="s">
        <v>773</v>
      </c>
      <c r="C289" s="26">
        <v>46043.0</v>
      </c>
      <c r="D289" s="25" t="s">
        <v>2260</v>
      </c>
      <c r="E289" s="25" t="s">
        <v>2244</v>
      </c>
      <c r="F289" s="25" t="s">
        <v>2832</v>
      </c>
      <c r="G289" s="29">
        <v>48.0</v>
      </c>
      <c r="H289" s="29">
        <v>48.0</v>
      </c>
      <c r="I289" s="29">
        <v>0.0</v>
      </c>
      <c r="J289" s="25" t="s">
        <v>2247</v>
      </c>
      <c r="K289" s="25" t="s">
        <v>2247</v>
      </c>
      <c r="L289" s="25" t="s">
        <v>2247</v>
      </c>
      <c r="M289" s="25" t="s">
        <v>2248</v>
      </c>
      <c r="N289" s="29">
        <f>IFERROR((C289-VLOOKUP(B289,crm_orders!$A:$S,2,FALSE))*24,0)</f>
        <v>168</v>
      </c>
      <c r="O289" s="27" t="str">
        <f>IFERROR(VLOOKUP(B289,crm_orders!$A:$S,3,FALSE),"")</f>
        <v>DSP0105</v>
      </c>
      <c r="P289" s="27" t="str">
        <f>IFERROR(VLOOKUP(B289,crm_orders!$A:$S,5,FALSE),"")</f>
        <v>MO</v>
      </c>
      <c r="Q289" s="27" t="str">
        <f>IFERROR(VLOOKUP(B289,crm_orders!$A:$S,7,FALSE),"")</f>
        <v>Wholesale</v>
      </c>
      <c r="R289" s="27" t="str">
        <f>IFERROR(VLOOKUP(B289,crm_orders!$A:$S,8,FALSE),"")</f>
        <v>SKU0005</v>
      </c>
    </row>
    <row r="290" ht="15.75" customHeight="1">
      <c r="A290" s="17" t="s">
        <v>2833</v>
      </c>
      <c r="B290" s="17" t="s">
        <v>774</v>
      </c>
      <c r="C290" s="18">
        <v>46061.0</v>
      </c>
      <c r="D290" s="17" t="s">
        <v>2269</v>
      </c>
      <c r="E290" s="17" t="s">
        <v>2251</v>
      </c>
      <c r="F290" s="17" t="s">
        <v>2834</v>
      </c>
      <c r="G290" s="21">
        <v>48.0</v>
      </c>
      <c r="H290" s="21">
        <v>48.0</v>
      </c>
      <c r="I290" s="21">
        <v>0.0</v>
      </c>
      <c r="J290" s="17" t="s">
        <v>2247</v>
      </c>
      <c r="K290" s="17" t="s">
        <v>2247</v>
      </c>
      <c r="L290" s="17" t="s">
        <v>2247</v>
      </c>
      <c r="M290" s="17" t="s">
        <v>2248</v>
      </c>
      <c r="N290" s="21">
        <f>IFERROR((C290-VLOOKUP(B290,crm_orders!$A:$S,2,FALSE))*24,0)</f>
        <v>72</v>
      </c>
      <c r="O290" s="19" t="str">
        <f>IFERROR(VLOOKUP(B290,crm_orders!$A:$S,3,FALSE),"")</f>
        <v>DSP0089</v>
      </c>
      <c r="P290" s="19" t="str">
        <f>IFERROR(VLOOKUP(B290,crm_orders!$A:$S,5,FALSE),"")</f>
        <v>AZ</v>
      </c>
      <c r="Q290" s="19" t="str">
        <f>IFERROR(VLOOKUP(B290,crm_orders!$A:$S,7,FALSE),"")</f>
        <v>Wholesale</v>
      </c>
      <c r="R290" s="19" t="str">
        <f>IFERROR(VLOOKUP(B290,crm_orders!$A:$S,8,FALSE),"")</f>
        <v>SKU0008</v>
      </c>
    </row>
    <row r="291" ht="15.75" customHeight="1">
      <c r="A291" s="25" t="s">
        <v>2835</v>
      </c>
      <c r="B291" s="25" t="s">
        <v>214</v>
      </c>
      <c r="C291" s="26">
        <v>46067.0</v>
      </c>
      <c r="D291" s="25" t="s">
        <v>2250</v>
      </c>
      <c r="E291" s="25" t="s">
        <v>2286</v>
      </c>
      <c r="F291" s="25" t="s">
        <v>2836</v>
      </c>
      <c r="G291" s="29">
        <v>72.0</v>
      </c>
      <c r="H291" s="29">
        <v>72.0</v>
      </c>
      <c r="I291" s="29">
        <v>0.0</v>
      </c>
      <c r="J291" s="25" t="s">
        <v>2246</v>
      </c>
      <c r="K291" s="25" t="s">
        <v>2247</v>
      </c>
      <c r="L291" s="25" t="s">
        <v>2246</v>
      </c>
      <c r="M291" s="25" t="s">
        <v>2248</v>
      </c>
      <c r="N291" s="29">
        <f>IFERROR((C291-VLOOKUP(B291,crm_orders!$A:$S,2,FALSE))*24,0)</f>
        <v>144</v>
      </c>
      <c r="O291" s="27" t="str">
        <f>IFERROR(VLOOKUP(B291,crm_orders!$A:$S,3,FALSE),"")</f>
        <v>DSP0114</v>
      </c>
      <c r="P291" s="27" t="str">
        <f>IFERROR(VLOOKUP(B291,crm_orders!$A:$S,5,FALSE),"")</f>
        <v>NV</v>
      </c>
      <c r="Q291" s="27" t="str">
        <f>IFERROR(VLOOKUP(B291,crm_orders!$A:$S,7,FALSE),"")</f>
        <v>Distributor</v>
      </c>
      <c r="R291" s="27" t="str">
        <f>IFERROR(VLOOKUP(B291,crm_orders!$A:$S,8,FALSE),"")</f>
        <v>SKU0017</v>
      </c>
    </row>
    <row r="292" ht="15.75" customHeight="1">
      <c r="A292" s="17" t="s">
        <v>2837</v>
      </c>
      <c r="B292" s="17" t="s">
        <v>349</v>
      </c>
      <c r="C292" s="18">
        <v>46144.0</v>
      </c>
      <c r="D292" s="17" t="s">
        <v>2243</v>
      </c>
      <c r="E292" s="17" t="s">
        <v>2286</v>
      </c>
      <c r="F292" s="17" t="s">
        <v>2838</v>
      </c>
      <c r="G292" s="21">
        <v>120.0</v>
      </c>
      <c r="H292" s="21">
        <v>120.0</v>
      </c>
      <c r="I292" s="21">
        <v>0.0</v>
      </c>
      <c r="J292" s="17" t="s">
        <v>2246</v>
      </c>
      <c r="K292" s="17" t="s">
        <v>2247</v>
      </c>
      <c r="L292" s="17" t="s">
        <v>2246</v>
      </c>
      <c r="M292" s="17" t="s">
        <v>2248</v>
      </c>
      <c r="N292" s="21">
        <f>IFERROR((C292-VLOOKUP(B292,crm_orders!$A:$S,2,FALSE))*24,0)</f>
        <v>96</v>
      </c>
      <c r="O292" s="19" t="str">
        <f>IFERROR(VLOOKUP(B292,crm_orders!$A:$S,3,FALSE),"")</f>
        <v>DSP0038</v>
      </c>
      <c r="P292" s="19" t="str">
        <f>IFERROR(VLOOKUP(B292,crm_orders!$A:$S,5,FALSE),"")</f>
        <v>WA</v>
      </c>
      <c r="Q292" s="19" t="str">
        <f>IFERROR(VLOOKUP(B292,crm_orders!$A:$S,7,FALSE),"")</f>
        <v>Distributor</v>
      </c>
      <c r="R292" s="19" t="str">
        <f>IFERROR(VLOOKUP(B292,crm_orders!$A:$S,8,FALSE),"")</f>
        <v>SKU0012</v>
      </c>
    </row>
    <row r="293" ht="15.75" customHeight="1">
      <c r="A293" s="25" t="s">
        <v>2839</v>
      </c>
      <c r="B293" s="25" t="s">
        <v>895</v>
      </c>
      <c r="C293" s="26">
        <v>46126.0</v>
      </c>
      <c r="D293" s="25" t="s">
        <v>2260</v>
      </c>
      <c r="E293" s="25" t="s">
        <v>2255</v>
      </c>
      <c r="F293" s="25" t="s">
        <v>2840</v>
      </c>
      <c r="G293" s="29">
        <v>36.0</v>
      </c>
      <c r="H293" s="29">
        <v>36.0</v>
      </c>
      <c r="I293" s="29">
        <v>0.0</v>
      </c>
      <c r="J293" s="25" t="s">
        <v>2247</v>
      </c>
      <c r="K293" s="25" t="s">
        <v>2247</v>
      </c>
      <c r="L293" s="25" t="s">
        <v>2247</v>
      </c>
      <c r="M293" s="25" t="s">
        <v>2248</v>
      </c>
      <c r="N293" s="29">
        <f>IFERROR((C293-VLOOKUP(B293,crm_orders!$A:$S,2,FALSE))*24,0)</f>
        <v>144</v>
      </c>
      <c r="O293" s="27" t="str">
        <f>IFERROR(VLOOKUP(B293,crm_orders!$A:$S,3,FALSE),"")</f>
        <v>DSP0042</v>
      </c>
      <c r="P293" s="27" t="str">
        <f>IFERROR(VLOOKUP(B293,crm_orders!$A:$S,5,FALSE),"")</f>
        <v>NV</v>
      </c>
      <c r="Q293" s="27" t="str">
        <f>IFERROR(VLOOKUP(B293,crm_orders!$A:$S,7,FALSE),"")</f>
        <v>Distributor</v>
      </c>
      <c r="R293" s="27" t="str">
        <f>IFERROR(VLOOKUP(B293,crm_orders!$A:$S,8,FALSE),"")</f>
        <v>SKU0004</v>
      </c>
    </row>
    <row r="294" ht="15.75" customHeight="1">
      <c r="A294" s="17" t="s">
        <v>2841</v>
      </c>
      <c r="B294" s="17" t="s">
        <v>350</v>
      </c>
      <c r="C294" s="18">
        <v>46139.0</v>
      </c>
      <c r="D294" s="17" t="s">
        <v>2254</v>
      </c>
      <c r="E294" s="17" t="s">
        <v>2286</v>
      </c>
      <c r="F294" s="17" t="s">
        <v>2842</v>
      </c>
      <c r="G294" s="21">
        <v>48.0</v>
      </c>
      <c r="H294" s="21">
        <v>48.0</v>
      </c>
      <c r="I294" s="21">
        <v>0.0</v>
      </c>
      <c r="J294" s="17" t="s">
        <v>2246</v>
      </c>
      <c r="K294" s="17" t="s">
        <v>2247</v>
      </c>
      <c r="L294" s="17" t="s">
        <v>2246</v>
      </c>
      <c r="M294" s="17" t="s">
        <v>2248</v>
      </c>
      <c r="N294" s="21">
        <f>IFERROR((C294-VLOOKUP(B294,crm_orders!$A:$S,2,FALSE))*24,0)</f>
        <v>96</v>
      </c>
      <c r="O294" s="19" t="str">
        <f>IFERROR(VLOOKUP(B294,crm_orders!$A:$S,3,FALSE),"")</f>
        <v>DSP0069</v>
      </c>
      <c r="P294" s="19" t="str">
        <f>IFERROR(VLOOKUP(B294,crm_orders!$A:$S,5,FALSE),"")</f>
        <v>MO</v>
      </c>
      <c r="Q294" s="19" t="str">
        <f>IFERROR(VLOOKUP(B294,crm_orders!$A:$S,7,FALSE),"")</f>
        <v>Wholesale</v>
      </c>
      <c r="R294" s="19" t="str">
        <f>IFERROR(VLOOKUP(B294,crm_orders!$A:$S,8,FALSE),"")</f>
        <v>SKU0010</v>
      </c>
    </row>
    <row r="295" ht="15.75" customHeight="1">
      <c r="A295" s="25" t="s">
        <v>2843</v>
      </c>
      <c r="B295" s="25" t="s">
        <v>1005</v>
      </c>
      <c r="C295" s="26">
        <v>46065.0</v>
      </c>
      <c r="D295" s="25" t="s">
        <v>2269</v>
      </c>
      <c r="E295" s="25" t="s">
        <v>2261</v>
      </c>
      <c r="F295" s="25" t="s">
        <v>2844</v>
      </c>
      <c r="G295" s="29">
        <v>120.0</v>
      </c>
      <c r="H295" s="29">
        <v>120.0</v>
      </c>
      <c r="I295" s="29">
        <v>0.0</v>
      </c>
      <c r="J295" s="25" t="s">
        <v>2246</v>
      </c>
      <c r="K295" s="25" t="s">
        <v>2247</v>
      </c>
      <c r="L295" s="25" t="s">
        <v>2246</v>
      </c>
      <c r="M295" s="25" t="s">
        <v>2248</v>
      </c>
      <c r="N295" s="29">
        <f>IFERROR((C295-VLOOKUP(B295,crm_orders!$A:$S,2,FALSE))*24,0)</f>
        <v>144</v>
      </c>
      <c r="O295" s="27" t="str">
        <f>IFERROR(VLOOKUP(B295,crm_orders!$A:$S,3,FALSE),"")</f>
        <v>DSP0035</v>
      </c>
      <c r="P295" s="27" t="str">
        <f>IFERROR(VLOOKUP(B295,crm_orders!$A:$S,5,FALSE),"")</f>
        <v>NY</v>
      </c>
      <c r="Q295" s="27" t="str">
        <f>IFERROR(VLOOKUP(B295,crm_orders!$A:$S,7,FALSE),"")</f>
        <v>Retail</v>
      </c>
      <c r="R295" s="27" t="str">
        <f>IFERROR(VLOOKUP(B295,crm_orders!$A:$S,8,FALSE),"")</f>
        <v>SKU0006</v>
      </c>
    </row>
    <row r="296" ht="15.75" customHeight="1">
      <c r="A296" s="17" t="s">
        <v>2845</v>
      </c>
      <c r="B296" s="17" t="s">
        <v>775</v>
      </c>
      <c r="C296" s="18">
        <v>46054.0</v>
      </c>
      <c r="D296" s="17" t="s">
        <v>2250</v>
      </c>
      <c r="E296" s="17" t="s">
        <v>2286</v>
      </c>
      <c r="F296" s="17" t="s">
        <v>2846</v>
      </c>
      <c r="G296" s="21">
        <v>96.0</v>
      </c>
      <c r="H296" s="21">
        <v>96.0</v>
      </c>
      <c r="I296" s="21">
        <v>0.0</v>
      </c>
      <c r="J296" s="17" t="s">
        <v>2246</v>
      </c>
      <c r="K296" s="17" t="s">
        <v>2247</v>
      </c>
      <c r="L296" s="17" t="s">
        <v>2246</v>
      </c>
      <c r="M296" s="17" t="s">
        <v>2248</v>
      </c>
      <c r="N296" s="21">
        <f>IFERROR((C296-VLOOKUP(B296,crm_orders!$A:$S,2,FALSE))*24,0)</f>
        <v>432</v>
      </c>
      <c r="O296" s="19" t="str">
        <f>IFERROR(VLOOKUP(B296,crm_orders!$A:$S,3,FALSE),"")</f>
        <v>DSP0046</v>
      </c>
      <c r="P296" s="19" t="str">
        <f>IFERROR(VLOOKUP(B296,crm_orders!$A:$S,5,FALSE),"")</f>
        <v>NM</v>
      </c>
      <c r="Q296" s="19" t="str">
        <f>IFERROR(VLOOKUP(B296,crm_orders!$A:$S,7,FALSE),"")</f>
        <v>Distributor</v>
      </c>
      <c r="R296" s="19" t="str">
        <f>IFERROR(VLOOKUP(B296,crm_orders!$A:$S,8,FALSE),"")</f>
        <v>SKU0015</v>
      </c>
    </row>
    <row r="297" ht="15.75" customHeight="1">
      <c r="A297" s="25" t="s">
        <v>2847</v>
      </c>
      <c r="B297" s="25" t="s">
        <v>113</v>
      </c>
      <c r="C297" s="26">
        <v>46055.0</v>
      </c>
      <c r="D297" s="25" t="s">
        <v>2260</v>
      </c>
      <c r="E297" s="25" t="s">
        <v>2261</v>
      </c>
      <c r="F297" s="25" t="s">
        <v>2848</v>
      </c>
      <c r="G297" s="29">
        <v>96.0</v>
      </c>
      <c r="H297" s="29">
        <v>96.0</v>
      </c>
      <c r="I297" s="29">
        <v>0.0</v>
      </c>
      <c r="J297" s="25" t="s">
        <v>2246</v>
      </c>
      <c r="K297" s="25" t="s">
        <v>2247</v>
      </c>
      <c r="L297" s="25" t="s">
        <v>2246</v>
      </c>
      <c r="M297" s="25" t="s">
        <v>2248</v>
      </c>
      <c r="N297" s="29">
        <f>IFERROR((C297-VLOOKUP(B297,crm_orders!$A:$S,2,FALSE))*24,0)</f>
        <v>168</v>
      </c>
      <c r="O297" s="27" t="str">
        <f>IFERROR(VLOOKUP(B297,crm_orders!$A:$S,3,FALSE),"")</f>
        <v>DSP0096</v>
      </c>
      <c r="P297" s="27" t="str">
        <f>IFERROR(VLOOKUP(B297,crm_orders!$A:$S,5,FALSE),"")</f>
        <v>OK</v>
      </c>
      <c r="Q297" s="27" t="str">
        <f>IFERROR(VLOOKUP(B297,crm_orders!$A:$S,7,FALSE),"")</f>
        <v>Wholesale</v>
      </c>
      <c r="R297" s="27" t="str">
        <f>IFERROR(VLOOKUP(B297,crm_orders!$A:$S,8,FALSE),"")</f>
        <v>SKU0009</v>
      </c>
    </row>
    <row r="298" ht="15.75" customHeight="1">
      <c r="A298" s="17" t="s">
        <v>2849</v>
      </c>
      <c r="B298" s="17" t="s">
        <v>1007</v>
      </c>
      <c r="C298" s="18">
        <v>46128.0</v>
      </c>
      <c r="D298" s="17" t="s">
        <v>2260</v>
      </c>
      <c r="E298" s="17" t="s">
        <v>2251</v>
      </c>
      <c r="F298" s="17" t="s">
        <v>2850</v>
      </c>
      <c r="G298" s="21">
        <v>96.0</v>
      </c>
      <c r="H298" s="21">
        <v>96.0</v>
      </c>
      <c r="I298" s="21">
        <v>0.0</v>
      </c>
      <c r="J298" s="17" t="s">
        <v>2246</v>
      </c>
      <c r="K298" s="17" t="s">
        <v>2247</v>
      </c>
      <c r="L298" s="17" t="s">
        <v>2246</v>
      </c>
      <c r="M298" s="17" t="s">
        <v>2248</v>
      </c>
      <c r="N298" s="21">
        <f>IFERROR((C298-VLOOKUP(B298,crm_orders!$A:$S,2,FALSE))*24,0)</f>
        <v>216</v>
      </c>
      <c r="O298" s="19" t="str">
        <f>IFERROR(VLOOKUP(B298,crm_orders!$A:$S,3,FALSE),"")</f>
        <v>DSP0083</v>
      </c>
      <c r="P298" s="19" t="str">
        <f>IFERROR(VLOOKUP(B298,crm_orders!$A:$S,5,FALSE),"")</f>
        <v>NY</v>
      </c>
      <c r="Q298" s="19" t="str">
        <f>IFERROR(VLOOKUP(B298,crm_orders!$A:$S,7,FALSE),"")</f>
        <v>Retail</v>
      </c>
      <c r="R298" s="19" t="str">
        <f>IFERROR(VLOOKUP(B298,crm_orders!$A:$S,8,FALSE),"")</f>
        <v>SKU0012</v>
      </c>
    </row>
    <row r="299" ht="15.75" customHeight="1">
      <c r="A299" s="25" t="s">
        <v>2851</v>
      </c>
      <c r="B299" s="25" t="s">
        <v>116</v>
      </c>
      <c r="C299" s="26">
        <v>46030.0</v>
      </c>
      <c r="D299" s="25" t="s">
        <v>2254</v>
      </c>
      <c r="E299" s="25" t="s">
        <v>2286</v>
      </c>
      <c r="F299" s="25" t="s">
        <v>2852</v>
      </c>
      <c r="G299" s="29">
        <v>36.0</v>
      </c>
      <c r="H299" s="29">
        <v>36.0</v>
      </c>
      <c r="I299" s="29">
        <v>0.0</v>
      </c>
      <c r="J299" s="25" t="s">
        <v>2246</v>
      </c>
      <c r="K299" s="25" t="s">
        <v>2247</v>
      </c>
      <c r="L299" s="25" t="s">
        <v>2246</v>
      </c>
      <c r="M299" s="25" t="s">
        <v>2248</v>
      </c>
      <c r="N299" s="29">
        <f>IFERROR((C299-VLOOKUP(B299,crm_orders!$A:$S,2,FALSE))*24,0)</f>
        <v>168</v>
      </c>
      <c r="O299" s="27" t="str">
        <f>IFERROR(VLOOKUP(B299,crm_orders!$A:$S,3,FALSE),"")</f>
        <v>DSP0075</v>
      </c>
      <c r="P299" s="27" t="str">
        <f>IFERROR(VLOOKUP(B299,crm_orders!$A:$S,5,FALSE),"")</f>
        <v>CA</v>
      </c>
      <c r="Q299" s="27" t="str">
        <f>IFERROR(VLOOKUP(B299,crm_orders!$A:$S,7,FALSE),"")</f>
        <v>Wholesale</v>
      </c>
      <c r="R299" s="27" t="str">
        <f>IFERROR(VLOOKUP(B299,crm_orders!$A:$S,8,FALSE),"")</f>
        <v>SKU0009</v>
      </c>
    </row>
    <row r="300" ht="15.75" customHeight="1">
      <c r="A300" s="17" t="s">
        <v>2853</v>
      </c>
      <c r="B300" s="17" t="s">
        <v>215</v>
      </c>
      <c r="C300" s="18">
        <v>46133.0</v>
      </c>
      <c r="D300" s="17" t="s">
        <v>2243</v>
      </c>
      <c r="E300" s="17" t="s">
        <v>2261</v>
      </c>
      <c r="F300" s="17" t="s">
        <v>2854</v>
      </c>
      <c r="G300" s="21">
        <v>120.0</v>
      </c>
      <c r="H300" s="21">
        <v>96.0</v>
      </c>
      <c r="I300" s="21">
        <v>24.0</v>
      </c>
      <c r="J300" s="17" t="s">
        <v>2246</v>
      </c>
      <c r="K300" s="17" t="s">
        <v>2246</v>
      </c>
      <c r="L300" s="17" t="s">
        <v>2246</v>
      </c>
      <c r="M300" s="17" t="s">
        <v>2267</v>
      </c>
      <c r="N300" s="21">
        <f>IFERROR((C300-VLOOKUP(B300,crm_orders!$A:$S,2,FALSE))*24,0)</f>
        <v>72</v>
      </c>
      <c r="O300" s="19" t="str">
        <f>IFERROR(VLOOKUP(B300,crm_orders!$A:$S,3,FALSE),"")</f>
        <v>DSP0081</v>
      </c>
      <c r="P300" s="19" t="str">
        <f>IFERROR(VLOOKUP(B300,crm_orders!$A:$S,5,FALSE),"")</f>
        <v>MO</v>
      </c>
      <c r="Q300" s="19" t="str">
        <f>IFERROR(VLOOKUP(B300,crm_orders!$A:$S,7,FALSE),"")</f>
        <v>Wholesale</v>
      </c>
      <c r="R300" s="19" t="str">
        <f>IFERROR(VLOOKUP(B300,crm_orders!$A:$S,8,FALSE),"")</f>
        <v>SKU0020</v>
      </c>
    </row>
    <row r="301" ht="15.75" customHeight="1">
      <c r="A301" s="25" t="s">
        <v>2855</v>
      </c>
      <c r="B301" s="25" t="s">
        <v>491</v>
      </c>
      <c r="C301" s="26">
        <v>46097.0</v>
      </c>
      <c r="D301" s="25" t="s">
        <v>2250</v>
      </c>
      <c r="E301" s="25" t="s">
        <v>2251</v>
      </c>
      <c r="F301" s="25" t="s">
        <v>2856</v>
      </c>
      <c r="G301" s="29">
        <v>12.0</v>
      </c>
      <c r="H301" s="29">
        <v>6.0</v>
      </c>
      <c r="I301" s="29">
        <v>6.0</v>
      </c>
      <c r="J301" s="25" t="s">
        <v>2246</v>
      </c>
      <c r="K301" s="25" t="s">
        <v>2246</v>
      </c>
      <c r="L301" s="25" t="s">
        <v>2246</v>
      </c>
      <c r="M301" s="25" t="s">
        <v>2267</v>
      </c>
      <c r="N301" s="29">
        <f>IFERROR((C301-VLOOKUP(B301,crm_orders!$A:$S,2,FALSE))*24,0)</f>
        <v>192</v>
      </c>
      <c r="O301" s="27" t="str">
        <f>IFERROR(VLOOKUP(B301,crm_orders!$A:$S,3,FALSE),"")</f>
        <v>DSP0029</v>
      </c>
      <c r="P301" s="27" t="str">
        <f>IFERROR(VLOOKUP(B301,crm_orders!$A:$S,5,FALSE),"")</f>
        <v>AZ</v>
      </c>
      <c r="Q301" s="27" t="str">
        <f>IFERROR(VLOOKUP(B301,crm_orders!$A:$S,7,FALSE),"")</f>
        <v>Wholesale</v>
      </c>
      <c r="R301" s="27" t="str">
        <f>IFERROR(VLOOKUP(B301,crm_orders!$A:$S,8,FALSE),"")</f>
        <v>SKU0006</v>
      </c>
    </row>
    <row r="302" ht="15.75" customHeight="1">
      <c r="A302" s="17" t="s">
        <v>2857</v>
      </c>
      <c r="B302" s="17" t="s">
        <v>492</v>
      </c>
      <c r="C302" s="18">
        <v>46074.0</v>
      </c>
      <c r="D302" s="17" t="s">
        <v>2243</v>
      </c>
      <c r="E302" s="17" t="s">
        <v>2286</v>
      </c>
      <c r="F302" s="17" t="s">
        <v>2858</v>
      </c>
      <c r="G302" s="21">
        <v>36.0</v>
      </c>
      <c r="H302" s="21">
        <v>36.0</v>
      </c>
      <c r="I302" s="21">
        <v>0.0</v>
      </c>
      <c r="J302" s="17" t="s">
        <v>2246</v>
      </c>
      <c r="K302" s="17" t="s">
        <v>2247</v>
      </c>
      <c r="L302" s="17" t="s">
        <v>2246</v>
      </c>
      <c r="M302" s="17" t="s">
        <v>2248</v>
      </c>
      <c r="N302" s="21">
        <f>IFERROR((C302-VLOOKUP(B302,crm_orders!$A:$S,2,FALSE))*24,0)</f>
        <v>216</v>
      </c>
      <c r="O302" s="19" t="str">
        <f>IFERROR(VLOOKUP(B302,crm_orders!$A:$S,3,FALSE),"")</f>
        <v>DSP0028</v>
      </c>
      <c r="P302" s="19" t="str">
        <f>IFERROR(VLOOKUP(B302,crm_orders!$A:$S,5,FALSE),"")</f>
        <v>CO</v>
      </c>
      <c r="Q302" s="19" t="str">
        <f>IFERROR(VLOOKUP(B302,crm_orders!$A:$S,7,FALSE),"")</f>
        <v>Wholesale</v>
      </c>
      <c r="R302" s="19" t="str">
        <f>IFERROR(VLOOKUP(B302,crm_orders!$A:$S,8,FALSE),"")</f>
        <v>SKU0011</v>
      </c>
    </row>
    <row r="303" ht="15.75" customHeight="1">
      <c r="A303" s="25" t="s">
        <v>2859</v>
      </c>
      <c r="B303" s="25" t="s">
        <v>216</v>
      </c>
      <c r="C303" s="26">
        <v>46046.0</v>
      </c>
      <c r="D303" s="25" t="s">
        <v>2243</v>
      </c>
      <c r="E303" s="25" t="s">
        <v>2244</v>
      </c>
      <c r="F303" s="25" t="s">
        <v>2860</v>
      </c>
      <c r="G303" s="29">
        <v>120.0</v>
      </c>
      <c r="H303" s="29">
        <v>84.0</v>
      </c>
      <c r="I303" s="29">
        <v>36.0</v>
      </c>
      <c r="J303" s="25" t="s">
        <v>2247</v>
      </c>
      <c r="K303" s="25" t="s">
        <v>2246</v>
      </c>
      <c r="L303" s="25" t="s">
        <v>2246</v>
      </c>
      <c r="M303" s="25" t="s">
        <v>2267</v>
      </c>
      <c r="N303" s="29">
        <f>IFERROR((C303-VLOOKUP(B303,crm_orders!$A:$S,2,FALSE))*24,0)</f>
        <v>216</v>
      </c>
      <c r="O303" s="27" t="str">
        <f>IFERROR(VLOOKUP(B303,crm_orders!$A:$S,3,FALSE),"")</f>
        <v>DSP0084</v>
      </c>
      <c r="P303" s="27" t="str">
        <f>IFERROR(VLOOKUP(B303,crm_orders!$A:$S,5,FALSE),"")</f>
        <v>OK</v>
      </c>
      <c r="Q303" s="27" t="str">
        <f>IFERROR(VLOOKUP(B303,crm_orders!$A:$S,7,FALSE),"")</f>
        <v>Wholesale</v>
      </c>
      <c r="R303" s="27" t="str">
        <f>IFERROR(VLOOKUP(B303,crm_orders!$A:$S,8,FALSE),"")</f>
        <v>SKU0001</v>
      </c>
    </row>
    <row r="304" ht="15.75" customHeight="1">
      <c r="A304" s="17" t="s">
        <v>2861</v>
      </c>
      <c r="B304" s="17" t="s">
        <v>217</v>
      </c>
      <c r="C304" s="18">
        <v>46083.0</v>
      </c>
      <c r="D304" s="17" t="s">
        <v>2250</v>
      </c>
      <c r="E304" s="17" t="s">
        <v>2244</v>
      </c>
      <c r="F304" s="17" t="s">
        <v>2862</v>
      </c>
      <c r="G304" s="21">
        <v>12.0</v>
      </c>
      <c r="H304" s="21">
        <v>12.0</v>
      </c>
      <c r="I304" s="21">
        <v>0.0</v>
      </c>
      <c r="J304" s="17" t="s">
        <v>2246</v>
      </c>
      <c r="K304" s="17" t="s">
        <v>2247</v>
      </c>
      <c r="L304" s="17" t="s">
        <v>2246</v>
      </c>
      <c r="M304" s="17" t="s">
        <v>2248</v>
      </c>
      <c r="N304" s="21">
        <f>IFERROR((C304-VLOOKUP(B304,crm_orders!$A:$S,2,FALSE))*24,0)</f>
        <v>288</v>
      </c>
      <c r="O304" s="19" t="str">
        <f>IFERROR(VLOOKUP(B304,crm_orders!$A:$S,3,FALSE),"")</f>
        <v>DSP0114</v>
      </c>
      <c r="P304" s="19" t="str">
        <f>IFERROR(VLOOKUP(B304,crm_orders!$A:$S,5,FALSE),"")</f>
        <v>NV</v>
      </c>
      <c r="Q304" s="19" t="str">
        <f>IFERROR(VLOOKUP(B304,crm_orders!$A:$S,7,FALSE),"")</f>
        <v>Wholesale</v>
      </c>
      <c r="R304" s="19" t="str">
        <f>IFERROR(VLOOKUP(B304,crm_orders!$A:$S,8,FALSE),"")</f>
        <v>SKU0011</v>
      </c>
    </row>
    <row r="305" ht="15.75" customHeight="1">
      <c r="A305" s="25" t="s">
        <v>2863</v>
      </c>
      <c r="B305" s="25" t="s">
        <v>218</v>
      </c>
      <c r="C305" s="26">
        <v>46090.0</v>
      </c>
      <c r="D305" s="25" t="s">
        <v>2250</v>
      </c>
      <c r="E305" s="25" t="s">
        <v>2261</v>
      </c>
      <c r="F305" s="25" t="s">
        <v>2864</v>
      </c>
      <c r="G305" s="29">
        <v>60.0</v>
      </c>
      <c r="H305" s="29">
        <v>60.0</v>
      </c>
      <c r="I305" s="29">
        <v>0.0</v>
      </c>
      <c r="J305" s="25" t="s">
        <v>2246</v>
      </c>
      <c r="K305" s="25" t="s">
        <v>2247</v>
      </c>
      <c r="L305" s="25" t="s">
        <v>2246</v>
      </c>
      <c r="M305" s="25" t="s">
        <v>2248</v>
      </c>
      <c r="N305" s="29">
        <f>IFERROR((C305-VLOOKUP(B305,crm_orders!$A:$S,2,FALSE))*24,0)</f>
        <v>240</v>
      </c>
      <c r="O305" s="27" t="str">
        <f>IFERROR(VLOOKUP(B305,crm_orders!$A:$S,3,FALSE),"")</f>
        <v>DSP0103</v>
      </c>
      <c r="P305" s="27" t="str">
        <f>IFERROR(VLOOKUP(B305,crm_orders!$A:$S,5,FALSE),"")</f>
        <v>IL</v>
      </c>
      <c r="Q305" s="27" t="str">
        <f>IFERROR(VLOOKUP(B305,crm_orders!$A:$S,7,FALSE),"")</f>
        <v>Wholesale</v>
      </c>
      <c r="R305" s="27" t="str">
        <f>IFERROR(VLOOKUP(B305,crm_orders!$A:$S,8,FALSE),"")</f>
        <v>SKU0017</v>
      </c>
    </row>
    <row r="306" ht="15.75" customHeight="1">
      <c r="A306" s="17" t="s">
        <v>2865</v>
      </c>
      <c r="B306" s="17" t="s">
        <v>219</v>
      </c>
      <c r="C306" s="18">
        <v>46097.0</v>
      </c>
      <c r="D306" s="17" t="s">
        <v>2260</v>
      </c>
      <c r="E306" s="17" t="s">
        <v>2244</v>
      </c>
      <c r="F306" s="17" t="s">
        <v>2866</v>
      </c>
      <c r="G306" s="21">
        <v>6.0</v>
      </c>
      <c r="H306" s="21">
        <v>6.0</v>
      </c>
      <c r="I306" s="21">
        <v>0.0</v>
      </c>
      <c r="J306" s="17" t="s">
        <v>2246</v>
      </c>
      <c r="K306" s="17" t="s">
        <v>2247</v>
      </c>
      <c r="L306" s="17" t="s">
        <v>2246</v>
      </c>
      <c r="M306" s="17" t="s">
        <v>2248</v>
      </c>
      <c r="N306" s="21">
        <f>IFERROR((C306-VLOOKUP(B306,crm_orders!$A:$S,2,FALSE))*24,0)</f>
        <v>144</v>
      </c>
      <c r="O306" s="19" t="str">
        <f>IFERROR(VLOOKUP(B306,crm_orders!$A:$S,3,FALSE),"")</f>
        <v>DSP0099</v>
      </c>
      <c r="P306" s="19" t="str">
        <f>IFERROR(VLOOKUP(B306,crm_orders!$A:$S,5,FALSE),"")</f>
        <v>CA</v>
      </c>
      <c r="Q306" s="19" t="str">
        <f>IFERROR(VLOOKUP(B306,crm_orders!$A:$S,7,FALSE),"")</f>
        <v>Wholesale</v>
      </c>
      <c r="R306" s="19" t="str">
        <f>IFERROR(VLOOKUP(B306,crm_orders!$A:$S,8,FALSE),"")</f>
        <v>SKU0018</v>
      </c>
    </row>
    <row r="307" ht="15.75" customHeight="1">
      <c r="A307" s="25" t="s">
        <v>2867</v>
      </c>
      <c r="B307" s="25" t="s">
        <v>493</v>
      </c>
      <c r="C307" s="26">
        <v>46096.0</v>
      </c>
      <c r="D307" s="25" t="s">
        <v>2250</v>
      </c>
      <c r="E307" s="25" t="s">
        <v>2251</v>
      </c>
      <c r="F307" s="25" t="s">
        <v>2868</v>
      </c>
      <c r="G307" s="29">
        <v>48.0</v>
      </c>
      <c r="H307" s="29">
        <v>48.0</v>
      </c>
      <c r="I307" s="29">
        <v>0.0</v>
      </c>
      <c r="J307" s="25" t="s">
        <v>2246</v>
      </c>
      <c r="K307" s="25" t="s">
        <v>2247</v>
      </c>
      <c r="L307" s="25" t="s">
        <v>2246</v>
      </c>
      <c r="M307" s="25" t="s">
        <v>2248</v>
      </c>
      <c r="N307" s="29">
        <f>IFERROR((C307-VLOOKUP(B307,crm_orders!$A:$S,2,FALSE))*24,0)</f>
        <v>120</v>
      </c>
      <c r="O307" s="27" t="str">
        <f>IFERROR(VLOOKUP(B307,crm_orders!$A:$S,3,FALSE),"")</f>
        <v>DSP0014</v>
      </c>
      <c r="P307" s="27" t="str">
        <f>IFERROR(VLOOKUP(B307,crm_orders!$A:$S,5,FALSE),"")</f>
        <v>WA</v>
      </c>
      <c r="Q307" s="27" t="str">
        <f>IFERROR(VLOOKUP(B307,crm_orders!$A:$S,7,FALSE),"")</f>
        <v>Retail</v>
      </c>
      <c r="R307" s="27" t="str">
        <f>IFERROR(VLOOKUP(B307,crm_orders!$A:$S,8,FALSE),"")</f>
        <v>SKU0007</v>
      </c>
    </row>
    <row r="308" ht="15.75" customHeight="1">
      <c r="A308" s="17" t="s">
        <v>2869</v>
      </c>
      <c r="B308" s="17" t="s">
        <v>494</v>
      </c>
      <c r="C308" s="18">
        <v>46087.0</v>
      </c>
      <c r="D308" s="17" t="s">
        <v>2250</v>
      </c>
      <c r="E308" s="17" t="s">
        <v>2255</v>
      </c>
      <c r="F308" s="17" t="s">
        <v>2870</v>
      </c>
      <c r="G308" s="21">
        <v>36.0</v>
      </c>
      <c r="H308" s="21">
        <v>36.0</v>
      </c>
      <c r="I308" s="21">
        <v>0.0</v>
      </c>
      <c r="J308" s="17" t="s">
        <v>2247</v>
      </c>
      <c r="K308" s="17" t="s">
        <v>2247</v>
      </c>
      <c r="L308" s="17" t="s">
        <v>2247</v>
      </c>
      <c r="M308" s="17" t="s">
        <v>2248</v>
      </c>
      <c r="N308" s="21">
        <f>IFERROR((C308-VLOOKUP(B308,crm_orders!$A:$S,2,FALSE))*24,0)</f>
        <v>216</v>
      </c>
      <c r="O308" s="19" t="str">
        <f>IFERROR(VLOOKUP(B308,crm_orders!$A:$S,3,FALSE),"")</f>
        <v>DSP0058</v>
      </c>
      <c r="P308" s="19" t="str">
        <f>IFERROR(VLOOKUP(B308,crm_orders!$A:$S,5,FALSE),"")</f>
        <v>NM</v>
      </c>
      <c r="Q308" s="19" t="str">
        <f>IFERROR(VLOOKUP(B308,crm_orders!$A:$S,7,FALSE),"")</f>
        <v>Wholesale</v>
      </c>
      <c r="R308" s="19" t="str">
        <f>IFERROR(VLOOKUP(B308,crm_orders!$A:$S,8,FALSE),"")</f>
        <v>SKU0013</v>
      </c>
    </row>
    <row r="309" ht="15.75" customHeight="1">
      <c r="A309" s="25" t="s">
        <v>2871</v>
      </c>
      <c r="B309" s="25" t="s">
        <v>495</v>
      </c>
      <c r="C309" s="26">
        <v>46075.0</v>
      </c>
      <c r="D309" s="25" t="s">
        <v>2260</v>
      </c>
      <c r="E309" s="25" t="s">
        <v>2255</v>
      </c>
      <c r="F309" s="25" t="s">
        <v>2872</v>
      </c>
      <c r="G309" s="29">
        <v>72.0</v>
      </c>
      <c r="H309" s="29">
        <v>72.0</v>
      </c>
      <c r="I309" s="29">
        <v>0.0</v>
      </c>
      <c r="J309" s="25" t="s">
        <v>2246</v>
      </c>
      <c r="K309" s="25" t="s">
        <v>2247</v>
      </c>
      <c r="L309" s="25" t="s">
        <v>2246</v>
      </c>
      <c r="M309" s="25" t="s">
        <v>2248</v>
      </c>
      <c r="N309" s="29">
        <f>IFERROR((C309-VLOOKUP(B309,crm_orders!$A:$S,2,FALSE))*24,0)</f>
        <v>168</v>
      </c>
      <c r="O309" s="27" t="str">
        <f>IFERROR(VLOOKUP(B309,crm_orders!$A:$S,3,FALSE),"")</f>
        <v>DSP0006</v>
      </c>
      <c r="P309" s="27" t="str">
        <f>IFERROR(VLOOKUP(B309,crm_orders!$A:$S,5,FALSE),"")</f>
        <v>NV</v>
      </c>
      <c r="Q309" s="27" t="str">
        <f>IFERROR(VLOOKUP(B309,crm_orders!$A:$S,7,FALSE),"")</f>
        <v>Wholesale</v>
      </c>
      <c r="R309" s="27" t="str">
        <f>IFERROR(VLOOKUP(B309,crm_orders!$A:$S,8,FALSE),"")</f>
        <v>SKU0003</v>
      </c>
    </row>
    <row r="310" ht="15.75" customHeight="1">
      <c r="A310" s="17" t="s">
        <v>2873</v>
      </c>
      <c r="B310" s="17" t="s">
        <v>776</v>
      </c>
      <c r="C310" s="18">
        <v>46135.0</v>
      </c>
      <c r="D310" s="17" t="s">
        <v>2250</v>
      </c>
      <c r="E310" s="17" t="s">
        <v>2261</v>
      </c>
      <c r="F310" s="17" t="s">
        <v>2874</v>
      </c>
      <c r="G310" s="21">
        <v>120.0</v>
      </c>
      <c r="H310" s="21">
        <v>120.0</v>
      </c>
      <c r="I310" s="21">
        <v>0.0</v>
      </c>
      <c r="J310" s="17" t="s">
        <v>2247</v>
      </c>
      <c r="K310" s="17" t="s">
        <v>2247</v>
      </c>
      <c r="L310" s="17" t="s">
        <v>2247</v>
      </c>
      <c r="M310" s="17" t="s">
        <v>2248</v>
      </c>
      <c r="N310" s="21">
        <f>IFERROR((C310-VLOOKUP(B310,crm_orders!$A:$S,2,FALSE))*24,0)</f>
        <v>168</v>
      </c>
      <c r="O310" s="19" t="str">
        <f>IFERROR(VLOOKUP(B310,crm_orders!$A:$S,3,FALSE),"")</f>
        <v>DSP0049</v>
      </c>
      <c r="P310" s="19" t="str">
        <f>IFERROR(VLOOKUP(B310,crm_orders!$A:$S,5,FALSE),"")</f>
        <v>OR</v>
      </c>
      <c r="Q310" s="19" t="str">
        <f>IFERROR(VLOOKUP(B310,crm_orders!$A:$S,7,FALSE),"")</f>
        <v>Wholesale</v>
      </c>
      <c r="R310" s="19" t="str">
        <f>IFERROR(VLOOKUP(B310,crm_orders!$A:$S,8,FALSE),"")</f>
        <v>SKU0013</v>
      </c>
    </row>
    <row r="311" ht="15.75" customHeight="1">
      <c r="A311" s="25" t="s">
        <v>2875</v>
      </c>
      <c r="B311" s="25" t="s">
        <v>351</v>
      </c>
      <c r="C311" s="26">
        <v>46067.0</v>
      </c>
      <c r="D311" s="25" t="s">
        <v>2260</v>
      </c>
      <c r="E311" s="25" t="s">
        <v>2286</v>
      </c>
      <c r="F311" s="25" t="s">
        <v>2876</v>
      </c>
      <c r="G311" s="29">
        <v>120.0</v>
      </c>
      <c r="H311" s="29">
        <v>102.0</v>
      </c>
      <c r="I311" s="29">
        <v>18.0</v>
      </c>
      <c r="J311" s="25" t="s">
        <v>2247</v>
      </c>
      <c r="K311" s="25" t="s">
        <v>2246</v>
      </c>
      <c r="L311" s="25" t="s">
        <v>2246</v>
      </c>
      <c r="M311" s="25" t="s">
        <v>2267</v>
      </c>
      <c r="N311" s="29">
        <f>IFERROR((C311-VLOOKUP(B311,crm_orders!$A:$S,2,FALSE))*24,0)</f>
        <v>144</v>
      </c>
      <c r="O311" s="27" t="str">
        <f>IFERROR(VLOOKUP(B311,crm_orders!$A:$S,3,FALSE),"")</f>
        <v>DSP0038</v>
      </c>
      <c r="P311" s="27" t="str">
        <f>IFERROR(VLOOKUP(B311,crm_orders!$A:$S,5,FALSE),"")</f>
        <v>WA</v>
      </c>
      <c r="Q311" s="27" t="str">
        <f>IFERROR(VLOOKUP(B311,crm_orders!$A:$S,7,FALSE),"")</f>
        <v>Distributor</v>
      </c>
      <c r="R311" s="27" t="str">
        <f>IFERROR(VLOOKUP(B311,crm_orders!$A:$S,8,FALSE),"")</f>
        <v>SKU0005</v>
      </c>
    </row>
    <row r="312" ht="15.75" customHeight="1">
      <c r="A312" s="17" t="s">
        <v>2877</v>
      </c>
      <c r="B312" s="17" t="s">
        <v>608</v>
      </c>
      <c r="C312" s="18">
        <v>46051.0</v>
      </c>
      <c r="D312" s="17" t="s">
        <v>2254</v>
      </c>
      <c r="E312" s="17" t="s">
        <v>2286</v>
      </c>
      <c r="F312" s="17" t="s">
        <v>2878</v>
      </c>
      <c r="G312" s="21">
        <v>12.0</v>
      </c>
      <c r="H312" s="21">
        <v>12.0</v>
      </c>
      <c r="I312" s="21">
        <v>0.0</v>
      </c>
      <c r="J312" s="17" t="s">
        <v>2246</v>
      </c>
      <c r="K312" s="17" t="s">
        <v>2247</v>
      </c>
      <c r="L312" s="17" t="s">
        <v>2246</v>
      </c>
      <c r="M312" s="17" t="s">
        <v>2248</v>
      </c>
      <c r="N312" s="21">
        <f>IFERROR((C312-VLOOKUP(B312,crm_orders!$A:$S,2,FALSE))*24,0)</f>
        <v>240</v>
      </c>
      <c r="O312" s="19" t="str">
        <f>IFERROR(VLOOKUP(B312,crm_orders!$A:$S,3,FALSE),"")</f>
        <v>DSP0112</v>
      </c>
      <c r="P312" s="19" t="str">
        <f>IFERROR(VLOOKUP(B312,crm_orders!$A:$S,5,FALSE),"")</f>
        <v>CO</v>
      </c>
      <c r="Q312" s="19" t="str">
        <f>IFERROR(VLOOKUP(B312,crm_orders!$A:$S,7,FALSE),"")</f>
        <v>Wholesale</v>
      </c>
      <c r="R312" s="19" t="str">
        <f>IFERROR(VLOOKUP(B312,crm_orders!$A:$S,8,FALSE),"")</f>
        <v>SKU0018</v>
      </c>
    </row>
    <row r="313" ht="15.75" customHeight="1">
      <c r="A313" s="25" t="s">
        <v>2879</v>
      </c>
      <c r="B313" s="25" t="s">
        <v>117</v>
      </c>
      <c r="C313" s="26">
        <v>46052.0</v>
      </c>
      <c r="D313" s="25" t="s">
        <v>2243</v>
      </c>
      <c r="E313" s="25" t="s">
        <v>2286</v>
      </c>
      <c r="F313" s="25" t="s">
        <v>2880</v>
      </c>
      <c r="G313" s="29">
        <v>48.0</v>
      </c>
      <c r="H313" s="29">
        <v>48.0</v>
      </c>
      <c r="I313" s="29">
        <v>0.0</v>
      </c>
      <c r="J313" s="25" t="s">
        <v>2247</v>
      </c>
      <c r="K313" s="25" t="s">
        <v>2247</v>
      </c>
      <c r="L313" s="25" t="s">
        <v>2247</v>
      </c>
      <c r="M313" s="25" t="s">
        <v>2248</v>
      </c>
      <c r="N313" s="29">
        <f>IFERROR((C313-VLOOKUP(B313,crm_orders!$A:$S,2,FALSE))*24,0)</f>
        <v>48</v>
      </c>
      <c r="O313" s="27" t="str">
        <f>IFERROR(VLOOKUP(B313,crm_orders!$A:$S,3,FALSE),"")</f>
        <v>DSP0096</v>
      </c>
      <c r="P313" s="27" t="str">
        <f>IFERROR(VLOOKUP(B313,crm_orders!$A:$S,5,FALSE),"")</f>
        <v>OK</v>
      </c>
      <c r="Q313" s="27" t="str">
        <f>IFERROR(VLOOKUP(B313,crm_orders!$A:$S,7,FALSE),"")</f>
        <v>Wholesale</v>
      </c>
      <c r="R313" s="27" t="str">
        <f>IFERROR(VLOOKUP(B313,crm_orders!$A:$S,8,FALSE),"")</f>
        <v>SKU0012</v>
      </c>
    </row>
    <row r="314" ht="15.75" customHeight="1">
      <c r="A314" s="17" t="s">
        <v>2881</v>
      </c>
      <c r="B314" s="17" t="s">
        <v>609</v>
      </c>
      <c r="C314" s="18">
        <v>46060.0</v>
      </c>
      <c r="D314" s="17" t="s">
        <v>2260</v>
      </c>
      <c r="E314" s="17" t="s">
        <v>2286</v>
      </c>
      <c r="F314" s="17" t="s">
        <v>2882</v>
      </c>
      <c r="G314" s="21">
        <v>120.0</v>
      </c>
      <c r="H314" s="21">
        <v>120.0</v>
      </c>
      <c r="I314" s="21">
        <v>0.0</v>
      </c>
      <c r="J314" s="17" t="s">
        <v>2246</v>
      </c>
      <c r="K314" s="17" t="s">
        <v>2247</v>
      </c>
      <c r="L314" s="17" t="s">
        <v>2246</v>
      </c>
      <c r="M314" s="17" t="s">
        <v>2248</v>
      </c>
      <c r="N314" s="21">
        <f>IFERROR((C314-VLOOKUP(B314,crm_orders!$A:$S,2,FALSE))*24,0)</f>
        <v>336</v>
      </c>
      <c r="O314" s="19" t="str">
        <f>IFERROR(VLOOKUP(B314,crm_orders!$A:$S,3,FALSE),"")</f>
        <v>DSP0025</v>
      </c>
      <c r="P314" s="19" t="str">
        <f>IFERROR(VLOOKUP(B314,crm_orders!$A:$S,5,FALSE),"")</f>
        <v>OR</v>
      </c>
      <c r="Q314" s="19" t="str">
        <f>IFERROR(VLOOKUP(B314,crm_orders!$A:$S,7,FALSE),"")</f>
        <v>Distributor</v>
      </c>
      <c r="R314" s="19" t="str">
        <f>IFERROR(VLOOKUP(B314,crm_orders!$A:$S,8,FALSE),"")</f>
        <v>SKU0004</v>
      </c>
    </row>
    <row r="315" ht="15.75" customHeight="1">
      <c r="A315" s="25" t="s">
        <v>2883</v>
      </c>
      <c r="B315" s="25" t="s">
        <v>352</v>
      </c>
      <c r="C315" s="26">
        <v>46063.0</v>
      </c>
      <c r="D315" s="25" t="s">
        <v>2269</v>
      </c>
      <c r="E315" s="25" t="s">
        <v>2255</v>
      </c>
      <c r="F315" s="25" t="s">
        <v>2884</v>
      </c>
      <c r="G315" s="29">
        <v>12.0</v>
      </c>
      <c r="H315" s="29">
        <v>12.0</v>
      </c>
      <c r="I315" s="29">
        <v>0.0</v>
      </c>
      <c r="J315" s="25" t="s">
        <v>2246</v>
      </c>
      <c r="K315" s="25" t="s">
        <v>2247</v>
      </c>
      <c r="L315" s="25" t="s">
        <v>2246</v>
      </c>
      <c r="M315" s="25" t="s">
        <v>2248</v>
      </c>
      <c r="N315" s="29">
        <f>IFERROR((C315-VLOOKUP(B315,crm_orders!$A:$S,2,FALSE))*24,0)</f>
        <v>192</v>
      </c>
      <c r="O315" s="27" t="str">
        <f>IFERROR(VLOOKUP(B315,crm_orders!$A:$S,3,FALSE),"")</f>
        <v>DSP0038</v>
      </c>
      <c r="P315" s="27" t="str">
        <f>IFERROR(VLOOKUP(B315,crm_orders!$A:$S,5,FALSE),"")</f>
        <v>WA</v>
      </c>
      <c r="Q315" s="27" t="str">
        <f>IFERROR(VLOOKUP(B315,crm_orders!$A:$S,7,FALSE),"")</f>
        <v>Distributor</v>
      </c>
      <c r="R315" s="27" t="str">
        <f>IFERROR(VLOOKUP(B315,crm_orders!$A:$S,8,FALSE),"")</f>
        <v>SKU0003</v>
      </c>
    </row>
    <row r="316" ht="15.75" customHeight="1">
      <c r="A316" s="17" t="s">
        <v>2885</v>
      </c>
      <c r="B316" s="17" t="s">
        <v>777</v>
      </c>
      <c r="C316" s="18">
        <v>46111.0</v>
      </c>
      <c r="D316" s="17" t="s">
        <v>2269</v>
      </c>
      <c r="E316" s="17" t="s">
        <v>2251</v>
      </c>
      <c r="F316" s="17" t="s">
        <v>2886</v>
      </c>
      <c r="G316" s="21">
        <v>12.0</v>
      </c>
      <c r="H316" s="21">
        <v>12.0</v>
      </c>
      <c r="I316" s="21">
        <v>0.0</v>
      </c>
      <c r="J316" s="17" t="s">
        <v>2247</v>
      </c>
      <c r="K316" s="17" t="s">
        <v>2247</v>
      </c>
      <c r="L316" s="17" t="s">
        <v>2247</v>
      </c>
      <c r="M316" s="17" t="s">
        <v>2248</v>
      </c>
      <c r="N316" s="21">
        <f>IFERROR((C316-VLOOKUP(B316,crm_orders!$A:$S,2,FALSE))*24,0)</f>
        <v>216</v>
      </c>
      <c r="O316" s="19" t="str">
        <f>IFERROR(VLOOKUP(B316,crm_orders!$A:$S,3,FALSE),"")</f>
        <v>DSP0013</v>
      </c>
      <c r="P316" s="19" t="str">
        <f>IFERROR(VLOOKUP(B316,crm_orders!$A:$S,5,FALSE),"")</f>
        <v>OR</v>
      </c>
      <c r="Q316" s="19" t="str">
        <f>IFERROR(VLOOKUP(B316,crm_orders!$A:$S,7,FALSE),"")</f>
        <v>Wholesale</v>
      </c>
      <c r="R316" s="19" t="str">
        <f>IFERROR(VLOOKUP(B316,crm_orders!$A:$S,8,FALSE),"")</f>
        <v>SKU0010</v>
      </c>
    </row>
    <row r="317" ht="15.75" customHeight="1">
      <c r="A317" s="25" t="s">
        <v>2887</v>
      </c>
      <c r="B317" s="25" t="s">
        <v>896</v>
      </c>
      <c r="C317" s="26">
        <v>46066.0</v>
      </c>
      <c r="D317" s="25" t="s">
        <v>2260</v>
      </c>
      <c r="E317" s="25" t="s">
        <v>2286</v>
      </c>
      <c r="F317" s="25" t="s">
        <v>2888</v>
      </c>
      <c r="G317" s="29">
        <v>36.0</v>
      </c>
      <c r="H317" s="29">
        <v>36.0</v>
      </c>
      <c r="I317" s="29">
        <v>0.0</v>
      </c>
      <c r="J317" s="25" t="s">
        <v>2247</v>
      </c>
      <c r="K317" s="25" t="s">
        <v>2247</v>
      </c>
      <c r="L317" s="25" t="s">
        <v>2247</v>
      </c>
      <c r="M317" s="25" t="s">
        <v>2248</v>
      </c>
      <c r="N317" s="29">
        <f>IFERROR((C317-VLOOKUP(B317,crm_orders!$A:$S,2,FALSE))*24,0)</f>
        <v>192</v>
      </c>
      <c r="O317" s="27" t="str">
        <f>IFERROR(VLOOKUP(B317,crm_orders!$A:$S,3,FALSE),"")</f>
        <v>DSP0095</v>
      </c>
      <c r="P317" s="27" t="str">
        <f>IFERROR(VLOOKUP(B317,crm_orders!$A:$S,5,FALSE),"")</f>
        <v>NY</v>
      </c>
      <c r="Q317" s="27" t="str">
        <f>IFERROR(VLOOKUP(B317,crm_orders!$A:$S,7,FALSE),"")</f>
        <v>Distributor</v>
      </c>
      <c r="R317" s="27" t="str">
        <f>IFERROR(VLOOKUP(B317,crm_orders!$A:$S,8,FALSE),"")</f>
        <v>SKU0014</v>
      </c>
    </row>
    <row r="318" ht="15.75" customHeight="1">
      <c r="A318" s="17" t="s">
        <v>2889</v>
      </c>
      <c r="B318" s="17" t="s">
        <v>118</v>
      </c>
      <c r="C318" s="18">
        <v>46044.0</v>
      </c>
      <c r="D318" s="17" t="s">
        <v>2250</v>
      </c>
      <c r="E318" s="17" t="s">
        <v>2244</v>
      </c>
      <c r="F318" s="17" t="s">
        <v>2890</v>
      </c>
      <c r="G318" s="21">
        <v>18.0</v>
      </c>
      <c r="H318" s="21">
        <v>18.0</v>
      </c>
      <c r="I318" s="21">
        <v>0.0</v>
      </c>
      <c r="J318" s="17" t="s">
        <v>2246</v>
      </c>
      <c r="K318" s="17" t="s">
        <v>2247</v>
      </c>
      <c r="L318" s="17" t="s">
        <v>2246</v>
      </c>
      <c r="M318" s="17" t="s">
        <v>2248</v>
      </c>
      <c r="N318" s="21">
        <f>IFERROR((C318-VLOOKUP(B318,crm_orders!$A:$S,2,FALSE))*24,0)</f>
        <v>192</v>
      </c>
      <c r="O318" s="19" t="str">
        <f>IFERROR(VLOOKUP(B318,crm_orders!$A:$S,3,FALSE),"")</f>
        <v>DSP0063</v>
      </c>
      <c r="P318" s="19" t="str">
        <f>IFERROR(VLOOKUP(B318,crm_orders!$A:$S,5,FALSE),"")</f>
        <v>CA</v>
      </c>
      <c r="Q318" s="19" t="str">
        <f>IFERROR(VLOOKUP(B318,crm_orders!$A:$S,7,FALSE),"")</f>
        <v>Wholesale</v>
      </c>
      <c r="R318" s="19" t="str">
        <f>IFERROR(VLOOKUP(B318,crm_orders!$A:$S,8,FALSE),"")</f>
        <v>SKU0018</v>
      </c>
    </row>
    <row r="319" ht="15.75" customHeight="1">
      <c r="A319" s="25" t="s">
        <v>2891</v>
      </c>
      <c r="B319" s="25" t="s">
        <v>119</v>
      </c>
      <c r="C319" s="26">
        <v>46127.0</v>
      </c>
      <c r="D319" s="25" t="s">
        <v>2254</v>
      </c>
      <c r="E319" s="25" t="s">
        <v>2261</v>
      </c>
      <c r="F319" s="25" t="s">
        <v>2892</v>
      </c>
      <c r="G319" s="29">
        <v>12.0</v>
      </c>
      <c r="H319" s="29">
        <v>12.0</v>
      </c>
      <c r="I319" s="29">
        <v>0.0</v>
      </c>
      <c r="J319" s="25" t="s">
        <v>2246</v>
      </c>
      <c r="K319" s="25" t="s">
        <v>2247</v>
      </c>
      <c r="L319" s="25" t="s">
        <v>2246</v>
      </c>
      <c r="M319" s="25" t="s">
        <v>2248</v>
      </c>
      <c r="N319" s="29">
        <f>IFERROR((C319-VLOOKUP(B319,crm_orders!$A:$S,2,FALSE))*24,0)</f>
        <v>264</v>
      </c>
      <c r="O319" s="27" t="str">
        <f>IFERROR(VLOOKUP(B319,crm_orders!$A:$S,3,FALSE),"")</f>
        <v>DSP0094</v>
      </c>
      <c r="P319" s="27" t="str">
        <f>IFERROR(VLOOKUP(B319,crm_orders!$A:$S,5,FALSE),"")</f>
        <v>NM</v>
      </c>
      <c r="Q319" s="27" t="str">
        <f>IFERROR(VLOOKUP(B319,crm_orders!$A:$S,7,FALSE),"")</f>
        <v>Wholesale</v>
      </c>
      <c r="R319" s="27" t="str">
        <f>IFERROR(VLOOKUP(B319,crm_orders!$A:$S,8,FALSE),"")</f>
        <v>SKU0003</v>
      </c>
    </row>
    <row r="320" ht="15.75" customHeight="1">
      <c r="A320" s="17" t="s">
        <v>2893</v>
      </c>
      <c r="B320" s="17" t="s">
        <v>496</v>
      </c>
      <c r="C320" s="18">
        <v>46101.0</v>
      </c>
      <c r="D320" s="17" t="s">
        <v>2260</v>
      </c>
      <c r="E320" s="17" t="s">
        <v>2261</v>
      </c>
      <c r="F320" s="17" t="s">
        <v>2894</v>
      </c>
      <c r="G320" s="21">
        <v>30.0</v>
      </c>
      <c r="H320" s="21">
        <v>30.0</v>
      </c>
      <c r="I320" s="21">
        <v>0.0</v>
      </c>
      <c r="J320" s="17" t="s">
        <v>2246</v>
      </c>
      <c r="K320" s="17" t="s">
        <v>2247</v>
      </c>
      <c r="L320" s="17" t="s">
        <v>2246</v>
      </c>
      <c r="M320" s="17" t="s">
        <v>2248</v>
      </c>
      <c r="N320" s="21">
        <f>IFERROR((C320-VLOOKUP(B320,crm_orders!$A:$S,2,FALSE))*24,0)</f>
        <v>192</v>
      </c>
      <c r="O320" s="19" t="str">
        <f>IFERROR(VLOOKUP(B320,crm_orders!$A:$S,3,FALSE),"")</f>
        <v>DSP0028</v>
      </c>
      <c r="P320" s="19" t="str">
        <f>IFERROR(VLOOKUP(B320,crm_orders!$A:$S,5,FALSE),"")</f>
        <v>CO</v>
      </c>
      <c r="Q320" s="19" t="str">
        <f>IFERROR(VLOOKUP(B320,crm_orders!$A:$S,7,FALSE),"")</f>
        <v>Wholesale</v>
      </c>
      <c r="R320" s="19" t="str">
        <f>IFERROR(VLOOKUP(B320,crm_orders!$A:$S,8,FALSE),"")</f>
        <v>SKU0002</v>
      </c>
    </row>
    <row r="321" ht="15.75" customHeight="1">
      <c r="A321" s="25" t="s">
        <v>2895</v>
      </c>
      <c r="B321" s="25" t="s">
        <v>778</v>
      </c>
      <c r="C321" s="26">
        <v>46121.0</v>
      </c>
      <c r="D321" s="25" t="s">
        <v>2250</v>
      </c>
      <c r="E321" s="25" t="s">
        <v>2255</v>
      </c>
      <c r="F321" s="25" t="s">
        <v>2896</v>
      </c>
      <c r="G321" s="29">
        <v>18.0</v>
      </c>
      <c r="H321" s="29">
        <v>18.0</v>
      </c>
      <c r="I321" s="29">
        <v>0.0</v>
      </c>
      <c r="J321" s="25" t="s">
        <v>2246</v>
      </c>
      <c r="K321" s="25" t="s">
        <v>2247</v>
      </c>
      <c r="L321" s="25" t="s">
        <v>2246</v>
      </c>
      <c r="M321" s="25" t="s">
        <v>2248</v>
      </c>
      <c r="N321" s="29">
        <f>IFERROR((C321-VLOOKUP(B321,crm_orders!$A:$S,2,FALSE))*24,0)</f>
        <v>264</v>
      </c>
      <c r="O321" s="27" t="str">
        <f>IFERROR(VLOOKUP(B321,crm_orders!$A:$S,3,FALSE),"")</f>
        <v>DSP0109</v>
      </c>
      <c r="P321" s="27" t="str">
        <f>IFERROR(VLOOKUP(B321,crm_orders!$A:$S,5,FALSE),"")</f>
        <v>OR</v>
      </c>
      <c r="Q321" s="27" t="str">
        <f>IFERROR(VLOOKUP(B321,crm_orders!$A:$S,7,FALSE),"")</f>
        <v>Wholesale</v>
      </c>
      <c r="R321" s="27" t="str">
        <f>IFERROR(VLOOKUP(B321,crm_orders!$A:$S,8,FALSE),"")</f>
        <v>SKU0020</v>
      </c>
    </row>
    <row r="322" ht="15.75" customHeight="1">
      <c r="A322" s="17" t="s">
        <v>2897</v>
      </c>
      <c r="B322" s="17" t="s">
        <v>610</v>
      </c>
      <c r="C322" s="18">
        <v>46150.0</v>
      </c>
      <c r="D322" s="17" t="s">
        <v>2260</v>
      </c>
      <c r="E322" s="17" t="s">
        <v>2251</v>
      </c>
      <c r="F322" s="17" t="s">
        <v>2898</v>
      </c>
      <c r="G322" s="21">
        <v>36.0</v>
      </c>
      <c r="H322" s="21">
        <v>36.0</v>
      </c>
      <c r="I322" s="21">
        <v>0.0</v>
      </c>
      <c r="J322" s="17" t="s">
        <v>2246</v>
      </c>
      <c r="K322" s="17" t="s">
        <v>2247</v>
      </c>
      <c r="L322" s="17" t="s">
        <v>2246</v>
      </c>
      <c r="M322" s="17" t="s">
        <v>2248</v>
      </c>
      <c r="N322" s="21">
        <f>IFERROR((C322-VLOOKUP(B322,crm_orders!$A:$S,2,FALSE))*24,0)</f>
        <v>168</v>
      </c>
      <c r="O322" s="19" t="str">
        <f>IFERROR(VLOOKUP(B322,crm_orders!$A:$S,3,FALSE),"")</f>
        <v>DSP0019</v>
      </c>
      <c r="P322" s="19" t="str">
        <f>IFERROR(VLOOKUP(B322,crm_orders!$A:$S,5,FALSE),"")</f>
        <v>IL</v>
      </c>
      <c r="Q322" s="19" t="str">
        <f>IFERROR(VLOOKUP(B322,crm_orders!$A:$S,7,FALSE),"")</f>
        <v>Wholesale</v>
      </c>
      <c r="R322" s="19" t="str">
        <f>IFERROR(VLOOKUP(B322,crm_orders!$A:$S,8,FALSE),"")</f>
        <v>SKU0016</v>
      </c>
    </row>
    <row r="323" ht="15.75" customHeight="1">
      <c r="A323" s="25" t="s">
        <v>2899</v>
      </c>
      <c r="B323" s="25" t="s">
        <v>353</v>
      </c>
      <c r="C323" s="26">
        <v>46145.0</v>
      </c>
      <c r="D323" s="25" t="s">
        <v>2254</v>
      </c>
      <c r="E323" s="25" t="s">
        <v>2255</v>
      </c>
      <c r="F323" s="25" t="s">
        <v>2900</v>
      </c>
      <c r="G323" s="29">
        <v>36.0</v>
      </c>
      <c r="H323" s="29">
        <v>36.0</v>
      </c>
      <c r="I323" s="29">
        <v>0.0</v>
      </c>
      <c r="J323" s="25" t="s">
        <v>2246</v>
      </c>
      <c r="K323" s="25" t="s">
        <v>2247</v>
      </c>
      <c r="L323" s="25" t="s">
        <v>2246</v>
      </c>
      <c r="M323" s="25" t="s">
        <v>2248</v>
      </c>
      <c r="N323" s="29">
        <f>IFERROR((C323-VLOOKUP(B323,crm_orders!$A:$S,2,FALSE))*24,0)</f>
        <v>144</v>
      </c>
      <c r="O323" s="27" t="str">
        <f>IFERROR(VLOOKUP(B323,crm_orders!$A:$S,3,FALSE),"")</f>
        <v>DSP0027</v>
      </c>
      <c r="P323" s="27" t="str">
        <f>IFERROR(VLOOKUP(B323,crm_orders!$A:$S,5,FALSE),"")</f>
        <v>CA</v>
      </c>
      <c r="Q323" s="27" t="str">
        <f>IFERROR(VLOOKUP(B323,crm_orders!$A:$S,7,FALSE),"")</f>
        <v>Distributor</v>
      </c>
      <c r="R323" s="27" t="str">
        <f>IFERROR(VLOOKUP(B323,crm_orders!$A:$S,8,FALSE),"")</f>
        <v>SKU0017</v>
      </c>
    </row>
    <row r="324" ht="15.75" customHeight="1">
      <c r="A324" s="17" t="s">
        <v>2901</v>
      </c>
      <c r="B324" s="17" t="s">
        <v>611</v>
      </c>
      <c r="C324" s="18">
        <v>46109.0</v>
      </c>
      <c r="D324" s="17" t="s">
        <v>2260</v>
      </c>
      <c r="E324" s="17" t="s">
        <v>2251</v>
      </c>
      <c r="F324" s="17" t="s">
        <v>2902</v>
      </c>
      <c r="G324" s="21">
        <v>30.0</v>
      </c>
      <c r="H324" s="21">
        <v>30.0</v>
      </c>
      <c r="I324" s="21">
        <v>0.0</v>
      </c>
      <c r="J324" s="17" t="s">
        <v>2246</v>
      </c>
      <c r="K324" s="17" t="s">
        <v>2247</v>
      </c>
      <c r="L324" s="17" t="s">
        <v>2246</v>
      </c>
      <c r="M324" s="17" t="s">
        <v>2248</v>
      </c>
      <c r="N324" s="21">
        <f>IFERROR((C324-VLOOKUP(B324,crm_orders!$A:$S,2,FALSE))*24,0)</f>
        <v>120</v>
      </c>
      <c r="O324" s="19" t="str">
        <f>IFERROR(VLOOKUP(B324,crm_orders!$A:$S,3,FALSE),"")</f>
        <v>DSP0091</v>
      </c>
      <c r="P324" s="19" t="str">
        <f>IFERROR(VLOOKUP(B324,crm_orders!$A:$S,5,FALSE),"")</f>
        <v>IL</v>
      </c>
      <c r="Q324" s="19" t="str">
        <f>IFERROR(VLOOKUP(B324,crm_orders!$A:$S,7,FALSE),"")</f>
        <v>Wholesale</v>
      </c>
      <c r="R324" s="19" t="str">
        <f>IFERROR(VLOOKUP(B324,crm_orders!$A:$S,8,FALSE),"")</f>
        <v>SKU0017</v>
      </c>
    </row>
    <row r="325" ht="15.75" customHeight="1">
      <c r="A325" s="25" t="s">
        <v>2903</v>
      </c>
      <c r="B325" s="25" t="s">
        <v>1151</v>
      </c>
      <c r="C325" s="26">
        <v>46095.0</v>
      </c>
      <c r="D325" s="25" t="s">
        <v>2250</v>
      </c>
      <c r="E325" s="25" t="s">
        <v>2244</v>
      </c>
      <c r="F325" s="25" t="s">
        <v>2904</v>
      </c>
      <c r="G325" s="29">
        <v>30.0</v>
      </c>
      <c r="H325" s="29">
        <v>0.0</v>
      </c>
      <c r="I325" s="29">
        <v>30.0</v>
      </c>
      <c r="J325" s="25" t="s">
        <v>2247</v>
      </c>
      <c r="K325" s="25" t="s">
        <v>2246</v>
      </c>
      <c r="L325" s="25" t="s">
        <v>2246</v>
      </c>
      <c r="M325" s="25" t="s">
        <v>2312</v>
      </c>
      <c r="N325" s="29">
        <f>IFERROR((C325-VLOOKUP(B325,crm_orders!$A:$S,2,FALSE))*24,0)</f>
        <v>144</v>
      </c>
      <c r="O325" s="27" t="str">
        <f>IFERROR(VLOOKUP(B325,crm_orders!$A:$S,3,FALSE),"")</f>
        <v>DSP0076</v>
      </c>
      <c r="P325" s="27" t="str">
        <f>IFERROR(VLOOKUP(B325,crm_orders!$A:$S,5,FALSE),"")</f>
        <v>CO</v>
      </c>
      <c r="Q325" s="27" t="str">
        <f>IFERROR(VLOOKUP(B325,crm_orders!$A:$S,7,FALSE),"")</f>
        <v>Wholesale</v>
      </c>
      <c r="R325" s="27" t="str">
        <f>IFERROR(VLOOKUP(B325,crm_orders!$A:$S,8,FALSE),"")</f>
        <v>SKU0003</v>
      </c>
    </row>
    <row r="326" ht="15.75" customHeight="1">
      <c r="A326" s="17" t="s">
        <v>2905</v>
      </c>
      <c r="B326" s="17" t="s">
        <v>1009</v>
      </c>
      <c r="C326" s="18">
        <v>46140.0</v>
      </c>
      <c r="D326" s="17" t="s">
        <v>2250</v>
      </c>
      <c r="E326" s="17" t="s">
        <v>2255</v>
      </c>
      <c r="F326" s="17" t="s">
        <v>2906</v>
      </c>
      <c r="G326" s="21">
        <v>96.0</v>
      </c>
      <c r="H326" s="21">
        <v>96.0</v>
      </c>
      <c r="I326" s="21">
        <v>0.0</v>
      </c>
      <c r="J326" s="17" t="s">
        <v>2247</v>
      </c>
      <c r="K326" s="17" t="s">
        <v>2247</v>
      </c>
      <c r="L326" s="17" t="s">
        <v>2247</v>
      </c>
      <c r="M326" s="17" t="s">
        <v>2248</v>
      </c>
      <c r="N326" s="21">
        <f>IFERROR((C326-VLOOKUP(B326,crm_orders!$A:$S,2,FALSE))*24,0)</f>
        <v>96</v>
      </c>
      <c r="O326" s="19" t="str">
        <f>IFERROR(VLOOKUP(B326,crm_orders!$A:$S,3,FALSE),"")</f>
        <v>DSP0102</v>
      </c>
      <c r="P326" s="19" t="str">
        <f>IFERROR(VLOOKUP(B326,crm_orders!$A:$S,5,FALSE),"")</f>
        <v>NV</v>
      </c>
      <c r="Q326" s="19" t="str">
        <f>IFERROR(VLOOKUP(B326,crm_orders!$A:$S,7,FALSE),"")</f>
        <v>Wholesale</v>
      </c>
      <c r="R326" s="19" t="str">
        <f>IFERROR(VLOOKUP(B326,crm_orders!$A:$S,8,FALSE),"")</f>
        <v>SKU0016</v>
      </c>
    </row>
    <row r="327" ht="15.75" customHeight="1">
      <c r="A327" s="25" t="s">
        <v>2907</v>
      </c>
      <c r="B327" s="25" t="s">
        <v>497</v>
      </c>
      <c r="C327" s="26">
        <v>46051.0</v>
      </c>
      <c r="D327" s="25" t="s">
        <v>2250</v>
      </c>
      <c r="E327" s="25" t="s">
        <v>2255</v>
      </c>
      <c r="F327" s="25" t="s">
        <v>2908</v>
      </c>
      <c r="G327" s="29">
        <v>18.0</v>
      </c>
      <c r="H327" s="29">
        <v>18.0</v>
      </c>
      <c r="I327" s="29">
        <v>0.0</v>
      </c>
      <c r="J327" s="25" t="s">
        <v>2246</v>
      </c>
      <c r="K327" s="25" t="s">
        <v>2247</v>
      </c>
      <c r="L327" s="25" t="s">
        <v>2246</v>
      </c>
      <c r="M327" s="25" t="s">
        <v>2248</v>
      </c>
      <c r="N327" s="29">
        <f>IFERROR((C327-VLOOKUP(B327,crm_orders!$A:$S,2,FALSE))*24,0)</f>
        <v>120</v>
      </c>
      <c r="O327" s="27" t="str">
        <f>IFERROR(VLOOKUP(B327,crm_orders!$A:$S,3,FALSE),"")</f>
        <v>DSP0028</v>
      </c>
      <c r="P327" s="27" t="str">
        <f>IFERROR(VLOOKUP(B327,crm_orders!$A:$S,5,FALSE),"")</f>
        <v>CO</v>
      </c>
      <c r="Q327" s="27" t="str">
        <f>IFERROR(VLOOKUP(B327,crm_orders!$A:$S,7,FALSE),"")</f>
        <v>Wholesale</v>
      </c>
      <c r="R327" s="27" t="str">
        <f>IFERROR(VLOOKUP(B327,crm_orders!$A:$S,8,FALSE),"")</f>
        <v>SKU0005</v>
      </c>
    </row>
    <row r="328" ht="15.75" customHeight="1">
      <c r="A328" s="17" t="s">
        <v>2909</v>
      </c>
      <c r="B328" s="17" t="s">
        <v>1152</v>
      </c>
      <c r="C328" s="18">
        <v>46119.0</v>
      </c>
      <c r="D328" s="17" t="s">
        <v>2260</v>
      </c>
      <c r="E328" s="17" t="s">
        <v>2255</v>
      </c>
      <c r="F328" s="17" t="s">
        <v>2910</v>
      </c>
      <c r="G328" s="21">
        <v>60.0</v>
      </c>
      <c r="H328" s="21">
        <v>60.0</v>
      </c>
      <c r="I328" s="21">
        <v>0.0</v>
      </c>
      <c r="J328" s="17" t="s">
        <v>2246</v>
      </c>
      <c r="K328" s="17" t="s">
        <v>2247</v>
      </c>
      <c r="L328" s="17" t="s">
        <v>2246</v>
      </c>
      <c r="M328" s="17" t="s">
        <v>2248</v>
      </c>
      <c r="N328" s="21">
        <f>IFERROR((C328-VLOOKUP(B328,crm_orders!$A:$S,2,FALSE))*24,0)</f>
        <v>240</v>
      </c>
      <c r="O328" s="19" t="str">
        <f>IFERROR(VLOOKUP(B328,crm_orders!$A:$S,3,FALSE),"")</f>
        <v>DSP0015</v>
      </c>
      <c r="P328" s="19" t="str">
        <f>IFERROR(VLOOKUP(B328,crm_orders!$A:$S,5,FALSE),"")</f>
        <v>CA</v>
      </c>
      <c r="Q328" s="19" t="str">
        <f>IFERROR(VLOOKUP(B328,crm_orders!$A:$S,7,FALSE),"")</f>
        <v>Wholesale</v>
      </c>
      <c r="R328" s="19" t="str">
        <f>IFERROR(VLOOKUP(B328,crm_orders!$A:$S,8,FALSE),"")</f>
        <v>SKU0016</v>
      </c>
    </row>
    <row r="329" ht="15.75" customHeight="1">
      <c r="A329" s="25" t="s">
        <v>2911</v>
      </c>
      <c r="B329" s="25" t="s">
        <v>354</v>
      </c>
      <c r="C329" s="26">
        <v>46047.0</v>
      </c>
      <c r="D329" s="25" t="s">
        <v>2250</v>
      </c>
      <c r="E329" s="25" t="s">
        <v>2261</v>
      </c>
      <c r="F329" s="25" t="s">
        <v>2912</v>
      </c>
      <c r="G329" s="29">
        <v>18.0</v>
      </c>
      <c r="H329" s="29">
        <v>12.0</v>
      </c>
      <c r="I329" s="29">
        <v>6.0</v>
      </c>
      <c r="J329" s="25" t="s">
        <v>2246</v>
      </c>
      <c r="K329" s="25" t="s">
        <v>2246</v>
      </c>
      <c r="L329" s="25" t="s">
        <v>2246</v>
      </c>
      <c r="M329" s="25" t="s">
        <v>2267</v>
      </c>
      <c r="N329" s="29">
        <f>IFERROR((C329-VLOOKUP(B329,crm_orders!$A:$S,2,FALSE))*24,0)</f>
        <v>96</v>
      </c>
      <c r="O329" s="27" t="str">
        <f>IFERROR(VLOOKUP(B329,crm_orders!$A:$S,3,FALSE),"")</f>
        <v>DSP0074</v>
      </c>
      <c r="P329" s="27" t="str">
        <f>IFERROR(VLOOKUP(B329,crm_orders!$A:$S,5,FALSE),"")</f>
        <v>WA</v>
      </c>
      <c r="Q329" s="27" t="str">
        <f>IFERROR(VLOOKUP(B329,crm_orders!$A:$S,7,FALSE),"")</f>
        <v>Wholesale</v>
      </c>
      <c r="R329" s="27" t="str">
        <f>IFERROR(VLOOKUP(B329,crm_orders!$A:$S,8,FALSE),"")</f>
        <v>SKU0019</v>
      </c>
    </row>
    <row r="330" ht="15.75" customHeight="1">
      <c r="A330" s="17" t="s">
        <v>2913</v>
      </c>
      <c r="B330" s="17" t="s">
        <v>1103</v>
      </c>
      <c r="C330" s="18">
        <v>46109.0</v>
      </c>
      <c r="D330" s="17" t="s">
        <v>2269</v>
      </c>
      <c r="E330" s="17" t="s">
        <v>2251</v>
      </c>
      <c r="F330" s="17" t="s">
        <v>2914</v>
      </c>
      <c r="G330" s="21">
        <v>96.0</v>
      </c>
      <c r="H330" s="21">
        <v>96.0</v>
      </c>
      <c r="I330" s="21">
        <v>0.0</v>
      </c>
      <c r="J330" s="17" t="s">
        <v>2246</v>
      </c>
      <c r="K330" s="17" t="s">
        <v>2247</v>
      </c>
      <c r="L330" s="17" t="s">
        <v>2246</v>
      </c>
      <c r="M330" s="17" t="s">
        <v>2248</v>
      </c>
      <c r="N330" s="21">
        <f>IFERROR((C330-VLOOKUP(B330,crm_orders!$A:$S,2,FALSE))*24,0)</f>
        <v>240</v>
      </c>
      <c r="O330" s="19" t="str">
        <f>IFERROR(VLOOKUP(B330,crm_orders!$A:$S,3,FALSE),"")</f>
        <v>DSP0067</v>
      </c>
      <c r="P330" s="19" t="str">
        <f>IFERROR(VLOOKUP(B330,crm_orders!$A:$S,5,FALSE),"")</f>
        <v>IL</v>
      </c>
      <c r="Q330" s="19" t="str">
        <f>IFERROR(VLOOKUP(B330,crm_orders!$A:$S,7,FALSE),"")</f>
        <v>Retail</v>
      </c>
      <c r="R330" s="19" t="str">
        <f>IFERROR(VLOOKUP(B330,crm_orders!$A:$S,8,FALSE),"")</f>
        <v>SKU0013</v>
      </c>
    </row>
    <row r="331" ht="15.75" customHeight="1">
      <c r="A331" s="25" t="s">
        <v>2915</v>
      </c>
      <c r="B331" s="25" t="s">
        <v>120</v>
      </c>
      <c r="C331" s="26">
        <v>46147.0</v>
      </c>
      <c r="D331" s="25" t="s">
        <v>2243</v>
      </c>
      <c r="E331" s="25" t="s">
        <v>2286</v>
      </c>
      <c r="F331" s="25" t="s">
        <v>2916</v>
      </c>
      <c r="G331" s="29">
        <v>60.0</v>
      </c>
      <c r="H331" s="29">
        <v>60.0</v>
      </c>
      <c r="I331" s="29">
        <v>0.0</v>
      </c>
      <c r="J331" s="25" t="s">
        <v>2246</v>
      </c>
      <c r="K331" s="25" t="s">
        <v>2247</v>
      </c>
      <c r="L331" s="25" t="s">
        <v>2246</v>
      </c>
      <c r="M331" s="25" t="s">
        <v>2248</v>
      </c>
      <c r="N331" s="29">
        <f>IFERROR((C331-VLOOKUP(B331,crm_orders!$A:$S,2,FALSE))*24,0)</f>
        <v>312</v>
      </c>
      <c r="O331" s="27" t="str">
        <f>IFERROR(VLOOKUP(B331,crm_orders!$A:$S,3,FALSE),"")</f>
        <v>DSP0078</v>
      </c>
      <c r="P331" s="27" t="str">
        <f>IFERROR(VLOOKUP(B331,crm_orders!$A:$S,5,FALSE),"")</f>
        <v>NV</v>
      </c>
      <c r="Q331" s="27" t="str">
        <f>IFERROR(VLOOKUP(B331,crm_orders!$A:$S,7,FALSE),"")</f>
        <v>Wholesale</v>
      </c>
      <c r="R331" s="27" t="str">
        <f>IFERROR(VLOOKUP(B331,crm_orders!$A:$S,8,FALSE),"")</f>
        <v>SKU0016</v>
      </c>
    </row>
    <row r="332" ht="15.75" customHeight="1">
      <c r="A332" s="17" t="s">
        <v>2917</v>
      </c>
      <c r="B332" s="17" t="s">
        <v>1153</v>
      </c>
      <c r="C332" s="18">
        <v>46069.0</v>
      </c>
      <c r="D332" s="17" t="s">
        <v>2250</v>
      </c>
      <c r="E332" s="17" t="s">
        <v>2244</v>
      </c>
      <c r="F332" s="17" t="s">
        <v>2918</v>
      </c>
      <c r="G332" s="21">
        <v>18.0</v>
      </c>
      <c r="H332" s="21">
        <v>18.0</v>
      </c>
      <c r="I332" s="21">
        <v>0.0</v>
      </c>
      <c r="J332" s="17" t="s">
        <v>2246</v>
      </c>
      <c r="K332" s="17" t="s">
        <v>2247</v>
      </c>
      <c r="L332" s="17" t="s">
        <v>2246</v>
      </c>
      <c r="M332" s="17" t="s">
        <v>2248</v>
      </c>
      <c r="N332" s="21">
        <f>IFERROR((C332-VLOOKUP(B332,crm_orders!$A:$S,2,FALSE))*24,0)</f>
        <v>312</v>
      </c>
      <c r="O332" s="19" t="str">
        <f>IFERROR(VLOOKUP(B332,crm_orders!$A:$S,3,FALSE),"")</f>
        <v>DSP0085</v>
      </c>
      <c r="P332" s="19" t="str">
        <f>IFERROR(VLOOKUP(B332,crm_orders!$A:$S,5,FALSE),"")</f>
        <v>OR</v>
      </c>
      <c r="Q332" s="19" t="str">
        <f>IFERROR(VLOOKUP(B332,crm_orders!$A:$S,7,FALSE),"")</f>
        <v>Wholesale</v>
      </c>
      <c r="R332" s="19" t="str">
        <f>IFERROR(VLOOKUP(B332,crm_orders!$A:$S,8,FALSE),"")</f>
        <v>SKU0017</v>
      </c>
    </row>
    <row r="333" ht="15.75" customHeight="1">
      <c r="A333" s="25" t="s">
        <v>2919</v>
      </c>
      <c r="B333" s="25" t="s">
        <v>355</v>
      </c>
      <c r="C333" s="26">
        <v>46030.0</v>
      </c>
      <c r="D333" s="25" t="s">
        <v>2269</v>
      </c>
      <c r="E333" s="25" t="s">
        <v>2286</v>
      </c>
      <c r="F333" s="25" t="s">
        <v>2920</v>
      </c>
      <c r="G333" s="29">
        <v>24.0</v>
      </c>
      <c r="H333" s="29">
        <v>0.0</v>
      </c>
      <c r="I333" s="29">
        <v>24.0</v>
      </c>
      <c r="J333" s="25" t="s">
        <v>2246</v>
      </c>
      <c r="K333" s="25" t="s">
        <v>2246</v>
      </c>
      <c r="L333" s="25" t="s">
        <v>2246</v>
      </c>
      <c r="M333" s="25" t="s">
        <v>2312</v>
      </c>
      <c r="N333" s="29">
        <f>IFERROR((C333-VLOOKUP(B333,crm_orders!$A:$S,2,FALSE))*24,0)</f>
        <v>120</v>
      </c>
      <c r="O333" s="27" t="str">
        <f>IFERROR(VLOOKUP(B333,crm_orders!$A:$S,3,FALSE),"")</f>
        <v>DSP0017</v>
      </c>
      <c r="P333" s="27" t="str">
        <f>IFERROR(VLOOKUP(B333,crm_orders!$A:$S,5,FALSE),"")</f>
        <v>AZ</v>
      </c>
      <c r="Q333" s="27" t="str">
        <f>IFERROR(VLOOKUP(B333,crm_orders!$A:$S,7,FALSE),"")</f>
        <v>Retail</v>
      </c>
      <c r="R333" s="27" t="str">
        <f>IFERROR(VLOOKUP(B333,crm_orders!$A:$S,8,FALSE),"")</f>
        <v>SKU0004</v>
      </c>
    </row>
    <row r="334" ht="15.75" customHeight="1">
      <c r="A334" s="17" t="s">
        <v>2921</v>
      </c>
      <c r="B334" s="17" t="s">
        <v>897</v>
      </c>
      <c r="C334" s="18">
        <v>46100.0</v>
      </c>
      <c r="D334" s="17" t="s">
        <v>2260</v>
      </c>
      <c r="E334" s="17" t="s">
        <v>2286</v>
      </c>
      <c r="F334" s="17" t="s">
        <v>2922</v>
      </c>
      <c r="G334" s="21">
        <v>6.0</v>
      </c>
      <c r="H334" s="21">
        <v>6.0</v>
      </c>
      <c r="I334" s="21">
        <v>0.0</v>
      </c>
      <c r="J334" s="17" t="s">
        <v>2247</v>
      </c>
      <c r="K334" s="17" t="s">
        <v>2247</v>
      </c>
      <c r="L334" s="17" t="s">
        <v>2247</v>
      </c>
      <c r="M334" s="17" t="s">
        <v>2248</v>
      </c>
      <c r="N334" s="21">
        <f>IFERROR((C334-VLOOKUP(B334,crm_orders!$A:$S,2,FALSE))*24,0)</f>
        <v>24</v>
      </c>
      <c r="O334" s="19" t="str">
        <f>IFERROR(VLOOKUP(B334,crm_orders!$A:$S,3,FALSE),"")</f>
        <v>DSP0116</v>
      </c>
      <c r="P334" s="19" t="str">
        <f>IFERROR(VLOOKUP(B334,crm_orders!$A:$S,5,FALSE),"")</f>
        <v>MI</v>
      </c>
      <c r="Q334" s="19" t="str">
        <f>IFERROR(VLOOKUP(B334,crm_orders!$A:$S,7,FALSE),"")</f>
        <v>Retail</v>
      </c>
      <c r="R334" s="19" t="str">
        <f>IFERROR(VLOOKUP(B334,crm_orders!$A:$S,8,FALSE),"")</f>
        <v>SKU0020</v>
      </c>
    </row>
    <row r="335" ht="15.75" customHeight="1">
      <c r="A335" s="25" t="s">
        <v>2923</v>
      </c>
      <c r="B335" s="25" t="s">
        <v>779</v>
      </c>
      <c r="C335" s="26">
        <v>46085.0</v>
      </c>
      <c r="D335" s="25" t="s">
        <v>2254</v>
      </c>
      <c r="E335" s="25" t="s">
        <v>2251</v>
      </c>
      <c r="F335" s="25" t="s">
        <v>2924</v>
      </c>
      <c r="G335" s="29">
        <v>24.0</v>
      </c>
      <c r="H335" s="29">
        <v>12.0</v>
      </c>
      <c r="I335" s="29">
        <v>12.0</v>
      </c>
      <c r="J335" s="25" t="s">
        <v>2246</v>
      </c>
      <c r="K335" s="25" t="s">
        <v>2246</v>
      </c>
      <c r="L335" s="25" t="s">
        <v>2246</v>
      </c>
      <c r="M335" s="25" t="s">
        <v>2267</v>
      </c>
      <c r="N335" s="29">
        <f>IFERROR((C335-VLOOKUP(B335,crm_orders!$A:$S,2,FALSE))*24,0)</f>
        <v>192</v>
      </c>
      <c r="O335" s="27" t="str">
        <f>IFERROR(VLOOKUP(B335,crm_orders!$A:$S,3,FALSE),"")</f>
        <v>DSP0090</v>
      </c>
      <c r="P335" s="27" t="str">
        <f>IFERROR(VLOOKUP(B335,crm_orders!$A:$S,5,FALSE),"")</f>
        <v>NV</v>
      </c>
      <c r="Q335" s="27" t="str">
        <f>IFERROR(VLOOKUP(B335,crm_orders!$A:$S,7,FALSE),"")</f>
        <v>Retail</v>
      </c>
      <c r="R335" s="27" t="str">
        <f>IFERROR(VLOOKUP(B335,crm_orders!$A:$S,8,FALSE),"")</f>
        <v>SKU0017</v>
      </c>
    </row>
    <row r="336" ht="15.75" customHeight="1">
      <c r="A336" s="17" t="s">
        <v>2925</v>
      </c>
      <c r="B336" s="17" t="s">
        <v>356</v>
      </c>
      <c r="C336" s="18">
        <v>46050.0</v>
      </c>
      <c r="D336" s="17" t="s">
        <v>2269</v>
      </c>
      <c r="E336" s="17" t="s">
        <v>2261</v>
      </c>
      <c r="F336" s="17" t="s">
        <v>2926</v>
      </c>
      <c r="G336" s="21">
        <v>6.0</v>
      </c>
      <c r="H336" s="21">
        <v>6.0</v>
      </c>
      <c r="I336" s="21">
        <v>0.0</v>
      </c>
      <c r="J336" s="17" t="s">
        <v>2246</v>
      </c>
      <c r="K336" s="17" t="s">
        <v>2247</v>
      </c>
      <c r="L336" s="17" t="s">
        <v>2246</v>
      </c>
      <c r="M336" s="17" t="s">
        <v>2248</v>
      </c>
      <c r="N336" s="21">
        <f>IFERROR((C336-VLOOKUP(B336,crm_orders!$A:$S,2,FALSE))*24,0)</f>
        <v>72</v>
      </c>
      <c r="O336" s="19" t="str">
        <f>IFERROR(VLOOKUP(B336,crm_orders!$A:$S,3,FALSE),"")</f>
        <v>DSP0053</v>
      </c>
      <c r="P336" s="19" t="str">
        <f>IFERROR(VLOOKUP(B336,crm_orders!$A:$S,5,FALSE),"")</f>
        <v>AZ</v>
      </c>
      <c r="Q336" s="19" t="str">
        <f>IFERROR(VLOOKUP(B336,crm_orders!$A:$S,7,FALSE),"")</f>
        <v>Wholesale</v>
      </c>
      <c r="R336" s="19" t="str">
        <f>IFERROR(VLOOKUP(B336,crm_orders!$A:$S,8,FALSE),"")</f>
        <v>SKU0009</v>
      </c>
    </row>
    <row r="337" ht="15.75" customHeight="1">
      <c r="A337" s="25" t="s">
        <v>2927</v>
      </c>
      <c r="B337" s="25" t="s">
        <v>222</v>
      </c>
      <c r="C337" s="26">
        <v>46058.0</v>
      </c>
      <c r="D337" s="25" t="s">
        <v>2269</v>
      </c>
      <c r="E337" s="25" t="s">
        <v>2251</v>
      </c>
      <c r="F337" s="25" t="s">
        <v>2928</v>
      </c>
      <c r="G337" s="29">
        <v>30.0</v>
      </c>
      <c r="H337" s="29">
        <v>30.0</v>
      </c>
      <c r="I337" s="29">
        <v>0.0</v>
      </c>
      <c r="J337" s="25" t="s">
        <v>2247</v>
      </c>
      <c r="K337" s="25" t="s">
        <v>2247</v>
      </c>
      <c r="L337" s="25" t="s">
        <v>2247</v>
      </c>
      <c r="M337" s="25" t="s">
        <v>2248</v>
      </c>
      <c r="N337" s="29">
        <f>IFERROR((C337-VLOOKUP(B337,crm_orders!$A:$S,2,FALSE))*24,0)</f>
        <v>72</v>
      </c>
      <c r="O337" s="27" t="str">
        <f>IFERROR(VLOOKUP(B337,crm_orders!$A:$S,3,FALSE),"")</f>
        <v>DSP0072</v>
      </c>
      <c r="P337" s="27" t="str">
        <f>IFERROR(VLOOKUP(B337,crm_orders!$A:$S,5,FALSE),"")</f>
        <v>OK</v>
      </c>
      <c r="Q337" s="27" t="str">
        <f>IFERROR(VLOOKUP(B337,crm_orders!$A:$S,7,FALSE),"")</f>
        <v>Wholesale</v>
      </c>
      <c r="R337" s="27" t="str">
        <f>IFERROR(VLOOKUP(B337,crm_orders!$A:$S,8,FALSE),"")</f>
        <v>SKU0016</v>
      </c>
    </row>
    <row r="338" ht="15.75" customHeight="1">
      <c r="A338" s="17" t="s">
        <v>2929</v>
      </c>
      <c r="B338" s="17" t="s">
        <v>122</v>
      </c>
      <c r="C338" s="18">
        <v>46094.0</v>
      </c>
      <c r="D338" s="17" t="s">
        <v>2269</v>
      </c>
      <c r="E338" s="17" t="s">
        <v>2251</v>
      </c>
      <c r="F338" s="17" t="s">
        <v>2930</v>
      </c>
      <c r="G338" s="21">
        <v>18.0</v>
      </c>
      <c r="H338" s="21">
        <v>18.0</v>
      </c>
      <c r="I338" s="21">
        <v>0.0</v>
      </c>
      <c r="J338" s="17" t="s">
        <v>2246</v>
      </c>
      <c r="K338" s="17" t="s">
        <v>2247</v>
      </c>
      <c r="L338" s="17" t="s">
        <v>2246</v>
      </c>
      <c r="M338" s="17" t="s">
        <v>2248</v>
      </c>
      <c r="N338" s="21">
        <f>IFERROR((C338-VLOOKUP(B338,crm_orders!$A:$S,2,FALSE))*24,0)</f>
        <v>336</v>
      </c>
      <c r="O338" s="19" t="str">
        <f>IFERROR(VLOOKUP(B338,crm_orders!$A:$S,3,FALSE),"")</f>
        <v>DSP0096</v>
      </c>
      <c r="P338" s="19" t="str">
        <f>IFERROR(VLOOKUP(B338,crm_orders!$A:$S,5,FALSE),"")</f>
        <v>OK</v>
      </c>
      <c r="Q338" s="19" t="str">
        <f>IFERROR(VLOOKUP(B338,crm_orders!$A:$S,7,FALSE),"")</f>
        <v>Retail</v>
      </c>
      <c r="R338" s="19" t="str">
        <f>IFERROR(VLOOKUP(B338,crm_orders!$A:$S,8,FALSE),"")</f>
        <v>SKU0008</v>
      </c>
    </row>
    <row r="339" ht="15.75" customHeight="1">
      <c r="A339" s="25" t="s">
        <v>2931</v>
      </c>
      <c r="B339" s="25" t="s">
        <v>359</v>
      </c>
      <c r="C339" s="26">
        <v>46092.0</v>
      </c>
      <c r="D339" s="25" t="s">
        <v>2269</v>
      </c>
      <c r="E339" s="25" t="s">
        <v>2261</v>
      </c>
      <c r="F339" s="25" t="s">
        <v>2932</v>
      </c>
      <c r="G339" s="29">
        <v>24.0</v>
      </c>
      <c r="H339" s="29">
        <v>6.0</v>
      </c>
      <c r="I339" s="29">
        <v>18.0</v>
      </c>
      <c r="J339" s="25" t="s">
        <v>2246</v>
      </c>
      <c r="K339" s="25" t="s">
        <v>2246</v>
      </c>
      <c r="L339" s="25" t="s">
        <v>2246</v>
      </c>
      <c r="M339" s="25" t="s">
        <v>2267</v>
      </c>
      <c r="N339" s="29">
        <f>IFERROR((C339-VLOOKUP(B339,crm_orders!$A:$S,2,FALSE))*24,0)</f>
        <v>72</v>
      </c>
      <c r="O339" s="27" t="str">
        <f>IFERROR(VLOOKUP(B339,crm_orders!$A:$S,3,FALSE),"")</f>
        <v>DSP0077</v>
      </c>
      <c r="P339" s="27" t="str">
        <f>IFERROR(VLOOKUP(B339,crm_orders!$A:$S,5,FALSE),"")</f>
        <v>AZ</v>
      </c>
      <c r="Q339" s="27" t="str">
        <f>IFERROR(VLOOKUP(B339,crm_orders!$A:$S,7,FALSE),"")</f>
        <v>Wholesale</v>
      </c>
      <c r="R339" s="27" t="str">
        <f>IFERROR(VLOOKUP(B339,crm_orders!$A:$S,8,FALSE),"")</f>
        <v>SKU0017</v>
      </c>
    </row>
    <row r="340" ht="15.75" customHeight="1">
      <c r="A340" s="17" t="s">
        <v>2933</v>
      </c>
      <c r="B340" s="17" t="s">
        <v>1011</v>
      </c>
      <c r="C340" s="18">
        <v>46071.0</v>
      </c>
      <c r="D340" s="17" t="s">
        <v>2269</v>
      </c>
      <c r="E340" s="17" t="s">
        <v>2286</v>
      </c>
      <c r="F340" s="17" t="s">
        <v>2934</v>
      </c>
      <c r="G340" s="21">
        <v>120.0</v>
      </c>
      <c r="H340" s="21">
        <v>96.0</v>
      </c>
      <c r="I340" s="21">
        <v>24.0</v>
      </c>
      <c r="J340" s="17" t="s">
        <v>2246</v>
      </c>
      <c r="K340" s="17" t="s">
        <v>2246</v>
      </c>
      <c r="L340" s="17" t="s">
        <v>2246</v>
      </c>
      <c r="M340" s="17" t="s">
        <v>2267</v>
      </c>
      <c r="N340" s="21">
        <f>IFERROR((C340-VLOOKUP(B340,crm_orders!$A:$S,2,FALSE))*24,0)</f>
        <v>72</v>
      </c>
      <c r="O340" s="19" t="str">
        <f>IFERROR(VLOOKUP(B340,crm_orders!$A:$S,3,FALSE),"")</f>
        <v>DSP0036</v>
      </c>
      <c r="P340" s="19" t="str">
        <f>IFERROR(VLOOKUP(B340,crm_orders!$A:$S,5,FALSE),"")</f>
        <v>OK</v>
      </c>
      <c r="Q340" s="19" t="str">
        <f>IFERROR(VLOOKUP(B340,crm_orders!$A:$S,7,FALSE),"")</f>
        <v>Wholesale</v>
      </c>
      <c r="R340" s="19" t="str">
        <f>IFERROR(VLOOKUP(B340,crm_orders!$A:$S,8,FALSE),"")</f>
        <v>SKU0013</v>
      </c>
    </row>
    <row r="341" ht="15.75" customHeight="1">
      <c r="A341" s="25" t="s">
        <v>2935</v>
      </c>
      <c r="B341" s="25" t="s">
        <v>223</v>
      </c>
      <c r="C341" s="26">
        <v>46155.0</v>
      </c>
      <c r="D341" s="25" t="s">
        <v>2250</v>
      </c>
      <c r="E341" s="25" t="s">
        <v>2255</v>
      </c>
      <c r="F341" s="25" t="s">
        <v>2936</v>
      </c>
      <c r="G341" s="29">
        <v>96.0</v>
      </c>
      <c r="H341" s="29">
        <v>96.0</v>
      </c>
      <c r="I341" s="29">
        <v>0.0</v>
      </c>
      <c r="J341" s="25" t="s">
        <v>2246</v>
      </c>
      <c r="K341" s="25" t="s">
        <v>2247</v>
      </c>
      <c r="L341" s="25" t="s">
        <v>2246</v>
      </c>
      <c r="M341" s="25" t="s">
        <v>2248</v>
      </c>
      <c r="N341" s="29">
        <f>IFERROR((C341-VLOOKUP(B341,crm_orders!$A:$S,2,FALSE))*24,0)</f>
        <v>360</v>
      </c>
      <c r="O341" s="27" t="str">
        <f>IFERROR(VLOOKUP(B341,crm_orders!$A:$S,3,FALSE),"")</f>
        <v>DSP0093</v>
      </c>
      <c r="P341" s="27" t="str">
        <f>IFERROR(VLOOKUP(B341,crm_orders!$A:$S,5,FALSE),"")</f>
        <v>MO</v>
      </c>
      <c r="Q341" s="27" t="str">
        <f>IFERROR(VLOOKUP(B341,crm_orders!$A:$S,7,FALSE),"")</f>
        <v>Wholesale</v>
      </c>
      <c r="R341" s="27" t="str">
        <f>IFERROR(VLOOKUP(B341,crm_orders!$A:$S,8,FALSE),"")</f>
        <v>SKU0018</v>
      </c>
    </row>
    <row r="342" ht="15.75" customHeight="1">
      <c r="A342" s="17" t="s">
        <v>2937</v>
      </c>
      <c r="B342" s="17" t="s">
        <v>898</v>
      </c>
      <c r="C342" s="18">
        <v>46033.0</v>
      </c>
      <c r="D342" s="17" t="s">
        <v>2260</v>
      </c>
      <c r="E342" s="17" t="s">
        <v>2255</v>
      </c>
      <c r="F342" s="17" t="s">
        <v>2938</v>
      </c>
      <c r="G342" s="21">
        <v>30.0</v>
      </c>
      <c r="H342" s="21">
        <v>30.0</v>
      </c>
      <c r="I342" s="21">
        <v>0.0</v>
      </c>
      <c r="J342" s="17" t="s">
        <v>2246</v>
      </c>
      <c r="K342" s="17" t="s">
        <v>2247</v>
      </c>
      <c r="L342" s="17" t="s">
        <v>2246</v>
      </c>
      <c r="M342" s="17" t="s">
        <v>2248</v>
      </c>
      <c r="N342" s="21">
        <f>IFERROR((C342-VLOOKUP(B342,crm_orders!$A:$S,2,FALSE))*24,0)</f>
        <v>240</v>
      </c>
      <c r="O342" s="19" t="str">
        <f>IFERROR(VLOOKUP(B342,crm_orders!$A:$S,3,FALSE),"")</f>
        <v>DSP0052</v>
      </c>
      <c r="P342" s="19" t="str">
        <f>IFERROR(VLOOKUP(B342,crm_orders!$A:$S,5,FALSE),"")</f>
        <v>CO</v>
      </c>
      <c r="Q342" s="19" t="str">
        <f>IFERROR(VLOOKUP(B342,crm_orders!$A:$S,7,FALSE),"")</f>
        <v>Wholesale</v>
      </c>
      <c r="R342" s="19" t="str">
        <f>IFERROR(VLOOKUP(B342,crm_orders!$A:$S,8,FALSE),"")</f>
        <v>SKU0019</v>
      </c>
    </row>
    <row r="343" ht="15.75" customHeight="1">
      <c r="A343" s="25" t="s">
        <v>2939</v>
      </c>
      <c r="B343" s="25" t="s">
        <v>224</v>
      </c>
      <c r="C343" s="26">
        <v>46062.0</v>
      </c>
      <c r="D343" s="25" t="s">
        <v>2269</v>
      </c>
      <c r="E343" s="25" t="s">
        <v>2251</v>
      </c>
      <c r="F343" s="25" t="s">
        <v>2940</v>
      </c>
      <c r="G343" s="29">
        <v>72.0</v>
      </c>
      <c r="H343" s="29">
        <v>72.0</v>
      </c>
      <c r="I343" s="29">
        <v>0.0</v>
      </c>
      <c r="J343" s="25" t="s">
        <v>2247</v>
      </c>
      <c r="K343" s="25" t="s">
        <v>2247</v>
      </c>
      <c r="L343" s="25" t="s">
        <v>2247</v>
      </c>
      <c r="M343" s="25" t="s">
        <v>2248</v>
      </c>
      <c r="N343" s="29">
        <f>IFERROR((C343-VLOOKUP(B343,crm_orders!$A:$S,2,FALSE))*24,0)</f>
        <v>168</v>
      </c>
      <c r="O343" s="27" t="str">
        <f>IFERROR(VLOOKUP(B343,crm_orders!$A:$S,3,FALSE),"")</f>
        <v>DSP0103</v>
      </c>
      <c r="P343" s="27" t="str">
        <f>IFERROR(VLOOKUP(B343,crm_orders!$A:$S,5,FALSE),"")</f>
        <v>IL</v>
      </c>
      <c r="Q343" s="27" t="str">
        <f>IFERROR(VLOOKUP(B343,crm_orders!$A:$S,7,FALSE),"")</f>
        <v>Retail</v>
      </c>
      <c r="R343" s="27" t="str">
        <f>IFERROR(VLOOKUP(B343,crm_orders!$A:$S,8,FALSE),"")</f>
        <v>SKU0017</v>
      </c>
    </row>
    <row r="344" ht="15.75" customHeight="1">
      <c r="A344" s="17" t="s">
        <v>2941</v>
      </c>
      <c r="B344" s="17" t="s">
        <v>225</v>
      </c>
      <c r="C344" s="18">
        <v>46130.0</v>
      </c>
      <c r="D344" s="17" t="s">
        <v>2260</v>
      </c>
      <c r="E344" s="17" t="s">
        <v>2255</v>
      </c>
      <c r="F344" s="17" t="s">
        <v>2942</v>
      </c>
      <c r="G344" s="21">
        <v>60.0</v>
      </c>
      <c r="H344" s="21">
        <v>60.0</v>
      </c>
      <c r="I344" s="21">
        <v>0.0</v>
      </c>
      <c r="J344" s="17" t="s">
        <v>2247</v>
      </c>
      <c r="K344" s="17" t="s">
        <v>2247</v>
      </c>
      <c r="L344" s="17" t="s">
        <v>2247</v>
      </c>
      <c r="M344" s="17" t="s">
        <v>2248</v>
      </c>
      <c r="N344" s="21">
        <f>IFERROR((C344-VLOOKUP(B344,crm_orders!$A:$S,2,FALSE))*24,0)</f>
        <v>192</v>
      </c>
      <c r="O344" s="19" t="str">
        <f>IFERROR(VLOOKUP(B344,crm_orders!$A:$S,3,FALSE),"")</f>
        <v>DSP0097</v>
      </c>
      <c r="P344" s="19" t="str">
        <f>IFERROR(VLOOKUP(B344,crm_orders!$A:$S,5,FALSE),"")</f>
        <v>OR</v>
      </c>
      <c r="Q344" s="19" t="str">
        <f>IFERROR(VLOOKUP(B344,crm_orders!$A:$S,7,FALSE),"")</f>
        <v>Distributor</v>
      </c>
      <c r="R344" s="19" t="str">
        <f>IFERROR(VLOOKUP(B344,crm_orders!$A:$S,8,FALSE),"")</f>
        <v>SKU0011</v>
      </c>
    </row>
    <row r="345" ht="15.75" customHeight="1">
      <c r="A345" s="25" t="s">
        <v>2943</v>
      </c>
      <c r="B345" s="25" t="s">
        <v>360</v>
      </c>
      <c r="C345" s="26">
        <v>46067.0</v>
      </c>
      <c r="D345" s="25" t="s">
        <v>2254</v>
      </c>
      <c r="E345" s="25" t="s">
        <v>2244</v>
      </c>
      <c r="F345" s="25" t="s">
        <v>2944</v>
      </c>
      <c r="G345" s="29">
        <v>18.0</v>
      </c>
      <c r="H345" s="29">
        <v>18.0</v>
      </c>
      <c r="I345" s="29">
        <v>0.0</v>
      </c>
      <c r="J345" s="25" t="s">
        <v>2246</v>
      </c>
      <c r="K345" s="25" t="s">
        <v>2247</v>
      </c>
      <c r="L345" s="25" t="s">
        <v>2246</v>
      </c>
      <c r="M345" s="25" t="s">
        <v>2248</v>
      </c>
      <c r="N345" s="29">
        <f>IFERROR((C345-VLOOKUP(B345,crm_orders!$A:$S,2,FALSE))*24,0)</f>
        <v>240</v>
      </c>
      <c r="O345" s="27" t="str">
        <f>IFERROR(VLOOKUP(B345,crm_orders!$A:$S,3,FALSE),"")</f>
        <v>DSP0115</v>
      </c>
      <c r="P345" s="27" t="str">
        <f>IFERROR(VLOOKUP(B345,crm_orders!$A:$S,5,FALSE),"")</f>
        <v>IL</v>
      </c>
      <c r="Q345" s="27" t="str">
        <f>IFERROR(VLOOKUP(B345,crm_orders!$A:$S,7,FALSE),"")</f>
        <v>Distributor</v>
      </c>
      <c r="R345" s="27" t="str">
        <f>IFERROR(VLOOKUP(B345,crm_orders!$A:$S,8,FALSE),"")</f>
        <v>SKU0019</v>
      </c>
    </row>
    <row r="346" ht="15.75" customHeight="1">
      <c r="A346" s="17" t="s">
        <v>2945</v>
      </c>
      <c r="B346" s="17" t="s">
        <v>781</v>
      </c>
      <c r="C346" s="18">
        <v>46054.0</v>
      </c>
      <c r="D346" s="17" t="s">
        <v>2250</v>
      </c>
      <c r="E346" s="17" t="s">
        <v>2244</v>
      </c>
      <c r="F346" s="17" t="s">
        <v>2946</v>
      </c>
      <c r="G346" s="21">
        <v>24.0</v>
      </c>
      <c r="H346" s="21">
        <v>24.0</v>
      </c>
      <c r="I346" s="21">
        <v>0.0</v>
      </c>
      <c r="J346" s="17" t="s">
        <v>2246</v>
      </c>
      <c r="K346" s="17" t="s">
        <v>2247</v>
      </c>
      <c r="L346" s="17" t="s">
        <v>2246</v>
      </c>
      <c r="M346" s="17" t="s">
        <v>2248</v>
      </c>
      <c r="N346" s="21">
        <f>IFERROR((C346-VLOOKUP(B346,crm_orders!$A:$S,2,FALSE))*24,0)</f>
        <v>120</v>
      </c>
      <c r="O346" s="19" t="str">
        <f>IFERROR(VLOOKUP(B346,crm_orders!$A:$S,3,FALSE),"")</f>
        <v>DSP0031</v>
      </c>
      <c r="P346" s="19" t="str">
        <f>IFERROR(VLOOKUP(B346,crm_orders!$A:$S,5,FALSE),"")</f>
        <v>IL</v>
      </c>
      <c r="Q346" s="19" t="str">
        <f>IFERROR(VLOOKUP(B346,crm_orders!$A:$S,7,FALSE),"")</f>
        <v>Wholesale</v>
      </c>
      <c r="R346" s="19" t="str">
        <f>IFERROR(VLOOKUP(B346,crm_orders!$A:$S,8,FALSE),"")</f>
        <v>SKU0009</v>
      </c>
    </row>
    <row r="347" ht="15.75" customHeight="1">
      <c r="A347" s="25" t="s">
        <v>2947</v>
      </c>
      <c r="B347" s="25" t="s">
        <v>227</v>
      </c>
      <c r="C347" s="26">
        <v>46108.0</v>
      </c>
      <c r="D347" s="25" t="s">
        <v>2260</v>
      </c>
      <c r="E347" s="25" t="s">
        <v>2244</v>
      </c>
      <c r="F347" s="25" t="s">
        <v>2948</v>
      </c>
      <c r="G347" s="29">
        <v>6.0</v>
      </c>
      <c r="H347" s="29">
        <v>6.0</v>
      </c>
      <c r="I347" s="29">
        <v>0.0</v>
      </c>
      <c r="J347" s="25" t="s">
        <v>2247</v>
      </c>
      <c r="K347" s="25" t="s">
        <v>2247</v>
      </c>
      <c r="L347" s="25" t="s">
        <v>2247</v>
      </c>
      <c r="M347" s="25" t="s">
        <v>2248</v>
      </c>
      <c r="N347" s="29">
        <f>IFERROR((C347-VLOOKUP(B347,crm_orders!$A:$S,2,FALSE))*24,0)</f>
        <v>168</v>
      </c>
      <c r="O347" s="27" t="str">
        <f>IFERROR(VLOOKUP(B347,crm_orders!$A:$S,3,FALSE),"")</f>
        <v>DSP0011</v>
      </c>
      <c r="P347" s="27" t="str">
        <f>IFERROR(VLOOKUP(B347,crm_orders!$A:$S,5,FALSE),"")</f>
        <v>NY</v>
      </c>
      <c r="Q347" s="27" t="str">
        <f>IFERROR(VLOOKUP(B347,crm_orders!$A:$S,7,FALSE),"")</f>
        <v>Wholesale</v>
      </c>
      <c r="R347" s="27" t="str">
        <f>IFERROR(VLOOKUP(B347,crm_orders!$A:$S,8,FALSE),"")</f>
        <v>SKU0016</v>
      </c>
    </row>
    <row r="348" ht="15.75" customHeight="1">
      <c r="A348" s="17" t="s">
        <v>2949</v>
      </c>
      <c r="B348" s="17" t="s">
        <v>361</v>
      </c>
      <c r="C348" s="18">
        <v>46141.0</v>
      </c>
      <c r="D348" s="17" t="s">
        <v>2269</v>
      </c>
      <c r="E348" s="17" t="s">
        <v>2244</v>
      </c>
      <c r="F348" s="17" t="s">
        <v>2950</v>
      </c>
      <c r="G348" s="21">
        <v>30.0</v>
      </c>
      <c r="H348" s="21">
        <v>30.0</v>
      </c>
      <c r="I348" s="21">
        <v>0.0</v>
      </c>
      <c r="J348" s="17" t="s">
        <v>2246</v>
      </c>
      <c r="K348" s="17" t="s">
        <v>2247</v>
      </c>
      <c r="L348" s="17" t="s">
        <v>2246</v>
      </c>
      <c r="M348" s="17" t="s">
        <v>2248</v>
      </c>
      <c r="N348" s="21">
        <f>IFERROR((C348-VLOOKUP(B348,crm_orders!$A:$S,2,FALSE))*24,0)</f>
        <v>168</v>
      </c>
      <c r="O348" s="19" t="str">
        <f>IFERROR(VLOOKUP(B348,crm_orders!$A:$S,3,FALSE),"")</f>
        <v>DSP0115</v>
      </c>
      <c r="P348" s="19" t="str">
        <f>IFERROR(VLOOKUP(B348,crm_orders!$A:$S,5,FALSE),"")</f>
        <v>IL</v>
      </c>
      <c r="Q348" s="19" t="str">
        <f>IFERROR(VLOOKUP(B348,crm_orders!$A:$S,7,FALSE),"")</f>
        <v>Distributor</v>
      </c>
      <c r="R348" s="19" t="str">
        <f>IFERROR(VLOOKUP(B348,crm_orders!$A:$S,8,FALSE),"")</f>
        <v>SKU0019</v>
      </c>
    </row>
    <row r="349" ht="15.75" customHeight="1">
      <c r="A349" s="25" t="s">
        <v>2951</v>
      </c>
      <c r="B349" s="25" t="s">
        <v>362</v>
      </c>
      <c r="C349" s="26">
        <v>46098.0</v>
      </c>
      <c r="D349" s="25" t="s">
        <v>2250</v>
      </c>
      <c r="E349" s="25" t="s">
        <v>2244</v>
      </c>
      <c r="F349" s="25" t="s">
        <v>2952</v>
      </c>
      <c r="G349" s="29">
        <v>48.0</v>
      </c>
      <c r="H349" s="29">
        <v>48.0</v>
      </c>
      <c r="I349" s="29">
        <v>0.0</v>
      </c>
      <c r="J349" s="25" t="s">
        <v>2246</v>
      </c>
      <c r="K349" s="25" t="s">
        <v>2247</v>
      </c>
      <c r="L349" s="25" t="s">
        <v>2246</v>
      </c>
      <c r="M349" s="25" t="s">
        <v>2248</v>
      </c>
      <c r="N349" s="29">
        <f>IFERROR((C349-VLOOKUP(B349,crm_orders!$A:$S,2,FALSE))*24,0)</f>
        <v>192</v>
      </c>
      <c r="O349" s="27" t="str">
        <f>IFERROR(VLOOKUP(B349,crm_orders!$A:$S,3,FALSE),"")</f>
        <v>DSP0017</v>
      </c>
      <c r="P349" s="27" t="str">
        <f>IFERROR(VLOOKUP(B349,crm_orders!$A:$S,5,FALSE),"")</f>
        <v>AZ</v>
      </c>
      <c r="Q349" s="27" t="str">
        <f>IFERROR(VLOOKUP(B349,crm_orders!$A:$S,7,FALSE),"")</f>
        <v>Wholesale</v>
      </c>
      <c r="R349" s="27" t="str">
        <f>IFERROR(VLOOKUP(B349,crm_orders!$A:$S,8,FALSE),"")</f>
        <v>SKU0002</v>
      </c>
    </row>
    <row r="350" ht="15.75" customHeight="1">
      <c r="A350" s="17" t="s">
        <v>2953</v>
      </c>
      <c r="B350" s="17" t="s">
        <v>1013</v>
      </c>
      <c r="C350" s="18">
        <v>46144.0</v>
      </c>
      <c r="D350" s="17" t="s">
        <v>2254</v>
      </c>
      <c r="E350" s="17" t="s">
        <v>2261</v>
      </c>
      <c r="F350" s="17" t="s">
        <v>2954</v>
      </c>
      <c r="G350" s="21">
        <v>30.0</v>
      </c>
      <c r="H350" s="21">
        <v>30.0</v>
      </c>
      <c r="I350" s="21">
        <v>0.0</v>
      </c>
      <c r="J350" s="17" t="s">
        <v>2246</v>
      </c>
      <c r="K350" s="17" t="s">
        <v>2247</v>
      </c>
      <c r="L350" s="17" t="s">
        <v>2246</v>
      </c>
      <c r="M350" s="17" t="s">
        <v>2248</v>
      </c>
      <c r="N350" s="21">
        <f>IFERROR((C350-VLOOKUP(B350,crm_orders!$A:$S,2,FALSE))*24,0)</f>
        <v>264</v>
      </c>
      <c r="O350" s="19" t="str">
        <f>IFERROR(VLOOKUP(B350,crm_orders!$A:$S,3,FALSE),"")</f>
        <v>DSP0047</v>
      </c>
      <c r="P350" s="19" t="str">
        <f>IFERROR(VLOOKUP(B350,crm_orders!$A:$S,5,FALSE),"")</f>
        <v>NY</v>
      </c>
      <c r="Q350" s="19" t="str">
        <f>IFERROR(VLOOKUP(B350,crm_orders!$A:$S,7,FALSE),"")</f>
        <v>Wholesale</v>
      </c>
      <c r="R350" s="19" t="str">
        <f>IFERROR(VLOOKUP(B350,crm_orders!$A:$S,8,FALSE),"")</f>
        <v>SKU0020</v>
      </c>
    </row>
    <row r="351" ht="15.75" customHeight="1">
      <c r="A351" s="25" t="s">
        <v>2955</v>
      </c>
      <c r="B351" s="25" t="s">
        <v>613</v>
      </c>
      <c r="C351" s="26">
        <v>46121.0</v>
      </c>
      <c r="D351" s="25" t="s">
        <v>2260</v>
      </c>
      <c r="E351" s="25" t="s">
        <v>2255</v>
      </c>
      <c r="F351" s="25" t="s">
        <v>2956</v>
      </c>
      <c r="G351" s="29">
        <v>30.0</v>
      </c>
      <c r="H351" s="29">
        <v>0.0</v>
      </c>
      <c r="I351" s="29">
        <v>30.0</v>
      </c>
      <c r="J351" s="25" t="s">
        <v>2246</v>
      </c>
      <c r="K351" s="25" t="s">
        <v>2246</v>
      </c>
      <c r="L351" s="25" t="s">
        <v>2246</v>
      </c>
      <c r="M351" s="25" t="s">
        <v>2267</v>
      </c>
      <c r="N351" s="29">
        <f>IFERROR((C351-VLOOKUP(B351,crm_orders!$A:$S,2,FALSE))*24,0)</f>
        <v>144</v>
      </c>
      <c r="O351" s="27" t="str">
        <f>IFERROR(VLOOKUP(B351,crm_orders!$A:$S,3,FALSE),"")</f>
        <v>DSP0030</v>
      </c>
      <c r="P351" s="27" t="str">
        <f>IFERROR(VLOOKUP(B351,crm_orders!$A:$S,5,FALSE),"")</f>
        <v>NV</v>
      </c>
      <c r="Q351" s="27" t="str">
        <f>IFERROR(VLOOKUP(B351,crm_orders!$A:$S,7,FALSE),"")</f>
        <v>Distributor</v>
      </c>
      <c r="R351" s="27" t="str">
        <f>IFERROR(VLOOKUP(B351,crm_orders!$A:$S,8,FALSE),"")</f>
        <v>SKU0004</v>
      </c>
    </row>
    <row r="352" ht="15.75" customHeight="1">
      <c r="A352" s="17" t="s">
        <v>2957</v>
      </c>
      <c r="B352" s="17" t="s">
        <v>1105</v>
      </c>
      <c r="C352" s="18">
        <v>46136.0</v>
      </c>
      <c r="D352" s="17" t="s">
        <v>2269</v>
      </c>
      <c r="E352" s="17" t="s">
        <v>2261</v>
      </c>
      <c r="F352" s="17" t="s">
        <v>2958</v>
      </c>
      <c r="G352" s="21">
        <v>6.0</v>
      </c>
      <c r="H352" s="21">
        <v>6.0</v>
      </c>
      <c r="I352" s="21">
        <v>0.0</v>
      </c>
      <c r="J352" s="17" t="s">
        <v>2246</v>
      </c>
      <c r="K352" s="17" t="s">
        <v>2247</v>
      </c>
      <c r="L352" s="17" t="s">
        <v>2246</v>
      </c>
      <c r="M352" s="17" t="s">
        <v>2248</v>
      </c>
      <c r="N352" s="21">
        <f>IFERROR((C352-VLOOKUP(B352,crm_orders!$A:$S,2,FALSE))*24,0)</f>
        <v>240</v>
      </c>
      <c r="O352" s="19" t="str">
        <f>IFERROR(VLOOKUP(B352,crm_orders!$A:$S,3,FALSE),"")</f>
        <v>DSP0020</v>
      </c>
      <c r="P352" s="19" t="str">
        <f>IFERROR(VLOOKUP(B352,crm_orders!$A:$S,5,FALSE),"")</f>
        <v>MI</v>
      </c>
      <c r="Q352" s="19" t="str">
        <f>IFERROR(VLOOKUP(B352,crm_orders!$A:$S,7,FALSE),"")</f>
        <v>Distributor</v>
      </c>
      <c r="R352" s="19" t="str">
        <f>IFERROR(VLOOKUP(B352,crm_orders!$A:$S,8,FALSE),"")</f>
        <v>SKU0016</v>
      </c>
    </row>
    <row r="353" ht="15.75" customHeight="1">
      <c r="A353" s="25" t="s">
        <v>2959</v>
      </c>
      <c r="B353" s="25" t="s">
        <v>124</v>
      </c>
      <c r="C353" s="26">
        <v>46059.0</v>
      </c>
      <c r="D353" s="25" t="s">
        <v>2250</v>
      </c>
      <c r="E353" s="25" t="s">
        <v>2251</v>
      </c>
      <c r="F353" s="25" t="s">
        <v>2960</v>
      </c>
      <c r="G353" s="29">
        <v>72.0</v>
      </c>
      <c r="H353" s="29">
        <v>72.0</v>
      </c>
      <c r="I353" s="29">
        <v>0.0</v>
      </c>
      <c r="J353" s="25" t="s">
        <v>2246</v>
      </c>
      <c r="K353" s="25" t="s">
        <v>2247</v>
      </c>
      <c r="L353" s="25" t="s">
        <v>2246</v>
      </c>
      <c r="M353" s="25" t="s">
        <v>2248</v>
      </c>
      <c r="N353" s="29">
        <f>IFERROR((C353-VLOOKUP(B353,crm_orders!$A:$S,2,FALSE))*24,0)</f>
        <v>96</v>
      </c>
      <c r="O353" s="27" t="str">
        <f>IFERROR(VLOOKUP(B353,crm_orders!$A:$S,3,FALSE),"")</f>
        <v>DSP0063</v>
      </c>
      <c r="P353" s="27" t="str">
        <f>IFERROR(VLOOKUP(B353,crm_orders!$A:$S,5,FALSE),"")</f>
        <v>CA</v>
      </c>
      <c r="Q353" s="27" t="str">
        <f>IFERROR(VLOOKUP(B353,crm_orders!$A:$S,7,FALSE),"")</f>
        <v>Wholesale</v>
      </c>
      <c r="R353" s="27" t="str">
        <f>IFERROR(VLOOKUP(B353,crm_orders!$A:$S,8,FALSE),"")</f>
        <v>SKU0010</v>
      </c>
    </row>
    <row r="354" ht="15.75" customHeight="1">
      <c r="A354" s="17" t="s">
        <v>2961</v>
      </c>
      <c r="B354" s="17" t="s">
        <v>899</v>
      </c>
      <c r="C354" s="18">
        <v>46086.0</v>
      </c>
      <c r="D354" s="17" t="s">
        <v>2269</v>
      </c>
      <c r="E354" s="17" t="s">
        <v>2244</v>
      </c>
      <c r="F354" s="17" t="s">
        <v>2962</v>
      </c>
      <c r="G354" s="21">
        <v>36.0</v>
      </c>
      <c r="H354" s="21">
        <v>36.0</v>
      </c>
      <c r="I354" s="21">
        <v>0.0</v>
      </c>
      <c r="J354" s="17" t="s">
        <v>2246</v>
      </c>
      <c r="K354" s="17" t="s">
        <v>2247</v>
      </c>
      <c r="L354" s="17" t="s">
        <v>2246</v>
      </c>
      <c r="M354" s="17" t="s">
        <v>2248</v>
      </c>
      <c r="N354" s="21">
        <f>IFERROR((C354-VLOOKUP(B354,crm_orders!$A:$S,2,FALSE))*24,0)</f>
        <v>144</v>
      </c>
      <c r="O354" s="19" t="str">
        <f>IFERROR(VLOOKUP(B354,crm_orders!$A:$S,3,FALSE),"")</f>
        <v>DSP0061</v>
      </c>
      <c r="P354" s="19" t="str">
        <f>IFERROR(VLOOKUP(B354,crm_orders!$A:$S,5,FALSE),"")</f>
        <v>OR</v>
      </c>
      <c r="Q354" s="19" t="str">
        <f>IFERROR(VLOOKUP(B354,crm_orders!$A:$S,7,FALSE),"")</f>
        <v>Wholesale</v>
      </c>
      <c r="R354" s="19" t="str">
        <f>IFERROR(VLOOKUP(B354,crm_orders!$A:$S,8,FALSE),"")</f>
        <v>SKU0004</v>
      </c>
    </row>
    <row r="355" ht="15.75" customHeight="1">
      <c r="A355" s="25" t="s">
        <v>2963</v>
      </c>
      <c r="B355" s="25" t="s">
        <v>1014</v>
      </c>
      <c r="C355" s="26">
        <v>46053.0</v>
      </c>
      <c r="D355" s="25" t="s">
        <v>2243</v>
      </c>
      <c r="E355" s="25" t="s">
        <v>2255</v>
      </c>
      <c r="F355" s="25" t="s">
        <v>2964</v>
      </c>
      <c r="G355" s="29">
        <v>96.0</v>
      </c>
      <c r="H355" s="29">
        <v>0.0</v>
      </c>
      <c r="I355" s="29">
        <v>96.0</v>
      </c>
      <c r="J355" s="25" t="s">
        <v>2247</v>
      </c>
      <c r="K355" s="25" t="s">
        <v>2246</v>
      </c>
      <c r="L355" s="25" t="s">
        <v>2246</v>
      </c>
      <c r="M355" s="25" t="s">
        <v>2312</v>
      </c>
      <c r="N355" s="29">
        <f>IFERROR((C355-VLOOKUP(B355,crm_orders!$A:$S,2,FALSE))*24,0)</f>
        <v>120</v>
      </c>
      <c r="O355" s="27" t="str">
        <f>IFERROR(VLOOKUP(B355,crm_orders!$A:$S,3,FALSE),"")</f>
        <v>DSP0045</v>
      </c>
      <c r="P355" s="27" t="str">
        <f>IFERROR(VLOOKUP(B355,crm_orders!$A:$S,5,FALSE),"")</f>
        <v>MO</v>
      </c>
      <c r="Q355" s="27" t="str">
        <f>IFERROR(VLOOKUP(B355,crm_orders!$A:$S,7,FALSE),"")</f>
        <v>Wholesale</v>
      </c>
      <c r="R355" s="27" t="str">
        <f>IFERROR(VLOOKUP(B355,crm_orders!$A:$S,8,FALSE),"")</f>
        <v>SKU0020</v>
      </c>
    </row>
    <row r="356" ht="15.75" customHeight="1">
      <c r="A356" s="17" t="s">
        <v>2965</v>
      </c>
      <c r="B356" s="17" t="s">
        <v>125</v>
      </c>
      <c r="C356" s="18">
        <v>46140.0</v>
      </c>
      <c r="D356" s="17" t="s">
        <v>2260</v>
      </c>
      <c r="E356" s="17" t="s">
        <v>2251</v>
      </c>
      <c r="F356" s="17" t="s">
        <v>2966</v>
      </c>
      <c r="G356" s="21">
        <v>12.0</v>
      </c>
      <c r="H356" s="21">
        <v>12.0</v>
      </c>
      <c r="I356" s="21">
        <v>0.0</v>
      </c>
      <c r="J356" s="17" t="s">
        <v>2246</v>
      </c>
      <c r="K356" s="17" t="s">
        <v>2247</v>
      </c>
      <c r="L356" s="17" t="s">
        <v>2246</v>
      </c>
      <c r="M356" s="17" t="s">
        <v>2248</v>
      </c>
      <c r="N356" s="21">
        <f>IFERROR((C356-VLOOKUP(B356,crm_orders!$A:$S,2,FALSE))*24,0)</f>
        <v>96</v>
      </c>
      <c r="O356" s="19" t="str">
        <f>IFERROR(VLOOKUP(B356,crm_orders!$A:$S,3,FALSE),"")</f>
        <v>DSP0063</v>
      </c>
      <c r="P356" s="19" t="str">
        <f>IFERROR(VLOOKUP(B356,crm_orders!$A:$S,5,FALSE),"")</f>
        <v>CA</v>
      </c>
      <c r="Q356" s="19" t="str">
        <f>IFERROR(VLOOKUP(B356,crm_orders!$A:$S,7,FALSE),"")</f>
        <v>Wholesale</v>
      </c>
      <c r="R356" s="19" t="str">
        <f>IFERROR(VLOOKUP(B356,crm_orders!$A:$S,8,FALSE),"")</f>
        <v>SKU0015</v>
      </c>
    </row>
    <row r="357" ht="15.75" customHeight="1">
      <c r="A357" s="25" t="s">
        <v>2967</v>
      </c>
      <c r="B357" s="25" t="s">
        <v>499</v>
      </c>
      <c r="C357" s="26">
        <v>46050.0</v>
      </c>
      <c r="D357" s="25" t="s">
        <v>2254</v>
      </c>
      <c r="E357" s="25" t="s">
        <v>2244</v>
      </c>
      <c r="F357" s="25" t="s">
        <v>2968</v>
      </c>
      <c r="G357" s="29">
        <v>18.0</v>
      </c>
      <c r="H357" s="29">
        <v>18.0</v>
      </c>
      <c r="I357" s="29">
        <v>0.0</v>
      </c>
      <c r="J357" s="25" t="s">
        <v>2246</v>
      </c>
      <c r="K357" s="25" t="s">
        <v>2247</v>
      </c>
      <c r="L357" s="25" t="s">
        <v>2246</v>
      </c>
      <c r="M357" s="25" t="s">
        <v>2248</v>
      </c>
      <c r="N357" s="29">
        <f>IFERROR((C357-VLOOKUP(B357,crm_orders!$A:$S,2,FALSE))*24,0)</f>
        <v>144</v>
      </c>
      <c r="O357" s="27" t="str">
        <f>IFERROR(VLOOKUP(B357,crm_orders!$A:$S,3,FALSE),"")</f>
        <v>DSP0058</v>
      </c>
      <c r="P357" s="27" t="str">
        <f>IFERROR(VLOOKUP(B357,crm_orders!$A:$S,5,FALSE),"")</f>
        <v>NM</v>
      </c>
      <c r="Q357" s="27" t="str">
        <f>IFERROR(VLOOKUP(B357,crm_orders!$A:$S,7,FALSE),"")</f>
        <v>Wholesale</v>
      </c>
      <c r="R357" s="27" t="str">
        <f>IFERROR(VLOOKUP(B357,crm_orders!$A:$S,8,FALSE),"")</f>
        <v>SKU0014</v>
      </c>
    </row>
    <row r="358" ht="15.75" customHeight="1">
      <c r="A358" s="17" t="s">
        <v>2969</v>
      </c>
      <c r="B358" s="17" t="s">
        <v>229</v>
      </c>
      <c r="C358" s="18">
        <v>46053.0</v>
      </c>
      <c r="D358" s="17" t="s">
        <v>2250</v>
      </c>
      <c r="E358" s="17" t="s">
        <v>2255</v>
      </c>
      <c r="F358" s="17" t="s">
        <v>2970</v>
      </c>
      <c r="G358" s="21">
        <v>48.0</v>
      </c>
      <c r="H358" s="21">
        <v>48.0</v>
      </c>
      <c r="I358" s="21">
        <v>0.0</v>
      </c>
      <c r="J358" s="17" t="s">
        <v>2247</v>
      </c>
      <c r="K358" s="17" t="s">
        <v>2247</v>
      </c>
      <c r="L358" s="17" t="s">
        <v>2247</v>
      </c>
      <c r="M358" s="17" t="s">
        <v>2248</v>
      </c>
      <c r="N358" s="21">
        <f>IFERROR((C358-VLOOKUP(B358,crm_orders!$A:$S,2,FALSE))*24,0)</f>
        <v>216</v>
      </c>
      <c r="O358" s="19" t="str">
        <f>IFERROR(VLOOKUP(B358,crm_orders!$A:$S,3,FALSE),"")</f>
        <v>DSP0011</v>
      </c>
      <c r="P358" s="19" t="str">
        <f>IFERROR(VLOOKUP(B358,crm_orders!$A:$S,5,FALSE),"")</f>
        <v>NY</v>
      </c>
      <c r="Q358" s="19" t="str">
        <f>IFERROR(VLOOKUP(B358,crm_orders!$A:$S,7,FALSE),"")</f>
        <v>Distributor</v>
      </c>
      <c r="R358" s="19" t="str">
        <f>IFERROR(VLOOKUP(B358,crm_orders!$A:$S,8,FALSE),"")</f>
        <v>SKU0007</v>
      </c>
    </row>
    <row r="359" ht="15.75" customHeight="1">
      <c r="A359" s="25" t="s">
        <v>2971</v>
      </c>
      <c r="B359" s="25" t="s">
        <v>901</v>
      </c>
      <c r="C359" s="26">
        <v>46045.0</v>
      </c>
      <c r="D359" s="25" t="s">
        <v>2243</v>
      </c>
      <c r="E359" s="25" t="s">
        <v>2255</v>
      </c>
      <c r="F359" s="25" t="s">
        <v>2972</v>
      </c>
      <c r="G359" s="29">
        <v>30.0</v>
      </c>
      <c r="H359" s="29">
        <v>30.0</v>
      </c>
      <c r="I359" s="29">
        <v>0.0</v>
      </c>
      <c r="J359" s="25" t="s">
        <v>2246</v>
      </c>
      <c r="K359" s="25" t="s">
        <v>2247</v>
      </c>
      <c r="L359" s="25" t="s">
        <v>2246</v>
      </c>
      <c r="M359" s="25" t="s">
        <v>2248</v>
      </c>
      <c r="N359" s="29">
        <f>IFERROR((C359-VLOOKUP(B359,crm_orders!$A:$S,2,FALSE))*24,0)</f>
        <v>216</v>
      </c>
      <c r="O359" s="27" t="str">
        <f>IFERROR(VLOOKUP(B359,crm_orders!$A:$S,3,FALSE),"")</f>
        <v>DSP0068</v>
      </c>
      <c r="P359" s="27" t="str">
        <f>IFERROR(VLOOKUP(B359,crm_orders!$A:$S,5,FALSE),"")</f>
        <v>MI</v>
      </c>
      <c r="Q359" s="27" t="str">
        <f>IFERROR(VLOOKUP(B359,crm_orders!$A:$S,7,FALSE),"")</f>
        <v>Distributor</v>
      </c>
      <c r="R359" s="27" t="str">
        <f>IFERROR(VLOOKUP(B359,crm_orders!$A:$S,8,FALSE),"")</f>
        <v>SKU0003</v>
      </c>
    </row>
    <row r="360" ht="15.75" customHeight="1">
      <c r="A360" s="17" t="s">
        <v>2973</v>
      </c>
      <c r="B360" s="17" t="s">
        <v>783</v>
      </c>
      <c r="C360" s="18">
        <v>46108.0</v>
      </c>
      <c r="D360" s="17" t="s">
        <v>2250</v>
      </c>
      <c r="E360" s="17" t="s">
        <v>2244</v>
      </c>
      <c r="F360" s="17" t="s">
        <v>2974</v>
      </c>
      <c r="G360" s="21">
        <v>18.0</v>
      </c>
      <c r="H360" s="21">
        <v>18.0</v>
      </c>
      <c r="I360" s="21">
        <v>0.0</v>
      </c>
      <c r="J360" s="17" t="s">
        <v>2247</v>
      </c>
      <c r="K360" s="17" t="s">
        <v>2247</v>
      </c>
      <c r="L360" s="17" t="s">
        <v>2247</v>
      </c>
      <c r="M360" s="17" t="s">
        <v>2248</v>
      </c>
      <c r="N360" s="21">
        <f>IFERROR((C360-VLOOKUP(B360,crm_orders!$A:$S,2,FALSE))*24,0)</f>
        <v>120</v>
      </c>
      <c r="O360" s="19" t="str">
        <f>IFERROR(VLOOKUP(B360,crm_orders!$A:$S,3,FALSE),"")</f>
        <v>DSP0037</v>
      </c>
      <c r="P360" s="19" t="str">
        <f>IFERROR(VLOOKUP(B360,crm_orders!$A:$S,5,FALSE),"")</f>
        <v>OR</v>
      </c>
      <c r="Q360" s="19" t="str">
        <f>IFERROR(VLOOKUP(B360,crm_orders!$A:$S,7,FALSE),"")</f>
        <v>Wholesale</v>
      </c>
      <c r="R360" s="19" t="str">
        <f>IFERROR(VLOOKUP(B360,crm_orders!$A:$S,8,FALSE),"")</f>
        <v>SKU0015</v>
      </c>
    </row>
    <row r="361" ht="15.75" customHeight="1">
      <c r="A361" s="25" t="s">
        <v>2975</v>
      </c>
      <c r="B361" s="25" t="s">
        <v>230</v>
      </c>
      <c r="C361" s="26">
        <v>46087.0</v>
      </c>
      <c r="D361" s="25" t="s">
        <v>2254</v>
      </c>
      <c r="E361" s="25" t="s">
        <v>2261</v>
      </c>
      <c r="F361" s="25" t="s">
        <v>2976</v>
      </c>
      <c r="G361" s="29">
        <v>72.0</v>
      </c>
      <c r="H361" s="29">
        <v>72.0</v>
      </c>
      <c r="I361" s="29">
        <v>0.0</v>
      </c>
      <c r="J361" s="25" t="s">
        <v>2246</v>
      </c>
      <c r="K361" s="25" t="s">
        <v>2247</v>
      </c>
      <c r="L361" s="25" t="s">
        <v>2246</v>
      </c>
      <c r="M361" s="25" t="s">
        <v>2248</v>
      </c>
      <c r="N361" s="29">
        <f>IFERROR((C361-VLOOKUP(B361,crm_orders!$A:$S,2,FALSE))*24,0)</f>
        <v>216</v>
      </c>
      <c r="O361" s="27" t="str">
        <f>IFERROR(VLOOKUP(B361,crm_orders!$A:$S,3,FALSE),"")</f>
        <v>DSP0081</v>
      </c>
      <c r="P361" s="27" t="str">
        <f>IFERROR(VLOOKUP(B361,crm_orders!$A:$S,5,FALSE),"")</f>
        <v>MO</v>
      </c>
      <c r="Q361" s="27" t="str">
        <f>IFERROR(VLOOKUP(B361,crm_orders!$A:$S,7,FALSE),"")</f>
        <v>Distributor</v>
      </c>
      <c r="R361" s="27" t="str">
        <f>IFERROR(VLOOKUP(B361,crm_orders!$A:$S,8,FALSE),"")</f>
        <v>SKU0019</v>
      </c>
    </row>
    <row r="362" ht="15.75" customHeight="1">
      <c r="A362" s="17" t="s">
        <v>2977</v>
      </c>
      <c r="B362" s="17" t="s">
        <v>500</v>
      </c>
      <c r="C362" s="18">
        <v>46073.0</v>
      </c>
      <c r="D362" s="17" t="s">
        <v>2269</v>
      </c>
      <c r="E362" s="17" t="s">
        <v>2261</v>
      </c>
      <c r="F362" s="17" t="s">
        <v>2978</v>
      </c>
      <c r="G362" s="21">
        <v>48.0</v>
      </c>
      <c r="H362" s="21">
        <v>48.0</v>
      </c>
      <c r="I362" s="21">
        <v>0.0</v>
      </c>
      <c r="J362" s="17" t="s">
        <v>2246</v>
      </c>
      <c r="K362" s="17" t="s">
        <v>2247</v>
      </c>
      <c r="L362" s="17" t="s">
        <v>2246</v>
      </c>
      <c r="M362" s="17" t="s">
        <v>2248</v>
      </c>
      <c r="N362" s="21">
        <f>IFERROR((C362-VLOOKUP(B362,crm_orders!$A:$S,2,FALSE))*24,0)</f>
        <v>96</v>
      </c>
      <c r="O362" s="19" t="str">
        <f>IFERROR(VLOOKUP(B362,crm_orders!$A:$S,3,FALSE),"")</f>
        <v>DSP0057</v>
      </c>
      <c r="P362" s="19" t="str">
        <f>IFERROR(VLOOKUP(B362,crm_orders!$A:$S,5,FALSE),"")</f>
        <v>MO</v>
      </c>
      <c r="Q362" s="19" t="str">
        <f>IFERROR(VLOOKUP(B362,crm_orders!$A:$S,7,FALSE),"")</f>
        <v>Wholesale</v>
      </c>
      <c r="R362" s="19" t="str">
        <f>IFERROR(VLOOKUP(B362,crm_orders!$A:$S,8,FALSE),"")</f>
        <v>SKU0010</v>
      </c>
    </row>
    <row r="363" ht="15.75" customHeight="1">
      <c r="A363" s="25" t="s">
        <v>2979</v>
      </c>
      <c r="B363" s="25" t="s">
        <v>363</v>
      </c>
      <c r="C363" s="26">
        <v>46134.0</v>
      </c>
      <c r="D363" s="25" t="s">
        <v>2260</v>
      </c>
      <c r="E363" s="25" t="s">
        <v>2244</v>
      </c>
      <c r="F363" s="25" t="s">
        <v>2980</v>
      </c>
      <c r="G363" s="29">
        <v>60.0</v>
      </c>
      <c r="H363" s="29">
        <v>60.0</v>
      </c>
      <c r="I363" s="29">
        <v>0.0</v>
      </c>
      <c r="J363" s="25" t="s">
        <v>2246</v>
      </c>
      <c r="K363" s="25" t="s">
        <v>2247</v>
      </c>
      <c r="L363" s="25" t="s">
        <v>2246</v>
      </c>
      <c r="M363" s="25" t="s">
        <v>2248</v>
      </c>
      <c r="N363" s="29">
        <f>IFERROR((C363-VLOOKUP(B363,crm_orders!$A:$S,2,FALSE))*24,0)</f>
        <v>360</v>
      </c>
      <c r="O363" s="27" t="str">
        <f>IFERROR(VLOOKUP(B363,crm_orders!$A:$S,3,FALSE),"")</f>
        <v>DSP0002</v>
      </c>
      <c r="P363" s="27" t="str">
        <f>IFERROR(VLOOKUP(B363,crm_orders!$A:$S,5,FALSE),"")</f>
        <v>WA</v>
      </c>
      <c r="Q363" s="27" t="str">
        <f>IFERROR(VLOOKUP(B363,crm_orders!$A:$S,7,FALSE),"")</f>
        <v>Retail</v>
      </c>
      <c r="R363" s="27" t="str">
        <f>IFERROR(VLOOKUP(B363,crm_orders!$A:$S,8,FALSE),"")</f>
        <v>SKU0016</v>
      </c>
    </row>
    <row r="364" ht="15.75" customHeight="1">
      <c r="A364" s="17" t="s">
        <v>2981</v>
      </c>
      <c r="B364" s="17" t="s">
        <v>364</v>
      </c>
      <c r="C364" s="18">
        <v>46085.0</v>
      </c>
      <c r="D364" s="17" t="s">
        <v>2243</v>
      </c>
      <c r="E364" s="17" t="s">
        <v>2251</v>
      </c>
      <c r="F364" s="17" t="s">
        <v>2982</v>
      </c>
      <c r="G364" s="21">
        <v>72.0</v>
      </c>
      <c r="H364" s="21">
        <v>72.0</v>
      </c>
      <c r="I364" s="21">
        <v>0.0</v>
      </c>
      <c r="J364" s="17" t="s">
        <v>2246</v>
      </c>
      <c r="K364" s="17" t="s">
        <v>2247</v>
      </c>
      <c r="L364" s="17" t="s">
        <v>2246</v>
      </c>
      <c r="M364" s="17" t="s">
        <v>2248</v>
      </c>
      <c r="N364" s="21">
        <f>IFERROR((C364-VLOOKUP(B364,crm_orders!$A:$S,2,FALSE))*24,0)</f>
        <v>240</v>
      </c>
      <c r="O364" s="19" t="str">
        <f>IFERROR(VLOOKUP(B364,crm_orders!$A:$S,3,FALSE),"")</f>
        <v>DSP0048</v>
      </c>
      <c r="P364" s="19" t="str">
        <f>IFERROR(VLOOKUP(B364,crm_orders!$A:$S,5,FALSE),"")</f>
        <v>OK</v>
      </c>
      <c r="Q364" s="19" t="str">
        <f>IFERROR(VLOOKUP(B364,crm_orders!$A:$S,7,FALSE),"")</f>
        <v>Retail</v>
      </c>
      <c r="R364" s="19" t="str">
        <f>IFERROR(VLOOKUP(B364,crm_orders!$A:$S,8,FALSE),"")</f>
        <v>SKU0007</v>
      </c>
    </row>
    <row r="365" ht="15.75" customHeight="1">
      <c r="A365" s="25" t="s">
        <v>2983</v>
      </c>
      <c r="B365" s="25" t="s">
        <v>231</v>
      </c>
      <c r="C365" s="26">
        <v>46109.0</v>
      </c>
      <c r="D365" s="25" t="s">
        <v>2243</v>
      </c>
      <c r="E365" s="25" t="s">
        <v>2244</v>
      </c>
      <c r="F365" s="25" t="s">
        <v>2984</v>
      </c>
      <c r="G365" s="29">
        <v>24.0</v>
      </c>
      <c r="H365" s="29">
        <v>24.0</v>
      </c>
      <c r="I365" s="29">
        <v>0.0</v>
      </c>
      <c r="J365" s="25" t="s">
        <v>2246</v>
      </c>
      <c r="K365" s="25" t="s">
        <v>2247</v>
      </c>
      <c r="L365" s="25" t="s">
        <v>2246</v>
      </c>
      <c r="M365" s="25" t="s">
        <v>2248</v>
      </c>
      <c r="N365" s="29">
        <f>IFERROR((C365-VLOOKUP(B365,crm_orders!$A:$S,2,FALSE))*24,0)</f>
        <v>144</v>
      </c>
      <c r="O365" s="27" t="str">
        <f>IFERROR(VLOOKUP(B365,crm_orders!$A:$S,3,FALSE),"")</f>
        <v>DSP0011</v>
      </c>
      <c r="P365" s="27" t="str">
        <f>IFERROR(VLOOKUP(B365,crm_orders!$A:$S,5,FALSE),"")</f>
        <v>NY</v>
      </c>
      <c r="Q365" s="27" t="str">
        <f>IFERROR(VLOOKUP(B365,crm_orders!$A:$S,7,FALSE),"")</f>
        <v>Wholesale</v>
      </c>
      <c r="R365" s="27" t="str">
        <f>IFERROR(VLOOKUP(B365,crm_orders!$A:$S,8,FALSE),"")</f>
        <v>SKU0014</v>
      </c>
    </row>
    <row r="366" ht="15.75" customHeight="1">
      <c r="A366" s="17" t="s">
        <v>2985</v>
      </c>
      <c r="B366" s="17" t="s">
        <v>614</v>
      </c>
      <c r="C366" s="18">
        <v>46084.0</v>
      </c>
      <c r="D366" s="17" t="s">
        <v>2254</v>
      </c>
      <c r="E366" s="17" t="s">
        <v>2244</v>
      </c>
      <c r="F366" s="17" t="s">
        <v>2986</v>
      </c>
      <c r="G366" s="21">
        <v>24.0</v>
      </c>
      <c r="H366" s="21">
        <v>24.0</v>
      </c>
      <c r="I366" s="21">
        <v>0.0</v>
      </c>
      <c r="J366" s="17" t="s">
        <v>2246</v>
      </c>
      <c r="K366" s="17" t="s">
        <v>2247</v>
      </c>
      <c r="L366" s="17" t="s">
        <v>2246</v>
      </c>
      <c r="M366" s="17" t="s">
        <v>2248</v>
      </c>
      <c r="N366" s="21">
        <f>IFERROR((C366-VLOOKUP(B366,crm_orders!$A:$S,2,FALSE))*24,0)</f>
        <v>216</v>
      </c>
      <c r="O366" s="19" t="str">
        <f>IFERROR(VLOOKUP(B366,crm_orders!$A:$S,3,FALSE),"")</f>
        <v>DSP0104</v>
      </c>
      <c r="P366" s="19" t="str">
        <f>IFERROR(VLOOKUP(B366,crm_orders!$A:$S,5,FALSE),"")</f>
        <v>MI</v>
      </c>
      <c r="Q366" s="19" t="str">
        <f>IFERROR(VLOOKUP(B366,crm_orders!$A:$S,7,FALSE),"")</f>
        <v>Wholesale</v>
      </c>
      <c r="R366" s="19" t="str">
        <f>IFERROR(VLOOKUP(B366,crm_orders!$A:$S,8,FALSE),"")</f>
        <v>SKU0009</v>
      </c>
    </row>
    <row r="367" ht="15.75" customHeight="1">
      <c r="A367" s="25" t="s">
        <v>2987</v>
      </c>
      <c r="B367" s="25" t="s">
        <v>366</v>
      </c>
      <c r="C367" s="26">
        <v>46124.0</v>
      </c>
      <c r="D367" s="25" t="s">
        <v>2269</v>
      </c>
      <c r="E367" s="25" t="s">
        <v>2244</v>
      </c>
      <c r="F367" s="25" t="s">
        <v>2988</v>
      </c>
      <c r="G367" s="29">
        <v>6.0</v>
      </c>
      <c r="H367" s="29">
        <v>6.0</v>
      </c>
      <c r="I367" s="29">
        <v>0.0</v>
      </c>
      <c r="J367" s="25" t="s">
        <v>2246</v>
      </c>
      <c r="K367" s="25" t="s">
        <v>2247</v>
      </c>
      <c r="L367" s="25" t="s">
        <v>2246</v>
      </c>
      <c r="M367" s="25" t="s">
        <v>2248</v>
      </c>
      <c r="N367" s="29">
        <f>IFERROR((C367-VLOOKUP(B367,crm_orders!$A:$S,2,FALSE))*24,0)</f>
        <v>192</v>
      </c>
      <c r="O367" s="27" t="str">
        <f>IFERROR(VLOOKUP(B367,crm_orders!$A:$S,3,FALSE),"")</f>
        <v>DSP0017</v>
      </c>
      <c r="P367" s="27" t="str">
        <f>IFERROR(VLOOKUP(B367,crm_orders!$A:$S,5,FALSE),"")</f>
        <v>AZ</v>
      </c>
      <c r="Q367" s="27" t="str">
        <f>IFERROR(VLOOKUP(B367,crm_orders!$A:$S,7,FALSE),"")</f>
        <v>Wholesale</v>
      </c>
      <c r="R367" s="27" t="str">
        <f>IFERROR(VLOOKUP(B367,crm_orders!$A:$S,8,FALSE),"")</f>
        <v>SKU0015</v>
      </c>
    </row>
    <row r="368" ht="15.75" customHeight="1">
      <c r="A368" s="17" t="s">
        <v>2989</v>
      </c>
      <c r="B368" s="17" t="s">
        <v>126</v>
      </c>
      <c r="C368" s="18">
        <v>46085.0</v>
      </c>
      <c r="D368" s="17" t="s">
        <v>2250</v>
      </c>
      <c r="E368" s="17" t="s">
        <v>2255</v>
      </c>
      <c r="F368" s="17" t="s">
        <v>2990</v>
      </c>
      <c r="G368" s="21">
        <v>6.0</v>
      </c>
      <c r="H368" s="21">
        <v>6.0</v>
      </c>
      <c r="I368" s="21">
        <v>0.0</v>
      </c>
      <c r="J368" s="17" t="s">
        <v>2246</v>
      </c>
      <c r="K368" s="17" t="s">
        <v>2247</v>
      </c>
      <c r="L368" s="17" t="s">
        <v>2246</v>
      </c>
      <c r="M368" s="17" t="s">
        <v>2248</v>
      </c>
      <c r="N368" s="21">
        <f>IFERROR((C368-VLOOKUP(B368,crm_orders!$A:$S,2,FALSE))*24,0)</f>
        <v>72</v>
      </c>
      <c r="O368" s="19" t="str">
        <f>IFERROR(VLOOKUP(B368,crm_orders!$A:$S,3,FALSE),"")</f>
        <v>DSP0064</v>
      </c>
      <c r="P368" s="19" t="str">
        <f>IFERROR(VLOOKUP(B368,crm_orders!$A:$S,5,FALSE),"")</f>
        <v>CO</v>
      </c>
      <c r="Q368" s="19" t="str">
        <f>IFERROR(VLOOKUP(B368,crm_orders!$A:$S,7,FALSE),"")</f>
        <v>Distributor</v>
      </c>
      <c r="R368" s="19" t="str">
        <f>IFERROR(VLOOKUP(B368,crm_orders!$A:$S,8,FALSE),"")</f>
        <v>SKU0012</v>
      </c>
    </row>
    <row r="369" ht="15.75" customHeight="1">
      <c r="A369" s="25" t="s">
        <v>2991</v>
      </c>
      <c r="B369" s="25" t="s">
        <v>615</v>
      </c>
      <c r="C369" s="26">
        <v>46124.0</v>
      </c>
      <c r="D369" s="25" t="s">
        <v>2254</v>
      </c>
      <c r="E369" s="25" t="s">
        <v>2244</v>
      </c>
      <c r="F369" s="25" t="s">
        <v>2992</v>
      </c>
      <c r="G369" s="29">
        <v>60.0</v>
      </c>
      <c r="H369" s="29">
        <v>60.0</v>
      </c>
      <c r="I369" s="29">
        <v>0.0</v>
      </c>
      <c r="J369" s="25" t="s">
        <v>2246</v>
      </c>
      <c r="K369" s="25" t="s">
        <v>2247</v>
      </c>
      <c r="L369" s="25" t="s">
        <v>2246</v>
      </c>
      <c r="M369" s="25" t="s">
        <v>2248</v>
      </c>
      <c r="N369" s="29">
        <f>IFERROR((C369-VLOOKUP(B369,crm_orders!$A:$S,2,FALSE))*24,0)</f>
        <v>72</v>
      </c>
      <c r="O369" s="27" t="str">
        <f>IFERROR(VLOOKUP(B369,crm_orders!$A:$S,3,FALSE),"")</f>
        <v>DSP0032</v>
      </c>
      <c r="P369" s="27" t="str">
        <f>IFERROR(VLOOKUP(B369,crm_orders!$A:$S,5,FALSE),"")</f>
        <v>MI</v>
      </c>
      <c r="Q369" s="27" t="str">
        <f>IFERROR(VLOOKUP(B369,crm_orders!$A:$S,7,FALSE),"")</f>
        <v>Wholesale</v>
      </c>
      <c r="R369" s="27" t="str">
        <f>IFERROR(VLOOKUP(B369,crm_orders!$A:$S,8,FALSE),"")</f>
        <v>SKU0013</v>
      </c>
    </row>
    <row r="370" ht="15.75" customHeight="1">
      <c r="A370" s="17" t="s">
        <v>2993</v>
      </c>
      <c r="B370" s="17" t="s">
        <v>784</v>
      </c>
      <c r="C370" s="18">
        <v>46052.0</v>
      </c>
      <c r="D370" s="17" t="s">
        <v>2260</v>
      </c>
      <c r="E370" s="17" t="s">
        <v>2244</v>
      </c>
      <c r="F370" s="17" t="s">
        <v>2994</v>
      </c>
      <c r="G370" s="21">
        <v>36.0</v>
      </c>
      <c r="H370" s="21">
        <v>36.0</v>
      </c>
      <c r="I370" s="21">
        <v>0.0</v>
      </c>
      <c r="J370" s="17" t="s">
        <v>2246</v>
      </c>
      <c r="K370" s="17" t="s">
        <v>2247</v>
      </c>
      <c r="L370" s="17" t="s">
        <v>2246</v>
      </c>
      <c r="M370" s="17" t="s">
        <v>2248</v>
      </c>
      <c r="N370" s="21">
        <f>IFERROR((C370-VLOOKUP(B370,crm_orders!$A:$S,2,FALSE))*24,0)</f>
        <v>96</v>
      </c>
      <c r="O370" s="19" t="str">
        <f>IFERROR(VLOOKUP(B370,crm_orders!$A:$S,3,FALSE),"")</f>
        <v>DSP0082</v>
      </c>
      <c r="P370" s="19" t="str">
        <f>IFERROR(VLOOKUP(B370,crm_orders!$A:$S,5,FALSE),"")</f>
        <v>NM</v>
      </c>
      <c r="Q370" s="19" t="str">
        <f>IFERROR(VLOOKUP(B370,crm_orders!$A:$S,7,FALSE),"")</f>
        <v>Wholesale</v>
      </c>
      <c r="R370" s="19" t="str">
        <f>IFERROR(VLOOKUP(B370,crm_orders!$A:$S,8,FALSE),"")</f>
        <v>SKU0010</v>
      </c>
    </row>
    <row r="371" ht="15.75" customHeight="1">
      <c r="A371" s="25" t="s">
        <v>2995</v>
      </c>
      <c r="B371" s="25" t="s">
        <v>785</v>
      </c>
      <c r="C371" s="26">
        <v>46054.0</v>
      </c>
      <c r="D371" s="25" t="s">
        <v>2260</v>
      </c>
      <c r="E371" s="25" t="s">
        <v>2261</v>
      </c>
      <c r="F371" s="25" t="s">
        <v>2996</v>
      </c>
      <c r="G371" s="29">
        <v>36.0</v>
      </c>
      <c r="H371" s="29">
        <v>36.0</v>
      </c>
      <c r="I371" s="29">
        <v>0.0</v>
      </c>
      <c r="J371" s="25" t="s">
        <v>2246</v>
      </c>
      <c r="K371" s="25" t="s">
        <v>2247</v>
      </c>
      <c r="L371" s="25" t="s">
        <v>2246</v>
      </c>
      <c r="M371" s="25" t="s">
        <v>2248</v>
      </c>
      <c r="N371" s="29">
        <f>IFERROR((C371-VLOOKUP(B371,crm_orders!$A:$S,2,FALSE))*24,0)</f>
        <v>288</v>
      </c>
      <c r="O371" s="27" t="str">
        <f>IFERROR(VLOOKUP(B371,crm_orders!$A:$S,3,FALSE),"")</f>
        <v>DSP0089</v>
      </c>
      <c r="P371" s="27" t="str">
        <f>IFERROR(VLOOKUP(B371,crm_orders!$A:$S,5,FALSE),"")</f>
        <v>AZ</v>
      </c>
      <c r="Q371" s="27" t="str">
        <f>IFERROR(VLOOKUP(B371,crm_orders!$A:$S,7,FALSE),"")</f>
        <v>Wholesale</v>
      </c>
      <c r="R371" s="27" t="str">
        <f>IFERROR(VLOOKUP(B371,crm_orders!$A:$S,8,FALSE),"")</f>
        <v>SKU0020</v>
      </c>
    </row>
    <row r="372" ht="15.75" customHeight="1">
      <c r="A372" s="17" t="s">
        <v>2997</v>
      </c>
      <c r="B372" s="17" t="s">
        <v>1106</v>
      </c>
      <c r="C372" s="18">
        <v>46038.0</v>
      </c>
      <c r="D372" s="17" t="s">
        <v>2243</v>
      </c>
      <c r="E372" s="17" t="s">
        <v>2286</v>
      </c>
      <c r="F372" s="17" t="s">
        <v>2998</v>
      </c>
      <c r="G372" s="21">
        <v>36.0</v>
      </c>
      <c r="H372" s="21">
        <v>36.0</v>
      </c>
      <c r="I372" s="21">
        <v>0.0</v>
      </c>
      <c r="J372" s="17" t="s">
        <v>2246</v>
      </c>
      <c r="K372" s="17" t="s">
        <v>2247</v>
      </c>
      <c r="L372" s="17" t="s">
        <v>2246</v>
      </c>
      <c r="M372" s="17" t="s">
        <v>2248</v>
      </c>
      <c r="N372" s="21">
        <f>IFERROR((C372-VLOOKUP(B372,crm_orders!$A:$S,2,FALSE))*24,0)</f>
        <v>192</v>
      </c>
      <c r="O372" s="19" t="str">
        <f>IFERROR(VLOOKUP(B372,crm_orders!$A:$S,3,FALSE),"")</f>
        <v>DSP0098</v>
      </c>
      <c r="P372" s="19" t="str">
        <f>IFERROR(VLOOKUP(B372,crm_orders!$A:$S,5,FALSE),"")</f>
        <v>WA</v>
      </c>
      <c r="Q372" s="19" t="str">
        <f>IFERROR(VLOOKUP(B372,crm_orders!$A:$S,7,FALSE),"")</f>
        <v>Retail</v>
      </c>
      <c r="R372" s="19" t="str">
        <f>IFERROR(VLOOKUP(B372,crm_orders!$A:$S,8,FALSE),"")</f>
        <v>SKU0002</v>
      </c>
    </row>
    <row r="373" ht="15.75" customHeight="1">
      <c r="A373" s="25" t="s">
        <v>2999</v>
      </c>
      <c r="B373" s="25" t="s">
        <v>616</v>
      </c>
      <c r="C373" s="26">
        <v>46103.0</v>
      </c>
      <c r="D373" s="25" t="s">
        <v>2254</v>
      </c>
      <c r="E373" s="25" t="s">
        <v>2286</v>
      </c>
      <c r="F373" s="25" t="s">
        <v>3000</v>
      </c>
      <c r="G373" s="29">
        <v>30.0</v>
      </c>
      <c r="H373" s="29">
        <v>30.0</v>
      </c>
      <c r="I373" s="29">
        <v>0.0</v>
      </c>
      <c r="J373" s="25" t="s">
        <v>2247</v>
      </c>
      <c r="K373" s="25" t="s">
        <v>2247</v>
      </c>
      <c r="L373" s="25" t="s">
        <v>2247</v>
      </c>
      <c r="M373" s="25" t="s">
        <v>2248</v>
      </c>
      <c r="N373" s="29">
        <f>IFERROR((C373-VLOOKUP(B373,crm_orders!$A:$S,2,FALSE))*24,0)</f>
        <v>216</v>
      </c>
      <c r="O373" s="27" t="str">
        <f>IFERROR(VLOOKUP(B373,crm_orders!$A:$S,3,FALSE),"")</f>
        <v>DSP0091</v>
      </c>
      <c r="P373" s="27" t="str">
        <f>IFERROR(VLOOKUP(B373,crm_orders!$A:$S,5,FALSE),"")</f>
        <v>IL</v>
      </c>
      <c r="Q373" s="27" t="str">
        <f>IFERROR(VLOOKUP(B373,crm_orders!$A:$S,7,FALSE),"")</f>
        <v>Wholesale</v>
      </c>
      <c r="R373" s="27" t="str">
        <f>IFERROR(VLOOKUP(B373,crm_orders!$A:$S,8,FALSE),"")</f>
        <v>SKU0015</v>
      </c>
    </row>
    <row r="374" ht="15.75" customHeight="1">
      <c r="A374" s="17" t="s">
        <v>3001</v>
      </c>
      <c r="B374" s="17" t="s">
        <v>1015</v>
      </c>
      <c r="C374" s="18">
        <v>46154.0</v>
      </c>
      <c r="D374" s="17" t="s">
        <v>2254</v>
      </c>
      <c r="E374" s="17" t="s">
        <v>2244</v>
      </c>
      <c r="F374" s="17" t="s">
        <v>3002</v>
      </c>
      <c r="G374" s="21">
        <v>72.0</v>
      </c>
      <c r="H374" s="21">
        <v>72.0</v>
      </c>
      <c r="I374" s="21">
        <v>0.0</v>
      </c>
      <c r="J374" s="17" t="s">
        <v>2246</v>
      </c>
      <c r="K374" s="17" t="s">
        <v>2247</v>
      </c>
      <c r="L374" s="17" t="s">
        <v>2246</v>
      </c>
      <c r="M374" s="17" t="s">
        <v>2248</v>
      </c>
      <c r="N374" s="21">
        <f>IFERROR((C374-VLOOKUP(B374,crm_orders!$A:$S,2,FALSE))*24,0)</f>
        <v>336</v>
      </c>
      <c r="O374" s="19" t="str">
        <f>IFERROR(VLOOKUP(B374,crm_orders!$A:$S,3,FALSE),"")</f>
        <v>DSP0036</v>
      </c>
      <c r="P374" s="19" t="str">
        <f>IFERROR(VLOOKUP(B374,crm_orders!$A:$S,5,FALSE),"")</f>
        <v>OK</v>
      </c>
      <c r="Q374" s="19" t="str">
        <f>IFERROR(VLOOKUP(B374,crm_orders!$A:$S,7,FALSE),"")</f>
        <v>Wholesale</v>
      </c>
      <c r="R374" s="19" t="str">
        <f>IFERROR(VLOOKUP(B374,crm_orders!$A:$S,8,FALSE),"")</f>
        <v>SKU0020</v>
      </c>
    </row>
    <row r="375" ht="15.75" customHeight="1">
      <c r="A375" s="25" t="s">
        <v>3003</v>
      </c>
      <c r="B375" s="25" t="s">
        <v>786</v>
      </c>
      <c r="C375" s="26">
        <v>46082.0</v>
      </c>
      <c r="D375" s="25" t="s">
        <v>2243</v>
      </c>
      <c r="E375" s="25" t="s">
        <v>2244</v>
      </c>
      <c r="F375" s="25" t="s">
        <v>3004</v>
      </c>
      <c r="G375" s="29">
        <v>18.0</v>
      </c>
      <c r="H375" s="29">
        <v>18.0</v>
      </c>
      <c r="I375" s="29">
        <v>0.0</v>
      </c>
      <c r="J375" s="25" t="s">
        <v>2246</v>
      </c>
      <c r="K375" s="25" t="s">
        <v>2247</v>
      </c>
      <c r="L375" s="25" t="s">
        <v>2246</v>
      </c>
      <c r="M375" s="25" t="s">
        <v>2248</v>
      </c>
      <c r="N375" s="29">
        <f>IFERROR((C375-VLOOKUP(B375,crm_orders!$A:$S,2,FALSE))*24,0)</f>
        <v>264</v>
      </c>
      <c r="O375" s="27" t="str">
        <f>IFERROR(VLOOKUP(B375,crm_orders!$A:$S,3,FALSE),"")</f>
        <v>DSP0100</v>
      </c>
      <c r="P375" s="27" t="str">
        <f>IFERROR(VLOOKUP(B375,crm_orders!$A:$S,5,FALSE),"")</f>
        <v>CO</v>
      </c>
      <c r="Q375" s="27" t="str">
        <f>IFERROR(VLOOKUP(B375,crm_orders!$A:$S,7,FALSE),"")</f>
        <v>Wholesale</v>
      </c>
      <c r="R375" s="27" t="str">
        <f>IFERROR(VLOOKUP(B375,crm_orders!$A:$S,8,FALSE),"")</f>
        <v>SKU0017</v>
      </c>
    </row>
    <row r="376" ht="15.75" customHeight="1">
      <c r="A376" s="17" t="s">
        <v>3005</v>
      </c>
      <c r="B376" s="17" t="s">
        <v>1016</v>
      </c>
      <c r="C376" s="18">
        <v>46045.0</v>
      </c>
      <c r="D376" s="17" t="s">
        <v>2269</v>
      </c>
      <c r="E376" s="17" t="s">
        <v>2286</v>
      </c>
      <c r="F376" s="17" t="s">
        <v>3006</v>
      </c>
      <c r="G376" s="21">
        <v>12.0</v>
      </c>
      <c r="H376" s="21">
        <v>12.0</v>
      </c>
      <c r="I376" s="21">
        <v>0.0</v>
      </c>
      <c r="J376" s="17" t="s">
        <v>2246</v>
      </c>
      <c r="K376" s="17" t="s">
        <v>2247</v>
      </c>
      <c r="L376" s="17" t="s">
        <v>2246</v>
      </c>
      <c r="M376" s="17" t="s">
        <v>2248</v>
      </c>
      <c r="N376" s="21">
        <f>IFERROR((C376-VLOOKUP(B376,crm_orders!$A:$S,2,FALSE))*24,0)</f>
        <v>192</v>
      </c>
      <c r="O376" s="19" t="str">
        <f>IFERROR(VLOOKUP(B376,crm_orders!$A:$S,3,FALSE),"")</f>
        <v>DSP0083</v>
      </c>
      <c r="P376" s="19" t="str">
        <f>IFERROR(VLOOKUP(B376,crm_orders!$A:$S,5,FALSE),"")</f>
        <v>NY</v>
      </c>
      <c r="Q376" s="19" t="str">
        <f>IFERROR(VLOOKUP(B376,crm_orders!$A:$S,7,FALSE),"")</f>
        <v>Distributor</v>
      </c>
      <c r="R376" s="19" t="str">
        <f>IFERROR(VLOOKUP(B376,crm_orders!$A:$S,8,FALSE),"")</f>
        <v>SKU0011</v>
      </c>
    </row>
    <row r="377" ht="15.75" customHeight="1">
      <c r="A377" s="25" t="s">
        <v>3007</v>
      </c>
      <c r="B377" s="25" t="s">
        <v>501</v>
      </c>
      <c r="C377" s="26">
        <v>46054.0</v>
      </c>
      <c r="D377" s="25" t="s">
        <v>2254</v>
      </c>
      <c r="E377" s="25" t="s">
        <v>2286</v>
      </c>
      <c r="F377" s="25" t="s">
        <v>3008</v>
      </c>
      <c r="G377" s="29">
        <v>12.0</v>
      </c>
      <c r="H377" s="29">
        <v>12.0</v>
      </c>
      <c r="I377" s="29">
        <v>0.0</v>
      </c>
      <c r="J377" s="25" t="s">
        <v>2247</v>
      </c>
      <c r="K377" s="25" t="s">
        <v>2247</v>
      </c>
      <c r="L377" s="25" t="s">
        <v>2247</v>
      </c>
      <c r="M377" s="25" t="s">
        <v>2248</v>
      </c>
      <c r="N377" s="29">
        <f>IFERROR((C377-VLOOKUP(B377,crm_orders!$A:$S,2,FALSE))*24,0)</f>
        <v>168</v>
      </c>
      <c r="O377" s="27" t="str">
        <f>IFERROR(VLOOKUP(B377,crm_orders!$A:$S,3,FALSE),"")</f>
        <v>DSP0014</v>
      </c>
      <c r="P377" s="27" t="str">
        <f>IFERROR(VLOOKUP(B377,crm_orders!$A:$S,5,FALSE),"")</f>
        <v>WA</v>
      </c>
      <c r="Q377" s="27" t="str">
        <f>IFERROR(VLOOKUP(B377,crm_orders!$A:$S,7,FALSE),"")</f>
        <v>Wholesale</v>
      </c>
      <c r="R377" s="27" t="str">
        <f>IFERROR(VLOOKUP(B377,crm_orders!$A:$S,8,FALSE),"")</f>
        <v>SKU0016</v>
      </c>
    </row>
    <row r="378" ht="15.75" customHeight="1">
      <c r="A378" s="17" t="s">
        <v>3009</v>
      </c>
      <c r="B378" s="17" t="s">
        <v>617</v>
      </c>
      <c r="C378" s="18">
        <v>46082.0</v>
      </c>
      <c r="D378" s="17" t="s">
        <v>2260</v>
      </c>
      <c r="E378" s="17" t="s">
        <v>2244</v>
      </c>
      <c r="F378" s="17" t="s">
        <v>3010</v>
      </c>
      <c r="G378" s="21">
        <v>24.0</v>
      </c>
      <c r="H378" s="21">
        <v>24.0</v>
      </c>
      <c r="I378" s="21">
        <v>0.0</v>
      </c>
      <c r="J378" s="17" t="s">
        <v>2246</v>
      </c>
      <c r="K378" s="17" t="s">
        <v>2247</v>
      </c>
      <c r="L378" s="17" t="s">
        <v>2246</v>
      </c>
      <c r="M378" s="17" t="s">
        <v>2248</v>
      </c>
      <c r="N378" s="21">
        <f>IFERROR((C378-VLOOKUP(B378,crm_orders!$A:$S,2,FALSE))*24,0)</f>
        <v>312</v>
      </c>
      <c r="O378" s="19" t="str">
        <f>IFERROR(VLOOKUP(B378,crm_orders!$A:$S,3,FALSE),"")</f>
        <v>DSP0033</v>
      </c>
      <c r="P378" s="19" t="str">
        <f>IFERROR(VLOOKUP(B378,crm_orders!$A:$S,5,FALSE),"")</f>
        <v>MO</v>
      </c>
      <c r="Q378" s="19" t="str">
        <f>IFERROR(VLOOKUP(B378,crm_orders!$A:$S,7,FALSE),"")</f>
        <v>Distributor</v>
      </c>
      <c r="R378" s="19" t="str">
        <f>IFERROR(VLOOKUP(B378,crm_orders!$A:$S,8,FALSE),"")</f>
        <v>SKU0002</v>
      </c>
    </row>
    <row r="379" ht="15.75" customHeight="1">
      <c r="A379" s="25" t="s">
        <v>3011</v>
      </c>
      <c r="B379" s="25" t="s">
        <v>502</v>
      </c>
      <c r="C379" s="26">
        <v>46090.0</v>
      </c>
      <c r="D379" s="25" t="s">
        <v>2250</v>
      </c>
      <c r="E379" s="25" t="s">
        <v>2244</v>
      </c>
      <c r="F379" s="25" t="s">
        <v>3012</v>
      </c>
      <c r="G379" s="29">
        <v>120.0</v>
      </c>
      <c r="H379" s="29">
        <v>120.0</v>
      </c>
      <c r="I379" s="29">
        <v>0.0</v>
      </c>
      <c r="J379" s="25" t="s">
        <v>2246</v>
      </c>
      <c r="K379" s="25" t="s">
        <v>2247</v>
      </c>
      <c r="L379" s="25" t="s">
        <v>2246</v>
      </c>
      <c r="M379" s="25" t="s">
        <v>2248</v>
      </c>
      <c r="N379" s="29">
        <f>IFERROR((C379-VLOOKUP(B379,crm_orders!$A:$S,2,FALSE))*24,0)</f>
        <v>192</v>
      </c>
      <c r="O379" s="27" t="str">
        <f>IFERROR(VLOOKUP(B379,crm_orders!$A:$S,3,FALSE),"")</f>
        <v>DSP0107</v>
      </c>
      <c r="P379" s="27" t="str">
        <f>IFERROR(VLOOKUP(B379,crm_orders!$A:$S,5,FALSE),"")</f>
        <v>NY</v>
      </c>
      <c r="Q379" s="27" t="str">
        <f>IFERROR(VLOOKUP(B379,crm_orders!$A:$S,7,FALSE),"")</f>
        <v>Distributor</v>
      </c>
      <c r="R379" s="27" t="str">
        <f>IFERROR(VLOOKUP(B379,crm_orders!$A:$S,8,FALSE),"")</f>
        <v>SKU0003</v>
      </c>
    </row>
    <row r="380" ht="15.75" customHeight="1">
      <c r="A380" s="17" t="s">
        <v>3013</v>
      </c>
      <c r="B380" s="17" t="s">
        <v>618</v>
      </c>
      <c r="C380" s="18">
        <v>46062.0</v>
      </c>
      <c r="D380" s="17" t="s">
        <v>2269</v>
      </c>
      <c r="E380" s="17" t="s">
        <v>2244</v>
      </c>
      <c r="F380" s="17" t="s">
        <v>3014</v>
      </c>
      <c r="G380" s="21">
        <v>72.0</v>
      </c>
      <c r="H380" s="21">
        <v>72.0</v>
      </c>
      <c r="I380" s="21">
        <v>0.0</v>
      </c>
      <c r="J380" s="17" t="s">
        <v>2246</v>
      </c>
      <c r="K380" s="17" t="s">
        <v>2247</v>
      </c>
      <c r="L380" s="17" t="s">
        <v>2246</v>
      </c>
      <c r="M380" s="17" t="s">
        <v>2248</v>
      </c>
      <c r="N380" s="21">
        <f>IFERROR((C380-VLOOKUP(B380,crm_orders!$A:$S,2,FALSE))*24,0)</f>
        <v>120</v>
      </c>
      <c r="O380" s="19" t="str">
        <f>IFERROR(VLOOKUP(B380,crm_orders!$A:$S,3,FALSE),"")</f>
        <v>DSP0008</v>
      </c>
      <c r="P380" s="19" t="str">
        <f>IFERROR(VLOOKUP(B380,crm_orders!$A:$S,5,FALSE),"")</f>
        <v>MI</v>
      </c>
      <c r="Q380" s="19" t="str">
        <f>IFERROR(VLOOKUP(B380,crm_orders!$A:$S,7,FALSE),"")</f>
        <v>Wholesale</v>
      </c>
      <c r="R380" s="19" t="str">
        <f>IFERROR(VLOOKUP(B380,crm_orders!$A:$S,8,FALSE),"")</f>
        <v>SKU0020</v>
      </c>
    </row>
    <row r="381" ht="15.75" customHeight="1">
      <c r="A381" s="25" t="s">
        <v>3015</v>
      </c>
      <c r="B381" s="25" t="s">
        <v>233</v>
      </c>
      <c r="C381" s="26">
        <v>46097.0</v>
      </c>
      <c r="D381" s="25" t="s">
        <v>2243</v>
      </c>
      <c r="E381" s="25" t="s">
        <v>2251</v>
      </c>
      <c r="F381" s="25" t="s">
        <v>3016</v>
      </c>
      <c r="G381" s="29">
        <v>48.0</v>
      </c>
      <c r="H381" s="29">
        <v>48.0</v>
      </c>
      <c r="I381" s="29">
        <v>0.0</v>
      </c>
      <c r="J381" s="25" t="s">
        <v>2246</v>
      </c>
      <c r="K381" s="25" t="s">
        <v>2247</v>
      </c>
      <c r="L381" s="25" t="s">
        <v>2246</v>
      </c>
      <c r="M381" s="25" t="s">
        <v>2248</v>
      </c>
      <c r="N381" s="29">
        <f>IFERROR((C381-VLOOKUP(B381,crm_orders!$A:$S,2,FALSE))*24,0)</f>
        <v>144</v>
      </c>
      <c r="O381" s="27" t="str">
        <f>IFERROR(VLOOKUP(B381,crm_orders!$A:$S,3,FALSE),"")</f>
        <v>DSP0093</v>
      </c>
      <c r="P381" s="27" t="str">
        <f>IFERROR(VLOOKUP(B381,crm_orders!$A:$S,5,FALSE),"")</f>
        <v>MO</v>
      </c>
      <c r="Q381" s="27" t="str">
        <f>IFERROR(VLOOKUP(B381,crm_orders!$A:$S,7,FALSE),"")</f>
        <v>Wholesale</v>
      </c>
      <c r="R381" s="27" t="str">
        <f>IFERROR(VLOOKUP(B381,crm_orders!$A:$S,8,FALSE),"")</f>
        <v>SKU0008</v>
      </c>
    </row>
    <row r="382" ht="15.75" customHeight="1">
      <c r="A382" s="17" t="s">
        <v>3017</v>
      </c>
      <c r="B382" s="17" t="s">
        <v>127</v>
      </c>
      <c r="C382" s="18">
        <v>46129.0</v>
      </c>
      <c r="D382" s="17" t="s">
        <v>2260</v>
      </c>
      <c r="E382" s="17" t="s">
        <v>2261</v>
      </c>
      <c r="F382" s="17" t="s">
        <v>3018</v>
      </c>
      <c r="G382" s="21">
        <v>120.0</v>
      </c>
      <c r="H382" s="21">
        <v>108.0</v>
      </c>
      <c r="I382" s="21">
        <v>12.0</v>
      </c>
      <c r="J382" s="17" t="s">
        <v>2246</v>
      </c>
      <c r="K382" s="17" t="s">
        <v>2246</v>
      </c>
      <c r="L382" s="17" t="s">
        <v>2246</v>
      </c>
      <c r="M382" s="17" t="s">
        <v>2267</v>
      </c>
      <c r="N382" s="21">
        <f>IFERROR((C382-VLOOKUP(B382,crm_orders!$A:$S,2,FALSE))*24,0)</f>
        <v>192</v>
      </c>
      <c r="O382" s="19" t="str">
        <f>IFERROR(VLOOKUP(B382,crm_orders!$A:$S,3,FALSE),"")</f>
        <v>DSP0096</v>
      </c>
      <c r="P382" s="19" t="str">
        <f>IFERROR(VLOOKUP(B382,crm_orders!$A:$S,5,FALSE),"")</f>
        <v>OK</v>
      </c>
      <c r="Q382" s="19" t="str">
        <f>IFERROR(VLOOKUP(B382,crm_orders!$A:$S,7,FALSE),"")</f>
        <v>Retail</v>
      </c>
      <c r="R382" s="19" t="str">
        <f>IFERROR(VLOOKUP(B382,crm_orders!$A:$S,8,FALSE),"")</f>
        <v>SKU0004</v>
      </c>
    </row>
    <row r="383" ht="15.75" customHeight="1">
      <c r="A383" s="25" t="s">
        <v>3019</v>
      </c>
      <c r="B383" s="25" t="s">
        <v>904</v>
      </c>
      <c r="C383" s="26">
        <v>46087.0</v>
      </c>
      <c r="D383" s="25" t="s">
        <v>2260</v>
      </c>
      <c r="E383" s="25" t="s">
        <v>2255</v>
      </c>
      <c r="F383" s="25" t="s">
        <v>3020</v>
      </c>
      <c r="G383" s="29">
        <v>72.0</v>
      </c>
      <c r="H383" s="29">
        <v>72.0</v>
      </c>
      <c r="I383" s="29">
        <v>0.0</v>
      </c>
      <c r="J383" s="25" t="s">
        <v>2246</v>
      </c>
      <c r="K383" s="25" t="s">
        <v>2247</v>
      </c>
      <c r="L383" s="25" t="s">
        <v>2246</v>
      </c>
      <c r="M383" s="25" t="s">
        <v>2248</v>
      </c>
      <c r="N383" s="29">
        <f>IFERROR((C383-VLOOKUP(B383,crm_orders!$A:$S,2,FALSE))*24,0)</f>
        <v>312</v>
      </c>
      <c r="O383" s="27" t="str">
        <f>IFERROR(VLOOKUP(B383,crm_orders!$A:$S,3,FALSE),"")</f>
        <v>DSP0024</v>
      </c>
      <c r="P383" s="27" t="str">
        <f>IFERROR(VLOOKUP(B383,crm_orders!$A:$S,5,FALSE),"")</f>
        <v>OK</v>
      </c>
      <c r="Q383" s="27" t="str">
        <f>IFERROR(VLOOKUP(B383,crm_orders!$A:$S,7,FALSE),"")</f>
        <v>Distributor</v>
      </c>
      <c r="R383" s="27" t="str">
        <f>IFERROR(VLOOKUP(B383,crm_orders!$A:$S,8,FALSE),"")</f>
        <v>SKU0018</v>
      </c>
    </row>
    <row r="384" ht="15.75" customHeight="1">
      <c r="A384" s="17" t="s">
        <v>3021</v>
      </c>
      <c r="B384" s="17" t="s">
        <v>619</v>
      </c>
      <c r="C384" s="18">
        <v>46137.0</v>
      </c>
      <c r="D384" s="17" t="s">
        <v>2254</v>
      </c>
      <c r="E384" s="17" t="s">
        <v>2261</v>
      </c>
      <c r="F384" s="17" t="s">
        <v>3022</v>
      </c>
      <c r="G384" s="21">
        <v>36.0</v>
      </c>
      <c r="H384" s="21">
        <v>36.0</v>
      </c>
      <c r="I384" s="21">
        <v>0.0</v>
      </c>
      <c r="J384" s="17" t="s">
        <v>2247</v>
      </c>
      <c r="K384" s="17" t="s">
        <v>2247</v>
      </c>
      <c r="L384" s="17" t="s">
        <v>2247</v>
      </c>
      <c r="M384" s="17" t="s">
        <v>2248</v>
      </c>
      <c r="N384" s="21">
        <f>IFERROR((C384-VLOOKUP(B384,crm_orders!$A:$S,2,FALSE))*24,0)</f>
        <v>144</v>
      </c>
      <c r="O384" s="19" t="str">
        <f>IFERROR(VLOOKUP(B384,crm_orders!$A:$S,3,FALSE),"")</f>
        <v>DSP0071</v>
      </c>
      <c r="P384" s="19" t="str">
        <f>IFERROR(VLOOKUP(B384,crm_orders!$A:$S,5,FALSE),"")</f>
        <v>NY</v>
      </c>
      <c r="Q384" s="19" t="str">
        <f>IFERROR(VLOOKUP(B384,crm_orders!$A:$S,7,FALSE),"")</f>
        <v>Distributor</v>
      </c>
      <c r="R384" s="19" t="str">
        <f>IFERROR(VLOOKUP(B384,crm_orders!$A:$S,8,FALSE),"")</f>
        <v>SKU0011</v>
      </c>
    </row>
    <row r="385" ht="15.75" customHeight="1">
      <c r="A385" s="25" t="s">
        <v>3023</v>
      </c>
      <c r="B385" s="25" t="s">
        <v>503</v>
      </c>
      <c r="C385" s="26">
        <v>46130.0</v>
      </c>
      <c r="D385" s="25" t="s">
        <v>2243</v>
      </c>
      <c r="E385" s="25" t="s">
        <v>2244</v>
      </c>
      <c r="F385" s="25" t="s">
        <v>3024</v>
      </c>
      <c r="G385" s="29">
        <v>72.0</v>
      </c>
      <c r="H385" s="29">
        <v>72.0</v>
      </c>
      <c r="I385" s="29">
        <v>0.0</v>
      </c>
      <c r="J385" s="25" t="s">
        <v>2246</v>
      </c>
      <c r="K385" s="25" t="s">
        <v>2247</v>
      </c>
      <c r="L385" s="25" t="s">
        <v>2246</v>
      </c>
      <c r="M385" s="25" t="s">
        <v>2248</v>
      </c>
      <c r="N385" s="29">
        <f>IFERROR((C385-VLOOKUP(B385,crm_orders!$A:$S,2,FALSE))*24,0)</f>
        <v>216</v>
      </c>
      <c r="O385" s="27" t="str">
        <f>IFERROR(VLOOKUP(B385,crm_orders!$A:$S,3,FALSE),"")</f>
        <v>DSP0028</v>
      </c>
      <c r="P385" s="27" t="str">
        <f>IFERROR(VLOOKUP(B385,crm_orders!$A:$S,5,FALSE),"")</f>
        <v>CO</v>
      </c>
      <c r="Q385" s="27" t="str">
        <f>IFERROR(VLOOKUP(B385,crm_orders!$A:$S,7,FALSE),"")</f>
        <v>Distributor</v>
      </c>
      <c r="R385" s="27" t="str">
        <f>IFERROR(VLOOKUP(B385,crm_orders!$A:$S,8,FALSE),"")</f>
        <v/>
      </c>
    </row>
    <row r="386" ht="15.75" customHeight="1">
      <c r="A386" s="17" t="s">
        <v>3025</v>
      </c>
      <c r="B386" s="17" t="s">
        <v>234</v>
      </c>
      <c r="C386" s="18">
        <v>46106.0</v>
      </c>
      <c r="D386" s="17" t="s">
        <v>2243</v>
      </c>
      <c r="E386" s="17" t="s">
        <v>2261</v>
      </c>
      <c r="F386" s="17" t="s">
        <v>3026</v>
      </c>
      <c r="G386" s="21">
        <v>6.0</v>
      </c>
      <c r="H386" s="21">
        <v>6.0</v>
      </c>
      <c r="I386" s="21">
        <v>0.0</v>
      </c>
      <c r="J386" s="17" t="s">
        <v>2246</v>
      </c>
      <c r="K386" s="17" t="s">
        <v>2247</v>
      </c>
      <c r="L386" s="17" t="s">
        <v>2246</v>
      </c>
      <c r="M386" s="17" t="s">
        <v>2248</v>
      </c>
      <c r="N386" s="21">
        <f>IFERROR((C386-VLOOKUP(B386,crm_orders!$A:$S,2,FALSE))*24,0)</f>
        <v>168</v>
      </c>
      <c r="O386" s="19" t="str">
        <f>IFERROR(VLOOKUP(B386,crm_orders!$A:$S,3,FALSE),"")</f>
        <v>DSP0005</v>
      </c>
      <c r="P386" s="19" t="str">
        <f>IFERROR(VLOOKUP(B386,crm_orders!$A:$S,5,FALSE),"")</f>
        <v>AZ</v>
      </c>
      <c r="Q386" s="19" t="str">
        <f>IFERROR(VLOOKUP(B386,crm_orders!$A:$S,7,FALSE),"")</f>
        <v>Wholesale</v>
      </c>
      <c r="R386" s="19" t="str">
        <f>IFERROR(VLOOKUP(B386,crm_orders!$A:$S,8,FALSE),"")</f>
        <v>SKU0010</v>
      </c>
    </row>
    <row r="387" ht="15.75" customHeight="1">
      <c r="A387" s="25" t="s">
        <v>3027</v>
      </c>
      <c r="B387" s="25" t="s">
        <v>788</v>
      </c>
      <c r="C387" s="26">
        <v>46044.0</v>
      </c>
      <c r="D387" s="25" t="s">
        <v>2260</v>
      </c>
      <c r="E387" s="25" t="s">
        <v>2251</v>
      </c>
      <c r="F387" s="25" t="s">
        <v>3028</v>
      </c>
      <c r="G387" s="29">
        <v>30.0</v>
      </c>
      <c r="H387" s="29">
        <v>30.0</v>
      </c>
      <c r="I387" s="29">
        <v>0.0</v>
      </c>
      <c r="J387" s="25" t="s">
        <v>2247</v>
      </c>
      <c r="K387" s="25" t="s">
        <v>2247</v>
      </c>
      <c r="L387" s="25" t="s">
        <v>2247</v>
      </c>
      <c r="M387" s="25" t="s">
        <v>2248</v>
      </c>
      <c r="N387" s="29">
        <f>IFERROR((C387-VLOOKUP(B387,crm_orders!$A:$S,2,FALSE))*24,0)</f>
        <v>96</v>
      </c>
      <c r="O387" s="27" t="str">
        <f>IFERROR(VLOOKUP(B387,crm_orders!$A:$S,3,FALSE),"")</f>
        <v>DSP0046</v>
      </c>
      <c r="P387" s="27" t="str">
        <f>IFERROR(VLOOKUP(B387,crm_orders!$A:$S,5,FALSE),"")</f>
        <v>NM</v>
      </c>
      <c r="Q387" s="27" t="str">
        <f>IFERROR(VLOOKUP(B387,crm_orders!$A:$S,7,FALSE),"")</f>
        <v>Wholesale</v>
      </c>
      <c r="R387" s="27" t="str">
        <f>IFERROR(VLOOKUP(B387,crm_orders!$A:$S,8,FALSE),"")</f>
        <v>SKU0005</v>
      </c>
    </row>
    <row r="388" ht="15.75" customHeight="1">
      <c r="A388" s="17" t="s">
        <v>3029</v>
      </c>
      <c r="B388" s="17" t="s">
        <v>504</v>
      </c>
      <c r="C388" s="18">
        <v>46129.0</v>
      </c>
      <c r="D388" s="17" t="s">
        <v>2269</v>
      </c>
      <c r="E388" s="17" t="s">
        <v>2251</v>
      </c>
      <c r="F388" s="17" t="s">
        <v>3030</v>
      </c>
      <c r="G388" s="21">
        <v>12.0</v>
      </c>
      <c r="H388" s="21">
        <v>12.0</v>
      </c>
      <c r="I388" s="21">
        <v>0.0</v>
      </c>
      <c r="J388" s="17" t="s">
        <v>2246</v>
      </c>
      <c r="K388" s="17" t="s">
        <v>2247</v>
      </c>
      <c r="L388" s="17" t="s">
        <v>2246</v>
      </c>
      <c r="M388" s="17" t="s">
        <v>2248</v>
      </c>
      <c r="N388" s="21">
        <f>IFERROR((C388-VLOOKUP(B388,crm_orders!$A:$S,2,FALSE))*24,0)</f>
        <v>312</v>
      </c>
      <c r="O388" s="19" t="str">
        <f>IFERROR(VLOOKUP(B388,crm_orders!$A:$S,3,FALSE),"")</f>
        <v>DSP0118</v>
      </c>
      <c r="P388" s="19" t="str">
        <f>IFERROR(VLOOKUP(B388,crm_orders!$A:$S,5,FALSE),"")</f>
        <v>NM</v>
      </c>
      <c r="Q388" s="19" t="str">
        <f>IFERROR(VLOOKUP(B388,crm_orders!$A:$S,7,FALSE),"")</f>
        <v>Wholesale</v>
      </c>
      <c r="R388" s="19" t="str">
        <f>IFERROR(VLOOKUP(B388,crm_orders!$A:$S,8,FALSE),"")</f>
        <v>SKU0007</v>
      </c>
    </row>
    <row r="389" ht="15.75" customHeight="1">
      <c r="A389" s="25" t="s">
        <v>3031</v>
      </c>
      <c r="B389" s="25" t="s">
        <v>1017</v>
      </c>
      <c r="C389" s="26">
        <v>46035.0</v>
      </c>
      <c r="D389" s="25" t="s">
        <v>2243</v>
      </c>
      <c r="E389" s="25" t="s">
        <v>2244</v>
      </c>
      <c r="F389" s="25" t="s">
        <v>3032</v>
      </c>
      <c r="G389" s="29">
        <v>96.0</v>
      </c>
      <c r="H389" s="29">
        <v>96.0</v>
      </c>
      <c r="I389" s="29">
        <v>0.0</v>
      </c>
      <c r="J389" s="25" t="s">
        <v>2246</v>
      </c>
      <c r="K389" s="25" t="s">
        <v>2247</v>
      </c>
      <c r="L389" s="25" t="s">
        <v>2246</v>
      </c>
      <c r="M389" s="25" t="s">
        <v>2248</v>
      </c>
      <c r="N389" s="29">
        <f>IFERROR((C389-VLOOKUP(B389,crm_orders!$A:$S,2,FALSE))*24,0)</f>
        <v>192</v>
      </c>
      <c r="O389" s="27" t="str">
        <f>IFERROR(VLOOKUP(B389,crm_orders!$A:$S,3,FALSE),"")</f>
        <v>DSP0083</v>
      </c>
      <c r="P389" s="27" t="str">
        <f>IFERROR(VLOOKUP(B389,crm_orders!$A:$S,5,FALSE),"")</f>
        <v>NY</v>
      </c>
      <c r="Q389" s="27" t="str">
        <f>IFERROR(VLOOKUP(B389,crm_orders!$A:$S,7,FALSE),"")</f>
        <v>Distributor</v>
      </c>
      <c r="R389" s="27" t="str">
        <f>IFERROR(VLOOKUP(B389,crm_orders!$A:$S,8,FALSE),"")</f>
        <v>SKU0010</v>
      </c>
    </row>
    <row r="390" ht="15.75" customHeight="1">
      <c r="A390" s="17" t="s">
        <v>3033</v>
      </c>
      <c r="B390" s="17" t="s">
        <v>789</v>
      </c>
      <c r="C390" s="18">
        <v>46150.0</v>
      </c>
      <c r="D390" s="17" t="s">
        <v>2269</v>
      </c>
      <c r="E390" s="17" t="s">
        <v>2244</v>
      </c>
      <c r="F390" s="17" t="s">
        <v>3034</v>
      </c>
      <c r="G390" s="21">
        <v>24.0</v>
      </c>
      <c r="H390" s="21">
        <v>24.0</v>
      </c>
      <c r="I390" s="21">
        <v>0.0</v>
      </c>
      <c r="J390" s="17" t="s">
        <v>2246</v>
      </c>
      <c r="K390" s="17" t="s">
        <v>2247</v>
      </c>
      <c r="L390" s="17" t="s">
        <v>2246</v>
      </c>
      <c r="M390" s="17" t="s">
        <v>2248</v>
      </c>
      <c r="N390" s="21">
        <f>IFERROR((C390-VLOOKUP(B390,crm_orders!$A:$S,2,FALSE))*24,0)</f>
        <v>384</v>
      </c>
      <c r="O390" s="19" t="str">
        <f>IFERROR(VLOOKUP(B390,crm_orders!$A:$S,3,FALSE),"")</f>
        <v>DSP0054</v>
      </c>
      <c r="P390" s="19" t="str">
        <f>IFERROR(VLOOKUP(B390,crm_orders!$A:$S,5,FALSE),"")</f>
        <v>NV</v>
      </c>
      <c r="Q390" s="19" t="str">
        <f>IFERROR(VLOOKUP(B390,crm_orders!$A:$S,7,FALSE),"")</f>
        <v>Distributor</v>
      </c>
      <c r="R390" s="19" t="str">
        <f>IFERROR(VLOOKUP(B390,crm_orders!$A:$S,8,FALSE),"")</f>
        <v>SKU0004</v>
      </c>
    </row>
    <row r="391" ht="15.75" customHeight="1">
      <c r="A391" s="25" t="s">
        <v>3035</v>
      </c>
      <c r="B391" s="25" t="s">
        <v>790</v>
      </c>
      <c r="C391" s="26">
        <v>46103.0</v>
      </c>
      <c r="D391" s="25" t="s">
        <v>2254</v>
      </c>
      <c r="E391" s="25" t="s">
        <v>2255</v>
      </c>
      <c r="F391" s="25" t="s">
        <v>3036</v>
      </c>
      <c r="G391" s="29">
        <v>18.0</v>
      </c>
      <c r="H391" s="29">
        <v>18.0</v>
      </c>
      <c r="I391" s="29">
        <v>0.0</v>
      </c>
      <c r="J391" s="25" t="s">
        <v>2246</v>
      </c>
      <c r="K391" s="25" t="s">
        <v>2247</v>
      </c>
      <c r="L391" s="25" t="s">
        <v>2246</v>
      </c>
      <c r="M391" s="25" t="s">
        <v>2248</v>
      </c>
      <c r="N391" s="29">
        <f>IFERROR((C391-VLOOKUP(B391,crm_orders!$A:$S,2,FALSE))*24,0)</f>
        <v>192</v>
      </c>
      <c r="O391" s="27" t="str">
        <f>IFERROR(VLOOKUP(B391,crm_orders!$A:$S,3,FALSE),"")</f>
        <v>DSP0041</v>
      </c>
      <c r="P391" s="27" t="str">
        <f>IFERROR(VLOOKUP(B391,crm_orders!$A:$S,5,FALSE),"")</f>
        <v>AZ</v>
      </c>
      <c r="Q391" s="27" t="str">
        <f>IFERROR(VLOOKUP(B391,crm_orders!$A:$S,7,FALSE),"")</f>
        <v>Wholesale</v>
      </c>
      <c r="R391" s="27" t="str">
        <f>IFERROR(VLOOKUP(B391,crm_orders!$A:$S,8,FALSE),"")</f>
        <v>SKU0018</v>
      </c>
    </row>
    <row r="392" ht="15.75" customHeight="1">
      <c r="A392" s="17" t="s">
        <v>3037</v>
      </c>
      <c r="B392" s="17" t="s">
        <v>368</v>
      </c>
      <c r="C392" s="18">
        <v>46041.0</v>
      </c>
      <c r="D392" s="17" t="s">
        <v>2269</v>
      </c>
      <c r="E392" s="17" t="s">
        <v>2255</v>
      </c>
      <c r="F392" s="17" t="s">
        <v>3038</v>
      </c>
      <c r="G392" s="21">
        <v>24.0</v>
      </c>
      <c r="H392" s="21">
        <v>24.0</v>
      </c>
      <c r="I392" s="21">
        <v>0.0</v>
      </c>
      <c r="J392" s="17" t="s">
        <v>2246</v>
      </c>
      <c r="K392" s="17" t="s">
        <v>2247</v>
      </c>
      <c r="L392" s="17" t="s">
        <v>2246</v>
      </c>
      <c r="M392" s="17" t="s">
        <v>2248</v>
      </c>
      <c r="N392" s="21">
        <f>IFERROR((C392-VLOOKUP(B392,crm_orders!$A:$S,2,FALSE))*24,0)</f>
        <v>168</v>
      </c>
      <c r="O392" s="19" t="str">
        <f>IFERROR(VLOOKUP(B392,crm_orders!$A:$S,3,FALSE),"")</f>
        <v>DSP0074</v>
      </c>
      <c r="P392" s="19" t="str">
        <f>IFERROR(VLOOKUP(B392,crm_orders!$A:$S,5,FALSE),"")</f>
        <v>WA</v>
      </c>
      <c r="Q392" s="19" t="str">
        <f>IFERROR(VLOOKUP(B392,crm_orders!$A:$S,7,FALSE),"")</f>
        <v>Wholesale</v>
      </c>
      <c r="R392" s="19" t="str">
        <f>IFERROR(VLOOKUP(B392,crm_orders!$A:$S,8,FALSE),"")</f>
        <v>SKU0017</v>
      </c>
    </row>
    <row r="393" ht="15.75" customHeight="1">
      <c r="A393" s="25" t="s">
        <v>3039</v>
      </c>
      <c r="B393" s="25" t="s">
        <v>1158</v>
      </c>
      <c r="C393" s="26">
        <v>46078.0</v>
      </c>
      <c r="D393" s="25" t="s">
        <v>2254</v>
      </c>
      <c r="E393" s="25" t="s">
        <v>2286</v>
      </c>
      <c r="F393" s="25" t="s">
        <v>3040</v>
      </c>
      <c r="G393" s="29">
        <v>30.0</v>
      </c>
      <c r="H393" s="29">
        <v>30.0</v>
      </c>
      <c r="I393" s="29">
        <v>0.0</v>
      </c>
      <c r="J393" s="25" t="s">
        <v>2246</v>
      </c>
      <c r="K393" s="25" t="s">
        <v>2247</v>
      </c>
      <c r="L393" s="25" t="s">
        <v>2246</v>
      </c>
      <c r="M393" s="25" t="s">
        <v>2248</v>
      </c>
      <c r="N393" s="29">
        <f>IFERROR((C393-VLOOKUP(B393,crm_orders!$A:$S,2,FALSE))*24,0)</f>
        <v>96</v>
      </c>
      <c r="O393" s="27" t="str">
        <f>IFERROR(VLOOKUP(B393,crm_orders!$A:$S,3,FALSE),"")</f>
        <v>DSP0007</v>
      </c>
      <c r="P393" s="27" t="str">
        <f>IFERROR(VLOOKUP(B393,crm_orders!$A:$S,5,FALSE),"")</f>
        <v>IL</v>
      </c>
      <c r="Q393" s="27" t="str">
        <f>IFERROR(VLOOKUP(B393,crm_orders!$A:$S,7,FALSE),"")</f>
        <v>Retail</v>
      </c>
      <c r="R393" s="27" t="str">
        <f>IFERROR(VLOOKUP(B393,crm_orders!$A:$S,8,FALSE),"")</f>
        <v>SKU0018</v>
      </c>
    </row>
    <row r="394" ht="15.75" customHeight="1">
      <c r="A394" s="17" t="s">
        <v>3041</v>
      </c>
      <c r="B394" s="17" t="s">
        <v>620</v>
      </c>
      <c r="C394" s="18">
        <v>46087.0</v>
      </c>
      <c r="D394" s="17" t="s">
        <v>2243</v>
      </c>
      <c r="E394" s="17" t="s">
        <v>2286</v>
      </c>
      <c r="F394" s="17" t="s">
        <v>3042</v>
      </c>
      <c r="G394" s="21">
        <v>120.0</v>
      </c>
      <c r="H394" s="21">
        <v>120.0</v>
      </c>
      <c r="I394" s="21">
        <v>0.0</v>
      </c>
      <c r="J394" s="17" t="s">
        <v>2246</v>
      </c>
      <c r="K394" s="17" t="s">
        <v>2247</v>
      </c>
      <c r="L394" s="17" t="s">
        <v>2246</v>
      </c>
      <c r="M394" s="17" t="s">
        <v>2248</v>
      </c>
      <c r="N394" s="21">
        <f>IFERROR((C394-VLOOKUP(B394,crm_orders!$A:$S,2,FALSE))*24,0)</f>
        <v>336</v>
      </c>
      <c r="O394" s="19" t="str">
        <f>IFERROR(VLOOKUP(B394,crm_orders!$A:$S,3,FALSE),"")</f>
        <v>DSP0026</v>
      </c>
      <c r="P394" s="19" t="str">
        <f>IFERROR(VLOOKUP(B394,crm_orders!$A:$S,5,FALSE),"")</f>
        <v>WA</v>
      </c>
      <c r="Q394" s="19" t="str">
        <f>IFERROR(VLOOKUP(B394,crm_orders!$A:$S,7,FALSE),"")</f>
        <v>Distributor</v>
      </c>
      <c r="R394" s="19" t="str">
        <f>IFERROR(VLOOKUP(B394,crm_orders!$A:$S,8,FALSE),"")</f>
        <v>SKU0016</v>
      </c>
    </row>
    <row r="395" ht="15.75" customHeight="1">
      <c r="A395" s="25" t="s">
        <v>3043</v>
      </c>
      <c r="B395" s="25" t="s">
        <v>791</v>
      </c>
      <c r="C395" s="26">
        <v>46072.0</v>
      </c>
      <c r="D395" s="25" t="s">
        <v>2250</v>
      </c>
      <c r="E395" s="25" t="s">
        <v>2255</v>
      </c>
      <c r="F395" s="25" t="s">
        <v>3044</v>
      </c>
      <c r="G395" s="29">
        <v>120.0</v>
      </c>
      <c r="H395" s="29">
        <v>120.0</v>
      </c>
      <c r="I395" s="29">
        <v>0.0</v>
      </c>
      <c r="J395" s="25" t="s">
        <v>2246</v>
      </c>
      <c r="K395" s="25" t="s">
        <v>2247</v>
      </c>
      <c r="L395" s="25" t="s">
        <v>2246</v>
      </c>
      <c r="M395" s="25" t="s">
        <v>2248</v>
      </c>
      <c r="N395" s="29">
        <f>IFERROR((C395-VLOOKUP(B395,crm_orders!$A:$S,2,FALSE))*24,0)</f>
        <v>192</v>
      </c>
      <c r="O395" s="27" t="str">
        <f>IFERROR(VLOOKUP(B395,crm_orders!$A:$S,3,FALSE),"")</f>
        <v>DSP0100</v>
      </c>
      <c r="P395" s="27" t="str">
        <f>IFERROR(VLOOKUP(B395,crm_orders!$A:$S,5,FALSE),"")</f>
        <v>CO</v>
      </c>
      <c r="Q395" s="27" t="str">
        <f>IFERROR(VLOOKUP(B395,crm_orders!$A:$S,7,FALSE),"")</f>
        <v>Retail</v>
      </c>
      <c r="R395" s="27" t="str">
        <f>IFERROR(VLOOKUP(B395,crm_orders!$A:$S,8,FALSE),"")</f>
        <v>SKU0014</v>
      </c>
    </row>
    <row r="396" ht="15.75" customHeight="1">
      <c r="A396" s="17" t="s">
        <v>3045</v>
      </c>
      <c r="B396" s="17" t="s">
        <v>1018</v>
      </c>
      <c r="C396" s="18">
        <v>46113.0</v>
      </c>
      <c r="D396" s="17" t="s">
        <v>2254</v>
      </c>
      <c r="E396" s="17" t="s">
        <v>2286</v>
      </c>
      <c r="F396" s="17" t="s">
        <v>3046</v>
      </c>
      <c r="G396" s="21">
        <v>6.0</v>
      </c>
      <c r="H396" s="21">
        <v>0.0</v>
      </c>
      <c r="I396" s="21">
        <v>6.0</v>
      </c>
      <c r="J396" s="17" t="s">
        <v>2247</v>
      </c>
      <c r="K396" s="17" t="s">
        <v>2246</v>
      </c>
      <c r="L396" s="17" t="s">
        <v>2246</v>
      </c>
      <c r="M396" s="17" t="s">
        <v>2312</v>
      </c>
      <c r="N396" s="21">
        <f>IFERROR((C396-VLOOKUP(B396,crm_orders!$A:$S,2,FALSE))*24,0)</f>
        <v>168</v>
      </c>
      <c r="O396" s="19" t="str">
        <f>IFERROR(VLOOKUP(B396,crm_orders!$A:$S,3,FALSE),"")</f>
        <v>DSP0045</v>
      </c>
      <c r="P396" s="19" t="str">
        <f>IFERROR(VLOOKUP(B396,crm_orders!$A:$S,5,FALSE),"")</f>
        <v>MO</v>
      </c>
      <c r="Q396" s="19" t="str">
        <f>IFERROR(VLOOKUP(B396,crm_orders!$A:$S,7,FALSE),"")</f>
        <v>Wholesale</v>
      </c>
      <c r="R396" s="19" t="str">
        <f>IFERROR(VLOOKUP(B396,crm_orders!$A:$S,8,FALSE),"")</f>
        <v>SKU0020</v>
      </c>
    </row>
    <row r="397" ht="15.75" customHeight="1">
      <c r="A397" s="25" t="s">
        <v>3047</v>
      </c>
      <c r="B397" s="25" t="s">
        <v>905</v>
      </c>
      <c r="C397" s="26">
        <v>46052.0</v>
      </c>
      <c r="D397" s="25" t="s">
        <v>2243</v>
      </c>
      <c r="E397" s="25" t="s">
        <v>2255</v>
      </c>
      <c r="F397" s="25" t="s">
        <v>3048</v>
      </c>
      <c r="G397" s="29">
        <v>120.0</v>
      </c>
      <c r="H397" s="29">
        <v>120.0</v>
      </c>
      <c r="I397" s="29">
        <v>0.0</v>
      </c>
      <c r="J397" s="25" t="s">
        <v>2246</v>
      </c>
      <c r="K397" s="25" t="s">
        <v>2247</v>
      </c>
      <c r="L397" s="25" t="s">
        <v>2246</v>
      </c>
      <c r="M397" s="25" t="s">
        <v>2248</v>
      </c>
      <c r="N397" s="29">
        <f>IFERROR((C397-VLOOKUP(B397,crm_orders!$A:$S,2,FALSE))*24,0)</f>
        <v>96</v>
      </c>
      <c r="O397" s="27" t="str">
        <f>IFERROR(VLOOKUP(B397,crm_orders!$A:$S,3,FALSE),"")</f>
        <v>DSP0119</v>
      </c>
      <c r="P397" s="27" t="str">
        <f>IFERROR(VLOOKUP(B397,crm_orders!$A:$S,5,FALSE),"")</f>
        <v>NY</v>
      </c>
      <c r="Q397" s="27" t="str">
        <f>IFERROR(VLOOKUP(B397,crm_orders!$A:$S,7,FALSE),"")</f>
        <v>Distributor</v>
      </c>
      <c r="R397" s="27" t="str">
        <f>IFERROR(VLOOKUP(B397,crm_orders!$A:$S,8,FALSE),"")</f>
        <v>SKU0008</v>
      </c>
    </row>
    <row r="398" ht="15.75" customHeight="1">
      <c r="A398" s="17" t="s">
        <v>3049</v>
      </c>
      <c r="B398" s="17" t="s">
        <v>369</v>
      </c>
      <c r="C398" s="18">
        <v>46144.0</v>
      </c>
      <c r="D398" s="17" t="s">
        <v>2243</v>
      </c>
      <c r="E398" s="17" t="s">
        <v>2261</v>
      </c>
      <c r="F398" s="17" t="s">
        <v>3050</v>
      </c>
      <c r="G398" s="21">
        <v>30.0</v>
      </c>
      <c r="H398" s="21">
        <v>30.0</v>
      </c>
      <c r="I398" s="21">
        <v>0.0</v>
      </c>
      <c r="J398" s="17" t="s">
        <v>2246</v>
      </c>
      <c r="K398" s="17" t="s">
        <v>2247</v>
      </c>
      <c r="L398" s="17" t="s">
        <v>2246</v>
      </c>
      <c r="M398" s="17" t="s">
        <v>2248</v>
      </c>
      <c r="N398" s="21">
        <f>IFERROR((C398-VLOOKUP(B398,crm_orders!$A:$S,2,FALSE))*24,0)</f>
        <v>240</v>
      </c>
      <c r="O398" s="19" t="str">
        <f>IFERROR(VLOOKUP(B398,crm_orders!$A:$S,3,FALSE),"")</f>
        <v>DSP0080</v>
      </c>
      <c r="P398" s="19" t="str">
        <f>IFERROR(VLOOKUP(B398,crm_orders!$A:$S,5,FALSE),"")</f>
        <v>MI</v>
      </c>
      <c r="Q398" s="19" t="str">
        <f>IFERROR(VLOOKUP(B398,crm_orders!$A:$S,7,FALSE),"")</f>
        <v>Wholesale</v>
      </c>
      <c r="R398" s="19" t="str">
        <f>IFERROR(VLOOKUP(B398,crm_orders!$A:$S,8,FALSE),"")</f>
        <v>SKU0005</v>
      </c>
    </row>
    <row r="399" ht="15.75" customHeight="1">
      <c r="A399" s="25" t="s">
        <v>3051</v>
      </c>
      <c r="B399" s="25" t="s">
        <v>906</v>
      </c>
      <c r="C399" s="26">
        <v>46065.0</v>
      </c>
      <c r="D399" s="25" t="s">
        <v>2243</v>
      </c>
      <c r="E399" s="25" t="s">
        <v>2244</v>
      </c>
      <c r="F399" s="25" t="s">
        <v>3052</v>
      </c>
      <c r="G399" s="29">
        <v>24.0</v>
      </c>
      <c r="H399" s="29">
        <v>12.0</v>
      </c>
      <c r="I399" s="29">
        <v>12.0</v>
      </c>
      <c r="J399" s="25" t="s">
        <v>2246</v>
      </c>
      <c r="K399" s="25" t="s">
        <v>2246</v>
      </c>
      <c r="L399" s="25" t="s">
        <v>2246</v>
      </c>
      <c r="M399" s="25" t="s">
        <v>2267</v>
      </c>
      <c r="N399" s="29">
        <f>IFERROR((C399-VLOOKUP(B399,crm_orders!$A:$S,2,FALSE))*24,0)</f>
        <v>360</v>
      </c>
      <c r="O399" s="27" t="str">
        <f>IFERROR(VLOOKUP(B399,crm_orders!$A:$S,3,FALSE),"")</f>
        <v>DSP0095</v>
      </c>
      <c r="P399" s="27" t="str">
        <f>IFERROR(VLOOKUP(B399,crm_orders!$A:$S,5,FALSE),"")</f>
        <v>NY</v>
      </c>
      <c r="Q399" s="27" t="str">
        <f>IFERROR(VLOOKUP(B399,crm_orders!$A:$S,7,FALSE),"")</f>
        <v>Wholesale</v>
      </c>
      <c r="R399" s="27" t="str">
        <f>IFERROR(VLOOKUP(B399,crm_orders!$A:$S,8,FALSE),"")</f>
        <v>SKU0018</v>
      </c>
    </row>
    <row r="400" ht="15.75" customHeight="1">
      <c r="A400" s="17" t="s">
        <v>3053</v>
      </c>
      <c r="B400" s="17" t="s">
        <v>792</v>
      </c>
      <c r="C400" s="18">
        <v>46074.0</v>
      </c>
      <c r="D400" s="17" t="s">
        <v>2243</v>
      </c>
      <c r="E400" s="17" t="s">
        <v>2244</v>
      </c>
      <c r="F400" s="17" t="s">
        <v>3054</v>
      </c>
      <c r="G400" s="21">
        <v>96.0</v>
      </c>
      <c r="H400" s="21">
        <v>96.0</v>
      </c>
      <c r="I400" s="21">
        <v>0.0</v>
      </c>
      <c r="J400" s="17" t="s">
        <v>2246</v>
      </c>
      <c r="K400" s="17" t="s">
        <v>2247</v>
      </c>
      <c r="L400" s="17" t="s">
        <v>2246</v>
      </c>
      <c r="M400" s="17" t="s">
        <v>2248</v>
      </c>
      <c r="N400" s="21">
        <f>IFERROR((C400-VLOOKUP(B400,crm_orders!$A:$S,2,FALSE))*24,0)</f>
        <v>72</v>
      </c>
      <c r="O400" s="19" t="str">
        <f>IFERROR(VLOOKUP(B400,crm_orders!$A:$S,3,FALSE),"")</f>
        <v>DSP0090</v>
      </c>
      <c r="P400" s="19" t="str">
        <f>IFERROR(VLOOKUP(B400,crm_orders!$A:$S,5,FALSE),"")</f>
        <v>NV</v>
      </c>
      <c r="Q400" s="19" t="str">
        <f>IFERROR(VLOOKUP(B400,crm_orders!$A:$S,7,FALSE),"")</f>
        <v>Wholesale</v>
      </c>
      <c r="R400" s="19" t="str">
        <f>IFERROR(VLOOKUP(B400,crm_orders!$A:$S,8,FALSE),"")</f>
        <v>SKU0001</v>
      </c>
    </row>
    <row r="401" ht="15.75" customHeight="1">
      <c r="A401" s="25" t="s">
        <v>3055</v>
      </c>
      <c r="B401" s="25" t="s">
        <v>370</v>
      </c>
      <c r="C401" s="26">
        <v>46035.0</v>
      </c>
      <c r="D401" s="25" t="s">
        <v>2269</v>
      </c>
      <c r="E401" s="25" t="s">
        <v>2286</v>
      </c>
      <c r="F401" s="25" t="s">
        <v>3056</v>
      </c>
      <c r="G401" s="29">
        <v>60.0</v>
      </c>
      <c r="H401" s="29">
        <v>60.0</v>
      </c>
      <c r="I401" s="29">
        <v>0.0</v>
      </c>
      <c r="J401" s="25" t="s">
        <v>2246</v>
      </c>
      <c r="K401" s="25" t="s">
        <v>2247</v>
      </c>
      <c r="L401" s="25" t="s">
        <v>2246</v>
      </c>
      <c r="M401" s="25" t="s">
        <v>2248</v>
      </c>
      <c r="N401" s="29">
        <f>IFERROR((C401-VLOOKUP(B401,crm_orders!$A:$S,2,FALSE))*24,0)</f>
        <v>144</v>
      </c>
      <c r="O401" s="27" t="str">
        <f>IFERROR(VLOOKUP(B401,crm_orders!$A:$S,3,FALSE),"")</f>
        <v>DSP0080</v>
      </c>
      <c r="P401" s="27" t="str">
        <f>IFERROR(VLOOKUP(B401,crm_orders!$A:$S,5,FALSE),"")</f>
        <v>MI</v>
      </c>
      <c r="Q401" s="27" t="str">
        <f>IFERROR(VLOOKUP(B401,crm_orders!$A:$S,7,FALSE),"")</f>
        <v>Wholesale</v>
      </c>
      <c r="R401" s="27" t="str">
        <f>IFERROR(VLOOKUP(B401,crm_orders!$A:$S,8,FALSE),"")</f>
        <v>SKU0009</v>
      </c>
    </row>
    <row r="402" ht="15.75" customHeight="1">
      <c r="A402" s="17" t="s">
        <v>3057</v>
      </c>
      <c r="B402" s="17" t="s">
        <v>1019</v>
      </c>
      <c r="C402" s="18">
        <v>46031.0</v>
      </c>
      <c r="D402" s="17" t="s">
        <v>2269</v>
      </c>
      <c r="E402" s="17" t="s">
        <v>2251</v>
      </c>
      <c r="F402" s="17" t="s">
        <v>3058</v>
      </c>
      <c r="G402" s="21">
        <v>30.0</v>
      </c>
      <c r="H402" s="21">
        <v>12.0</v>
      </c>
      <c r="I402" s="21">
        <v>18.0</v>
      </c>
      <c r="J402" s="17" t="s">
        <v>2247</v>
      </c>
      <c r="K402" s="17" t="s">
        <v>2246</v>
      </c>
      <c r="L402" s="17" t="s">
        <v>2246</v>
      </c>
      <c r="M402" s="17" t="s">
        <v>2267</v>
      </c>
      <c r="N402" s="21">
        <f>IFERROR((C402-VLOOKUP(B402,crm_orders!$A:$S,2,FALSE))*24,0)</f>
        <v>144</v>
      </c>
      <c r="O402" s="19" t="str">
        <f>IFERROR(VLOOKUP(B402,crm_orders!$A:$S,3,FALSE),"")</f>
        <v>DSP0047</v>
      </c>
      <c r="P402" s="19" t="str">
        <f>IFERROR(VLOOKUP(B402,crm_orders!$A:$S,5,FALSE),"")</f>
        <v>NY</v>
      </c>
      <c r="Q402" s="19" t="str">
        <f>IFERROR(VLOOKUP(B402,crm_orders!$A:$S,7,FALSE),"")</f>
        <v>Wholesale</v>
      </c>
      <c r="R402" s="19" t="str">
        <f>IFERROR(VLOOKUP(B402,crm_orders!$A:$S,8,FALSE),"")</f>
        <v>SKU0004</v>
      </c>
    </row>
    <row r="403" ht="15.75" customHeight="1">
      <c r="A403" s="25" t="s">
        <v>3059</v>
      </c>
      <c r="B403" s="25" t="s">
        <v>907</v>
      </c>
      <c r="C403" s="26">
        <v>46095.0</v>
      </c>
      <c r="D403" s="25" t="s">
        <v>2260</v>
      </c>
      <c r="E403" s="25" t="s">
        <v>2244</v>
      </c>
      <c r="F403" s="25" t="s">
        <v>3060</v>
      </c>
      <c r="G403" s="29">
        <v>96.0</v>
      </c>
      <c r="H403" s="29">
        <v>96.0</v>
      </c>
      <c r="I403" s="29">
        <v>0.0</v>
      </c>
      <c r="J403" s="25" t="s">
        <v>2246</v>
      </c>
      <c r="K403" s="25" t="s">
        <v>2247</v>
      </c>
      <c r="L403" s="25" t="s">
        <v>2246</v>
      </c>
      <c r="M403" s="25" t="s">
        <v>2248</v>
      </c>
      <c r="N403" s="29">
        <f>IFERROR((C403-VLOOKUP(B403,crm_orders!$A:$S,2,FALSE))*24,0)</f>
        <v>240</v>
      </c>
      <c r="O403" s="27" t="str">
        <f>IFERROR(VLOOKUP(B403,crm_orders!$A:$S,3,FALSE),"")</f>
        <v>DSP0116</v>
      </c>
      <c r="P403" s="27" t="str">
        <f>IFERROR(VLOOKUP(B403,crm_orders!$A:$S,5,FALSE),"")</f>
        <v>MI</v>
      </c>
      <c r="Q403" s="27" t="str">
        <f>IFERROR(VLOOKUP(B403,crm_orders!$A:$S,7,FALSE),"")</f>
        <v>Wholesale</v>
      </c>
      <c r="R403" s="27" t="str">
        <f>IFERROR(VLOOKUP(B403,crm_orders!$A:$S,8,FALSE),"")</f>
        <v>SKU0011</v>
      </c>
    </row>
    <row r="404" ht="15.75" customHeight="1">
      <c r="A404" s="17" t="s">
        <v>3061</v>
      </c>
      <c r="B404" s="17" t="s">
        <v>505</v>
      </c>
      <c r="C404" s="18">
        <v>46144.0</v>
      </c>
      <c r="D404" s="17" t="s">
        <v>2243</v>
      </c>
      <c r="E404" s="17" t="s">
        <v>2244</v>
      </c>
      <c r="F404" s="17" t="s">
        <v>3062</v>
      </c>
      <c r="G404" s="21">
        <v>72.0</v>
      </c>
      <c r="H404" s="21">
        <v>72.0</v>
      </c>
      <c r="I404" s="21">
        <v>0.0</v>
      </c>
      <c r="J404" s="17" t="s">
        <v>2246</v>
      </c>
      <c r="K404" s="17" t="s">
        <v>2247</v>
      </c>
      <c r="L404" s="17" t="s">
        <v>2246</v>
      </c>
      <c r="M404" s="17" t="s">
        <v>2248</v>
      </c>
      <c r="N404" s="21">
        <f>IFERROR((C404-VLOOKUP(B404,crm_orders!$A:$S,2,FALSE))*24,0)</f>
        <v>72</v>
      </c>
      <c r="O404" s="19" t="str">
        <f>IFERROR(VLOOKUP(B404,crm_orders!$A:$S,3,FALSE),"")</f>
        <v>DSP0006</v>
      </c>
      <c r="P404" s="19" t="str">
        <f>IFERROR(VLOOKUP(B404,crm_orders!$A:$S,5,FALSE),"")</f>
        <v>NV</v>
      </c>
      <c r="Q404" s="19" t="str">
        <f>IFERROR(VLOOKUP(B404,crm_orders!$A:$S,7,FALSE),"")</f>
        <v>Retail</v>
      </c>
      <c r="R404" s="19" t="str">
        <f>IFERROR(VLOOKUP(B404,crm_orders!$A:$S,8,FALSE),"")</f>
        <v>SKU0008</v>
      </c>
    </row>
    <row r="405" ht="15.75" customHeight="1">
      <c r="A405" s="25" t="s">
        <v>3063</v>
      </c>
      <c r="B405" s="25" t="s">
        <v>235</v>
      </c>
      <c r="C405" s="26">
        <v>46069.0</v>
      </c>
      <c r="D405" s="25" t="s">
        <v>2254</v>
      </c>
      <c r="E405" s="25" t="s">
        <v>2251</v>
      </c>
      <c r="F405" s="25" t="s">
        <v>3064</v>
      </c>
      <c r="G405" s="29">
        <v>72.0</v>
      </c>
      <c r="H405" s="29">
        <v>72.0</v>
      </c>
      <c r="I405" s="29">
        <v>0.0</v>
      </c>
      <c r="J405" s="25" t="s">
        <v>2246</v>
      </c>
      <c r="K405" s="25" t="s">
        <v>2247</v>
      </c>
      <c r="L405" s="25" t="s">
        <v>2246</v>
      </c>
      <c r="M405" s="25" t="s">
        <v>2248</v>
      </c>
      <c r="N405" s="29">
        <f>IFERROR((C405-VLOOKUP(B405,crm_orders!$A:$S,2,FALSE))*24,0)</f>
        <v>384</v>
      </c>
      <c r="O405" s="27" t="str">
        <f>IFERROR(VLOOKUP(B405,crm_orders!$A:$S,3,FALSE),"")</f>
        <v>DSP0081</v>
      </c>
      <c r="P405" s="27" t="str">
        <f>IFERROR(VLOOKUP(B405,crm_orders!$A:$S,5,FALSE),"")</f>
        <v>MO</v>
      </c>
      <c r="Q405" s="27" t="str">
        <f>IFERROR(VLOOKUP(B405,crm_orders!$A:$S,7,FALSE),"")</f>
        <v>Wholesale</v>
      </c>
      <c r="R405" s="27" t="str">
        <f>IFERROR(VLOOKUP(B405,crm_orders!$A:$S,8,FALSE),"")</f>
        <v>SKU0010</v>
      </c>
    </row>
    <row r="406" ht="15.75" customHeight="1">
      <c r="A406" s="17" t="s">
        <v>3065</v>
      </c>
      <c r="B406" s="17" t="s">
        <v>621</v>
      </c>
      <c r="C406" s="18">
        <v>46061.0</v>
      </c>
      <c r="D406" s="17" t="s">
        <v>2250</v>
      </c>
      <c r="E406" s="17" t="s">
        <v>2255</v>
      </c>
      <c r="F406" s="17" t="s">
        <v>3066</v>
      </c>
      <c r="G406" s="21">
        <v>24.0</v>
      </c>
      <c r="H406" s="21">
        <v>24.0</v>
      </c>
      <c r="I406" s="21">
        <v>0.0</v>
      </c>
      <c r="J406" s="17" t="s">
        <v>2246</v>
      </c>
      <c r="K406" s="17" t="s">
        <v>2247</v>
      </c>
      <c r="L406" s="17" t="s">
        <v>2246</v>
      </c>
      <c r="M406" s="17" t="s">
        <v>2248</v>
      </c>
      <c r="N406" s="21">
        <f>IFERROR((C406-VLOOKUP(B406,crm_orders!$A:$S,2,FALSE))*24,0)</f>
        <v>72</v>
      </c>
      <c r="O406" s="19" t="str">
        <f>IFERROR(VLOOKUP(B406,crm_orders!$A:$S,3,FALSE),"")</f>
        <v>DSP0004</v>
      </c>
      <c r="P406" s="19" t="str">
        <f>IFERROR(VLOOKUP(B406,crm_orders!$A:$S,5,FALSE),"")</f>
        <v>CO</v>
      </c>
      <c r="Q406" s="19" t="str">
        <f>IFERROR(VLOOKUP(B406,crm_orders!$A:$S,7,FALSE),"")</f>
        <v>Retail</v>
      </c>
      <c r="R406" s="19" t="str">
        <f>IFERROR(VLOOKUP(B406,crm_orders!$A:$S,8,FALSE),"")</f>
        <v>SKU0018</v>
      </c>
    </row>
    <row r="407" ht="15.75" customHeight="1">
      <c r="A407" s="25" t="s">
        <v>3067</v>
      </c>
      <c r="B407" s="25" t="s">
        <v>371</v>
      </c>
      <c r="C407" s="26">
        <v>46096.0</v>
      </c>
      <c r="D407" s="25" t="s">
        <v>2254</v>
      </c>
      <c r="E407" s="25" t="s">
        <v>2286</v>
      </c>
      <c r="F407" s="25" t="s">
        <v>3068</v>
      </c>
      <c r="G407" s="29">
        <v>18.0</v>
      </c>
      <c r="H407" s="29">
        <v>0.0</v>
      </c>
      <c r="I407" s="29">
        <v>18.0</v>
      </c>
      <c r="J407" s="25" t="s">
        <v>2247</v>
      </c>
      <c r="K407" s="25" t="s">
        <v>2246</v>
      </c>
      <c r="L407" s="25" t="s">
        <v>2246</v>
      </c>
      <c r="M407" s="25" t="s">
        <v>2267</v>
      </c>
      <c r="N407" s="29">
        <f>IFERROR((C407-VLOOKUP(B407,crm_orders!$A:$S,2,FALSE))*24,0)</f>
        <v>96</v>
      </c>
      <c r="O407" s="27" t="str">
        <f>IFERROR(VLOOKUP(B407,crm_orders!$A:$S,3,FALSE),"")</f>
        <v>DSP0043</v>
      </c>
      <c r="P407" s="27" t="str">
        <f>IFERROR(VLOOKUP(B407,crm_orders!$A:$S,5,FALSE),"")</f>
        <v>IL</v>
      </c>
      <c r="Q407" s="27" t="str">
        <f>IFERROR(VLOOKUP(B407,crm_orders!$A:$S,7,FALSE),"")</f>
        <v>Wholesale</v>
      </c>
      <c r="R407" s="27" t="str">
        <f>IFERROR(VLOOKUP(B407,crm_orders!$A:$S,8,FALSE),"")</f>
        <v>SKU0015</v>
      </c>
    </row>
    <row r="408" ht="15.75" customHeight="1">
      <c r="A408" s="17" t="s">
        <v>3069</v>
      </c>
      <c r="B408" s="17" t="s">
        <v>622</v>
      </c>
      <c r="C408" s="18">
        <v>46152.0</v>
      </c>
      <c r="D408" s="17" t="s">
        <v>2250</v>
      </c>
      <c r="E408" s="17" t="s">
        <v>2255</v>
      </c>
      <c r="F408" s="17" t="s">
        <v>3070</v>
      </c>
      <c r="G408" s="21">
        <v>18.0</v>
      </c>
      <c r="H408" s="21">
        <v>18.0</v>
      </c>
      <c r="I408" s="21">
        <v>0.0</v>
      </c>
      <c r="J408" s="17" t="s">
        <v>2246</v>
      </c>
      <c r="K408" s="17" t="s">
        <v>2247</v>
      </c>
      <c r="L408" s="17" t="s">
        <v>2246</v>
      </c>
      <c r="M408" s="17" t="s">
        <v>2248</v>
      </c>
      <c r="N408" s="21">
        <f>IFERROR((C408-VLOOKUP(B408,crm_orders!$A:$S,2,FALSE))*24,0)</f>
        <v>312</v>
      </c>
      <c r="O408" s="19" t="str">
        <f>IFERROR(VLOOKUP(B408,crm_orders!$A:$S,3,FALSE),"")</f>
        <v>DSP0091</v>
      </c>
      <c r="P408" s="19" t="str">
        <f>IFERROR(VLOOKUP(B408,crm_orders!$A:$S,5,FALSE),"")</f>
        <v>IL</v>
      </c>
      <c r="Q408" s="19" t="str">
        <f>IFERROR(VLOOKUP(B408,crm_orders!$A:$S,7,FALSE),"")</f>
        <v>Retail</v>
      </c>
      <c r="R408" s="19" t="str">
        <f>IFERROR(VLOOKUP(B408,crm_orders!$A:$S,8,FALSE),"")</f>
        <v>SKU0017</v>
      </c>
    </row>
    <row r="409" ht="15.75" customHeight="1">
      <c r="A409" s="25" t="s">
        <v>3071</v>
      </c>
      <c r="B409" s="25" t="s">
        <v>236</v>
      </c>
      <c r="C409" s="26">
        <v>46117.0</v>
      </c>
      <c r="D409" s="25" t="s">
        <v>2250</v>
      </c>
      <c r="E409" s="25" t="s">
        <v>2251</v>
      </c>
      <c r="F409" s="25" t="s">
        <v>3072</v>
      </c>
      <c r="G409" s="29">
        <v>12.0</v>
      </c>
      <c r="H409" s="29">
        <v>12.0</v>
      </c>
      <c r="I409" s="29">
        <v>0.0</v>
      </c>
      <c r="J409" s="25" t="s">
        <v>2246</v>
      </c>
      <c r="K409" s="25" t="s">
        <v>2247</v>
      </c>
      <c r="L409" s="25" t="s">
        <v>2246</v>
      </c>
      <c r="M409" s="25" t="s">
        <v>2248</v>
      </c>
      <c r="N409" s="29">
        <f>IFERROR((C409-VLOOKUP(B409,crm_orders!$A:$S,2,FALSE))*24,0)</f>
        <v>48</v>
      </c>
      <c r="O409" s="27" t="str">
        <f>IFERROR(VLOOKUP(B409,crm_orders!$A:$S,3,FALSE),"")</f>
        <v>DSP0072</v>
      </c>
      <c r="P409" s="27" t="str">
        <f>IFERROR(VLOOKUP(B409,crm_orders!$A:$S,5,FALSE),"")</f>
        <v>OK</v>
      </c>
      <c r="Q409" s="27" t="str">
        <f>IFERROR(VLOOKUP(B409,crm_orders!$A:$S,7,FALSE),"")</f>
        <v>Wholesale</v>
      </c>
      <c r="R409" s="27" t="str">
        <f>IFERROR(VLOOKUP(B409,crm_orders!$A:$S,8,FALSE),"")</f>
        <v>SKU0018</v>
      </c>
    </row>
    <row r="410" ht="15.75" customHeight="1">
      <c r="A410" s="17" t="s">
        <v>3073</v>
      </c>
      <c r="B410" s="17" t="s">
        <v>372</v>
      </c>
      <c r="C410" s="18">
        <v>46068.0</v>
      </c>
      <c r="D410" s="17" t="s">
        <v>2243</v>
      </c>
      <c r="E410" s="17" t="s">
        <v>2244</v>
      </c>
      <c r="F410" s="17" t="s">
        <v>3074</v>
      </c>
      <c r="G410" s="21">
        <v>60.0</v>
      </c>
      <c r="H410" s="21">
        <v>60.0</v>
      </c>
      <c r="I410" s="21">
        <v>0.0</v>
      </c>
      <c r="J410" s="17" t="s">
        <v>2246</v>
      </c>
      <c r="K410" s="17" t="s">
        <v>2247</v>
      </c>
      <c r="L410" s="17" t="s">
        <v>2246</v>
      </c>
      <c r="M410" s="17" t="s">
        <v>2248</v>
      </c>
      <c r="N410" s="21">
        <f>IFERROR((C410-VLOOKUP(B410,crm_orders!$A:$S,2,FALSE))*24,0)</f>
        <v>168</v>
      </c>
      <c r="O410" s="19" t="str">
        <f>IFERROR(VLOOKUP(B410,crm_orders!$A:$S,3,FALSE),"")</f>
        <v>DSP0053</v>
      </c>
      <c r="P410" s="19" t="str">
        <f>IFERROR(VLOOKUP(B410,crm_orders!$A:$S,5,FALSE),"")</f>
        <v>AZ</v>
      </c>
      <c r="Q410" s="19" t="str">
        <f>IFERROR(VLOOKUP(B410,crm_orders!$A:$S,7,FALSE),"")</f>
        <v>Wholesale</v>
      </c>
      <c r="R410" s="19" t="str">
        <f>IFERROR(VLOOKUP(B410,crm_orders!$A:$S,8,FALSE),"")</f>
        <v>SKU0014</v>
      </c>
    </row>
    <row r="411" ht="15.75" customHeight="1">
      <c r="A411" s="25" t="s">
        <v>3075</v>
      </c>
      <c r="B411" s="25" t="s">
        <v>373</v>
      </c>
      <c r="C411" s="26">
        <v>46036.0</v>
      </c>
      <c r="D411" s="25" t="s">
        <v>2243</v>
      </c>
      <c r="E411" s="25" t="s">
        <v>2251</v>
      </c>
      <c r="F411" s="25" t="s">
        <v>3076</v>
      </c>
      <c r="G411" s="29">
        <v>96.0</v>
      </c>
      <c r="H411" s="29">
        <v>96.0</v>
      </c>
      <c r="I411" s="29">
        <v>0.0</v>
      </c>
      <c r="J411" s="25" t="s">
        <v>2247</v>
      </c>
      <c r="K411" s="25" t="s">
        <v>2247</v>
      </c>
      <c r="L411" s="25" t="s">
        <v>2247</v>
      </c>
      <c r="M411" s="25" t="s">
        <v>2248</v>
      </c>
      <c r="N411" s="29">
        <f>IFERROR((C411-VLOOKUP(B411,crm_orders!$A:$S,2,FALSE))*24,0)</f>
        <v>240</v>
      </c>
      <c r="O411" s="27" t="str">
        <f>IFERROR(VLOOKUP(B411,crm_orders!$A:$S,3,FALSE),"")</f>
        <v>DSP0017</v>
      </c>
      <c r="P411" s="27" t="str">
        <f>IFERROR(VLOOKUP(B411,crm_orders!$A:$S,5,FALSE),"")</f>
        <v>AZ</v>
      </c>
      <c r="Q411" s="27" t="str">
        <f>IFERROR(VLOOKUP(B411,crm_orders!$A:$S,7,FALSE),"")</f>
        <v>Wholesale</v>
      </c>
      <c r="R411" s="27" t="str">
        <f>IFERROR(VLOOKUP(B411,crm_orders!$A:$S,8,FALSE),"")</f>
        <v>SKU0006</v>
      </c>
    </row>
    <row r="412" ht="15.75" customHeight="1">
      <c r="A412" s="17" t="s">
        <v>3077</v>
      </c>
      <c r="B412" s="17" t="s">
        <v>793</v>
      </c>
      <c r="C412" s="18">
        <v>46120.0</v>
      </c>
      <c r="D412" s="17" t="s">
        <v>2254</v>
      </c>
      <c r="E412" s="17" t="s">
        <v>2251</v>
      </c>
      <c r="F412" s="17" t="s">
        <v>3078</v>
      </c>
      <c r="G412" s="21">
        <v>60.0</v>
      </c>
      <c r="H412" s="21">
        <v>60.0</v>
      </c>
      <c r="I412" s="21">
        <v>0.0</v>
      </c>
      <c r="J412" s="17" t="s">
        <v>2246</v>
      </c>
      <c r="K412" s="17" t="s">
        <v>2247</v>
      </c>
      <c r="L412" s="17" t="s">
        <v>2246</v>
      </c>
      <c r="M412" s="17" t="s">
        <v>2248</v>
      </c>
      <c r="N412" s="21">
        <f>IFERROR((C412-VLOOKUP(B412,crm_orders!$A:$S,2,FALSE))*24,0)</f>
        <v>216</v>
      </c>
      <c r="O412" s="19" t="str">
        <f>IFERROR(VLOOKUP(B412,crm_orders!$A:$S,3,FALSE),"")</f>
        <v>DSP0046</v>
      </c>
      <c r="P412" s="19" t="str">
        <f>IFERROR(VLOOKUP(B412,crm_orders!$A:$S,5,FALSE),"")</f>
        <v>NM</v>
      </c>
      <c r="Q412" s="19" t="str">
        <f>IFERROR(VLOOKUP(B412,crm_orders!$A:$S,7,FALSE),"")</f>
        <v>Wholesale</v>
      </c>
      <c r="R412" s="19" t="str">
        <f>IFERROR(VLOOKUP(B412,crm_orders!$A:$S,8,FALSE),"")</f>
        <v>SKU0003</v>
      </c>
    </row>
    <row r="413" ht="15.75" customHeight="1">
      <c r="A413" s="25" t="s">
        <v>3079</v>
      </c>
      <c r="B413" s="25" t="s">
        <v>1020</v>
      </c>
      <c r="C413" s="26">
        <v>46128.0</v>
      </c>
      <c r="D413" s="25" t="s">
        <v>2254</v>
      </c>
      <c r="E413" s="25" t="s">
        <v>2255</v>
      </c>
      <c r="F413" s="25" t="s">
        <v>3080</v>
      </c>
      <c r="G413" s="29">
        <v>24.0</v>
      </c>
      <c r="H413" s="29">
        <v>24.0</v>
      </c>
      <c r="I413" s="29">
        <v>0.0</v>
      </c>
      <c r="J413" s="25" t="s">
        <v>2247</v>
      </c>
      <c r="K413" s="25" t="s">
        <v>2247</v>
      </c>
      <c r="L413" s="25" t="s">
        <v>2247</v>
      </c>
      <c r="M413" s="25" t="s">
        <v>2248</v>
      </c>
      <c r="N413" s="29">
        <f>IFERROR((C413-VLOOKUP(B413,crm_orders!$A:$S,2,FALSE))*24,0)</f>
        <v>216</v>
      </c>
      <c r="O413" s="27" t="str">
        <f>IFERROR(VLOOKUP(B413,crm_orders!$A:$S,3,FALSE),"")</f>
        <v>DSP0086</v>
      </c>
      <c r="P413" s="27" t="str">
        <f>IFERROR(VLOOKUP(B413,crm_orders!$A:$S,5,FALSE),"")</f>
        <v>WA</v>
      </c>
      <c r="Q413" s="27" t="str">
        <f>IFERROR(VLOOKUP(B413,crm_orders!$A:$S,7,FALSE),"")</f>
        <v>Distributor</v>
      </c>
      <c r="R413" s="27" t="str">
        <f>IFERROR(VLOOKUP(B413,crm_orders!$A:$S,8,FALSE),"")</f>
        <v>SKU0007</v>
      </c>
    </row>
    <row r="414" ht="15.75" customHeight="1">
      <c r="A414" s="17" t="s">
        <v>3081</v>
      </c>
      <c r="B414" s="17" t="s">
        <v>374</v>
      </c>
      <c r="C414" s="18">
        <v>46093.0</v>
      </c>
      <c r="D414" s="17" t="s">
        <v>2254</v>
      </c>
      <c r="E414" s="17" t="s">
        <v>2286</v>
      </c>
      <c r="F414" s="17" t="s">
        <v>3082</v>
      </c>
      <c r="G414" s="21">
        <v>72.0</v>
      </c>
      <c r="H414" s="21">
        <v>72.0</v>
      </c>
      <c r="I414" s="21">
        <v>0.0</v>
      </c>
      <c r="J414" s="17" t="s">
        <v>2247</v>
      </c>
      <c r="K414" s="17" t="s">
        <v>2247</v>
      </c>
      <c r="L414" s="17" t="s">
        <v>2247</v>
      </c>
      <c r="M414" s="17" t="s">
        <v>2248</v>
      </c>
      <c r="N414" s="21">
        <f>IFERROR((C414-VLOOKUP(B414,crm_orders!$A:$S,2,FALSE))*24,0)</f>
        <v>48</v>
      </c>
      <c r="O414" s="19" t="str">
        <f>IFERROR(VLOOKUP(B414,crm_orders!$A:$S,3,FALSE),"")</f>
        <v>DSP0074</v>
      </c>
      <c r="P414" s="19" t="str">
        <f>IFERROR(VLOOKUP(B414,crm_orders!$A:$S,5,FALSE),"")</f>
        <v>WA</v>
      </c>
      <c r="Q414" s="19" t="str">
        <f>IFERROR(VLOOKUP(B414,crm_orders!$A:$S,7,FALSE),"")</f>
        <v>Wholesale</v>
      </c>
      <c r="R414" s="19" t="str">
        <f>IFERROR(VLOOKUP(B414,crm_orders!$A:$S,8,FALSE),"")</f>
        <v>SKU0020</v>
      </c>
    </row>
    <row r="415" ht="15.75" customHeight="1">
      <c r="A415" s="25" t="s">
        <v>3083</v>
      </c>
      <c r="B415" s="25" t="s">
        <v>506</v>
      </c>
      <c r="C415" s="26">
        <v>46100.0</v>
      </c>
      <c r="D415" s="25" t="s">
        <v>2243</v>
      </c>
      <c r="E415" s="25" t="s">
        <v>2244</v>
      </c>
      <c r="F415" s="25" t="s">
        <v>3084</v>
      </c>
      <c r="G415" s="29">
        <v>72.0</v>
      </c>
      <c r="H415" s="29">
        <v>54.0</v>
      </c>
      <c r="I415" s="29">
        <v>18.0</v>
      </c>
      <c r="J415" s="25" t="s">
        <v>2246</v>
      </c>
      <c r="K415" s="25" t="s">
        <v>2246</v>
      </c>
      <c r="L415" s="25" t="s">
        <v>2246</v>
      </c>
      <c r="M415" s="25" t="s">
        <v>2267</v>
      </c>
      <c r="N415" s="29">
        <f>IFERROR((C415-VLOOKUP(B415,crm_orders!$A:$S,2,FALSE))*24,0)</f>
        <v>264</v>
      </c>
      <c r="O415" s="27" t="str">
        <f>IFERROR(VLOOKUP(B415,crm_orders!$A:$S,3,FALSE),"")</f>
        <v>DSP0006</v>
      </c>
      <c r="P415" s="27" t="str">
        <f>IFERROR(VLOOKUP(B415,crm_orders!$A:$S,5,FALSE),"")</f>
        <v>NV</v>
      </c>
      <c r="Q415" s="27" t="str">
        <f>IFERROR(VLOOKUP(B415,crm_orders!$A:$S,7,FALSE),"")</f>
        <v>Wholesale</v>
      </c>
      <c r="R415" s="27" t="str">
        <f>IFERROR(VLOOKUP(B415,crm_orders!$A:$S,8,FALSE),"")</f>
        <v>SKU0008</v>
      </c>
    </row>
    <row r="416" ht="15.75" customHeight="1">
      <c r="A416" s="17" t="s">
        <v>3085</v>
      </c>
      <c r="B416" s="17" t="s">
        <v>1160</v>
      </c>
      <c r="C416" s="18">
        <v>46148.0</v>
      </c>
      <c r="D416" s="17" t="s">
        <v>2243</v>
      </c>
      <c r="E416" s="17" t="s">
        <v>2244</v>
      </c>
      <c r="F416" s="17" t="s">
        <v>3086</v>
      </c>
      <c r="G416" s="21">
        <v>18.0</v>
      </c>
      <c r="H416" s="21">
        <v>18.0</v>
      </c>
      <c r="I416" s="21">
        <v>0.0</v>
      </c>
      <c r="J416" s="17" t="s">
        <v>2246</v>
      </c>
      <c r="K416" s="17" t="s">
        <v>2247</v>
      </c>
      <c r="L416" s="17" t="s">
        <v>2246</v>
      </c>
      <c r="M416" s="17" t="s">
        <v>2248</v>
      </c>
      <c r="N416" s="21">
        <f>IFERROR((C416-VLOOKUP(B416,crm_orders!$A:$S,2,FALSE))*24,0)</f>
        <v>240</v>
      </c>
      <c r="O416" s="19" t="str">
        <f>IFERROR(VLOOKUP(B416,crm_orders!$A:$S,3,FALSE),"")</f>
        <v>DSP0007</v>
      </c>
      <c r="P416" s="19" t="str">
        <f>IFERROR(VLOOKUP(B416,crm_orders!$A:$S,5,FALSE),"")</f>
        <v>IL</v>
      </c>
      <c r="Q416" s="19" t="str">
        <f>IFERROR(VLOOKUP(B416,crm_orders!$A:$S,7,FALSE),"")</f>
        <v>Wholesale</v>
      </c>
      <c r="R416" s="19" t="str">
        <f>IFERROR(VLOOKUP(B416,crm_orders!$A:$S,8,FALSE),"")</f>
        <v>SKU0017</v>
      </c>
    </row>
    <row r="417" ht="15.75" customHeight="1">
      <c r="A417" s="25" t="s">
        <v>3087</v>
      </c>
      <c r="B417" s="25" t="s">
        <v>1022</v>
      </c>
      <c r="C417" s="26">
        <v>46042.0</v>
      </c>
      <c r="D417" s="25" t="s">
        <v>2269</v>
      </c>
      <c r="E417" s="25" t="s">
        <v>2261</v>
      </c>
      <c r="F417" s="25" t="s">
        <v>3088</v>
      </c>
      <c r="G417" s="29">
        <v>30.0</v>
      </c>
      <c r="H417" s="29">
        <v>30.0</v>
      </c>
      <c r="I417" s="29">
        <v>0.0</v>
      </c>
      <c r="J417" s="25" t="s">
        <v>2246</v>
      </c>
      <c r="K417" s="25" t="s">
        <v>2247</v>
      </c>
      <c r="L417" s="25" t="s">
        <v>2246</v>
      </c>
      <c r="M417" s="25" t="s">
        <v>2248</v>
      </c>
      <c r="N417" s="29">
        <f>IFERROR((C417-VLOOKUP(B417,crm_orders!$A:$S,2,FALSE))*24,0)</f>
        <v>192</v>
      </c>
      <c r="O417" s="27" t="str">
        <f>IFERROR(VLOOKUP(B417,crm_orders!$A:$S,3,FALSE),"")</f>
        <v>DSP0113</v>
      </c>
      <c r="P417" s="27" t="str">
        <f>IFERROR(VLOOKUP(B417,crm_orders!$A:$S,5,FALSE),"")</f>
        <v>AZ</v>
      </c>
      <c r="Q417" s="27" t="str">
        <f>IFERROR(VLOOKUP(B417,crm_orders!$A:$S,7,FALSE),"")</f>
        <v>Retail</v>
      </c>
      <c r="R417" s="27" t="str">
        <f>IFERROR(VLOOKUP(B417,crm_orders!$A:$S,8,FALSE),"")</f>
        <v>SKU0015</v>
      </c>
    </row>
    <row r="418" ht="15.75" customHeight="1">
      <c r="A418" s="17" t="s">
        <v>3089</v>
      </c>
      <c r="B418" s="17" t="s">
        <v>1161</v>
      </c>
      <c r="C418" s="18">
        <v>46113.0</v>
      </c>
      <c r="D418" s="17" t="s">
        <v>2250</v>
      </c>
      <c r="E418" s="17" t="s">
        <v>2251</v>
      </c>
      <c r="F418" s="17" t="s">
        <v>3090</v>
      </c>
      <c r="G418" s="21">
        <v>36.0</v>
      </c>
      <c r="H418" s="21">
        <v>24.0</v>
      </c>
      <c r="I418" s="21">
        <v>12.0</v>
      </c>
      <c r="J418" s="17" t="s">
        <v>2247</v>
      </c>
      <c r="K418" s="17" t="s">
        <v>2246</v>
      </c>
      <c r="L418" s="17" t="s">
        <v>2246</v>
      </c>
      <c r="M418" s="17" t="s">
        <v>2267</v>
      </c>
      <c r="N418" s="21">
        <f>IFERROR((C418-VLOOKUP(B418,crm_orders!$A:$S,2,FALSE))*24,0)</f>
        <v>216</v>
      </c>
      <c r="O418" s="19" t="str">
        <f>IFERROR(VLOOKUP(B418,crm_orders!$A:$S,3,FALSE),"")</f>
        <v>DSP0015</v>
      </c>
      <c r="P418" s="19" t="str">
        <f>IFERROR(VLOOKUP(B418,crm_orders!$A:$S,5,FALSE),"")</f>
        <v>CA</v>
      </c>
      <c r="Q418" s="19" t="str">
        <f>IFERROR(VLOOKUP(B418,crm_orders!$A:$S,7,FALSE),"")</f>
        <v>Retail</v>
      </c>
      <c r="R418" s="19" t="str">
        <f>IFERROR(VLOOKUP(B418,crm_orders!$A:$S,8,FALSE),"")</f>
        <v>SKU0015</v>
      </c>
    </row>
    <row r="419" ht="15.75" customHeight="1">
      <c r="A419" s="25" t="s">
        <v>3091</v>
      </c>
      <c r="B419" s="25" t="s">
        <v>624</v>
      </c>
      <c r="C419" s="26">
        <v>46032.0</v>
      </c>
      <c r="D419" s="25" t="s">
        <v>2260</v>
      </c>
      <c r="E419" s="25" t="s">
        <v>2244</v>
      </c>
      <c r="F419" s="25" t="s">
        <v>3092</v>
      </c>
      <c r="G419" s="29">
        <v>18.0</v>
      </c>
      <c r="H419" s="29">
        <v>0.0</v>
      </c>
      <c r="I419" s="29">
        <v>18.0</v>
      </c>
      <c r="J419" s="25" t="s">
        <v>2246</v>
      </c>
      <c r="K419" s="25" t="s">
        <v>2246</v>
      </c>
      <c r="L419" s="25" t="s">
        <v>2246</v>
      </c>
      <c r="M419" s="25" t="s">
        <v>2267</v>
      </c>
      <c r="N419" s="29">
        <f>IFERROR((C419-VLOOKUP(B419,crm_orders!$A:$S,2,FALSE))*24,0)</f>
        <v>96</v>
      </c>
      <c r="O419" s="27" t="str">
        <f>IFERROR(VLOOKUP(B419,crm_orders!$A:$S,3,FALSE),"")</f>
        <v>DSP0071</v>
      </c>
      <c r="P419" s="27" t="str">
        <f>IFERROR(VLOOKUP(B419,crm_orders!$A:$S,5,FALSE),"")</f>
        <v>NY</v>
      </c>
      <c r="Q419" s="27" t="str">
        <f>IFERROR(VLOOKUP(B419,crm_orders!$A:$S,7,FALSE),"")</f>
        <v>Retail</v>
      </c>
      <c r="R419" s="27" t="str">
        <f>IFERROR(VLOOKUP(B419,crm_orders!$A:$S,8,FALSE),"")</f>
        <v>SKU0013</v>
      </c>
    </row>
    <row r="420" ht="15.75" customHeight="1">
      <c r="A420" s="17" t="s">
        <v>3093</v>
      </c>
      <c r="B420" s="17" t="s">
        <v>237</v>
      </c>
      <c r="C420" s="18">
        <v>46080.0</v>
      </c>
      <c r="D420" s="17" t="s">
        <v>2243</v>
      </c>
      <c r="E420" s="17" t="s">
        <v>2261</v>
      </c>
      <c r="F420" s="17" t="s">
        <v>3094</v>
      </c>
      <c r="G420" s="21">
        <v>30.0</v>
      </c>
      <c r="H420" s="21">
        <v>30.0</v>
      </c>
      <c r="I420" s="21">
        <v>0.0</v>
      </c>
      <c r="J420" s="17" t="s">
        <v>2246</v>
      </c>
      <c r="K420" s="17" t="s">
        <v>2247</v>
      </c>
      <c r="L420" s="17" t="s">
        <v>2246</v>
      </c>
      <c r="M420" s="17" t="s">
        <v>2248</v>
      </c>
      <c r="N420" s="21">
        <f>IFERROR((C420-VLOOKUP(B420,crm_orders!$A:$S,2,FALSE))*24,0)</f>
        <v>96</v>
      </c>
      <c r="O420" s="19" t="str">
        <f>IFERROR(VLOOKUP(B420,crm_orders!$A:$S,3,FALSE),"")</f>
        <v>DSP0099</v>
      </c>
      <c r="P420" s="19" t="str">
        <f>IFERROR(VLOOKUP(B420,crm_orders!$A:$S,5,FALSE),"")</f>
        <v>CA</v>
      </c>
      <c r="Q420" s="19" t="str">
        <f>IFERROR(VLOOKUP(B420,crm_orders!$A:$S,7,FALSE),"")</f>
        <v>Wholesale</v>
      </c>
      <c r="R420" s="19" t="str">
        <f>IFERROR(VLOOKUP(B420,crm_orders!$A:$S,8,FALSE),"")</f>
        <v>SKU0002</v>
      </c>
    </row>
    <row r="421" ht="15.75" customHeight="1">
      <c r="A421" s="25" t="s">
        <v>3095</v>
      </c>
      <c r="B421" s="25" t="s">
        <v>625</v>
      </c>
      <c r="C421" s="26">
        <v>46104.0</v>
      </c>
      <c r="D421" s="25" t="s">
        <v>2254</v>
      </c>
      <c r="E421" s="25" t="s">
        <v>2261</v>
      </c>
      <c r="F421" s="25" t="s">
        <v>3096</v>
      </c>
      <c r="G421" s="29">
        <v>30.0</v>
      </c>
      <c r="H421" s="29">
        <v>30.0</v>
      </c>
      <c r="I421" s="29">
        <v>0.0</v>
      </c>
      <c r="J421" s="25" t="s">
        <v>2246</v>
      </c>
      <c r="K421" s="25" t="s">
        <v>2247</v>
      </c>
      <c r="L421" s="25" t="s">
        <v>2246</v>
      </c>
      <c r="M421" s="25" t="s">
        <v>2248</v>
      </c>
      <c r="N421" s="29">
        <f>IFERROR((C421-VLOOKUP(B421,crm_orders!$A:$S,2,FALSE))*24,0)</f>
        <v>48</v>
      </c>
      <c r="O421" s="27" t="str">
        <f>IFERROR(VLOOKUP(B421,crm_orders!$A:$S,3,FALSE),"")</f>
        <v>DSP0026</v>
      </c>
      <c r="P421" s="27" t="str">
        <f>IFERROR(VLOOKUP(B421,crm_orders!$A:$S,5,FALSE),"")</f>
        <v>WA</v>
      </c>
      <c r="Q421" s="27" t="str">
        <f>IFERROR(VLOOKUP(B421,crm_orders!$A:$S,7,FALSE),"")</f>
        <v>Wholesale</v>
      </c>
      <c r="R421" s="27" t="str">
        <f>IFERROR(VLOOKUP(B421,crm_orders!$A:$S,8,FALSE),"")</f>
        <v>SKU0001</v>
      </c>
    </row>
    <row r="422" ht="15.75" customHeight="1">
      <c r="A422" s="17" t="s">
        <v>3097</v>
      </c>
      <c r="B422" s="17" t="s">
        <v>376</v>
      </c>
      <c r="C422" s="18">
        <v>46130.0</v>
      </c>
      <c r="D422" s="17" t="s">
        <v>2254</v>
      </c>
      <c r="E422" s="17" t="s">
        <v>2261</v>
      </c>
      <c r="F422" s="17" t="s">
        <v>3098</v>
      </c>
      <c r="G422" s="21">
        <v>24.0</v>
      </c>
      <c r="H422" s="21">
        <v>24.0</v>
      </c>
      <c r="I422" s="21">
        <v>0.0</v>
      </c>
      <c r="J422" s="17" t="s">
        <v>2246</v>
      </c>
      <c r="K422" s="17" t="s">
        <v>2247</v>
      </c>
      <c r="L422" s="17" t="s">
        <v>2246</v>
      </c>
      <c r="M422" s="17" t="s">
        <v>2248</v>
      </c>
      <c r="N422" s="21">
        <f>IFERROR((C422-VLOOKUP(B422,crm_orders!$A:$S,2,FALSE))*24,0)</f>
        <v>72</v>
      </c>
      <c r="O422" s="19" t="str">
        <f>IFERROR(VLOOKUP(B422,crm_orders!$A:$S,3,FALSE),"")</f>
        <v>DSP0080</v>
      </c>
      <c r="P422" s="19" t="str">
        <f>IFERROR(VLOOKUP(B422,crm_orders!$A:$S,5,FALSE),"")</f>
        <v>MI</v>
      </c>
      <c r="Q422" s="19" t="str">
        <f>IFERROR(VLOOKUP(B422,crm_orders!$A:$S,7,FALSE),"")</f>
        <v>Retail</v>
      </c>
      <c r="R422" s="19" t="str">
        <f>IFERROR(VLOOKUP(B422,crm_orders!$A:$S,8,FALSE),"")</f>
        <v>SKU0018</v>
      </c>
    </row>
    <row r="423" ht="15.75" customHeight="1">
      <c r="A423" s="25" t="s">
        <v>3099</v>
      </c>
      <c r="B423" s="25" t="s">
        <v>377</v>
      </c>
      <c r="C423" s="26">
        <v>46064.0</v>
      </c>
      <c r="D423" s="25" t="s">
        <v>2260</v>
      </c>
      <c r="E423" s="25" t="s">
        <v>2261</v>
      </c>
      <c r="F423" s="25" t="s">
        <v>3100</v>
      </c>
      <c r="G423" s="29">
        <v>36.0</v>
      </c>
      <c r="H423" s="29">
        <v>36.0</v>
      </c>
      <c r="I423" s="29">
        <v>0.0</v>
      </c>
      <c r="J423" s="25" t="s">
        <v>2247</v>
      </c>
      <c r="K423" s="25" t="s">
        <v>2247</v>
      </c>
      <c r="L423" s="25" t="s">
        <v>2247</v>
      </c>
      <c r="M423" s="25" t="s">
        <v>2248</v>
      </c>
      <c r="N423" s="29">
        <f>IFERROR((C423-VLOOKUP(B423,crm_orders!$A:$S,2,FALSE))*24,0)</f>
        <v>72</v>
      </c>
      <c r="O423" s="27" t="str">
        <f>IFERROR(VLOOKUP(B423,crm_orders!$A:$S,3,FALSE),"")</f>
        <v>DSP0074</v>
      </c>
      <c r="P423" s="27" t="str">
        <f>IFERROR(VLOOKUP(B423,crm_orders!$A:$S,5,FALSE),"")</f>
        <v>WA</v>
      </c>
      <c r="Q423" s="27" t="str">
        <f>IFERROR(VLOOKUP(B423,crm_orders!$A:$S,7,FALSE),"")</f>
        <v>Wholesale</v>
      </c>
      <c r="R423" s="27" t="str">
        <f>IFERROR(VLOOKUP(B423,crm_orders!$A:$S,8,FALSE),"")</f>
        <v>SKU0020</v>
      </c>
    </row>
    <row r="424" ht="15.75" customHeight="1">
      <c r="A424" s="17" t="s">
        <v>3101</v>
      </c>
      <c r="B424" s="17" t="s">
        <v>378</v>
      </c>
      <c r="C424" s="18">
        <v>46136.0</v>
      </c>
      <c r="D424" s="17" t="s">
        <v>2260</v>
      </c>
      <c r="E424" s="17" t="s">
        <v>2244</v>
      </c>
      <c r="F424" s="17" t="s">
        <v>3102</v>
      </c>
      <c r="G424" s="21">
        <v>12.0</v>
      </c>
      <c r="H424" s="21">
        <v>0.0</v>
      </c>
      <c r="I424" s="21">
        <v>12.0</v>
      </c>
      <c r="J424" s="17" t="s">
        <v>2246</v>
      </c>
      <c r="K424" s="17" t="s">
        <v>2246</v>
      </c>
      <c r="L424" s="17" t="s">
        <v>2246</v>
      </c>
      <c r="M424" s="17" t="s">
        <v>2267</v>
      </c>
      <c r="N424" s="21">
        <f>IFERROR((C424-VLOOKUP(B424,crm_orders!$A:$S,2,FALSE))*24,0)</f>
        <v>216</v>
      </c>
      <c r="O424" s="19" t="str">
        <f>IFERROR(VLOOKUP(B424,crm_orders!$A:$S,3,FALSE),"")</f>
        <v>DSP0048</v>
      </c>
      <c r="P424" s="19" t="str">
        <f>IFERROR(VLOOKUP(B424,crm_orders!$A:$S,5,FALSE),"")</f>
        <v>OK</v>
      </c>
      <c r="Q424" s="19" t="str">
        <f>IFERROR(VLOOKUP(B424,crm_orders!$A:$S,7,FALSE),"")</f>
        <v>Wholesale</v>
      </c>
      <c r="R424" s="19" t="str">
        <f>IFERROR(VLOOKUP(B424,crm_orders!$A:$S,8,FALSE),"")</f>
        <v>SKU0013</v>
      </c>
    </row>
    <row r="425" ht="15.75" customHeight="1">
      <c r="A425" s="25" t="s">
        <v>3103</v>
      </c>
      <c r="B425" s="25" t="s">
        <v>1023</v>
      </c>
      <c r="C425" s="26">
        <v>46093.0</v>
      </c>
      <c r="D425" s="25" t="s">
        <v>2254</v>
      </c>
      <c r="E425" s="25" t="s">
        <v>2255</v>
      </c>
      <c r="F425" s="25" t="s">
        <v>3104</v>
      </c>
      <c r="G425" s="29">
        <v>48.0</v>
      </c>
      <c r="H425" s="29">
        <v>48.0</v>
      </c>
      <c r="I425" s="29">
        <v>0.0</v>
      </c>
      <c r="J425" s="25" t="s">
        <v>2246</v>
      </c>
      <c r="K425" s="25" t="s">
        <v>2247</v>
      </c>
      <c r="L425" s="25" t="s">
        <v>2246</v>
      </c>
      <c r="M425" s="25" t="s">
        <v>2248</v>
      </c>
      <c r="N425" s="29">
        <f>IFERROR((C425-VLOOKUP(B425,crm_orders!$A:$S,2,FALSE))*24,0)</f>
        <v>72</v>
      </c>
      <c r="O425" s="27" t="str">
        <f>IFERROR(VLOOKUP(B425,crm_orders!$A:$S,3,FALSE),"")</f>
        <v>DSP0036</v>
      </c>
      <c r="P425" s="27" t="str">
        <f>IFERROR(VLOOKUP(B425,crm_orders!$A:$S,5,FALSE),"")</f>
        <v>OK</v>
      </c>
      <c r="Q425" s="27" t="str">
        <f>IFERROR(VLOOKUP(B425,crm_orders!$A:$S,7,FALSE),"")</f>
        <v>Wholesale</v>
      </c>
      <c r="R425" s="27" t="str">
        <f>IFERROR(VLOOKUP(B425,crm_orders!$A:$S,8,FALSE),"")</f>
        <v>SKU0011</v>
      </c>
    </row>
    <row r="426" ht="15.75" customHeight="1">
      <c r="A426" s="17" t="s">
        <v>3105</v>
      </c>
      <c r="B426" s="17" t="s">
        <v>909</v>
      </c>
      <c r="C426" s="18">
        <v>46094.0</v>
      </c>
      <c r="D426" s="17" t="s">
        <v>2260</v>
      </c>
      <c r="E426" s="17" t="s">
        <v>2286</v>
      </c>
      <c r="F426" s="17" t="s">
        <v>3106</v>
      </c>
      <c r="G426" s="21">
        <v>96.0</v>
      </c>
      <c r="H426" s="21">
        <v>96.0</v>
      </c>
      <c r="I426" s="21">
        <v>0.0</v>
      </c>
      <c r="J426" s="17" t="s">
        <v>2247</v>
      </c>
      <c r="K426" s="17" t="s">
        <v>2247</v>
      </c>
      <c r="L426" s="17" t="s">
        <v>2247</v>
      </c>
      <c r="M426" s="17" t="s">
        <v>2248</v>
      </c>
      <c r="N426" s="21">
        <f>IFERROR((C426-VLOOKUP(B426,crm_orders!$A:$S,2,FALSE))*24,0)</f>
        <v>240</v>
      </c>
      <c r="O426" s="19" t="str">
        <f>IFERROR(VLOOKUP(B426,crm_orders!$A:$S,3,FALSE),"")</f>
        <v>DSP0068</v>
      </c>
      <c r="P426" s="19" t="str">
        <f>IFERROR(VLOOKUP(B426,crm_orders!$A:$S,5,FALSE),"")</f>
        <v>MI</v>
      </c>
      <c r="Q426" s="19" t="str">
        <f>IFERROR(VLOOKUP(B426,crm_orders!$A:$S,7,FALSE),"")</f>
        <v>Wholesale</v>
      </c>
      <c r="R426" s="19" t="str">
        <f>IFERROR(VLOOKUP(B426,crm_orders!$A:$S,8,FALSE),"")</f>
        <v>SKU0003</v>
      </c>
    </row>
    <row r="427" ht="15.75" customHeight="1">
      <c r="A427" s="25" t="s">
        <v>3107</v>
      </c>
      <c r="B427" s="25" t="s">
        <v>379</v>
      </c>
      <c r="C427" s="26">
        <v>46077.0</v>
      </c>
      <c r="D427" s="25" t="s">
        <v>2250</v>
      </c>
      <c r="E427" s="25" t="s">
        <v>2286</v>
      </c>
      <c r="F427" s="25" t="s">
        <v>3108</v>
      </c>
      <c r="G427" s="29">
        <v>18.0</v>
      </c>
      <c r="H427" s="29">
        <v>18.0</v>
      </c>
      <c r="I427" s="29">
        <v>0.0</v>
      </c>
      <c r="J427" s="25" t="s">
        <v>2246</v>
      </c>
      <c r="K427" s="25" t="s">
        <v>2247</v>
      </c>
      <c r="L427" s="25" t="s">
        <v>2246</v>
      </c>
      <c r="M427" s="25" t="s">
        <v>2248</v>
      </c>
      <c r="N427" s="29">
        <f>IFERROR((C427-VLOOKUP(B427,crm_orders!$A:$S,2,FALSE))*24,0)</f>
        <v>216</v>
      </c>
      <c r="O427" s="27" t="str">
        <f>IFERROR(VLOOKUP(B427,crm_orders!$A:$S,3,FALSE),"")</f>
        <v>DSP0074</v>
      </c>
      <c r="P427" s="27" t="str">
        <f>IFERROR(VLOOKUP(B427,crm_orders!$A:$S,5,FALSE),"")</f>
        <v>WA</v>
      </c>
      <c r="Q427" s="27" t="str">
        <f>IFERROR(VLOOKUP(B427,crm_orders!$A:$S,7,FALSE),"")</f>
        <v>Retail</v>
      </c>
      <c r="R427" s="27" t="str">
        <f>IFERROR(VLOOKUP(B427,crm_orders!$A:$S,8,FALSE),"")</f>
        <v>SKU0020</v>
      </c>
    </row>
    <row r="428" ht="15.75" customHeight="1">
      <c r="A428" s="17" t="s">
        <v>3109</v>
      </c>
      <c r="B428" s="17" t="s">
        <v>626</v>
      </c>
      <c r="C428" s="18">
        <v>46118.0</v>
      </c>
      <c r="D428" s="17" t="s">
        <v>2269</v>
      </c>
      <c r="E428" s="17" t="s">
        <v>2244</v>
      </c>
      <c r="F428" s="17" t="s">
        <v>3110</v>
      </c>
      <c r="G428" s="21">
        <v>30.0</v>
      </c>
      <c r="H428" s="21">
        <v>30.0</v>
      </c>
      <c r="I428" s="21">
        <v>0.0</v>
      </c>
      <c r="J428" s="17" t="s">
        <v>2246</v>
      </c>
      <c r="K428" s="17" t="s">
        <v>2247</v>
      </c>
      <c r="L428" s="17" t="s">
        <v>2246</v>
      </c>
      <c r="M428" s="17" t="s">
        <v>2248</v>
      </c>
      <c r="N428" s="21">
        <f>IFERROR((C428-VLOOKUP(B428,crm_orders!$A:$S,2,FALSE))*24,0)</f>
        <v>120</v>
      </c>
      <c r="O428" s="19" t="str">
        <f>IFERROR(VLOOKUP(B428,crm_orders!$A:$S,3,FALSE),"")</f>
        <v>DSP0079</v>
      </c>
      <c r="P428" s="19" t="str">
        <f>IFERROR(VLOOKUP(B428,crm_orders!$A:$S,5,FALSE),"")</f>
        <v>IL</v>
      </c>
      <c r="Q428" s="19" t="str">
        <f>IFERROR(VLOOKUP(B428,crm_orders!$A:$S,7,FALSE),"")</f>
        <v>Wholesale</v>
      </c>
      <c r="R428" s="19" t="str">
        <f>IFERROR(VLOOKUP(B428,crm_orders!$A:$S,8,FALSE),"")</f>
        <v>SKU0008</v>
      </c>
    </row>
    <row r="429" ht="15.75" customHeight="1">
      <c r="A429" s="25" t="s">
        <v>3111</v>
      </c>
      <c r="B429" s="25" t="s">
        <v>627</v>
      </c>
      <c r="C429" s="26">
        <v>46078.0</v>
      </c>
      <c r="D429" s="25" t="s">
        <v>2260</v>
      </c>
      <c r="E429" s="25" t="s">
        <v>2255</v>
      </c>
      <c r="F429" s="25" t="s">
        <v>3112</v>
      </c>
      <c r="G429" s="29">
        <v>6.0</v>
      </c>
      <c r="H429" s="29">
        <v>6.0</v>
      </c>
      <c r="I429" s="29">
        <v>0.0</v>
      </c>
      <c r="J429" s="25" t="s">
        <v>2246</v>
      </c>
      <c r="K429" s="25" t="s">
        <v>2247</v>
      </c>
      <c r="L429" s="25" t="s">
        <v>2246</v>
      </c>
      <c r="M429" s="25" t="s">
        <v>2248</v>
      </c>
      <c r="N429" s="29">
        <f>IFERROR((C429-VLOOKUP(B429,crm_orders!$A:$S,2,FALSE))*24,0)</f>
        <v>72</v>
      </c>
      <c r="O429" s="27" t="str">
        <f>IFERROR(VLOOKUP(B429,crm_orders!$A:$S,3,FALSE),"")</f>
        <v>DSP0079</v>
      </c>
      <c r="P429" s="27" t="str">
        <f>IFERROR(VLOOKUP(B429,crm_orders!$A:$S,5,FALSE),"")</f>
        <v>IL</v>
      </c>
      <c r="Q429" s="27" t="str">
        <f>IFERROR(VLOOKUP(B429,crm_orders!$A:$S,7,FALSE),"")</f>
        <v>Wholesale</v>
      </c>
      <c r="R429" s="27" t="str">
        <f>IFERROR(VLOOKUP(B429,crm_orders!$A:$S,8,FALSE),"")</f>
        <v>SKU0014</v>
      </c>
    </row>
    <row r="430" ht="15.75" customHeight="1">
      <c r="A430" s="17" t="s">
        <v>3113</v>
      </c>
      <c r="B430" s="17" t="s">
        <v>628</v>
      </c>
      <c r="C430" s="18">
        <v>46069.0</v>
      </c>
      <c r="D430" s="17" t="s">
        <v>2243</v>
      </c>
      <c r="E430" s="17" t="s">
        <v>2251</v>
      </c>
      <c r="F430" s="17" t="s">
        <v>3114</v>
      </c>
      <c r="G430" s="21">
        <v>30.0</v>
      </c>
      <c r="H430" s="21">
        <v>0.0</v>
      </c>
      <c r="I430" s="21">
        <v>30.0</v>
      </c>
      <c r="J430" s="17" t="s">
        <v>2246</v>
      </c>
      <c r="K430" s="17" t="s">
        <v>2246</v>
      </c>
      <c r="L430" s="17" t="s">
        <v>2246</v>
      </c>
      <c r="M430" s="17" t="s">
        <v>2312</v>
      </c>
      <c r="N430" s="21">
        <f>IFERROR((C430-VLOOKUP(B430,crm_orders!$A:$S,2,FALSE))*24,0)</f>
        <v>168</v>
      </c>
      <c r="O430" s="19" t="str">
        <f>IFERROR(VLOOKUP(B430,crm_orders!$A:$S,3,FALSE),"")</f>
        <v>DSP0033</v>
      </c>
      <c r="P430" s="19" t="str">
        <f>IFERROR(VLOOKUP(B430,crm_orders!$A:$S,5,FALSE),"")</f>
        <v>MO</v>
      </c>
      <c r="Q430" s="19" t="str">
        <f>IFERROR(VLOOKUP(B430,crm_orders!$A:$S,7,FALSE),"")</f>
        <v>Wholesale</v>
      </c>
      <c r="R430" s="19" t="str">
        <f>IFERROR(VLOOKUP(B430,crm_orders!$A:$S,8,FALSE),"")</f>
        <v>SKU0003</v>
      </c>
    </row>
    <row r="431" ht="15.75" customHeight="1">
      <c r="A431" s="25" t="s">
        <v>3115</v>
      </c>
      <c r="B431" s="25" t="s">
        <v>629</v>
      </c>
      <c r="C431" s="26">
        <v>46136.0</v>
      </c>
      <c r="D431" s="25" t="s">
        <v>2260</v>
      </c>
      <c r="E431" s="25" t="s">
        <v>2244</v>
      </c>
      <c r="F431" s="25" t="s">
        <v>3116</v>
      </c>
      <c r="G431" s="29">
        <v>18.0</v>
      </c>
      <c r="H431" s="29">
        <v>12.0</v>
      </c>
      <c r="I431" s="29">
        <v>6.0</v>
      </c>
      <c r="J431" s="25" t="s">
        <v>2247</v>
      </c>
      <c r="K431" s="25" t="s">
        <v>2246</v>
      </c>
      <c r="L431" s="25" t="s">
        <v>2246</v>
      </c>
      <c r="M431" s="25" t="s">
        <v>2267</v>
      </c>
      <c r="N431" s="29">
        <f>IFERROR((C431-VLOOKUP(B431,crm_orders!$A:$S,2,FALSE))*24,0)</f>
        <v>168</v>
      </c>
      <c r="O431" s="27" t="str">
        <f>IFERROR(VLOOKUP(B431,crm_orders!$A:$S,3,FALSE),"")</f>
        <v>DSP0079</v>
      </c>
      <c r="P431" s="27" t="str">
        <f>IFERROR(VLOOKUP(B431,crm_orders!$A:$S,5,FALSE),"")</f>
        <v>IL</v>
      </c>
      <c r="Q431" s="27" t="str">
        <f>IFERROR(VLOOKUP(B431,crm_orders!$A:$S,7,FALSE),"")</f>
        <v>Distributor</v>
      </c>
      <c r="R431" s="27" t="str">
        <f>IFERROR(VLOOKUP(B431,crm_orders!$A:$S,8,FALSE),"")</f>
        <v>SKU0001</v>
      </c>
    </row>
    <row r="432" ht="15.75" customHeight="1">
      <c r="A432" s="17" t="s">
        <v>3117</v>
      </c>
      <c r="B432" s="17" t="s">
        <v>1024</v>
      </c>
      <c r="C432" s="18">
        <v>46099.0</v>
      </c>
      <c r="D432" s="17" t="s">
        <v>2260</v>
      </c>
      <c r="E432" s="17" t="s">
        <v>2251</v>
      </c>
      <c r="F432" s="17" t="s">
        <v>3118</v>
      </c>
      <c r="G432" s="21">
        <v>18.0</v>
      </c>
      <c r="H432" s="21">
        <v>18.0</v>
      </c>
      <c r="I432" s="21">
        <v>0.0</v>
      </c>
      <c r="J432" s="17" t="s">
        <v>2246</v>
      </c>
      <c r="K432" s="17" t="s">
        <v>2247</v>
      </c>
      <c r="L432" s="17" t="s">
        <v>2246</v>
      </c>
      <c r="M432" s="17" t="s">
        <v>2248</v>
      </c>
      <c r="N432" s="21">
        <f>IFERROR((C432-VLOOKUP(B432,crm_orders!$A:$S,2,FALSE))*24,0)</f>
        <v>360</v>
      </c>
      <c r="O432" s="19" t="str">
        <f>IFERROR(VLOOKUP(B432,crm_orders!$A:$S,3,FALSE),"")</f>
        <v>DSP0083</v>
      </c>
      <c r="P432" s="19" t="str">
        <f>IFERROR(VLOOKUP(B432,crm_orders!$A:$S,5,FALSE),"")</f>
        <v>NY</v>
      </c>
      <c r="Q432" s="19" t="str">
        <f>IFERROR(VLOOKUP(B432,crm_orders!$A:$S,7,FALSE),"")</f>
        <v>Wholesale</v>
      </c>
      <c r="R432" s="19" t="str">
        <f>IFERROR(VLOOKUP(B432,crm_orders!$A:$S,8,FALSE),"")</f>
        <v>SKU0005</v>
      </c>
    </row>
    <row r="433" ht="15.75" customHeight="1">
      <c r="A433" s="25" t="s">
        <v>3119</v>
      </c>
      <c r="B433" s="25" t="s">
        <v>380</v>
      </c>
      <c r="C433" s="26">
        <v>46045.0</v>
      </c>
      <c r="D433" s="25" t="s">
        <v>2269</v>
      </c>
      <c r="E433" s="25" t="s">
        <v>2251</v>
      </c>
      <c r="F433" s="25" t="s">
        <v>3120</v>
      </c>
      <c r="G433" s="29">
        <v>18.0</v>
      </c>
      <c r="H433" s="29">
        <v>0.0</v>
      </c>
      <c r="I433" s="29">
        <v>18.0</v>
      </c>
      <c r="J433" s="25" t="s">
        <v>2246</v>
      </c>
      <c r="K433" s="25" t="s">
        <v>2246</v>
      </c>
      <c r="L433" s="25" t="s">
        <v>2246</v>
      </c>
      <c r="M433" s="25" t="s">
        <v>2312</v>
      </c>
      <c r="N433" s="29">
        <f>IFERROR((C433-VLOOKUP(B433,crm_orders!$A:$S,2,FALSE))*24,0)</f>
        <v>336</v>
      </c>
      <c r="O433" s="27" t="str">
        <f>IFERROR(VLOOKUP(B433,crm_orders!$A:$S,3,FALSE),"")</f>
        <v>DSP0043</v>
      </c>
      <c r="P433" s="27" t="str">
        <f>IFERROR(VLOOKUP(B433,crm_orders!$A:$S,5,FALSE),"")</f>
        <v>IL</v>
      </c>
      <c r="Q433" s="27" t="str">
        <f>IFERROR(VLOOKUP(B433,crm_orders!$A:$S,7,FALSE),"")</f>
        <v>Distributor</v>
      </c>
      <c r="R433" s="27" t="str">
        <f>IFERROR(VLOOKUP(B433,crm_orders!$A:$S,8,FALSE),"")</f>
        <v>SKU0012</v>
      </c>
    </row>
    <row r="434" ht="15.75" customHeight="1">
      <c r="A434" s="17" t="s">
        <v>3121</v>
      </c>
      <c r="B434" s="17" t="s">
        <v>1025</v>
      </c>
      <c r="C434" s="18">
        <v>46105.0</v>
      </c>
      <c r="D434" s="17" t="s">
        <v>2269</v>
      </c>
      <c r="E434" s="17" t="s">
        <v>2244</v>
      </c>
      <c r="F434" s="17" t="s">
        <v>3122</v>
      </c>
      <c r="G434" s="21">
        <v>12.0</v>
      </c>
      <c r="H434" s="21">
        <v>12.0</v>
      </c>
      <c r="I434" s="21">
        <v>0.0</v>
      </c>
      <c r="J434" s="17" t="s">
        <v>2247</v>
      </c>
      <c r="K434" s="17" t="s">
        <v>2247</v>
      </c>
      <c r="L434" s="17" t="s">
        <v>2247</v>
      </c>
      <c r="M434" s="17" t="s">
        <v>2248</v>
      </c>
      <c r="N434" s="21">
        <f>IFERROR((C434-VLOOKUP(B434,crm_orders!$A:$S,2,FALSE))*24,0)</f>
        <v>144</v>
      </c>
      <c r="O434" s="19" t="str">
        <f>IFERROR(VLOOKUP(B434,crm_orders!$A:$S,3,FALSE),"")</f>
        <v>DSP0050</v>
      </c>
      <c r="P434" s="19" t="str">
        <f>IFERROR(VLOOKUP(B434,crm_orders!$A:$S,5,FALSE),"")</f>
        <v>WA</v>
      </c>
      <c r="Q434" s="19" t="str">
        <f>IFERROR(VLOOKUP(B434,crm_orders!$A:$S,7,FALSE),"")</f>
        <v>Retail</v>
      </c>
      <c r="R434" s="19" t="str">
        <f>IFERROR(VLOOKUP(B434,crm_orders!$A:$S,8,FALSE),"")</f>
        <v>SKU0006</v>
      </c>
    </row>
    <row r="435" ht="15.75" customHeight="1">
      <c r="A435" s="25" t="s">
        <v>3123</v>
      </c>
      <c r="B435" s="25" t="s">
        <v>238</v>
      </c>
      <c r="C435" s="26">
        <v>46144.0</v>
      </c>
      <c r="D435" s="25" t="s">
        <v>2260</v>
      </c>
      <c r="E435" s="25" t="s">
        <v>2244</v>
      </c>
      <c r="F435" s="25" t="s">
        <v>3124</v>
      </c>
      <c r="G435" s="29">
        <v>24.0</v>
      </c>
      <c r="H435" s="29">
        <v>24.0</v>
      </c>
      <c r="I435" s="29">
        <v>0.0</v>
      </c>
      <c r="J435" s="25" t="s">
        <v>2247</v>
      </c>
      <c r="K435" s="25" t="s">
        <v>2247</v>
      </c>
      <c r="L435" s="25" t="s">
        <v>2247</v>
      </c>
      <c r="M435" s="25" t="s">
        <v>2248</v>
      </c>
      <c r="N435" s="29">
        <f>IFERROR((C435-VLOOKUP(B435,crm_orders!$A:$S,2,FALSE))*24,0)</f>
        <v>216</v>
      </c>
      <c r="O435" s="27" t="str">
        <f>IFERROR(VLOOKUP(B435,crm_orders!$A:$S,3,FALSE),"")</f>
        <v>DSP0012</v>
      </c>
      <c r="P435" s="27" t="str">
        <f>IFERROR(VLOOKUP(B435,crm_orders!$A:$S,5,FALSE),"")</f>
        <v>OK</v>
      </c>
      <c r="Q435" s="27" t="str">
        <f>IFERROR(VLOOKUP(B435,crm_orders!$A:$S,7,FALSE),"")</f>
        <v>Wholesale</v>
      </c>
      <c r="R435" s="27" t="str">
        <f>IFERROR(VLOOKUP(B435,crm_orders!$A:$S,8,FALSE),"")</f>
        <v>SKU0016</v>
      </c>
    </row>
    <row r="436" ht="15.75" customHeight="1">
      <c r="A436" s="17" t="s">
        <v>3125</v>
      </c>
      <c r="B436" s="17" t="s">
        <v>239</v>
      </c>
      <c r="C436" s="18">
        <v>46123.0</v>
      </c>
      <c r="D436" s="17" t="s">
        <v>2254</v>
      </c>
      <c r="E436" s="17" t="s">
        <v>2286</v>
      </c>
      <c r="F436" s="17" t="s">
        <v>3126</v>
      </c>
      <c r="G436" s="21">
        <v>72.0</v>
      </c>
      <c r="H436" s="21">
        <v>72.0</v>
      </c>
      <c r="I436" s="21">
        <v>0.0</v>
      </c>
      <c r="J436" s="17" t="s">
        <v>2246</v>
      </c>
      <c r="K436" s="17" t="s">
        <v>2247</v>
      </c>
      <c r="L436" s="17" t="s">
        <v>2246</v>
      </c>
      <c r="M436" s="17" t="s">
        <v>2248</v>
      </c>
      <c r="N436" s="21">
        <f>IFERROR((C436-VLOOKUP(B436,crm_orders!$A:$S,2,FALSE))*24,0)</f>
        <v>168</v>
      </c>
      <c r="O436" s="19" t="str">
        <f>IFERROR(VLOOKUP(B436,crm_orders!$A:$S,3,FALSE),"")</f>
        <v>DSP0044</v>
      </c>
      <c r="P436" s="19" t="str">
        <f>IFERROR(VLOOKUP(B436,crm_orders!$A:$S,5,FALSE),"")</f>
        <v>MI</v>
      </c>
      <c r="Q436" s="19" t="str">
        <f>IFERROR(VLOOKUP(B436,crm_orders!$A:$S,7,FALSE),"")</f>
        <v>Retail</v>
      </c>
      <c r="R436" s="19" t="str">
        <f>IFERROR(VLOOKUP(B436,crm_orders!$A:$S,8,FALSE),"")</f>
        <v>SKU0016</v>
      </c>
    </row>
    <row r="437" ht="15.75" customHeight="1">
      <c r="A437" s="25" t="s">
        <v>3127</v>
      </c>
      <c r="B437" s="25" t="s">
        <v>794</v>
      </c>
      <c r="C437" s="26">
        <v>46140.0</v>
      </c>
      <c r="D437" s="25" t="s">
        <v>2250</v>
      </c>
      <c r="E437" s="25" t="s">
        <v>2251</v>
      </c>
      <c r="F437" s="25" t="s">
        <v>3128</v>
      </c>
      <c r="G437" s="29">
        <v>12.0</v>
      </c>
      <c r="H437" s="29">
        <v>12.0</v>
      </c>
      <c r="I437" s="29">
        <v>0.0</v>
      </c>
      <c r="J437" s="25" t="s">
        <v>2246</v>
      </c>
      <c r="K437" s="25" t="s">
        <v>2247</v>
      </c>
      <c r="L437" s="25" t="s">
        <v>2246</v>
      </c>
      <c r="M437" s="25" t="s">
        <v>2248</v>
      </c>
      <c r="N437" s="29">
        <f>IFERROR((C437-VLOOKUP(B437,crm_orders!$A:$S,2,FALSE))*24,0)</f>
        <v>144</v>
      </c>
      <c r="O437" s="27" t="str">
        <f>IFERROR(VLOOKUP(B437,crm_orders!$A:$S,3,FALSE),"")</f>
        <v>DSP0109</v>
      </c>
      <c r="P437" s="27" t="str">
        <f>IFERROR(VLOOKUP(B437,crm_orders!$A:$S,5,FALSE),"")</f>
        <v>OR</v>
      </c>
      <c r="Q437" s="27" t="str">
        <f>IFERROR(VLOOKUP(B437,crm_orders!$A:$S,7,FALSE),"")</f>
        <v>Wholesale</v>
      </c>
      <c r="R437" s="27" t="str">
        <f>IFERROR(VLOOKUP(B437,crm_orders!$A:$S,8,FALSE),"")</f>
        <v>SKU0020</v>
      </c>
    </row>
    <row r="438" ht="15.75" customHeight="1">
      <c r="A438" s="17" t="s">
        <v>3129</v>
      </c>
      <c r="B438" s="17" t="s">
        <v>795</v>
      </c>
      <c r="C438" s="18">
        <v>46081.0</v>
      </c>
      <c r="D438" s="17" t="s">
        <v>2254</v>
      </c>
      <c r="E438" s="17" t="s">
        <v>2244</v>
      </c>
      <c r="F438" s="17" t="s">
        <v>3130</v>
      </c>
      <c r="G438" s="21">
        <v>24.0</v>
      </c>
      <c r="H438" s="21">
        <v>24.0</v>
      </c>
      <c r="I438" s="21">
        <v>0.0</v>
      </c>
      <c r="J438" s="17" t="s">
        <v>2246</v>
      </c>
      <c r="K438" s="17" t="s">
        <v>2247</v>
      </c>
      <c r="L438" s="17" t="s">
        <v>2246</v>
      </c>
      <c r="M438" s="17" t="s">
        <v>2248</v>
      </c>
      <c r="N438" s="21">
        <f>IFERROR((C438-VLOOKUP(B438,crm_orders!$A:$S,2,FALSE))*24,0)</f>
        <v>408</v>
      </c>
      <c r="O438" s="19" t="str">
        <f>IFERROR(VLOOKUP(B438,crm_orders!$A:$S,3,FALSE),"")</f>
        <v>DSP0082</v>
      </c>
      <c r="P438" s="19" t="str">
        <f>IFERROR(VLOOKUP(B438,crm_orders!$A:$S,5,FALSE),"")</f>
        <v>NM</v>
      </c>
      <c r="Q438" s="19" t="str">
        <f>IFERROR(VLOOKUP(B438,crm_orders!$A:$S,7,FALSE),"")</f>
        <v>Wholesale</v>
      </c>
      <c r="R438" s="19" t="str">
        <f>IFERROR(VLOOKUP(B438,crm_orders!$A:$S,8,FALSE),"")</f>
        <v>SKU0007</v>
      </c>
    </row>
    <row r="439" ht="15.75" customHeight="1">
      <c r="A439" s="25" t="s">
        <v>3131</v>
      </c>
      <c r="B439" s="25" t="s">
        <v>1026</v>
      </c>
      <c r="C439" s="26">
        <v>46046.0</v>
      </c>
      <c r="D439" s="25" t="s">
        <v>2250</v>
      </c>
      <c r="E439" s="25" t="s">
        <v>2251</v>
      </c>
      <c r="F439" s="25" t="s">
        <v>3132</v>
      </c>
      <c r="G439" s="29">
        <v>6.0</v>
      </c>
      <c r="H439" s="29">
        <v>6.0</v>
      </c>
      <c r="I439" s="29">
        <v>0.0</v>
      </c>
      <c r="J439" s="25" t="s">
        <v>2247</v>
      </c>
      <c r="K439" s="25" t="s">
        <v>2247</v>
      </c>
      <c r="L439" s="25" t="s">
        <v>2247</v>
      </c>
      <c r="M439" s="25" t="s">
        <v>2248</v>
      </c>
      <c r="N439" s="29">
        <f>IFERROR((C439-VLOOKUP(B439,crm_orders!$A:$S,2,FALSE))*24,0)</f>
        <v>216</v>
      </c>
      <c r="O439" s="27" t="str">
        <f>IFERROR(VLOOKUP(B439,crm_orders!$A:$S,3,FALSE),"")</f>
        <v>DSP0021</v>
      </c>
      <c r="P439" s="27" t="str">
        <f>IFERROR(VLOOKUP(B439,crm_orders!$A:$S,5,FALSE),"")</f>
        <v>MO</v>
      </c>
      <c r="Q439" s="27" t="str">
        <f>IFERROR(VLOOKUP(B439,crm_orders!$A:$S,7,FALSE),"")</f>
        <v>Wholesale</v>
      </c>
      <c r="R439" s="27" t="str">
        <f>IFERROR(VLOOKUP(B439,crm_orders!$A:$S,8,FALSE),"")</f>
        <v>SKU0009</v>
      </c>
    </row>
    <row r="440" ht="15.75" customHeight="1">
      <c r="A440" s="17" t="s">
        <v>3133</v>
      </c>
      <c r="B440" s="17" t="s">
        <v>630</v>
      </c>
      <c r="C440" s="18">
        <v>46106.0</v>
      </c>
      <c r="D440" s="17" t="s">
        <v>2254</v>
      </c>
      <c r="E440" s="17" t="s">
        <v>2251</v>
      </c>
      <c r="F440" s="17" t="s">
        <v>3134</v>
      </c>
      <c r="G440" s="21">
        <v>24.0</v>
      </c>
      <c r="H440" s="21">
        <v>24.0</v>
      </c>
      <c r="I440" s="21">
        <v>0.0</v>
      </c>
      <c r="J440" s="17" t="s">
        <v>2246</v>
      </c>
      <c r="K440" s="17" t="s">
        <v>2247</v>
      </c>
      <c r="L440" s="17" t="s">
        <v>2246</v>
      </c>
      <c r="M440" s="17" t="s">
        <v>2248</v>
      </c>
      <c r="N440" s="21">
        <f>IFERROR((C440-VLOOKUP(B440,crm_orders!$A:$S,2,FALSE))*24,0)</f>
        <v>240</v>
      </c>
      <c r="O440" s="19" t="str">
        <f>IFERROR(VLOOKUP(B440,crm_orders!$A:$S,3,FALSE),"")</f>
        <v>DSP0019</v>
      </c>
      <c r="P440" s="19" t="str">
        <f>IFERROR(VLOOKUP(B440,crm_orders!$A:$S,5,FALSE),"")</f>
        <v>IL</v>
      </c>
      <c r="Q440" s="19" t="str">
        <f>IFERROR(VLOOKUP(B440,crm_orders!$A:$S,7,FALSE),"")</f>
        <v>Distributor</v>
      </c>
      <c r="R440" s="19" t="str">
        <f>IFERROR(VLOOKUP(B440,crm_orders!$A:$S,8,FALSE),"")</f>
        <v>SKU0010</v>
      </c>
    </row>
    <row r="441" ht="15.75" customHeight="1">
      <c r="A441" s="25" t="s">
        <v>3135</v>
      </c>
      <c r="B441" s="25" t="s">
        <v>796</v>
      </c>
      <c r="C441" s="26">
        <v>46113.0</v>
      </c>
      <c r="D441" s="25" t="s">
        <v>2243</v>
      </c>
      <c r="E441" s="25" t="s">
        <v>2244</v>
      </c>
      <c r="F441" s="25" t="s">
        <v>3136</v>
      </c>
      <c r="G441" s="29">
        <v>36.0</v>
      </c>
      <c r="H441" s="29">
        <v>36.0</v>
      </c>
      <c r="I441" s="29">
        <v>0.0</v>
      </c>
      <c r="J441" s="25" t="s">
        <v>2246</v>
      </c>
      <c r="K441" s="25" t="s">
        <v>2247</v>
      </c>
      <c r="L441" s="25" t="s">
        <v>2246</v>
      </c>
      <c r="M441" s="25" t="s">
        <v>2248</v>
      </c>
      <c r="N441" s="29">
        <f>IFERROR((C441-VLOOKUP(B441,crm_orders!$A:$S,2,FALSE))*24,0)</f>
        <v>288</v>
      </c>
      <c r="O441" s="27" t="str">
        <f>IFERROR(VLOOKUP(B441,crm_orders!$A:$S,3,FALSE),"")</f>
        <v>DSP0089</v>
      </c>
      <c r="P441" s="27" t="str">
        <f>IFERROR(VLOOKUP(B441,crm_orders!$A:$S,5,FALSE),"")</f>
        <v>AZ</v>
      </c>
      <c r="Q441" s="27" t="str">
        <f>IFERROR(VLOOKUP(B441,crm_orders!$A:$S,7,FALSE),"")</f>
        <v>Retail</v>
      </c>
      <c r="R441" s="27" t="str">
        <f>IFERROR(VLOOKUP(B441,crm_orders!$A:$S,8,FALSE),"")</f>
        <v>SKU0015</v>
      </c>
    </row>
    <row r="442" ht="15.75" customHeight="1">
      <c r="A442" s="17" t="s">
        <v>3137</v>
      </c>
      <c r="B442" s="17" t="s">
        <v>1107</v>
      </c>
      <c r="C442" s="18">
        <v>46102.0</v>
      </c>
      <c r="D442" s="17" t="s">
        <v>2250</v>
      </c>
      <c r="E442" s="17" t="s">
        <v>2244</v>
      </c>
      <c r="F442" s="17" t="s">
        <v>3138</v>
      </c>
      <c r="G442" s="21">
        <v>18.0</v>
      </c>
      <c r="H442" s="21">
        <v>18.0</v>
      </c>
      <c r="I442" s="21">
        <v>0.0</v>
      </c>
      <c r="J442" s="17" t="s">
        <v>2246</v>
      </c>
      <c r="K442" s="17" t="s">
        <v>2247</v>
      </c>
      <c r="L442" s="17" t="s">
        <v>2246</v>
      </c>
      <c r="M442" s="17" t="s">
        <v>2248</v>
      </c>
      <c r="N442" s="21">
        <f>IFERROR((C442-VLOOKUP(B442,crm_orders!$A:$S,2,FALSE))*24,0)</f>
        <v>168</v>
      </c>
      <c r="O442" s="19" t="str">
        <f>IFERROR(VLOOKUP(B442,crm_orders!$A:$S,3,FALSE),"")</f>
        <v>DSP0098</v>
      </c>
      <c r="P442" s="19" t="str">
        <f>IFERROR(VLOOKUP(B442,crm_orders!$A:$S,5,FALSE),"")</f>
        <v>WA</v>
      </c>
      <c r="Q442" s="19" t="str">
        <f>IFERROR(VLOOKUP(B442,crm_orders!$A:$S,7,FALSE),"")</f>
        <v>Retail</v>
      </c>
      <c r="R442" s="19" t="str">
        <f>IFERROR(VLOOKUP(B442,crm_orders!$A:$S,8,FALSE),"")</f>
        <v>SKU0015</v>
      </c>
    </row>
    <row r="443" ht="15.75" customHeight="1">
      <c r="A443" s="25" t="s">
        <v>3139</v>
      </c>
      <c r="B443" s="25" t="s">
        <v>631</v>
      </c>
      <c r="C443" s="26">
        <v>46089.0</v>
      </c>
      <c r="D443" s="25" t="s">
        <v>2254</v>
      </c>
      <c r="E443" s="25" t="s">
        <v>2244</v>
      </c>
      <c r="F443" s="25" t="s">
        <v>3140</v>
      </c>
      <c r="G443" s="29">
        <v>24.0</v>
      </c>
      <c r="H443" s="29">
        <v>24.0</v>
      </c>
      <c r="I443" s="29">
        <v>0.0</v>
      </c>
      <c r="J443" s="25" t="s">
        <v>2246</v>
      </c>
      <c r="K443" s="25" t="s">
        <v>2247</v>
      </c>
      <c r="L443" s="25" t="s">
        <v>2246</v>
      </c>
      <c r="M443" s="25" t="s">
        <v>2248</v>
      </c>
      <c r="N443" s="29">
        <f>IFERROR((C443-VLOOKUP(B443,crm_orders!$A:$S,2,FALSE))*24,0)</f>
        <v>144</v>
      </c>
      <c r="O443" s="27" t="str">
        <f>IFERROR(VLOOKUP(B443,crm_orders!$A:$S,3,FALSE),"")</f>
        <v>DSP0091</v>
      </c>
      <c r="P443" s="27" t="str">
        <f>IFERROR(VLOOKUP(B443,crm_orders!$A:$S,5,FALSE),"")</f>
        <v>IL</v>
      </c>
      <c r="Q443" s="27" t="str">
        <f>IFERROR(VLOOKUP(B443,crm_orders!$A:$S,7,FALSE),"")</f>
        <v>Distributor</v>
      </c>
      <c r="R443" s="27" t="str">
        <f>IFERROR(VLOOKUP(B443,crm_orders!$A:$S,8,FALSE),"")</f>
        <v>SKU0015</v>
      </c>
    </row>
    <row r="444" ht="15.75" customHeight="1">
      <c r="A444" s="17" t="s">
        <v>3141</v>
      </c>
      <c r="B444" s="17" t="s">
        <v>797</v>
      </c>
      <c r="C444" s="18">
        <v>46130.0</v>
      </c>
      <c r="D444" s="17" t="s">
        <v>2269</v>
      </c>
      <c r="E444" s="17" t="s">
        <v>2261</v>
      </c>
      <c r="F444" s="17" t="s">
        <v>3142</v>
      </c>
      <c r="G444" s="21">
        <v>36.0</v>
      </c>
      <c r="H444" s="21">
        <v>12.0</v>
      </c>
      <c r="I444" s="21">
        <v>24.0</v>
      </c>
      <c r="J444" s="17" t="s">
        <v>2246</v>
      </c>
      <c r="K444" s="17" t="s">
        <v>2246</v>
      </c>
      <c r="L444" s="17" t="s">
        <v>2246</v>
      </c>
      <c r="M444" s="17" t="s">
        <v>2267</v>
      </c>
      <c r="N444" s="21">
        <f>IFERROR((C444-VLOOKUP(B444,crm_orders!$A:$S,2,FALSE))*24,0)</f>
        <v>168</v>
      </c>
      <c r="O444" s="19" t="str">
        <f>IFERROR(VLOOKUP(B444,crm_orders!$A:$S,3,FALSE),"")</f>
        <v>DSP0090</v>
      </c>
      <c r="P444" s="19" t="str">
        <f>IFERROR(VLOOKUP(B444,crm_orders!$A:$S,5,FALSE),"")</f>
        <v>NV</v>
      </c>
      <c r="Q444" s="19" t="str">
        <f>IFERROR(VLOOKUP(B444,crm_orders!$A:$S,7,FALSE),"")</f>
        <v>Wholesale</v>
      </c>
      <c r="R444" s="19" t="str">
        <f>IFERROR(VLOOKUP(B444,crm_orders!$A:$S,8,FALSE),"")</f>
        <v>SKU0011</v>
      </c>
    </row>
    <row r="445" ht="15.75" customHeight="1">
      <c r="A445" s="25" t="s">
        <v>3143</v>
      </c>
      <c r="B445" s="25" t="s">
        <v>798</v>
      </c>
      <c r="C445" s="26">
        <v>46104.0</v>
      </c>
      <c r="D445" s="25" t="s">
        <v>2254</v>
      </c>
      <c r="E445" s="25" t="s">
        <v>2286</v>
      </c>
      <c r="F445" s="25" t="s">
        <v>3144</v>
      </c>
      <c r="G445" s="29">
        <v>96.0</v>
      </c>
      <c r="H445" s="29">
        <v>96.0</v>
      </c>
      <c r="I445" s="29">
        <v>0.0</v>
      </c>
      <c r="J445" s="25" t="s">
        <v>2246</v>
      </c>
      <c r="K445" s="25" t="s">
        <v>2247</v>
      </c>
      <c r="L445" s="25" t="s">
        <v>2246</v>
      </c>
      <c r="M445" s="25" t="s">
        <v>2248</v>
      </c>
      <c r="N445" s="29">
        <f>IFERROR((C445-VLOOKUP(B445,crm_orders!$A:$S,2,FALSE))*24,0)</f>
        <v>96</v>
      </c>
      <c r="O445" s="27" t="str">
        <f>IFERROR(VLOOKUP(B445,crm_orders!$A:$S,3,FALSE),"")</f>
        <v>DSP0037</v>
      </c>
      <c r="P445" s="27" t="str">
        <f>IFERROR(VLOOKUP(B445,crm_orders!$A:$S,5,FALSE),"")</f>
        <v>OR</v>
      </c>
      <c r="Q445" s="27" t="str">
        <f>IFERROR(VLOOKUP(B445,crm_orders!$A:$S,7,FALSE),"")</f>
        <v>Distributor</v>
      </c>
      <c r="R445" s="27" t="str">
        <f>IFERROR(VLOOKUP(B445,crm_orders!$A:$S,8,FALSE),"")</f>
        <v>SKU0012</v>
      </c>
    </row>
    <row r="446" ht="15.75" customHeight="1">
      <c r="A446" s="17" t="s">
        <v>3145</v>
      </c>
      <c r="B446" s="17" t="s">
        <v>799</v>
      </c>
      <c r="C446" s="18">
        <v>46056.0</v>
      </c>
      <c r="D446" s="17" t="s">
        <v>2250</v>
      </c>
      <c r="E446" s="17" t="s">
        <v>2244</v>
      </c>
      <c r="F446" s="17" t="s">
        <v>3146</v>
      </c>
      <c r="G446" s="21">
        <v>96.0</v>
      </c>
      <c r="H446" s="21">
        <v>96.0</v>
      </c>
      <c r="I446" s="21">
        <v>0.0</v>
      </c>
      <c r="J446" s="17" t="s">
        <v>2246</v>
      </c>
      <c r="K446" s="17" t="s">
        <v>2247</v>
      </c>
      <c r="L446" s="17" t="s">
        <v>2246</v>
      </c>
      <c r="M446" s="17" t="s">
        <v>2248</v>
      </c>
      <c r="N446" s="21">
        <f>IFERROR((C446-VLOOKUP(B446,crm_orders!$A:$S,2,FALSE))*24,0)</f>
        <v>168</v>
      </c>
      <c r="O446" s="19" t="str">
        <f>IFERROR(VLOOKUP(B446,crm_orders!$A:$S,3,FALSE),"")</f>
        <v>DSP0009</v>
      </c>
      <c r="P446" s="19" t="str">
        <f>IFERROR(VLOOKUP(B446,crm_orders!$A:$S,5,FALSE),"")</f>
        <v>MO</v>
      </c>
      <c r="Q446" s="19" t="str">
        <f>IFERROR(VLOOKUP(B446,crm_orders!$A:$S,7,FALSE),"")</f>
        <v>Wholesale</v>
      </c>
      <c r="R446" s="19" t="str">
        <f>IFERROR(VLOOKUP(B446,crm_orders!$A:$S,8,FALSE),"")</f>
        <v>SKU0011</v>
      </c>
    </row>
    <row r="447" ht="15.75" customHeight="1">
      <c r="A447" s="25" t="s">
        <v>3147</v>
      </c>
      <c r="B447" s="25" t="s">
        <v>1164</v>
      </c>
      <c r="C447" s="26">
        <v>46123.0</v>
      </c>
      <c r="D447" s="25" t="s">
        <v>2260</v>
      </c>
      <c r="E447" s="25" t="s">
        <v>2261</v>
      </c>
      <c r="F447" s="25" t="s">
        <v>3148</v>
      </c>
      <c r="G447" s="29">
        <v>96.0</v>
      </c>
      <c r="H447" s="29">
        <v>0.0</v>
      </c>
      <c r="I447" s="29">
        <v>96.0</v>
      </c>
      <c r="J447" s="25" t="s">
        <v>2247</v>
      </c>
      <c r="K447" s="25" t="s">
        <v>2246</v>
      </c>
      <c r="L447" s="25" t="s">
        <v>2246</v>
      </c>
      <c r="M447" s="25" t="s">
        <v>2312</v>
      </c>
      <c r="N447" s="29">
        <f>IFERROR((C447-VLOOKUP(B447,crm_orders!$A:$S,2,FALSE))*24,0)</f>
        <v>144</v>
      </c>
      <c r="O447" s="27" t="str">
        <f>IFERROR(VLOOKUP(B447,crm_orders!$A:$S,3,FALSE),"")</f>
        <v>DSP0085</v>
      </c>
      <c r="P447" s="27" t="str">
        <f>IFERROR(VLOOKUP(B447,crm_orders!$A:$S,5,FALSE),"")</f>
        <v>OR</v>
      </c>
      <c r="Q447" s="27" t="str">
        <f>IFERROR(VLOOKUP(B447,crm_orders!$A:$S,7,FALSE),"")</f>
        <v>Wholesale</v>
      </c>
      <c r="R447" s="27" t="str">
        <f>IFERROR(VLOOKUP(B447,crm_orders!$A:$S,8,FALSE),"")</f>
        <v>SKU0003</v>
      </c>
    </row>
    <row r="448" ht="15.75" customHeight="1">
      <c r="A448" s="17" t="s">
        <v>3149</v>
      </c>
      <c r="B448" s="17" t="s">
        <v>1165</v>
      </c>
      <c r="C448" s="18">
        <v>46082.0</v>
      </c>
      <c r="D448" s="17" t="s">
        <v>2260</v>
      </c>
      <c r="E448" s="17" t="s">
        <v>2244</v>
      </c>
      <c r="F448" s="17" t="s">
        <v>3150</v>
      </c>
      <c r="G448" s="21">
        <v>12.0</v>
      </c>
      <c r="H448" s="21">
        <v>0.0</v>
      </c>
      <c r="I448" s="21">
        <v>12.0</v>
      </c>
      <c r="J448" s="17" t="s">
        <v>2246</v>
      </c>
      <c r="K448" s="17" t="s">
        <v>2246</v>
      </c>
      <c r="L448" s="17" t="s">
        <v>2246</v>
      </c>
      <c r="M448" s="17" t="s">
        <v>2267</v>
      </c>
      <c r="N448" s="21">
        <f>IFERROR((C448-VLOOKUP(B448,crm_orders!$A:$S,2,FALSE))*24,0)</f>
        <v>192</v>
      </c>
      <c r="O448" s="19" t="str">
        <f>IFERROR(VLOOKUP(B448,crm_orders!$A:$S,3,FALSE),"")</f>
        <v>DSP0023</v>
      </c>
      <c r="P448" s="19" t="str">
        <f>IFERROR(VLOOKUP(B448,crm_orders!$A:$S,5,FALSE),"")</f>
        <v>NY</v>
      </c>
      <c r="Q448" s="19" t="str">
        <f>IFERROR(VLOOKUP(B448,crm_orders!$A:$S,7,FALSE),"")</f>
        <v>Wholesale</v>
      </c>
      <c r="R448" s="19" t="str">
        <f>IFERROR(VLOOKUP(B448,crm_orders!$A:$S,8,FALSE),"")</f>
        <v>SKU0010</v>
      </c>
    </row>
    <row r="449" ht="15.75" customHeight="1">
      <c r="A449" s="25" t="s">
        <v>3151</v>
      </c>
      <c r="B449" s="25" t="s">
        <v>632</v>
      </c>
      <c r="C449" s="26">
        <v>46051.0</v>
      </c>
      <c r="D449" s="25" t="s">
        <v>2250</v>
      </c>
      <c r="E449" s="25" t="s">
        <v>2286</v>
      </c>
      <c r="F449" s="25" t="s">
        <v>3152</v>
      </c>
      <c r="G449" s="29">
        <v>18.0</v>
      </c>
      <c r="H449" s="29">
        <v>18.0</v>
      </c>
      <c r="I449" s="29">
        <v>0.0</v>
      </c>
      <c r="J449" s="25" t="s">
        <v>2247</v>
      </c>
      <c r="K449" s="25" t="s">
        <v>2247</v>
      </c>
      <c r="L449" s="25" t="s">
        <v>2247</v>
      </c>
      <c r="M449" s="25" t="s">
        <v>2248</v>
      </c>
      <c r="N449" s="29">
        <f>IFERROR((C449-VLOOKUP(B449,crm_orders!$A:$S,2,FALSE))*24,0)</f>
        <v>24</v>
      </c>
      <c r="O449" s="27" t="str">
        <f>IFERROR(VLOOKUP(B449,crm_orders!$A:$S,3,FALSE),"")</f>
        <v>DSP0008</v>
      </c>
      <c r="P449" s="27" t="str">
        <f>IFERROR(VLOOKUP(B449,crm_orders!$A:$S,5,FALSE),"")</f>
        <v>MI</v>
      </c>
      <c r="Q449" s="27" t="str">
        <f>IFERROR(VLOOKUP(B449,crm_orders!$A:$S,7,FALSE),"")</f>
        <v>Wholesale</v>
      </c>
      <c r="R449" s="27" t="str">
        <f>IFERROR(VLOOKUP(B449,crm_orders!$A:$S,8,FALSE),"")</f>
        <v>SKU0003</v>
      </c>
    </row>
    <row r="450" ht="15.75" customHeight="1">
      <c r="A450" s="17" t="s">
        <v>3153</v>
      </c>
      <c r="B450" s="17" t="s">
        <v>1166</v>
      </c>
      <c r="C450" s="18">
        <v>46152.0</v>
      </c>
      <c r="D450" s="17" t="s">
        <v>2260</v>
      </c>
      <c r="E450" s="17" t="s">
        <v>2255</v>
      </c>
      <c r="F450" s="17" t="s">
        <v>3154</v>
      </c>
      <c r="G450" s="21">
        <v>48.0</v>
      </c>
      <c r="H450" s="21">
        <v>48.0</v>
      </c>
      <c r="I450" s="21">
        <v>0.0</v>
      </c>
      <c r="J450" s="17" t="s">
        <v>2246</v>
      </c>
      <c r="K450" s="17" t="s">
        <v>2247</v>
      </c>
      <c r="L450" s="17" t="s">
        <v>2246</v>
      </c>
      <c r="M450" s="17" t="s">
        <v>2248</v>
      </c>
      <c r="N450" s="21">
        <f>IFERROR((C450-VLOOKUP(B450,crm_orders!$A:$S,2,FALSE))*24,0)</f>
        <v>288</v>
      </c>
      <c r="O450" s="19" t="str">
        <f>IFERROR(VLOOKUP(B450,crm_orders!$A:$S,3,FALSE),"")</f>
        <v>DSP0087</v>
      </c>
      <c r="P450" s="19" t="str">
        <f>IFERROR(VLOOKUP(B450,crm_orders!$A:$S,5,FALSE),"")</f>
        <v>CA</v>
      </c>
      <c r="Q450" s="19" t="str">
        <f>IFERROR(VLOOKUP(B450,crm_orders!$A:$S,7,FALSE),"")</f>
        <v>Distributor</v>
      </c>
      <c r="R450" s="19" t="str">
        <f>IFERROR(VLOOKUP(B450,crm_orders!$A:$S,8,FALSE),"")</f>
        <v>SKU0010</v>
      </c>
    </row>
    <row r="451" ht="15.75" customHeight="1">
      <c r="A451" s="25" t="s">
        <v>3155</v>
      </c>
      <c r="B451" s="25" t="s">
        <v>912</v>
      </c>
      <c r="C451" s="26">
        <v>46138.0</v>
      </c>
      <c r="D451" s="25" t="s">
        <v>2269</v>
      </c>
      <c r="E451" s="25" t="s">
        <v>2261</v>
      </c>
      <c r="F451" s="25" t="s">
        <v>3156</v>
      </c>
      <c r="G451" s="29">
        <v>30.0</v>
      </c>
      <c r="H451" s="29">
        <v>0.0</v>
      </c>
      <c r="I451" s="29">
        <v>30.0</v>
      </c>
      <c r="J451" s="25" t="s">
        <v>2246</v>
      </c>
      <c r="K451" s="25" t="s">
        <v>2246</v>
      </c>
      <c r="L451" s="25" t="s">
        <v>2246</v>
      </c>
      <c r="M451" s="25" t="s">
        <v>2267</v>
      </c>
      <c r="N451" s="29">
        <f>IFERROR((C451-VLOOKUP(B451,crm_orders!$A:$S,2,FALSE))*24,0)</f>
        <v>144</v>
      </c>
      <c r="O451" s="27" t="str">
        <f>IFERROR(VLOOKUP(B451,crm_orders!$A:$S,3,FALSE),"")</f>
        <v>DSP0052</v>
      </c>
      <c r="P451" s="27" t="str">
        <f>IFERROR(VLOOKUP(B451,crm_orders!$A:$S,5,FALSE),"")</f>
        <v>CO</v>
      </c>
      <c r="Q451" s="27" t="str">
        <f>IFERROR(VLOOKUP(B451,crm_orders!$A:$S,7,FALSE),"")</f>
        <v>Distributor</v>
      </c>
      <c r="R451" s="27" t="str">
        <f>IFERROR(VLOOKUP(B451,crm_orders!$A:$S,8,FALSE),"")</f>
        <v>SKU0005</v>
      </c>
    </row>
    <row r="452" ht="15.75" customHeight="1">
      <c r="A452" s="17" t="s">
        <v>3157</v>
      </c>
      <c r="B452" s="17" t="s">
        <v>800</v>
      </c>
      <c r="C452" s="18">
        <v>46140.0</v>
      </c>
      <c r="D452" s="17" t="s">
        <v>2254</v>
      </c>
      <c r="E452" s="17" t="s">
        <v>2261</v>
      </c>
      <c r="F452" s="17" t="s">
        <v>3158</v>
      </c>
      <c r="G452" s="21">
        <v>30.0</v>
      </c>
      <c r="H452" s="21">
        <v>30.0</v>
      </c>
      <c r="I452" s="21">
        <v>0.0</v>
      </c>
      <c r="J452" s="17" t="s">
        <v>2247</v>
      </c>
      <c r="K452" s="17" t="s">
        <v>2247</v>
      </c>
      <c r="L452" s="17" t="s">
        <v>2247</v>
      </c>
      <c r="M452" s="17" t="s">
        <v>2248</v>
      </c>
      <c r="N452" s="21">
        <f>IFERROR((C452-VLOOKUP(B452,crm_orders!$A:$S,2,FALSE))*24,0)</f>
        <v>168</v>
      </c>
      <c r="O452" s="19" t="str">
        <f>IFERROR(VLOOKUP(B452,crm_orders!$A:$S,3,FALSE),"")</f>
        <v>DSP0046</v>
      </c>
      <c r="P452" s="19" t="str">
        <f>IFERROR(VLOOKUP(B452,crm_orders!$A:$S,5,FALSE),"")</f>
        <v>NM</v>
      </c>
      <c r="Q452" s="19" t="str">
        <f>IFERROR(VLOOKUP(B452,crm_orders!$A:$S,7,FALSE),"")</f>
        <v>Retail</v>
      </c>
      <c r="R452" s="19" t="str">
        <f>IFERROR(VLOOKUP(B452,crm_orders!$A:$S,8,FALSE),"")</f>
        <v>SKU0004</v>
      </c>
    </row>
    <row r="453" ht="15.75" customHeight="1">
      <c r="A453" s="25" t="s">
        <v>3159</v>
      </c>
      <c r="B453" s="25" t="s">
        <v>913</v>
      </c>
      <c r="C453" s="26">
        <v>46087.0</v>
      </c>
      <c r="D453" s="25" t="s">
        <v>2260</v>
      </c>
      <c r="E453" s="25" t="s">
        <v>2255</v>
      </c>
      <c r="F453" s="25" t="s">
        <v>3160</v>
      </c>
      <c r="G453" s="29">
        <v>72.0</v>
      </c>
      <c r="H453" s="29">
        <v>72.0</v>
      </c>
      <c r="I453" s="29">
        <v>0.0</v>
      </c>
      <c r="J453" s="25" t="s">
        <v>2247</v>
      </c>
      <c r="K453" s="25" t="s">
        <v>2247</v>
      </c>
      <c r="L453" s="25" t="s">
        <v>2247</v>
      </c>
      <c r="M453" s="25" t="s">
        <v>2248</v>
      </c>
      <c r="N453" s="29">
        <f>IFERROR((C453-VLOOKUP(B453,crm_orders!$A:$S,2,FALSE))*24,0)</f>
        <v>216</v>
      </c>
      <c r="O453" s="27" t="str">
        <f>IFERROR(VLOOKUP(B453,crm_orders!$A:$S,3,FALSE),"")</f>
        <v>DSP0052</v>
      </c>
      <c r="P453" s="27" t="str">
        <f>IFERROR(VLOOKUP(B453,crm_orders!$A:$S,5,FALSE),"")</f>
        <v>CO</v>
      </c>
      <c r="Q453" s="27" t="str">
        <f>IFERROR(VLOOKUP(B453,crm_orders!$A:$S,7,FALSE),"")</f>
        <v>Wholesale</v>
      </c>
      <c r="R453" s="27" t="str">
        <f>IFERROR(VLOOKUP(B453,crm_orders!$A:$S,8,FALSE),"")</f>
        <v>SKU0013</v>
      </c>
    </row>
    <row r="454" ht="15.75" customHeight="1">
      <c r="A454" s="17" t="s">
        <v>3161</v>
      </c>
      <c r="B454" s="17" t="s">
        <v>801</v>
      </c>
      <c r="C454" s="18">
        <v>46046.0</v>
      </c>
      <c r="D454" s="17" t="s">
        <v>2269</v>
      </c>
      <c r="E454" s="17" t="s">
        <v>2286</v>
      </c>
      <c r="F454" s="17" t="s">
        <v>3162</v>
      </c>
      <c r="G454" s="21">
        <v>30.0</v>
      </c>
      <c r="H454" s="21">
        <v>0.0</v>
      </c>
      <c r="I454" s="21">
        <v>30.0</v>
      </c>
      <c r="J454" s="17" t="s">
        <v>2246</v>
      </c>
      <c r="K454" s="17" t="s">
        <v>2246</v>
      </c>
      <c r="L454" s="17" t="s">
        <v>2246</v>
      </c>
      <c r="M454" s="17" t="s">
        <v>2312</v>
      </c>
      <c r="N454" s="21">
        <f>IFERROR((C454-VLOOKUP(B454,crm_orders!$A:$S,2,FALSE))*24,0)</f>
        <v>96</v>
      </c>
      <c r="O454" s="19" t="str">
        <f>IFERROR(VLOOKUP(B454,crm_orders!$A:$S,3,FALSE),"")</f>
        <v>DSP0108</v>
      </c>
      <c r="P454" s="19" t="str">
        <f>IFERROR(VLOOKUP(B454,crm_orders!$A:$S,5,FALSE),"")</f>
        <v>OK</v>
      </c>
      <c r="Q454" s="19" t="str">
        <f>IFERROR(VLOOKUP(B454,crm_orders!$A:$S,7,FALSE),"")</f>
        <v>Wholesale</v>
      </c>
      <c r="R454" s="19" t="str">
        <f>IFERROR(VLOOKUP(B454,crm_orders!$A:$S,8,FALSE),"")</f>
        <v>SKU0014</v>
      </c>
    </row>
    <row r="455" ht="15.75" customHeight="1">
      <c r="A455" s="25" t="s">
        <v>3163</v>
      </c>
      <c r="B455" s="25" t="s">
        <v>240</v>
      </c>
      <c r="C455" s="26">
        <v>46115.0</v>
      </c>
      <c r="D455" s="25" t="s">
        <v>2243</v>
      </c>
      <c r="E455" s="25" t="s">
        <v>2251</v>
      </c>
      <c r="F455" s="25" t="s">
        <v>3164</v>
      </c>
      <c r="G455" s="29">
        <v>48.0</v>
      </c>
      <c r="H455" s="29">
        <v>48.0</v>
      </c>
      <c r="I455" s="29">
        <v>0.0</v>
      </c>
      <c r="J455" s="25" t="s">
        <v>2246</v>
      </c>
      <c r="K455" s="25" t="s">
        <v>2247</v>
      </c>
      <c r="L455" s="25" t="s">
        <v>2246</v>
      </c>
      <c r="M455" s="25" t="s">
        <v>2248</v>
      </c>
      <c r="N455" s="29">
        <f>IFERROR((C455-VLOOKUP(B455,crm_orders!$A:$S,2,FALSE))*24,0)</f>
        <v>192</v>
      </c>
      <c r="O455" s="27" t="str">
        <f>IFERROR(VLOOKUP(B455,crm_orders!$A:$S,3,FALSE),"")</f>
        <v>DSP0114</v>
      </c>
      <c r="P455" s="27" t="str">
        <f>IFERROR(VLOOKUP(B455,crm_orders!$A:$S,5,FALSE),"")</f>
        <v>NV</v>
      </c>
      <c r="Q455" s="27" t="str">
        <f>IFERROR(VLOOKUP(B455,crm_orders!$A:$S,7,FALSE),"")</f>
        <v>Wholesale</v>
      </c>
      <c r="R455" s="27" t="str">
        <f>IFERROR(VLOOKUP(B455,crm_orders!$A:$S,8,FALSE),"")</f>
        <v>SKU0016</v>
      </c>
    </row>
    <row r="456" ht="15.75" customHeight="1">
      <c r="A456" s="17" t="s">
        <v>3165</v>
      </c>
      <c r="B456" s="17" t="s">
        <v>241</v>
      </c>
      <c r="C456" s="18">
        <v>46031.0</v>
      </c>
      <c r="D456" s="17" t="s">
        <v>2269</v>
      </c>
      <c r="E456" s="17" t="s">
        <v>2286</v>
      </c>
      <c r="F456" s="17" t="s">
        <v>3166</v>
      </c>
      <c r="G456" s="21">
        <v>96.0</v>
      </c>
      <c r="H456" s="21">
        <v>96.0</v>
      </c>
      <c r="I456" s="21">
        <v>0.0</v>
      </c>
      <c r="J456" s="17" t="s">
        <v>2246</v>
      </c>
      <c r="K456" s="17" t="s">
        <v>2247</v>
      </c>
      <c r="L456" s="17" t="s">
        <v>2246</v>
      </c>
      <c r="M456" s="17" t="s">
        <v>2248</v>
      </c>
      <c r="N456" s="21">
        <f>IFERROR((C456-VLOOKUP(B456,crm_orders!$A:$S,2,FALSE))*24,0)</f>
        <v>192</v>
      </c>
      <c r="O456" s="19" t="str">
        <f>IFERROR(VLOOKUP(B456,crm_orders!$A:$S,3,FALSE),"")</f>
        <v>DSP0055</v>
      </c>
      <c r="P456" s="19" t="str">
        <f>IFERROR(VLOOKUP(B456,crm_orders!$A:$S,5,FALSE),"")</f>
        <v>IL</v>
      </c>
      <c r="Q456" s="19" t="str">
        <f>IFERROR(VLOOKUP(B456,crm_orders!$A:$S,7,FALSE),"")</f>
        <v>Retail</v>
      </c>
      <c r="R456" s="19" t="str">
        <f>IFERROR(VLOOKUP(B456,crm_orders!$A:$S,8,FALSE),"")</f>
        <v>SKU0020</v>
      </c>
    </row>
    <row r="457" ht="15.75" customHeight="1">
      <c r="A457" s="25" t="s">
        <v>3167</v>
      </c>
      <c r="B457" s="25" t="s">
        <v>1028</v>
      </c>
      <c r="C457" s="26">
        <v>46031.0</v>
      </c>
      <c r="D457" s="25" t="s">
        <v>2243</v>
      </c>
      <c r="E457" s="25" t="s">
        <v>2261</v>
      </c>
      <c r="F457" s="25" t="s">
        <v>3168</v>
      </c>
      <c r="G457" s="29">
        <v>96.0</v>
      </c>
      <c r="H457" s="29">
        <v>96.0</v>
      </c>
      <c r="I457" s="29">
        <v>0.0</v>
      </c>
      <c r="J457" s="25" t="s">
        <v>2246</v>
      </c>
      <c r="K457" s="25" t="s">
        <v>2247</v>
      </c>
      <c r="L457" s="25" t="s">
        <v>2246</v>
      </c>
      <c r="M457" s="25" t="s">
        <v>2248</v>
      </c>
      <c r="N457" s="29">
        <f>IFERROR((C457-VLOOKUP(B457,crm_orders!$A:$S,2,FALSE))*24,0)</f>
        <v>96</v>
      </c>
      <c r="O457" s="27" t="str">
        <f>IFERROR(VLOOKUP(B457,crm_orders!$A:$S,3,FALSE),"")</f>
        <v>DSP0047</v>
      </c>
      <c r="P457" s="27" t="str">
        <f>IFERROR(VLOOKUP(B457,crm_orders!$A:$S,5,FALSE),"")</f>
        <v>NY</v>
      </c>
      <c r="Q457" s="27" t="str">
        <f>IFERROR(VLOOKUP(B457,crm_orders!$A:$S,7,FALSE),"")</f>
        <v>Wholesale</v>
      </c>
      <c r="R457" s="27" t="str">
        <f>IFERROR(VLOOKUP(B457,crm_orders!$A:$S,8,FALSE),"")</f>
        <v>SKU0002</v>
      </c>
    </row>
    <row r="458" ht="15.75" customHeight="1">
      <c r="A458" s="17" t="s">
        <v>3169</v>
      </c>
      <c r="B458" s="17" t="s">
        <v>633</v>
      </c>
      <c r="C458" s="18">
        <v>46092.0</v>
      </c>
      <c r="D458" s="17" t="s">
        <v>2260</v>
      </c>
      <c r="E458" s="17" t="s">
        <v>2244</v>
      </c>
      <c r="F458" s="17" t="s">
        <v>3170</v>
      </c>
      <c r="G458" s="21">
        <v>72.0</v>
      </c>
      <c r="H458" s="21">
        <v>72.0</v>
      </c>
      <c r="I458" s="21">
        <v>0.0</v>
      </c>
      <c r="J458" s="17" t="s">
        <v>2246</v>
      </c>
      <c r="K458" s="17" t="s">
        <v>2247</v>
      </c>
      <c r="L458" s="17" t="s">
        <v>2246</v>
      </c>
      <c r="M458" s="17" t="s">
        <v>2248</v>
      </c>
      <c r="N458" s="21">
        <f>IFERROR((C458-VLOOKUP(B458,crm_orders!$A:$S,2,FALSE))*24,0)</f>
        <v>240</v>
      </c>
      <c r="O458" s="19" t="str">
        <f>IFERROR(VLOOKUP(B458,crm_orders!$A:$S,3,FALSE),"")</f>
        <v>DSP0110</v>
      </c>
      <c r="P458" s="19" t="str">
        <f>IFERROR(VLOOKUP(B458,crm_orders!$A:$S,5,FALSE),"")</f>
        <v>WA</v>
      </c>
      <c r="Q458" s="19" t="str">
        <f>IFERROR(VLOOKUP(B458,crm_orders!$A:$S,7,FALSE),"")</f>
        <v>Wholesale</v>
      </c>
      <c r="R458" s="19" t="str">
        <f>IFERROR(VLOOKUP(B458,crm_orders!$A:$S,8,FALSE),"")</f>
        <v>SKU0009</v>
      </c>
    </row>
    <row r="459" ht="15.75" customHeight="1">
      <c r="A459" s="25" t="s">
        <v>3171</v>
      </c>
      <c r="B459" s="25" t="s">
        <v>1029</v>
      </c>
      <c r="C459" s="26">
        <v>46118.0</v>
      </c>
      <c r="D459" s="25" t="s">
        <v>2269</v>
      </c>
      <c r="E459" s="25" t="s">
        <v>2261</v>
      </c>
      <c r="F459" s="25" t="s">
        <v>3172</v>
      </c>
      <c r="G459" s="29">
        <v>120.0</v>
      </c>
      <c r="H459" s="29">
        <v>120.0</v>
      </c>
      <c r="I459" s="29">
        <v>0.0</v>
      </c>
      <c r="J459" s="25" t="s">
        <v>2246</v>
      </c>
      <c r="K459" s="25" t="s">
        <v>2247</v>
      </c>
      <c r="L459" s="25" t="s">
        <v>2246</v>
      </c>
      <c r="M459" s="25" t="s">
        <v>2248</v>
      </c>
      <c r="N459" s="29">
        <f>IFERROR((C459-VLOOKUP(B459,crm_orders!$A:$S,2,FALSE))*24,0)</f>
        <v>192</v>
      </c>
      <c r="O459" s="27" t="str">
        <f>IFERROR(VLOOKUP(B459,crm_orders!$A:$S,3,FALSE),"")</f>
        <v>DSP0086</v>
      </c>
      <c r="P459" s="27" t="str">
        <f>IFERROR(VLOOKUP(B459,crm_orders!$A:$S,5,FALSE),"")</f>
        <v>WA</v>
      </c>
      <c r="Q459" s="27" t="str">
        <f>IFERROR(VLOOKUP(B459,crm_orders!$A:$S,7,FALSE),"")</f>
        <v>Wholesale</v>
      </c>
      <c r="R459" s="27" t="str">
        <f>IFERROR(VLOOKUP(B459,crm_orders!$A:$S,8,FALSE),"")</f>
        <v>SKU0003</v>
      </c>
    </row>
    <row r="460" ht="15.75" customHeight="1">
      <c r="A460" s="17" t="s">
        <v>3173</v>
      </c>
      <c r="B460" s="17" t="s">
        <v>914</v>
      </c>
      <c r="C460" s="18">
        <v>46126.0</v>
      </c>
      <c r="D460" s="17" t="s">
        <v>2243</v>
      </c>
      <c r="E460" s="17" t="s">
        <v>2261</v>
      </c>
      <c r="F460" s="17" t="s">
        <v>3174</v>
      </c>
      <c r="G460" s="21">
        <v>30.0</v>
      </c>
      <c r="H460" s="21">
        <v>30.0</v>
      </c>
      <c r="I460" s="21">
        <v>0.0</v>
      </c>
      <c r="J460" s="17" t="s">
        <v>2247</v>
      </c>
      <c r="K460" s="17" t="s">
        <v>2247</v>
      </c>
      <c r="L460" s="17" t="s">
        <v>2247</v>
      </c>
      <c r="M460" s="17" t="s">
        <v>2248</v>
      </c>
      <c r="N460" s="21">
        <f>IFERROR((C460-VLOOKUP(B460,crm_orders!$A:$S,2,FALSE))*24,0)</f>
        <v>192</v>
      </c>
      <c r="O460" s="19" t="str">
        <f>IFERROR(VLOOKUP(B460,crm_orders!$A:$S,3,FALSE),"")</f>
        <v>DSP0119</v>
      </c>
      <c r="P460" s="19" t="str">
        <f>IFERROR(VLOOKUP(B460,crm_orders!$A:$S,5,FALSE),"")</f>
        <v>NY</v>
      </c>
      <c r="Q460" s="19" t="str">
        <f>IFERROR(VLOOKUP(B460,crm_orders!$A:$S,7,FALSE),"")</f>
        <v>Wholesale</v>
      </c>
      <c r="R460" s="19" t="str">
        <f>IFERROR(VLOOKUP(B460,crm_orders!$A:$S,8,FALSE),"")</f>
        <v>SKU0020</v>
      </c>
    </row>
    <row r="461" ht="15.75" customHeight="1">
      <c r="A461" s="25" t="s">
        <v>3175</v>
      </c>
      <c r="B461" s="25" t="s">
        <v>1167</v>
      </c>
      <c r="C461" s="26">
        <v>46129.0</v>
      </c>
      <c r="D461" s="25" t="s">
        <v>2250</v>
      </c>
      <c r="E461" s="25" t="s">
        <v>2244</v>
      </c>
      <c r="F461" s="25" t="s">
        <v>3176</v>
      </c>
      <c r="G461" s="29">
        <v>96.0</v>
      </c>
      <c r="H461" s="29">
        <v>90.0</v>
      </c>
      <c r="I461" s="29">
        <v>6.0</v>
      </c>
      <c r="J461" s="25" t="s">
        <v>2246</v>
      </c>
      <c r="K461" s="25" t="s">
        <v>2246</v>
      </c>
      <c r="L461" s="25" t="s">
        <v>2246</v>
      </c>
      <c r="M461" s="25" t="s">
        <v>2267</v>
      </c>
      <c r="N461" s="29">
        <f>IFERROR((C461-VLOOKUP(B461,crm_orders!$A:$S,2,FALSE))*24,0)</f>
        <v>72</v>
      </c>
      <c r="O461" s="27" t="str">
        <f>IFERROR(VLOOKUP(B461,crm_orders!$A:$S,3,FALSE),"")</f>
        <v>DSP0085</v>
      </c>
      <c r="P461" s="27" t="str">
        <f>IFERROR(VLOOKUP(B461,crm_orders!$A:$S,5,FALSE),"")</f>
        <v>OR</v>
      </c>
      <c r="Q461" s="27" t="str">
        <f>IFERROR(VLOOKUP(B461,crm_orders!$A:$S,7,FALSE),"")</f>
        <v>Wholesale</v>
      </c>
      <c r="R461" s="27" t="str">
        <f>IFERROR(VLOOKUP(B461,crm_orders!$A:$S,8,FALSE),"")</f>
        <v>SKU0010</v>
      </c>
    </row>
    <row r="462" ht="15.75" customHeight="1">
      <c r="A462" s="17" t="s">
        <v>3177</v>
      </c>
      <c r="B462" s="17" t="s">
        <v>382</v>
      </c>
      <c r="C462" s="18">
        <v>46062.0</v>
      </c>
      <c r="D462" s="17" t="s">
        <v>2254</v>
      </c>
      <c r="E462" s="17" t="s">
        <v>2255</v>
      </c>
      <c r="F462" s="17" t="s">
        <v>3178</v>
      </c>
      <c r="G462" s="21">
        <v>30.0</v>
      </c>
      <c r="H462" s="21">
        <v>30.0</v>
      </c>
      <c r="I462" s="21">
        <v>0.0</v>
      </c>
      <c r="J462" s="17" t="s">
        <v>2246</v>
      </c>
      <c r="K462" s="17" t="s">
        <v>2247</v>
      </c>
      <c r="L462" s="17" t="s">
        <v>2246</v>
      </c>
      <c r="M462" s="17" t="s">
        <v>2248</v>
      </c>
      <c r="N462" s="21">
        <f>IFERROR((C462-VLOOKUP(B462,crm_orders!$A:$S,2,FALSE))*24,0)</f>
        <v>96</v>
      </c>
      <c r="O462" s="19" t="str">
        <f>IFERROR(VLOOKUP(B462,crm_orders!$A:$S,3,FALSE),"")</f>
        <v>DSP0017</v>
      </c>
      <c r="P462" s="19" t="str">
        <f>IFERROR(VLOOKUP(B462,crm_orders!$A:$S,5,FALSE),"")</f>
        <v>AZ</v>
      </c>
      <c r="Q462" s="19" t="str">
        <f>IFERROR(VLOOKUP(B462,crm_orders!$A:$S,7,FALSE),"")</f>
        <v>Wholesale</v>
      </c>
      <c r="R462" s="19" t="str">
        <f>IFERROR(VLOOKUP(B462,crm_orders!$A:$S,8,FALSE),"")</f>
        <v>SKU0020</v>
      </c>
    </row>
    <row r="463" ht="15.75" customHeight="1">
      <c r="A463" s="25" t="s">
        <v>3179</v>
      </c>
      <c r="B463" s="25" t="s">
        <v>1168</v>
      </c>
      <c r="C463" s="26">
        <v>46082.0</v>
      </c>
      <c r="D463" s="25" t="s">
        <v>2260</v>
      </c>
      <c r="E463" s="25" t="s">
        <v>2261</v>
      </c>
      <c r="F463" s="25" t="s">
        <v>3180</v>
      </c>
      <c r="G463" s="29">
        <v>18.0</v>
      </c>
      <c r="H463" s="29">
        <v>18.0</v>
      </c>
      <c r="I463" s="29">
        <v>0.0</v>
      </c>
      <c r="J463" s="25" t="s">
        <v>2246</v>
      </c>
      <c r="K463" s="25" t="s">
        <v>2247</v>
      </c>
      <c r="L463" s="25" t="s">
        <v>2246</v>
      </c>
      <c r="M463" s="25" t="s">
        <v>2248</v>
      </c>
      <c r="N463" s="29">
        <f>IFERROR((C463-VLOOKUP(B463,crm_orders!$A:$S,2,FALSE))*24,0)</f>
        <v>288</v>
      </c>
      <c r="O463" s="27" t="str">
        <f>IFERROR(VLOOKUP(B463,crm_orders!$A:$S,3,FALSE),"")</f>
        <v>DSP0085</v>
      </c>
      <c r="P463" s="27" t="str">
        <f>IFERROR(VLOOKUP(B463,crm_orders!$A:$S,5,FALSE),"")</f>
        <v>OR</v>
      </c>
      <c r="Q463" s="27" t="str">
        <f>IFERROR(VLOOKUP(B463,crm_orders!$A:$S,7,FALSE),"")</f>
        <v>Wholesale</v>
      </c>
      <c r="R463" s="27" t="str">
        <f>IFERROR(VLOOKUP(B463,crm_orders!$A:$S,8,FALSE),"")</f>
        <v>SKU0015</v>
      </c>
    </row>
    <row r="464" ht="15.75" customHeight="1">
      <c r="A464" s="17" t="s">
        <v>3181</v>
      </c>
      <c r="B464" s="17" t="s">
        <v>242</v>
      </c>
      <c r="C464" s="18">
        <v>46115.0</v>
      </c>
      <c r="D464" s="17" t="s">
        <v>2269</v>
      </c>
      <c r="E464" s="17" t="s">
        <v>2255</v>
      </c>
      <c r="F464" s="17" t="s">
        <v>3182</v>
      </c>
      <c r="G464" s="21">
        <v>18.0</v>
      </c>
      <c r="H464" s="21">
        <v>18.0</v>
      </c>
      <c r="I464" s="21">
        <v>0.0</v>
      </c>
      <c r="J464" s="17" t="s">
        <v>2246</v>
      </c>
      <c r="K464" s="17" t="s">
        <v>2247</v>
      </c>
      <c r="L464" s="17" t="s">
        <v>2246</v>
      </c>
      <c r="M464" s="17" t="s">
        <v>2248</v>
      </c>
      <c r="N464" s="21">
        <f>IFERROR((C464-VLOOKUP(B464,crm_orders!$A:$S,2,FALSE))*24,0)</f>
        <v>384</v>
      </c>
      <c r="O464" s="19" t="str">
        <f>IFERROR(VLOOKUP(B464,crm_orders!$A:$S,3,FALSE),"")</f>
        <v>DSP0011</v>
      </c>
      <c r="P464" s="19" t="str">
        <f>IFERROR(VLOOKUP(B464,crm_orders!$A:$S,5,FALSE),"")</f>
        <v>NY</v>
      </c>
      <c r="Q464" s="19" t="str">
        <f>IFERROR(VLOOKUP(B464,crm_orders!$A:$S,7,FALSE),"")</f>
        <v>Wholesale</v>
      </c>
      <c r="R464" s="19" t="str">
        <f>IFERROR(VLOOKUP(B464,crm_orders!$A:$S,8,FALSE),"")</f>
        <v>SKU0005</v>
      </c>
    </row>
    <row r="465" ht="15.75" customHeight="1">
      <c r="A465" s="25" t="s">
        <v>3183</v>
      </c>
      <c r="B465" s="25" t="s">
        <v>803</v>
      </c>
      <c r="C465" s="26">
        <v>46051.0</v>
      </c>
      <c r="D465" s="25" t="s">
        <v>2243</v>
      </c>
      <c r="E465" s="25" t="s">
        <v>2244</v>
      </c>
      <c r="F465" s="25" t="s">
        <v>3184</v>
      </c>
      <c r="G465" s="29">
        <v>96.0</v>
      </c>
      <c r="H465" s="29">
        <v>96.0</v>
      </c>
      <c r="I465" s="29">
        <v>0.0</v>
      </c>
      <c r="J465" s="25" t="s">
        <v>2247</v>
      </c>
      <c r="K465" s="25" t="s">
        <v>2247</v>
      </c>
      <c r="L465" s="25" t="s">
        <v>2247</v>
      </c>
      <c r="M465" s="25" t="s">
        <v>2248</v>
      </c>
      <c r="N465" s="29">
        <f>IFERROR((C465-VLOOKUP(B465,crm_orders!$A:$S,2,FALSE))*24,0)</f>
        <v>48</v>
      </c>
      <c r="O465" s="27" t="str">
        <f>IFERROR(VLOOKUP(B465,crm_orders!$A:$S,3,FALSE),"")</f>
        <v>DSP0082</v>
      </c>
      <c r="P465" s="27" t="str">
        <f>IFERROR(VLOOKUP(B465,crm_orders!$A:$S,5,FALSE),"")</f>
        <v>NM</v>
      </c>
      <c r="Q465" s="27" t="str">
        <f>IFERROR(VLOOKUP(B465,crm_orders!$A:$S,7,FALSE),"")</f>
        <v>Wholesale</v>
      </c>
      <c r="R465" s="27" t="str">
        <f>IFERROR(VLOOKUP(B465,crm_orders!$A:$S,8,FALSE),"")</f>
        <v>SKU0006</v>
      </c>
    </row>
    <row r="466" ht="15.75" customHeight="1">
      <c r="A466" s="17" t="s">
        <v>3185</v>
      </c>
      <c r="B466" s="17" t="s">
        <v>915</v>
      </c>
      <c r="C466" s="18">
        <v>46089.0</v>
      </c>
      <c r="D466" s="17" t="s">
        <v>2260</v>
      </c>
      <c r="E466" s="17" t="s">
        <v>2244</v>
      </c>
      <c r="F466" s="17" t="s">
        <v>3186</v>
      </c>
      <c r="G466" s="21">
        <v>72.0</v>
      </c>
      <c r="H466" s="21">
        <v>72.0</v>
      </c>
      <c r="I466" s="21">
        <v>0.0</v>
      </c>
      <c r="J466" s="17" t="s">
        <v>2246</v>
      </c>
      <c r="K466" s="17" t="s">
        <v>2247</v>
      </c>
      <c r="L466" s="17" t="s">
        <v>2246</v>
      </c>
      <c r="M466" s="17" t="s">
        <v>2248</v>
      </c>
      <c r="N466" s="21">
        <f>IFERROR((C466-VLOOKUP(B466,crm_orders!$A:$S,2,FALSE))*24,0)</f>
        <v>144</v>
      </c>
      <c r="O466" s="19" t="str">
        <f>IFERROR(VLOOKUP(B466,crm_orders!$A:$S,3,FALSE),"")</f>
        <v>DSP0061</v>
      </c>
      <c r="P466" s="19" t="str">
        <f>IFERROR(VLOOKUP(B466,crm_orders!$A:$S,5,FALSE),"")</f>
        <v>OR</v>
      </c>
      <c r="Q466" s="19" t="str">
        <f>IFERROR(VLOOKUP(B466,crm_orders!$A:$S,7,FALSE),"")</f>
        <v>Wholesale</v>
      </c>
      <c r="R466" s="19" t="str">
        <f>IFERROR(VLOOKUP(B466,crm_orders!$A:$S,8,FALSE),"")</f>
        <v>SKU0010</v>
      </c>
    </row>
    <row r="467" ht="15.75" customHeight="1">
      <c r="A467" s="25" t="s">
        <v>3187</v>
      </c>
      <c r="B467" s="25" t="s">
        <v>383</v>
      </c>
      <c r="C467" s="26">
        <v>46147.0</v>
      </c>
      <c r="D467" s="25" t="s">
        <v>2254</v>
      </c>
      <c r="E467" s="25" t="s">
        <v>2251</v>
      </c>
      <c r="F467" s="25" t="s">
        <v>3188</v>
      </c>
      <c r="G467" s="29">
        <v>60.0</v>
      </c>
      <c r="H467" s="29">
        <v>60.0</v>
      </c>
      <c r="I467" s="29">
        <v>0.0</v>
      </c>
      <c r="J467" s="25" t="s">
        <v>2246</v>
      </c>
      <c r="K467" s="25" t="s">
        <v>2247</v>
      </c>
      <c r="L467" s="25" t="s">
        <v>2246</v>
      </c>
      <c r="M467" s="25" t="s">
        <v>2248</v>
      </c>
      <c r="N467" s="29">
        <f>IFERROR((C467-VLOOKUP(B467,crm_orders!$A:$S,2,FALSE))*24,0)</f>
        <v>144</v>
      </c>
      <c r="O467" s="27" t="str">
        <f>IFERROR(VLOOKUP(B467,crm_orders!$A:$S,3,FALSE),"")</f>
        <v>DSP0002</v>
      </c>
      <c r="P467" s="27" t="str">
        <f>IFERROR(VLOOKUP(B467,crm_orders!$A:$S,5,FALSE),"")</f>
        <v>WA</v>
      </c>
      <c r="Q467" s="27" t="str">
        <f>IFERROR(VLOOKUP(B467,crm_orders!$A:$S,7,FALSE),"")</f>
        <v>Wholesale</v>
      </c>
      <c r="R467" s="27" t="str">
        <f>IFERROR(VLOOKUP(B467,crm_orders!$A:$S,8,FALSE),"")</f>
        <v>SKU0010</v>
      </c>
    </row>
    <row r="468" ht="15.75" customHeight="1">
      <c r="A468" s="17" t="s">
        <v>3189</v>
      </c>
      <c r="B468" s="17" t="s">
        <v>804</v>
      </c>
      <c r="C468" s="18">
        <v>46105.0</v>
      </c>
      <c r="D468" s="17" t="s">
        <v>2260</v>
      </c>
      <c r="E468" s="17" t="s">
        <v>2251</v>
      </c>
      <c r="F468" s="17" t="s">
        <v>3190</v>
      </c>
      <c r="G468" s="21">
        <v>120.0</v>
      </c>
      <c r="H468" s="21">
        <v>120.0</v>
      </c>
      <c r="I468" s="21">
        <v>0.0</v>
      </c>
      <c r="J468" s="17" t="s">
        <v>2246</v>
      </c>
      <c r="K468" s="17" t="s">
        <v>2247</v>
      </c>
      <c r="L468" s="17" t="s">
        <v>2246</v>
      </c>
      <c r="M468" s="17" t="s">
        <v>2248</v>
      </c>
      <c r="N468" s="21">
        <f>IFERROR((C468-VLOOKUP(B468,crm_orders!$A:$S,2,FALSE))*24,0)</f>
        <v>96</v>
      </c>
      <c r="O468" s="19" t="str">
        <f>IFERROR(VLOOKUP(B468,crm_orders!$A:$S,3,FALSE),"")</f>
        <v>DSP0046</v>
      </c>
      <c r="P468" s="19" t="str">
        <f>IFERROR(VLOOKUP(B468,crm_orders!$A:$S,5,FALSE),"")</f>
        <v>NM</v>
      </c>
      <c r="Q468" s="19" t="str">
        <f>IFERROR(VLOOKUP(B468,crm_orders!$A:$S,7,FALSE),"")</f>
        <v>Wholesale</v>
      </c>
      <c r="R468" s="19" t="str">
        <f>IFERROR(VLOOKUP(B468,crm_orders!$A:$S,8,FALSE),"")</f>
        <v>SKU0014</v>
      </c>
    </row>
    <row r="469" ht="15.75" customHeight="1">
      <c r="A469" s="25" t="s">
        <v>3191</v>
      </c>
      <c r="B469" s="25" t="s">
        <v>128</v>
      </c>
      <c r="C469" s="26">
        <v>46122.0</v>
      </c>
      <c r="D469" s="25" t="s">
        <v>2250</v>
      </c>
      <c r="E469" s="25" t="s">
        <v>2244</v>
      </c>
      <c r="F469" s="25" t="s">
        <v>3192</v>
      </c>
      <c r="G469" s="29">
        <v>120.0</v>
      </c>
      <c r="H469" s="29">
        <v>120.0</v>
      </c>
      <c r="I469" s="29">
        <v>0.0</v>
      </c>
      <c r="J469" s="25" t="s">
        <v>2246</v>
      </c>
      <c r="K469" s="25" t="s">
        <v>2247</v>
      </c>
      <c r="L469" s="25" t="s">
        <v>2246</v>
      </c>
      <c r="M469" s="25" t="s">
        <v>2248</v>
      </c>
      <c r="N469" s="29">
        <f>IFERROR((C469-VLOOKUP(B469,crm_orders!$A:$S,2,FALSE))*24,0)</f>
        <v>144</v>
      </c>
      <c r="O469" s="27" t="str">
        <f>IFERROR(VLOOKUP(B469,crm_orders!$A:$S,3,FALSE),"")</f>
        <v>DSP0060</v>
      </c>
      <c r="P469" s="27" t="str">
        <f>IFERROR(VLOOKUP(B469,crm_orders!$A:$S,5,FALSE),"")</f>
        <v>OK</v>
      </c>
      <c r="Q469" s="27" t="str">
        <f>IFERROR(VLOOKUP(B469,crm_orders!$A:$S,7,FALSE),"")</f>
        <v>Wholesale</v>
      </c>
      <c r="R469" s="27" t="str">
        <f>IFERROR(VLOOKUP(B469,crm_orders!$A:$S,8,FALSE),"")</f>
        <v>SKU0008</v>
      </c>
    </row>
    <row r="470" ht="15.75" customHeight="1">
      <c r="A470" s="17" t="s">
        <v>3193</v>
      </c>
      <c r="B470" s="17" t="s">
        <v>384</v>
      </c>
      <c r="C470" s="18">
        <v>46031.0</v>
      </c>
      <c r="D470" s="17" t="s">
        <v>2269</v>
      </c>
      <c r="E470" s="17" t="s">
        <v>2286</v>
      </c>
      <c r="F470" s="17" t="s">
        <v>3194</v>
      </c>
      <c r="G470" s="21">
        <v>48.0</v>
      </c>
      <c r="H470" s="21">
        <v>48.0</v>
      </c>
      <c r="I470" s="21">
        <v>0.0</v>
      </c>
      <c r="J470" s="17" t="s">
        <v>2246</v>
      </c>
      <c r="K470" s="17" t="s">
        <v>2247</v>
      </c>
      <c r="L470" s="17" t="s">
        <v>2246</v>
      </c>
      <c r="M470" s="17" t="s">
        <v>2248</v>
      </c>
      <c r="N470" s="21">
        <f>IFERROR((C470-VLOOKUP(B470,crm_orders!$A:$S,2,FALSE))*24,0)</f>
        <v>168</v>
      </c>
      <c r="O470" s="19" t="str">
        <f>IFERROR(VLOOKUP(B470,crm_orders!$A:$S,3,FALSE),"")</f>
        <v>DSP0002</v>
      </c>
      <c r="P470" s="19" t="str">
        <f>IFERROR(VLOOKUP(B470,crm_orders!$A:$S,5,FALSE),"")</f>
        <v>WA</v>
      </c>
      <c r="Q470" s="19" t="str">
        <f>IFERROR(VLOOKUP(B470,crm_orders!$A:$S,7,FALSE),"")</f>
        <v>Wholesale</v>
      </c>
      <c r="R470" s="19" t="str">
        <f>IFERROR(VLOOKUP(B470,crm_orders!$A:$S,8,FALSE),"")</f>
        <v>SKU0003</v>
      </c>
    </row>
    <row r="471" ht="15.75" customHeight="1">
      <c r="A471" s="25" t="s">
        <v>3195</v>
      </c>
      <c r="B471" s="25" t="s">
        <v>243</v>
      </c>
      <c r="C471" s="26">
        <v>46109.0</v>
      </c>
      <c r="D471" s="25" t="s">
        <v>2260</v>
      </c>
      <c r="E471" s="25" t="s">
        <v>2261</v>
      </c>
      <c r="F471" s="25" t="s">
        <v>3196</v>
      </c>
      <c r="G471" s="29">
        <v>12.0</v>
      </c>
      <c r="H471" s="29">
        <v>12.0</v>
      </c>
      <c r="I471" s="29">
        <v>0.0</v>
      </c>
      <c r="J471" s="25" t="s">
        <v>2246</v>
      </c>
      <c r="K471" s="25" t="s">
        <v>2247</v>
      </c>
      <c r="L471" s="25" t="s">
        <v>2246</v>
      </c>
      <c r="M471" s="25" t="s">
        <v>2248</v>
      </c>
      <c r="N471" s="29">
        <f>IFERROR((C471-VLOOKUP(B471,crm_orders!$A:$S,2,FALSE))*24,0)</f>
        <v>168</v>
      </c>
      <c r="O471" s="27" t="str">
        <f>IFERROR(VLOOKUP(B471,crm_orders!$A:$S,3,FALSE),"")</f>
        <v>DSP0005</v>
      </c>
      <c r="P471" s="27" t="str">
        <f>IFERROR(VLOOKUP(B471,crm_orders!$A:$S,5,FALSE),"")</f>
        <v>AZ</v>
      </c>
      <c r="Q471" s="27" t="str">
        <f>IFERROR(VLOOKUP(B471,crm_orders!$A:$S,7,FALSE),"")</f>
        <v>Distributor</v>
      </c>
      <c r="R471" s="27" t="str">
        <f>IFERROR(VLOOKUP(B471,crm_orders!$A:$S,8,FALSE),"")</f>
        <v>SKU0001</v>
      </c>
    </row>
    <row r="472" ht="15.75" customHeight="1">
      <c r="A472" s="17" t="s">
        <v>3197</v>
      </c>
      <c r="B472" s="17" t="s">
        <v>1169</v>
      </c>
      <c r="C472" s="18">
        <v>46069.0</v>
      </c>
      <c r="D472" s="17" t="s">
        <v>2254</v>
      </c>
      <c r="E472" s="17" t="s">
        <v>2255</v>
      </c>
      <c r="F472" s="17" t="s">
        <v>3198</v>
      </c>
      <c r="G472" s="21">
        <v>30.0</v>
      </c>
      <c r="H472" s="21">
        <v>30.0</v>
      </c>
      <c r="I472" s="21">
        <v>0.0</v>
      </c>
      <c r="J472" s="17" t="s">
        <v>2246</v>
      </c>
      <c r="K472" s="17" t="s">
        <v>2247</v>
      </c>
      <c r="L472" s="17" t="s">
        <v>2246</v>
      </c>
      <c r="M472" s="17" t="s">
        <v>2248</v>
      </c>
      <c r="N472" s="21">
        <f>IFERROR((C472-VLOOKUP(B472,crm_orders!$A:$S,2,FALSE))*24,0)</f>
        <v>336</v>
      </c>
      <c r="O472" s="19" t="str">
        <f>IFERROR(VLOOKUP(B472,crm_orders!$A:$S,3,FALSE),"")</f>
        <v>DSP0015</v>
      </c>
      <c r="P472" s="19" t="str">
        <f>IFERROR(VLOOKUP(B472,crm_orders!$A:$S,5,FALSE),"")</f>
        <v>CA</v>
      </c>
      <c r="Q472" s="19" t="str">
        <f>IFERROR(VLOOKUP(B472,crm_orders!$A:$S,7,FALSE),"")</f>
        <v>Wholesale</v>
      </c>
      <c r="R472" s="19" t="str">
        <f>IFERROR(VLOOKUP(B472,crm_orders!$A:$S,8,FALSE),"")</f>
        <v>SKU0006</v>
      </c>
    </row>
    <row r="473" ht="15.75" customHeight="1">
      <c r="A473" s="25" t="s">
        <v>3199</v>
      </c>
      <c r="B473" s="25" t="s">
        <v>1031</v>
      </c>
      <c r="C473" s="26">
        <v>46065.0</v>
      </c>
      <c r="D473" s="25" t="s">
        <v>2254</v>
      </c>
      <c r="E473" s="25" t="s">
        <v>2255</v>
      </c>
      <c r="F473" s="25" t="s">
        <v>3200</v>
      </c>
      <c r="G473" s="29">
        <v>18.0</v>
      </c>
      <c r="H473" s="29">
        <v>18.0</v>
      </c>
      <c r="I473" s="29">
        <v>0.0</v>
      </c>
      <c r="J473" s="25" t="s">
        <v>2246</v>
      </c>
      <c r="K473" s="25" t="s">
        <v>2247</v>
      </c>
      <c r="L473" s="25" t="s">
        <v>2246</v>
      </c>
      <c r="M473" s="25" t="s">
        <v>2248</v>
      </c>
      <c r="N473" s="29">
        <f>IFERROR((C473-VLOOKUP(B473,crm_orders!$A:$S,2,FALSE))*24,0)</f>
        <v>240</v>
      </c>
      <c r="O473" s="27" t="str">
        <f>IFERROR(VLOOKUP(B473,crm_orders!$A:$S,3,FALSE),"")</f>
        <v>DSP0086</v>
      </c>
      <c r="P473" s="27" t="str">
        <f>IFERROR(VLOOKUP(B473,crm_orders!$A:$S,5,FALSE),"")</f>
        <v>WA</v>
      </c>
      <c r="Q473" s="27" t="str">
        <f>IFERROR(VLOOKUP(B473,crm_orders!$A:$S,7,FALSE),"")</f>
        <v>Wholesale</v>
      </c>
      <c r="R473" s="27" t="str">
        <f>IFERROR(VLOOKUP(B473,crm_orders!$A:$S,8,FALSE),"")</f>
        <v>SKU0011</v>
      </c>
    </row>
    <row r="474" ht="15.75" customHeight="1">
      <c r="A474" s="17" t="s">
        <v>3201</v>
      </c>
      <c r="B474" s="17" t="s">
        <v>805</v>
      </c>
      <c r="C474" s="18">
        <v>46053.0</v>
      </c>
      <c r="D474" s="17" t="s">
        <v>2260</v>
      </c>
      <c r="E474" s="17" t="s">
        <v>2251</v>
      </c>
      <c r="F474" s="17" t="s">
        <v>3202</v>
      </c>
      <c r="G474" s="21">
        <v>60.0</v>
      </c>
      <c r="H474" s="21">
        <v>60.0</v>
      </c>
      <c r="I474" s="21">
        <v>0.0</v>
      </c>
      <c r="J474" s="17" t="s">
        <v>2246</v>
      </c>
      <c r="K474" s="17" t="s">
        <v>2247</v>
      </c>
      <c r="L474" s="17" t="s">
        <v>2246</v>
      </c>
      <c r="M474" s="17" t="s">
        <v>2248</v>
      </c>
      <c r="N474" s="21">
        <f>IFERROR((C474-VLOOKUP(B474,crm_orders!$A:$S,2,FALSE))*24,0)</f>
        <v>192</v>
      </c>
      <c r="O474" s="19" t="str">
        <f>IFERROR(VLOOKUP(B474,crm_orders!$A:$S,3,FALSE),"")</f>
        <v>DSP0105</v>
      </c>
      <c r="P474" s="19" t="str">
        <f>IFERROR(VLOOKUP(B474,crm_orders!$A:$S,5,FALSE),"")</f>
        <v>MO</v>
      </c>
      <c r="Q474" s="19" t="str">
        <f>IFERROR(VLOOKUP(B474,crm_orders!$A:$S,7,FALSE),"")</f>
        <v>Wholesale</v>
      </c>
      <c r="R474" s="19" t="str">
        <f>IFERROR(VLOOKUP(B474,crm_orders!$A:$S,8,FALSE),"")</f>
        <v>SKU0009</v>
      </c>
    </row>
    <row r="475" ht="15.75" customHeight="1">
      <c r="A475" s="25" t="s">
        <v>3203</v>
      </c>
      <c r="B475" s="25" t="s">
        <v>635</v>
      </c>
      <c r="C475" s="26">
        <v>46126.0</v>
      </c>
      <c r="D475" s="25" t="s">
        <v>2269</v>
      </c>
      <c r="E475" s="25" t="s">
        <v>2261</v>
      </c>
      <c r="F475" s="25" t="s">
        <v>3204</v>
      </c>
      <c r="G475" s="29">
        <v>48.0</v>
      </c>
      <c r="H475" s="29">
        <v>48.0</v>
      </c>
      <c r="I475" s="29">
        <v>0.0</v>
      </c>
      <c r="J475" s="25" t="s">
        <v>2247</v>
      </c>
      <c r="K475" s="25" t="s">
        <v>2247</v>
      </c>
      <c r="L475" s="25" t="s">
        <v>2247</v>
      </c>
      <c r="M475" s="25" t="s">
        <v>2248</v>
      </c>
      <c r="N475" s="29">
        <f>IFERROR((C475-VLOOKUP(B475,crm_orders!$A:$S,2,FALSE))*24,0)</f>
        <v>120</v>
      </c>
      <c r="O475" s="27" t="str">
        <f>IFERROR(VLOOKUP(B475,crm_orders!$A:$S,3,FALSE),"")</f>
        <v>DSP0019</v>
      </c>
      <c r="P475" s="27" t="str">
        <f>IFERROR(VLOOKUP(B475,crm_orders!$A:$S,5,FALSE),"")</f>
        <v>IL</v>
      </c>
      <c r="Q475" s="27" t="str">
        <f>IFERROR(VLOOKUP(B475,crm_orders!$A:$S,7,FALSE),"")</f>
        <v>Distributor</v>
      </c>
      <c r="R475" s="27" t="str">
        <f>IFERROR(VLOOKUP(B475,crm_orders!$A:$S,8,FALSE),"")</f>
        <v>SKU0018</v>
      </c>
    </row>
    <row r="476" ht="15.75" customHeight="1">
      <c r="A476" s="17" t="s">
        <v>3205</v>
      </c>
      <c r="B476" s="17" t="s">
        <v>385</v>
      </c>
      <c r="C476" s="18">
        <v>46126.0</v>
      </c>
      <c r="D476" s="17" t="s">
        <v>2269</v>
      </c>
      <c r="E476" s="17" t="s">
        <v>2244</v>
      </c>
      <c r="F476" s="17" t="s">
        <v>3206</v>
      </c>
      <c r="G476" s="21">
        <v>60.0</v>
      </c>
      <c r="H476" s="21">
        <v>60.0</v>
      </c>
      <c r="I476" s="21">
        <v>0.0</v>
      </c>
      <c r="J476" s="17" t="s">
        <v>2246</v>
      </c>
      <c r="K476" s="17" t="s">
        <v>2247</v>
      </c>
      <c r="L476" s="17" t="s">
        <v>2246</v>
      </c>
      <c r="M476" s="17" t="s">
        <v>2248</v>
      </c>
      <c r="N476" s="21">
        <f>IFERROR((C476-VLOOKUP(B476,crm_orders!$A:$S,2,FALSE))*24,0)</f>
        <v>96</v>
      </c>
      <c r="O476" s="19" t="str">
        <f>IFERROR(VLOOKUP(B476,crm_orders!$A:$S,3,FALSE),"")</f>
        <v>DSP0074</v>
      </c>
      <c r="P476" s="19" t="str">
        <f>IFERROR(VLOOKUP(B476,crm_orders!$A:$S,5,FALSE),"")</f>
        <v>WA</v>
      </c>
      <c r="Q476" s="19" t="str">
        <f>IFERROR(VLOOKUP(B476,crm_orders!$A:$S,7,FALSE),"")</f>
        <v>Retail</v>
      </c>
      <c r="R476" s="19" t="str">
        <f>IFERROR(VLOOKUP(B476,crm_orders!$A:$S,8,FALSE),"")</f>
        <v>SKU0009</v>
      </c>
    </row>
    <row r="477" ht="15.75" customHeight="1">
      <c r="A477" s="25" t="s">
        <v>3207</v>
      </c>
      <c r="B477" s="25" t="s">
        <v>806</v>
      </c>
      <c r="C477" s="26">
        <v>46114.0</v>
      </c>
      <c r="D477" s="25" t="s">
        <v>2250</v>
      </c>
      <c r="E477" s="25" t="s">
        <v>2261</v>
      </c>
      <c r="F477" s="25" t="s">
        <v>3208</v>
      </c>
      <c r="G477" s="29">
        <v>30.0</v>
      </c>
      <c r="H477" s="29">
        <v>30.0</v>
      </c>
      <c r="I477" s="29">
        <v>0.0</v>
      </c>
      <c r="J477" s="25" t="s">
        <v>2246</v>
      </c>
      <c r="K477" s="25" t="s">
        <v>2247</v>
      </c>
      <c r="L477" s="25" t="s">
        <v>2246</v>
      </c>
      <c r="M477" s="25" t="s">
        <v>2248</v>
      </c>
      <c r="N477" s="29">
        <f>IFERROR((C477-VLOOKUP(B477,crm_orders!$A:$S,2,FALSE))*24,0)</f>
        <v>96</v>
      </c>
      <c r="O477" s="27" t="str">
        <f>IFERROR(VLOOKUP(B477,crm_orders!$A:$S,3,FALSE),"")</f>
        <v>DSP0046</v>
      </c>
      <c r="P477" s="27" t="str">
        <f>IFERROR(VLOOKUP(B477,crm_orders!$A:$S,5,FALSE),"")</f>
        <v>NM</v>
      </c>
      <c r="Q477" s="27" t="str">
        <f>IFERROR(VLOOKUP(B477,crm_orders!$A:$S,7,FALSE),"")</f>
        <v>Distributor</v>
      </c>
      <c r="R477" s="27" t="str">
        <f>IFERROR(VLOOKUP(B477,crm_orders!$A:$S,8,FALSE),"")</f>
        <v>SKU0011</v>
      </c>
    </row>
    <row r="478" ht="15.75" customHeight="1">
      <c r="A478" s="17" t="s">
        <v>3209</v>
      </c>
      <c r="B478" s="17" t="s">
        <v>244</v>
      </c>
      <c r="C478" s="18">
        <v>46141.0</v>
      </c>
      <c r="D478" s="17" t="s">
        <v>2260</v>
      </c>
      <c r="E478" s="17" t="s">
        <v>2255</v>
      </c>
      <c r="F478" s="17" t="s">
        <v>3210</v>
      </c>
      <c r="G478" s="21">
        <v>60.0</v>
      </c>
      <c r="H478" s="21">
        <v>60.0</v>
      </c>
      <c r="I478" s="21">
        <v>0.0</v>
      </c>
      <c r="J478" s="17" t="s">
        <v>2246</v>
      </c>
      <c r="K478" s="17" t="s">
        <v>2247</v>
      </c>
      <c r="L478" s="17" t="s">
        <v>2246</v>
      </c>
      <c r="M478" s="17" t="s">
        <v>2248</v>
      </c>
      <c r="N478" s="21">
        <f>IFERROR((C478-VLOOKUP(B478,crm_orders!$A:$S,2,FALSE))*24,0)</f>
        <v>264</v>
      </c>
      <c r="O478" s="19" t="str">
        <f>IFERROR(VLOOKUP(B478,crm_orders!$A:$S,3,FALSE),"")</f>
        <v>DSP0044</v>
      </c>
      <c r="P478" s="19" t="str">
        <f>IFERROR(VLOOKUP(B478,crm_orders!$A:$S,5,FALSE),"")</f>
        <v>MI</v>
      </c>
      <c r="Q478" s="19" t="str">
        <f>IFERROR(VLOOKUP(B478,crm_orders!$A:$S,7,FALSE),"")</f>
        <v>Wholesale</v>
      </c>
      <c r="R478" s="19" t="str">
        <f>IFERROR(VLOOKUP(B478,crm_orders!$A:$S,8,FALSE),"")</f>
        <v>SKU0003</v>
      </c>
    </row>
    <row r="479" ht="15.75" customHeight="1">
      <c r="A479" s="25" t="s">
        <v>3211</v>
      </c>
      <c r="B479" s="25" t="s">
        <v>636</v>
      </c>
      <c r="C479" s="26">
        <v>46114.0</v>
      </c>
      <c r="D479" s="25" t="s">
        <v>2269</v>
      </c>
      <c r="E479" s="25" t="s">
        <v>2251</v>
      </c>
      <c r="F479" s="25" t="s">
        <v>3212</v>
      </c>
      <c r="G479" s="29">
        <v>48.0</v>
      </c>
      <c r="H479" s="29">
        <v>48.0</v>
      </c>
      <c r="I479" s="29">
        <v>0.0</v>
      </c>
      <c r="J479" s="25" t="s">
        <v>2247</v>
      </c>
      <c r="K479" s="25" t="s">
        <v>2247</v>
      </c>
      <c r="L479" s="25" t="s">
        <v>2247</v>
      </c>
      <c r="M479" s="25" t="s">
        <v>2248</v>
      </c>
      <c r="N479" s="29">
        <f>IFERROR((C479-VLOOKUP(B479,crm_orders!$A:$S,2,FALSE))*24,0)</f>
        <v>48</v>
      </c>
      <c r="O479" s="27" t="str">
        <f>IFERROR(VLOOKUP(B479,crm_orders!$A:$S,3,FALSE),"")</f>
        <v>DSP0025</v>
      </c>
      <c r="P479" s="27" t="str">
        <f>IFERROR(VLOOKUP(B479,crm_orders!$A:$S,5,FALSE),"")</f>
        <v>OR</v>
      </c>
      <c r="Q479" s="27" t="str">
        <f>IFERROR(VLOOKUP(B479,crm_orders!$A:$S,7,FALSE),"")</f>
        <v>Wholesale</v>
      </c>
      <c r="R479" s="27" t="str">
        <f>IFERROR(VLOOKUP(B479,crm_orders!$A:$S,8,FALSE),"")</f>
        <v>SKU0010</v>
      </c>
    </row>
    <row r="480" ht="15.75" customHeight="1">
      <c r="A480" s="17" t="s">
        <v>3213</v>
      </c>
      <c r="B480" s="17" t="s">
        <v>637</v>
      </c>
      <c r="C480" s="18">
        <v>46036.0</v>
      </c>
      <c r="D480" s="17" t="s">
        <v>2260</v>
      </c>
      <c r="E480" s="17" t="s">
        <v>2286</v>
      </c>
      <c r="F480" s="17" t="s">
        <v>3214</v>
      </c>
      <c r="G480" s="21">
        <v>24.0</v>
      </c>
      <c r="H480" s="21">
        <v>24.0</v>
      </c>
      <c r="I480" s="21">
        <v>0.0</v>
      </c>
      <c r="J480" s="17" t="s">
        <v>2246</v>
      </c>
      <c r="K480" s="17" t="s">
        <v>2247</v>
      </c>
      <c r="L480" s="17" t="s">
        <v>2246</v>
      </c>
      <c r="M480" s="17" t="s">
        <v>2248</v>
      </c>
      <c r="N480" s="21">
        <f>IFERROR((C480-VLOOKUP(B480,crm_orders!$A:$S,2,FALSE))*24,0)</f>
        <v>216</v>
      </c>
      <c r="O480" s="19" t="str">
        <f>IFERROR(VLOOKUP(B480,crm_orders!$A:$S,3,FALSE),"")</f>
        <v>DSP0025</v>
      </c>
      <c r="P480" s="19" t="str">
        <f>IFERROR(VLOOKUP(B480,crm_orders!$A:$S,5,FALSE),"")</f>
        <v>OR</v>
      </c>
      <c r="Q480" s="19" t="str">
        <f>IFERROR(VLOOKUP(B480,crm_orders!$A:$S,7,FALSE),"")</f>
        <v>Wholesale</v>
      </c>
      <c r="R480" s="19" t="str">
        <f>IFERROR(VLOOKUP(B480,crm_orders!$A:$S,8,FALSE),"")</f>
        <v>SKU0005</v>
      </c>
    </row>
    <row r="481" ht="15.75" customHeight="1">
      <c r="A481" s="25" t="s">
        <v>3215</v>
      </c>
      <c r="B481" s="25" t="s">
        <v>130</v>
      </c>
      <c r="C481" s="26">
        <v>46098.0</v>
      </c>
      <c r="D481" s="25" t="s">
        <v>2250</v>
      </c>
      <c r="E481" s="25" t="s">
        <v>2286</v>
      </c>
      <c r="F481" s="25" t="s">
        <v>3216</v>
      </c>
      <c r="G481" s="29">
        <v>60.0</v>
      </c>
      <c r="H481" s="29">
        <v>60.0</v>
      </c>
      <c r="I481" s="29">
        <v>0.0</v>
      </c>
      <c r="J481" s="25" t="s">
        <v>2246</v>
      </c>
      <c r="K481" s="25" t="s">
        <v>2247</v>
      </c>
      <c r="L481" s="25" t="s">
        <v>2246</v>
      </c>
      <c r="M481" s="25" t="s">
        <v>2248</v>
      </c>
      <c r="N481" s="29">
        <f>IFERROR((C481-VLOOKUP(B481,crm_orders!$A:$S,2,FALSE))*24,0)</f>
        <v>168</v>
      </c>
      <c r="O481" s="27" t="str">
        <f>IFERROR(VLOOKUP(B481,crm_orders!$A:$S,3,FALSE),"")</f>
        <v>DSP0040</v>
      </c>
      <c r="P481" s="27" t="str">
        <f>IFERROR(VLOOKUP(B481,crm_orders!$A:$S,5,FALSE),"")</f>
        <v>CO</v>
      </c>
      <c r="Q481" s="27" t="str">
        <f>IFERROR(VLOOKUP(B481,crm_orders!$A:$S,7,FALSE),"")</f>
        <v>Wholesale</v>
      </c>
      <c r="R481" s="27" t="str">
        <f>IFERROR(VLOOKUP(B481,crm_orders!$A:$S,8,FALSE),"")</f>
        <v>SKU0016</v>
      </c>
    </row>
    <row r="482" ht="15.75" customHeight="1">
      <c r="A482" s="17" t="s">
        <v>3217</v>
      </c>
      <c r="B482" s="17" t="s">
        <v>916</v>
      </c>
      <c r="C482" s="18">
        <v>46037.0</v>
      </c>
      <c r="D482" s="17" t="s">
        <v>2260</v>
      </c>
      <c r="E482" s="17" t="s">
        <v>2255</v>
      </c>
      <c r="F482" s="17" t="s">
        <v>3218</v>
      </c>
      <c r="G482" s="21">
        <v>18.0</v>
      </c>
      <c r="H482" s="21">
        <v>0.0</v>
      </c>
      <c r="I482" s="21">
        <v>18.0</v>
      </c>
      <c r="J482" s="17" t="s">
        <v>2247</v>
      </c>
      <c r="K482" s="17" t="s">
        <v>2246</v>
      </c>
      <c r="L482" s="17" t="s">
        <v>2246</v>
      </c>
      <c r="M482" s="17" t="s">
        <v>2267</v>
      </c>
      <c r="N482" s="21">
        <f>IFERROR((C482-VLOOKUP(B482,crm_orders!$A:$S,2,FALSE))*24,0)</f>
        <v>240</v>
      </c>
      <c r="O482" s="19" t="str">
        <f>IFERROR(VLOOKUP(B482,crm_orders!$A:$S,3,FALSE),"")</f>
        <v>DSP0119</v>
      </c>
      <c r="P482" s="19" t="str">
        <f>IFERROR(VLOOKUP(B482,crm_orders!$A:$S,5,FALSE),"")</f>
        <v>NY</v>
      </c>
      <c r="Q482" s="19" t="str">
        <f>IFERROR(VLOOKUP(B482,crm_orders!$A:$S,7,FALSE),"")</f>
        <v>Distributor</v>
      </c>
      <c r="R482" s="19" t="str">
        <f>IFERROR(VLOOKUP(B482,crm_orders!$A:$S,8,FALSE),"")</f>
        <v>SKU0003</v>
      </c>
    </row>
    <row r="483" ht="15.75" customHeight="1">
      <c r="A483" s="25" t="s">
        <v>3219</v>
      </c>
      <c r="B483" s="25" t="s">
        <v>386</v>
      </c>
      <c r="C483" s="26">
        <v>46054.0</v>
      </c>
      <c r="D483" s="25" t="s">
        <v>2250</v>
      </c>
      <c r="E483" s="25" t="s">
        <v>2286</v>
      </c>
      <c r="F483" s="25" t="s">
        <v>3220</v>
      </c>
      <c r="G483" s="29">
        <v>120.0</v>
      </c>
      <c r="H483" s="29">
        <v>120.0</v>
      </c>
      <c r="I483" s="29">
        <v>0.0</v>
      </c>
      <c r="J483" s="25" t="s">
        <v>2246</v>
      </c>
      <c r="K483" s="25" t="s">
        <v>2247</v>
      </c>
      <c r="L483" s="25" t="s">
        <v>2246</v>
      </c>
      <c r="M483" s="25" t="s">
        <v>2248</v>
      </c>
      <c r="N483" s="29">
        <f>IFERROR((C483-VLOOKUP(B483,crm_orders!$A:$S,2,FALSE))*24,0)</f>
        <v>216</v>
      </c>
      <c r="O483" s="27" t="str">
        <f>IFERROR(VLOOKUP(B483,crm_orders!$A:$S,3,FALSE),"")</f>
        <v>DSP0017</v>
      </c>
      <c r="P483" s="27" t="str">
        <f>IFERROR(VLOOKUP(B483,crm_orders!$A:$S,5,FALSE),"")</f>
        <v>AZ</v>
      </c>
      <c r="Q483" s="27" t="str">
        <f>IFERROR(VLOOKUP(B483,crm_orders!$A:$S,7,FALSE),"")</f>
        <v>Retail</v>
      </c>
      <c r="R483" s="27" t="str">
        <f>IFERROR(VLOOKUP(B483,crm_orders!$A:$S,8,FALSE),"")</f>
        <v>SKU0001</v>
      </c>
    </row>
    <row r="484" ht="15.75" customHeight="1">
      <c r="A484" s="17" t="s">
        <v>3221</v>
      </c>
      <c r="B484" s="17" t="s">
        <v>917</v>
      </c>
      <c r="C484" s="18">
        <v>46068.0</v>
      </c>
      <c r="D484" s="17" t="s">
        <v>2260</v>
      </c>
      <c r="E484" s="17" t="s">
        <v>2261</v>
      </c>
      <c r="F484" s="17" t="s">
        <v>3222</v>
      </c>
      <c r="G484" s="21">
        <v>12.0</v>
      </c>
      <c r="H484" s="21">
        <v>12.0</v>
      </c>
      <c r="I484" s="21">
        <v>0.0</v>
      </c>
      <c r="J484" s="17" t="s">
        <v>2247</v>
      </c>
      <c r="K484" s="17" t="s">
        <v>2247</v>
      </c>
      <c r="L484" s="17" t="s">
        <v>2247</v>
      </c>
      <c r="M484" s="17" t="s">
        <v>2248</v>
      </c>
      <c r="N484" s="21">
        <f>IFERROR((C484-VLOOKUP(B484,crm_orders!$A:$S,2,FALSE))*24,0)</f>
        <v>96</v>
      </c>
      <c r="O484" s="19" t="str">
        <f>IFERROR(VLOOKUP(B484,crm_orders!$A:$S,3,FALSE),"")</f>
        <v>DSP0095</v>
      </c>
      <c r="P484" s="19" t="str">
        <f>IFERROR(VLOOKUP(B484,crm_orders!$A:$S,5,FALSE),"")</f>
        <v>NY</v>
      </c>
      <c r="Q484" s="19" t="str">
        <f>IFERROR(VLOOKUP(B484,crm_orders!$A:$S,7,FALSE),"")</f>
        <v>Wholesale</v>
      </c>
      <c r="R484" s="19" t="str">
        <f>IFERROR(VLOOKUP(B484,crm_orders!$A:$S,8,FALSE),"")</f>
        <v>SKU0013</v>
      </c>
    </row>
    <row r="485" ht="15.75" customHeight="1">
      <c r="A485" s="25" t="s">
        <v>3223</v>
      </c>
      <c r="B485" s="25" t="s">
        <v>131</v>
      </c>
      <c r="C485" s="26">
        <v>46045.0</v>
      </c>
      <c r="D485" s="25" t="s">
        <v>2250</v>
      </c>
      <c r="E485" s="25" t="s">
        <v>2255</v>
      </c>
      <c r="F485" s="25" t="s">
        <v>3224</v>
      </c>
      <c r="G485" s="29">
        <v>12.0</v>
      </c>
      <c r="H485" s="29">
        <v>12.0</v>
      </c>
      <c r="I485" s="29">
        <v>0.0</v>
      </c>
      <c r="J485" s="25" t="s">
        <v>2246</v>
      </c>
      <c r="K485" s="25" t="s">
        <v>2247</v>
      </c>
      <c r="L485" s="25" t="s">
        <v>2246</v>
      </c>
      <c r="M485" s="25" t="s">
        <v>2248</v>
      </c>
      <c r="N485" s="29">
        <f>IFERROR((C485-VLOOKUP(B485,crm_orders!$A:$S,2,FALSE))*24,0)</f>
        <v>120</v>
      </c>
      <c r="O485" s="27" t="str">
        <f>IFERROR(VLOOKUP(B485,crm_orders!$A:$S,3,FALSE),"")</f>
        <v>DSP0075</v>
      </c>
      <c r="P485" s="27" t="str">
        <f>IFERROR(VLOOKUP(B485,crm_orders!$A:$S,5,FALSE),"")</f>
        <v>CA</v>
      </c>
      <c r="Q485" s="27" t="str">
        <f>IFERROR(VLOOKUP(B485,crm_orders!$A:$S,7,FALSE),"")</f>
        <v>Wholesale</v>
      </c>
      <c r="R485" s="27" t="str">
        <f>IFERROR(VLOOKUP(B485,crm_orders!$A:$S,8,FALSE),"")</f>
        <v>SKU0002</v>
      </c>
    </row>
    <row r="486" ht="15.75" customHeight="1">
      <c r="A486" s="17" t="s">
        <v>3225</v>
      </c>
      <c r="B486" s="17" t="s">
        <v>808</v>
      </c>
      <c r="C486" s="18">
        <v>46090.0</v>
      </c>
      <c r="D486" s="17" t="s">
        <v>2269</v>
      </c>
      <c r="E486" s="17" t="s">
        <v>2244</v>
      </c>
      <c r="F486" s="17" t="s">
        <v>3226</v>
      </c>
      <c r="G486" s="21">
        <v>60.0</v>
      </c>
      <c r="H486" s="21">
        <v>60.0</v>
      </c>
      <c r="I486" s="21">
        <v>0.0</v>
      </c>
      <c r="J486" s="17" t="s">
        <v>2247</v>
      </c>
      <c r="K486" s="17" t="s">
        <v>2247</v>
      </c>
      <c r="L486" s="17" t="s">
        <v>2247</v>
      </c>
      <c r="M486" s="17" t="s">
        <v>2248</v>
      </c>
      <c r="N486" s="21">
        <f>IFERROR((C486-VLOOKUP(B486,crm_orders!$A:$S,2,FALSE))*24,0)</f>
        <v>24</v>
      </c>
      <c r="O486" s="19" t="str">
        <f>IFERROR(VLOOKUP(B486,crm_orders!$A:$S,3,FALSE),"")</f>
        <v>DSP0082</v>
      </c>
      <c r="P486" s="19" t="str">
        <f>IFERROR(VLOOKUP(B486,crm_orders!$A:$S,5,FALSE),"")</f>
        <v>NM</v>
      </c>
      <c r="Q486" s="19" t="str">
        <f>IFERROR(VLOOKUP(B486,crm_orders!$A:$S,7,FALSE),"")</f>
        <v>Wholesale</v>
      </c>
      <c r="R486" s="19" t="str">
        <f>IFERROR(VLOOKUP(B486,crm_orders!$A:$S,8,FALSE),"")</f>
        <v>SKU0009</v>
      </c>
    </row>
    <row r="487" ht="15.75" customHeight="1">
      <c r="A487" s="25" t="s">
        <v>3227</v>
      </c>
      <c r="B487" s="25" t="s">
        <v>639</v>
      </c>
      <c r="C487" s="26">
        <v>46106.0</v>
      </c>
      <c r="D487" s="25" t="s">
        <v>2260</v>
      </c>
      <c r="E487" s="25" t="s">
        <v>2261</v>
      </c>
      <c r="F487" s="25" t="s">
        <v>3228</v>
      </c>
      <c r="G487" s="29">
        <v>30.0</v>
      </c>
      <c r="H487" s="29">
        <v>30.0</v>
      </c>
      <c r="I487" s="29">
        <v>0.0</v>
      </c>
      <c r="J487" s="25" t="s">
        <v>2246</v>
      </c>
      <c r="K487" s="25" t="s">
        <v>2247</v>
      </c>
      <c r="L487" s="25" t="s">
        <v>2246</v>
      </c>
      <c r="M487" s="25" t="s">
        <v>2248</v>
      </c>
      <c r="N487" s="29">
        <f>IFERROR((C487-VLOOKUP(B487,crm_orders!$A:$S,2,FALSE))*24,0)</f>
        <v>72</v>
      </c>
      <c r="O487" s="27" t="str">
        <f>IFERROR(VLOOKUP(B487,crm_orders!$A:$S,3,FALSE),"")</f>
        <v>DSP0079</v>
      </c>
      <c r="P487" s="27" t="str">
        <f>IFERROR(VLOOKUP(B487,crm_orders!$A:$S,5,FALSE),"")</f>
        <v>IL</v>
      </c>
      <c r="Q487" s="27" t="str">
        <f>IFERROR(VLOOKUP(B487,crm_orders!$A:$S,7,FALSE),"")</f>
        <v>Wholesale</v>
      </c>
      <c r="R487" s="27" t="str">
        <f>IFERROR(VLOOKUP(B487,crm_orders!$A:$S,8,FALSE),"")</f>
        <v>SKU0003</v>
      </c>
    </row>
    <row r="488" ht="15.75" customHeight="1">
      <c r="A488" s="17" t="s">
        <v>3229</v>
      </c>
      <c r="B488" s="17" t="s">
        <v>1033</v>
      </c>
      <c r="C488" s="18">
        <v>46116.0</v>
      </c>
      <c r="D488" s="17" t="s">
        <v>2243</v>
      </c>
      <c r="E488" s="17" t="s">
        <v>2255</v>
      </c>
      <c r="F488" s="17" t="s">
        <v>3230</v>
      </c>
      <c r="G488" s="21">
        <v>60.0</v>
      </c>
      <c r="H488" s="21">
        <v>60.0</v>
      </c>
      <c r="I488" s="21">
        <v>0.0</v>
      </c>
      <c r="J488" s="17" t="s">
        <v>2246</v>
      </c>
      <c r="K488" s="17" t="s">
        <v>2247</v>
      </c>
      <c r="L488" s="17" t="s">
        <v>2246</v>
      </c>
      <c r="M488" s="17" t="s">
        <v>2248</v>
      </c>
      <c r="N488" s="21">
        <f>IFERROR((C488-VLOOKUP(B488,crm_orders!$A:$S,2,FALSE))*24,0)</f>
        <v>144</v>
      </c>
      <c r="O488" s="19" t="str">
        <f>IFERROR(VLOOKUP(B488,crm_orders!$A:$S,3,FALSE),"")</f>
        <v>DSP0102</v>
      </c>
      <c r="P488" s="19" t="str">
        <f>IFERROR(VLOOKUP(B488,crm_orders!$A:$S,5,FALSE),"")</f>
        <v>NV</v>
      </c>
      <c r="Q488" s="19" t="str">
        <f>IFERROR(VLOOKUP(B488,crm_orders!$A:$S,7,FALSE),"")</f>
        <v>Distributor</v>
      </c>
      <c r="R488" s="19" t="str">
        <f>IFERROR(VLOOKUP(B488,crm_orders!$A:$S,8,FALSE),"")</f>
        <v>SKU0005</v>
      </c>
    </row>
    <row r="489" ht="15.75" customHeight="1">
      <c r="A489" s="25" t="s">
        <v>3231</v>
      </c>
      <c r="B489" s="25" t="s">
        <v>389</v>
      </c>
      <c r="C489" s="26">
        <v>46068.0</v>
      </c>
      <c r="D489" s="25" t="s">
        <v>2250</v>
      </c>
      <c r="E489" s="25" t="s">
        <v>2286</v>
      </c>
      <c r="F489" s="25" t="s">
        <v>3232</v>
      </c>
      <c r="G489" s="29">
        <v>96.0</v>
      </c>
      <c r="H489" s="29">
        <v>96.0</v>
      </c>
      <c r="I489" s="29">
        <v>0.0</v>
      </c>
      <c r="J489" s="25" t="s">
        <v>2246</v>
      </c>
      <c r="K489" s="25" t="s">
        <v>2247</v>
      </c>
      <c r="L489" s="25" t="s">
        <v>2246</v>
      </c>
      <c r="M489" s="25" t="s">
        <v>2248</v>
      </c>
      <c r="N489" s="29">
        <f>IFERROR((C489-VLOOKUP(B489,crm_orders!$A:$S,2,FALSE))*24,0)</f>
        <v>72</v>
      </c>
      <c r="O489" s="27" t="str">
        <f>IFERROR(VLOOKUP(B489,crm_orders!$A:$S,3,FALSE),"")</f>
        <v>DSP0056</v>
      </c>
      <c r="P489" s="27" t="str">
        <f>IFERROR(VLOOKUP(B489,crm_orders!$A:$S,5,FALSE),"")</f>
        <v>MI</v>
      </c>
      <c r="Q489" s="27" t="str">
        <f>IFERROR(VLOOKUP(B489,crm_orders!$A:$S,7,FALSE),"")</f>
        <v>Wholesale</v>
      </c>
      <c r="R489" s="27" t="str">
        <f>IFERROR(VLOOKUP(B489,crm_orders!$A:$S,8,FALSE),"")</f>
        <v>SKU0009</v>
      </c>
    </row>
    <row r="490" ht="15.75" customHeight="1">
      <c r="A490" s="17" t="s">
        <v>3233</v>
      </c>
      <c r="B490" s="17" t="s">
        <v>390</v>
      </c>
      <c r="C490" s="18">
        <v>46095.0</v>
      </c>
      <c r="D490" s="17" t="s">
        <v>2269</v>
      </c>
      <c r="E490" s="17" t="s">
        <v>2251</v>
      </c>
      <c r="F490" s="17" t="s">
        <v>3234</v>
      </c>
      <c r="G490" s="21">
        <v>72.0</v>
      </c>
      <c r="H490" s="21">
        <v>72.0</v>
      </c>
      <c r="I490" s="21">
        <v>0.0</v>
      </c>
      <c r="J490" s="17" t="s">
        <v>2247</v>
      </c>
      <c r="K490" s="17" t="s">
        <v>2247</v>
      </c>
      <c r="L490" s="17" t="s">
        <v>2247</v>
      </c>
      <c r="M490" s="17" t="s">
        <v>2248</v>
      </c>
      <c r="N490" s="21">
        <f>IFERROR((C490-VLOOKUP(B490,crm_orders!$A:$S,2,FALSE))*24,0)</f>
        <v>240</v>
      </c>
      <c r="O490" s="19" t="str">
        <f>IFERROR(VLOOKUP(B490,crm_orders!$A:$S,3,FALSE),"")</f>
        <v>DSP0101</v>
      </c>
      <c r="P490" s="19" t="str">
        <f>IFERROR(VLOOKUP(B490,crm_orders!$A:$S,5,FALSE),"")</f>
        <v>AZ</v>
      </c>
      <c r="Q490" s="19" t="str">
        <f>IFERROR(VLOOKUP(B490,crm_orders!$A:$S,7,FALSE),"")</f>
        <v>Retail</v>
      </c>
      <c r="R490" s="19" t="str">
        <f>IFERROR(VLOOKUP(B490,crm_orders!$A:$S,8,FALSE),"")</f>
        <v>SKU0001</v>
      </c>
    </row>
    <row r="491" ht="15.75" customHeight="1">
      <c r="A491" s="25" t="s">
        <v>3235</v>
      </c>
      <c r="B491" s="25" t="s">
        <v>132</v>
      </c>
      <c r="C491" s="26">
        <v>46057.0</v>
      </c>
      <c r="D491" s="25" t="s">
        <v>2250</v>
      </c>
      <c r="E491" s="25" t="s">
        <v>2244</v>
      </c>
      <c r="F491" s="25" t="s">
        <v>3236</v>
      </c>
      <c r="G491" s="29">
        <v>12.0</v>
      </c>
      <c r="H491" s="29">
        <v>12.0</v>
      </c>
      <c r="I491" s="29">
        <v>0.0</v>
      </c>
      <c r="J491" s="25" t="s">
        <v>2246</v>
      </c>
      <c r="K491" s="25" t="s">
        <v>2247</v>
      </c>
      <c r="L491" s="25" t="s">
        <v>2246</v>
      </c>
      <c r="M491" s="25" t="s">
        <v>2248</v>
      </c>
      <c r="N491" s="29">
        <f>IFERROR((C491-VLOOKUP(B491,crm_orders!$A:$S,2,FALSE))*24,0)</f>
        <v>120</v>
      </c>
      <c r="O491" s="27" t="str">
        <f>IFERROR(VLOOKUP(B491,crm_orders!$A:$S,3,FALSE),"")</f>
        <v>DSP0096</v>
      </c>
      <c r="P491" s="27" t="str">
        <f>IFERROR(VLOOKUP(B491,crm_orders!$A:$S,5,FALSE),"")</f>
        <v>OK</v>
      </c>
      <c r="Q491" s="27" t="str">
        <f>IFERROR(VLOOKUP(B491,crm_orders!$A:$S,7,FALSE),"")</f>
        <v>Retail</v>
      </c>
      <c r="R491" s="27" t="str">
        <f>IFERROR(VLOOKUP(B491,crm_orders!$A:$S,8,FALSE),"")</f>
        <v>SKU0011</v>
      </c>
    </row>
    <row r="492" ht="15.75" customHeight="1">
      <c r="A492" s="17" t="s">
        <v>3237</v>
      </c>
      <c r="B492" s="17" t="s">
        <v>918</v>
      </c>
      <c r="C492" s="18">
        <v>46094.0</v>
      </c>
      <c r="D492" s="17" t="s">
        <v>2269</v>
      </c>
      <c r="E492" s="17" t="s">
        <v>2244</v>
      </c>
      <c r="F492" s="17" t="s">
        <v>3238</v>
      </c>
      <c r="G492" s="21">
        <v>6.0</v>
      </c>
      <c r="H492" s="21">
        <v>6.0</v>
      </c>
      <c r="I492" s="21">
        <v>0.0</v>
      </c>
      <c r="J492" s="17" t="s">
        <v>2246</v>
      </c>
      <c r="K492" s="17" t="s">
        <v>2247</v>
      </c>
      <c r="L492" s="17" t="s">
        <v>2246</v>
      </c>
      <c r="M492" s="17" t="s">
        <v>2248</v>
      </c>
      <c r="N492" s="21">
        <f>IFERROR((C492-VLOOKUP(B492,crm_orders!$A:$S,2,FALSE))*24,0)</f>
        <v>216</v>
      </c>
      <c r="O492" s="19" t="str">
        <f>IFERROR(VLOOKUP(B492,crm_orders!$A:$S,3,FALSE),"")</f>
        <v>DSP0061</v>
      </c>
      <c r="P492" s="19" t="str">
        <f>IFERROR(VLOOKUP(B492,crm_orders!$A:$S,5,FALSE),"")</f>
        <v>OR</v>
      </c>
      <c r="Q492" s="19" t="str">
        <f>IFERROR(VLOOKUP(B492,crm_orders!$A:$S,7,FALSE),"")</f>
        <v>Distributor</v>
      </c>
      <c r="R492" s="19" t="str">
        <f>IFERROR(VLOOKUP(B492,crm_orders!$A:$S,8,FALSE),"")</f>
        <v>SKU0019</v>
      </c>
    </row>
    <row r="493" ht="15.75" customHeight="1">
      <c r="A493" s="25" t="s">
        <v>3239</v>
      </c>
      <c r="B493" s="25" t="s">
        <v>1034</v>
      </c>
      <c r="C493" s="26">
        <v>46113.0</v>
      </c>
      <c r="D493" s="25" t="s">
        <v>2243</v>
      </c>
      <c r="E493" s="25" t="s">
        <v>2244</v>
      </c>
      <c r="F493" s="25" t="s">
        <v>3240</v>
      </c>
      <c r="G493" s="29">
        <v>36.0</v>
      </c>
      <c r="H493" s="29">
        <v>36.0</v>
      </c>
      <c r="I493" s="29">
        <v>0.0</v>
      </c>
      <c r="J493" s="25" t="s">
        <v>2247</v>
      </c>
      <c r="K493" s="25" t="s">
        <v>2247</v>
      </c>
      <c r="L493" s="25" t="s">
        <v>2247</v>
      </c>
      <c r="M493" s="25" t="s">
        <v>2248</v>
      </c>
      <c r="N493" s="29">
        <f>IFERROR((C493-VLOOKUP(B493,crm_orders!$A:$S,2,FALSE))*24,0)</f>
        <v>240</v>
      </c>
      <c r="O493" s="27" t="str">
        <f>IFERROR(VLOOKUP(B493,crm_orders!$A:$S,3,FALSE),"")</f>
        <v>DSP0059</v>
      </c>
      <c r="P493" s="27" t="str">
        <f>IFERROR(VLOOKUP(B493,crm_orders!$A:$S,5,FALSE),"")</f>
        <v>NY</v>
      </c>
      <c r="Q493" s="27" t="str">
        <f>IFERROR(VLOOKUP(B493,crm_orders!$A:$S,7,FALSE),"")</f>
        <v>Wholesale</v>
      </c>
      <c r="R493" s="27" t="str">
        <f>IFERROR(VLOOKUP(B493,crm_orders!$A:$S,8,FALSE),"")</f>
        <v>SKU0007</v>
      </c>
    </row>
    <row r="494" ht="15.75" customHeight="1">
      <c r="A494" s="17" t="s">
        <v>3241</v>
      </c>
      <c r="B494" s="17" t="s">
        <v>641</v>
      </c>
      <c r="C494" s="18">
        <v>46104.0</v>
      </c>
      <c r="D494" s="17" t="s">
        <v>2243</v>
      </c>
      <c r="E494" s="17" t="s">
        <v>2261</v>
      </c>
      <c r="F494" s="17" t="s">
        <v>3242</v>
      </c>
      <c r="G494" s="21">
        <v>72.0</v>
      </c>
      <c r="H494" s="21">
        <v>72.0</v>
      </c>
      <c r="I494" s="21">
        <v>0.0</v>
      </c>
      <c r="J494" s="17" t="s">
        <v>2247</v>
      </c>
      <c r="K494" s="17" t="s">
        <v>2247</v>
      </c>
      <c r="L494" s="17" t="s">
        <v>2247</v>
      </c>
      <c r="M494" s="17" t="s">
        <v>2248</v>
      </c>
      <c r="N494" s="21">
        <f>IFERROR((C494-VLOOKUP(B494,crm_orders!$A:$S,2,FALSE))*24,0)</f>
        <v>192</v>
      </c>
      <c r="O494" s="19" t="str">
        <f>IFERROR(VLOOKUP(B494,crm_orders!$A:$S,3,FALSE),"")</f>
        <v>DSP0079</v>
      </c>
      <c r="P494" s="19" t="str">
        <f>IFERROR(VLOOKUP(B494,crm_orders!$A:$S,5,FALSE),"")</f>
        <v>IL</v>
      </c>
      <c r="Q494" s="19" t="str">
        <f>IFERROR(VLOOKUP(B494,crm_orders!$A:$S,7,FALSE),"")</f>
        <v>Distributor</v>
      </c>
      <c r="R494" s="19" t="str">
        <f>IFERROR(VLOOKUP(B494,crm_orders!$A:$S,8,FALSE),"")</f>
        <v>SKU0006</v>
      </c>
    </row>
    <row r="495" ht="15.75" customHeight="1">
      <c r="A495" s="25" t="s">
        <v>3243</v>
      </c>
      <c r="B495" s="25" t="s">
        <v>245</v>
      </c>
      <c r="C495" s="26">
        <v>46081.0</v>
      </c>
      <c r="D495" s="25" t="s">
        <v>2260</v>
      </c>
      <c r="E495" s="25" t="s">
        <v>2251</v>
      </c>
      <c r="F495" s="25" t="s">
        <v>3244</v>
      </c>
      <c r="G495" s="29">
        <v>60.0</v>
      </c>
      <c r="H495" s="29">
        <v>60.0</v>
      </c>
      <c r="I495" s="29">
        <v>0.0</v>
      </c>
      <c r="J495" s="25" t="s">
        <v>2247</v>
      </c>
      <c r="K495" s="25" t="s">
        <v>2247</v>
      </c>
      <c r="L495" s="25" t="s">
        <v>2247</v>
      </c>
      <c r="M495" s="25" t="s">
        <v>2248</v>
      </c>
      <c r="N495" s="29">
        <f>IFERROR((C495-VLOOKUP(B495,crm_orders!$A:$S,2,FALSE))*24,0)</f>
        <v>192</v>
      </c>
      <c r="O495" s="27" t="str">
        <f>IFERROR(VLOOKUP(B495,crm_orders!$A:$S,3,FALSE),"")</f>
        <v>DSP0055</v>
      </c>
      <c r="P495" s="27" t="str">
        <f>IFERROR(VLOOKUP(B495,crm_orders!$A:$S,5,FALSE),"")</f>
        <v>IL</v>
      </c>
      <c r="Q495" s="27" t="str">
        <f>IFERROR(VLOOKUP(B495,crm_orders!$A:$S,7,FALSE),"")</f>
        <v>Wholesale</v>
      </c>
      <c r="R495" s="27" t="str">
        <f>IFERROR(VLOOKUP(B495,crm_orders!$A:$S,8,FALSE),"")</f>
        <v>SKU0017</v>
      </c>
    </row>
    <row r="496" ht="15.75" customHeight="1">
      <c r="A496" s="17" t="s">
        <v>3245</v>
      </c>
      <c r="B496" s="17" t="s">
        <v>391</v>
      </c>
      <c r="C496" s="18">
        <v>46053.0</v>
      </c>
      <c r="D496" s="17" t="s">
        <v>2254</v>
      </c>
      <c r="E496" s="17" t="s">
        <v>2244</v>
      </c>
      <c r="F496" s="17" t="s">
        <v>3246</v>
      </c>
      <c r="G496" s="21">
        <v>18.0</v>
      </c>
      <c r="H496" s="21">
        <v>18.0</v>
      </c>
      <c r="I496" s="21">
        <v>0.0</v>
      </c>
      <c r="J496" s="17" t="s">
        <v>2246</v>
      </c>
      <c r="K496" s="17" t="s">
        <v>2247</v>
      </c>
      <c r="L496" s="17" t="s">
        <v>2246</v>
      </c>
      <c r="M496" s="17" t="s">
        <v>2248</v>
      </c>
      <c r="N496" s="21">
        <f>IFERROR((C496-VLOOKUP(B496,crm_orders!$A:$S,2,FALSE))*24,0)</f>
        <v>72</v>
      </c>
      <c r="O496" s="19" t="str">
        <f>IFERROR(VLOOKUP(B496,crm_orders!$A:$S,3,FALSE),"")</f>
        <v>DSP0002</v>
      </c>
      <c r="P496" s="19" t="str">
        <f>IFERROR(VLOOKUP(B496,crm_orders!$A:$S,5,FALSE),"")</f>
        <v>WA</v>
      </c>
      <c r="Q496" s="19" t="str">
        <f>IFERROR(VLOOKUP(B496,crm_orders!$A:$S,7,FALSE),"")</f>
        <v>Distributor</v>
      </c>
      <c r="R496" s="19" t="str">
        <f>IFERROR(VLOOKUP(B496,crm_orders!$A:$S,8,FALSE),"")</f>
        <v>SKU0014</v>
      </c>
    </row>
    <row r="497" ht="15.75" customHeight="1">
      <c r="A497" s="25" t="s">
        <v>3247</v>
      </c>
      <c r="B497" s="25" t="s">
        <v>642</v>
      </c>
      <c r="C497" s="26">
        <v>46137.0</v>
      </c>
      <c r="D497" s="25" t="s">
        <v>2254</v>
      </c>
      <c r="E497" s="25" t="s">
        <v>2244</v>
      </c>
      <c r="F497" s="25" t="s">
        <v>3248</v>
      </c>
      <c r="G497" s="29">
        <v>96.0</v>
      </c>
      <c r="H497" s="29">
        <v>96.0</v>
      </c>
      <c r="I497" s="29">
        <v>0.0</v>
      </c>
      <c r="J497" s="25" t="s">
        <v>2246</v>
      </c>
      <c r="K497" s="25" t="s">
        <v>2247</v>
      </c>
      <c r="L497" s="25" t="s">
        <v>2246</v>
      </c>
      <c r="M497" s="25" t="s">
        <v>2248</v>
      </c>
      <c r="N497" s="29">
        <f>IFERROR((C497-VLOOKUP(B497,crm_orders!$A:$S,2,FALSE))*24,0)</f>
        <v>120</v>
      </c>
      <c r="O497" s="27" t="str">
        <f>IFERROR(VLOOKUP(B497,crm_orders!$A:$S,3,FALSE),"")</f>
        <v>DSP0091</v>
      </c>
      <c r="P497" s="27" t="str">
        <f>IFERROR(VLOOKUP(B497,crm_orders!$A:$S,5,FALSE),"")</f>
        <v>IL</v>
      </c>
      <c r="Q497" s="27" t="str">
        <f>IFERROR(VLOOKUP(B497,crm_orders!$A:$S,7,FALSE),"")</f>
        <v>Wholesale</v>
      </c>
      <c r="R497" s="27" t="str">
        <f>IFERROR(VLOOKUP(B497,crm_orders!$A:$S,8,FALSE),"")</f>
        <v>SKU0015</v>
      </c>
    </row>
    <row r="498" ht="15.75" customHeight="1">
      <c r="A498" s="17" t="s">
        <v>3249</v>
      </c>
      <c r="B498" s="17" t="s">
        <v>1035</v>
      </c>
      <c r="C498" s="18">
        <v>46110.0</v>
      </c>
      <c r="D498" s="17" t="s">
        <v>2260</v>
      </c>
      <c r="E498" s="17" t="s">
        <v>2251</v>
      </c>
      <c r="F498" s="17" t="s">
        <v>3250</v>
      </c>
      <c r="G498" s="21">
        <v>60.0</v>
      </c>
      <c r="H498" s="21">
        <v>60.0</v>
      </c>
      <c r="I498" s="21">
        <v>0.0</v>
      </c>
      <c r="J498" s="17" t="s">
        <v>2247</v>
      </c>
      <c r="K498" s="17" t="s">
        <v>2247</v>
      </c>
      <c r="L498" s="17" t="s">
        <v>2247</v>
      </c>
      <c r="M498" s="17" t="s">
        <v>2248</v>
      </c>
      <c r="N498" s="21">
        <f>IFERROR((C498-VLOOKUP(B498,crm_orders!$A:$S,2,FALSE))*24,0)</f>
        <v>168</v>
      </c>
      <c r="O498" s="19" t="str">
        <f>IFERROR(VLOOKUP(B498,crm_orders!$A:$S,3,FALSE),"")</f>
        <v>DSP0102</v>
      </c>
      <c r="P498" s="19" t="str">
        <f>IFERROR(VLOOKUP(B498,crm_orders!$A:$S,5,FALSE),"")</f>
        <v>NV</v>
      </c>
      <c r="Q498" s="19" t="str">
        <f>IFERROR(VLOOKUP(B498,crm_orders!$A:$S,7,FALSE),"")</f>
        <v>Wholesale</v>
      </c>
      <c r="R498" s="19" t="str">
        <f>IFERROR(VLOOKUP(B498,crm_orders!$A:$S,8,FALSE),"")</f>
        <v>SKU0012</v>
      </c>
    </row>
    <row r="499" ht="15.75" customHeight="1">
      <c r="A499" s="25" t="s">
        <v>3251</v>
      </c>
      <c r="B499" s="25" t="s">
        <v>1036</v>
      </c>
      <c r="C499" s="26">
        <v>46121.0</v>
      </c>
      <c r="D499" s="25" t="s">
        <v>2243</v>
      </c>
      <c r="E499" s="25" t="s">
        <v>2251</v>
      </c>
      <c r="F499" s="25" t="s">
        <v>3252</v>
      </c>
      <c r="G499" s="29">
        <v>6.0</v>
      </c>
      <c r="H499" s="29">
        <v>6.0</v>
      </c>
      <c r="I499" s="29">
        <v>0.0</v>
      </c>
      <c r="J499" s="25" t="s">
        <v>2246</v>
      </c>
      <c r="K499" s="25" t="s">
        <v>2247</v>
      </c>
      <c r="L499" s="25" t="s">
        <v>2246</v>
      </c>
      <c r="M499" s="25" t="s">
        <v>2248</v>
      </c>
      <c r="N499" s="29">
        <f>IFERROR((C499-VLOOKUP(B499,crm_orders!$A:$S,2,FALSE))*24,0)</f>
        <v>96</v>
      </c>
      <c r="O499" s="27" t="str">
        <f>IFERROR(VLOOKUP(B499,crm_orders!$A:$S,3,FALSE),"")</f>
        <v>DSP0113</v>
      </c>
      <c r="P499" s="27" t="str">
        <f>IFERROR(VLOOKUP(B499,crm_orders!$A:$S,5,FALSE),"")</f>
        <v>AZ</v>
      </c>
      <c r="Q499" s="27" t="str">
        <f>IFERROR(VLOOKUP(B499,crm_orders!$A:$S,7,FALSE),"")</f>
        <v>Wholesale</v>
      </c>
      <c r="R499" s="27" t="str">
        <f>IFERROR(VLOOKUP(B499,crm_orders!$A:$S,8,FALSE),"")</f>
        <v>SKU0011</v>
      </c>
    </row>
    <row r="500" ht="15.75" customHeight="1">
      <c r="A500" s="17" t="s">
        <v>3253</v>
      </c>
      <c r="B500" s="17" t="s">
        <v>392</v>
      </c>
      <c r="C500" s="18">
        <v>46072.0</v>
      </c>
      <c r="D500" s="17" t="s">
        <v>2269</v>
      </c>
      <c r="E500" s="17" t="s">
        <v>2244</v>
      </c>
      <c r="F500" s="17" t="s">
        <v>3254</v>
      </c>
      <c r="G500" s="21">
        <v>36.0</v>
      </c>
      <c r="H500" s="21">
        <v>36.0</v>
      </c>
      <c r="I500" s="21">
        <v>0.0</v>
      </c>
      <c r="J500" s="17" t="s">
        <v>2247</v>
      </c>
      <c r="K500" s="17" t="s">
        <v>2247</v>
      </c>
      <c r="L500" s="17" t="s">
        <v>2247</v>
      </c>
      <c r="M500" s="17" t="s">
        <v>2248</v>
      </c>
      <c r="N500" s="21">
        <f>IFERROR((C500-VLOOKUP(B500,crm_orders!$A:$S,2,FALSE))*24,0)</f>
        <v>72</v>
      </c>
      <c r="O500" s="19" t="str">
        <f>IFERROR(VLOOKUP(B500,crm_orders!$A:$S,3,FALSE),"")</f>
        <v>DSP0080</v>
      </c>
      <c r="P500" s="19" t="str">
        <f>IFERROR(VLOOKUP(B500,crm_orders!$A:$S,5,FALSE),"")</f>
        <v>MI</v>
      </c>
      <c r="Q500" s="19" t="str">
        <f>IFERROR(VLOOKUP(B500,crm_orders!$A:$S,7,FALSE),"")</f>
        <v>Wholesale</v>
      </c>
      <c r="R500" s="19" t="str">
        <f>IFERROR(VLOOKUP(B500,crm_orders!$A:$S,8,FALSE),"")</f>
        <v>SKU0002</v>
      </c>
    </row>
    <row r="501" ht="15.75" customHeight="1">
      <c r="A501" s="25" t="s">
        <v>3255</v>
      </c>
      <c r="B501" s="25" t="s">
        <v>922</v>
      </c>
      <c r="C501" s="26">
        <v>46093.0</v>
      </c>
      <c r="D501" s="25" t="s">
        <v>2269</v>
      </c>
      <c r="E501" s="25" t="s">
        <v>2251</v>
      </c>
      <c r="F501" s="25" t="s">
        <v>3256</v>
      </c>
      <c r="G501" s="29">
        <v>72.0</v>
      </c>
      <c r="H501" s="29">
        <v>72.0</v>
      </c>
      <c r="I501" s="29">
        <v>0.0</v>
      </c>
      <c r="J501" s="25" t="s">
        <v>2247</v>
      </c>
      <c r="K501" s="25" t="s">
        <v>2247</v>
      </c>
      <c r="L501" s="25" t="s">
        <v>2247</v>
      </c>
      <c r="M501" s="25" t="s">
        <v>2248</v>
      </c>
      <c r="N501" s="29">
        <f>IFERROR((C501-VLOOKUP(B501,crm_orders!$A:$S,2,FALSE))*24,0)</f>
        <v>240</v>
      </c>
      <c r="O501" s="27" t="str">
        <f>IFERROR(VLOOKUP(B501,crm_orders!$A:$S,3,FALSE),"")</f>
        <v>DSP0068</v>
      </c>
      <c r="P501" s="27" t="str">
        <f>IFERROR(VLOOKUP(B501,crm_orders!$A:$S,5,FALSE),"")</f>
        <v>MI</v>
      </c>
      <c r="Q501" s="27" t="str">
        <f>IFERROR(VLOOKUP(B501,crm_orders!$A:$S,7,FALSE),"")</f>
        <v>Wholesale</v>
      </c>
      <c r="R501" s="27" t="str">
        <f>IFERROR(VLOOKUP(B501,crm_orders!$A:$S,8,FALSE),"")</f>
        <v>SKU0004</v>
      </c>
    </row>
    <row r="502" ht="15.75" customHeight="1">
      <c r="A502" s="17" t="s">
        <v>3257</v>
      </c>
      <c r="B502" s="17" t="s">
        <v>810</v>
      </c>
      <c r="C502" s="18">
        <v>46100.0</v>
      </c>
      <c r="D502" s="17" t="s">
        <v>2243</v>
      </c>
      <c r="E502" s="17" t="s">
        <v>2244</v>
      </c>
      <c r="F502" s="17" t="s">
        <v>3258</v>
      </c>
      <c r="G502" s="21">
        <v>18.0</v>
      </c>
      <c r="H502" s="21">
        <v>0.0</v>
      </c>
      <c r="I502" s="21">
        <v>18.0</v>
      </c>
      <c r="J502" s="17" t="s">
        <v>2246</v>
      </c>
      <c r="K502" s="17" t="s">
        <v>2246</v>
      </c>
      <c r="L502" s="17" t="s">
        <v>2246</v>
      </c>
      <c r="M502" s="17" t="s">
        <v>2267</v>
      </c>
      <c r="N502" s="21">
        <f>IFERROR((C502-VLOOKUP(B502,crm_orders!$A:$S,2,FALSE))*24,0)</f>
        <v>336</v>
      </c>
      <c r="O502" s="19" t="str">
        <f>IFERROR(VLOOKUP(B502,crm_orders!$A:$S,3,FALSE),"")</f>
        <v>DSP0090</v>
      </c>
      <c r="P502" s="19" t="str">
        <f>IFERROR(VLOOKUP(B502,crm_orders!$A:$S,5,FALSE),"")</f>
        <v>NV</v>
      </c>
      <c r="Q502" s="19" t="str">
        <f>IFERROR(VLOOKUP(B502,crm_orders!$A:$S,7,FALSE),"")</f>
        <v>Wholesale</v>
      </c>
      <c r="R502" s="19" t="str">
        <f>IFERROR(VLOOKUP(B502,crm_orders!$A:$S,8,FALSE),"")</f>
        <v>SKU0005</v>
      </c>
    </row>
    <row r="503" ht="15.75" customHeight="1">
      <c r="A503" s="25" t="s">
        <v>3259</v>
      </c>
      <c r="B503" s="25" t="s">
        <v>923</v>
      </c>
      <c r="C503" s="26">
        <v>46088.0</v>
      </c>
      <c r="D503" s="25" t="s">
        <v>2250</v>
      </c>
      <c r="E503" s="25" t="s">
        <v>2255</v>
      </c>
      <c r="F503" s="25" t="s">
        <v>3260</v>
      </c>
      <c r="G503" s="29">
        <v>36.0</v>
      </c>
      <c r="H503" s="29">
        <v>36.0</v>
      </c>
      <c r="I503" s="29">
        <v>0.0</v>
      </c>
      <c r="J503" s="25" t="s">
        <v>2246</v>
      </c>
      <c r="K503" s="25" t="s">
        <v>2247</v>
      </c>
      <c r="L503" s="25" t="s">
        <v>2246</v>
      </c>
      <c r="M503" s="25" t="s">
        <v>2248</v>
      </c>
      <c r="N503" s="29">
        <f>IFERROR((C503-VLOOKUP(B503,crm_orders!$A:$S,2,FALSE))*24,0)</f>
        <v>120</v>
      </c>
      <c r="O503" s="27" t="str">
        <f>IFERROR(VLOOKUP(B503,crm_orders!$A:$S,3,FALSE),"")</f>
        <v>DSP0120</v>
      </c>
      <c r="P503" s="27" t="str">
        <f>IFERROR(VLOOKUP(B503,crm_orders!$A:$S,5,FALSE),"")</f>
        <v>OK</v>
      </c>
      <c r="Q503" s="27" t="str">
        <f>IFERROR(VLOOKUP(B503,crm_orders!$A:$S,7,FALSE),"")</f>
        <v>Wholesale</v>
      </c>
      <c r="R503" s="27" t="str">
        <f>IFERROR(VLOOKUP(B503,crm_orders!$A:$S,8,FALSE),"")</f>
        <v>SKU0005</v>
      </c>
    </row>
    <row r="504" ht="15.75" customHeight="1">
      <c r="A504" s="17" t="s">
        <v>3261</v>
      </c>
      <c r="B504" s="17" t="s">
        <v>643</v>
      </c>
      <c r="C504" s="18">
        <v>46114.0</v>
      </c>
      <c r="D504" s="17" t="s">
        <v>2254</v>
      </c>
      <c r="E504" s="17" t="s">
        <v>2244</v>
      </c>
      <c r="F504" s="17" t="s">
        <v>3262</v>
      </c>
      <c r="G504" s="21">
        <v>36.0</v>
      </c>
      <c r="H504" s="21">
        <v>36.0</v>
      </c>
      <c r="I504" s="21">
        <v>0.0</v>
      </c>
      <c r="J504" s="17" t="s">
        <v>2246</v>
      </c>
      <c r="K504" s="17" t="s">
        <v>2247</v>
      </c>
      <c r="L504" s="17" t="s">
        <v>2246</v>
      </c>
      <c r="M504" s="17" t="s">
        <v>2248</v>
      </c>
      <c r="N504" s="21">
        <f>IFERROR((C504-VLOOKUP(B504,crm_orders!$A:$S,2,FALSE))*24,0)</f>
        <v>216</v>
      </c>
      <c r="O504" s="19" t="str">
        <f>IFERROR(VLOOKUP(B504,crm_orders!$A:$S,3,FALSE),"")</f>
        <v>DSP0030</v>
      </c>
      <c r="P504" s="19" t="str">
        <f>IFERROR(VLOOKUP(B504,crm_orders!$A:$S,5,FALSE),"")</f>
        <v>NV</v>
      </c>
      <c r="Q504" s="19" t="str">
        <f>IFERROR(VLOOKUP(B504,crm_orders!$A:$S,7,FALSE),"")</f>
        <v>Wholesale</v>
      </c>
      <c r="R504" s="19" t="str">
        <f>IFERROR(VLOOKUP(B504,crm_orders!$A:$S,8,FALSE),"")</f>
        <v>SKU0017</v>
      </c>
    </row>
    <row r="505" ht="15.75" customHeight="1">
      <c r="A505" s="25" t="s">
        <v>3263</v>
      </c>
      <c r="B505" s="25" t="s">
        <v>924</v>
      </c>
      <c r="C505" s="26">
        <v>46082.0</v>
      </c>
      <c r="D505" s="25" t="s">
        <v>2254</v>
      </c>
      <c r="E505" s="25" t="s">
        <v>2286</v>
      </c>
      <c r="F505" s="25" t="s">
        <v>3264</v>
      </c>
      <c r="G505" s="29">
        <v>60.0</v>
      </c>
      <c r="H505" s="29">
        <v>0.0</v>
      </c>
      <c r="I505" s="29">
        <v>60.0</v>
      </c>
      <c r="J505" s="25" t="s">
        <v>2247</v>
      </c>
      <c r="K505" s="25" t="s">
        <v>2246</v>
      </c>
      <c r="L505" s="25" t="s">
        <v>2246</v>
      </c>
      <c r="M505" s="25" t="s">
        <v>2312</v>
      </c>
      <c r="N505" s="29">
        <f>IFERROR((C505-VLOOKUP(B505,crm_orders!$A:$S,2,FALSE))*24,0)</f>
        <v>72</v>
      </c>
      <c r="O505" s="27" t="str">
        <f>IFERROR(VLOOKUP(B505,crm_orders!$A:$S,3,FALSE),"")</f>
        <v>DSP0068</v>
      </c>
      <c r="P505" s="27" t="str">
        <f>IFERROR(VLOOKUP(B505,crm_orders!$A:$S,5,FALSE),"")</f>
        <v>MI</v>
      </c>
      <c r="Q505" s="27" t="str">
        <f>IFERROR(VLOOKUP(B505,crm_orders!$A:$S,7,FALSE),"")</f>
        <v>Retail</v>
      </c>
      <c r="R505" s="27" t="str">
        <f>IFERROR(VLOOKUP(B505,crm_orders!$A:$S,8,FALSE),"")</f>
        <v>SKU0018</v>
      </c>
    </row>
    <row r="506" ht="15.75" customHeight="1">
      <c r="A506" s="17" t="s">
        <v>3265</v>
      </c>
      <c r="B506" s="17" t="s">
        <v>393</v>
      </c>
      <c r="C506" s="18">
        <v>46136.0</v>
      </c>
      <c r="D506" s="17" t="s">
        <v>2254</v>
      </c>
      <c r="E506" s="17" t="s">
        <v>2255</v>
      </c>
      <c r="F506" s="17" t="s">
        <v>3266</v>
      </c>
      <c r="G506" s="21">
        <v>6.0</v>
      </c>
      <c r="H506" s="21">
        <v>6.0</v>
      </c>
      <c r="I506" s="21">
        <v>0.0</v>
      </c>
      <c r="J506" s="17" t="s">
        <v>2246</v>
      </c>
      <c r="K506" s="17" t="s">
        <v>2247</v>
      </c>
      <c r="L506" s="17" t="s">
        <v>2246</v>
      </c>
      <c r="M506" s="17" t="s">
        <v>2248</v>
      </c>
      <c r="N506" s="21">
        <f>IFERROR((C506-VLOOKUP(B506,crm_orders!$A:$S,2,FALSE))*24,0)</f>
        <v>360</v>
      </c>
      <c r="O506" s="19" t="str">
        <f>IFERROR(VLOOKUP(B506,crm_orders!$A:$S,3,FALSE),"")</f>
        <v>DSP0048</v>
      </c>
      <c r="P506" s="19" t="str">
        <f>IFERROR(VLOOKUP(B506,crm_orders!$A:$S,5,FALSE),"")</f>
        <v>OK</v>
      </c>
      <c r="Q506" s="19" t="str">
        <f>IFERROR(VLOOKUP(B506,crm_orders!$A:$S,7,FALSE),"")</f>
        <v>Distributor</v>
      </c>
      <c r="R506" s="19" t="str">
        <f>IFERROR(VLOOKUP(B506,crm_orders!$A:$S,8,FALSE),"")</f>
        <v>SKU0010</v>
      </c>
    </row>
    <row r="507" ht="15.75" customHeight="1">
      <c r="A507" s="25" t="s">
        <v>3267</v>
      </c>
      <c r="B507" s="25" t="s">
        <v>811</v>
      </c>
      <c r="C507" s="26">
        <v>46054.0</v>
      </c>
      <c r="D507" s="25" t="s">
        <v>2243</v>
      </c>
      <c r="E507" s="25" t="s">
        <v>2244</v>
      </c>
      <c r="F507" s="25" t="s">
        <v>3268</v>
      </c>
      <c r="G507" s="29">
        <v>120.0</v>
      </c>
      <c r="H507" s="29">
        <v>120.0</v>
      </c>
      <c r="I507" s="29">
        <v>0.0</v>
      </c>
      <c r="J507" s="25" t="s">
        <v>2246</v>
      </c>
      <c r="K507" s="25" t="s">
        <v>2247</v>
      </c>
      <c r="L507" s="25" t="s">
        <v>2246</v>
      </c>
      <c r="M507" s="25" t="s">
        <v>2248</v>
      </c>
      <c r="N507" s="29">
        <f>IFERROR((C507-VLOOKUP(B507,crm_orders!$A:$S,2,FALSE))*24,0)</f>
        <v>216</v>
      </c>
      <c r="O507" s="27" t="str">
        <f>IFERROR(VLOOKUP(B507,crm_orders!$A:$S,3,FALSE),"")</f>
        <v>DSP0037</v>
      </c>
      <c r="P507" s="27" t="str">
        <f>IFERROR(VLOOKUP(B507,crm_orders!$A:$S,5,FALSE),"")</f>
        <v>OR</v>
      </c>
      <c r="Q507" s="27" t="str">
        <f>IFERROR(VLOOKUP(B507,crm_orders!$A:$S,7,FALSE),"")</f>
        <v>Wholesale</v>
      </c>
      <c r="R507" s="27" t="str">
        <f>IFERROR(VLOOKUP(B507,crm_orders!$A:$S,8,FALSE),"")</f>
        <v>SKU0006</v>
      </c>
    </row>
    <row r="508" ht="15.75" customHeight="1">
      <c r="A508" s="17" t="s">
        <v>3269</v>
      </c>
      <c r="B508" s="17" t="s">
        <v>394</v>
      </c>
      <c r="C508" s="18">
        <v>46052.0</v>
      </c>
      <c r="D508" s="17" t="s">
        <v>2254</v>
      </c>
      <c r="E508" s="17" t="s">
        <v>2286</v>
      </c>
      <c r="F508" s="17" t="s">
        <v>3270</v>
      </c>
      <c r="G508" s="21">
        <v>72.0</v>
      </c>
      <c r="H508" s="21">
        <v>72.0</v>
      </c>
      <c r="I508" s="21">
        <v>0.0</v>
      </c>
      <c r="J508" s="17" t="s">
        <v>2247</v>
      </c>
      <c r="K508" s="17" t="s">
        <v>2247</v>
      </c>
      <c r="L508" s="17" t="s">
        <v>2247</v>
      </c>
      <c r="M508" s="17" t="s">
        <v>2248</v>
      </c>
      <c r="N508" s="21">
        <f>IFERROR((C508-VLOOKUP(B508,crm_orders!$A:$S,2,FALSE))*24,0)</f>
        <v>72</v>
      </c>
      <c r="O508" s="19" t="str">
        <f>IFERROR(VLOOKUP(B508,crm_orders!$A:$S,3,FALSE),"")</f>
        <v>DSP0048</v>
      </c>
      <c r="P508" s="19" t="str">
        <f>IFERROR(VLOOKUP(B508,crm_orders!$A:$S,5,FALSE),"")</f>
        <v>OK</v>
      </c>
      <c r="Q508" s="19" t="str">
        <f>IFERROR(VLOOKUP(B508,crm_orders!$A:$S,7,FALSE),"")</f>
        <v>Distributor</v>
      </c>
      <c r="R508" s="19" t="str">
        <f>IFERROR(VLOOKUP(B508,crm_orders!$A:$S,8,FALSE),"")</f>
        <v>SKU0006</v>
      </c>
    </row>
    <row r="509" ht="15.75" customHeight="1">
      <c r="A509" s="25" t="s">
        <v>3271</v>
      </c>
      <c r="B509" s="25" t="s">
        <v>1109</v>
      </c>
      <c r="C509" s="26">
        <v>46128.0</v>
      </c>
      <c r="D509" s="25" t="s">
        <v>2260</v>
      </c>
      <c r="E509" s="25" t="s">
        <v>2251</v>
      </c>
      <c r="F509" s="25" t="s">
        <v>3272</v>
      </c>
      <c r="G509" s="29">
        <v>72.0</v>
      </c>
      <c r="H509" s="29">
        <v>0.0</v>
      </c>
      <c r="I509" s="29">
        <v>72.0</v>
      </c>
      <c r="J509" s="25" t="s">
        <v>2246</v>
      </c>
      <c r="K509" s="25" t="s">
        <v>2246</v>
      </c>
      <c r="L509" s="25" t="s">
        <v>2246</v>
      </c>
      <c r="M509" s="25" t="s">
        <v>2312</v>
      </c>
      <c r="N509" s="29">
        <f>IFERROR((C509-VLOOKUP(B509,crm_orders!$A:$S,2,FALSE))*24,0)</f>
        <v>264</v>
      </c>
      <c r="O509" s="27" t="str">
        <f>IFERROR(VLOOKUP(B509,crm_orders!$A:$S,3,FALSE),"")</f>
        <v>DSP0020</v>
      </c>
      <c r="P509" s="27" t="str">
        <f>IFERROR(VLOOKUP(B509,crm_orders!$A:$S,5,FALSE),"")</f>
        <v>MI</v>
      </c>
      <c r="Q509" s="27" t="str">
        <f>IFERROR(VLOOKUP(B509,crm_orders!$A:$S,7,FALSE),"")</f>
        <v>Retail</v>
      </c>
      <c r="R509" s="27" t="str">
        <f>IFERROR(VLOOKUP(B509,crm_orders!$A:$S,8,FALSE),"")</f>
        <v>SKU0001</v>
      </c>
    </row>
    <row r="510" ht="15.75" customHeight="1">
      <c r="A510" s="17" t="s">
        <v>3273</v>
      </c>
      <c r="B510" s="17" t="s">
        <v>247</v>
      </c>
      <c r="C510" s="18">
        <v>46114.0</v>
      </c>
      <c r="D510" s="17" t="s">
        <v>2243</v>
      </c>
      <c r="E510" s="17" t="s">
        <v>2244</v>
      </c>
      <c r="F510" s="17" t="s">
        <v>3274</v>
      </c>
      <c r="G510" s="21">
        <v>18.0</v>
      </c>
      <c r="H510" s="21">
        <v>18.0</v>
      </c>
      <c r="I510" s="21">
        <v>0.0</v>
      </c>
      <c r="J510" s="17" t="s">
        <v>2247</v>
      </c>
      <c r="K510" s="17" t="s">
        <v>2247</v>
      </c>
      <c r="L510" s="17" t="s">
        <v>2247</v>
      </c>
      <c r="M510" s="17" t="s">
        <v>2248</v>
      </c>
      <c r="N510" s="21">
        <f>IFERROR((C510-VLOOKUP(B510,crm_orders!$A:$S,2,FALSE))*24,0)</f>
        <v>144</v>
      </c>
      <c r="O510" s="19" t="str">
        <f>IFERROR(VLOOKUP(B510,crm_orders!$A:$S,3,FALSE),"")</f>
        <v>DSP0097</v>
      </c>
      <c r="P510" s="19" t="str">
        <f>IFERROR(VLOOKUP(B510,crm_orders!$A:$S,5,FALSE),"")</f>
        <v>OR</v>
      </c>
      <c r="Q510" s="19" t="str">
        <f>IFERROR(VLOOKUP(B510,crm_orders!$A:$S,7,FALSE),"")</f>
        <v>Distributor</v>
      </c>
      <c r="R510" s="19" t="str">
        <f>IFERROR(VLOOKUP(B510,crm_orders!$A:$S,8,FALSE),"")</f>
        <v>SKU0019</v>
      </c>
    </row>
    <row r="511" ht="15.75" customHeight="1">
      <c r="A511" s="25" t="s">
        <v>3275</v>
      </c>
      <c r="B511" s="25" t="s">
        <v>925</v>
      </c>
      <c r="C511" s="26">
        <v>46046.0</v>
      </c>
      <c r="D511" s="25" t="s">
        <v>2250</v>
      </c>
      <c r="E511" s="25" t="s">
        <v>2255</v>
      </c>
      <c r="F511" s="25" t="s">
        <v>3276</v>
      </c>
      <c r="G511" s="29">
        <v>120.0</v>
      </c>
      <c r="H511" s="29">
        <v>120.0</v>
      </c>
      <c r="I511" s="29">
        <v>0.0</v>
      </c>
      <c r="J511" s="25" t="s">
        <v>2246</v>
      </c>
      <c r="K511" s="25" t="s">
        <v>2247</v>
      </c>
      <c r="L511" s="25" t="s">
        <v>2246</v>
      </c>
      <c r="M511" s="25" t="s">
        <v>2248</v>
      </c>
      <c r="N511" s="29">
        <f>IFERROR((C511-VLOOKUP(B511,crm_orders!$A:$S,2,FALSE))*24,0)</f>
        <v>144</v>
      </c>
      <c r="O511" s="27" t="str">
        <f>IFERROR(VLOOKUP(B511,crm_orders!$A:$S,3,FALSE),"")</f>
        <v>DSP0116</v>
      </c>
      <c r="P511" s="27" t="str">
        <f>IFERROR(VLOOKUP(B511,crm_orders!$A:$S,5,FALSE),"")</f>
        <v>MI</v>
      </c>
      <c r="Q511" s="27" t="str">
        <f>IFERROR(VLOOKUP(B511,crm_orders!$A:$S,7,FALSE),"")</f>
        <v>Wholesale</v>
      </c>
      <c r="R511" s="27" t="str">
        <f>IFERROR(VLOOKUP(B511,crm_orders!$A:$S,8,FALSE),"")</f>
        <v>SKU0002</v>
      </c>
    </row>
    <row r="512" ht="15.75" customHeight="1">
      <c r="A512" s="17" t="s">
        <v>3277</v>
      </c>
      <c r="B512" s="17" t="s">
        <v>644</v>
      </c>
      <c r="C512" s="18">
        <v>46110.0</v>
      </c>
      <c r="D512" s="17" t="s">
        <v>2254</v>
      </c>
      <c r="E512" s="17" t="s">
        <v>2261</v>
      </c>
      <c r="F512" s="17" t="s">
        <v>3278</v>
      </c>
      <c r="G512" s="21">
        <v>24.0</v>
      </c>
      <c r="H512" s="21">
        <v>24.0</v>
      </c>
      <c r="I512" s="21">
        <v>0.0</v>
      </c>
      <c r="J512" s="17" t="s">
        <v>2247</v>
      </c>
      <c r="K512" s="17" t="s">
        <v>2247</v>
      </c>
      <c r="L512" s="17" t="s">
        <v>2247</v>
      </c>
      <c r="M512" s="17" t="s">
        <v>2248</v>
      </c>
      <c r="N512" s="21">
        <f>IFERROR((C512-VLOOKUP(B512,crm_orders!$A:$S,2,FALSE))*24,0)</f>
        <v>120</v>
      </c>
      <c r="O512" s="19" t="str">
        <f>IFERROR(VLOOKUP(B512,crm_orders!$A:$S,3,FALSE),"")</f>
        <v>DSP0008</v>
      </c>
      <c r="P512" s="19" t="str">
        <f>IFERROR(VLOOKUP(B512,crm_orders!$A:$S,5,FALSE),"")</f>
        <v>MI</v>
      </c>
      <c r="Q512" s="19" t="str">
        <f>IFERROR(VLOOKUP(B512,crm_orders!$A:$S,7,FALSE),"")</f>
        <v>Distributor</v>
      </c>
      <c r="R512" s="19" t="str">
        <f>IFERROR(VLOOKUP(B512,crm_orders!$A:$S,8,FALSE),"")</f>
        <v>SKU0020</v>
      </c>
    </row>
    <row r="513" ht="15.75" customHeight="1">
      <c r="A513" s="25" t="s">
        <v>3279</v>
      </c>
      <c r="B513" s="25" t="s">
        <v>812</v>
      </c>
      <c r="C513" s="26">
        <v>46116.0</v>
      </c>
      <c r="D513" s="25" t="s">
        <v>2269</v>
      </c>
      <c r="E513" s="25" t="s">
        <v>2261</v>
      </c>
      <c r="F513" s="25" t="s">
        <v>3280</v>
      </c>
      <c r="G513" s="29">
        <v>120.0</v>
      </c>
      <c r="H513" s="29">
        <v>120.0</v>
      </c>
      <c r="I513" s="29">
        <v>0.0</v>
      </c>
      <c r="J513" s="25" t="s">
        <v>2247</v>
      </c>
      <c r="K513" s="25" t="s">
        <v>2247</v>
      </c>
      <c r="L513" s="25" t="s">
        <v>2247</v>
      </c>
      <c r="M513" s="25" t="s">
        <v>2248</v>
      </c>
      <c r="N513" s="29">
        <f>IFERROR((C513-VLOOKUP(B513,crm_orders!$A:$S,2,FALSE))*24,0)</f>
        <v>168</v>
      </c>
      <c r="O513" s="27" t="str">
        <f>IFERROR(VLOOKUP(B513,crm_orders!$A:$S,3,FALSE),"")</f>
        <v>DSP0109</v>
      </c>
      <c r="P513" s="27" t="str">
        <f>IFERROR(VLOOKUP(B513,crm_orders!$A:$S,5,FALSE),"")</f>
        <v>OR</v>
      </c>
      <c r="Q513" s="27" t="str">
        <f>IFERROR(VLOOKUP(B513,crm_orders!$A:$S,7,FALSE),"")</f>
        <v>Wholesale</v>
      </c>
      <c r="R513" s="27" t="str">
        <f>IFERROR(VLOOKUP(B513,crm_orders!$A:$S,8,FALSE),"")</f>
        <v>SKU0015</v>
      </c>
    </row>
    <row r="514" ht="15.75" customHeight="1">
      <c r="A514" s="17" t="s">
        <v>3281</v>
      </c>
      <c r="B514" s="17" t="s">
        <v>395</v>
      </c>
      <c r="C514" s="18">
        <v>46121.0</v>
      </c>
      <c r="D514" s="17" t="s">
        <v>2250</v>
      </c>
      <c r="E514" s="17" t="s">
        <v>2286</v>
      </c>
      <c r="F514" s="17" t="s">
        <v>3282</v>
      </c>
      <c r="G514" s="21">
        <v>48.0</v>
      </c>
      <c r="H514" s="21">
        <v>48.0</v>
      </c>
      <c r="I514" s="21">
        <v>0.0</v>
      </c>
      <c r="J514" s="17" t="s">
        <v>2246</v>
      </c>
      <c r="K514" s="17" t="s">
        <v>2247</v>
      </c>
      <c r="L514" s="17" t="s">
        <v>2246</v>
      </c>
      <c r="M514" s="17" t="s">
        <v>2248</v>
      </c>
      <c r="N514" s="21">
        <f>IFERROR((C514-VLOOKUP(B514,crm_orders!$A:$S,2,FALSE))*24,0)</f>
        <v>120</v>
      </c>
      <c r="O514" s="19" t="str">
        <f>IFERROR(VLOOKUP(B514,crm_orders!$A:$S,3,FALSE),"")</f>
        <v>DSP0115</v>
      </c>
      <c r="P514" s="19" t="str">
        <f>IFERROR(VLOOKUP(B514,crm_orders!$A:$S,5,FALSE),"")</f>
        <v>IL</v>
      </c>
      <c r="Q514" s="19" t="str">
        <f>IFERROR(VLOOKUP(B514,crm_orders!$A:$S,7,FALSE),"")</f>
        <v>Wholesale</v>
      </c>
      <c r="R514" s="19" t="str">
        <f>IFERROR(VLOOKUP(B514,crm_orders!$A:$S,8,FALSE),"")</f>
        <v>SKU0014</v>
      </c>
    </row>
    <row r="515" ht="15.75" customHeight="1">
      <c r="A515" s="25" t="s">
        <v>3283</v>
      </c>
      <c r="B515" s="25" t="s">
        <v>926</v>
      </c>
      <c r="C515" s="26">
        <v>46037.0</v>
      </c>
      <c r="D515" s="25" t="s">
        <v>2243</v>
      </c>
      <c r="E515" s="25" t="s">
        <v>2251</v>
      </c>
      <c r="F515" s="25" t="s">
        <v>3284</v>
      </c>
      <c r="G515" s="29">
        <v>96.0</v>
      </c>
      <c r="H515" s="29">
        <v>96.0</v>
      </c>
      <c r="I515" s="29">
        <v>0.0</v>
      </c>
      <c r="J515" s="25" t="s">
        <v>2246</v>
      </c>
      <c r="K515" s="25" t="s">
        <v>2247</v>
      </c>
      <c r="L515" s="25" t="s">
        <v>2246</v>
      </c>
      <c r="M515" s="25" t="s">
        <v>2248</v>
      </c>
      <c r="N515" s="29">
        <f>IFERROR((C515-VLOOKUP(B515,crm_orders!$A:$S,2,FALSE))*24,0)</f>
        <v>144</v>
      </c>
      <c r="O515" s="27" t="str">
        <f>IFERROR(VLOOKUP(B515,crm_orders!$A:$S,3,FALSE),"")</f>
        <v>DSP0068</v>
      </c>
      <c r="P515" s="27" t="str">
        <f>IFERROR(VLOOKUP(B515,crm_orders!$A:$S,5,FALSE),"")</f>
        <v>MI</v>
      </c>
      <c r="Q515" s="27" t="str">
        <f>IFERROR(VLOOKUP(B515,crm_orders!$A:$S,7,FALSE),"")</f>
        <v>Wholesale</v>
      </c>
      <c r="R515" s="27" t="str">
        <f>IFERROR(VLOOKUP(B515,crm_orders!$A:$S,8,FALSE),"")</f>
        <v>SKU0011</v>
      </c>
    </row>
    <row r="516" ht="15.75" customHeight="1">
      <c r="A516" s="17" t="s">
        <v>3285</v>
      </c>
      <c r="B516" s="17" t="s">
        <v>646</v>
      </c>
      <c r="C516" s="18">
        <v>46129.0</v>
      </c>
      <c r="D516" s="17" t="s">
        <v>2269</v>
      </c>
      <c r="E516" s="17" t="s">
        <v>2261</v>
      </c>
      <c r="F516" s="17" t="s">
        <v>3286</v>
      </c>
      <c r="G516" s="21">
        <v>18.0</v>
      </c>
      <c r="H516" s="21">
        <v>18.0</v>
      </c>
      <c r="I516" s="21">
        <v>0.0</v>
      </c>
      <c r="J516" s="17" t="s">
        <v>2246</v>
      </c>
      <c r="K516" s="17" t="s">
        <v>2247</v>
      </c>
      <c r="L516" s="17" t="s">
        <v>2246</v>
      </c>
      <c r="M516" s="17" t="s">
        <v>2248</v>
      </c>
      <c r="N516" s="21">
        <f>IFERROR((C516-VLOOKUP(B516,crm_orders!$A:$S,2,FALSE))*24,0)</f>
        <v>240</v>
      </c>
      <c r="O516" s="19" t="str">
        <f>IFERROR(VLOOKUP(B516,crm_orders!$A:$S,3,FALSE),"")</f>
        <v>DSP0091</v>
      </c>
      <c r="P516" s="19" t="str">
        <f>IFERROR(VLOOKUP(B516,crm_orders!$A:$S,5,FALSE),"")</f>
        <v>IL</v>
      </c>
      <c r="Q516" s="19" t="str">
        <f>IFERROR(VLOOKUP(B516,crm_orders!$A:$S,7,FALSE),"")</f>
        <v>Wholesale</v>
      </c>
      <c r="R516" s="19" t="str">
        <f>IFERROR(VLOOKUP(B516,crm_orders!$A:$S,8,FALSE),"")</f>
        <v>SKU0019</v>
      </c>
    </row>
    <row r="517" ht="15.75" customHeight="1">
      <c r="A517" s="25" t="s">
        <v>3287</v>
      </c>
      <c r="B517" s="25" t="s">
        <v>813</v>
      </c>
      <c r="C517" s="26">
        <v>46043.0</v>
      </c>
      <c r="D517" s="25" t="s">
        <v>2250</v>
      </c>
      <c r="E517" s="25" t="s">
        <v>2261</v>
      </c>
      <c r="F517" s="25" t="s">
        <v>3288</v>
      </c>
      <c r="G517" s="29">
        <v>120.0</v>
      </c>
      <c r="H517" s="29">
        <v>120.0</v>
      </c>
      <c r="I517" s="29">
        <v>0.0</v>
      </c>
      <c r="J517" s="25" t="s">
        <v>2246</v>
      </c>
      <c r="K517" s="25" t="s">
        <v>2247</v>
      </c>
      <c r="L517" s="25" t="s">
        <v>2246</v>
      </c>
      <c r="M517" s="25" t="s">
        <v>2248</v>
      </c>
      <c r="N517" s="29">
        <f>IFERROR((C517-VLOOKUP(B517,crm_orders!$A:$S,2,FALSE))*24,0)</f>
        <v>120</v>
      </c>
      <c r="O517" s="27" t="str">
        <f>IFERROR(VLOOKUP(B517,crm_orders!$A:$S,3,FALSE),"")</f>
        <v>DSP0082</v>
      </c>
      <c r="P517" s="27" t="str">
        <f>IFERROR(VLOOKUP(B517,crm_orders!$A:$S,5,FALSE),"")</f>
        <v>NM</v>
      </c>
      <c r="Q517" s="27" t="str">
        <f>IFERROR(VLOOKUP(B517,crm_orders!$A:$S,7,FALSE),"")</f>
        <v>Wholesale</v>
      </c>
      <c r="R517" s="27" t="str">
        <f>IFERROR(VLOOKUP(B517,crm_orders!$A:$S,8,FALSE),"")</f>
        <v>SKU0016</v>
      </c>
    </row>
    <row r="518" ht="15.75" customHeight="1">
      <c r="A518" s="17" t="s">
        <v>3289</v>
      </c>
      <c r="B518" s="17" t="s">
        <v>133</v>
      </c>
      <c r="C518" s="18">
        <v>46106.0</v>
      </c>
      <c r="D518" s="17" t="s">
        <v>2250</v>
      </c>
      <c r="E518" s="17" t="s">
        <v>2255</v>
      </c>
      <c r="F518" s="17" t="s">
        <v>3290</v>
      </c>
      <c r="G518" s="21">
        <v>36.0</v>
      </c>
      <c r="H518" s="21">
        <v>36.0</v>
      </c>
      <c r="I518" s="21">
        <v>0.0</v>
      </c>
      <c r="J518" s="17" t="s">
        <v>2247</v>
      </c>
      <c r="K518" s="17" t="s">
        <v>2247</v>
      </c>
      <c r="L518" s="17" t="s">
        <v>2247</v>
      </c>
      <c r="M518" s="17" t="s">
        <v>2248</v>
      </c>
      <c r="N518" s="21">
        <f>IFERROR((C518-VLOOKUP(B518,crm_orders!$A:$S,2,FALSE))*24,0)</f>
        <v>168</v>
      </c>
      <c r="O518" s="19" t="str">
        <f>IFERROR(VLOOKUP(B518,crm_orders!$A:$S,3,FALSE),"")</f>
        <v>DSP0064</v>
      </c>
      <c r="P518" s="19" t="str">
        <f>IFERROR(VLOOKUP(B518,crm_orders!$A:$S,5,FALSE),"")</f>
        <v>CO</v>
      </c>
      <c r="Q518" s="19" t="str">
        <f>IFERROR(VLOOKUP(B518,crm_orders!$A:$S,7,FALSE),"")</f>
        <v>Distributor</v>
      </c>
      <c r="R518" s="19" t="str">
        <f>IFERROR(VLOOKUP(B518,crm_orders!$A:$S,8,FALSE),"")</f>
        <v>SKU0003</v>
      </c>
    </row>
    <row r="519" ht="15.75" customHeight="1">
      <c r="A519" s="25" t="s">
        <v>3291</v>
      </c>
      <c r="B519" s="25" t="s">
        <v>396</v>
      </c>
      <c r="C519" s="26">
        <v>46122.0</v>
      </c>
      <c r="D519" s="25" t="s">
        <v>2250</v>
      </c>
      <c r="E519" s="25" t="s">
        <v>2261</v>
      </c>
      <c r="F519" s="25" t="s">
        <v>3292</v>
      </c>
      <c r="G519" s="29">
        <v>96.0</v>
      </c>
      <c r="H519" s="29">
        <v>96.0</v>
      </c>
      <c r="I519" s="29">
        <v>0.0</v>
      </c>
      <c r="J519" s="25" t="s">
        <v>2246</v>
      </c>
      <c r="K519" s="25" t="s">
        <v>2247</v>
      </c>
      <c r="L519" s="25" t="s">
        <v>2246</v>
      </c>
      <c r="M519" s="25" t="s">
        <v>2248</v>
      </c>
      <c r="N519" s="29">
        <f>IFERROR((C519-VLOOKUP(B519,crm_orders!$A:$S,2,FALSE))*24,0)</f>
        <v>144</v>
      </c>
      <c r="O519" s="27" t="str">
        <f>IFERROR(VLOOKUP(B519,crm_orders!$A:$S,3,FALSE),"")</f>
        <v>DSP0048</v>
      </c>
      <c r="P519" s="27" t="str">
        <f>IFERROR(VLOOKUP(B519,crm_orders!$A:$S,5,FALSE),"")</f>
        <v>OK</v>
      </c>
      <c r="Q519" s="27" t="str">
        <f>IFERROR(VLOOKUP(B519,crm_orders!$A:$S,7,FALSE),"")</f>
        <v>Wholesale</v>
      </c>
      <c r="R519" s="27" t="str">
        <f>IFERROR(VLOOKUP(B519,crm_orders!$A:$S,8,FALSE),"")</f>
        <v>SKU0017</v>
      </c>
    </row>
    <row r="520" ht="15.75" customHeight="1">
      <c r="A520" s="17" t="s">
        <v>3293</v>
      </c>
      <c r="B520" s="17" t="s">
        <v>815</v>
      </c>
      <c r="C520" s="18">
        <v>46092.0</v>
      </c>
      <c r="D520" s="17" t="s">
        <v>2260</v>
      </c>
      <c r="E520" s="17" t="s">
        <v>2251</v>
      </c>
      <c r="F520" s="17" t="s">
        <v>3294</v>
      </c>
      <c r="G520" s="21">
        <v>24.0</v>
      </c>
      <c r="H520" s="21">
        <v>0.0</v>
      </c>
      <c r="I520" s="21">
        <v>24.0</v>
      </c>
      <c r="J520" s="17" t="s">
        <v>2246</v>
      </c>
      <c r="K520" s="17" t="s">
        <v>2246</v>
      </c>
      <c r="L520" s="17" t="s">
        <v>2246</v>
      </c>
      <c r="M520" s="17" t="s">
        <v>2267</v>
      </c>
      <c r="N520" s="21">
        <f>IFERROR((C520-VLOOKUP(B520,crm_orders!$A:$S,2,FALSE))*24,0)</f>
        <v>96</v>
      </c>
      <c r="O520" s="19" t="str">
        <f>IFERROR(VLOOKUP(B520,crm_orders!$A:$S,3,FALSE),"")</f>
        <v>DSP0082</v>
      </c>
      <c r="P520" s="19" t="str">
        <f>IFERROR(VLOOKUP(B520,crm_orders!$A:$S,5,FALSE),"")</f>
        <v>NM</v>
      </c>
      <c r="Q520" s="19" t="str">
        <f>IFERROR(VLOOKUP(B520,crm_orders!$A:$S,7,FALSE),"")</f>
        <v>Wholesale</v>
      </c>
      <c r="R520" s="19" t="str">
        <f>IFERROR(VLOOKUP(B520,crm_orders!$A:$S,8,FALSE),"")</f>
        <v>SKU0003</v>
      </c>
    </row>
    <row r="521" ht="15.75" customHeight="1">
      <c r="A521" s="25" t="s">
        <v>3295</v>
      </c>
      <c r="B521" s="25" t="s">
        <v>1038</v>
      </c>
      <c r="C521" s="26">
        <v>46066.0</v>
      </c>
      <c r="D521" s="25" t="s">
        <v>2250</v>
      </c>
      <c r="E521" s="25" t="s">
        <v>2255</v>
      </c>
      <c r="F521" s="25" t="s">
        <v>3296</v>
      </c>
      <c r="G521" s="29">
        <v>120.0</v>
      </c>
      <c r="H521" s="29">
        <v>120.0</v>
      </c>
      <c r="I521" s="29">
        <v>0.0</v>
      </c>
      <c r="J521" s="25" t="s">
        <v>2246</v>
      </c>
      <c r="K521" s="25" t="s">
        <v>2247</v>
      </c>
      <c r="L521" s="25" t="s">
        <v>2246</v>
      </c>
      <c r="M521" s="25" t="s">
        <v>2248</v>
      </c>
      <c r="N521" s="29">
        <f>IFERROR((C521-VLOOKUP(B521,crm_orders!$A:$S,2,FALSE))*24,0)</f>
        <v>216</v>
      </c>
      <c r="O521" s="27" t="str">
        <f>IFERROR(VLOOKUP(B521,crm_orders!$A:$S,3,FALSE),"")</f>
        <v>DSP0106</v>
      </c>
      <c r="P521" s="27" t="str">
        <f>IFERROR(VLOOKUP(B521,crm_orders!$A:$S,5,FALSE),"")</f>
        <v>NM</v>
      </c>
      <c r="Q521" s="27" t="str">
        <f>IFERROR(VLOOKUP(B521,crm_orders!$A:$S,7,FALSE),"")</f>
        <v>Wholesale</v>
      </c>
      <c r="R521" s="27" t="str">
        <f>IFERROR(VLOOKUP(B521,crm_orders!$A:$S,8,FALSE),"")</f>
        <v>SKU0010</v>
      </c>
    </row>
    <row r="522" ht="15.75" customHeight="1">
      <c r="A522" s="17" t="s">
        <v>3297</v>
      </c>
      <c r="B522" s="17" t="s">
        <v>1110</v>
      </c>
      <c r="C522" s="18">
        <v>46074.0</v>
      </c>
      <c r="D522" s="17" t="s">
        <v>2260</v>
      </c>
      <c r="E522" s="17" t="s">
        <v>2251</v>
      </c>
      <c r="F522" s="17" t="s">
        <v>3298</v>
      </c>
      <c r="G522" s="21">
        <v>60.0</v>
      </c>
      <c r="H522" s="21">
        <v>60.0</v>
      </c>
      <c r="I522" s="21">
        <v>0.0</v>
      </c>
      <c r="J522" s="17" t="s">
        <v>2247</v>
      </c>
      <c r="K522" s="17" t="s">
        <v>2247</v>
      </c>
      <c r="L522" s="17" t="s">
        <v>2247</v>
      </c>
      <c r="M522" s="17" t="s">
        <v>2248</v>
      </c>
      <c r="N522" s="21">
        <f>IFERROR((C522-VLOOKUP(B522,crm_orders!$A:$S,2,FALSE))*24,0)</f>
        <v>96</v>
      </c>
      <c r="O522" s="19" t="str">
        <f>IFERROR(VLOOKUP(B522,crm_orders!$A:$S,3,FALSE),"")</f>
        <v>DSP0067</v>
      </c>
      <c r="P522" s="19" t="str">
        <f>IFERROR(VLOOKUP(B522,crm_orders!$A:$S,5,FALSE),"")</f>
        <v>IL</v>
      </c>
      <c r="Q522" s="19" t="str">
        <f>IFERROR(VLOOKUP(B522,crm_orders!$A:$S,7,FALSE),"")</f>
        <v>Wholesale</v>
      </c>
      <c r="R522" s="19" t="str">
        <f>IFERROR(VLOOKUP(B522,crm_orders!$A:$S,8,FALSE),"")</f>
        <v>SKU0010</v>
      </c>
    </row>
    <row r="523" ht="15.75" customHeight="1">
      <c r="A523" s="25" t="s">
        <v>3299</v>
      </c>
      <c r="B523" s="25" t="s">
        <v>647</v>
      </c>
      <c r="C523" s="26">
        <v>46104.0</v>
      </c>
      <c r="D523" s="25" t="s">
        <v>2254</v>
      </c>
      <c r="E523" s="25" t="s">
        <v>2286</v>
      </c>
      <c r="F523" s="25" t="s">
        <v>3300</v>
      </c>
      <c r="G523" s="29">
        <v>72.0</v>
      </c>
      <c r="H523" s="29">
        <v>72.0</v>
      </c>
      <c r="I523" s="29">
        <v>0.0</v>
      </c>
      <c r="J523" s="25" t="s">
        <v>2246</v>
      </c>
      <c r="K523" s="25" t="s">
        <v>2247</v>
      </c>
      <c r="L523" s="25" t="s">
        <v>2246</v>
      </c>
      <c r="M523" s="25" t="s">
        <v>2248</v>
      </c>
      <c r="N523" s="29">
        <f>IFERROR((C523-VLOOKUP(B523,crm_orders!$A:$S,2,FALSE))*24,0)</f>
        <v>72</v>
      </c>
      <c r="O523" s="27" t="str">
        <f>IFERROR(VLOOKUP(B523,crm_orders!$A:$S,3,FALSE),"")</f>
        <v>DSP0025</v>
      </c>
      <c r="P523" s="27" t="str">
        <f>IFERROR(VLOOKUP(B523,crm_orders!$A:$S,5,FALSE),"")</f>
        <v>OR</v>
      </c>
      <c r="Q523" s="27" t="str">
        <f>IFERROR(VLOOKUP(B523,crm_orders!$A:$S,7,FALSE),"")</f>
        <v>Retail</v>
      </c>
      <c r="R523" s="27" t="str">
        <f>IFERROR(VLOOKUP(B523,crm_orders!$A:$S,8,FALSE),"")</f>
        <v>SKU0018</v>
      </c>
    </row>
    <row r="524" ht="15.75" customHeight="1">
      <c r="A524" s="17" t="s">
        <v>3301</v>
      </c>
      <c r="B524" s="17" t="s">
        <v>1171</v>
      </c>
      <c r="C524" s="18">
        <v>46154.0</v>
      </c>
      <c r="D524" s="17" t="s">
        <v>2243</v>
      </c>
      <c r="E524" s="17" t="s">
        <v>2244</v>
      </c>
      <c r="F524" s="17" t="s">
        <v>3302</v>
      </c>
      <c r="G524" s="21">
        <v>6.0</v>
      </c>
      <c r="H524" s="21">
        <v>6.0</v>
      </c>
      <c r="I524" s="21">
        <v>0.0</v>
      </c>
      <c r="J524" s="17" t="s">
        <v>2246</v>
      </c>
      <c r="K524" s="17" t="s">
        <v>2247</v>
      </c>
      <c r="L524" s="17" t="s">
        <v>2246</v>
      </c>
      <c r="M524" s="17" t="s">
        <v>2248</v>
      </c>
      <c r="N524" s="21">
        <f>IFERROR((C524-VLOOKUP(B524,crm_orders!$A:$S,2,FALSE))*24,0)</f>
        <v>312</v>
      </c>
      <c r="O524" s="19" t="str">
        <f>IFERROR(VLOOKUP(B524,crm_orders!$A:$S,3,FALSE),"")</f>
        <v>DSP0015</v>
      </c>
      <c r="P524" s="19" t="str">
        <f>IFERROR(VLOOKUP(B524,crm_orders!$A:$S,5,FALSE),"")</f>
        <v>CA</v>
      </c>
      <c r="Q524" s="19" t="str">
        <f>IFERROR(VLOOKUP(B524,crm_orders!$A:$S,7,FALSE),"")</f>
        <v>Wholesale</v>
      </c>
      <c r="R524" s="19" t="str">
        <f>IFERROR(VLOOKUP(B524,crm_orders!$A:$S,8,FALSE),"")</f>
        <v>SKU0005</v>
      </c>
    </row>
    <row r="525" ht="15.75" customHeight="1">
      <c r="A525" s="25" t="s">
        <v>3303</v>
      </c>
      <c r="B525" s="25" t="s">
        <v>1111</v>
      </c>
      <c r="C525" s="26">
        <v>46053.0</v>
      </c>
      <c r="D525" s="25" t="s">
        <v>2254</v>
      </c>
      <c r="E525" s="25" t="s">
        <v>2244</v>
      </c>
      <c r="F525" s="25" t="s">
        <v>3304</v>
      </c>
      <c r="G525" s="29">
        <v>30.0</v>
      </c>
      <c r="H525" s="29">
        <v>30.0</v>
      </c>
      <c r="I525" s="29">
        <v>0.0</v>
      </c>
      <c r="J525" s="25" t="s">
        <v>2246</v>
      </c>
      <c r="K525" s="25" t="s">
        <v>2247</v>
      </c>
      <c r="L525" s="25" t="s">
        <v>2246</v>
      </c>
      <c r="M525" s="25" t="s">
        <v>2248</v>
      </c>
      <c r="N525" s="29">
        <f>IFERROR((C525-VLOOKUP(B525,crm_orders!$A:$S,2,FALSE))*24,0)</f>
        <v>192</v>
      </c>
      <c r="O525" s="27" t="str">
        <f>IFERROR(VLOOKUP(B525,crm_orders!$A:$S,3,FALSE),"")</f>
        <v>DSP0098</v>
      </c>
      <c r="P525" s="27" t="str">
        <f>IFERROR(VLOOKUP(B525,crm_orders!$A:$S,5,FALSE),"")</f>
        <v>WA</v>
      </c>
      <c r="Q525" s="27" t="str">
        <f>IFERROR(VLOOKUP(B525,crm_orders!$A:$S,7,FALSE),"")</f>
        <v>Wholesale</v>
      </c>
      <c r="R525" s="27" t="str">
        <f>IFERROR(VLOOKUP(B525,crm_orders!$A:$S,8,FALSE),"")</f>
        <v>SKU0011</v>
      </c>
    </row>
    <row r="526" ht="15.75" customHeight="1">
      <c r="A526" s="17" t="s">
        <v>3305</v>
      </c>
      <c r="B526" s="17" t="s">
        <v>397</v>
      </c>
      <c r="C526" s="18">
        <v>46044.0</v>
      </c>
      <c r="D526" s="17" t="s">
        <v>2243</v>
      </c>
      <c r="E526" s="17" t="s">
        <v>2286</v>
      </c>
      <c r="F526" s="17" t="s">
        <v>3306</v>
      </c>
      <c r="G526" s="21">
        <v>48.0</v>
      </c>
      <c r="H526" s="21">
        <v>48.0</v>
      </c>
      <c r="I526" s="21">
        <v>0.0</v>
      </c>
      <c r="J526" s="17" t="s">
        <v>2246</v>
      </c>
      <c r="K526" s="17" t="s">
        <v>2247</v>
      </c>
      <c r="L526" s="17" t="s">
        <v>2246</v>
      </c>
      <c r="M526" s="17" t="s">
        <v>2248</v>
      </c>
      <c r="N526" s="21">
        <f>IFERROR((C526-VLOOKUP(B526,crm_orders!$A:$S,2,FALSE))*24,0)</f>
        <v>264</v>
      </c>
      <c r="O526" s="19" t="str">
        <f>IFERROR(VLOOKUP(B526,crm_orders!$A:$S,3,FALSE),"")</f>
        <v>DSP0027</v>
      </c>
      <c r="P526" s="19" t="str">
        <f>IFERROR(VLOOKUP(B526,crm_orders!$A:$S,5,FALSE),"")</f>
        <v>CA</v>
      </c>
      <c r="Q526" s="19" t="str">
        <f>IFERROR(VLOOKUP(B526,crm_orders!$A:$S,7,FALSE),"")</f>
        <v>Wholesale</v>
      </c>
      <c r="R526" s="19" t="str">
        <f>IFERROR(VLOOKUP(B526,crm_orders!$A:$S,8,FALSE),"")</f>
        <v>SKU0005</v>
      </c>
    </row>
    <row r="527" ht="15.75" customHeight="1">
      <c r="A527" s="25" t="s">
        <v>3307</v>
      </c>
      <c r="B527" s="25" t="s">
        <v>511</v>
      </c>
      <c r="C527" s="26">
        <v>46138.0</v>
      </c>
      <c r="D527" s="25" t="s">
        <v>2269</v>
      </c>
      <c r="E527" s="25" t="s">
        <v>2255</v>
      </c>
      <c r="F527" s="25" t="s">
        <v>3308</v>
      </c>
      <c r="G527" s="29">
        <v>120.0</v>
      </c>
      <c r="H527" s="29">
        <v>120.0</v>
      </c>
      <c r="I527" s="29">
        <v>0.0</v>
      </c>
      <c r="J527" s="25" t="s">
        <v>2246</v>
      </c>
      <c r="K527" s="25" t="s">
        <v>2247</v>
      </c>
      <c r="L527" s="25" t="s">
        <v>2246</v>
      </c>
      <c r="M527" s="25" t="s">
        <v>2248</v>
      </c>
      <c r="N527" s="29">
        <f>IFERROR((C527-VLOOKUP(B527,crm_orders!$A:$S,2,FALSE))*24,0)</f>
        <v>336</v>
      </c>
      <c r="O527" s="27" t="str">
        <f>IFERROR(VLOOKUP(B527,crm_orders!$A:$S,3,FALSE),"")</f>
        <v>DSP0014</v>
      </c>
      <c r="P527" s="27" t="str">
        <f>IFERROR(VLOOKUP(B527,crm_orders!$A:$S,5,FALSE),"")</f>
        <v>WA</v>
      </c>
      <c r="Q527" s="27" t="str">
        <f>IFERROR(VLOOKUP(B527,crm_orders!$A:$S,7,FALSE),"")</f>
        <v>Wholesale</v>
      </c>
      <c r="R527" s="27" t="str">
        <f>IFERROR(VLOOKUP(B527,crm_orders!$A:$S,8,FALSE),"")</f>
        <v>SKU0002</v>
      </c>
    </row>
    <row r="528" ht="15.75" customHeight="1">
      <c r="A528" s="17" t="s">
        <v>3309</v>
      </c>
      <c r="B528" s="17" t="s">
        <v>398</v>
      </c>
      <c r="C528" s="18">
        <v>46127.0</v>
      </c>
      <c r="D528" s="17" t="s">
        <v>2269</v>
      </c>
      <c r="E528" s="17" t="s">
        <v>2261</v>
      </c>
      <c r="F528" s="17" t="s">
        <v>3310</v>
      </c>
      <c r="G528" s="21">
        <v>12.0</v>
      </c>
      <c r="H528" s="21">
        <v>12.0</v>
      </c>
      <c r="I528" s="21">
        <v>0.0</v>
      </c>
      <c r="J528" s="17" t="s">
        <v>2246</v>
      </c>
      <c r="K528" s="17" t="s">
        <v>2247</v>
      </c>
      <c r="L528" s="17" t="s">
        <v>2246</v>
      </c>
      <c r="M528" s="17" t="s">
        <v>2248</v>
      </c>
      <c r="N528" s="21">
        <f>IFERROR((C528-VLOOKUP(B528,crm_orders!$A:$S,2,FALSE))*24,0)</f>
        <v>96</v>
      </c>
      <c r="O528" s="19" t="str">
        <f>IFERROR(VLOOKUP(B528,crm_orders!$A:$S,3,FALSE),"")</f>
        <v>DSP0002</v>
      </c>
      <c r="P528" s="19" t="str">
        <f>IFERROR(VLOOKUP(B528,crm_orders!$A:$S,5,FALSE),"")</f>
        <v>WA</v>
      </c>
      <c r="Q528" s="19" t="str">
        <f>IFERROR(VLOOKUP(B528,crm_orders!$A:$S,7,FALSE),"")</f>
        <v>Distributor</v>
      </c>
      <c r="R528" s="19" t="str">
        <f>IFERROR(VLOOKUP(B528,crm_orders!$A:$S,8,FALSE),"")</f>
        <v>SKU0004</v>
      </c>
    </row>
    <row r="529" ht="15.75" customHeight="1">
      <c r="A529" s="25" t="s">
        <v>3311</v>
      </c>
      <c r="B529" s="25" t="s">
        <v>648</v>
      </c>
      <c r="C529" s="26">
        <v>46116.0</v>
      </c>
      <c r="D529" s="25" t="s">
        <v>2243</v>
      </c>
      <c r="E529" s="25" t="s">
        <v>2251</v>
      </c>
      <c r="F529" s="25" t="s">
        <v>3312</v>
      </c>
      <c r="G529" s="29">
        <v>36.0</v>
      </c>
      <c r="H529" s="29">
        <v>36.0</v>
      </c>
      <c r="I529" s="29">
        <v>0.0</v>
      </c>
      <c r="J529" s="25" t="s">
        <v>2246</v>
      </c>
      <c r="K529" s="25" t="s">
        <v>2247</v>
      </c>
      <c r="L529" s="25" t="s">
        <v>2246</v>
      </c>
      <c r="M529" s="25" t="s">
        <v>2248</v>
      </c>
      <c r="N529" s="29">
        <f>IFERROR((C529-VLOOKUP(B529,crm_orders!$A:$S,2,FALSE))*24,0)</f>
        <v>456</v>
      </c>
      <c r="O529" s="27" t="str">
        <f>IFERROR(VLOOKUP(B529,crm_orders!$A:$S,3,FALSE),"")</f>
        <v>DSP0019</v>
      </c>
      <c r="P529" s="27" t="str">
        <f>IFERROR(VLOOKUP(B529,crm_orders!$A:$S,5,FALSE),"")</f>
        <v>IL</v>
      </c>
      <c r="Q529" s="27" t="str">
        <f>IFERROR(VLOOKUP(B529,crm_orders!$A:$S,7,FALSE),"")</f>
        <v>Retail</v>
      </c>
      <c r="R529" s="27" t="str">
        <f>IFERROR(VLOOKUP(B529,crm_orders!$A:$S,8,FALSE),"")</f>
        <v>SKU0009</v>
      </c>
    </row>
    <row r="530" ht="15.75" customHeight="1">
      <c r="A530" s="17" t="s">
        <v>3313</v>
      </c>
      <c r="B530" s="17" t="s">
        <v>816</v>
      </c>
      <c r="C530" s="18">
        <v>46123.0</v>
      </c>
      <c r="D530" s="17" t="s">
        <v>2260</v>
      </c>
      <c r="E530" s="17" t="s">
        <v>2261</v>
      </c>
      <c r="F530" s="17" t="s">
        <v>3314</v>
      </c>
      <c r="G530" s="21">
        <v>6.0</v>
      </c>
      <c r="H530" s="21">
        <v>6.0</v>
      </c>
      <c r="I530" s="21">
        <v>0.0</v>
      </c>
      <c r="J530" s="17" t="s">
        <v>2247</v>
      </c>
      <c r="K530" s="17" t="s">
        <v>2247</v>
      </c>
      <c r="L530" s="17" t="s">
        <v>2247</v>
      </c>
      <c r="M530" s="17" t="s">
        <v>2248</v>
      </c>
      <c r="N530" s="21">
        <f>IFERROR((C530-VLOOKUP(B530,crm_orders!$A:$S,2,FALSE))*24,0)</f>
        <v>72</v>
      </c>
      <c r="O530" s="19" t="str">
        <f>IFERROR(VLOOKUP(B530,crm_orders!$A:$S,3,FALSE),"")</f>
        <v>DSP0013</v>
      </c>
      <c r="P530" s="19" t="str">
        <f>IFERROR(VLOOKUP(B530,crm_orders!$A:$S,5,FALSE),"")</f>
        <v>OR</v>
      </c>
      <c r="Q530" s="19" t="str">
        <f>IFERROR(VLOOKUP(B530,crm_orders!$A:$S,7,FALSE),"")</f>
        <v>Distributor</v>
      </c>
      <c r="R530" s="19" t="str">
        <f>IFERROR(VLOOKUP(B530,crm_orders!$A:$S,8,FALSE),"")</f>
        <v>SKU0019</v>
      </c>
    </row>
    <row r="531" ht="15.75" customHeight="1">
      <c r="A531" s="25" t="s">
        <v>3315</v>
      </c>
      <c r="B531" s="25" t="s">
        <v>1112</v>
      </c>
      <c r="C531" s="26">
        <v>46048.0</v>
      </c>
      <c r="D531" s="25" t="s">
        <v>2269</v>
      </c>
      <c r="E531" s="25" t="s">
        <v>2286</v>
      </c>
      <c r="F531" s="25" t="s">
        <v>3316</v>
      </c>
      <c r="G531" s="29">
        <v>72.0</v>
      </c>
      <c r="H531" s="29">
        <v>72.0</v>
      </c>
      <c r="I531" s="29">
        <v>0.0</v>
      </c>
      <c r="J531" s="25" t="s">
        <v>2246</v>
      </c>
      <c r="K531" s="25" t="s">
        <v>2247</v>
      </c>
      <c r="L531" s="25" t="s">
        <v>2246</v>
      </c>
      <c r="M531" s="25" t="s">
        <v>2248</v>
      </c>
      <c r="N531" s="29">
        <f>IFERROR((C531-VLOOKUP(B531,crm_orders!$A:$S,2,FALSE))*24,0)</f>
        <v>264</v>
      </c>
      <c r="O531" s="27" t="str">
        <f>IFERROR(VLOOKUP(B531,crm_orders!$A:$S,3,FALSE),"")</f>
        <v>DSP0016</v>
      </c>
      <c r="P531" s="27" t="str">
        <f>IFERROR(VLOOKUP(B531,crm_orders!$A:$S,5,FALSE),"")</f>
        <v>CO</v>
      </c>
      <c r="Q531" s="27" t="str">
        <f>IFERROR(VLOOKUP(B531,crm_orders!$A:$S,7,FALSE),"")</f>
        <v>Retail</v>
      </c>
      <c r="R531" s="27" t="str">
        <f>IFERROR(VLOOKUP(B531,crm_orders!$A:$S,8,FALSE),"")</f>
        <v>SKU0015</v>
      </c>
    </row>
    <row r="532" ht="15.75" customHeight="1">
      <c r="A532" s="17" t="s">
        <v>3317</v>
      </c>
      <c r="B532" s="17" t="s">
        <v>134</v>
      </c>
      <c r="C532" s="18">
        <v>46081.0</v>
      </c>
      <c r="D532" s="17" t="s">
        <v>2254</v>
      </c>
      <c r="E532" s="17" t="s">
        <v>2286</v>
      </c>
      <c r="F532" s="17" t="s">
        <v>3318</v>
      </c>
      <c r="G532" s="21">
        <v>30.0</v>
      </c>
      <c r="H532" s="21">
        <v>30.0</v>
      </c>
      <c r="I532" s="21">
        <v>0.0</v>
      </c>
      <c r="J532" s="17" t="s">
        <v>2246</v>
      </c>
      <c r="K532" s="17" t="s">
        <v>2247</v>
      </c>
      <c r="L532" s="17" t="s">
        <v>2246</v>
      </c>
      <c r="M532" s="17" t="s">
        <v>2248</v>
      </c>
      <c r="N532" s="21">
        <f>IFERROR((C532-VLOOKUP(B532,crm_orders!$A:$S,2,FALSE))*24,0)</f>
        <v>216</v>
      </c>
      <c r="O532" s="19" t="str">
        <f>IFERROR(VLOOKUP(B532,crm_orders!$A:$S,3,FALSE),"")</f>
        <v>DSP0064</v>
      </c>
      <c r="P532" s="19" t="str">
        <f>IFERROR(VLOOKUP(B532,crm_orders!$A:$S,5,FALSE),"")</f>
        <v>CO</v>
      </c>
      <c r="Q532" s="19" t="str">
        <f>IFERROR(VLOOKUP(B532,crm_orders!$A:$S,7,FALSE),"")</f>
        <v>Retail</v>
      </c>
      <c r="R532" s="19" t="str">
        <f>IFERROR(VLOOKUP(B532,crm_orders!$A:$S,8,FALSE),"")</f>
        <v>SKU0004</v>
      </c>
    </row>
    <row r="533" ht="15.75" customHeight="1">
      <c r="A533" s="25" t="s">
        <v>3319</v>
      </c>
      <c r="B533" s="25" t="s">
        <v>649</v>
      </c>
      <c r="C533" s="26">
        <v>46055.0</v>
      </c>
      <c r="D533" s="25" t="s">
        <v>2260</v>
      </c>
      <c r="E533" s="25" t="s">
        <v>2244</v>
      </c>
      <c r="F533" s="25" t="s">
        <v>3320</v>
      </c>
      <c r="G533" s="29">
        <v>12.0</v>
      </c>
      <c r="H533" s="29">
        <v>0.0</v>
      </c>
      <c r="I533" s="29">
        <v>12.0</v>
      </c>
      <c r="J533" s="25" t="s">
        <v>2246</v>
      </c>
      <c r="K533" s="25" t="s">
        <v>2246</v>
      </c>
      <c r="L533" s="25" t="s">
        <v>2246</v>
      </c>
      <c r="M533" s="25" t="s">
        <v>2267</v>
      </c>
      <c r="N533" s="29">
        <f>IFERROR((C533-VLOOKUP(B533,crm_orders!$A:$S,2,FALSE))*24,0)</f>
        <v>192</v>
      </c>
      <c r="O533" s="27" t="str">
        <f>IFERROR(VLOOKUP(B533,crm_orders!$A:$S,3,FALSE),"")</f>
        <v>DSP0110</v>
      </c>
      <c r="P533" s="27" t="str">
        <f>IFERROR(VLOOKUP(B533,crm_orders!$A:$S,5,FALSE),"")</f>
        <v>WA</v>
      </c>
      <c r="Q533" s="27" t="str">
        <f>IFERROR(VLOOKUP(B533,crm_orders!$A:$S,7,FALSE),"")</f>
        <v>Distributor</v>
      </c>
      <c r="R533" s="27" t="str">
        <f>IFERROR(VLOOKUP(B533,crm_orders!$A:$S,8,FALSE),"")</f>
        <v>SKU0014</v>
      </c>
    </row>
    <row r="534" ht="15.75" customHeight="1">
      <c r="A534" s="17" t="s">
        <v>3321</v>
      </c>
      <c r="B534" s="17" t="s">
        <v>135</v>
      </c>
      <c r="C534" s="18">
        <v>46085.0</v>
      </c>
      <c r="D534" s="17" t="s">
        <v>2243</v>
      </c>
      <c r="E534" s="17" t="s">
        <v>2244</v>
      </c>
      <c r="F534" s="17" t="s">
        <v>3322</v>
      </c>
      <c r="G534" s="21">
        <v>60.0</v>
      </c>
      <c r="H534" s="21">
        <v>60.0</v>
      </c>
      <c r="I534" s="21">
        <v>0.0</v>
      </c>
      <c r="J534" s="17" t="s">
        <v>2246</v>
      </c>
      <c r="K534" s="17" t="s">
        <v>2247</v>
      </c>
      <c r="L534" s="17" t="s">
        <v>2246</v>
      </c>
      <c r="M534" s="17" t="s">
        <v>2248</v>
      </c>
      <c r="N534" s="21">
        <f>IFERROR((C534-VLOOKUP(B534,crm_orders!$A:$S,2,FALSE))*24,0)</f>
        <v>288</v>
      </c>
      <c r="O534" s="19" t="str">
        <f>IFERROR(VLOOKUP(B534,crm_orders!$A:$S,3,FALSE),"")</f>
        <v>DSP0063</v>
      </c>
      <c r="P534" s="19" t="str">
        <f>IFERROR(VLOOKUP(B534,crm_orders!$A:$S,5,FALSE),"")</f>
        <v>CA</v>
      </c>
      <c r="Q534" s="19" t="str">
        <f>IFERROR(VLOOKUP(B534,crm_orders!$A:$S,7,FALSE),"")</f>
        <v>Wholesale</v>
      </c>
      <c r="R534" s="19" t="str">
        <f>IFERROR(VLOOKUP(B534,crm_orders!$A:$S,8,FALSE),"")</f>
        <v>SKU0004</v>
      </c>
    </row>
    <row r="535" ht="15.75" customHeight="1">
      <c r="A535" s="25" t="s">
        <v>3323</v>
      </c>
      <c r="B535" s="25" t="s">
        <v>513</v>
      </c>
      <c r="C535" s="26">
        <v>46041.0</v>
      </c>
      <c r="D535" s="25" t="s">
        <v>2269</v>
      </c>
      <c r="E535" s="25" t="s">
        <v>2261</v>
      </c>
      <c r="F535" s="25" t="s">
        <v>3324</v>
      </c>
      <c r="G535" s="29">
        <v>36.0</v>
      </c>
      <c r="H535" s="29">
        <v>36.0</v>
      </c>
      <c r="I535" s="29">
        <v>0.0</v>
      </c>
      <c r="J535" s="25" t="s">
        <v>2246</v>
      </c>
      <c r="K535" s="25" t="s">
        <v>2247</v>
      </c>
      <c r="L535" s="25" t="s">
        <v>2246</v>
      </c>
      <c r="M535" s="25" t="s">
        <v>2248</v>
      </c>
      <c r="N535" s="29">
        <f>IFERROR((C535-VLOOKUP(B535,crm_orders!$A:$S,2,FALSE))*24,0)</f>
        <v>240</v>
      </c>
      <c r="O535" s="27" t="str">
        <f>IFERROR(VLOOKUP(B535,crm_orders!$A:$S,3,FALSE),"")</f>
        <v>DSP0014</v>
      </c>
      <c r="P535" s="27" t="str">
        <f>IFERROR(VLOOKUP(B535,crm_orders!$A:$S,5,FALSE),"")</f>
        <v>WA</v>
      </c>
      <c r="Q535" s="27" t="str">
        <f>IFERROR(VLOOKUP(B535,crm_orders!$A:$S,7,FALSE),"")</f>
        <v>Wholesale</v>
      </c>
      <c r="R535" s="27" t="str">
        <f>IFERROR(VLOOKUP(B535,crm_orders!$A:$S,8,FALSE),"")</f>
        <v>SKU0006</v>
      </c>
    </row>
    <row r="536" ht="15.75" customHeight="1">
      <c r="A536" s="17" t="s">
        <v>3325</v>
      </c>
      <c r="B536" s="17" t="s">
        <v>1113</v>
      </c>
      <c r="C536" s="18">
        <v>46111.0</v>
      </c>
      <c r="D536" s="17" t="s">
        <v>2269</v>
      </c>
      <c r="E536" s="17" t="s">
        <v>2286</v>
      </c>
      <c r="F536" s="17" t="s">
        <v>3326</v>
      </c>
      <c r="G536" s="21">
        <v>96.0</v>
      </c>
      <c r="H536" s="21">
        <v>96.0</v>
      </c>
      <c r="I536" s="21">
        <v>0.0</v>
      </c>
      <c r="J536" s="17" t="s">
        <v>2246</v>
      </c>
      <c r="K536" s="17" t="s">
        <v>2247</v>
      </c>
      <c r="L536" s="17" t="s">
        <v>2246</v>
      </c>
      <c r="M536" s="17" t="s">
        <v>2248</v>
      </c>
      <c r="N536" s="21">
        <f>IFERROR((C536-VLOOKUP(B536,crm_orders!$A:$S,2,FALSE))*24,0)</f>
        <v>216</v>
      </c>
      <c r="O536" s="19" t="str">
        <f>IFERROR(VLOOKUP(B536,crm_orders!$A:$S,3,FALSE),"")</f>
        <v>DSP0020</v>
      </c>
      <c r="P536" s="19" t="str">
        <f>IFERROR(VLOOKUP(B536,crm_orders!$A:$S,5,FALSE),"")</f>
        <v>MI</v>
      </c>
      <c r="Q536" s="19" t="str">
        <f>IFERROR(VLOOKUP(B536,crm_orders!$A:$S,7,FALSE),"")</f>
        <v>Retail</v>
      </c>
      <c r="R536" s="19" t="str">
        <f>IFERROR(VLOOKUP(B536,crm_orders!$A:$S,8,FALSE),"")</f>
        <v>SKU0010</v>
      </c>
    </row>
    <row r="537" ht="15.75" customHeight="1">
      <c r="A537" s="25" t="s">
        <v>3327</v>
      </c>
      <c r="B537" s="25" t="s">
        <v>1172</v>
      </c>
      <c r="C537" s="26">
        <v>46095.0</v>
      </c>
      <c r="D537" s="25" t="s">
        <v>2260</v>
      </c>
      <c r="E537" s="25" t="s">
        <v>2255</v>
      </c>
      <c r="F537" s="25" t="s">
        <v>3328</v>
      </c>
      <c r="G537" s="29">
        <v>72.0</v>
      </c>
      <c r="H537" s="29">
        <v>72.0</v>
      </c>
      <c r="I537" s="29">
        <v>0.0</v>
      </c>
      <c r="J537" s="25" t="s">
        <v>2246</v>
      </c>
      <c r="K537" s="25" t="s">
        <v>2247</v>
      </c>
      <c r="L537" s="25" t="s">
        <v>2246</v>
      </c>
      <c r="M537" s="25" t="s">
        <v>2248</v>
      </c>
      <c r="N537" s="29">
        <f>IFERROR((C537-VLOOKUP(B537,crm_orders!$A:$S,2,FALSE))*24,0)</f>
        <v>240</v>
      </c>
      <c r="O537" s="27" t="str">
        <f>IFERROR(VLOOKUP(B537,crm_orders!$A:$S,3,FALSE),"")</f>
        <v>DSP0085</v>
      </c>
      <c r="P537" s="27" t="str">
        <f>IFERROR(VLOOKUP(B537,crm_orders!$A:$S,5,FALSE),"")</f>
        <v>OR</v>
      </c>
      <c r="Q537" s="27" t="str">
        <f>IFERROR(VLOOKUP(B537,crm_orders!$A:$S,7,FALSE),"")</f>
        <v>Distributor</v>
      </c>
      <c r="R537" s="27" t="str">
        <f>IFERROR(VLOOKUP(B537,crm_orders!$A:$S,8,FALSE),"")</f>
        <v>SKU0016</v>
      </c>
    </row>
    <row r="538" ht="15.75" customHeight="1">
      <c r="A538" s="17" t="s">
        <v>3329</v>
      </c>
      <c r="B538" s="17" t="s">
        <v>818</v>
      </c>
      <c r="C538" s="18">
        <v>46145.0</v>
      </c>
      <c r="D538" s="17" t="s">
        <v>2254</v>
      </c>
      <c r="E538" s="17" t="s">
        <v>2244</v>
      </c>
      <c r="F538" s="17" t="s">
        <v>3330</v>
      </c>
      <c r="G538" s="21">
        <v>18.0</v>
      </c>
      <c r="H538" s="21">
        <v>18.0</v>
      </c>
      <c r="I538" s="21">
        <v>0.0</v>
      </c>
      <c r="J538" s="17" t="s">
        <v>2246</v>
      </c>
      <c r="K538" s="17" t="s">
        <v>2247</v>
      </c>
      <c r="L538" s="17" t="s">
        <v>2246</v>
      </c>
      <c r="M538" s="17" t="s">
        <v>2248</v>
      </c>
      <c r="N538" s="21">
        <f>IFERROR((C538-VLOOKUP(B538,crm_orders!$A:$S,2,FALSE))*24,0)</f>
        <v>216</v>
      </c>
      <c r="O538" s="19" t="str">
        <f>IFERROR(VLOOKUP(B538,crm_orders!$A:$S,3,FALSE),"")</f>
        <v>DSP0100</v>
      </c>
      <c r="P538" s="19" t="str">
        <f>IFERROR(VLOOKUP(B538,crm_orders!$A:$S,5,FALSE),"")</f>
        <v>CO</v>
      </c>
      <c r="Q538" s="19" t="str">
        <f>IFERROR(VLOOKUP(B538,crm_orders!$A:$S,7,FALSE),"")</f>
        <v>Retail</v>
      </c>
      <c r="R538" s="19" t="str">
        <f>IFERROR(VLOOKUP(B538,crm_orders!$A:$S,8,FALSE),"")</f>
        <v>SKU0010</v>
      </c>
    </row>
    <row r="539" ht="15.75" customHeight="1">
      <c r="A539" s="25" t="s">
        <v>3331</v>
      </c>
      <c r="B539" s="25" t="s">
        <v>1173</v>
      </c>
      <c r="C539" s="26">
        <v>46104.0</v>
      </c>
      <c r="D539" s="25" t="s">
        <v>2269</v>
      </c>
      <c r="E539" s="25" t="s">
        <v>2244</v>
      </c>
      <c r="F539" s="25" t="s">
        <v>3332</v>
      </c>
      <c r="G539" s="29">
        <v>120.0</v>
      </c>
      <c r="H539" s="29">
        <v>84.0</v>
      </c>
      <c r="I539" s="29">
        <v>36.0</v>
      </c>
      <c r="J539" s="25" t="s">
        <v>2246</v>
      </c>
      <c r="K539" s="25" t="s">
        <v>2246</v>
      </c>
      <c r="L539" s="25" t="s">
        <v>2246</v>
      </c>
      <c r="M539" s="25" t="s">
        <v>2267</v>
      </c>
      <c r="N539" s="29">
        <f>IFERROR((C539-VLOOKUP(B539,crm_orders!$A:$S,2,FALSE))*24,0)</f>
        <v>72</v>
      </c>
      <c r="O539" s="27" t="str">
        <f>IFERROR(VLOOKUP(B539,crm_orders!$A:$S,3,FALSE),"")</f>
        <v>DSP0076</v>
      </c>
      <c r="P539" s="27" t="str">
        <f>IFERROR(VLOOKUP(B539,crm_orders!$A:$S,5,FALSE),"")</f>
        <v>CO</v>
      </c>
      <c r="Q539" s="27" t="str">
        <f>IFERROR(VLOOKUP(B539,crm_orders!$A:$S,7,FALSE),"")</f>
        <v>Wholesale</v>
      </c>
      <c r="R539" s="27" t="str">
        <f>IFERROR(VLOOKUP(B539,crm_orders!$A:$S,8,FALSE),"")</f>
        <v>SKU0013</v>
      </c>
    </row>
    <row r="540" ht="15.75" customHeight="1">
      <c r="A540" s="17" t="s">
        <v>3333</v>
      </c>
      <c r="B540" s="17" t="s">
        <v>1040</v>
      </c>
      <c r="C540" s="18">
        <v>46129.0</v>
      </c>
      <c r="D540" s="17" t="s">
        <v>2250</v>
      </c>
      <c r="E540" s="17" t="s">
        <v>2251</v>
      </c>
      <c r="F540" s="17" t="s">
        <v>3334</v>
      </c>
      <c r="G540" s="21">
        <v>96.0</v>
      </c>
      <c r="H540" s="21">
        <v>96.0</v>
      </c>
      <c r="I540" s="21">
        <v>0.0</v>
      </c>
      <c r="J540" s="17" t="s">
        <v>2246</v>
      </c>
      <c r="K540" s="17" t="s">
        <v>2247</v>
      </c>
      <c r="L540" s="17" t="s">
        <v>2246</v>
      </c>
      <c r="M540" s="17" t="s">
        <v>2248</v>
      </c>
      <c r="N540" s="21">
        <f>IFERROR((C540-VLOOKUP(B540,crm_orders!$A:$S,2,FALSE))*24,0)</f>
        <v>72</v>
      </c>
      <c r="O540" s="19" t="str">
        <f>IFERROR(VLOOKUP(B540,crm_orders!$A:$S,3,FALSE),"")</f>
        <v>DSP0047</v>
      </c>
      <c r="P540" s="19" t="str">
        <f>IFERROR(VLOOKUP(B540,crm_orders!$A:$S,5,FALSE),"")</f>
        <v>NY</v>
      </c>
      <c r="Q540" s="19" t="str">
        <f>IFERROR(VLOOKUP(B540,crm_orders!$A:$S,7,FALSE),"")</f>
        <v>Wholesale</v>
      </c>
      <c r="R540" s="19" t="str">
        <f>IFERROR(VLOOKUP(B540,crm_orders!$A:$S,8,FALSE),"")</f>
        <v>SKU0012</v>
      </c>
    </row>
    <row r="541" ht="15.75" customHeight="1">
      <c r="A541" s="25" t="s">
        <v>3335</v>
      </c>
      <c r="B541" s="25" t="s">
        <v>400</v>
      </c>
      <c r="C541" s="26">
        <v>46034.0</v>
      </c>
      <c r="D541" s="25" t="s">
        <v>2260</v>
      </c>
      <c r="E541" s="25" t="s">
        <v>2286</v>
      </c>
      <c r="F541" s="25" t="s">
        <v>3336</v>
      </c>
      <c r="G541" s="29">
        <v>120.0</v>
      </c>
      <c r="H541" s="29">
        <v>0.0</v>
      </c>
      <c r="I541" s="29">
        <v>120.0</v>
      </c>
      <c r="J541" s="25" t="s">
        <v>2246</v>
      </c>
      <c r="K541" s="25" t="s">
        <v>2246</v>
      </c>
      <c r="L541" s="25" t="s">
        <v>2246</v>
      </c>
      <c r="M541" s="25" t="s">
        <v>2312</v>
      </c>
      <c r="N541" s="29">
        <f>IFERROR((C541-VLOOKUP(B541,crm_orders!$A:$S,2,FALSE))*24,0)</f>
        <v>96</v>
      </c>
      <c r="O541" s="27" t="str">
        <f>IFERROR(VLOOKUP(B541,crm_orders!$A:$S,3,FALSE),"")</f>
        <v>DSP0053</v>
      </c>
      <c r="P541" s="27" t="str">
        <f>IFERROR(VLOOKUP(B541,crm_orders!$A:$S,5,FALSE),"")</f>
        <v>AZ</v>
      </c>
      <c r="Q541" s="27" t="str">
        <f>IFERROR(VLOOKUP(B541,crm_orders!$A:$S,7,FALSE),"")</f>
        <v>Wholesale</v>
      </c>
      <c r="R541" s="27" t="str">
        <f>IFERROR(VLOOKUP(B541,crm_orders!$A:$S,8,FALSE),"")</f>
        <v>SKU0012</v>
      </c>
    </row>
    <row r="542" ht="15.75" customHeight="1">
      <c r="A542" s="17" t="s">
        <v>3337</v>
      </c>
      <c r="B542" s="17" t="s">
        <v>138</v>
      </c>
      <c r="C542" s="18">
        <v>46082.0</v>
      </c>
      <c r="D542" s="17" t="s">
        <v>2260</v>
      </c>
      <c r="E542" s="17" t="s">
        <v>2244</v>
      </c>
      <c r="F542" s="17" t="s">
        <v>3338</v>
      </c>
      <c r="G542" s="21">
        <v>18.0</v>
      </c>
      <c r="H542" s="21">
        <v>18.0</v>
      </c>
      <c r="I542" s="21">
        <v>0.0</v>
      </c>
      <c r="J542" s="17" t="s">
        <v>2246</v>
      </c>
      <c r="K542" s="17" t="s">
        <v>2247</v>
      </c>
      <c r="L542" s="17" t="s">
        <v>2246</v>
      </c>
      <c r="M542" s="17" t="s">
        <v>2248</v>
      </c>
      <c r="N542" s="21">
        <f>IFERROR((C542-VLOOKUP(B542,crm_orders!$A:$S,2,FALSE))*24,0)</f>
        <v>384</v>
      </c>
      <c r="O542" s="19" t="str">
        <f>IFERROR(VLOOKUP(B542,crm_orders!$A:$S,3,FALSE),"")</f>
        <v>DSP0040</v>
      </c>
      <c r="P542" s="19" t="str">
        <f>IFERROR(VLOOKUP(B542,crm_orders!$A:$S,5,FALSE),"")</f>
        <v>CO</v>
      </c>
      <c r="Q542" s="19" t="str">
        <f>IFERROR(VLOOKUP(B542,crm_orders!$A:$S,7,FALSE),"")</f>
        <v>Wholesale</v>
      </c>
      <c r="R542" s="19" t="str">
        <f>IFERROR(VLOOKUP(B542,crm_orders!$A:$S,8,FALSE),"")</f>
        <v>SKU0004</v>
      </c>
    </row>
    <row r="543" ht="15.75" customHeight="1">
      <c r="A543" s="25" t="s">
        <v>3339</v>
      </c>
      <c r="B543" s="25" t="s">
        <v>1041</v>
      </c>
      <c r="C543" s="26">
        <v>46122.0</v>
      </c>
      <c r="D543" s="25" t="s">
        <v>2269</v>
      </c>
      <c r="E543" s="25" t="s">
        <v>2261</v>
      </c>
      <c r="F543" s="25" t="s">
        <v>3340</v>
      </c>
      <c r="G543" s="29">
        <v>60.0</v>
      </c>
      <c r="H543" s="29">
        <v>60.0</v>
      </c>
      <c r="I543" s="29">
        <v>0.0</v>
      </c>
      <c r="J543" s="25" t="s">
        <v>2246</v>
      </c>
      <c r="K543" s="25" t="s">
        <v>2247</v>
      </c>
      <c r="L543" s="25" t="s">
        <v>2246</v>
      </c>
      <c r="M543" s="25" t="s">
        <v>2248</v>
      </c>
      <c r="N543" s="29">
        <f>IFERROR((C543-VLOOKUP(B543,crm_orders!$A:$S,2,FALSE))*24,0)</f>
        <v>240</v>
      </c>
      <c r="O543" s="27" t="str">
        <f>IFERROR(VLOOKUP(B543,crm_orders!$A:$S,3,FALSE),"")</f>
        <v>DSP0035</v>
      </c>
      <c r="P543" s="27" t="str">
        <f>IFERROR(VLOOKUP(B543,crm_orders!$A:$S,5,FALSE),"")</f>
        <v>NY</v>
      </c>
      <c r="Q543" s="27" t="str">
        <f>IFERROR(VLOOKUP(B543,crm_orders!$A:$S,7,FALSE),"")</f>
        <v>Wholesale</v>
      </c>
      <c r="R543" s="27" t="str">
        <f>IFERROR(VLOOKUP(B543,crm_orders!$A:$S,8,FALSE),"")</f>
        <v>SKU0001</v>
      </c>
    </row>
    <row r="544" ht="15.75" customHeight="1">
      <c r="A544" s="17" t="s">
        <v>3341</v>
      </c>
      <c r="B544" s="17" t="s">
        <v>139</v>
      </c>
      <c r="C544" s="18">
        <v>46120.0</v>
      </c>
      <c r="D544" s="17" t="s">
        <v>2269</v>
      </c>
      <c r="E544" s="17" t="s">
        <v>2286</v>
      </c>
      <c r="F544" s="17" t="s">
        <v>3342</v>
      </c>
      <c r="G544" s="21">
        <v>120.0</v>
      </c>
      <c r="H544" s="21">
        <v>120.0</v>
      </c>
      <c r="I544" s="21">
        <v>0.0</v>
      </c>
      <c r="J544" s="17" t="s">
        <v>2246</v>
      </c>
      <c r="K544" s="17" t="s">
        <v>2247</v>
      </c>
      <c r="L544" s="17" t="s">
        <v>2246</v>
      </c>
      <c r="M544" s="17" t="s">
        <v>2248</v>
      </c>
      <c r="N544" s="21">
        <f>IFERROR((C544-VLOOKUP(B544,crm_orders!$A:$S,2,FALSE))*24,0)</f>
        <v>216</v>
      </c>
      <c r="O544" s="19" t="str">
        <f>IFERROR(VLOOKUP(B544,crm_orders!$A:$S,3,FALSE),"")</f>
        <v>DSP0063</v>
      </c>
      <c r="P544" s="19" t="str">
        <f>IFERROR(VLOOKUP(B544,crm_orders!$A:$S,5,FALSE),"")</f>
        <v>CA</v>
      </c>
      <c r="Q544" s="19" t="str">
        <f>IFERROR(VLOOKUP(B544,crm_orders!$A:$S,7,FALSE),"")</f>
        <v>Distributor</v>
      </c>
      <c r="R544" s="19" t="str">
        <f>IFERROR(VLOOKUP(B544,crm_orders!$A:$S,8,FALSE),"")</f>
        <v>SKU0004</v>
      </c>
    </row>
    <row r="545" ht="15.75" customHeight="1">
      <c r="A545" s="25" t="s">
        <v>3343</v>
      </c>
      <c r="B545" s="25" t="s">
        <v>401</v>
      </c>
      <c r="C545" s="26">
        <v>46096.0</v>
      </c>
      <c r="D545" s="25" t="s">
        <v>2269</v>
      </c>
      <c r="E545" s="25" t="s">
        <v>2286</v>
      </c>
      <c r="F545" s="25" t="s">
        <v>3344</v>
      </c>
      <c r="G545" s="29">
        <v>120.0</v>
      </c>
      <c r="H545" s="29">
        <v>120.0</v>
      </c>
      <c r="I545" s="29">
        <v>0.0</v>
      </c>
      <c r="J545" s="25" t="s">
        <v>2246</v>
      </c>
      <c r="K545" s="25" t="s">
        <v>2247</v>
      </c>
      <c r="L545" s="25" t="s">
        <v>2246</v>
      </c>
      <c r="M545" s="25" t="s">
        <v>2248</v>
      </c>
      <c r="N545" s="29">
        <f>IFERROR((C545-VLOOKUP(B545,crm_orders!$A:$S,2,FALSE))*24,0)</f>
        <v>240</v>
      </c>
      <c r="O545" s="27" t="str">
        <f>IFERROR(VLOOKUP(B545,crm_orders!$A:$S,3,FALSE),"")</f>
        <v>DSP0056</v>
      </c>
      <c r="P545" s="27" t="str">
        <f>IFERROR(VLOOKUP(B545,crm_orders!$A:$S,5,FALSE),"")</f>
        <v>MI</v>
      </c>
      <c r="Q545" s="27" t="str">
        <f>IFERROR(VLOOKUP(B545,crm_orders!$A:$S,7,FALSE),"")</f>
        <v>Distributor</v>
      </c>
      <c r="R545" s="27" t="str">
        <f>IFERROR(VLOOKUP(B545,crm_orders!$A:$S,8,FALSE),"")</f>
        <v>SKU0007</v>
      </c>
    </row>
    <row r="546" ht="15.75" customHeight="1">
      <c r="A546" s="17" t="s">
        <v>3345</v>
      </c>
      <c r="B546" s="17" t="s">
        <v>650</v>
      </c>
      <c r="C546" s="18">
        <v>46084.0</v>
      </c>
      <c r="D546" s="17" t="s">
        <v>2269</v>
      </c>
      <c r="E546" s="17" t="s">
        <v>2261</v>
      </c>
      <c r="F546" s="17" t="s">
        <v>3346</v>
      </c>
      <c r="G546" s="21">
        <v>24.0</v>
      </c>
      <c r="H546" s="21">
        <v>12.0</v>
      </c>
      <c r="I546" s="21">
        <v>12.0</v>
      </c>
      <c r="J546" s="17" t="s">
        <v>2247</v>
      </c>
      <c r="K546" s="17" t="s">
        <v>2246</v>
      </c>
      <c r="L546" s="17" t="s">
        <v>2246</v>
      </c>
      <c r="M546" s="17" t="s">
        <v>2267</v>
      </c>
      <c r="N546" s="21">
        <f>IFERROR((C546-VLOOKUP(B546,crm_orders!$A:$S,2,FALSE))*24,0)</f>
        <v>240</v>
      </c>
      <c r="O546" s="19" t="str">
        <f>IFERROR(VLOOKUP(B546,crm_orders!$A:$S,3,FALSE),"")</f>
        <v>DSP0039</v>
      </c>
      <c r="P546" s="19" t="str">
        <f>IFERROR(VLOOKUP(B546,crm_orders!$A:$S,5,FALSE),"")</f>
        <v>CA</v>
      </c>
      <c r="Q546" s="19" t="str">
        <f>IFERROR(VLOOKUP(B546,crm_orders!$A:$S,7,FALSE),"")</f>
        <v>Retail</v>
      </c>
      <c r="R546" s="19" t="str">
        <f>IFERROR(VLOOKUP(B546,crm_orders!$A:$S,8,FALSE),"")</f>
        <v>SKU0019</v>
      </c>
    </row>
    <row r="547" ht="15.75" customHeight="1">
      <c r="A547" s="25" t="s">
        <v>3347</v>
      </c>
      <c r="B547" s="25" t="s">
        <v>819</v>
      </c>
      <c r="C547" s="26">
        <v>46132.0</v>
      </c>
      <c r="D547" s="25" t="s">
        <v>2254</v>
      </c>
      <c r="E547" s="25" t="s">
        <v>2261</v>
      </c>
      <c r="F547" s="25" t="s">
        <v>3348</v>
      </c>
      <c r="G547" s="29">
        <v>72.0</v>
      </c>
      <c r="H547" s="29">
        <v>72.0</v>
      </c>
      <c r="I547" s="29">
        <v>0.0</v>
      </c>
      <c r="J547" s="25" t="s">
        <v>2246</v>
      </c>
      <c r="K547" s="25" t="s">
        <v>2247</v>
      </c>
      <c r="L547" s="25" t="s">
        <v>2246</v>
      </c>
      <c r="M547" s="25" t="s">
        <v>2248</v>
      </c>
      <c r="N547" s="29">
        <f>IFERROR((C547-VLOOKUP(B547,crm_orders!$A:$S,2,FALSE))*24,0)</f>
        <v>168</v>
      </c>
      <c r="O547" s="27" t="str">
        <f>IFERROR(VLOOKUP(B547,crm_orders!$A:$S,3,FALSE),"")</f>
        <v>DSP0009</v>
      </c>
      <c r="P547" s="27" t="str">
        <f>IFERROR(VLOOKUP(B547,crm_orders!$A:$S,5,FALSE),"")</f>
        <v>MO</v>
      </c>
      <c r="Q547" s="27" t="str">
        <f>IFERROR(VLOOKUP(B547,crm_orders!$A:$S,7,FALSE),"")</f>
        <v>Retail</v>
      </c>
      <c r="R547" s="27" t="str">
        <f>IFERROR(VLOOKUP(B547,crm_orders!$A:$S,8,FALSE),"")</f>
        <v>SKU0019</v>
      </c>
    </row>
    <row r="548" ht="15.75" customHeight="1">
      <c r="A548" s="17" t="s">
        <v>3349</v>
      </c>
      <c r="B548" s="17" t="s">
        <v>652</v>
      </c>
      <c r="C548" s="18">
        <v>46138.0</v>
      </c>
      <c r="D548" s="17" t="s">
        <v>2260</v>
      </c>
      <c r="E548" s="17" t="s">
        <v>2244</v>
      </c>
      <c r="F548" s="17" t="s">
        <v>3350</v>
      </c>
      <c r="G548" s="21">
        <v>48.0</v>
      </c>
      <c r="H548" s="21">
        <v>48.0</v>
      </c>
      <c r="I548" s="21">
        <v>0.0</v>
      </c>
      <c r="J548" s="17" t="s">
        <v>2246</v>
      </c>
      <c r="K548" s="17" t="s">
        <v>2247</v>
      </c>
      <c r="L548" s="17" t="s">
        <v>2246</v>
      </c>
      <c r="M548" s="17" t="s">
        <v>2248</v>
      </c>
      <c r="N548" s="21">
        <f>IFERROR((C548-VLOOKUP(B548,crm_orders!$A:$S,2,FALSE))*24,0)</f>
        <v>144</v>
      </c>
      <c r="O548" s="19" t="str">
        <f>IFERROR(VLOOKUP(B548,crm_orders!$A:$S,3,FALSE),"")</f>
        <v>DSP0104</v>
      </c>
      <c r="P548" s="19" t="str">
        <f>IFERROR(VLOOKUP(B548,crm_orders!$A:$S,5,FALSE),"")</f>
        <v>MI</v>
      </c>
      <c r="Q548" s="19" t="str">
        <f>IFERROR(VLOOKUP(B548,crm_orders!$A:$S,7,FALSE),"")</f>
        <v>Wholesale</v>
      </c>
      <c r="R548" s="19" t="str">
        <f>IFERROR(VLOOKUP(B548,crm_orders!$A:$S,8,FALSE),"")</f>
        <v>SKU0020</v>
      </c>
    </row>
    <row r="549" ht="15.75" customHeight="1">
      <c r="A549" s="25" t="s">
        <v>3351</v>
      </c>
      <c r="B549" s="25" t="s">
        <v>1114</v>
      </c>
      <c r="C549" s="26">
        <v>46136.0</v>
      </c>
      <c r="D549" s="25" t="s">
        <v>2254</v>
      </c>
      <c r="E549" s="25" t="s">
        <v>2261</v>
      </c>
      <c r="F549" s="25" t="s">
        <v>3352</v>
      </c>
      <c r="G549" s="29">
        <v>48.0</v>
      </c>
      <c r="H549" s="29">
        <v>48.0</v>
      </c>
      <c r="I549" s="29">
        <v>0.0</v>
      </c>
      <c r="J549" s="25" t="s">
        <v>2246</v>
      </c>
      <c r="K549" s="25" t="s">
        <v>2247</v>
      </c>
      <c r="L549" s="25" t="s">
        <v>2246</v>
      </c>
      <c r="M549" s="25" t="s">
        <v>2248</v>
      </c>
      <c r="N549" s="29">
        <f>IFERROR((C549-VLOOKUP(B549,crm_orders!$A:$S,2,FALSE))*24,0)</f>
        <v>120</v>
      </c>
      <c r="O549" s="27" t="str">
        <f>IFERROR(VLOOKUP(B549,crm_orders!$A:$S,3,FALSE),"")</f>
        <v>DSP0020</v>
      </c>
      <c r="P549" s="27" t="str">
        <f>IFERROR(VLOOKUP(B549,crm_orders!$A:$S,5,FALSE),"")</f>
        <v>MI</v>
      </c>
      <c r="Q549" s="27" t="str">
        <f>IFERROR(VLOOKUP(B549,crm_orders!$A:$S,7,FALSE),"")</f>
        <v>Distributor</v>
      </c>
      <c r="R549" s="27" t="str">
        <f>IFERROR(VLOOKUP(B549,crm_orders!$A:$S,8,FALSE),"")</f>
        <v>SKU0010</v>
      </c>
    </row>
    <row r="550" ht="15.75" customHeight="1">
      <c r="A550" s="17" t="s">
        <v>3353</v>
      </c>
      <c r="B550" s="17" t="s">
        <v>402</v>
      </c>
      <c r="C550" s="18">
        <v>46117.0</v>
      </c>
      <c r="D550" s="17" t="s">
        <v>2254</v>
      </c>
      <c r="E550" s="17" t="s">
        <v>2255</v>
      </c>
      <c r="F550" s="17" t="s">
        <v>3354</v>
      </c>
      <c r="G550" s="21">
        <v>72.0</v>
      </c>
      <c r="H550" s="21">
        <v>72.0</v>
      </c>
      <c r="I550" s="21">
        <v>0.0</v>
      </c>
      <c r="J550" s="17" t="s">
        <v>2246</v>
      </c>
      <c r="K550" s="17" t="s">
        <v>2247</v>
      </c>
      <c r="L550" s="17" t="s">
        <v>2246</v>
      </c>
      <c r="M550" s="17" t="s">
        <v>2248</v>
      </c>
      <c r="N550" s="21">
        <f>IFERROR((C550-VLOOKUP(B550,crm_orders!$A:$S,2,FALSE))*24,0)</f>
        <v>240</v>
      </c>
      <c r="O550" s="19" t="str">
        <f>IFERROR(VLOOKUP(B550,crm_orders!$A:$S,3,FALSE),"")</f>
        <v>DSP0034</v>
      </c>
      <c r="P550" s="19" t="str">
        <f>IFERROR(VLOOKUP(B550,crm_orders!$A:$S,5,FALSE),"")</f>
        <v>NM</v>
      </c>
      <c r="Q550" s="19" t="str">
        <f>IFERROR(VLOOKUP(B550,crm_orders!$A:$S,7,FALSE),"")</f>
        <v>Distributor</v>
      </c>
      <c r="R550" s="19" t="str">
        <f>IFERROR(VLOOKUP(B550,crm_orders!$A:$S,8,FALSE),"")</f>
        <v>SKU0009</v>
      </c>
    </row>
    <row r="551" ht="15.75" customHeight="1">
      <c r="A551" s="25" t="s">
        <v>3355</v>
      </c>
      <c r="B551" s="25" t="s">
        <v>403</v>
      </c>
      <c r="C551" s="26">
        <v>46070.0</v>
      </c>
      <c r="D551" s="25" t="s">
        <v>2269</v>
      </c>
      <c r="E551" s="25" t="s">
        <v>2255</v>
      </c>
      <c r="F551" s="25" t="s">
        <v>3356</v>
      </c>
      <c r="G551" s="29">
        <v>96.0</v>
      </c>
      <c r="H551" s="29">
        <v>84.0</v>
      </c>
      <c r="I551" s="29">
        <v>12.0</v>
      </c>
      <c r="J551" s="25" t="s">
        <v>2246</v>
      </c>
      <c r="K551" s="25" t="s">
        <v>2246</v>
      </c>
      <c r="L551" s="25" t="s">
        <v>2246</v>
      </c>
      <c r="M551" s="25" t="s">
        <v>2267</v>
      </c>
      <c r="N551" s="29">
        <f>IFERROR((C551-VLOOKUP(B551,crm_orders!$A:$S,2,FALSE))*24,0)</f>
        <v>168</v>
      </c>
      <c r="O551" s="27" t="str">
        <f>IFERROR(VLOOKUP(B551,crm_orders!$A:$S,3,FALSE),"")</f>
        <v>DSP0115</v>
      </c>
      <c r="P551" s="27" t="str">
        <f>IFERROR(VLOOKUP(B551,crm_orders!$A:$S,5,FALSE),"")</f>
        <v>IL</v>
      </c>
      <c r="Q551" s="27" t="str">
        <f>IFERROR(VLOOKUP(B551,crm_orders!$A:$S,7,FALSE),"")</f>
        <v>Distributor</v>
      </c>
      <c r="R551" s="27" t="str">
        <f>IFERROR(VLOOKUP(B551,crm_orders!$A:$S,8,FALSE),"")</f>
        <v>SKU0003</v>
      </c>
    </row>
    <row r="552" ht="15.75" customHeight="1">
      <c r="A552" s="17" t="s">
        <v>3357</v>
      </c>
      <c r="B552" s="17" t="s">
        <v>928</v>
      </c>
      <c r="C552" s="18">
        <v>46064.0</v>
      </c>
      <c r="D552" s="17" t="s">
        <v>2260</v>
      </c>
      <c r="E552" s="17" t="s">
        <v>2251</v>
      </c>
      <c r="F552" s="17" t="s">
        <v>3358</v>
      </c>
      <c r="G552" s="21">
        <v>12.0</v>
      </c>
      <c r="H552" s="21">
        <v>12.0</v>
      </c>
      <c r="I552" s="21">
        <v>0.0</v>
      </c>
      <c r="J552" s="17" t="s">
        <v>2246</v>
      </c>
      <c r="K552" s="17" t="s">
        <v>2247</v>
      </c>
      <c r="L552" s="17" t="s">
        <v>2246</v>
      </c>
      <c r="M552" s="17" t="s">
        <v>2248</v>
      </c>
      <c r="N552" s="21">
        <f>IFERROR((C552-VLOOKUP(B552,crm_orders!$A:$S,2,FALSE))*24,0)</f>
        <v>264</v>
      </c>
      <c r="O552" s="19" t="str">
        <f>IFERROR(VLOOKUP(B552,crm_orders!$A:$S,3,FALSE),"")</f>
        <v>DSP0051</v>
      </c>
      <c r="P552" s="19" t="str">
        <f>IFERROR(VLOOKUP(B552,crm_orders!$A:$S,5,FALSE),"")</f>
        <v>CA</v>
      </c>
      <c r="Q552" s="19" t="str">
        <f>IFERROR(VLOOKUP(B552,crm_orders!$A:$S,7,FALSE),"")</f>
        <v>Wholesale</v>
      </c>
      <c r="R552" s="19" t="str">
        <f>IFERROR(VLOOKUP(B552,crm_orders!$A:$S,8,FALSE),"")</f>
        <v>SKU0005</v>
      </c>
    </row>
    <row r="553" ht="15.75" customHeight="1">
      <c r="A553" s="25" t="s">
        <v>3359</v>
      </c>
      <c r="B553" s="25" t="s">
        <v>653</v>
      </c>
      <c r="C553" s="26">
        <v>46143.0</v>
      </c>
      <c r="D553" s="25" t="s">
        <v>2243</v>
      </c>
      <c r="E553" s="25" t="s">
        <v>2244</v>
      </c>
      <c r="F553" s="25" t="s">
        <v>3360</v>
      </c>
      <c r="G553" s="29">
        <v>12.0</v>
      </c>
      <c r="H553" s="29">
        <v>12.0</v>
      </c>
      <c r="I553" s="29">
        <v>0.0</v>
      </c>
      <c r="J553" s="25" t="s">
        <v>2246</v>
      </c>
      <c r="K553" s="25" t="s">
        <v>2247</v>
      </c>
      <c r="L553" s="25" t="s">
        <v>2246</v>
      </c>
      <c r="M553" s="25" t="s">
        <v>2248</v>
      </c>
      <c r="N553" s="29">
        <f>IFERROR((C553-VLOOKUP(B553,crm_orders!$A:$S,2,FALSE))*24,0)</f>
        <v>168</v>
      </c>
      <c r="O553" s="27" t="str">
        <f>IFERROR(VLOOKUP(B553,crm_orders!$A:$S,3,FALSE),"")</f>
        <v>DSP0033</v>
      </c>
      <c r="P553" s="27" t="str">
        <f>IFERROR(VLOOKUP(B553,crm_orders!$A:$S,5,FALSE),"")</f>
        <v>MO</v>
      </c>
      <c r="Q553" s="27" t="str">
        <f>IFERROR(VLOOKUP(B553,crm_orders!$A:$S,7,FALSE),"")</f>
        <v>Distributor</v>
      </c>
      <c r="R553" s="27" t="str">
        <f>IFERROR(VLOOKUP(B553,crm_orders!$A:$S,8,FALSE),"")</f>
        <v>SKU0016</v>
      </c>
    </row>
    <row r="554" ht="15.75" customHeight="1">
      <c r="A554" s="17" t="s">
        <v>3361</v>
      </c>
      <c r="B554" s="17" t="s">
        <v>1042</v>
      </c>
      <c r="C554" s="18">
        <v>46080.0</v>
      </c>
      <c r="D554" s="17" t="s">
        <v>2254</v>
      </c>
      <c r="E554" s="17" t="s">
        <v>2251</v>
      </c>
      <c r="F554" s="17" t="s">
        <v>3362</v>
      </c>
      <c r="G554" s="21">
        <v>60.0</v>
      </c>
      <c r="H554" s="21">
        <v>60.0</v>
      </c>
      <c r="I554" s="21">
        <v>0.0</v>
      </c>
      <c r="J554" s="17" t="s">
        <v>2246</v>
      </c>
      <c r="K554" s="17" t="s">
        <v>2247</v>
      </c>
      <c r="L554" s="17" t="s">
        <v>2246</v>
      </c>
      <c r="M554" s="17" t="s">
        <v>2248</v>
      </c>
      <c r="N554" s="21">
        <f>IFERROR((C554-VLOOKUP(B554,crm_orders!$A:$S,2,FALSE))*24,0)</f>
        <v>264</v>
      </c>
      <c r="O554" s="19" t="str">
        <f>IFERROR(VLOOKUP(B554,crm_orders!$A:$S,3,FALSE),"")</f>
        <v>DSP0036</v>
      </c>
      <c r="P554" s="19" t="str">
        <f>IFERROR(VLOOKUP(B554,crm_orders!$A:$S,5,FALSE),"")</f>
        <v>OK</v>
      </c>
      <c r="Q554" s="19" t="str">
        <f>IFERROR(VLOOKUP(B554,crm_orders!$A:$S,7,FALSE),"")</f>
        <v>Wholesale</v>
      </c>
      <c r="R554" s="19" t="str">
        <f>IFERROR(VLOOKUP(B554,crm_orders!$A:$S,8,FALSE),"")</f>
        <v>SKU0005</v>
      </c>
    </row>
    <row r="555" ht="15.75" customHeight="1">
      <c r="A555" s="25" t="s">
        <v>3363</v>
      </c>
      <c r="B555" s="25" t="s">
        <v>250</v>
      </c>
      <c r="C555" s="26">
        <v>46118.0</v>
      </c>
      <c r="D555" s="25" t="s">
        <v>2243</v>
      </c>
      <c r="E555" s="25" t="s">
        <v>2286</v>
      </c>
      <c r="F555" s="25" t="s">
        <v>3364</v>
      </c>
      <c r="G555" s="29">
        <v>120.0</v>
      </c>
      <c r="H555" s="29">
        <v>120.0</v>
      </c>
      <c r="I555" s="29">
        <v>0.0</v>
      </c>
      <c r="J555" s="25" t="s">
        <v>2246</v>
      </c>
      <c r="K555" s="25" t="s">
        <v>2247</v>
      </c>
      <c r="L555" s="25" t="s">
        <v>2246</v>
      </c>
      <c r="M555" s="25" t="s">
        <v>2248</v>
      </c>
      <c r="N555" s="29">
        <f>IFERROR((C555-VLOOKUP(B555,crm_orders!$A:$S,2,FALSE))*24,0)</f>
        <v>168</v>
      </c>
      <c r="O555" s="27" t="str">
        <f>IFERROR(VLOOKUP(B555,crm_orders!$A:$S,3,FALSE),"")</f>
        <v>DSP0103</v>
      </c>
      <c r="P555" s="27" t="str">
        <f>IFERROR(VLOOKUP(B555,crm_orders!$A:$S,5,FALSE),"")</f>
        <v>IL</v>
      </c>
      <c r="Q555" s="27" t="str">
        <f>IFERROR(VLOOKUP(B555,crm_orders!$A:$S,7,FALSE),"")</f>
        <v>Wholesale</v>
      </c>
      <c r="R555" s="27" t="str">
        <f>IFERROR(VLOOKUP(B555,crm_orders!$A:$S,8,FALSE),"")</f>
        <v>SKU0002</v>
      </c>
    </row>
    <row r="556" ht="15.75" customHeight="1">
      <c r="A556" s="17" t="s">
        <v>3365</v>
      </c>
      <c r="B556" s="17" t="s">
        <v>404</v>
      </c>
      <c r="C556" s="18">
        <v>46139.0</v>
      </c>
      <c r="D556" s="17" t="s">
        <v>2250</v>
      </c>
      <c r="E556" s="17" t="s">
        <v>2251</v>
      </c>
      <c r="F556" s="17" t="s">
        <v>3366</v>
      </c>
      <c r="G556" s="21">
        <v>60.0</v>
      </c>
      <c r="H556" s="21">
        <v>60.0</v>
      </c>
      <c r="I556" s="21">
        <v>0.0</v>
      </c>
      <c r="J556" s="17" t="s">
        <v>2246</v>
      </c>
      <c r="K556" s="17" t="s">
        <v>2247</v>
      </c>
      <c r="L556" s="17" t="s">
        <v>2246</v>
      </c>
      <c r="M556" s="17" t="s">
        <v>2248</v>
      </c>
      <c r="N556" s="21">
        <f>IFERROR((C556-VLOOKUP(B556,crm_orders!$A:$S,2,FALSE))*24,0)</f>
        <v>168</v>
      </c>
      <c r="O556" s="19" t="str">
        <f>IFERROR(VLOOKUP(B556,crm_orders!$A:$S,3,FALSE),"")</f>
        <v>DSP0069</v>
      </c>
      <c r="P556" s="19" t="str">
        <f>IFERROR(VLOOKUP(B556,crm_orders!$A:$S,5,FALSE),"")</f>
        <v>MO</v>
      </c>
      <c r="Q556" s="19" t="str">
        <f>IFERROR(VLOOKUP(B556,crm_orders!$A:$S,7,FALSE),"")</f>
        <v>Wholesale</v>
      </c>
      <c r="R556" s="19" t="str">
        <f>IFERROR(VLOOKUP(B556,crm_orders!$A:$S,8,FALSE),"")</f>
        <v>SKU0008</v>
      </c>
    </row>
    <row r="557" ht="15.75" customHeight="1">
      <c r="A557" s="25" t="s">
        <v>3367</v>
      </c>
      <c r="B557" s="25" t="s">
        <v>405</v>
      </c>
      <c r="C557" s="26">
        <v>46066.0</v>
      </c>
      <c r="D557" s="25" t="s">
        <v>2250</v>
      </c>
      <c r="E557" s="25" t="s">
        <v>2251</v>
      </c>
      <c r="F557" s="25" t="s">
        <v>3368</v>
      </c>
      <c r="G557" s="29">
        <v>12.0</v>
      </c>
      <c r="H557" s="29">
        <v>12.0</v>
      </c>
      <c r="I557" s="29">
        <v>0.0</v>
      </c>
      <c r="J557" s="25" t="s">
        <v>2246</v>
      </c>
      <c r="K557" s="25" t="s">
        <v>2247</v>
      </c>
      <c r="L557" s="25" t="s">
        <v>2246</v>
      </c>
      <c r="M557" s="25" t="s">
        <v>2248</v>
      </c>
      <c r="N557" s="29">
        <f>IFERROR((C557-VLOOKUP(B557,crm_orders!$A:$S,2,FALSE))*24,0)</f>
        <v>192</v>
      </c>
      <c r="O557" s="27" t="str">
        <f>IFERROR(VLOOKUP(B557,crm_orders!$A:$S,3,FALSE),"")</f>
        <v>DSP0053</v>
      </c>
      <c r="P557" s="27" t="str">
        <f>IFERROR(VLOOKUP(B557,crm_orders!$A:$S,5,FALSE),"")</f>
        <v>AZ</v>
      </c>
      <c r="Q557" s="27" t="str">
        <f>IFERROR(VLOOKUP(B557,crm_orders!$A:$S,7,FALSE),"")</f>
        <v>Wholesale</v>
      </c>
      <c r="R557" s="27" t="str">
        <f>IFERROR(VLOOKUP(B557,crm_orders!$A:$S,8,FALSE),"")</f>
        <v>SKU0002</v>
      </c>
    </row>
    <row r="558" ht="15.75" customHeight="1">
      <c r="A558" s="17" t="s">
        <v>3369</v>
      </c>
      <c r="B558" s="17" t="s">
        <v>252</v>
      </c>
      <c r="C558" s="18">
        <v>46139.0</v>
      </c>
      <c r="D558" s="17" t="s">
        <v>2250</v>
      </c>
      <c r="E558" s="17" t="s">
        <v>2244</v>
      </c>
      <c r="F558" s="17" t="s">
        <v>3370</v>
      </c>
      <c r="G558" s="21">
        <v>18.0</v>
      </c>
      <c r="H558" s="21">
        <v>18.0</v>
      </c>
      <c r="I558" s="21">
        <v>0.0</v>
      </c>
      <c r="J558" s="17" t="s">
        <v>2246</v>
      </c>
      <c r="K558" s="17" t="s">
        <v>2247</v>
      </c>
      <c r="L558" s="17" t="s">
        <v>2246</v>
      </c>
      <c r="M558" s="17" t="s">
        <v>2248</v>
      </c>
      <c r="N558" s="21">
        <f>IFERROR((C558-VLOOKUP(B558,crm_orders!$A:$S,2,FALSE))*24,0)</f>
        <v>264</v>
      </c>
      <c r="O558" s="19" t="str">
        <f>IFERROR(VLOOKUP(B558,crm_orders!$A:$S,3,FALSE),"")</f>
        <v>DSP0055</v>
      </c>
      <c r="P558" s="19" t="str">
        <f>IFERROR(VLOOKUP(B558,crm_orders!$A:$S,5,FALSE),"")</f>
        <v>IL</v>
      </c>
      <c r="Q558" s="19" t="str">
        <f>IFERROR(VLOOKUP(B558,crm_orders!$A:$S,7,FALSE),"")</f>
        <v>Wholesale</v>
      </c>
      <c r="R558" s="19" t="str">
        <f>IFERROR(VLOOKUP(B558,crm_orders!$A:$S,8,FALSE),"")</f>
        <v>SKU0004</v>
      </c>
    </row>
    <row r="559" ht="15.75" customHeight="1">
      <c r="A559" s="25" t="s">
        <v>3371</v>
      </c>
      <c r="B559" s="25" t="s">
        <v>929</v>
      </c>
      <c r="C559" s="26">
        <v>46120.0</v>
      </c>
      <c r="D559" s="25" t="s">
        <v>2243</v>
      </c>
      <c r="E559" s="25" t="s">
        <v>2261</v>
      </c>
      <c r="F559" s="25" t="s">
        <v>3372</v>
      </c>
      <c r="G559" s="29">
        <v>6.0</v>
      </c>
      <c r="H559" s="29">
        <v>6.0</v>
      </c>
      <c r="I559" s="29">
        <v>0.0</v>
      </c>
      <c r="J559" s="25" t="s">
        <v>2246</v>
      </c>
      <c r="K559" s="25" t="s">
        <v>2247</v>
      </c>
      <c r="L559" s="25" t="s">
        <v>2246</v>
      </c>
      <c r="M559" s="25" t="s">
        <v>2248</v>
      </c>
      <c r="N559" s="29">
        <f>IFERROR((C559-VLOOKUP(B559,crm_orders!$A:$S,2,FALSE))*24,0)</f>
        <v>216</v>
      </c>
      <c r="O559" s="27" t="str">
        <f>IFERROR(VLOOKUP(B559,crm_orders!$A:$S,3,FALSE),"")</f>
        <v>DSP0042</v>
      </c>
      <c r="P559" s="27" t="str">
        <f>IFERROR(VLOOKUP(B559,crm_orders!$A:$S,5,FALSE),"")</f>
        <v>NV</v>
      </c>
      <c r="Q559" s="27" t="str">
        <f>IFERROR(VLOOKUP(B559,crm_orders!$A:$S,7,FALSE),"")</f>
        <v>Wholesale</v>
      </c>
      <c r="R559" s="27" t="str">
        <f>IFERROR(VLOOKUP(B559,crm_orders!$A:$S,8,FALSE),"")</f>
        <v>SKU0015</v>
      </c>
    </row>
    <row r="560" ht="15.75" customHeight="1">
      <c r="A560" s="17" t="s">
        <v>3373</v>
      </c>
      <c r="B560" s="17" t="s">
        <v>930</v>
      </c>
      <c r="C560" s="18">
        <v>46115.0</v>
      </c>
      <c r="D560" s="17" t="s">
        <v>2250</v>
      </c>
      <c r="E560" s="17" t="s">
        <v>2244</v>
      </c>
      <c r="F560" s="17" t="s">
        <v>3374</v>
      </c>
      <c r="G560" s="21">
        <v>30.0</v>
      </c>
      <c r="H560" s="21">
        <v>30.0</v>
      </c>
      <c r="I560" s="21">
        <v>0.0</v>
      </c>
      <c r="J560" s="17" t="s">
        <v>2246</v>
      </c>
      <c r="K560" s="17" t="s">
        <v>2247</v>
      </c>
      <c r="L560" s="17" t="s">
        <v>2246</v>
      </c>
      <c r="M560" s="17" t="s">
        <v>2248</v>
      </c>
      <c r="N560" s="21">
        <f>IFERROR((C560-VLOOKUP(B560,crm_orders!$A:$S,2,FALSE))*24,0)</f>
        <v>288</v>
      </c>
      <c r="O560" s="19" t="str">
        <f>IFERROR(VLOOKUP(B560,crm_orders!$A:$S,3,FALSE),"")</f>
        <v>DSP0052</v>
      </c>
      <c r="P560" s="19" t="str">
        <f>IFERROR(VLOOKUP(B560,crm_orders!$A:$S,5,FALSE),"")</f>
        <v>CO</v>
      </c>
      <c r="Q560" s="19" t="str">
        <f>IFERROR(VLOOKUP(B560,crm_orders!$A:$S,7,FALSE),"")</f>
        <v>Wholesale</v>
      </c>
      <c r="R560" s="19" t="str">
        <f>IFERROR(VLOOKUP(B560,crm_orders!$A:$S,8,FALSE),"")</f>
        <v>SKU0007</v>
      </c>
    </row>
    <row r="561" ht="15.75" customHeight="1">
      <c r="A561" s="25" t="s">
        <v>3375</v>
      </c>
      <c r="B561" s="25" t="s">
        <v>253</v>
      </c>
      <c r="C561" s="26">
        <v>46140.0</v>
      </c>
      <c r="D561" s="25" t="s">
        <v>2260</v>
      </c>
      <c r="E561" s="25" t="s">
        <v>2244</v>
      </c>
      <c r="F561" s="25" t="s">
        <v>3376</v>
      </c>
      <c r="G561" s="29">
        <v>96.0</v>
      </c>
      <c r="H561" s="29">
        <v>96.0</v>
      </c>
      <c r="I561" s="29">
        <v>0.0</v>
      </c>
      <c r="J561" s="25" t="s">
        <v>2246</v>
      </c>
      <c r="K561" s="25" t="s">
        <v>2247</v>
      </c>
      <c r="L561" s="25" t="s">
        <v>2246</v>
      </c>
      <c r="M561" s="25" t="s">
        <v>2248</v>
      </c>
      <c r="N561" s="29">
        <f>IFERROR((C561-VLOOKUP(B561,crm_orders!$A:$S,2,FALSE))*24,0)</f>
        <v>216</v>
      </c>
      <c r="O561" s="27" t="str">
        <f>IFERROR(VLOOKUP(B561,crm_orders!$A:$S,3,FALSE),"")</f>
        <v>DSP0084</v>
      </c>
      <c r="P561" s="27" t="str">
        <f>IFERROR(VLOOKUP(B561,crm_orders!$A:$S,5,FALSE),"")</f>
        <v>OK</v>
      </c>
      <c r="Q561" s="27" t="str">
        <f>IFERROR(VLOOKUP(B561,crm_orders!$A:$S,7,FALSE),"")</f>
        <v>Wholesale</v>
      </c>
      <c r="R561" s="27" t="str">
        <f>IFERROR(VLOOKUP(B561,crm_orders!$A:$S,8,FALSE),"")</f>
        <v>SKU0005</v>
      </c>
    </row>
    <row r="562" ht="15.75" customHeight="1">
      <c r="A562" s="17" t="s">
        <v>3377</v>
      </c>
      <c r="B562" s="17" t="s">
        <v>1176</v>
      </c>
      <c r="C562" s="18">
        <v>46132.0</v>
      </c>
      <c r="D562" s="17" t="s">
        <v>2260</v>
      </c>
      <c r="E562" s="17" t="s">
        <v>2286</v>
      </c>
      <c r="F562" s="17" t="s">
        <v>3378</v>
      </c>
      <c r="G562" s="21">
        <v>36.0</v>
      </c>
      <c r="H562" s="21">
        <v>18.0</v>
      </c>
      <c r="I562" s="21">
        <v>18.0</v>
      </c>
      <c r="J562" s="17" t="s">
        <v>2246</v>
      </c>
      <c r="K562" s="17" t="s">
        <v>2246</v>
      </c>
      <c r="L562" s="17" t="s">
        <v>2246</v>
      </c>
      <c r="M562" s="17" t="s">
        <v>2267</v>
      </c>
      <c r="N562" s="21">
        <f>IFERROR((C562-VLOOKUP(B562,crm_orders!$A:$S,2,FALSE))*24,0)</f>
        <v>96</v>
      </c>
      <c r="O562" s="19" t="str">
        <f>IFERROR(VLOOKUP(B562,crm_orders!$A:$S,3,FALSE),"")</f>
        <v>DSP0023</v>
      </c>
      <c r="P562" s="19" t="str">
        <f>IFERROR(VLOOKUP(B562,crm_orders!$A:$S,5,FALSE),"")</f>
        <v>NY</v>
      </c>
      <c r="Q562" s="19" t="str">
        <f>IFERROR(VLOOKUP(B562,crm_orders!$A:$S,7,FALSE),"")</f>
        <v>Wholesale</v>
      </c>
      <c r="R562" s="19" t="str">
        <f>IFERROR(VLOOKUP(B562,crm_orders!$A:$S,8,FALSE),"")</f>
        <v>SKU0019</v>
      </c>
    </row>
    <row r="563" ht="15.75" customHeight="1">
      <c r="A563" s="25" t="s">
        <v>3379</v>
      </c>
      <c r="B563" s="25" t="s">
        <v>514</v>
      </c>
      <c r="C563" s="26">
        <v>46054.0</v>
      </c>
      <c r="D563" s="25" t="s">
        <v>2260</v>
      </c>
      <c r="E563" s="25" t="s">
        <v>2251</v>
      </c>
      <c r="F563" s="25" t="s">
        <v>3380</v>
      </c>
      <c r="G563" s="29">
        <v>6.0</v>
      </c>
      <c r="H563" s="29">
        <v>6.0</v>
      </c>
      <c r="I563" s="29">
        <v>0.0</v>
      </c>
      <c r="J563" s="25" t="s">
        <v>2247</v>
      </c>
      <c r="K563" s="25" t="s">
        <v>2247</v>
      </c>
      <c r="L563" s="25" t="s">
        <v>2247</v>
      </c>
      <c r="M563" s="25" t="s">
        <v>2248</v>
      </c>
      <c r="N563" s="29">
        <f>IFERROR((C563-VLOOKUP(B563,crm_orders!$A:$S,2,FALSE))*24,0)</f>
        <v>72</v>
      </c>
      <c r="O563" s="27" t="str">
        <f>IFERROR(VLOOKUP(B563,crm_orders!$A:$S,3,FALSE),"")</f>
        <v>DSP0107</v>
      </c>
      <c r="P563" s="27" t="str">
        <f>IFERROR(VLOOKUP(B563,crm_orders!$A:$S,5,FALSE),"")</f>
        <v>NY</v>
      </c>
      <c r="Q563" s="27" t="str">
        <f>IFERROR(VLOOKUP(B563,crm_orders!$A:$S,7,FALSE),"")</f>
        <v>Wholesale</v>
      </c>
      <c r="R563" s="27" t="str">
        <f>IFERROR(VLOOKUP(B563,crm_orders!$A:$S,8,FALSE),"")</f>
        <v>SKU0019</v>
      </c>
    </row>
    <row r="564" ht="15.75" customHeight="1">
      <c r="A564" s="17" t="s">
        <v>3381</v>
      </c>
      <c r="B564" s="17" t="s">
        <v>655</v>
      </c>
      <c r="C564" s="18">
        <v>46124.0</v>
      </c>
      <c r="D564" s="17" t="s">
        <v>2269</v>
      </c>
      <c r="E564" s="17" t="s">
        <v>2244</v>
      </c>
      <c r="F564" s="17" t="s">
        <v>3382</v>
      </c>
      <c r="G564" s="21">
        <v>18.0</v>
      </c>
      <c r="H564" s="21">
        <v>0.0</v>
      </c>
      <c r="I564" s="21">
        <v>18.0</v>
      </c>
      <c r="J564" s="17" t="s">
        <v>2246</v>
      </c>
      <c r="K564" s="17" t="s">
        <v>2246</v>
      </c>
      <c r="L564" s="17" t="s">
        <v>2246</v>
      </c>
      <c r="M564" s="17" t="s">
        <v>2267</v>
      </c>
      <c r="N564" s="21">
        <f>IFERROR((C564-VLOOKUP(B564,crm_orders!$A:$S,2,FALSE))*24,0)</f>
        <v>288</v>
      </c>
      <c r="O564" s="19" t="str">
        <f>IFERROR(VLOOKUP(B564,crm_orders!$A:$S,3,FALSE),"")</f>
        <v>DSP0026</v>
      </c>
      <c r="P564" s="19" t="str">
        <f>IFERROR(VLOOKUP(B564,crm_orders!$A:$S,5,FALSE),"")</f>
        <v>WA</v>
      </c>
      <c r="Q564" s="19" t="str">
        <f>IFERROR(VLOOKUP(B564,crm_orders!$A:$S,7,FALSE),"")</f>
        <v>Wholesale</v>
      </c>
      <c r="R564" s="19" t="str">
        <f>IFERROR(VLOOKUP(B564,crm_orders!$A:$S,8,FALSE),"")</f>
        <v>SKU0009</v>
      </c>
    </row>
    <row r="565" ht="15.75" customHeight="1">
      <c r="A565" s="25" t="s">
        <v>3383</v>
      </c>
      <c r="B565" s="25" t="s">
        <v>1043</v>
      </c>
      <c r="C565" s="26">
        <v>46031.0</v>
      </c>
      <c r="D565" s="25" t="s">
        <v>2243</v>
      </c>
      <c r="E565" s="25" t="s">
        <v>2244</v>
      </c>
      <c r="F565" s="25" t="s">
        <v>3384</v>
      </c>
      <c r="G565" s="29">
        <v>72.0</v>
      </c>
      <c r="H565" s="29">
        <v>72.0</v>
      </c>
      <c r="I565" s="29">
        <v>0.0</v>
      </c>
      <c r="J565" s="25" t="s">
        <v>2247</v>
      </c>
      <c r="K565" s="25" t="s">
        <v>2247</v>
      </c>
      <c r="L565" s="25" t="s">
        <v>2247</v>
      </c>
      <c r="M565" s="25" t="s">
        <v>2248</v>
      </c>
      <c r="N565" s="29">
        <f>IFERROR((C565-VLOOKUP(B565,crm_orders!$A:$S,2,FALSE))*24,0)</f>
        <v>168</v>
      </c>
      <c r="O565" s="27" t="str">
        <f>IFERROR(VLOOKUP(B565,crm_orders!$A:$S,3,FALSE),"")</f>
        <v>DSP0073</v>
      </c>
      <c r="P565" s="27" t="str">
        <f>IFERROR(VLOOKUP(B565,crm_orders!$A:$S,5,FALSE),"")</f>
        <v>OR</v>
      </c>
      <c r="Q565" s="27" t="str">
        <f>IFERROR(VLOOKUP(B565,crm_orders!$A:$S,7,FALSE),"")</f>
        <v>Wholesale</v>
      </c>
      <c r="R565" s="27" t="str">
        <f>IFERROR(VLOOKUP(B565,crm_orders!$A:$S,8,FALSE),"")</f>
        <v>SKU0004</v>
      </c>
    </row>
    <row r="566" ht="15.75" customHeight="1">
      <c r="A566" s="17" t="s">
        <v>3385</v>
      </c>
      <c r="B566" s="17" t="s">
        <v>1177</v>
      </c>
      <c r="C566" s="18">
        <v>46082.0</v>
      </c>
      <c r="D566" s="17" t="s">
        <v>2250</v>
      </c>
      <c r="E566" s="17" t="s">
        <v>2255</v>
      </c>
      <c r="F566" s="17" t="s">
        <v>3386</v>
      </c>
      <c r="G566" s="21">
        <v>18.0</v>
      </c>
      <c r="H566" s="21">
        <v>18.0</v>
      </c>
      <c r="I566" s="21">
        <v>0.0</v>
      </c>
      <c r="J566" s="17" t="s">
        <v>2246</v>
      </c>
      <c r="K566" s="17" t="s">
        <v>2247</v>
      </c>
      <c r="L566" s="17" t="s">
        <v>2246</v>
      </c>
      <c r="M566" s="17" t="s">
        <v>2248</v>
      </c>
      <c r="N566" s="21">
        <f>IFERROR((C566-VLOOKUP(B566,crm_orders!$A:$S,2,FALSE))*24,0)</f>
        <v>144</v>
      </c>
      <c r="O566" s="19" t="str">
        <f>IFERROR(VLOOKUP(B566,crm_orders!$A:$S,3,FALSE),"")</f>
        <v>DSP0087</v>
      </c>
      <c r="P566" s="19" t="str">
        <f>IFERROR(VLOOKUP(B566,crm_orders!$A:$S,5,FALSE),"")</f>
        <v>CA</v>
      </c>
      <c r="Q566" s="19" t="str">
        <f>IFERROR(VLOOKUP(B566,crm_orders!$A:$S,7,FALSE),"")</f>
        <v>Wholesale</v>
      </c>
      <c r="R566" s="19" t="str">
        <f>IFERROR(VLOOKUP(B566,crm_orders!$A:$S,8,FALSE),"")</f>
        <v>SKU0007</v>
      </c>
    </row>
    <row r="567" ht="15.75" customHeight="1">
      <c r="A567" s="25" t="s">
        <v>3387</v>
      </c>
      <c r="B567" s="25" t="s">
        <v>657</v>
      </c>
      <c r="C567" s="26">
        <v>46105.0</v>
      </c>
      <c r="D567" s="25" t="s">
        <v>2243</v>
      </c>
      <c r="E567" s="25" t="s">
        <v>2286</v>
      </c>
      <c r="F567" s="25" t="s">
        <v>3388</v>
      </c>
      <c r="G567" s="29">
        <v>120.0</v>
      </c>
      <c r="H567" s="29">
        <v>120.0</v>
      </c>
      <c r="I567" s="29">
        <v>0.0</v>
      </c>
      <c r="J567" s="25" t="s">
        <v>2246</v>
      </c>
      <c r="K567" s="25" t="s">
        <v>2247</v>
      </c>
      <c r="L567" s="25" t="s">
        <v>2246</v>
      </c>
      <c r="M567" s="25" t="s">
        <v>2248</v>
      </c>
      <c r="N567" s="29">
        <f>IFERROR((C567-VLOOKUP(B567,crm_orders!$A:$S,2,FALSE))*24,0)</f>
        <v>192</v>
      </c>
      <c r="O567" s="27" t="str">
        <f>IFERROR(VLOOKUP(B567,crm_orders!$A:$S,3,FALSE),"")</f>
        <v>DSP0032</v>
      </c>
      <c r="P567" s="27" t="str">
        <f>IFERROR(VLOOKUP(B567,crm_orders!$A:$S,5,FALSE),"")</f>
        <v>MI</v>
      </c>
      <c r="Q567" s="27" t="str">
        <f>IFERROR(VLOOKUP(B567,crm_orders!$A:$S,7,FALSE),"")</f>
        <v>Wholesale</v>
      </c>
      <c r="R567" s="27" t="str">
        <f>IFERROR(VLOOKUP(B567,crm_orders!$A:$S,8,FALSE),"")</f>
        <v>SKU0012</v>
      </c>
    </row>
    <row r="568" ht="15.75" customHeight="1">
      <c r="A568" s="17" t="s">
        <v>3389</v>
      </c>
      <c r="B568" s="17" t="s">
        <v>515</v>
      </c>
      <c r="C568" s="18">
        <v>46115.0</v>
      </c>
      <c r="D568" s="17" t="s">
        <v>2260</v>
      </c>
      <c r="E568" s="17" t="s">
        <v>2286</v>
      </c>
      <c r="F568" s="17" t="s">
        <v>3390</v>
      </c>
      <c r="G568" s="21">
        <v>48.0</v>
      </c>
      <c r="H568" s="21">
        <v>48.0</v>
      </c>
      <c r="I568" s="21">
        <v>0.0</v>
      </c>
      <c r="J568" s="17" t="s">
        <v>2246</v>
      </c>
      <c r="K568" s="17" t="s">
        <v>2247</v>
      </c>
      <c r="L568" s="17" t="s">
        <v>2246</v>
      </c>
      <c r="M568" s="17" t="s">
        <v>2248</v>
      </c>
      <c r="N568" s="21">
        <f>IFERROR((C568-VLOOKUP(B568,crm_orders!$A:$S,2,FALSE))*24,0)</f>
        <v>48</v>
      </c>
      <c r="O568" s="19" t="str">
        <f>IFERROR(VLOOKUP(B568,crm_orders!$A:$S,3,FALSE),"")</f>
        <v>DSP0028</v>
      </c>
      <c r="P568" s="19" t="str">
        <f>IFERROR(VLOOKUP(B568,crm_orders!$A:$S,5,FALSE),"")</f>
        <v>CO</v>
      </c>
      <c r="Q568" s="19" t="str">
        <f>IFERROR(VLOOKUP(B568,crm_orders!$A:$S,7,FALSE),"")</f>
        <v>Wholesale</v>
      </c>
      <c r="R568" s="19" t="str">
        <f>IFERROR(VLOOKUP(B568,crm_orders!$A:$S,8,FALSE),"")</f>
        <v>SKU0013</v>
      </c>
    </row>
    <row r="569" ht="15.75" customHeight="1">
      <c r="A569" s="25" t="s">
        <v>3391</v>
      </c>
      <c r="B569" s="25" t="s">
        <v>66</v>
      </c>
      <c r="C569" s="26">
        <v>46103.0</v>
      </c>
      <c r="D569" s="25" t="s">
        <v>2254</v>
      </c>
      <c r="E569" s="25" t="s">
        <v>2244</v>
      </c>
      <c r="F569" s="25" t="s">
        <v>3392</v>
      </c>
      <c r="G569" s="29">
        <v>120.0</v>
      </c>
      <c r="H569" s="29">
        <v>120.0</v>
      </c>
      <c r="I569" s="29">
        <v>0.0</v>
      </c>
      <c r="J569" s="25" t="s">
        <v>2246</v>
      </c>
      <c r="K569" s="25" t="s">
        <v>2247</v>
      </c>
      <c r="L569" s="25" t="s">
        <v>2246</v>
      </c>
      <c r="M569" s="25" t="s">
        <v>2248</v>
      </c>
      <c r="N569" s="29">
        <f>IFERROR((C569-VLOOKUP(B569,crm_orders!$A:$S,2,FALSE))*24,0)</f>
        <v>72</v>
      </c>
      <c r="O569" s="27" t="str">
        <f>IFERROR(VLOOKUP(B569,crm_orders!$A:$S,3,FALSE),"")</f>
        <v/>
      </c>
      <c r="P569" s="27" t="str">
        <f>IFERROR(VLOOKUP(B569,crm_orders!$A:$S,5,FALSE),"")</f>
        <v/>
      </c>
      <c r="Q569" s="27" t="str">
        <f>IFERROR(VLOOKUP(B569,crm_orders!$A:$S,7,FALSE),"")</f>
        <v>Retail</v>
      </c>
      <c r="R569" s="27" t="str">
        <f>IFERROR(VLOOKUP(B569,crm_orders!$A:$S,8,FALSE),"")</f>
        <v>SKU0012</v>
      </c>
    </row>
    <row r="570" ht="15.75" customHeight="1">
      <c r="A570" s="17" t="s">
        <v>3393</v>
      </c>
      <c r="B570" s="17" t="s">
        <v>821</v>
      </c>
      <c r="C570" s="18">
        <v>46084.0</v>
      </c>
      <c r="D570" s="17" t="s">
        <v>2254</v>
      </c>
      <c r="E570" s="17" t="s">
        <v>2286</v>
      </c>
      <c r="F570" s="17" t="s">
        <v>3394</v>
      </c>
      <c r="G570" s="21">
        <v>120.0</v>
      </c>
      <c r="H570" s="21">
        <v>120.0</v>
      </c>
      <c r="I570" s="21">
        <v>0.0</v>
      </c>
      <c r="J570" s="17" t="s">
        <v>2246</v>
      </c>
      <c r="K570" s="17" t="s">
        <v>2247</v>
      </c>
      <c r="L570" s="17" t="s">
        <v>2246</v>
      </c>
      <c r="M570" s="17" t="s">
        <v>2248</v>
      </c>
      <c r="N570" s="21">
        <f>IFERROR((C570-VLOOKUP(B570,crm_orders!$A:$S,2,FALSE))*24,0)</f>
        <v>264</v>
      </c>
      <c r="O570" s="19" t="str">
        <f>IFERROR(VLOOKUP(B570,crm_orders!$A:$S,3,FALSE),"")</f>
        <v>DSP0049</v>
      </c>
      <c r="P570" s="19" t="str">
        <f>IFERROR(VLOOKUP(B570,crm_orders!$A:$S,5,FALSE),"")</f>
        <v>OR</v>
      </c>
      <c r="Q570" s="19" t="str">
        <f>IFERROR(VLOOKUP(B570,crm_orders!$A:$S,7,FALSE),"")</f>
        <v>Wholesale</v>
      </c>
      <c r="R570" s="19" t="str">
        <f>IFERROR(VLOOKUP(B570,crm_orders!$A:$S,8,FALSE),"")</f>
        <v>SKU0010</v>
      </c>
    </row>
    <row r="571" ht="15.75" customHeight="1">
      <c r="A571" s="25" t="s">
        <v>3395</v>
      </c>
      <c r="B571" s="25" t="s">
        <v>141</v>
      </c>
      <c r="C571" s="26">
        <v>46139.0</v>
      </c>
      <c r="D571" s="25" t="s">
        <v>2250</v>
      </c>
      <c r="E571" s="25" t="s">
        <v>2261</v>
      </c>
      <c r="F571" s="25" t="s">
        <v>3396</v>
      </c>
      <c r="G571" s="29">
        <v>60.0</v>
      </c>
      <c r="H571" s="29">
        <v>60.0</v>
      </c>
      <c r="I571" s="29">
        <v>0.0</v>
      </c>
      <c r="J571" s="25" t="s">
        <v>2246</v>
      </c>
      <c r="K571" s="25" t="s">
        <v>2247</v>
      </c>
      <c r="L571" s="25" t="s">
        <v>2246</v>
      </c>
      <c r="M571" s="25" t="s">
        <v>2248</v>
      </c>
      <c r="N571" s="29">
        <f>IFERROR((C571-VLOOKUP(B571,crm_orders!$A:$S,2,FALSE))*24,0)</f>
        <v>96</v>
      </c>
      <c r="O571" s="27" t="str">
        <f>IFERROR(VLOOKUP(B571,crm_orders!$A:$S,3,FALSE),"")</f>
        <v>DSP0064</v>
      </c>
      <c r="P571" s="27" t="str">
        <f>IFERROR(VLOOKUP(B571,crm_orders!$A:$S,5,FALSE),"")</f>
        <v>CO</v>
      </c>
      <c r="Q571" s="27" t="str">
        <f>IFERROR(VLOOKUP(B571,crm_orders!$A:$S,7,FALSE),"")</f>
        <v>Wholesale</v>
      </c>
      <c r="R571" s="27" t="str">
        <f>IFERROR(VLOOKUP(B571,crm_orders!$A:$S,8,FALSE),"")</f>
        <v>SKU0011</v>
      </c>
    </row>
    <row r="572" ht="15.75" customHeight="1">
      <c r="A572" s="17" t="s">
        <v>3397</v>
      </c>
      <c r="B572" s="17" t="s">
        <v>406</v>
      </c>
      <c r="C572" s="18">
        <v>46141.0</v>
      </c>
      <c r="D572" s="17" t="s">
        <v>2243</v>
      </c>
      <c r="E572" s="17" t="s">
        <v>2286</v>
      </c>
      <c r="F572" s="17" t="s">
        <v>3398</v>
      </c>
      <c r="G572" s="21">
        <v>30.0</v>
      </c>
      <c r="H572" s="21">
        <v>30.0</v>
      </c>
      <c r="I572" s="21">
        <v>0.0</v>
      </c>
      <c r="J572" s="17" t="s">
        <v>2246</v>
      </c>
      <c r="K572" s="17" t="s">
        <v>2247</v>
      </c>
      <c r="L572" s="17" t="s">
        <v>2246</v>
      </c>
      <c r="M572" s="17" t="s">
        <v>2248</v>
      </c>
      <c r="N572" s="21">
        <f>IFERROR((C572-VLOOKUP(B572,crm_orders!$A:$S,2,FALSE))*24,0)</f>
        <v>168</v>
      </c>
      <c r="O572" s="19" t="str">
        <f>IFERROR(VLOOKUP(B572,crm_orders!$A:$S,3,FALSE),"")</f>
        <v>DSP0017</v>
      </c>
      <c r="P572" s="19" t="str">
        <f>IFERROR(VLOOKUP(B572,crm_orders!$A:$S,5,FALSE),"")</f>
        <v>AZ</v>
      </c>
      <c r="Q572" s="19" t="str">
        <f>IFERROR(VLOOKUP(B572,crm_orders!$A:$S,7,FALSE),"")</f>
        <v>Wholesale</v>
      </c>
      <c r="R572" s="19" t="str">
        <f>IFERROR(VLOOKUP(B572,crm_orders!$A:$S,8,FALSE),"")</f>
        <v>SKU0016</v>
      </c>
    </row>
    <row r="573" ht="15.75" customHeight="1">
      <c r="A573" s="25" t="s">
        <v>3399</v>
      </c>
      <c r="B573" s="25" t="s">
        <v>407</v>
      </c>
      <c r="C573" s="26">
        <v>46068.0</v>
      </c>
      <c r="D573" s="25" t="s">
        <v>2250</v>
      </c>
      <c r="E573" s="25" t="s">
        <v>2255</v>
      </c>
      <c r="F573" s="25" t="s">
        <v>3400</v>
      </c>
      <c r="G573" s="29">
        <v>48.0</v>
      </c>
      <c r="H573" s="29">
        <v>48.0</v>
      </c>
      <c r="I573" s="29">
        <v>0.0</v>
      </c>
      <c r="J573" s="25" t="s">
        <v>2246</v>
      </c>
      <c r="K573" s="25" t="s">
        <v>2247</v>
      </c>
      <c r="L573" s="25" t="s">
        <v>2246</v>
      </c>
      <c r="M573" s="25" t="s">
        <v>2248</v>
      </c>
      <c r="N573" s="29">
        <f>IFERROR((C573-VLOOKUP(B573,crm_orders!$A:$S,2,FALSE))*24,0)</f>
        <v>120</v>
      </c>
      <c r="O573" s="27" t="str">
        <f>IFERROR(VLOOKUP(B573,crm_orders!$A:$S,3,FALSE),"")</f>
        <v>DSP0034</v>
      </c>
      <c r="P573" s="27" t="str">
        <f>IFERROR(VLOOKUP(B573,crm_orders!$A:$S,5,FALSE),"")</f>
        <v>NM</v>
      </c>
      <c r="Q573" s="27" t="str">
        <f>IFERROR(VLOOKUP(B573,crm_orders!$A:$S,7,FALSE),"")</f>
        <v>Distributor</v>
      </c>
      <c r="R573" s="27" t="str">
        <f>IFERROR(VLOOKUP(B573,crm_orders!$A:$S,8,FALSE),"")</f>
        <v>SKU0017</v>
      </c>
    </row>
    <row r="574" ht="15.75" customHeight="1">
      <c r="A574" s="17" t="s">
        <v>3401</v>
      </c>
      <c r="B574" s="17" t="s">
        <v>1178</v>
      </c>
      <c r="C574" s="18">
        <v>46045.0</v>
      </c>
      <c r="D574" s="17" t="s">
        <v>2260</v>
      </c>
      <c r="E574" s="17" t="s">
        <v>2251</v>
      </c>
      <c r="F574" s="17" t="s">
        <v>3402</v>
      </c>
      <c r="G574" s="21">
        <v>60.0</v>
      </c>
      <c r="H574" s="21">
        <v>60.0</v>
      </c>
      <c r="I574" s="21">
        <v>0.0</v>
      </c>
      <c r="J574" s="17" t="s">
        <v>2246</v>
      </c>
      <c r="K574" s="17" t="s">
        <v>2247</v>
      </c>
      <c r="L574" s="17" t="s">
        <v>2246</v>
      </c>
      <c r="M574" s="17" t="s">
        <v>2248</v>
      </c>
      <c r="N574" s="21">
        <f>IFERROR((C574-VLOOKUP(B574,crm_orders!$A:$S,2,FALSE))*24,0)</f>
        <v>408</v>
      </c>
      <c r="O574" s="19" t="str">
        <f>IFERROR(VLOOKUP(B574,crm_orders!$A:$S,3,FALSE),"")</f>
        <v>DSP0015</v>
      </c>
      <c r="P574" s="19" t="str">
        <f>IFERROR(VLOOKUP(B574,crm_orders!$A:$S,5,FALSE),"")</f>
        <v>CA</v>
      </c>
      <c r="Q574" s="19" t="str">
        <f>IFERROR(VLOOKUP(B574,crm_orders!$A:$S,7,FALSE),"")</f>
        <v>Wholesale</v>
      </c>
      <c r="R574" s="19" t="str">
        <f>IFERROR(VLOOKUP(B574,crm_orders!$A:$S,8,FALSE),"")</f>
        <v>SKU0016</v>
      </c>
    </row>
    <row r="575" ht="15.75" customHeight="1">
      <c r="A575" s="25" t="s">
        <v>3403</v>
      </c>
      <c r="B575" s="25" t="s">
        <v>658</v>
      </c>
      <c r="C575" s="26">
        <v>46076.0</v>
      </c>
      <c r="D575" s="25" t="s">
        <v>2269</v>
      </c>
      <c r="E575" s="25" t="s">
        <v>2286</v>
      </c>
      <c r="F575" s="25" t="s">
        <v>3404</v>
      </c>
      <c r="G575" s="29">
        <v>12.0</v>
      </c>
      <c r="H575" s="29">
        <v>0.0</v>
      </c>
      <c r="I575" s="29">
        <v>12.0</v>
      </c>
      <c r="J575" s="25" t="s">
        <v>2247</v>
      </c>
      <c r="K575" s="25" t="s">
        <v>2246</v>
      </c>
      <c r="L575" s="25" t="s">
        <v>2246</v>
      </c>
      <c r="M575" s="25" t="s">
        <v>2267</v>
      </c>
      <c r="N575" s="29">
        <f>IFERROR((C575-VLOOKUP(B575,crm_orders!$A:$S,2,FALSE))*24,0)</f>
        <v>216</v>
      </c>
      <c r="O575" s="27" t="str">
        <f>IFERROR(VLOOKUP(B575,crm_orders!$A:$S,3,FALSE),"")</f>
        <v>DSP0019</v>
      </c>
      <c r="P575" s="27" t="str">
        <f>IFERROR(VLOOKUP(B575,crm_orders!$A:$S,5,FALSE),"")</f>
        <v>IL</v>
      </c>
      <c r="Q575" s="27" t="str">
        <f>IFERROR(VLOOKUP(B575,crm_orders!$A:$S,7,FALSE),"")</f>
        <v>Distributor</v>
      </c>
      <c r="R575" s="27" t="str">
        <f>IFERROR(VLOOKUP(B575,crm_orders!$A:$S,8,FALSE),"")</f>
        <v>SKU0004</v>
      </c>
    </row>
    <row r="576" ht="15.75" customHeight="1">
      <c r="A576" s="17" t="s">
        <v>3405</v>
      </c>
      <c r="B576" s="17" t="s">
        <v>1179</v>
      </c>
      <c r="C576" s="18">
        <v>46055.0</v>
      </c>
      <c r="D576" s="17" t="s">
        <v>2243</v>
      </c>
      <c r="E576" s="17" t="s">
        <v>2251</v>
      </c>
      <c r="F576" s="17" t="s">
        <v>3406</v>
      </c>
      <c r="G576" s="21">
        <v>96.0</v>
      </c>
      <c r="H576" s="21">
        <v>96.0</v>
      </c>
      <c r="I576" s="21">
        <v>0.0</v>
      </c>
      <c r="J576" s="17" t="s">
        <v>2246</v>
      </c>
      <c r="K576" s="17" t="s">
        <v>2247</v>
      </c>
      <c r="L576" s="17" t="s">
        <v>2246</v>
      </c>
      <c r="M576" s="17" t="s">
        <v>2248</v>
      </c>
      <c r="N576" s="21">
        <f>IFERROR((C576-VLOOKUP(B576,crm_orders!$A:$S,2,FALSE))*24,0)</f>
        <v>120</v>
      </c>
      <c r="O576" s="19" t="str">
        <f>IFERROR(VLOOKUP(B576,crm_orders!$A:$S,3,FALSE),"")</f>
        <v>DSP0085</v>
      </c>
      <c r="P576" s="19" t="str">
        <f>IFERROR(VLOOKUP(B576,crm_orders!$A:$S,5,FALSE),"")</f>
        <v>OR</v>
      </c>
      <c r="Q576" s="19" t="str">
        <f>IFERROR(VLOOKUP(B576,crm_orders!$A:$S,7,FALSE),"")</f>
        <v>Retail</v>
      </c>
      <c r="R576" s="19" t="str">
        <f>IFERROR(VLOOKUP(B576,crm_orders!$A:$S,8,FALSE),"")</f>
        <v>SKU0019</v>
      </c>
    </row>
    <row r="577" ht="15.75" customHeight="1">
      <c r="A577" s="25" t="s">
        <v>3407</v>
      </c>
      <c r="B577" s="25" t="s">
        <v>254</v>
      </c>
      <c r="C577" s="26">
        <v>46112.0</v>
      </c>
      <c r="D577" s="25" t="s">
        <v>2260</v>
      </c>
      <c r="E577" s="25" t="s">
        <v>2286</v>
      </c>
      <c r="F577" s="25" t="s">
        <v>3408</v>
      </c>
      <c r="G577" s="29">
        <v>12.0</v>
      </c>
      <c r="H577" s="29">
        <v>12.0</v>
      </c>
      <c r="I577" s="29">
        <v>0.0</v>
      </c>
      <c r="J577" s="25" t="s">
        <v>2246</v>
      </c>
      <c r="K577" s="25" t="s">
        <v>2247</v>
      </c>
      <c r="L577" s="25" t="s">
        <v>2246</v>
      </c>
      <c r="M577" s="25" t="s">
        <v>2248</v>
      </c>
      <c r="N577" s="29">
        <f>IFERROR((C577-VLOOKUP(B577,crm_orders!$A:$S,2,FALSE))*24,0)</f>
        <v>72</v>
      </c>
      <c r="O577" s="27" t="str">
        <f>IFERROR(VLOOKUP(B577,crm_orders!$A:$S,3,FALSE),"")</f>
        <v>DSP0099</v>
      </c>
      <c r="P577" s="27" t="str">
        <f>IFERROR(VLOOKUP(B577,crm_orders!$A:$S,5,FALSE),"")</f>
        <v>CA</v>
      </c>
      <c r="Q577" s="27" t="str">
        <f>IFERROR(VLOOKUP(B577,crm_orders!$A:$S,7,FALSE),"")</f>
        <v>Retail</v>
      </c>
      <c r="R577" s="27" t="str">
        <f>IFERROR(VLOOKUP(B577,crm_orders!$A:$S,8,FALSE),"")</f>
        <v>SKU0016</v>
      </c>
    </row>
    <row r="578" ht="15.75" customHeight="1">
      <c r="A578" s="17" t="s">
        <v>3409</v>
      </c>
      <c r="B578" s="17" t="s">
        <v>516</v>
      </c>
      <c r="C578" s="18">
        <v>46050.0</v>
      </c>
      <c r="D578" s="17" t="s">
        <v>2254</v>
      </c>
      <c r="E578" s="17" t="s">
        <v>2255</v>
      </c>
      <c r="F578" s="17" t="s">
        <v>3410</v>
      </c>
      <c r="G578" s="21">
        <v>6.0</v>
      </c>
      <c r="H578" s="21">
        <v>6.0</v>
      </c>
      <c r="I578" s="21">
        <v>0.0</v>
      </c>
      <c r="J578" s="17" t="s">
        <v>2247</v>
      </c>
      <c r="K578" s="17" t="s">
        <v>2247</v>
      </c>
      <c r="L578" s="17" t="s">
        <v>2247</v>
      </c>
      <c r="M578" s="17" t="s">
        <v>2248</v>
      </c>
      <c r="N578" s="21">
        <f>IFERROR((C578-VLOOKUP(B578,crm_orders!$A:$S,2,FALSE))*24,0)</f>
        <v>192</v>
      </c>
      <c r="O578" s="19" t="str">
        <f>IFERROR(VLOOKUP(B578,crm_orders!$A:$S,3,FALSE),"")</f>
        <v>DSP0014</v>
      </c>
      <c r="P578" s="19" t="str">
        <f>IFERROR(VLOOKUP(B578,crm_orders!$A:$S,5,FALSE),"")</f>
        <v>WA</v>
      </c>
      <c r="Q578" s="19" t="str">
        <f>IFERROR(VLOOKUP(B578,crm_orders!$A:$S,7,FALSE),"")</f>
        <v>Retail</v>
      </c>
      <c r="R578" s="19" t="str">
        <f>IFERROR(VLOOKUP(B578,crm_orders!$A:$S,8,FALSE),"")</f>
        <v>SKU0011</v>
      </c>
    </row>
    <row r="579" ht="15.75" customHeight="1">
      <c r="A579" s="25" t="s">
        <v>3411</v>
      </c>
      <c r="B579" s="25" t="s">
        <v>1180</v>
      </c>
      <c r="C579" s="26">
        <v>46076.0</v>
      </c>
      <c r="D579" s="25" t="s">
        <v>2269</v>
      </c>
      <c r="E579" s="25" t="s">
        <v>2286</v>
      </c>
      <c r="F579" s="25" t="s">
        <v>3412</v>
      </c>
      <c r="G579" s="29">
        <v>6.0</v>
      </c>
      <c r="H579" s="29">
        <v>6.0</v>
      </c>
      <c r="I579" s="29">
        <v>0.0</v>
      </c>
      <c r="J579" s="25" t="s">
        <v>2246</v>
      </c>
      <c r="K579" s="25" t="s">
        <v>2247</v>
      </c>
      <c r="L579" s="25" t="s">
        <v>2246</v>
      </c>
      <c r="M579" s="25" t="s">
        <v>2248</v>
      </c>
      <c r="N579" s="29">
        <f>IFERROR((C579-VLOOKUP(B579,crm_orders!$A:$S,2,FALSE))*24,0)</f>
        <v>264</v>
      </c>
      <c r="O579" s="27" t="str">
        <f>IFERROR(VLOOKUP(B579,crm_orders!$A:$S,3,FALSE),"")</f>
        <v>DSP0085</v>
      </c>
      <c r="P579" s="27" t="str">
        <f>IFERROR(VLOOKUP(B579,crm_orders!$A:$S,5,FALSE),"")</f>
        <v>OR</v>
      </c>
      <c r="Q579" s="27" t="str">
        <f>IFERROR(VLOOKUP(B579,crm_orders!$A:$S,7,FALSE),"")</f>
        <v>Wholesale</v>
      </c>
      <c r="R579" s="27" t="str">
        <f>IFERROR(VLOOKUP(B579,crm_orders!$A:$S,8,FALSE),"")</f>
        <v>SKU0001</v>
      </c>
    </row>
    <row r="580" ht="15.75" customHeight="1">
      <c r="A580" s="17" t="s">
        <v>3413</v>
      </c>
      <c r="B580" s="17" t="s">
        <v>255</v>
      </c>
      <c r="C580" s="18">
        <v>46067.0</v>
      </c>
      <c r="D580" s="17" t="s">
        <v>2250</v>
      </c>
      <c r="E580" s="17" t="s">
        <v>2255</v>
      </c>
      <c r="F580" s="17" t="s">
        <v>3414</v>
      </c>
      <c r="G580" s="21">
        <v>6.0</v>
      </c>
      <c r="H580" s="21">
        <v>6.0</v>
      </c>
      <c r="I580" s="21">
        <v>0.0</v>
      </c>
      <c r="J580" s="17" t="s">
        <v>2246</v>
      </c>
      <c r="K580" s="17" t="s">
        <v>2247</v>
      </c>
      <c r="L580" s="17" t="s">
        <v>2246</v>
      </c>
      <c r="M580" s="17" t="s">
        <v>2248</v>
      </c>
      <c r="N580" s="21">
        <f>IFERROR((C580-VLOOKUP(B580,crm_orders!$A:$S,2,FALSE))*24,0)</f>
        <v>72</v>
      </c>
      <c r="O580" s="19" t="str">
        <f>IFERROR(VLOOKUP(B580,crm_orders!$A:$S,3,FALSE),"")</f>
        <v>DSP0103</v>
      </c>
      <c r="P580" s="19" t="str">
        <f>IFERROR(VLOOKUP(B580,crm_orders!$A:$S,5,FALSE),"")</f>
        <v>IL</v>
      </c>
      <c r="Q580" s="19" t="str">
        <f>IFERROR(VLOOKUP(B580,crm_orders!$A:$S,7,FALSE),"")</f>
        <v>Wholesale</v>
      </c>
      <c r="R580" s="19" t="str">
        <f>IFERROR(VLOOKUP(B580,crm_orders!$A:$S,8,FALSE),"")</f>
        <v>SKU0010</v>
      </c>
    </row>
    <row r="581" ht="15.75" customHeight="1">
      <c r="A581" s="25" t="s">
        <v>3415</v>
      </c>
      <c r="B581" s="25" t="s">
        <v>1115</v>
      </c>
      <c r="C581" s="26">
        <v>46072.0</v>
      </c>
      <c r="D581" s="25" t="s">
        <v>2269</v>
      </c>
      <c r="E581" s="25" t="s">
        <v>2244</v>
      </c>
      <c r="F581" s="25" t="s">
        <v>3416</v>
      </c>
      <c r="G581" s="29">
        <v>60.0</v>
      </c>
      <c r="H581" s="29">
        <v>60.0</v>
      </c>
      <c r="I581" s="29">
        <v>0.0</v>
      </c>
      <c r="J581" s="25" t="s">
        <v>2246</v>
      </c>
      <c r="K581" s="25" t="s">
        <v>2247</v>
      </c>
      <c r="L581" s="25" t="s">
        <v>2246</v>
      </c>
      <c r="M581" s="25" t="s">
        <v>2248</v>
      </c>
      <c r="N581" s="29">
        <f>IFERROR((C581-VLOOKUP(B581,crm_orders!$A:$S,2,FALSE))*24,0)</f>
        <v>264</v>
      </c>
      <c r="O581" s="27" t="str">
        <f>IFERROR(VLOOKUP(B581,crm_orders!$A:$S,3,FALSE),"")</f>
        <v>DSP0020</v>
      </c>
      <c r="P581" s="27" t="str">
        <f>IFERROR(VLOOKUP(B581,crm_orders!$A:$S,5,FALSE),"")</f>
        <v>MI</v>
      </c>
      <c r="Q581" s="27" t="str">
        <f>IFERROR(VLOOKUP(B581,crm_orders!$A:$S,7,FALSE),"")</f>
        <v>Distributor</v>
      </c>
      <c r="R581" s="27" t="str">
        <f>IFERROR(VLOOKUP(B581,crm_orders!$A:$S,8,FALSE),"")</f>
        <v>SKU0004</v>
      </c>
    </row>
    <row r="582" ht="15.75" customHeight="1">
      <c r="A582" s="17" t="s">
        <v>3417</v>
      </c>
      <c r="B582" s="17" t="s">
        <v>517</v>
      </c>
      <c r="C582" s="18">
        <v>46097.0</v>
      </c>
      <c r="D582" s="17" t="s">
        <v>2260</v>
      </c>
      <c r="E582" s="17" t="s">
        <v>2255</v>
      </c>
      <c r="F582" s="17" t="s">
        <v>3418</v>
      </c>
      <c r="G582" s="21">
        <v>24.0</v>
      </c>
      <c r="H582" s="21">
        <v>24.0</v>
      </c>
      <c r="I582" s="21">
        <v>0.0</v>
      </c>
      <c r="J582" s="17" t="s">
        <v>2247</v>
      </c>
      <c r="K582" s="17" t="s">
        <v>2247</v>
      </c>
      <c r="L582" s="17" t="s">
        <v>2247</v>
      </c>
      <c r="M582" s="17" t="s">
        <v>2248</v>
      </c>
      <c r="N582" s="21">
        <f>IFERROR((C582-VLOOKUP(B582,crm_orders!$A:$S,2,FALSE))*24,0)</f>
        <v>216</v>
      </c>
      <c r="O582" s="19" t="str">
        <f>IFERROR(VLOOKUP(B582,crm_orders!$A:$S,3,FALSE),"")</f>
        <v>DSP0107</v>
      </c>
      <c r="P582" s="19" t="str">
        <f>IFERROR(VLOOKUP(B582,crm_orders!$A:$S,5,FALSE),"")</f>
        <v>NY</v>
      </c>
      <c r="Q582" s="19" t="str">
        <f>IFERROR(VLOOKUP(B582,crm_orders!$A:$S,7,FALSE),"")</f>
        <v>Wholesale</v>
      </c>
      <c r="R582" s="19" t="str">
        <f>IFERROR(VLOOKUP(B582,crm_orders!$A:$S,8,FALSE),"")</f>
        <v>SKU0012</v>
      </c>
    </row>
    <row r="583" ht="15.75" customHeight="1">
      <c r="A583" s="25" t="s">
        <v>3419</v>
      </c>
      <c r="B583" s="25" t="s">
        <v>1044</v>
      </c>
      <c r="C583" s="26">
        <v>46150.0</v>
      </c>
      <c r="D583" s="25" t="s">
        <v>2243</v>
      </c>
      <c r="E583" s="25" t="s">
        <v>2286</v>
      </c>
      <c r="F583" s="25" t="s">
        <v>3420</v>
      </c>
      <c r="G583" s="29">
        <v>60.0</v>
      </c>
      <c r="H583" s="29">
        <v>60.0</v>
      </c>
      <c r="I583" s="29">
        <v>0.0</v>
      </c>
      <c r="J583" s="25" t="s">
        <v>2247</v>
      </c>
      <c r="K583" s="25" t="s">
        <v>2247</v>
      </c>
      <c r="L583" s="25" t="s">
        <v>2247</v>
      </c>
      <c r="M583" s="25" t="s">
        <v>2248</v>
      </c>
      <c r="N583" s="29">
        <f>IFERROR((C583-VLOOKUP(B583,crm_orders!$A:$S,2,FALSE))*24,0)</f>
        <v>192</v>
      </c>
      <c r="O583" s="27" t="str">
        <f>IFERROR(VLOOKUP(B583,crm_orders!$A:$S,3,FALSE),"")</f>
        <v>DSP0083</v>
      </c>
      <c r="P583" s="27" t="str">
        <f>IFERROR(VLOOKUP(B583,crm_orders!$A:$S,5,FALSE),"")</f>
        <v>NY</v>
      </c>
      <c r="Q583" s="27" t="str">
        <f>IFERROR(VLOOKUP(B583,crm_orders!$A:$S,7,FALSE),"")</f>
        <v>Wholesale</v>
      </c>
      <c r="R583" s="27" t="str">
        <f>IFERROR(VLOOKUP(B583,crm_orders!$A:$S,8,FALSE),"")</f>
        <v>SKU0005</v>
      </c>
    </row>
    <row r="584" ht="15.75" customHeight="1">
      <c r="A584" s="17" t="s">
        <v>3421</v>
      </c>
      <c r="B584" s="17" t="s">
        <v>1181</v>
      </c>
      <c r="C584" s="18">
        <v>46050.0</v>
      </c>
      <c r="D584" s="17" t="s">
        <v>2269</v>
      </c>
      <c r="E584" s="17" t="s">
        <v>2255</v>
      </c>
      <c r="F584" s="17" t="s">
        <v>3422</v>
      </c>
      <c r="G584" s="21">
        <v>18.0</v>
      </c>
      <c r="H584" s="21">
        <v>18.0</v>
      </c>
      <c r="I584" s="21">
        <v>0.0</v>
      </c>
      <c r="J584" s="17" t="s">
        <v>2246</v>
      </c>
      <c r="K584" s="17" t="s">
        <v>2247</v>
      </c>
      <c r="L584" s="17" t="s">
        <v>2246</v>
      </c>
      <c r="M584" s="17" t="s">
        <v>2248</v>
      </c>
      <c r="N584" s="21">
        <f>IFERROR((C584-VLOOKUP(B584,crm_orders!$A:$S,2,FALSE))*24,0)</f>
        <v>192</v>
      </c>
      <c r="O584" s="19" t="str">
        <f>IFERROR(VLOOKUP(B584,crm_orders!$A:$S,3,FALSE),"")</f>
        <v>DSP0062</v>
      </c>
      <c r="P584" s="19" t="str">
        <f>IFERROR(VLOOKUP(B584,crm_orders!$A:$S,5,FALSE),"")</f>
        <v>WA</v>
      </c>
      <c r="Q584" s="19" t="str">
        <f>IFERROR(VLOOKUP(B584,crm_orders!$A:$S,7,FALSE),"")</f>
        <v>Wholesale</v>
      </c>
      <c r="R584" s="19" t="str">
        <f>IFERROR(VLOOKUP(B584,crm_orders!$A:$S,8,FALSE),"")</f>
        <v>SKU0010</v>
      </c>
    </row>
    <row r="585" ht="15.75" customHeight="1">
      <c r="A585" s="25" t="s">
        <v>3423</v>
      </c>
      <c r="B585" s="25" t="s">
        <v>142</v>
      </c>
      <c r="C585" s="26">
        <v>46125.0</v>
      </c>
      <c r="D585" s="25" t="s">
        <v>2254</v>
      </c>
      <c r="E585" s="25" t="s">
        <v>2255</v>
      </c>
      <c r="F585" s="25" t="s">
        <v>3424</v>
      </c>
      <c r="G585" s="29">
        <v>72.0</v>
      </c>
      <c r="H585" s="29">
        <v>72.0</v>
      </c>
      <c r="I585" s="29">
        <v>0.0</v>
      </c>
      <c r="J585" s="25" t="s">
        <v>2246</v>
      </c>
      <c r="K585" s="25" t="s">
        <v>2247</v>
      </c>
      <c r="L585" s="25" t="s">
        <v>2246</v>
      </c>
      <c r="M585" s="25" t="s">
        <v>2248</v>
      </c>
      <c r="N585" s="29">
        <f>IFERROR((C585-VLOOKUP(B585,crm_orders!$A:$S,2,FALSE))*24,0)</f>
        <v>96</v>
      </c>
      <c r="O585" s="27" t="str">
        <f>IFERROR(VLOOKUP(B585,crm_orders!$A:$S,3,FALSE),"")</f>
        <v>DSP0075</v>
      </c>
      <c r="P585" s="27" t="str">
        <f>IFERROR(VLOOKUP(B585,crm_orders!$A:$S,5,FALSE),"")</f>
        <v>CA</v>
      </c>
      <c r="Q585" s="27" t="str">
        <f>IFERROR(VLOOKUP(B585,crm_orders!$A:$S,7,FALSE),"")</f>
        <v>Wholesale</v>
      </c>
      <c r="R585" s="27" t="str">
        <f>IFERROR(VLOOKUP(B585,crm_orders!$A:$S,8,FALSE),"")</f>
        <v>SKU0003</v>
      </c>
    </row>
    <row r="586" ht="15.75" customHeight="1">
      <c r="A586" s="17" t="s">
        <v>3425</v>
      </c>
      <c r="B586" s="17" t="s">
        <v>823</v>
      </c>
      <c r="C586" s="18">
        <v>46071.0</v>
      </c>
      <c r="D586" s="17" t="s">
        <v>2254</v>
      </c>
      <c r="E586" s="17" t="s">
        <v>2251</v>
      </c>
      <c r="F586" s="17" t="s">
        <v>3426</v>
      </c>
      <c r="G586" s="21">
        <v>96.0</v>
      </c>
      <c r="H586" s="21">
        <v>96.0</v>
      </c>
      <c r="I586" s="21">
        <v>0.0</v>
      </c>
      <c r="J586" s="17" t="s">
        <v>2246</v>
      </c>
      <c r="K586" s="17" t="s">
        <v>2247</v>
      </c>
      <c r="L586" s="17" t="s">
        <v>2246</v>
      </c>
      <c r="M586" s="17" t="s">
        <v>2248</v>
      </c>
      <c r="N586" s="21">
        <f>IFERROR((C586-VLOOKUP(B586,crm_orders!$A:$S,2,FALSE))*24,0)</f>
        <v>192</v>
      </c>
      <c r="O586" s="19" t="str">
        <f>IFERROR(VLOOKUP(B586,crm_orders!$A:$S,3,FALSE),"")</f>
        <v>DSP0054</v>
      </c>
      <c r="P586" s="19" t="str">
        <f>IFERROR(VLOOKUP(B586,crm_orders!$A:$S,5,FALSE),"")</f>
        <v>NV</v>
      </c>
      <c r="Q586" s="19" t="str">
        <f>IFERROR(VLOOKUP(B586,crm_orders!$A:$S,7,FALSE),"")</f>
        <v>Wholesale</v>
      </c>
      <c r="R586" s="19" t="str">
        <f>IFERROR(VLOOKUP(B586,crm_orders!$A:$S,8,FALSE),"")</f>
        <v>SKU0010</v>
      </c>
    </row>
    <row r="587" ht="15.75" customHeight="1">
      <c r="A587" s="25" t="s">
        <v>3427</v>
      </c>
      <c r="B587" s="25" t="s">
        <v>659</v>
      </c>
      <c r="C587" s="26">
        <v>46054.0</v>
      </c>
      <c r="D587" s="25" t="s">
        <v>2260</v>
      </c>
      <c r="E587" s="25" t="s">
        <v>2261</v>
      </c>
      <c r="F587" s="25" t="s">
        <v>3428</v>
      </c>
      <c r="G587" s="29">
        <v>18.0</v>
      </c>
      <c r="H587" s="29">
        <v>18.0</v>
      </c>
      <c r="I587" s="29">
        <v>0.0</v>
      </c>
      <c r="J587" s="25" t="s">
        <v>2246</v>
      </c>
      <c r="K587" s="25" t="s">
        <v>2247</v>
      </c>
      <c r="L587" s="25" t="s">
        <v>2246</v>
      </c>
      <c r="M587" s="25" t="s">
        <v>2248</v>
      </c>
      <c r="N587" s="29">
        <f>IFERROR((C587-VLOOKUP(B587,crm_orders!$A:$S,2,FALSE))*24,0)</f>
        <v>96</v>
      </c>
      <c r="O587" s="27" t="str">
        <f>IFERROR(VLOOKUP(B587,crm_orders!$A:$S,3,FALSE),"")</f>
        <v>DSP0104</v>
      </c>
      <c r="P587" s="27" t="str">
        <f>IFERROR(VLOOKUP(B587,crm_orders!$A:$S,5,FALSE),"")</f>
        <v>MI</v>
      </c>
      <c r="Q587" s="27" t="str">
        <f>IFERROR(VLOOKUP(B587,crm_orders!$A:$S,7,FALSE),"")</f>
        <v>Wholesale</v>
      </c>
      <c r="R587" s="27" t="str">
        <f>IFERROR(VLOOKUP(B587,crm_orders!$A:$S,8,FALSE),"")</f>
        <v>SKU0006</v>
      </c>
    </row>
    <row r="588" ht="15.75" customHeight="1">
      <c r="A588" s="17" t="s">
        <v>3429</v>
      </c>
      <c r="B588" s="17" t="s">
        <v>824</v>
      </c>
      <c r="C588" s="18">
        <v>46073.0</v>
      </c>
      <c r="D588" s="17" t="s">
        <v>2269</v>
      </c>
      <c r="E588" s="17" t="s">
        <v>2255</v>
      </c>
      <c r="F588" s="17" t="s">
        <v>3430</v>
      </c>
      <c r="G588" s="21">
        <v>120.0</v>
      </c>
      <c r="H588" s="21">
        <v>120.0</v>
      </c>
      <c r="I588" s="21">
        <v>0.0</v>
      </c>
      <c r="J588" s="17" t="s">
        <v>2246</v>
      </c>
      <c r="K588" s="17" t="s">
        <v>2247</v>
      </c>
      <c r="L588" s="17" t="s">
        <v>2246</v>
      </c>
      <c r="M588" s="17" t="s">
        <v>2248</v>
      </c>
      <c r="N588" s="21">
        <f>IFERROR((C588-VLOOKUP(B588,crm_orders!$A:$S,2,FALSE))*24,0)</f>
        <v>96</v>
      </c>
      <c r="O588" s="19" t="str">
        <f>IFERROR(VLOOKUP(B588,crm_orders!$A:$S,3,FALSE),"")</f>
        <v>DSP0105</v>
      </c>
      <c r="P588" s="19" t="str">
        <f>IFERROR(VLOOKUP(B588,crm_orders!$A:$S,5,FALSE),"")</f>
        <v>MO</v>
      </c>
      <c r="Q588" s="19" t="str">
        <f>IFERROR(VLOOKUP(B588,crm_orders!$A:$S,7,FALSE),"")</f>
        <v>Distributor</v>
      </c>
      <c r="R588" s="19" t="str">
        <f>IFERROR(VLOOKUP(B588,crm_orders!$A:$S,8,FALSE),"")</f>
        <v>SKU0020</v>
      </c>
    </row>
    <row r="589" ht="15.75" customHeight="1">
      <c r="A589" s="25" t="s">
        <v>3431</v>
      </c>
      <c r="B589" s="25" t="s">
        <v>1182</v>
      </c>
      <c r="C589" s="26">
        <v>46115.0</v>
      </c>
      <c r="D589" s="25" t="s">
        <v>2260</v>
      </c>
      <c r="E589" s="25" t="s">
        <v>2261</v>
      </c>
      <c r="F589" s="25" t="s">
        <v>3432</v>
      </c>
      <c r="G589" s="29">
        <v>24.0</v>
      </c>
      <c r="H589" s="29">
        <v>24.0</v>
      </c>
      <c r="I589" s="29">
        <v>0.0</v>
      </c>
      <c r="J589" s="25" t="s">
        <v>2247</v>
      </c>
      <c r="K589" s="25" t="s">
        <v>2247</v>
      </c>
      <c r="L589" s="25" t="s">
        <v>2247</v>
      </c>
      <c r="M589" s="25" t="s">
        <v>2248</v>
      </c>
      <c r="N589" s="29">
        <f>IFERROR((C589-VLOOKUP(B589,crm_orders!$A:$S,2,FALSE))*24,0)</f>
        <v>72</v>
      </c>
      <c r="O589" s="27" t="str">
        <f>IFERROR(VLOOKUP(B589,crm_orders!$A:$S,3,FALSE),"")</f>
        <v>DSP0015</v>
      </c>
      <c r="P589" s="27" t="str">
        <f>IFERROR(VLOOKUP(B589,crm_orders!$A:$S,5,FALSE),"")</f>
        <v>CA</v>
      </c>
      <c r="Q589" s="27" t="str">
        <f>IFERROR(VLOOKUP(B589,crm_orders!$A:$S,7,FALSE),"")</f>
        <v>Wholesale</v>
      </c>
      <c r="R589" s="27" t="str">
        <f>IFERROR(VLOOKUP(B589,crm_orders!$A:$S,8,FALSE),"")</f>
        <v>SKU0001</v>
      </c>
    </row>
    <row r="590" ht="15.75" customHeight="1">
      <c r="A590" s="17" t="s">
        <v>3433</v>
      </c>
      <c r="B590" s="17" t="s">
        <v>1183</v>
      </c>
      <c r="C590" s="18">
        <v>46035.0</v>
      </c>
      <c r="D590" s="17" t="s">
        <v>2250</v>
      </c>
      <c r="E590" s="17" t="s">
        <v>2244</v>
      </c>
      <c r="F590" s="17" t="s">
        <v>3434</v>
      </c>
      <c r="G590" s="21">
        <v>12.0</v>
      </c>
      <c r="H590" s="21">
        <v>12.0</v>
      </c>
      <c r="I590" s="21">
        <v>0.0</v>
      </c>
      <c r="J590" s="17" t="s">
        <v>2246</v>
      </c>
      <c r="K590" s="17" t="s">
        <v>2247</v>
      </c>
      <c r="L590" s="17" t="s">
        <v>2246</v>
      </c>
      <c r="M590" s="17" t="s">
        <v>2248</v>
      </c>
      <c r="N590" s="21">
        <f>IFERROR((C590-VLOOKUP(B590,crm_orders!$A:$S,2,FALSE))*24,0)</f>
        <v>264</v>
      </c>
      <c r="O590" s="19" t="str">
        <f>IFERROR(VLOOKUP(B590,crm_orders!$A:$S,3,FALSE),"")</f>
        <v>DSP0007</v>
      </c>
      <c r="P590" s="19" t="str">
        <f>IFERROR(VLOOKUP(B590,crm_orders!$A:$S,5,FALSE),"")</f>
        <v>IL</v>
      </c>
      <c r="Q590" s="19" t="str">
        <f>IFERROR(VLOOKUP(B590,crm_orders!$A:$S,7,FALSE),"")</f>
        <v>Distributor</v>
      </c>
      <c r="R590" s="19" t="str">
        <f>IFERROR(VLOOKUP(B590,crm_orders!$A:$S,8,FALSE),"")</f>
        <v>SKU0011</v>
      </c>
    </row>
    <row r="591" ht="15.75" customHeight="1">
      <c r="A591" s="25" t="s">
        <v>3435</v>
      </c>
      <c r="B591" s="25" t="s">
        <v>660</v>
      </c>
      <c r="C591" s="26">
        <v>46036.0</v>
      </c>
      <c r="D591" s="25" t="s">
        <v>2254</v>
      </c>
      <c r="E591" s="25" t="s">
        <v>2261</v>
      </c>
      <c r="F591" s="25" t="s">
        <v>3436</v>
      </c>
      <c r="G591" s="29">
        <v>60.0</v>
      </c>
      <c r="H591" s="29">
        <v>60.0</v>
      </c>
      <c r="I591" s="29">
        <v>0.0</v>
      </c>
      <c r="J591" s="25" t="s">
        <v>2246</v>
      </c>
      <c r="K591" s="25" t="s">
        <v>2247</v>
      </c>
      <c r="L591" s="25" t="s">
        <v>2246</v>
      </c>
      <c r="M591" s="25" t="s">
        <v>2248</v>
      </c>
      <c r="N591" s="29">
        <f>IFERROR((C591-VLOOKUP(B591,crm_orders!$A:$S,2,FALSE))*24,0)</f>
        <v>216</v>
      </c>
      <c r="O591" s="27" t="str">
        <f>IFERROR(VLOOKUP(B591,crm_orders!$A:$S,3,FALSE),"")</f>
        <v>DSP0071</v>
      </c>
      <c r="P591" s="27" t="str">
        <f>IFERROR(VLOOKUP(B591,crm_orders!$A:$S,5,FALSE),"")</f>
        <v>NY</v>
      </c>
      <c r="Q591" s="27" t="str">
        <f>IFERROR(VLOOKUP(B591,crm_orders!$A:$S,7,FALSE),"")</f>
        <v>Retail</v>
      </c>
      <c r="R591" s="27" t="str">
        <f>IFERROR(VLOOKUP(B591,crm_orders!$A:$S,8,FALSE),"")</f>
        <v>SKU0010</v>
      </c>
    </row>
    <row r="592" ht="15.75" customHeight="1">
      <c r="A592" s="17" t="s">
        <v>3437</v>
      </c>
      <c r="B592" s="17" t="s">
        <v>1046</v>
      </c>
      <c r="C592" s="18">
        <v>46086.0</v>
      </c>
      <c r="D592" s="17" t="s">
        <v>2260</v>
      </c>
      <c r="E592" s="17" t="s">
        <v>2255</v>
      </c>
      <c r="F592" s="17" t="s">
        <v>3438</v>
      </c>
      <c r="G592" s="21">
        <v>48.0</v>
      </c>
      <c r="H592" s="21">
        <v>48.0</v>
      </c>
      <c r="I592" s="21">
        <v>0.0</v>
      </c>
      <c r="J592" s="17" t="s">
        <v>2247</v>
      </c>
      <c r="K592" s="17" t="s">
        <v>2247</v>
      </c>
      <c r="L592" s="17" t="s">
        <v>2247</v>
      </c>
      <c r="M592" s="17" t="s">
        <v>2248</v>
      </c>
      <c r="N592" s="21">
        <f>IFERROR((C592-VLOOKUP(B592,crm_orders!$A:$S,2,FALSE))*24,0)</f>
        <v>144</v>
      </c>
      <c r="O592" s="19" t="str">
        <f>IFERROR(VLOOKUP(B592,crm_orders!$A:$S,3,FALSE),"")</f>
        <v>DSP0083</v>
      </c>
      <c r="P592" s="19" t="str">
        <f>IFERROR(VLOOKUP(B592,crm_orders!$A:$S,5,FALSE),"")</f>
        <v>NY</v>
      </c>
      <c r="Q592" s="19" t="str">
        <f>IFERROR(VLOOKUP(B592,crm_orders!$A:$S,7,FALSE),"")</f>
        <v>Wholesale</v>
      </c>
      <c r="R592" s="19" t="str">
        <f>IFERROR(VLOOKUP(B592,crm_orders!$A:$S,8,FALSE),"")</f>
        <v>SKU0012</v>
      </c>
    </row>
    <row r="593" ht="15.75" customHeight="1">
      <c r="A593" s="25" t="s">
        <v>3439</v>
      </c>
      <c r="B593" s="25" t="s">
        <v>826</v>
      </c>
      <c r="C593" s="26">
        <v>46131.0</v>
      </c>
      <c r="D593" s="25" t="s">
        <v>2243</v>
      </c>
      <c r="E593" s="25" t="s">
        <v>2251</v>
      </c>
      <c r="F593" s="25" t="s">
        <v>3440</v>
      </c>
      <c r="G593" s="29">
        <v>60.0</v>
      </c>
      <c r="H593" s="29">
        <v>60.0</v>
      </c>
      <c r="I593" s="29">
        <v>0.0</v>
      </c>
      <c r="J593" s="25" t="s">
        <v>2246</v>
      </c>
      <c r="K593" s="25" t="s">
        <v>2247</v>
      </c>
      <c r="L593" s="25" t="s">
        <v>2246</v>
      </c>
      <c r="M593" s="25" t="s">
        <v>2248</v>
      </c>
      <c r="N593" s="29">
        <f>IFERROR((C593-VLOOKUP(B593,crm_orders!$A:$S,2,FALSE))*24,0)</f>
        <v>168</v>
      </c>
      <c r="O593" s="27" t="str">
        <f>IFERROR(VLOOKUP(B593,crm_orders!$A:$S,3,FALSE),"")</f>
        <v>DSP0054</v>
      </c>
      <c r="P593" s="27" t="str">
        <f>IFERROR(VLOOKUP(B593,crm_orders!$A:$S,5,FALSE),"")</f>
        <v>NV</v>
      </c>
      <c r="Q593" s="27" t="str">
        <f>IFERROR(VLOOKUP(B593,crm_orders!$A:$S,7,FALSE),"")</f>
        <v>Wholesale</v>
      </c>
      <c r="R593" s="27" t="str">
        <f>IFERROR(VLOOKUP(B593,crm_orders!$A:$S,8,FALSE),"")</f>
        <v>SKU0012</v>
      </c>
    </row>
    <row r="594" ht="15.75" customHeight="1">
      <c r="A594" s="17" t="s">
        <v>3441</v>
      </c>
      <c r="B594" s="17" t="s">
        <v>1185</v>
      </c>
      <c r="C594" s="18">
        <v>46056.0</v>
      </c>
      <c r="D594" s="17" t="s">
        <v>2260</v>
      </c>
      <c r="E594" s="17" t="s">
        <v>2255</v>
      </c>
      <c r="F594" s="17" t="s">
        <v>3442</v>
      </c>
      <c r="G594" s="21">
        <v>24.0</v>
      </c>
      <c r="H594" s="21">
        <v>24.0</v>
      </c>
      <c r="I594" s="21">
        <v>0.0</v>
      </c>
      <c r="J594" s="17" t="s">
        <v>2246</v>
      </c>
      <c r="K594" s="17" t="s">
        <v>2247</v>
      </c>
      <c r="L594" s="17" t="s">
        <v>2246</v>
      </c>
      <c r="M594" s="17" t="s">
        <v>2248</v>
      </c>
      <c r="N594" s="21">
        <f>IFERROR((C594-VLOOKUP(B594,crm_orders!$A:$S,2,FALSE))*24,0)</f>
        <v>264</v>
      </c>
      <c r="O594" s="19" t="str">
        <f>IFERROR(VLOOKUP(B594,crm_orders!$A:$S,3,FALSE),"")</f>
        <v>DSP0062</v>
      </c>
      <c r="P594" s="19" t="str">
        <f>IFERROR(VLOOKUP(B594,crm_orders!$A:$S,5,FALSE),"")</f>
        <v>WA</v>
      </c>
      <c r="Q594" s="19" t="str">
        <f>IFERROR(VLOOKUP(B594,crm_orders!$A:$S,7,FALSE),"")</f>
        <v>Retail</v>
      </c>
      <c r="R594" s="19" t="str">
        <f>IFERROR(VLOOKUP(B594,crm_orders!$A:$S,8,FALSE),"")</f>
        <v>SKU0005</v>
      </c>
    </row>
    <row r="595" ht="15.75" customHeight="1">
      <c r="A595" s="25" t="s">
        <v>3443</v>
      </c>
      <c r="B595" s="25" t="s">
        <v>1186</v>
      </c>
      <c r="C595" s="26">
        <v>46076.0</v>
      </c>
      <c r="D595" s="25" t="s">
        <v>2250</v>
      </c>
      <c r="E595" s="25" t="s">
        <v>2251</v>
      </c>
      <c r="F595" s="25" t="s">
        <v>3444</v>
      </c>
      <c r="G595" s="29">
        <v>30.0</v>
      </c>
      <c r="H595" s="29">
        <v>30.0</v>
      </c>
      <c r="I595" s="29">
        <v>0.0</v>
      </c>
      <c r="J595" s="25" t="s">
        <v>2247</v>
      </c>
      <c r="K595" s="25" t="s">
        <v>2247</v>
      </c>
      <c r="L595" s="25" t="s">
        <v>2247</v>
      </c>
      <c r="M595" s="25" t="s">
        <v>2248</v>
      </c>
      <c r="N595" s="29">
        <f>IFERROR((C595-VLOOKUP(B595,crm_orders!$A:$S,2,FALSE))*24,0)</f>
        <v>192</v>
      </c>
      <c r="O595" s="27" t="str">
        <f>IFERROR(VLOOKUP(B595,crm_orders!$A:$S,3,FALSE),"")</f>
        <v>DSP0007</v>
      </c>
      <c r="P595" s="27" t="str">
        <f>IFERROR(VLOOKUP(B595,crm_orders!$A:$S,5,FALSE),"")</f>
        <v>IL</v>
      </c>
      <c r="Q595" s="27" t="str">
        <f>IFERROR(VLOOKUP(B595,crm_orders!$A:$S,7,FALSE),"")</f>
        <v>Distributor</v>
      </c>
      <c r="R595" s="27" t="str">
        <f>IFERROR(VLOOKUP(B595,crm_orders!$A:$S,8,FALSE),"")</f>
        <v>SKU0001</v>
      </c>
    </row>
    <row r="596" ht="15.75" customHeight="1">
      <c r="A596" s="17" t="s">
        <v>3445</v>
      </c>
      <c r="B596" s="17" t="s">
        <v>408</v>
      </c>
      <c r="C596" s="18">
        <v>46108.0</v>
      </c>
      <c r="D596" s="17" t="s">
        <v>2243</v>
      </c>
      <c r="E596" s="17" t="s">
        <v>2251</v>
      </c>
      <c r="F596" s="17" t="s">
        <v>3446</v>
      </c>
      <c r="G596" s="21">
        <v>24.0</v>
      </c>
      <c r="H596" s="21">
        <v>24.0</v>
      </c>
      <c r="I596" s="21">
        <v>0.0</v>
      </c>
      <c r="J596" s="17" t="s">
        <v>2247</v>
      </c>
      <c r="K596" s="17" t="s">
        <v>2247</v>
      </c>
      <c r="L596" s="17" t="s">
        <v>2247</v>
      </c>
      <c r="M596" s="17" t="s">
        <v>2248</v>
      </c>
      <c r="N596" s="21">
        <f>IFERROR((C596-VLOOKUP(B596,crm_orders!$A:$S,2,FALSE))*24,0)</f>
        <v>144</v>
      </c>
      <c r="O596" s="19" t="str">
        <f>IFERROR(VLOOKUP(B596,crm_orders!$A:$S,3,FALSE),"")</f>
        <v>DSP0056</v>
      </c>
      <c r="P596" s="19" t="str">
        <f>IFERROR(VLOOKUP(B596,crm_orders!$A:$S,5,FALSE),"")</f>
        <v>MI</v>
      </c>
      <c r="Q596" s="19" t="str">
        <f>IFERROR(VLOOKUP(B596,crm_orders!$A:$S,7,FALSE),"")</f>
        <v>Wholesale</v>
      </c>
      <c r="R596" s="19" t="str">
        <f>IFERROR(VLOOKUP(B596,crm_orders!$A:$S,8,FALSE),"")</f>
        <v>SKU0004</v>
      </c>
    </row>
    <row r="597" ht="15.75" customHeight="1">
      <c r="A597" s="25" t="s">
        <v>3447</v>
      </c>
      <c r="B597" s="25" t="s">
        <v>258</v>
      </c>
      <c r="C597" s="26">
        <v>46061.0</v>
      </c>
      <c r="D597" s="25" t="s">
        <v>2250</v>
      </c>
      <c r="E597" s="25" t="s">
        <v>2251</v>
      </c>
      <c r="F597" s="25" t="s">
        <v>3448</v>
      </c>
      <c r="G597" s="29">
        <v>18.0</v>
      </c>
      <c r="H597" s="29">
        <v>18.0</v>
      </c>
      <c r="I597" s="29">
        <v>0.0</v>
      </c>
      <c r="J597" s="25" t="s">
        <v>2246</v>
      </c>
      <c r="K597" s="25" t="s">
        <v>2247</v>
      </c>
      <c r="L597" s="25" t="s">
        <v>2246</v>
      </c>
      <c r="M597" s="25" t="s">
        <v>2248</v>
      </c>
      <c r="N597" s="29">
        <f>IFERROR((C597-VLOOKUP(B597,crm_orders!$A:$S,2,FALSE))*24,0)</f>
        <v>96</v>
      </c>
      <c r="O597" s="27" t="str">
        <f>IFERROR(VLOOKUP(B597,crm_orders!$A:$S,3,FALSE),"")</f>
        <v>DSP0099</v>
      </c>
      <c r="P597" s="27" t="str">
        <f>IFERROR(VLOOKUP(B597,crm_orders!$A:$S,5,FALSE),"")</f>
        <v>CA</v>
      </c>
      <c r="Q597" s="27" t="str">
        <f>IFERROR(VLOOKUP(B597,crm_orders!$A:$S,7,FALSE),"")</f>
        <v>Wholesale</v>
      </c>
      <c r="R597" s="27" t="str">
        <f>IFERROR(VLOOKUP(B597,crm_orders!$A:$S,8,FALSE),"")</f>
        <v>SKU0018</v>
      </c>
    </row>
    <row r="598" ht="15.75" customHeight="1">
      <c r="A598" s="17" t="s">
        <v>3449</v>
      </c>
      <c r="B598" s="17" t="s">
        <v>519</v>
      </c>
      <c r="C598" s="18">
        <v>46133.0</v>
      </c>
      <c r="D598" s="17" t="s">
        <v>2269</v>
      </c>
      <c r="E598" s="17" t="s">
        <v>2244</v>
      </c>
      <c r="F598" s="17" t="s">
        <v>3450</v>
      </c>
      <c r="G598" s="21">
        <v>12.0</v>
      </c>
      <c r="H598" s="21">
        <v>12.0</v>
      </c>
      <c r="I598" s="21">
        <v>0.0</v>
      </c>
      <c r="J598" s="17" t="s">
        <v>2246</v>
      </c>
      <c r="K598" s="17" t="s">
        <v>2247</v>
      </c>
      <c r="L598" s="17" t="s">
        <v>2246</v>
      </c>
      <c r="M598" s="17" t="s">
        <v>2248</v>
      </c>
      <c r="N598" s="21">
        <f>IFERROR((C598-VLOOKUP(B598,crm_orders!$A:$S,2,FALSE))*24,0)</f>
        <v>72</v>
      </c>
      <c r="O598" s="19" t="str">
        <f>IFERROR(VLOOKUP(B598,crm_orders!$A:$S,3,FALSE),"")</f>
        <v>DSP0057</v>
      </c>
      <c r="P598" s="19" t="str">
        <f>IFERROR(VLOOKUP(B598,crm_orders!$A:$S,5,FALSE),"")</f>
        <v>MO</v>
      </c>
      <c r="Q598" s="19" t="str">
        <f>IFERROR(VLOOKUP(B598,crm_orders!$A:$S,7,FALSE),"")</f>
        <v>Wholesale</v>
      </c>
      <c r="R598" s="19" t="str">
        <f>IFERROR(VLOOKUP(B598,crm_orders!$A:$S,8,FALSE),"")</f>
        <v>SKU0015</v>
      </c>
    </row>
    <row r="599" ht="15.75" customHeight="1">
      <c r="A599" s="25" t="s">
        <v>3451</v>
      </c>
      <c r="B599" s="25" t="s">
        <v>520</v>
      </c>
      <c r="C599" s="26">
        <v>46110.0</v>
      </c>
      <c r="D599" s="25" t="s">
        <v>2250</v>
      </c>
      <c r="E599" s="25" t="s">
        <v>2255</v>
      </c>
      <c r="F599" s="25" t="s">
        <v>3452</v>
      </c>
      <c r="G599" s="29">
        <v>12.0</v>
      </c>
      <c r="H599" s="29">
        <v>12.0</v>
      </c>
      <c r="I599" s="29">
        <v>0.0</v>
      </c>
      <c r="J599" s="25" t="s">
        <v>2246</v>
      </c>
      <c r="K599" s="25" t="s">
        <v>2247</v>
      </c>
      <c r="L599" s="25" t="s">
        <v>2246</v>
      </c>
      <c r="M599" s="25" t="s">
        <v>2248</v>
      </c>
      <c r="N599" s="29">
        <f>IFERROR((C599-VLOOKUP(B599,crm_orders!$A:$S,2,FALSE))*24,0)</f>
        <v>168</v>
      </c>
      <c r="O599" s="27" t="str">
        <f>IFERROR(VLOOKUP(B599,crm_orders!$A:$S,3,FALSE),"")</f>
        <v>DSP0014</v>
      </c>
      <c r="P599" s="27" t="str">
        <f>IFERROR(VLOOKUP(B599,crm_orders!$A:$S,5,FALSE),"")</f>
        <v>WA</v>
      </c>
      <c r="Q599" s="27" t="str">
        <f>IFERROR(VLOOKUP(B599,crm_orders!$A:$S,7,FALSE),"")</f>
        <v>Wholesale</v>
      </c>
      <c r="R599" s="27" t="str">
        <f>IFERROR(VLOOKUP(B599,crm_orders!$A:$S,8,FALSE),"")</f>
        <v>SKU0006</v>
      </c>
    </row>
    <row r="600" ht="15.75" customHeight="1">
      <c r="A600" s="17" t="s">
        <v>3453</v>
      </c>
      <c r="B600" s="17" t="s">
        <v>143</v>
      </c>
      <c r="C600" s="18">
        <v>46046.0</v>
      </c>
      <c r="D600" s="17" t="s">
        <v>2250</v>
      </c>
      <c r="E600" s="17" t="s">
        <v>2251</v>
      </c>
      <c r="F600" s="17" t="s">
        <v>3454</v>
      </c>
      <c r="G600" s="21">
        <v>120.0</v>
      </c>
      <c r="H600" s="21">
        <v>96.0</v>
      </c>
      <c r="I600" s="21">
        <v>24.0</v>
      </c>
      <c r="J600" s="17" t="s">
        <v>2247</v>
      </c>
      <c r="K600" s="17" t="s">
        <v>2246</v>
      </c>
      <c r="L600" s="17" t="s">
        <v>2246</v>
      </c>
      <c r="M600" s="17" t="s">
        <v>2267</v>
      </c>
      <c r="N600" s="21">
        <f>IFERROR((C600-VLOOKUP(B600,crm_orders!$A:$S,2,FALSE))*24,0)</f>
        <v>96</v>
      </c>
      <c r="O600" s="19" t="str">
        <f>IFERROR(VLOOKUP(B600,crm_orders!$A:$S,3,FALSE),"")</f>
        <v>DSP0064</v>
      </c>
      <c r="P600" s="19" t="str">
        <f>IFERROR(VLOOKUP(B600,crm_orders!$A:$S,5,FALSE),"")</f>
        <v>CO</v>
      </c>
      <c r="Q600" s="19" t="str">
        <f>IFERROR(VLOOKUP(B600,crm_orders!$A:$S,7,FALSE),"")</f>
        <v>Wholesale</v>
      </c>
      <c r="R600" s="19" t="str">
        <f>IFERROR(VLOOKUP(B600,crm_orders!$A:$S,8,FALSE),"")</f>
        <v>SKU0004</v>
      </c>
    </row>
    <row r="601" ht="15.75" customHeight="1">
      <c r="A601" s="25" t="s">
        <v>3455</v>
      </c>
      <c r="B601" s="25" t="s">
        <v>260</v>
      </c>
      <c r="C601" s="26">
        <v>46049.0</v>
      </c>
      <c r="D601" s="25" t="s">
        <v>2260</v>
      </c>
      <c r="E601" s="25" t="s">
        <v>2244</v>
      </c>
      <c r="F601" s="25" t="s">
        <v>3456</v>
      </c>
      <c r="G601" s="29">
        <v>72.0</v>
      </c>
      <c r="H601" s="29">
        <v>72.0</v>
      </c>
      <c r="I601" s="29">
        <v>0.0</v>
      </c>
      <c r="J601" s="25" t="s">
        <v>2247</v>
      </c>
      <c r="K601" s="25" t="s">
        <v>2247</v>
      </c>
      <c r="L601" s="25" t="s">
        <v>2247</v>
      </c>
      <c r="M601" s="25" t="s">
        <v>2248</v>
      </c>
      <c r="N601" s="29">
        <f>IFERROR((C601-VLOOKUP(B601,crm_orders!$A:$S,2,FALSE))*24,0)</f>
        <v>168</v>
      </c>
      <c r="O601" s="27" t="str">
        <f>IFERROR(VLOOKUP(B601,crm_orders!$A:$S,3,FALSE),"")</f>
        <v>DSP0081</v>
      </c>
      <c r="P601" s="27" t="str">
        <f>IFERROR(VLOOKUP(B601,crm_orders!$A:$S,5,FALSE),"")</f>
        <v>MO</v>
      </c>
      <c r="Q601" s="27" t="str">
        <f>IFERROR(VLOOKUP(B601,crm_orders!$A:$S,7,FALSE),"")</f>
        <v>Distributor</v>
      </c>
      <c r="R601" s="27" t="str">
        <f>IFERROR(VLOOKUP(B601,crm_orders!$A:$S,8,FALSE),"")</f>
        <v>SKU0008</v>
      </c>
    </row>
    <row r="602" ht="15.75" customHeight="1">
      <c r="A602" s="17" t="s">
        <v>3457</v>
      </c>
      <c r="B602" s="17" t="s">
        <v>661</v>
      </c>
      <c r="C602" s="18">
        <v>46128.0</v>
      </c>
      <c r="D602" s="17" t="s">
        <v>2260</v>
      </c>
      <c r="E602" s="17" t="s">
        <v>2261</v>
      </c>
      <c r="F602" s="17" t="s">
        <v>3458</v>
      </c>
      <c r="G602" s="21">
        <v>120.0</v>
      </c>
      <c r="H602" s="21">
        <v>120.0</v>
      </c>
      <c r="I602" s="21">
        <v>0.0</v>
      </c>
      <c r="J602" s="17" t="s">
        <v>2246</v>
      </c>
      <c r="K602" s="17" t="s">
        <v>2247</v>
      </c>
      <c r="L602" s="17" t="s">
        <v>2246</v>
      </c>
      <c r="M602" s="17" t="s">
        <v>2248</v>
      </c>
      <c r="N602" s="21">
        <f>IFERROR((C602-VLOOKUP(B602,crm_orders!$A:$S,2,FALSE))*24,0)</f>
        <v>96</v>
      </c>
      <c r="O602" s="19" t="str">
        <f>IFERROR(VLOOKUP(B602,crm_orders!$A:$S,3,FALSE),"")</f>
        <v>DSP0110</v>
      </c>
      <c r="P602" s="19" t="str">
        <f>IFERROR(VLOOKUP(B602,crm_orders!$A:$S,5,FALSE),"")</f>
        <v>WA</v>
      </c>
      <c r="Q602" s="19" t="str">
        <f>IFERROR(VLOOKUP(B602,crm_orders!$A:$S,7,FALSE),"")</f>
        <v>Wholesale</v>
      </c>
      <c r="R602" s="19" t="str">
        <f>IFERROR(VLOOKUP(B602,crm_orders!$A:$S,8,FALSE),"")</f>
        <v>SKU0017</v>
      </c>
    </row>
    <row r="603" ht="15.75" customHeight="1">
      <c r="A603" s="25" t="s">
        <v>3459</v>
      </c>
      <c r="B603" s="25" t="s">
        <v>827</v>
      </c>
      <c r="C603" s="26">
        <v>46076.0</v>
      </c>
      <c r="D603" s="25" t="s">
        <v>2254</v>
      </c>
      <c r="E603" s="25" t="s">
        <v>2244</v>
      </c>
      <c r="F603" s="25" t="s">
        <v>3460</v>
      </c>
      <c r="G603" s="29">
        <v>36.0</v>
      </c>
      <c r="H603" s="29">
        <v>36.0</v>
      </c>
      <c r="I603" s="29">
        <v>0.0</v>
      </c>
      <c r="J603" s="25" t="s">
        <v>2246</v>
      </c>
      <c r="K603" s="25" t="s">
        <v>2247</v>
      </c>
      <c r="L603" s="25" t="s">
        <v>2246</v>
      </c>
      <c r="M603" s="25" t="s">
        <v>2248</v>
      </c>
      <c r="N603" s="29">
        <f>IFERROR((C603-VLOOKUP(B603,crm_orders!$A:$S,2,FALSE))*24,0)</f>
        <v>240</v>
      </c>
      <c r="O603" s="27" t="str">
        <f>IFERROR(VLOOKUP(B603,crm_orders!$A:$S,3,FALSE),"")</f>
        <v>DSP0009</v>
      </c>
      <c r="P603" s="27" t="str">
        <f>IFERROR(VLOOKUP(B603,crm_orders!$A:$S,5,FALSE),"")</f>
        <v>MO</v>
      </c>
      <c r="Q603" s="27" t="str">
        <f>IFERROR(VLOOKUP(B603,crm_orders!$A:$S,7,FALSE),"")</f>
        <v>Wholesale</v>
      </c>
      <c r="R603" s="27" t="str">
        <f>IFERROR(VLOOKUP(B603,crm_orders!$A:$S,8,FALSE),"")</f>
        <v>SKU0003</v>
      </c>
    </row>
    <row r="604" ht="15.75" customHeight="1">
      <c r="A604" s="17" t="s">
        <v>3461</v>
      </c>
      <c r="B604" s="17" t="s">
        <v>1047</v>
      </c>
      <c r="C604" s="18">
        <v>46147.0</v>
      </c>
      <c r="D604" s="17" t="s">
        <v>2260</v>
      </c>
      <c r="E604" s="17" t="s">
        <v>2261</v>
      </c>
      <c r="F604" s="17" t="s">
        <v>3462</v>
      </c>
      <c r="G604" s="21">
        <v>96.0</v>
      </c>
      <c r="H604" s="21">
        <v>96.0</v>
      </c>
      <c r="I604" s="21">
        <v>0.0</v>
      </c>
      <c r="J604" s="17" t="s">
        <v>2247</v>
      </c>
      <c r="K604" s="17" t="s">
        <v>2247</v>
      </c>
      <c r="L604" s="17" t="s">
        <v>2247</v>
      </c>
      <c r="M604" s="17" t="s">
        <v>2248</v>
      </c>
      <c r="N604" s="21">
        <f>IFERROR((C604-VLOOKUP(B604,crm_orders!$A:$S,2,FALSE))*24,0)</f>
        <v>216</v>
      </c>
      <c r="O604" s="19" t="str">
        <f>IFERROR(VLOOKUP(B604,crm_orders!$A:$S,3,FALSE),"")</f>
        <v>DSP0083</v>
      </c>
      <c r="P604" s="19" t="str">
        <f>IFERROR(VLOOKUP(B604,crm_orders!$A:$S,5,FALSE),"")</f>
        <v>NY</v>
      </c>
      <c r="Q604" s="19" t="str">
        <f>IFERROR(VLOOKUP(B604,crm_orders!$A:$S,7,FALSE),"")</f>
        <v>Retail</v>
      </c>
      <c r="R604" s="19" t="str">
        <f>IFERROR(VLOOKUP(B604,crm_orders!$A:$S,8,FALSE),"")</f>
        <v>SKU0005</v>
      </c>
    </row>
    <row r="605" ht="15.75" customHeight="1">
      <c r="A605" s="25" t="s">
        <v>3463</v>
      </c>
      <c r="B605" s="25" t="s">
        <v>261</v>
      </c>
      <c r="C605" s="26">
        <v>46139.0</v>
      </c>
      <c r="D605" s="25" t="s">
        <v>2269</v>
      </c>
      <c r="E605" s="25" t="s">
        <v>2261</v>
      </c>
      <c r="F605" s="25" t="s">
        <v>3464</v>
      </c>
      <c r="G605" s="29">
        <v>30.0</v>
      </c>
      <c r="H605" s="29">
        <v>30.0</v>
      </c>
      <c r="I605" s="29">
        <v>0.0</v>
      </c>
      <c r="J605" s="25" t="s">
        <v>2247</v>
      </c>
      <c r="K605" s="25" t="s">
        <v>2247</v>
      </c>
      <c r="L605" s="25" t="s">
        <v>2247</v>
      </c>
      <c r="M605" s="25" t="s">
        <v>2248</v>
      </c>
      <c r="N605" s="29">
        <f>IFERROR((C605-VLOOKUP(B605,crm_orders!$A:$S,2,FALSE))*24,0)</f>
        <v>120</v>
      </c>
      <c r="O605" s="27" t="str">
        <f>IFERROR(VLOOKUP(B605,crm_orders!$A:$S,3,FALSE),"")</f>
        <v>DSP0114</v>
      </c>
      <c r="P605" s="27" t="str">
        <f>IFERROR(VLOOKUP(B605,crm_orders!$A:$S,5,FALSE),"")</f>
        <v>NV</v>
      </c>
      <c r="Q605" s="27" t="str">
        <f>IFERROR(VLOOKUP(B605,crm_orders!$A:$S,7,FALSE),"")</f>
        <v>Wholesale</v>
      </c>
      <c r="R605" s="27" t="str">
        <f>IFERROR(VLOOKUP(B605,crm_orders!$A:$S,8,FALSE),"")</f>
        <v>SKU0018</v>
      </c>
    </row>
    <row r="606" ht="15.75" customHeight="1">
      <c r="A606" s="17" t="s">
        <v>3465</v>
      </c>
      <c r="B606" s="17" t="s">
        <v>662</v>
      </c>
      <c r="C606" s="18">
        <v>46089.0</v>
      </c>
      <c r="D606" s="17" t="s">
        <v>2243</v>
      </c>
      <c r="E606" s="17" t="s">
        <v>2261</v>
      </c>
      <c r="F606" s="17" t="s">
        <v>3466</v>
      </c>
      <c r="G606" s="21">
        <v>120.0</v>
      </c>
      <c r="H606" s="21">
        <v>120.0</v>
      </c>
      <c r="I606" s="21">
        <v>0.0</v>
      </c>
      <c r="J606" s="17" t="s">
        <v>2246</v>
      </c>
      <c r="K606" s="17" t="s">
        <v>2247</v>
      </c>
      <c r="L606" s="17" t="s">
        <v>2246</v>
      </c>
      <c r="M606" s="17" t="s">
        <v>2248</v>
      </c>
      <c r="N606" s="21">
        <f>IFERROR((C606-VLOOKUP(B606,crm_orders!$A:$S,2,FALSE))*24,0)</f>
        <v>216</v>
      </c>
      <c r="O606" s="19" t="str">
        <f>IFERROR(VLOOKUP(B606,crm_orders!$A:$S,3,FALSE),"")</f>
        <v>DSP0019</v>
      </c>
      <c r="P606" s="19" t="str">
        <f>IFERROR(VLOOKUP(B606,crm_orders!$A:$S,5,FALSE),"")</f>
        <v>IL</v>
      </c>
      <c r="Q606" s="19" t="str">
        <f>IFERROR(VLOOKUP(B606,crm_orders!$A:$S,7,FALSE),"")</f>
        <v>Retail</v>
      </c>
      <c r="R606" s="19" t="str">
        <f>IFERROR(VLOOKUP(B606,crm_orders!$A:$S,8,FALSE),"")</f>
        <v>SKU0013</v>
      </c>
    </row>
    <row r="607" ht="15.75" customHeight="1">
      <c r="A607" s="25" t="s">
        <v>3467</v>
      </c>
      <c r="B607" s="25" t="s">
        <v>409</v>
      </c>
      <c r="C607" s="26">
        <v>46128.0</v>
      </c>
      <c r="D607" s="25" t="s">
        <v>2243</v>
      </c>
      <c r="E607" s="25" t="s">
        <v>2286</v>
      </c>
      <c r="F607" s="25" t="s">
        <v>3468</v>
      </c>
      <c r="G607" s="29">
        <v>24.0</v>
      </c>
      <c r="H607" s="29">
        <v>24.0</v>
      </c>
      <c r="I607" s="29">
        <v>0.0</v>
      </c>
      <c r="J607" s="25" t="s">
        <v>2247</v>
      </c>
      <c r="K607" s="25" t="s">
        <v>2247</v>
      </c>
      <c r="L607" s="25" t="s">
        <v>2247</v>
      </c>
      <c r="M607" s="25" t="s">
        <v>2248</v>
      </c>
      <c r="N607" s="29">
        <f>IFERROR((C607-VLOOKUP(B607,crm_orders!$A:$S,2,FALSE))*24,0)</f>
        <v>144</v>
      </c>
      <c r="O607" s="27" t="str">
        <f>IFERROR(VLOOKUP(B607,crm_orders!$A:$S,3,FALSE),"")</f>
        <v>DSP0101</v>
      </c>
      <c r="P607" s="27" t="str">
        <f>IFERROR(VLOOKUP(B607,crm_orders!$A:$S,5,FALSE),"")</f>
        <v>AZ</v>
      </c>
      <c r="Q607" s="27" t="str">
        <f>IFERROR(VLOOKUP(B607,crm_orders!$A:$S,7,FALSE),"")</f>
        <v>Wholesale</v>
      </c>
      <c r="R607" s="27" t="str">
        <f>IFERROR(VLOOKUP(B607,crm_orders!$A:$S,8,FALSE),"")</f>
        <v>SKU0013</v>
      </c>
    </row>
    <row r="608" ht="15.75" customHeight="1">
      <c r="A608" s="17" t="s">
        <v>3469</v>
      </c>
      <c r="B608" s="17" t="s">
        <v>410</v>
      </c>
      <c r="C608" s="18">
        <v>46098.0</v>
      </c>
      <c r="D608" s="17" t="s">
        <v>2269</v>
      </c>
      <c r="E608" s="17" t="s">
        <v>2286</v>
      </c>
      <c r="F608" s="17" t="s">
        <v>3470</v>
      </c>
      <c r="G608" s="21">
        <v>30.0</v>
      </c>
      <c r="H608" s="21">
        <v>30.0</v>
      </c>
      <c r="I608" s="21">
        <v>0.0</v>
      </c>
      <c r="J608" s="17" t="s">
        <v>2247</v>
      </c>
      <c r="K608" s="17" t="s">
        <v>2247</v>
      </c>
      <c r="L608" s="17" t="s">
        <v>2247</v>
      </c>
      <c r="M608" s="17" t="s">
        <v>2248</v>
      </c>
      <c r="N608" s="21">
        <f>IFERROR((C608-VLOOKUP(B608,crm_orders!$A:$S,2,FALSE))*24,0)</f>
        <v>144</v>
      </c>
      <c r="O608" s="19" t="str">
        <f>IFERROR(VLOOKUP(B608,crm_orders!$A:$S,3,FALSE),"")</f>
        <v>DSP0017</v>
      </c>
      <c r="P608" s="19" t="str">
        <f>IFERROR(VLOOKUP(B608,crm_orders!$A:$S,5,FALSE),"")</f>
        <v>AZ</v>
      </c>
      <c r="Q608" s="19" t="str">
        <f>IFERROR(VLOOKUP(B608,crm_orders!$A:$S,7,FALSE),"")</f>
        <v>Wholesale</v>
      </c>
      <c r="R608" s="19" t="str">
        <f>IFERROR(VLOOKUP(B608,crm_orders!$A:$S,8,FALSE),"")</f>
        <v>SKU0017</v>
      </c>
    </row>
    <row r="609" ht="15.75" customHeight="1">
      <c r="A609" s="25" t="s">
        <v>3471</v>
      </c>
      <c r="B609" s="25" t="s">
        <v>663</v>
      </c>
      <c r="C609" s="26">
        <v>46107.0</v>
      </c>
      <c r="D609" s="25" t="s">
        <v>2260</v>
      </c>
      <c r="E609" s="25" t="s">
        <v>2251</v>
      </c>
      <c r="F609" s="25" t="s">
        <v>3472</v>
      </c>
      <c r="G609" s="29">
        <v>30.0</v>
      </c>
      <c r="H609" s="29">
        <v>30.0</v>
      </c>
      <c r="I609" s="29">
        <v>0.0</v>
      </c>
      <c r="J609" s="25" t="s">
        <v>2247</v>
      </c>
      <c r="K609" s="25" t="s">
        <v>2247</v>
      </c>
      <c r="L609" s="25" t="s">
        <v>2247</v>
      </c>
      <c r="M609" s="25" t="s">
        <v>2248</v>
      </c>
      <c r="N609" s="29">
        <f>IFERROR((C609-VLOOKUP(B609,crm_orders!$A:$S,2,FALSE))*24,0)</f>
        <v>216</v>
      </c>
      <c r="O609" s="27" t="str">
        <f>IFERROR(VLOOKUP(B609,crm_orders!$A:$S,3,FALSE),"")</f>
        <v>DSP0004</v>
      </c>
      <c r="P609" s="27" t="str">
        <f>IFERROR(VLOOKUP(B609,crm_orders!$A:$S,5,FALSE),"")</f>
        <v>CO</v>
      </c>
      <c r="Q609" s="27" t="str">
        <f>IFERROR(VLOOKUP(B609,crm_orders!$A:$S,7,FALSE),"")</f>
        <v>Retail</v>
      </c>
      <c r="R609" s="27" t="str">
        <f>IFERROR(VLOOKUP(B609,crm_orders!$A:$S,8,FALSE),"")</f>
        <v>SKU0018</v>
      </c>
    </row>
    <row r="610" ht="15.75" customHeight="1">
      <c r="A610" s="17" t="s">
        <v>3473</v>
      </c>
      <c r="B610" s="17" t="s">
        <v>411</v>
      </c>
      <c r="C610" s="18">
        <v>46105.0</v>
      </c>
      <c r="D610" s="17" t="s">
        <v>2250</v>
      </c>
      <c r="E610" s="17" t="s">
        <v>2261</v>
      </c>
      <c r="F610" s="17" t="s">
        <v>3474</v>
      </c>
      <c r="G610" s="21">
        <v>72.0</v>
      </c>
      <c r="H610" s="21">
        <v>72.0</v>
      </c>
      <c r="I610" s="21">
        <v>0.0</v>
      </c>
      <c r="J610" s="17" t="s">
        <v>2247</v>
      </c>
      <c r="K610" s="17" t="s">
        <v>2247</v>
      </c>
      <c r="L610" s="17" t="s">
        <v>2247</v>
      </c>
      <c r="M610" s="17" t="s">
        <v>2248</v>
      </c>
      <c r="N610" s="21">
        <f>IFERROR((C610-VLOOKUP(B610,crm_orders!$A:$S,2,FALSE))*24,0)</f>
        <v>48</v>
      </c>
      <c r="O610" s="19" t="str">
        <f>IFERROR(VLOOKUP(B610,crm_orders!$A:$S,3,FALSE),"")</f>
        <v>DSP0048</v>
      </c>
      <c r="P610" s="19" t="str">
        <f>IFERROR(VLOOKUP(B610,crm_orders!$A:$S,5,FALSE),"")</f>
        <v>OK</v>
      </c>
      <c r="Q610" s="19" t="str">
        <f>IFERROR(VLOOKUP(B610,crm_orders!$A:$S,7,FALSE),"")</f>
        <v>Retail</v>
      </c>
      <c r="R610" s="19" t="str">
        <f>IFERROR(VLOOKUP(B610,crm_orders!$A:$S,8,FALSE),"")</f>
        <v>SKU0009</v>
      </c>
    </row>
    <row r="611" ht="15.75" customHeight="1">
      <c r="A611" s="25" t="s">
        <v>3475</v>
      </c>
      <c r="B611" s="25" t="s">
        <v>665</v>
      </c>
      <c r="C611" s="26">
        <v>46111.0</v>
      </c>
      <c r="D611" s="25" t="s">
        <v>2243</v>
      </c>
      <c r="E611" s="25" t="s">
        <v>2286</v>
      </c>
      <c r="F611" s="25" t="s">
        <v>3476</v>
      </c>
      <c r="G611" s="29">
        <v>96.0</v>
      </c>
      <c r="H611" s="29">
        <v>96.0</v>
      </c>
      <c r="I611" s="29">
        <v>0.0</v>
      </c>
      <c r="J611" s="25" t="s">
        <v>2247</v>
      </c>
      <c r="K611" s="25" t="s">
        <v>2247</v>
      </c>
      <c r="L611" s="25" t="s">
        <v>2247</v>
      </c>
      <c r="M611" s="25" t="s">
        <v>2248</v>
      </c>
      <c r="N611" s="29">
        <f>IFERROR((C611-VLOOKUP(B611,crm_orders!$A:$S,2,FALSE))*24,0)</f>
        <v>72</v>
      </c>
      <c r="O611" s="27" t="str">
        <f>IFERROR(VLOOKUP(B611,crm_orders!$A:$S,3,FALSE),"")</f>
        <v>DSP0039</v>
      </c>
      <c r="P611" s="27" t="str">
        <f>IFERROR(VLOOKUP(B611,crm_orders!$A:$S,5,FALSE),"")</f>
        <v>CA</v>
      </c>
      <c r="Q611" s="27" t="str">
        <f>IFERROR(VLOOKUP(B611,crm_orders!$A:$S,7,FALSE),"")</f>
        <v>Wholesale</v>
      </c>
      <c r="R611" s="27" t="str">
        <f>IFERROR(VLOOKUP(B611,crm_orders!$A:$S,8,FALSE),"")</f>
        <v>SKU0010</v>
      </c>
    </row>
    <row r="612" ht="15.75" customHeight="1">
      <c r="A612" s="17" t="s">
        <v>3477</v>
      </c>
      <c r="B612" s="17" t="s">
        <v>933</v>
      </c>
      <c r="C612" s="18">
        <v>46090.0</v>
      </c>
      <c r="D612" s="17" t="s">
        <v>2250</v>
      </c>
      <c r="E612" s="17" t="s">
        <v>2251</v>
      </c>
      <c r="F612" s="17" t="s">
        <v>3478</v>
      </c>
      <c r="G612" s="21">
        <v>12.0</v>
      </c>
      <c r="H612" s="21">
        <v>12.0</v>
      </c>
      <c r="I612" s="21">
        <v>0.0</v>
      </c>
      <c r="J612" s="17" t="s">
        <v>2246</v>
      </c>
      <c r="K612" s="17" t="s">
        <v>2247</v>
      </c>
      <c r="L612" s="17" t="s">
        <v>2246</v>
      </c>
      <c r="M612" s="17" t="s">
        <v>2248</v>
      </c>
      <c r="N612" s="21">
        <f>IFERROR((C612-VLOOKUP(B612,crm_orders!$A:$S,2,FALSE))*24,0)</f>
        <v>240</v>
      </c>
      <c r="O612" s="19" t="str">
        <f>IFERROR(VLOOKUP(B612,crm_orders!$A:$S,3,FALSE),"")</f>
        <v>DSP0061</v>
      </c>
      <c r="P612" s="19" t="str">
        <f>IFERROR(VLOOKUP(B612,crm_orders!$A:$S,5,FALSE),"")</f>
        <v>OR</v>
      </c>
      <c r="Q612" s="19" t="str">
        <f>IFERROR(VLOOKUP(B612,crm_orders!$A:$S,7,FALSE),"")</f>
        <v>Wholesale</v>
      </c>
      <c r="R612" s="19" t="str">
        <f>IFERROR(VLOOKUP(B612,crm_orders!$A:$S,8,FALSE),"")</f>
        <v>SKU0007</v>
      </c>
    </row>
    <row r="613" ht="15.75" customHeight="1">
      <c r="A613" s="25" t="s">
        <v>3479</v>
      </c>
      <c r="B613" s="25" t="s">
        <v>144</v>
      </c>
      <c r="C613" s="26">
        <v>46110.0</v>
      </c>
      <c r="D613" s="25" t="s">
        <v>2250</v>
      </c>
      <c r="E613" s="25" t="s">
        <v>2286</v>
      </c>
      <c r="F613" s="25" t="s">
        <v>3480</v>
      </c>
      <c r="G613" s="29">
        <v>48.0</v>
      </c>
      <c r="H613" s="29">
        <v>48.0</v>
      </c>
      <c r="I613" s="29">
        <v>0.0</v>
      </c>
      <c r="J613" s="25" t="s">
        <v>2247</v>
      </c>
      <c r="K613" s="25" t="s">
        <v>2247</v>
      </c>
      <c r="L613" s="25" t="s">
        <v>2247</v>
      </c>
      <c r="M613" s="25" t="s">
        <v>2248</v>
      </c>
      <c r="N613" s="29">
        <f>IFERROR((C613-VLOOKUP(B613,crm_orders!$A:$S,2,FALSE))*24,0)</f>
        <v>144</v>
      </c>
      <c r="O613" s="27" t="str">
        <f>IFERROR(VLOOKUP(B613,crm_orders!$A:$S,3,FALSE),"")</f>
        <v>DSP0075</v>
      </c>
      <c r="P613" s="27" t="str">
        <f>IFERROR(VLOOKUP(B613,crm_orders!$A:$S,5,FALSE),"")</f>
        <v>CA</v>
      </c>
      <c r="Q613" s="27" t="str">
        <f>IFERROR(VLOOKUP(B613,crm_orders!$A:$S,7,FALSE),"")</f>
        <v>Distributor</v>
      </c>
      <c r="R613" s="27" t="str">
        <f>IFERROR(VLOOKUP(B613,crm_orders!$A:$S,8,FALSE),"")</f>
        <v>SKU0016</v>
      </c>
    </row>
    <row r="614" ht="15.75" customHeight="1">
      <c r="A614" s="17" t="s">
        <v>3481</v>
      </c>
      <c r="B614" s="17" t="s">
        <v>412</v>
      </c>
      <c r="C614" s="18">
        <v>46116.0</v>
      </c>
      <c r="D614" s="17" t="s">
        <v>2243</v>
      </c>
      <c r="E614" s="17" t="s">
        <v>2261</v>
      </c>
      <c r="F614" s="17" t="s">
        <v>3482</v>
      </c>
      <c r="G614" s="21">
        <v>60.0</v>
      </c>
      <c r="H614" s="21">
        <v>60.0</v>
      </c>
      <c r="I614" s="21">
        <v>0.0</v>
      </c>
      <c r="J614" s="17" t="s">
        <v>2247</v>
      </c>
      <c r="K614" s="17" t="s">
        <v>2247</v>
      </c>
      <c r="L614" s="17" t="s">
        <v>2247</v>
      </c>
      <c r="M614" s="17" t="s">
        <v>2248</v>
      </c>
      <c r="N614" s="21">
        <f>IFERROR((C614-VLOOKUP(B614,crm_orders!$A:$S,2,FALSE))*24,0)</f>
        <v>48</v>
      </c>
      <c r="O614" s="19" t="str">
        <f>IFERROR(VLOOKUP(B614,crm_orders!$A:$S,3,FALSE),"")</f>
        <v>DSP0017</v>
      </c>
      <c r="P614" s="19" t="str">
        <f>IFERROR(VLOOKUP(B614,crm_orders!$A:$S,5,FALSE),"")</f>
        <v>AZ</v>
      </c>
      <c r="Q614" s="19" t="str">
        <f>IFERROR(VLOOKUP(B614,crm_orders!$A:$S,7,FALSE),"")</f>
        <v>Distributor</v>
      </c>
      <c r="R614" s="19" t="str">
        <f>IFERROR(VLOOKUP(B614,crm_orders!$A:$S,8,FALSE),"")</f>
        <v>SKU0016</v>
      </c>
    </row>
    <row r="615" ht="15.75" customHeight="1">
      <c r="A615" s="25" t="s">
        <v>3483</v>
      </c>
      <c r="B615" s="25" t="s">
        <v>262</v>
      </c>
      <c r="C615" s="26">
        <v>46152.0</v>
      </c>
      <c r="D615" s="25" t="s">
        <v>2269</v>
      </c>
      <c r="E615" s="25" t="s">
        <v>2286</v>
      </c>
      <c r="F615" s="25" t="s">
        <v>3484</v>
      </c>
      <c r="G615" s="29">
        <v>72.0</v>
      </c>
      <c r="H615" s="29">
        <v>72.0</v>
      </c>
      <c r="I615" s="29">
        <v>0.0</v>
      </c>
      <c r="J615" s="25" t="s">
        <v>2246</v>
      </c>
      <c r="K615" s="25" t="s">
        <v>2247</v>
      </c>
      <c r="L615" s="25" t="s">
        <v>2246</v>
      </c>
      <c r="M615" s="25" t="s">
        <v>2248</v>
      </c>
      <c r="N615" s="29">
        <f>IFERROR((C615-VLOOKUP(B615,crm_orders!$A:$S,2,FALSE))*24,0)</f>
        <v>216</v>
      </c>
      <c r="O615" s="27" t="str">
        <f>IFERROR(VLOOKUP(B615,crm_orders!$A:$S,3,FALSE),"")</f>
        <v>DSP0005</v>
      </c>
      <c r="P615" s="27" t="str">
        <f>IFERROR(VLOOKUP(B615,crm_orders!$A:$S,5,FALSE),"")</f>
        <v>AZ</v>
      </c>
      <c r="Q615" s="27" t="str">
        <f>IFERROR(VLOOKUP(B615,crm_orders!$A:$S,7,FALSE),"")</f>
        <v>Wholesale</v>
      </c>
      <c r="R615" s="27" t="str">
        <f>IFERROR(VLOOKUP(B615,crm_orders!$A:$S,8,FALSE),"")</f>
        <v>SKU0006</v>
      </c>
    </row>
    <row r="616" ht="15.75" customHeight="1">
      <c r="A616" s="17" t="s">
        <v>3485</v>
      </c>
      <c r="B616" s="17" t="s">
        <v>413</v>
      </c>
      <c r="C616" s="18">
        <v>46094.0</v>
      </c>
      <c r="D616" s="17" t="s">
        <v>2243</v>
      </c>
      <c r="E616" s="17" t="s">
        <v>2251</v>
      </c>
      <c r="F616" s="17" t="s">
        <v>3486</v>
      </c>
      <c r="G616" s="21">
        <v>18.0</v>
      </c>
      <c r="H616" s="21">
        <v>18.0</v>
      </c>
      <c r="I616" s="21">
        <v>0.0</v>
      </c>
      <c r="J616" s="17" t="s">
        <v>2247</v>
      </c>
      <c r="K616" s="17" t="s">
        <v>2247</v>
      </c>
      <c r="L616" s="17" t="s">
        <v>2247</v>
      </c>
      <c r="M616" s="17" t="s">
        <v>2248</v>
      </c>
      <c r="N616" s="21">
        <f>IFERROR((C616-VLOOKUP(B616,crm_orders!$A:$S,2,FALSE))*24,0)</f>
        <v>120</v>
      </c>
      <c r="O616" s="19" t="str">
        <f>IFERROR(VLOOKUP(B616,crm_orders!$A:$S,3,FALSE),"")</f>
        <v>DSP0038</v>
      </c>
      <c r="P616" s="19" t="str">
        <f>IFERROR(VLOOKUP(B616,crm_orders!$A:$S,5,FALSE),"")</f>
        <v>WA</v>
      </c>
      <c r="Q616" s="19" t="str">
        <f>IFERROR(VLOOKUP(B616,crm_orders!$A:$S,7,FALSE),"")</f>
        <v>Wholesale</v>
      </c>
      <c r="R616" s="19" t="str">
        <f>IFERROR(VLOOKUP(B616,crm_orders!$A:$S,8,FALSE),"")</f>
        <v>SKU0002</v>
      </c>
    </row>
    <row r="617" ht="15.75" customHeight="1">
      <c r="A617" s="25" t="s">
        <v>3487</v>
      </c>
      <c r="B617" s="25" t="s">
        <v>667</v>
      </c>
      <c r="C617" s="26">
        <v>46081.0</v>
      </c>
      <c r="D617" s="25" t="s">
        <v>2250</v>
      </c>
      <c r="E617" s="25" t="s">
        <v>2244</v>
      </c>
      <c r="F617" s="25" t="s">
        <v>3488</v>
      </c>
      <c r="G617" s="29">
        <v>6.0</v>
      </c>
      <c r="H617" s="29">
        <v>6.0</v>
      </c>
      <c r="I617" s="29">
        <v>0.0</v>
      </c>
      <c r="J617" s="25" t="s">
        <v>2246</v>
      </c>
      <c r="K617" s="25" t="s">
        <v>2247</v>
      </c>
      <c r="L617" s="25" t="s">
        <v>2246</v>
      </c>
      <c r="M617" s="25" t="s">
        <v>2248</v>
      </c>
      <c r="N617" s="29">
        <f>IFERROR((C617-VLOOKUP(B617,crm_orders!$A:$S,2,FALSE))*24,0)</f>
        <v>120</v>
      </c>
      <c r="O617" s="27" t="str">
        <f>IFERROR(VLOOKUP(B617,crm_orders!$A:$S,3,FALSE),"")</f>
        <v>DSP0019</v>
      </c>
      <c r="P617" s="27" t="str">
        <f>IFERROR(VLOOKUP(B617,crm_orders!$A:$S,5,FALSE),"")</f>
        <v>IL</v>
      </c>
      <c r="Q617" s="27" t="str">
        <f>IFERROR(VLOOKUP(B617,crm_orders!$A:$S,7,FALSE),"")</f>
        <v>Wholesale</v>
      </c>
      <c r="R617" s="27" t="str">
        <f>IFERROR(VLOOKUP(B617,crm_orders!$A:$S,8,FALSE),"")</f>
        <v>SKU0019</v>
      </c>
    </row>
    <row r="618" ht="15.75" customHeight="1">
      <c r="A618" s="17" t="s">
        <v>3489</v>
      </c>
      <c r="B618" s="17" t="s">
        <v>828</v>
      </c>
      <c r="C618" s="18">
        <v>46142.0</v>
      </c>
      <c r="D618" s="17" t="s">
        <v>2260</v>
      </c>
      <c r="E618" s="17" t="s">
        <v>2251</v>
      </c>
      <c r="F618" s="17" t="s">
        <v>3490</v>
      </c>
      <c r="G618" s="21">
        <v>96.0</v>
      </c>
      <c r="H618" s="21">
        <v>0.0</v>
      </c>
      <c r="I618" s="21">
        <v>96.0</v>
      </c>
      <c r="J618" s="17" t="s">
        <v>2246</v>
      </c>
      <c r="K618" s="17" t="s">
        <v>2246</v>
      </c>
      <c r="L618" s="17" t="s">
        <v>2246</v>
      </c>
      <c r="M618" s="17" t="s">
        <v>2312</v>
      </c>
      <c r="N618" s="21">
        <f>IFERROR((C618-VLOOKUP(B618,crm_orders!$A:$S,2,FALSE))*24,0)</f>
        <v>312</v>
      </c>
      <c r="O618" s="19" t="str">
        <f>IFERROR(VLOOKUP(B618,crm_orders!$A:$S,3,FALSE),"")</f>
        <v>DSP0049</v>
      </c>
      <c r="P618" s="19" t="str">
        <f>IFERROR(VLOOKUP(B618,crm_orders!$A:$S,5,FALSE),"")</f>
        <v>OR</v>
      </c>
      <c r="Q618" s="19" t="str">
        <f>IFERROR(VLOOKUP(B618,crm_orders!$A:$S,7,FALSE),"")</f>
        <v>Wholesale</v>
      </c>
      <c r="R618" s="19" t="str">
        <f>IFERROR(VLOOKUP(B618,crm_orders!$A:$S,8,FALSE),"")</f>
        <v>SKU0016</v>
      </c>
    </row>
    <row r="619" ht="15.75" customHeight="1">
      <c r="A619" s="25" t="s">
        <v>3491</v>
      </c>
      <c r="B619" s="25" t="s">
        <v>1048</v>
      </c>
      <c r="C619" s="26">
        <v>46127.0</v>
      </c>
      <c r="D619" s="25" t="s">
        <v>2250</v>
      </c>
      <c r="E619" s="25" t="s">
        <v>2261</v>
      </c>
      <c r="F619" s="25" t="s">
        <v>3492</v>
      </c>
      <c r="G619" s="29">
        <v>30.0</v>
      </c>
      <c r="H619" s="29">
        <v>30.0</v>
      </c>
      <c r="I619" s="29">
        <v>0.0</v>
      </c>
      <c r="J619" s="25" t="s">
        <v>2247</v>
      </c>
      <c r="K619" s="25" t="s">
        <v>2247</v>
      </c>
      <c r="L619" s="25" t="s">
        <v>2247</v>
      </c>
      <c r="M619" s="25" t="s">
        <v>2248</v>
      </c>
      <c r="N619" s="29">
        <f>IFERROR((C619-VLOOKUP(B619,crm_orders!$A:$S,2,FALSE))*24,0)</f>
        <v>240</v>
      </c>
      <c r="O619" s="27" t="str">
        <f>IFERROR(VLOOKUP(B619,crm_orders!$A:$S,3,FALSE),"")</f>
        <v>DSP0086</v>
      </c>
      <c r="P619" s="27" t="str">
        <f>IFERROR(VLOOKUP(B619,crm_orders!$A:$S,5,FALSE),"")</f>
        <v>WA</v>
      </c>
      <c r="Q619" s="27" t="str">
        <f>IFERROR(VLOOKUP(B619,crm_orders!$A:$S,7,FALSE),"")</f>
        <v>Retail</v>
      </c>
      <c r="R619" s="27" t="str">
        <f>IFERROR(VLOOKUP(B619,crm_orders!$A:$S,8,FALSE),"")</f>
        <v>SKU0015</v>
      </c>
    </row>
    <row r="620" ht="15.75" customHeight="1">
      <c r="A620" s="17" t="s">
        <v>3493</v>
      </c>
      <c r="B620" s="17" t="s">
        <v>146</v>
      </c>
      <c r="C620" s="18">
        <v>46116.0</v>
      </c>
      <c r="D620" s="17" t="s">
        <v>2269</v>
      </c>
      <c r="E620" s="17" t="s">
        <v>2255</v>
      </c>
      <c r="F620" s="17" t="s">
        <v>3494</v>
      </c>
      <c r="G620" s="21">
        <v>12.0</v>
      </c>
      <c r="H620" s="21">
        <v>12.0</v>
      </c>
      <c r="I620" s="21">
        <v>0.0</v>
      </c>
      <c r="J620" s="17" t="s">
        <v>2246</v>
      </c>
      <c r="K620" s="17" t="s">
        <v>2247</v>
      </c>
      <c r="L620" s="17" t="s">
        <v>2246</v>
      </c>
      <c r="M620" s="17" t="s">
        <v>2248</v>
      </c>
      <c r="N620" s="21">
        <f>IFERROR((C620-VLOOKUP(B620,crm_orders!$A:$S,2,FALSE))*24,0)</f>
        <v>264</v>
      </c>
      <c r="O620" s="19" t="str">
        <f>IFERROR(VLOOKUP(B620,crm_orders!$A:$S,3,FALSE),"")</f>
        <v>DSP0040</v>
      </c>
      <c r="P620" s="19" t="str">
        <f>IFERROR(VLOOKUP(B620,crm_orders!$A:$S,5,FALSE),"")</f>
        <v>CO</v>
      </c>
      <c r="Q620" s="19" t="str">
        <f>IFERROR(VLOOKUP(B620,crm_orders!$A:$S,7,FALSE),"")</f>
        <v>Distributor</v>
      </c>
      <c r="R620" s="19" t="str">
        <f>IFERROR(VLOOKUP(B620,crm_orders!$A:$S,8,FALSE),"")</f>
        <v>SKU0018</v>
      </c>
    </row>
    <row r="621" ht="15.75" customHeight="1">
      <c r="A621" s="25" t="s">
        <v>3495</v>
      </c>
      <c r="B621" s="25" t="s">
        <v>1049</v>
      </c>
      <c r="C621" s="26">
        <v>46056.0</v>
      </c>
      <c r="D621" s="25" t="s">
        <v>2260</v>
      </c>
      <c r="E621" s="25" t="s">
        <v>2255</v>
      </c>
      <c r="F621" s="25" t="s">
        <v>3496</v>
      </c>
      <c r="G621" s="29">
        <v>60.0</v>
      </c>
      <c r="H621" s="29">
        <v>60.0</v>
      </c>
      <c r="I621" s="29">
        <v>0.0</v>
      </c>
      <c r="J621" s="25" t="s">
        <v>2247</v>
      </c>
      <c r="K621" s="25" t="s">
        <v>2247</v>
      </c>
      <c r="L621" s="25" t="s">
        <v>2247</v>
      </c>
      <c r="M621" s="25" t="s">
        <v>2248</v>
      </c>
      <c r="N621" s="29">
        <f>IFERROR((C621-VLOOKUP(B621,crm_orders!$A:$S,2,FALSE))*24,0)</f>
        <v>216</v>
      </c>
      <c r="O621" s="27" t="str">
        <f>IFERROR(VLOOKUP(B621,crm_orders!$A:$S,3,FALSE),"")</f>
        <v>DSP0073</v>
      </c>
      <c r="P621" s="27" t="str">
        <f>IFERROR(VLOOKUP(B621,crm_orders!$A:$S,5,FALSE),"")</f>
        <v>OR</v>
      </c>
      <c r="Q621" s="27" t="str">
        <f>IFERROR(VLOOKUP(B621,crm_orders!$A:$S,7,FALSE),"")</f>
        <v>Retail</v>
      </c>
      <c r="R621" s="27" t="str">
        <f>IFERROR(VLOOKUP(B621,crm_orders!$A:$S,8,FALSE),"")</f>
        <v>SKU0017</v>
      </c>
    </row>
    <row r="622" ht="15.75" customHeight="1">
      <c r="A622" s="17" t="s">
        <v>3497</v>
      </c>
      <c r="B622" s="17" t="s">
        <v>414</v>
      </c>
      <c r="C622" s="18">
        <v>46061.0</v>
      </c>
      <c r="D622" s="17" t="s">
        <v>2254</v>
      </c>
      <c r="E622" s="17" t="s">
        <v>2244</v>
      </c>
      <c r="F622" s="17" t="s">
        <v>3498</v>
      </c>
      <c r="G622" s="21">
        <v>96.0</v>
      </c>
      <c r="H622" s="21">
        <v>96.0</v>
      </c>
      <c r="I622" s="21">
        <v>0.0</v>
      </c>
      <c r="J622" s="17" t="s">
        <v>2247</v>
      </c>
      <c r="K622" s="17" t="s">
        <v>2247</v>
      </c>
      <c r="L622" s="17" t="s">
        <v>2247</v>
      </c>
      <c r="M622" s="17" t="s">
        <v>2248</v>
      </c>
      <c r="N622" s="21">
        <f>IFERROR((C622-VLOOKUP(B622,crm_orders!$A:$S,2,FALSE))*24,0)</f>
        <v>168</v>
      </c>
      <c r="O622" s="19" t="str">
        <f>IFERROR(VLOOKUP(B622,crm_orders!$A:$S,3,FALSE),"")</f>
        <v>DSP0101</v>
      </c>
      <c r="P622" s="19" t="str">
        <f>IFERROR(VLOOKUP(B622,crm_orders!$A:$S,5,FALSE),"")</f>
        <v>AZ</v>
      </c>
      <c r="Q622" s="19" t="str">
        <f>IFERROR(VLOOKUP(B622,crm_orders!$A:$S,7,FALSE),"")</f>
        <v>Wholesale</v>
      </c>
      <c r="R622" s="19" t="str">
        <f>IFERROR(VLOOKUP(B622,crm_orders!$A:$S,8,FALSE),"")</f>
        <v>SKU0007</v>
      </c>
    </row>
    <row r="623" ht="15.75" customHeight="1">
      <c r="A623" s="25" t="s">
        <v>3499</v>
      </c>
      <c r="B623" s="25" t="s">
        <v>934</v>
      </c>
      <c r="C623" s="26">
        <v>46073.0</v>
      </c>
      <c r="D623" s="25" t="s">
        <v>2243</v>
      </c>
      <c r="E623" s="25" t="s">
        <v>2255</v>
      </c>
      <c r="F623" s="25" t="s">
        <v>3500</v>
      </c>
      <c r="G623" s="29">
        <v>48.0</v>
      </c>
      <c r="H623" s="29">
        <v>48.0</v>
      </c>
      <c r="I623" s="29">
        <v>0.0</v>
      </c>
      <c r="J623" s="25" t="s">
        <v>2247</v>
      </c>
      <c r="K623" s="25" t="s">
        <v>2247</v>
      </c>
      <c r="L623" s="25" t="s">
        <v>2247</v>
      </c>
      <c r="M623" s="25" t="s">
        <v>2248</v>
      </c>
      <c r="N623" s="29">
        <f>IFERROR((C623-VLOOKUP(B623,crm_orders!$A:$S,2,FALSE))*24,0)</f>
        <v>168</v>
      </c>
      <c r="O623" s="27" t="str">
        <f>IFERROR(VLOOKUP(B623,crm_orders!$A:$S,3,FALSE),"")</f>
        <v>DSP0120</v>
      </c>
      <c r="P623" s="27" t="str">
        <f>IFERROR(VLOOKUP(B623,crm_orders!$A:$S,5,FALSE),"")</f>
        <v>OK</v>
      </c>
      <c r="Q623" s="27" t="str">
        <f>IFERROR(VLOOKUP(B623,crm_orders!$A:$S,7,FALSE),"")</f>
        <v>Wholesale</v>
      </c>
      <c r="R623" s="27" t="str">
        <f>IFERROR(VLOOKUP(B623,crm_orders!$A:$S,8,FALSE),"")</f>
        <v>SKU0001</v>
      </c>
    </row>
    <row r="624" ht="15.75" customHeight="1">
      <c r="A624" s="17" t="s">
        <v>3501</v>
      </c>
      <c r="B624" s="17" t="s">
        <v>829</v>
      </c>
      <c r="C624" s="18">
        <v>46051.0</v>
      </c>
      <c r="D624" s="17" t="s">
        <v>2269</v>
      </c>
      <c r="E624" s="17" t="s">
        <v>2286</v>
      </c>
      <c r="F624" s="17" t="s">
        <v>3502</v>
      </c>
      <c r="G624" s="21">
        <v>30.0</v>
      </c>
      <c r="H624" s="21">
        <v>6.0</v>
      </c>
      <c r="I624" s="21">
        <v>24.0</v>
      </c>
      <c r="J624" s="17" t="s">
        <v>2246</v>
      </c>
      <c r="K624" s="17" t="s">
        <v>2246</v>
      </c>
      <c r="L624" s="17" t="s">
        <v>2246</v>
      </c>
      <c r="M624" s="17" t="s">
        <v>2267</v>
      </c>
      <c r="N624" s="21">
        <f>IFERROR((C624-VLOOKUP(B624,crm_orders!$A:$S,2,FALSE))*24,0)</f>
        <v>168</v>
      </c>
      <c r="O624" s="19" t="str">
        <f>IFERROR(VLOOKUP(B624,crm_orders!$A:$S,3,FALSE),"")</f>
        <v>DSP0013</v>
      </c>
      <c r="P624" s="19" t="str">
        <f>IFERROR(VLOOKUP(B624,crm_orders!$A:$S,5,FALSE),"")</f>
        <v>OR</v>
      </c>
      <c r="Q624" s="19" t="str">
        <f>IFERROR(VLOOKUP(B624,crm_orders!$A:$S,7,FALSE),"")</f>
        <v>Wholesale</v>
      </c>
      <c r="R624" s="19" t="str">
        <f>IFERROR(VLOOKUP(B624,crm_orders!$A:$S,8,FALSE),"")</f>
        <v>SKU0018</v>
      </c>
    </row>
    <row r="625" ht="15.75" customHeight="1">
      <c r="A625" s="25" t="s">
        <v>3503</v>
      </c>
      <c r="B625" s="25" t="s">
        <v>668</v>
      </c>
      <c r="C625" s="26">
        <v>46070.0</v>
      </c>
      <c r="D625" s="25" t="s">
        <v>2254</v>
      </c>
      <c r="E625" s="25" t="s">
        <v>2286</v>
      </c>
      <c r="F625" s="25" t="s">
        <v>3504</v>
      </c>
      <c r="G625" s="29">
        <v>18.0</v>
      </c>
      <c r="H625" s="29">
        <v>18.0</v>
      </c>
      <c r="I625" s="29">
        <v>0.0</v>
      </c>
      <c r="J625" s="25" t="s">
        <v>2247</v>
      </c>
      <c r="K625" s="25" t="s">
        <v>2247</v>
      </c>
      <c r="L625" s="25" t="s">
        <v>2247</v>
      </c>
      <c r="M625" s="25" t="s">
        <v>2248</v>
      </c>
      <c r="N625" s="29">
        <f>IFERROR((C625-VLOOKUP(B625,crm_orders!$A:$S,2,FALSE))*24,0)</f>
        <v>144</v>
      </c>
      <c r="O625" s="27" t="str">
        <f>IFERROR(VLOOKUP(B625,crm_orders!$A:$S,3,FALSE),"")</f>
        <v>DSP0008</v>
      </c>
      <c r="P625" s="27" t="str">
        <f>IFERROR(VLOOKUP(B625,crm_orders!$A:$S,5,FALSE),"")</f>
        <v>MI</v>
      </c>
      <c r="Q625" s="27" t="str">
        <f>IFERROR(VLOOKUP(B625,crm_orders!$A:$S,7,FALSE),"")</f>
        <v>Wholesale</v>
      </c>
      <c r="R625" s="27" t="str">
        <f>IFERROR(VLOOKUP(B625,crm_orders!$A:$S,8,FALSE),"")</f>
        <v>SKU0020</v>
      </c>
    </row>
    <row r="626" ht="15.75" customHeight="1">
      <c r="A626" s="17" t="s">
        <v>3505</v>
      </c>
      <c r="B626" s="17" t="s">
        <v>415</v>
      </c>
      <c r="C626" s="18">
        <v>46156.0</v>
      </c>
      <c r="D626" s="17" t="s">
        <v>2260</v>
      </c>
      <c r="E626" s="17" t="s">
        <v>2244</v>
      </c>
      <c r="F626" s="17" t="s">
        <v>3506</v>
      </c>
      <c r="G626" s="21">
        <v>12.0</v>
      </c>
      <c r="H626" s="21">
        <v>12.0</v>
      </c>
      <c r="I626" s="21">
        <v>0.0</v>
      </c>
      <c r="J626" s="17" t="s">
        <v>2246</v>
      </c>
      <c r="K626" s="17" t="s">
        <v>2247</v>
      </c>
      <c r="L626" s="17" t="s">
        <v>2246</v>
      </c>
      <c r="M626" s="17" t="s">
        <v>2248</v>
      </c>
      <c r="N626" s="21">
        <f>IFERROR((C626-VLOOKUP(B626,crm_orders!$A:$S,2,FALSE))*24,0)</f>
        <v>312</v>
      </c>
      <c r="O626" s="19" t="str">
        <f>IFERROR(VLOOKUP(B626,crm_orders!$A:$S,3,FALSE),"")</f>
        <v>DSP0034</v>
      </c>
      <c r="P626" s="19" t="str">
        <f>IFERROR(VLOOKUP(B626,crm_orders!$A:$S,5,FALSE),"")</f>
        <v>NM</v>
      </c>
      <c r="Q626" s="19" t="str">
        <f>IFERROR(VLOOKUP(B626,crm_orders!$A:$S,7,FALSE),"")</f>
        <v>Wholesale</v>
      </c>
      <c r="R626" s="19" t="str">
        <f>IFERROR(VLOOKUP(B626,crm_orders!$A:$S,8,FALSE),"")</f>
        <v>SKU0013</v>
      </c>
    </row>
    <row r="627" ht="15.75" customHeight="1">
      <c r="A627" s="25" t="s">
        <v>3507</v>
      </c>
      <c r="B627" s="25" t="s">
        <v>263</v>
      </c>
      <c r="C627" s="26">
        <v>46069.0</v>
      </c>
      <c r="D627" s="25" t="s">
        <v>2243</v>
      </c>
      <c r="E627" s="25" t="s">
        <v>2261</v>
      </c>
      <c r="F627" s="25" t="s">
        <v>3508</v>
      </c>
      <c r="G627" s="29">
        <v>72.0</v>
      </c>
      <c r="H627" s="29">
        <v>72.0</v>
      </c>
      <c r="I627" s="29">
        <v>0.0</v>
      </c>
      <c r="J627" s="25" t="s">
        <v>2246</v>
      </c>
      <c r="K627" s="25" t="s">
        <v>2247</v>
      </c>
      <c r="L627" s="25" t="s">
        <v>2246</v>
      </c>
      <c r="M627" s="25" t="s">
        <v>2248</v>
      </c>
      <c r="N627" s="29">
        <f>IFERROR((C627-VLOOKUP(B627,crm_orders!$A:$S,2,FALSE))*24,0)</f>
        <v>288</v>
      </c>
      <c r="O627" s="27" t="str">
        <f>IFERROR(VLOOKUP(B627,crm_orders!$A:$S,3,FALSE),"")</f>
        <v>DSP0114</v>
      </c>
      <c r="P627" s="27" t="str">
        <f>IFERROR(VLOOKUP(B627,crm_orders!$A:$S,5,FALSE),"")</f>
        <v>NV</v>
      </c>
      <c r="Q627" s="27" t="str">
        <f>IFERROR(VLOOKUP(B627,crm_orders!$A:$S,7,FALSE),"")</f>
        <v>Wholesale</v>
      </c>
      <c r="R627" s="27" t="str">
        <f>IFERROR(VLOOKUP(B627,crm_orders!$A:$S,8,FALSE),"")</f>
        <v>SKU0001</v>
      </c>
    </row>
    <row r="628" ht="15.75" customHeight="1">
      <c r="A628" s="17" t="s">
        <v>3509</v>
      </c>
      <c r="B628" s="17" t="s">
        <v>1051</v>
      </c>
      <c r="C628" s="18">
        <v>46084.0</v>
      </c>
      <c r="D628" s="17" t="s">
        <v>2250</v>
      </c>
      <c r="E628" s="17" t="s">
        <v>2286</v>
      </c>
      <c r="F628" s="17" t="s">
        <v>3510</v>
      </c>
      <c r="G628" s="21">
        <v>12.0</v>
      </c>
      <c r="H628" s="21">
        <v>12.0</v>
      </c>
      <c r="I628" s="21">
        <v>0.0</v>
      </c>
      <c r="J628" s="17" t="s">
        <v>2246</v>
      </c>
      <c r="K628" s="17" t="s">
        <v>2247</v>
      </c>
      <c r="L628" s="17" t="s">
        <v>2246</v>
      </c>
      <c r="M628" s="17" t="s">
        <v>2248</v>
      </c>
      <c r="N628" s="21">
        <f>IFERROR((C628-VLOOKUP(B628,crm_orders!$A:$S,2,FALSE))*24,0)</f>
        <v>96</v>
      </c>
      <c r="O628" s="19" t="str">
        <f>IFERROR(VLOOKUP(B628,crm_orders!$A:$S,3,FALSE),"")</f>
        <v>DSP0073</v>
      </c>
      <c r="P628" s="19" t="str">
        <f>IFERROR(VLOOKUP(B628,crm_orders!$A:$S,5,FALSE),"")</f>
        <v>OR</v>
      </c>
      <c r="Q628" s="19" t="str">
        <f>IFERROR(VLOOKUP(B628,crm_orders!$A:$S,7,FALSE),"")</f>
        <v>Retail</v>
      </c>
      <c r="R628" s="19" t="str">
        <f>IFERROR(VLOOKUP(B628,crm_orders!$A:$S,8,FALSE),"")</f>
        <v>SKU0014</v>
      </c>
    </row>
    <row r="629" ht="15.75" customHeight="1">
      <c r="A629" s="25" t="s">
        <v>3511</v>
      </c>
      <c r="B629" s="25" t="s">
        <v>416</v>
      </c>
      <c r="C629" s="26">
        <v>46101.0</v>
      </c>
      <c r="D629" s="25" t="s">
        <v>2260</v>
      </c>
      <c r="E629" s="25" t="s">
        <v>2251</v>
      </c>
      <c r="F629" s="25" t="s">
        <v>3512</v>
      </c>
      <c r="G629" s="29">
        <v>48.0</v>
      </c>
      <c r="H629" s="29">
        <v>48.0</v>
      </c>
      <c r="I629" s="29">
        <v>0.0</v>
      </c>
      <c r="J629" s="25" t="s">
        <v>2246</v>
      </c>
      <c r="K629" s="25" t="s">
        <v>2247</v>
      </c>
      <c r="L629" s="25" t="s">
        <v>2246</v>
      </c>
      <c r="M629" s="25" t="s">
        <v>2248</v>
      </c>
      <c r="N629" s="29">
        <f>IFERROR((C629-VLOOKUP(B629,crm_orders!$A:$S,2,FALSE))*24,0)</f>
        <v>240</v>
      </c>
      <c r="O629" s="27" t="str">
        <f>IFERROR(VLOOKUP(B629,crm_orders!$A:$S,3,FALSE),"")</f>
        <v>DSP0101</v>
      </c>
      <c r="P629" s="27" t="str">
        <f>IFERROR(VLOOKUP(B629,crm_orders!$A:$S,5,FALSE),"")</f>
        <v>AZ</v>
      </c>
      <c r="Q629" s="27" t="str">
        <f>IFERROR(VLOOKUP(B629,crm_orders!$A:$S,7,FALSE),"")</f>
        <v>Wholesale</v>
      </c>
      <c r="R629" s="27" t="str">
        <f>IFERROR(VLOOKUP(B629,crm_orders!$A:$S,8,FALSE),"")</f>
        <v>SKU0008</v>
      </c>
    </row>
    <row r="630" ht="15.75" customHeight="1">
      <c r="A630" s="17" t="s">
        <v>3513</v>
      </c>
      <c r="B630" s="17" t="s">
        <v>521</v>
      </c>
      <c r="C630" s="18">
        <v>46134.0</v>
      </c>
      <c r="D630" s="17" t="s">
        <v>2269</v>
      </c>
      <c r="E630" s="17" t="s">
        <v>2261</v>
      </c>
      <c r="F630" s="17" t="s">
        <v>3514</v>
      </c>
      <c r="G630" s="21">
        <v>72.0</v>
      </c>
      <c r="H630" s="21">
        <v>72.0</v>
      </c>
      <c r="I630" s="21">
        <v>0.0</v>
      </c>
      <c r="J630" s="17" t="s">
        <v>2246</v>
      </c>
      <c r="K630" s="17" t="s">
        <v>2247</v>
      </c>
      <c r="L630" s="17" t="s">
        <v>2246</v>
      </c>
      <c r="M630" s="17" t="s">
        <v>2248</v>
      </c>
      <c r="N630" s="21">
        <f>IFERROR((C630-VLOOKUP(B630,crm_orders!$A:$S,2,FALSE))*24,0)</f>
        <v>96</v>
      </c>
      <c r="O630" s="19" t="str">
        <f>IFERROR(VLOOKUP(B630,crm_orders!$A:$S,3,FALSE),"")</f>
        <v>DSP0028</v>
      </c>
      <c r="P630" s="19" t="str">
        <f>IFERROR(VLOOKUP(B630,crm_orders!$A:$S,5,FALSE),"")</f>
        <v>CO</v>
      </c>
      <c r="Q630" s="19" t="str">
        <f>IFERROR(VLOOKUP(B630,crm_orders!$A:$S,7,FALSE),"")</f>
        <v>Wholesale</v>
      </c>
      <c r="R630" s="19" t="str">
        <f>IFERROR(VLOOKUP(B630,crm_orders!$A:$S,8,FALSE),"")</f>
        <v>SKU0019</v>
      </c>
    </row>
    <row r="631" ht="15.75" customHeight="1">
      <c r="A631" s="25" t="s">
        <v>3515</v>
      </c>
      <c r="B631" s="25" t="s">
        <v>1117</v>
      </c>
      <c r="C631" s="26">
        <v>46124.0</v>
      </c>
      <c r="D631" s="25" t="s">
        <v>2243</v>
      </c>
      <c r="E631" s="25" t="s">
        <v>2255</v>
      </c>
      <c r="F631" s="25" t="s">
        <v>3516</v>
      </c>
      <c r="G631" s="29">
        <v>72.0</v>
      </c>
      <c r="H631" s="29">
        <v>72.0</v>
      </c>
      <c r="I631" s="29">
        <v>0.0</v>
      </c>
      <c r="J631" s="25" t="s">
        <v>2247</v>
      </c>
      <c r="K631" s="25" t="s">
        <v>2247</v>
      </c>
      <c r="L631" s="25" t="s">
        <v>2247</v>
      </c>
      <c r="M631" s="25" t="s">
        <v>2248</v>
      </c>
      <c r="N631" s="29">
        <f>IFERROR((C631-VLOOKUP(B631,crm_orders!$A:$S,2,FALSE))*24,0)</f>
        <v>216</v>
      </c>
      <c r="O631" s="27" t="str">
        <f>IFERROR(VLOOKUP(B631,crm_orders!$A:$S,3,FALSE),"")</f>
        <v>DSP0016</v>
      </c>
      <c r="P631" s="27" t="str">
        <f>IFERROR(VLOOKUP(B631,crm_orders!$A:$S,5,FALSE),"")</f>
        <v>CO</v>
      </c>
      <c r="Q631" s="27" t="str">
        <f>IFERROR(VLOOKUP(B631,crm_orders!$A:$S,7,FALSE),"")</f>
        <v>Wholesale</v>
      </c>
      <c r="R631" s="27" t="str">
        <f>IFERROR(VLOOKUP(B631,crm_orders!$A:$S,8,FALSE),"")</f>
        <v>SKU0005</v>
      </c>
    </row>
    <row r="632" ht="15.75" customHeight="1">
      <c r="A632" s="17" t="s">
        <v>3517</v>
      </c>
      <c r="B632" s="17" t="s">
        <v>1052</v>
      </c>
      <c r="C632" s="18">
        <v>46111.0</v>
      </c>
      <c r="D632" s="17" t="s">
        <v>2269</v>
      </c>
      <c r="E632" s="17" t="s">
        <v>2255</v>
      </c>
      <c r="F632" s="17" t="s">
        <v>3518</v>
      </c>
      <c r="G632" s="21">
        <v>30.0</v>
      </c>
      <c r="H632" s="21">
        <v>30.0</v>
      </c>
      <c r="I632" s="21">
        <v>0.0</v>
      </c>
      <c r="J632" s="17" t="s">
        <v>2246</v>
      </c>
      <c r="K632" s="17" t="s">
        <v>2247</v>
      </c>
      <c r="L632" s="17" t="s">
        <v>2246</v>
      </c>
      <c r="M632" s="17" t="s">
        <v>2248</v>
      </c>
      <c r="N632" s="21">
        <f>IFERROR((C632-VLOOKUP(B632,crm_orders!$A:$S,2,FALSE))*24,0)</f>
        <v>168</v>
      </c>
      <c r="O632" s="19" t="str">
        <f>IFERROR(VLOOKUP(B632,crm_orders!$A:$S,3,FALSE),"")</f>
        <v>DSP0088</v>
      </c>
      <c r="P632" s="19" t="str">
        <f>IFERROR(VLOOKUP(B632,crm_orders!$A:$S,5,FALSE),"")</f>
        <v>CO</v>
      </c>
      <c r="Q632" s="19" t="str">
        <f>IFERROR(VLOOKUP(B632,crm_orders!$A:$S,7,FALSE),"")</f>
        <v>Wholesale</v>
      </c>
      <c r="R632" s="19" t="str">
        <f>IFERROR(VLOOKUP(B632,crm_orders!$A:$S,8,FALSE),"")</f>
        <v>SKU0011</v>
      </c>
    </row>
    <row r="633" ht="15.75" customHeight="1">
      <c r="A633" s="25" t="s">
        <v>3519</v>
      </c>
      <c r="B633" s="25" t="s">
        <v>417</v>
      </c>
      <c r="C633" s="26">
        <v>46026.0</v>
      </c>
      <c r="D633" s="25" t="s">
        <v>2250</v>
      </c>
      <c r="E633" s="25" t="s">
        <v>2251</v>
      </c>
      <c r="F633" s="25" t="s">
        <v>3520</v>
      </c>
      <c r="G633" s="29">
        <v>18.0</v>
      </c>
      <c r="H633" s="29">
        <v>0.0</v>
      </c>
      <c r="I633" s="29">
        <v>18.0</v>
      </c>
      <c r="J633" s="25" t="s">
        <v>2247</v>
      </c>
      <c r="K633" s="25" t="s">
        <v>2246</v>
      </c>
      <c r="L633" s="25" t="s">
        <v>2246</v>
      </c>
      <c r="M633" s="25" t="s">
        <v>2267</v>
      </c>
      <c r="N633" s="29">
        <f>IFERROR((C633-VLOOKUP(B633,crm_orders!$A:$S,2,FALSE))*24,0)</f>
        <v>24</v>
      </c>
      <c r="O633" s="27" t="str">
        <f>IFERROR(VLOOKUP(B633,crm_orders!$A:$S,3,FALSE),"")</f>
        <v>DSP0077</v>
      </c>
      <c r="P633" s="27" t="str">
        <f>IFERROR(VLOOKUP(B633,crm_orders!$A:$S,5,FALSE),"")</f>
        <v>AZ</v>
      </c>
      <c r="Q633" s="27" t="str">
        <f>IFERROR(VLOOKUP(B633,crm_orders!$A:$S,7,FALSE),"")</f>
        <v>Wholesale</v>
      </c>
      <c r="R633" s="27" t="str">
        <f>IFERROR(VLOOKUP(B633,crm_orders!$A:$S,8,FALSE),"")</f>
        <v>SKU0011</v>
      </c>
    </row>
    <row r="634" ht="15.75" customHeight="1">
      <c r="A634" s="17" t="s">
        <v>3521</v>
      </c>
      <c r="B634" s="17" t="s">
        <v>418</v>
      </c>
      <c r="C634" s="18">
        <v>46122.0</v>
      </c>
      <c r="D634" s="17" t="s">
        <v>2243</v>
      </c>
      <c r="E634" s="17" t="s">
        <v>2286</v>
      </c>
      <c r="F634" s="17" t="s">
        <v>3522</v>
      </c>
      <c r="G634" s="21">
        <v>48.0</v>
      </c>
      <c r="H634" s="21">
        <v>36.0</v>
      </c>
      <c r="I634" s="21">
        <v>12.0</v>
      </c>
      <c r="J634" s="17" t="s">
        <v>2247</v>
      </c>
      <c r="K634" s="17" t="s">
        <v>2246</v>
      </c>
      <c r="L634" s="17" t="s">
        <v>2246</v>
      </c>
      <c r="M634" s="17" t="s">
        <v>2267</v>
      </c>
      <c r="N634" s="21">
        <f>IFERROR((C634-VLOOKUP(B634,crm_orders!$A:$S,2,FALSE))*24,0)</f>
        <v>48</v>
      </c>
      <c r="O634" s="19" t="str">
        <f>IFERROR(VLOOKUP(B634,crm_orders!$A:$S,3,FALSE),"")</f>
        <v>DSP0115</v>
      </c>
      <c r="P634" s="19" t="str">
        <f>IFERROR(VLOOKUP(B634,crm_orders!$A:$S,5,FALSE),"")</f>
        <v>IL</v>
      </c>
      <c r="Q634" s="19" t="str">
        <f>IFERROR(VLOOKUP(B634,crm_orders!$A:$S,7,FALSE),"")</f>
        <v>Wholesale</v>
      </c>
      <c r="R634" s="19" t="str">
        <f>IFERROR(VLOOKUP(B634,crm_orders!$A:$S,8,FALSE),"")</f>
        <v>SKU0016</v>
      </c>
    </row>
    <row r="635" ht="15.75" customHeight="1">
      <c r="A635" s="25" t="s">
        <v>3523</v>
      </c>
      <c r="B635" s="25" t="s">
        <v>830</v>
      </c>
      <c r="C635" s="26">
        <v>46117.0</v>
      </c>
      <c r="D635" s="25" t="s">
        <v>2254</v>
      </c>
      <c r="E635" s="25" t="s">
        <v>2261</v>
      </c>
      <c r="F635" s="25" t="s">
        <v>3524</v>
      </c>
      <c r="G635" s="29">
        <v>12.0</v>
      </c>
      <c r="H635" s="29">
        <v>12.0</v>
      </c>
      <c r="I635" s="29">
        <v>0.0</v>
      </c>
      <c r="J635" s="25" t="s">
        <v>2246</v>
      </c>
      <c r="K635" s="25" t="s">
        <v>2247</v>
      </c>
      <c r="L635" s="25" t="s">
        <v>2246</v>
      </c>
      <c r="M635" s="25" t="s">
        <v>2248</v>
      </c>
      <c r="N635" s="29">
        <f>IFERROR((C635-VLOOKUP(B635,crm_orders!$A:$S,2,FALSE))*24,0)</f>
        <v>192</v>
      </c>
      <c r="O635" s="27" t="str">
        <f>IFERROR(VLOOKUP(B635,crm_orders!$A:$S,3,FALSE),"")</f>
        <v>DSP0105</v>
      </c>
      <c r="P635" s="27" t="str">
        <f>IFERROR(VLOOKUP(B635,crm_orders!$A:$S,5,FALSE),"")</f>
        <v>MO</v>
      </c>
      <c r="Q635" s="27" t="str">
        <f>IFERROR(VLOOKUP(B635,crm_orders!$A:$S,7,FALSE),"")</f>
        <v>Distributor</v>
      </c>
      <c r="R635" s="27" t="str">
        <f>IFERROR(VLOOKUP(B635,crm_orders!$A:$S,8,FALSE),"")</f>
        <v>SKU0015</v>
      </c>
    </row>
    <row r="636" ht="15.75" customHeight="1">
      <c r="A636" s="17" t="s">
        <v>3525</v>
      </c>
      <c r="B636" s="17" t="s">
        <v>669</v>
      </c>
      <c r="C636" s="18">
        <v>46040.0</v>
      </c>
      <c r="D636" s="17" t="s">
        <v>2260</v>
      </c>
      <c r="E636" s="17" t="s">
        <v>2261</v>
      </c>
      <c r="F636" s="17" t="s">
        <v>3526</v>
      </c>
      <c r="G636" s="21">
        <v>60.0</v>
      </c>
      <c r="H636" s="21">
        <v>60.0</v>
      </c>
      <c r="I636" s="21">
        <v>0.0</v>
      </c>
      <c r="J636" s="17" t="s">
        <v>2246</v>
      </c>
      <c r="K636" s="17" t="s">
        <v>2247</v>
      </c>
      <c r="L636" s="17" t="s">
        <v>2246</v>
      </c>
      <c r="M636" s="17" t="s">
        <v>2248</v>
      </c>
      <c r="N636" s="21">
        <f>IFERROR((C636-VLOOKUP(B636,crm_orders!$A:$S,2,FALSE))*24,0)</f>
        <v>48</v>
      </c>
      <c r="O636" s="19" t="str">
        <f>IFERROR(VLOOKUP(B636,crm_orders!$A:$S,3,FALSE),"")</f>
        <v>DSP0104</v>
      </c>
      <c r="P636" s="19" t="str">
        <f>IFERROR(VLOOKUP(B636,crm_orders!$A:$S,5,FALSE),"")</f>
        <v>MI</v>
      </c>
      <c r="Q636" s="19" t="str">
        <f>IFERROR(VLOOKUP(B636,crm_orders!$A:$S,7,FALSE),"")</f>
        <v>Wholesale</v>
      </c>
      <c r="R636" s="19" t="str">
        <f>IFERROR(VLOOKUP(B636,crm_orders!$A:$S,8,FALSE),"")</f>
        <v>SKU0001</v>
      </c>
    </row>
    <row r="637" ht="15.75" customHeight="1">
      <c r="A637" s="25" t="s">
        <v>3527</v>
      </c>
      <c r="B637" s="25" t="s">
        <v>670</v>
      </c>
      <c r="C637" s="26">
        <v>46053.0</v>
      </c>
      <c r="D637" s="25" t="s">
        <v>2260</v>
      </c>
      <c r="E637" s="25" t="s">
        <v>2255</v>
      </c>
      <c r="F637" s="25" t="s">
        <v>3528</v>
      </c>
      <c r="G637" s="29">
        <v>12.0</v>
      </c>
      <c r="H637" s="29">
        <v>12.0</v>
      </c>
      <c r="I637" s="29">
        <v>0.0</v>
      </c>
      <c r="J637" s="25" t="s">
        <v>2246</v>
      </c>
      <c r="K637" s="25" t="s">
        <v>2247</v>
      </c>
      <c r="L637" s="25" t="s">
        <v>2246</v>
      </c>
      <c r="M637" s="25" t="s">
        <v>2248</v>
      </c>
      <c r="N637" s="29">
        <f>IFERROR((C637-VLOOKUP(B637,crm_orders!$A:$S,2,FALSE))*24,0)</f>
        <v>144</v>
      </c>
      <c r="O637" s="27" t="str">
        <f>IFERROR(VLOOKUP(B637,crm_orders!$A:$S,3,FALSE),"")</f>
        <v>DSP0091</v>
      </c>
      <c r="P637" s="27" t="str">
        <f>IFERROR(VLOOKUP(B637,crm_orders!$A:$S,5,FALSE),"")</f>
        <v>IL</v>
      </c>
      <c r="Q637" s="27" t="str">
        <f>IFERROR(VLOOKUP(B637,crm_orders!$A:$S,7,FALSE),"")</f>
        <v>Distributor</v>
      </c>
      <c r="R637" s="27" t="str">
        <f>IFERROR(VLOOKUP(B637,crm_orders!$A:$S,8,FALSE),"")</f>
        <v>SKU0012</v>
      </c>
    </row>
    <row r="638" ht="15.75" customHeight="1">
      <c r="A638" s="17" t="s">
        <v>3529</v>
      </c>
      <c r="B638" s="17" t="s">
        <v>1053</v>
      </c>
      <c r="C638" s="18">
        <v>46067.0</v>
      </c>
      <c r="D638" s="17" t="s">
        <v>2250</v>
      </c>
      <c r="E638" s="17" t="s">
        <v>2251</v>
      </c>
      <c r="F638" s="17" t="s">
        <v>3530</v>
      </c>
      <c r="G638" s="21">
        <v>60.0</v>
      </c>
      <c r="H638" s="21">
        <v>60.0</v>
      </c>
      <c r="I638" s="21">
        <v>0.0</v>
      </c>
      <c r="J638" s="17" t="s">
        <v>2246</v>
      </c>
      <c r="K638" s="17" t="s">
        <v>2247</v>
      </c>
      <c r="L638" s="17" t="s">
        <v>2246</v>
      </c>
      <c r="M638" s="17" t="s">
        <v>2248</v>
      </c>
      <c r="N638" s="21">
        <f>IFERROR((C638-VLOOKUP(B638,crm_orders!$A:$S,2,FALSE))*24,0)</f>
        <v>216</v>
      </c>
      <c r="O638" s="19" t="str">
        <f>IFERROR(VLOOKUP(B638,crm_orders!$A:$S,3,FALSE),"")</f>
        <v>DSP0047</v>
      </c>
      <c r="P638" s="19" t="str">
        <f>IFERROR(VLOOKUP(B638,crm_orders!$A:$S,5,FALSE),"")</f>
        <v>NY</v>
      </c>
      <c r="Q638" s="19" t="str">
        <f>IFERROR(VLOOKUP(B638,crm_orders!$A:$S,7,FALSE),"")</f>
        <v>Wholesale</v>
      </c>
      <c r="R638" s="19" t="str">
        <f>IFERROR(VLOOKUP(B638,crm_orders!$A:$S,8,FALSE),"")</f>
        <v>SKU0002</v>
      </c>
    </row>
    <row r="639" ht="15.75" customHeight="1">
      <c r="A639" s="25" t="s">
        <v>3531</v>
      </c>
      <c r="B639" s="25" t="s">
        <v>1187</v>
      </c>
      <c r="C639" s="26">
        <v>46105.0</v>
      </c>
      <c r="D639" s="25" t="s">
        <v>2269</v>
      </c>
      <c r="E639" s="25" t="s">
        <v>2286</v>
      </c>
      <c r="F639" s="25" t="s">
        <v>3532</v>
      </c>
      <c r="G639" s="29">
        <v>72.0</v>
      </c>
      <c r="H639" s="29">
        <v>72.0</v>
      </c>
      <c r="I639" s="29">
        <v>0.0</v>
      </c>
      <c r="J639" s="25" t="s">
        <v>2247</v>
      </c>
      <c r="K639" s="25" t="s">
        <v>2247</v>
      </c>
      <c r="L639" s="25" t="s">
        <v>2247</v>
      </c>
      <c r="M639" s="25" t="s">
        <v>2248</v>
      </c>
      <c r="N639" s="29">
        <f>IFERROR((C639-VLOOKUP(B639,crm_orders!$A:$S,2,FALSE))*24,0)</f>
        <v>240</v>
      </c>
      <c r="O639" s="27" t="str">
        <f>IFERROR(VLOOKUP(B639,crm_orders!$A:$S,3,FALSE),"")</f>
        <v>DSP0015</v>
      </c>
      <c r="P639" s="27" t="str">
        <f>IFERROR(VLOOKUP(B639,crm_orders!$A:$S,5,FALSE),"")</f>
        <v>CA</v>
      </c>
      <c r="Q639" s="27" t="str">
        <f>IFERROR(VLOOKUP(B639,crm_orders!$A:$S,7,FALSE),"")</f>
        <v>Retail</v>
      </c>
      <c r="R639" s="27" t="str">
        <f>IFERROR(VLOOKUP(B639,crm_orders!$A:$S,8,FALSE),"")</f>
        <v>SKU0009</v>
      </c>
    </row>
    <row r="640" ht="15.75" customHeight="1">
      <c r="A640" s="17" t="s">
        <v>3533</v>
      </c>
      <c r="B640" s="17" t="s">
        <v>1188</v>
      </c>
      <c r="C640" s="18">
        <v>46105.0</v>
      </c>
      <c r="D640" s="17" t="s">
        <v>2269</v>
      </c>
      <c r="E640" s="17" t="s">
        <v>2286</v>
      </c>
      <c r="F640" s="17" t="s">
        <v>3534</v>
      </c>
      <c r="G640" s="21">
        <v>18.0</v>
      </c>
      <c r="H640" s="21">
        <v>18.0</v>
      </c>
      <c r="I640" s="21">
        <v>0.0</v>
      </c>
      <c r="J640" s="17" t="s">
        <v>2246</v>
      </c>
      <c r="K640" s="17" t="s">
        <v>2247</v>
      </c>
      <c r="L640" s="17" t="s">
        <v>2246</v>
      </c>
      <c r="M640" s="17" t="s">
        <v>2248</v>
      </c>
      <c r="N640" s="21">
        <f>IFERROR((C640-VLOOKUP(B640,crm_orders!$A:$S,2,FALSE))*24,0)</f>
        <v>168</v>
      </c>
      <c r="O640" s="19" t="str">
        <f>IFERROR(VLOOKUP(B640,crm_orders!$A:$S,3,FALSE),"")</f>
        <v>DSP0023</v>
      </c>
      <c r="P640" s="19" t="str">
        <f>IFERROR(VLOOKUP(B640,crm_orders!$A:$S,5,FALSE),"")</f>
        <v>NY</v>
      </c>
      <c r="Q640" s="19" t="str">
        <f>IFERROR(VLOOKUP(B640,crm_orders!$A:$S,7,FALSE),"")</f>
        <v>Distributor</v>
      </c>
      <c r="R640" s="19" t="str">
        <f>IFERROR(VLOOKUP(B640,crm_orders!$A:$S,8,FALSE),"")</f>
        <v>SKU0003</v>
      </c>
    </row>
    <row r="641" ht="15.75" customHeight="1">
      <c r="A641" s="25" t="s">
        <v>3535</v>
      </c>
      <c r="B641" s="25" t="s">
        <v>1054</v>
      </c>
      <c r="C641" s="26">
        <v>46141.0</v>
      </c>
      <c r="D641" s="25" t="s">
        <v>2269</v>
      </c>
      <c r="E641" s="25" t="s">
        <v>2255</v>
      </c>
      <c r="F641" s="25" t="s">
        <v>3536</v>
      </c>
      <c r="G641" s="29">
        <v>120.0</v>
      </c>
      <c r="H641" s="29">
        <v>120.0</v>
      </c>
      <c r="I641" s="29">
        <v>0.0</v>
      </c>
      <c r="J641" s="25" t="s">
        <v>2247</v>
      </c>
      <c r="K641" s="25" t="s">
        <v>2247</v>
      </c>
      <c r="L641" s="25" t="s">
        <v>2247</v>
      </c>
      <c r="M641" s="25" t="s">
        <v>2248</v>
      </c>
      <c r="N641" s="29">
        <f>IFERROR((C641-VLOOKUP(B641,crm_orders!$A:$S,2,FALSE))*24,0)</f>
        <v>240</v>
      </c>
      <c r="O641" s="27" t="str">
        <f>IFERROR(VLOOKUP(B641,crm_orders!$A:$S,3,FALSE),"")</f>
        <v>DSP0036</v>
      </c>
      <c r="P641" s="27" t="str">
        <f>IFERROR(VLOOKUP(B641,crm_orders!$A:$S,5,FALSE),"")</f>
        <v>OK</v>
      </c>
      <c r="Q641" s="27" t="str">
        <f>IFERROR(VLOOKUP(B641,crm_orders!$A:$S,7,FALSE),"")</f>
        <v>Retail</v>
      </c>
      <c r="R641" s="27" t="str">
        <f>IFERROR(VLOOKUP(B641,crm_orders!$A:$S,8,FALSE),"")</f>
        <v>SKU0007</v>
      </c>
    </row>
    <row r="642" ht="15.75" customHeight="1">
      <c r="A642" s="17" t="s">
        <v>3537</v>
      </c>
      <c r="B642" s="17" t="s">
        <v>1055</v>
      </c>
      <c r="C642" s="18">
        <v>46150.0</v>
      </c>
      <c r="D642" s="17" t="s">
        <v>2254</v>
      </c>
      <c r="E642" s="17" t="s">
        <v>2261</v>
      </c>
      <c r="F642" s="17" t="s">
        <v>3538</v>
      </c>
      <c r="G642" s="21">
        <v>48.0</v>
      </c>
      <c r="H642" s="21">
        <v>48.0</v>
      </c>
      <c r="I642" s="21">
        <v>0.0</v>
      </c>
      <c r="J642" s="17" t="s">
        <v>2246</v>
      </c>
      <c r="K642" s="17" t="s">
        <v>2247</v>
      </c>
      <c r="L642" s="17" t="s">
        <v>2246</v>
      </c>
      <c r="M642" s="17" t="s">
        <v>2248</v>
      </c>
      <c r="N642" s="21">
        <f>IFERROR((C642-VLOOKUP(B642,crm_orders!$A:$S,2,FALSE))*24,0)</f>
        <v>168</v>
      </c>
      <c r="O642" s="19" t="str">
        <f>IFERROR(VLOOKUP(B642,crm_orders!$A:$S,3,FALSE),"")</f>
        <v>DSP0059</v>
      </c>
      <c r="P642" s="19" t="str">
        <f>IFERROR(VLOOKUP(B642,crm_orders!$A:$S,5,FALSE),"")</f>
        <v>NY</v>
      </c>
      <c r="Q642" s="19" t="str">
        <f>IFERROR(VLOOKUP(B642,crm_orders!$A:$S,7,FALSE),"")</f>
        <v>Wholesale</v>
      </c>
      <c r="R642" s="19" t="str">
        <f>IFERROR(VLOOKUP(B642,crm_orders!$A:$S,8,FALSE),"")</f>
        <v>SKU0001</v>
      </c>
    </row>
    <row r="643" ht="15.75" customHeight="1">
      <c r="A643" s="25" t="s">
        <v>3539</v>
      </c>
      <c r="B643" s="25" t="s">
        <v>1056</v>
      </c>
      <c r="C643" s="26">
        <v>46119.0</v>
      </c>
      <c r="D643" s="25" t="s">
        <v>2243</v>
      </c>
      <c r="E643" s="25" t="s">
        <v>2251</v>
      </c>
      <c r="F643" s="25" t="s">
        <v>3540</v>
      </c>
      <c r="G643" s="29">
        <v>72.0</v>
      </c>
      <c r="H643" s="29">
        <v>72.0</v>
      </c>
      <c r="I643" s="29">
        <v>0.0</v>
      </c>
      <c r="J643" s="25" t="s">
        <v>2246</v>
      </c>
      <c r="K643" s="25" t="s">
        <v>2247</v>
      </c>
      <c r="L643" s="25" t="s">
        <v>2246</v>
      </c>
      <c r="M643" s="25" t="s">
        <v>2248</v>
      </c>
      <c r="N643" s="29">
        <f>IFERROR((C643-VLOOKUP(B643,crm_orders!$A:$S,2,FALSE))*24,0)</f>
        <v>216</v>
      </c>
      <c r="O643" s="27" t="str">
        <f>IFERROR(VLOOKUP(B643,crm_orders!$A:$S,3,FALSE),"")</f>
        <v>DSP0036</v>
      </c>
      <c r="P643" s="27" t="str">
        <f>IFERROR(VLOOKUP(B643,crm_orders!$A:$S,5,FALSE),"")</f>
        <v>OK</v>
      </c>
      <c r="Q643" s="27" t="str">
        <f>IFERROR(VLOOKUP(B643,crm_orders!$A:$S,7,FALSE),"")</f>
        <v>Retail</v>
      </c>
      <c r="R643" s="27" t="str">
        <f>IFERROR(VLOOKUP(B643,crm_orders!$A:$S,8,FALSE),"")</f>
        <v>SKU0004</v>
      </c>
    </row>
    <row r="644" ht="15.75" customHeight="1">
      <c r="A644" s="17" t="s">
        <v>3541</v>
      </c>
      <c r="B644" s="17" t="s">
        <v>419</v>
      </c>
      <c r="C644" s="18">
        <v>46064.0</v>
      </c>
      <c r="D644" s="17" t="s">
        <v>2243</v>
      </c>
      <c r="E644" s="17" t="s">
        <v>2251</v>
      </c>
      <c r="F644" s="17" t="s">
        <v>3542</v>
      </c>
      <c r="G644" s="21">
        <v>6.0</v>
      </c>
      <c r="H644" s="21">
        <v>6.0</v>
      </c>
      <c r="I644" s="21">
        <v>0.0</v>
      </c>
      <c r="J644" s="17" t="s">
        <v>2247</v>
      </c>
      <c r="K644" s="17" t="s">
        <v>2247</v>
      </c>
      <c r="L644" s="17" t="s">
        <v>2247</v>
      </c>
      <c r="M644" s="17" t="s">
        <v>2248</v>
      </c>
      <c r="N644" s="21">
        <f>IFERROR((C644-VLOOKUP(B644,crm_orders!$A:$S,2,FALSE))*24,0)</f>
        <v>24</v>
      </c>
      <c r="O644" s="19" t="str">
        <f>IFERROR(VLOOKUP(B644,crm_orders!$A:$S,3,FALSE),"")</f>
        <v>DSP0069</v>
      </c>
      <c r="P644" s="19" t="str">
        <f>IFERROR(VLOOKUP(B644,crm_orders!$A:$S,5,FALSE),"")</f>
        <v>MO</v>
      </c>
      <c r="Q644" s="19" t="str">
        <f>IFERROR(VLOOKUP(B644,crm_orders!$A:$S,7,FALSE),"")</f>
        <v>Distributor</v>
      </c>
      <c r="R644" s="19" t="str">
        <f>IFERROR(VLOOKUP(B644,crm_orders!$A:$S,8,FALSE),"")</f>
        <v>SKU0015</v>
      </c>
    </row>
    <row r="645" ht="15.75" customHeight="1">
      <c r="A645" s="25" t="s">
        <v>3543</v>
      </c>
      <c r="B645" s="25" t="s">
        <v>831</v>
      </c>
      <c r="C645" s="26">
        <v>46043.0</v>
      </c>
      <c r="D645" s="25" t="s">
        <v>2260</v>
      </c>
      <c r="E645" s="25" t="s">
        <v>2286</v>
      </c>
      <c r="F645" s="25" t="s">
        <v>3544</v>
      </c>
      <c r="G645" s="29">
        <v>24.0</v>
      </c>
      <c r="H645" s="29">
        <v>24.0</v>
      </c>
      <c r="I645" s="29">
        <v>0.0</v>
      </c>
      <c r="J645" s="25" t="s">
        <v>2246</v>
      </c>
      <c r="K645" s="25" t="s">
        <v>2247</v>
      </c>
      <c r="L645" s="25" t="s">
        <v>2246</v>
      </c>
      <c r="M645" s="25" t="s">
        <v>2248</v>
      </c>
      <c r="N645" s="29">
        <f>IFERROR((C645-VLOOKUP(B645,crm_orders!$A:$S,2,FALSE))*24,0)</f>
        <v>264</v>
      </c>
      <c r="O645" s="27" t="str">
        <f>IFERROR(VLOOKUP(B645,crm_orders!$A:$S,3,FALSE),"")</f>
        <v>DSP0089</v>
      </c>
      <c r="P645" s="27" t="str">
        <f>IFERROR(VLOOKUP(B645,crm_orders!$A:$S,5,FALSE),"")</f>
        <v>AZ</v>
      </c>
      <c r="Q645" s="27" t="str">
        <f>IFERROR(VLOOKUP(B645,crm_orders!$A:$S,7,FALSE),"")</f>
        <v>Wholesale</v>
      </c>
      <c r="R645" s="27" t="str">
        <f>IFERROR(VLOOKUP(B645,crm_orders!$A:$S,8,FALSE),"")</f>
        <v>SKU0014</v>
      </c>
    </row>
    <row r="646" ht="15.75" customHeight="1">
      <c r="A646" s="17" t="s">
        <v>3545</v>
      </c>
      <c r="B646" s="17" t="s">
        <v>671</v>
      </c>
      <c r="C646" s="18">
        <v>46135.0</v>
      </c>
      <c r="D646" s="17" t="s">
        <v>2243</v>
      </c>
      <c r="E646" s="17" t="s">
        <v>2244</v>
      </c>
      <c r="F646" s="17" t="s">
        <v>3546</v>
      </c>
      <c r="G646" s="21">
        <v>120.0</v>
      </c>
      <c r="H646" s="21">
        <v>120.0</v>
      </c>
      <c r="I646" s="21">
        <v>0.0</v>
      </c>
      <c r="J646" s="17" t="s">
        <v>2246</v>
      </c>
      <c r="K646" s="17" t="s">
        <v>2247</v>
      </c>
      <c r="L646" s="17" t="s">
        <v>2246</v>
      </c>
      <c r="M646" s="17" t="s">
        <v>2248</v>
      </c>
      <c r="N646" s="21">
        <f>IFERROR((C646-VLOOKUP(B646,crm_orders!$A:$S,2,FALSE))*24,0)</f>
        <v>240</v>
      </c>
      <c r="O646" s="19" t="str">
        <f>IFERROR(VLOOKUP(B646,crm_orders!$A:$S,3,FALSE),"")</f>
        <v>DSP0004</v>
      </c>
      <c r="P646" s="19" t="str">
        <f>IFERROR(VLOOKUP(B646,crm_orders!$A:$S,5,FALSE),"")</f>
        <v>CO</v>
      </c>
      <c r="Q646" s="19" t="str">
        <f>IFERROR(VLOOKUP(B646,crm_orders!$A:$S,7,FALSE),"")</f>
        <v>Wholesale</v>
      </c>
      <c r="R646" s="19" t="str">
        <f>IFERROR(VLOOKUP(B646,crm_orders!$A:$S,8,FALSE),"")</f>
        <v>SKU0019</v>
      </c>
    </row>
    <row r="647" ht="15.75" customHeight="1">
      <c r="A647" s="25" t="s">
        <v>3547</v>
      </c>
      <c r="B647" s="25" t="s">
        <v>1189</v>
      </c>
      <c r="C647" s="26">
        <v>46094.0</v>
      </c>
      <c r="D647" s="25" t="s">
        <v>2250</v>
      </c>
      <c r="E647" s="25" t="s">
        <v>2261</v>
      </c>
      <c r="F647" s="25" t="s">
        <v>3548</v>
      </c>
      <c r="G647" s="29">
        <v>24.0</v>
      </c>
      <c r="H647" s="29">
        <v>6.0</v>
      </c>
      <c r="I647" s="29">
        <v>18.0</v>
      </c>
      <c r="J647" s="25" t="s">
        <v>2246</v>
      </c>
      <c r="K647" s="25" t="s">
        <v>2246</v>
      </c>
      <c r="L647" s="25" t="s">
        <v>2246</v>
      </c>
      <c r="M647" s="25" t="s">
        <v>2267</v>
      </c>
      <c r="N647" s="29">
        <f>IFERROR((C647-VLOOKUP(B647,crm_orders!$A:$S,2,FALSE))*24,0)</f>
        <v>120</v>
      </c>
      <c r="O647" s="27" t="str">
        <f>IFERROR(VLOOKUP(B647,crm_orders!$A:$S,3,FALSE),"")</f>
        <v>DSP0007</v>
      </c>
      <c r="P647" s="27" t="str">
        <f>IFERROR(VLOOKUP(B647,crm_orders!$A:$S,5,FALSE),"")</f>
        <v>IL</v>
      </c>
      <c r="Q647" s="27" t="str">
        <f>IFERROR(VLOOKUP(B647,crm_orders!$A:$S,7,FALSE),"")</f>
        <v>Wholesale</v>
      </c>
      <c r="R647" s="27" t="str">
        <f>IFERROR(VLOOKUP(B647,crm_orders!$A:$S,8,FALSE),"")</f>
        <v>SKU0011</v>
      </c>
    </row>
    <row r="648" ht="15.75" customHeight="1">
      <c r="A648" s="17" t="s">
        <v>3549</v>
      </c>
      <c r="B648" s="17" t="s">
        <v>672</v>
      </c>
      <c r="C648" s="18">
        <v>46103.0</v>
      </c>
      <c r="D648" s="17" t="s">
        <v>2243</v>
      </c>
      <c r="E648" s="17" t="s">
        <v>2261</v>
      </c>
      <c r="F648" s="17" t="s">
        <v>3550</v>
      </c>
      <c r="G648" s="21">
        <v>120.0</v>
      </c>
      <c r="H648" s="21">
        <v>120.0</v>
      </c>
      <c r="I648" s="21">
        <v>0.0</v>
      </c>
      <c r="J648" s="17" t="s">
        <v>2246</v>
      </c>
      <c r="K648" s="17" t="s">
        <v>2247</v>
      </c>
      <c r="L648" s="17" t="s">
        <v>2246</v>
      </c>
      <c r="M648" s="17" t="s">
        <v>2248</v>
      </c>
      <c r="N648" s="21">
        <f>IFERROR((C648-VLOOKUP(B648,crm_orders!$A:$S,2,FALSE))*24,0)</f>
        <v>48</v>
      </c>
      <c r="O648" s="19" t="str">
        <f>IFERROR(VLOOKUP(B648,crm_orders!$A:$S,3,FALSE),"")</f>
        <v>DSP0008</v>
      </c>
      <c r="P648" s="19" t="str">
        <f>IFERROR(VLOOKUP(B648,crm_orders!$A:$S,5,FALSE),"")</f>
        <v>MI</v>
      </c>
      <c r="Q648" s="19" t="str">
        <f>IFERROR(VLOOKUP(B648,crm_orders!$A:$S,7,FALSE),"")</f>
        <v>Wholesale</v>
      </c>
      <c r="R648" s="19" t="str">
        <f>IFERROR(VLOOKUP(B648,crm_orders!$A:$S,8,FALSE),"")</f>
        <v>SKU0010</v>
      </c>
    </row>
    <row r="649" ht="15.75" customHeight="1">
      <c r="A649" s="25" t="s">
        <v>3551</v>
      </c>
      <c r="B649" s="25" t="s">
        <v>832</v>
      </c>
      <c r="C649" s="26">
        <v>46123.0</v>
      </c>
      <c r="D649" s="25" t="s">
        <v>2260</v>
      </c>
      <c r="E649" s="25" t="s">
        <v>2244</v>
      </c>
      <c r="F649" s="25" t="s">
        <v>3552</v>
      </c>
      <c r="G649" s="29">
        <v>48.0</v>
      </c>
      <c r="H649" s="29">
        <v>48.0</v>
      </c>
      <c r="I649" s="29">
        <v>0.0</v>
      </c>
      <c r="J649" s="25" t="s">
        <v>2246</v>
      </c>
      <c r="K649" s="25" t="s">
        <v>2247</v>
      </c>
      <c r="L649" s="25" t="s">
        <v>2246</v>
      </c>
      <c r="M649" s="25" t="s">
        <v>2248</v>
      </c>
      <c r="N649" s="29">
        <f>IFERROR((C649-VLOOKUP(B649,crm_orders!$A:$S,2,FALSE))*24,0)</f>
        <v>96</v>
      </c>
      <c r="O649" s="27" t="str">
        <f>IFERROR(VLOOKUP(B649,crm_orders!$A:$S,3,FALSE),"")</f>
        <v>DSP0013</v>
      </c>
      <c r="P649" s="27" t="str">
        <f>IFERROR(VLOOKUP(B649,crm_orders!$A:$S,5,FALSE),"")</f>
        <v>OR</v>
      </c>
      <c r="Q649" s="27" t="str">
        <f>IFERROR(VLOOKUP(B649,crm_orders!$A:$S,7,FALSE),"")</f>
        <v>Retail</v>
      </c>
      <c r="R649" s="27" t="str">
        <f>IFERROR(VLOOKUP(B649,crm_orders!$A:$S,8,FALSE),"")</f>
        <v>SKU0020</v>
      </c>
    </row>
    <row r="650" ht="15.75" customHeight="1">
      <c r="A650" s="17" t="s">
        <v>3553</v>
      </c>
      <c r="B650" s="17" t="s">
        <v>266</v>
      </c>
      <c r="C650" s="18">
        <v>46115.0</v>
      </c>
      <c r="D650" s="17" t="s">
        <v>2254</v>
      </c>
      <c r="E650" s="17" t="s">
        <v>2261</v>
      </c>
      <c r="F650" s="17" t="s">
        <v>3554</v>
      </c>
      <c r="G650" s="21">
        <v>12.0</v>
      </c>
      <c r="H650" s="21">
        <v>12.0</v>
      </c>
      <c r="I650" s="21">
        <v>0.0</v>
      </c>
      <c r="J650" s="17" t="s">
        <v>2246</v>
      </c>
      <c r="K650" s="17" t="s">
        <v>2247</v>
      </c>
      <c r="L650" s="17" t="s">
        <v>2246</v>
      </c>
      <c r="M650" s="17" t="s">
        <v>2248</v>
      </c>
      <c r="N650" s="21">
        <f>IFERROR((C650-VLOOKUP(B650,crm_orders!$A:$S,2,FALSE))*24,0)</f>
        <v>312</v>
      </c>
      <c r="O650" s="19" t="str">
        <f>IFERROR(VLOOKUP(B650,crm_orders!$A:$S,3,FALSE),"")</f>
        <v>DSP0055</v>
      </c>
      <c r="P650" s="19" t="str">
        <f>IFERROR(VLOOKUP(B650,crm_orders!$A:$S,5,FALSE),"")</f>
        <v>IL</v>
      </c>
      <c r="Q650" s="19" t="str">
        <f>IFERROR(VLOOKUP(B650,crm_orders!$A:$S,7,FALSE),"")</f>
        <v>Retail</v>
      </c>
      <c r="R650" s="19" t="str">
        <f>IFERROR(VLOOKUP(B650,crm_orders!$A:$S,8,FALSE),"")</f>
        <v>SKU0020</v>
      </c>
    </row>
    <row r="651" ht="15.75" customHeight="1">
      <c r="A651" s="25" t="s">
        <v>3555</v>
      </c>
      <c r="B651" s="25" t="s">
        <v>522</v>
      </c>
      <c r="C651" s="26">
        <v>46037.0</v>
      </c>
      <c r="D651" s="25" t="s">
        <v>2260</v>
      </c>
      <c r="E651" s="25" t="s">
        <v>2244</v>
      </c>
      <c r="F651" s="25" t="s">
        <v>3556</v>
      </c>
      <c r="G651" s="29">
        <v>96.0</v>
      </c>
      <c r="H651" s="29">
        <v>96.0</v>
      </c>
      <c r="I651" s="29">
        <v>0.0</v>
      </c>
      <c r="J651" s="25" t="s">
        <v>2246</v>
      </c>
      <c r="K651" s="25" t="s">
        <v>2247</v>
      </c>
      <c r="L651" s="25" t="s">
        <v>2246</v>
      </c>
      <c r="M651" s="25" t="s">
        <v>2248</v>
      </c>
      <c r="N651" s="29">
        <f>IFERROR((C651-VLOOKUP(B651,crm_orders!$A:$S,2,FALSE))*24,0)</f>
        <v>312</v>
      </c>
      <c r="O651" s="27" t="str">
        <f>IFERROR(VLOOKUP(B651,crm_orders!$A:$S,3,FALSE),"")</f>
        <v>DSP0014</v>
      </c>
      <c r="P651" s="27" t="str">
        <f>IFERROR(VLOOKUP(B651,crm_orders!$A:$S,5,FALSE),"")</f>
        <v>WA</v>
      </c>
      <c r="Q651" s="27" t="str">
        <f>IFERROR(VLOOKUP(B651,crm_orders!$A:$S,7,FALSE),"")</f>
        <v>Distributor</v>
      </c>
      <c r="R651" s="27" t="str">
        <f>IFERROR(VLOOKUP(B651,crm_orders!$A:$S,8,FALSE),"")</f>
        <v>SKU0004</v>
      </c>
    </row>
    <row r="652" ht="15.75" customHeight="1">
      <c r="A652" s="17" t="s">
        <v>3557</v>
      </c>
      <c r="B652" s="17" t="s">
        <v>420</v>
      </c>
      <c r="C652" s="18">
        <v>46108.0</v>
      </c>
      <c r="D652" s="17" t="s">
        <v>2260</v>
      </c>
      <c r="E652" s="17" t="s">
        <v>2244</v>
      </c>
      <c r="F652" s="17" t="s">
        <v>3558</v>
      </c>
      <c r="G652" s="21">
        <v>120.0</v>
      </c>
      <c r="H652" s="21">
        <v>120.0</v>
      </c>
      <c r="I652" s="21">
        <v>0.0</v>
      </c>
      <c r="J652" s="17" t="s">
        <v>2246</v>
      </c>
      <c r="K652" s="17" t="s">
        <v>2247</v>
      </c>
      <c r="L652" s="17" t="s">
        <v>2246</v>
      </c>
      <c r="M652" s="17" t="s">
        <v>2248</v>
      </c>
      <c r="N652" s="21">
        <f>IFERROR((C652-VLOOKUP(B652,crm_orders!$A:$S,2,FALSE))*24,0)</f>
        <v>240</v>
      </c>
      <c r="O652" s="19" t="str">
        <f>IFERROR(VLOOKUP(B652,crm_orders!$A:$S,3,FALSE),"")</f>
        <v>DSP0002</v>
      </c>
      <c r="P652" s="19" t="str">
        <f>IFERROR(VLOOKUP(B652,crm_orders!$A:$S,5,FALSE),"")</f>
        <v>WA</v>
      </c>
      <c r="Q652" s="19" t="str">
        <f>IFERROR(VLOOKUP(B652,crm_orders!$A:$S,7,FALSE),"")</f>
        <v>Wholesale</v>
      </c>
      <c r="R652" s="19" t="str">
        <f>IFERROR(VLOOKUP(B652,crm_orders!$A:$S,8,FALSE),"")</f>
        <v>SKU0017</v>
      </c>
    </row>
    <row r="653" ht="15.75" customHeight="1">
      <c r="A653" s="25" t="s">
        <v>3559</v>
      </c>
      <c r="B653" s="25" t="s">
        <v>674</v>
      </c>
      <c r="C653" s="26">
        <v>46113.0</v>
      </c>
      <c r="D653" s="25" t="s">
        <v>2243</v>
      </c>
      <c r="E653" s="25" t="s">
        <v>2286</v>
      </c>
      <c r="F653" s="25" t="s">
        <v>3560</v>
      </c>
      <c r="G653" s="29">
        <v>24.0</v>
      </c>
      <c r="H653" s="29">
        <v>24.0</v>
      </c>
      <c r="I653" s="29">
        <v>0.0</v>
      </c>
      <c r="J653" s="25" t="s">
        <v>2246</v>
      </c>
      <c r="K653" s="25" t="s">
        <v>2247</v>
      </c>
      <c r="L653" s="25" t="s">
        <v>2246</v>
      </c>
      <c r="M653" s="25" t="s">
        <v>2248</v>
      </c>
      <c r="N653" s="29">
        <f>IFERROR((C653-VLOOKUP(B653,crm_orders!$A:$S,2,FALSE))*24,0)</f>
        <v>216</v>
      </c>
      <c r="O653" s="27" t="str">
        <f>IFERROR(VLOOKUP(B653,crm_orders!$A:$S,3,FALSE),"")</f>
        <v>DSP0026</v>
      </c>
      <c r="P653" s="27" t="str">
        <f>IFERROR(VLOOKUP(B653,crm_orders!$A:$S,5,FALSE),"")</f>
        <v>WA</v>
      </c>
      <c r="Q653" s="27" t="str">
        <f>IFERROR(VLOOKUP(B653,crm_orders!$A:$S,7,FALSE),"")</f>
        <v>Retail</v>
      </c>
      <c r="R653" s="27" t="str">
        <f>IFERROR(VLOOKUP(B653,crm_orders!$A:$S,8,FALSE),"")</f>
        <v>SKU0007</v>
      </c>
    </row>
    <row r="654" ht="15.75" customHeight="1">
      <c r="A654" s="17" t="s">
        <v>3561</v>
      </c>
      <c r="B654" s="17" t="s">
        <v>147</v>
      </c>
      <c r="C654" s="18">
        <v>46066.0</v>
      </c>
      <c r="D654" s="17" t="s">
        <v>2243</v>
      </c>
      <c r="E654" s="17" t="s">
        <v>2244</v>
      </c>
      <c r="F654" s="17" t="s">
        <v>3562</v>
      </c>
      <c r="G654" s="21">
        <v>96.0</v>
      </c>
      <c r="H654" s="21">
        <v>96.0</v>
      </c>
      <c r="I654" s="21">
        <v>0.0</v>
      </c>
      <c r="J654" s="17" t="s">
        <v>2247</v>
      </c>
      <c r="K654" s="17" t="s">
        <v>2247</v>
      </c>
      <c r="L654" s="17" t="s">
        <v>2247</v>
      </c>
      <c r="M654" s="17" t="s">
        <v>2248</v>
      </c>
      <c r="N654" s="21">
        <f>IFERROR((C654-VLOOKUP(B654,crm_orders!$A:$S,2,FALSE))*24,0)</f>
        <v>24</v>
      </c>
      <c r="O654" s="19" t="str">
        <f>IFERROR(VLOOKUP(B654,crm_orders!$A:$S,3,FALSE),"")</f>
        <v>DSP0075</v>
      </c>
      <c r="P654" s="19" t="str">
        <f>IFERROR(VLOOKUP(B654,crm_orders!$A:$S,5,FALSE),"")</f>
        <v>CA</v>
      </c>
      <c r="Q654" s="19" t="str">
        <f>IFERROR(VLOOKUP(B654,crm_orders!$A:$S,7,FALSE),"")</f>
        <v>Wholesale</v>
      </c>
      <c r="R654" s="19" t="str">
        <f>IFERROR(VLOOKUP(B654,crm_orders!$A:$S,8,FALSE),"")</f>
        <v>SKU0019</v>
      </c>
    </row>
    <row r="655" ht="15.75" customHeight="1">
      <c r="A655" s="25" t="s">
        <v>3563</v>
      </c>
      <c r="B655" s="25" t="s">
        <v>834</v>
      </c>
      <c r="C655" s="26">
        <v>46117.0</v>
      </c>
      <c r="D655" s="25" t="s">
        <v>2250</v>
      </c>
      <c r="E655" s="25" t="s">
        <v>2286</v>
      </c>
      <c r="F655" s="25" t="s">
        <v>3564</v>
      </c>
      <c r="G655" s="29">
        <v>24.0</v>
      </c>
      <c r="H655" s="29">
        <v>24.0</v>
      </c>
      <c r="I655" s="29">
        <v>0.0</v>
      </c>
      <c r="J655" s="25" t="s">
        <v>2247</v>
      </c>
      <c r="K655" s="25" t="s">
        <v>2247</v>
      </c>
      <c r="L655" s="25" t="s">
        <v>2247</v>
      </c>
      <c r="M655" s="25" t="s">
        <v>2248</v>
      </c>
      <c r="N655" s="29">
        <f>IFERROR((C655-VLOOKUP(B655,crm_orders!$A:$S,2,FALSE))*24,0)</f>
        <v>144</v>
      </c>
      <c r="O655" s="27" t="str">
        <f>IFERROR(VLOOKUP(B655,crm_orders!$A:$S,3,FALSE),"")</f>
        <v>DSP0082</v>
      </c>
      <c r="P655" s="27" t="str">
        <f>IFERROR(VLOOKUP(B655,crm_orders!$A:$S,5,FALSE),"")</f>
        <v>NM</v>
      </c>
      <c r="Q655" s="27" t="str">
        <f>IFERROR(VLOOKUP(B655,crm_orders!$A:$S,7,FALSE),"")</f>
        <v>Wholesale</v>
      </c>
      <c r="R655" s="27" t="str">
        <f>IFERROR(VLOOKUP(B655,crm_orders!$A:$S,8,FALSE),"")</f>
        <v>SKU0008</v>
      </c>
    </row>
    <row r="656" ht="15.75" customHeight="1">
      <c r="A656" s="17" t="s">
        <v>3565</v>
      </c>
      <c r="B656" s="17" t="s">
        <v>935</v>
      </c>
      <c r="C656" s="18">
        <v>46133.0</v>
      </c>
      <c r="D656" s="17" t="s">
        <v>2250</v>
      </c>
      <c r="E656" s="17" t="s">
        <v>2251</v>
      </c>
      <c r="F656" s="17" t="s">
        <v>3566</v>
      </c>
      <c r="G656" s="21">
        <v>6.0</v>
      </c>
      <c r="H656" s="21">
        <v>6.0</v>
      </c>
      <c r="I656" s="21">
        <v>0.0</v>
      </c>
      <c r="J656" s="17" t="s">
        <v>2246</v>
      </c>
      <c r="K656" s="17" t="s">
        <v>2247</v>
      </c>
      <c r="L656" s="17" t="s">
        <v>2246</v>
      </c>
      <c r="M656" s="17" t="s">
        <v>2248</v>
      </c>
      <c r="N656" s="21">
        <f>IFERROR((C656-VLOOKUP(B656,crm_orders!$A:$S,2,FALSE))*24,0)</f>
        <v>120</v>
      </c>
      <c r="O656" s="19" t="str">
        <f>IFERROR(VLOOKUP(B656,crm_orders!$A:$S,3,FALSE),"")</f>
        <v>DSP0052</v>
      </c>
      <c r="P656" s="19" t="str">
        <f>IFERROR(VLOOKUP(B656,crm_orders!$A:$S,5,FALSE),"")</f>
        <v>CO</v>
      </c>
      <c r="Q656" s="19" t="str">
        <f>IFERROR(VLOOKUP(B656,crm_orders!$A:$S,7,FALSE),"")</f>
        <v>Wholesale</v>
      </c>
      <c r="R656" s="19" t="str">
        <f>IFERROR(VLOOKUP(B656,crm_orders!$A:$S,8,FALSE),"")</f>
        <v>SKU0006</v>
      </c>
    </row>
    <row r="657" ht="15.75" customHeight="1">
      <c r="A657" s="25" t="s">
        <v>3567</v>
      </c>
      <c r="B657" s="25" t="s">
        <v>267</v>
      </c>
      <c r="C657" s="26">
        <v>46144.0</v>
      </c>
      <c r="D657" s="25" t="s">
        <v>2260</v>
      </c>
      <c r="E657" s="25" t="s">
        <v>2286</v>
      </c>
      <c r="F657" s="25" t="s">
        <v>3568</v>
      </c>
      <c r="G657" s="29">
        <v>36.0</v>
      </c>
      <c r="H657" s="29">
        <v>36.0</v>
      </c>
      <c r="I657" s="29">
        <v>0.0</v>
      </c>
      <c r="J657" s="25" t="s">
        <v>2246</v>
      </c>
      <c r="K657" s="25" t="s">
        <v>2247</v>
      </c>
      <c r="L657" s="25" t="s">
        <v>2246</v>
      </c>
      <c r="M657" s="25" t="s">
        <v>2248</v>
      </c>
      <c r="N657" s="29">
        <f>IFERROR((C657-VLOOKUP(B657,crm_orders!$A:$S,2,FALSE))*24,0)</f>
        <v>120</v>
      </c>
      <c r="O657" s="27" t="str">
        <f>IFERROR(VLOOKUP(B657,crm_orders!$A:$S,3,FALSE),"")</f>
        <v>DSP0081</v>
      </c>
      <c r="P657" s="27" t="str">
        <f>IFERROR(VLOOKUP(B657,crm_orders!$A:$S,5,FALSE),"")</f>
        <v>MO</v>
      </c>
      <c r="Q657" s="27" t="str">
        <f>IFERROR(VLOOKUP(B657,crm_orders!$A:$S,7,FALSE),"")</f>
        <v>Wholesale</v>
      </c>
      <c r="R657" s="27" t="str">
        <f>IFERROR(VLOOKUP(B657,crm_orders!$A:$S,8,FALSE),"")</f>
        <v>SKU0019</v>
      </c>
    </row>
    <row r="658" ht="15.75" customHeight="1">
      <c r="A658" s="17" t="s">
        <v>3569</v>
      </c>
      <c r="B658" s="17" t="s">
        <v>1190</v>
      </c>
      <c r="C658" s="18">
        <v>46138.0</v>
      </c>
      <c r="D658" s="17" t="s">
        <v>2243</v>
      </c>
      <c r="E658" s="17" t="s">
        <v>2244</v>
      </c>
      <c r="F658" s="17" t="s">
        <v>3570</v>
      </c>
      <c r="G658" s="21">
        <v>72.0</v>
      </c>
      <c r="H658" s="21">
        <v>72.0</v>
      </c>
      <c r="I658" s="21">
        <v>0.0</v>
      </c>
      <c r="J658" s="17" t="s">
        <v>2246</v>
      </c>
      <c r="K658" s="17" t="s">
        <v>2247</v>
      </c>
      <c r="L658" s="17" t="s">
        <v>2246</v>
      </c>
      <c r="M658" s="17" t="s">
        <v>2248</v>
      </c>
      <c r="N658" s="21">
        <f>IFERROR((C658-VLOOKUP(B658,crm_orders!$A:$S,2,FALSE))*24,0)</f>
        <v>168</v>
      </c>
      <c r="O658" s="19" t="str">
        <f>IFERROR(VLOOKUP(B658,crm_orders!$A:$S,3,FALSE),"")</f>
        <v>DSP0023</v>
      </c>
      <c r="P658" s="19" t="str">
        <f>IFERROR(VLOOKUP(B658,crm_orders!$A:$S,5,FALSE),"")</f>
        <v>NY</v>
      </c>
      <c r="Q658" s="19" t="str">
        <f>IFERROR(VLOOKUP(B658,crm_orders!$A:$S,7,FALSE),"")</f>
        <v>Wholesale</v>
      </c>
      <c r="R658" s="19" t="str">
        <f>IFERROR(VLOOKUP(B658,crm_orders!$A:$S,8,FALSE),"")</f>
        <v>SKU0011</v>
      </c>
    </row>
    <row r="659" ht="15.75" customHeight="1">
      <c r="A659" s="25" t="s">
        <v>3571</v>
      </c>
      <c r="B659" s="25" t="s">
        <v>1191</v>
      </c>
      <c r="C659" s="26">
        <v>46077.0</v>
      </c>
      <c r="D659" s="25" t="s">
        <v>2260</v>
      </c>
      <c r="E659" s="25" t="s">
        <v>2251</v>
      </c>
      <c r="F659" s="25" t="s">
        <v>3572</v>
      </c>
      <c r="G659" s="29">
        <v>120.0</v>
      </c>
      <c r="H659" s="29">
        <v>120.0</v>
      </c>
      <c r="I659" s="29">
        <v>0.0</v>
      </c>
      <c r="J659" s="25" t="s">
        <v>2246</v>
      </c>
      <c r="K659" s="25" t="s">
        <v>2247</v>
      </c>
      <c r="L659" s="25" t="s">
        <v>2246</v>
      </c>
      <c r="M659" s="25" t="s">
        <v>2248</v>
      </c>
      <c r="N659" s="29">
        <f>IFERROR((C659-VLOOKUP(B659,crm_orders!$A:$S,2,FALSE))*24,0)</f>
        <v>144</v>
      </c>
      <c r="O659" s="27" t="str">
        <f>IFERROR(VLOOKUP(B659,crm_orders!$A:$S,3,FALSE),"")</f>
        <v>DSP0087</v>
      </c>
      <c r="P659" s="27" t="str">
        <f>IFERROR(VLOOKUP(B659,crm_orders!$A:$S,5,FALSE),"")</f>
        <v>CA</v>
      </c>
      <c r="Q659" s="27" t="str">
        <f>IFERROR(VLOOKUP(B659,crm_orders!$A:$S,7,FALSE),"")</f>
        <v>Distributor</v>
      </c>
      <c r="R659" s="27" t="str">
        <f>IFERROR(VLOOKUP(B659,crm_orders!$A:$S,8,FALSE),"")</f>
        <v>SKU0005</v>
      </c>
    </row>
    <row r="660" ht="15.75" customHeight="1">
      <c r="A660" s="17" t="s">
        <v>3573</v>
      </c>
      <c r="B660" s="17" t="s">
        <v>421</v>
      </c>
      <c r="C660" s="18">
        <v>46145.0</v>
      </c>
      <c r="D660" s="17" t="s">
        <v>2243</v>
      </c>
      <c r="E660" s="17" t="s">
        <v>2286</v>
      </c>
      <c r="F660" s="17" t="s">
        <v>3574</v>
      </c>
      <c r="G660" s="21">
        <v>72.0</v>
      </c>
      <c r="H660" s="21">
        <v>72.0</v>
      </c>
      <c r="I660" s="21">
        <v>0.0</v>
      </c>
      <c r="J660" s="17" t="s">
        <v>2247</v>
      </c>
      <c r="K660" s="17" t="s">
        <v>2247</v>
      </c>
      <c r="L660" s="17" t="s">
        <v>2247</v>
      </c>
      <c r="M660" s="17" t="s">
        <v>2248</v>
      </c>
      <c r="N660" s="21">
        <f>IFERROR((C660-VLOOKUP(B660,crm_orders!$A:$S,2,FALSE))*24,0)</f>
        <v>48</v>
      </c>
      <c r="O660" s="19" t="str">
        <f>IFERROR(VLOOKUP(B660,crm_orders!$A:$S,3,FALSE),"")</f>
        <v>DSP0048</v>
      </c>
      <c r="P660" s="19" t="str">
        <f>IFERROR(VLOOKUP(B660,crm_orders!$A:$S,5,FALSE),"")</f>
        <v>OK</v>
      </c>
      <c r="Q660" s="19" t="str">
        <f>IFERROR(VLOOKUP(B660,crm_orders!$A:$S,7,FALSE),"")</f>
        <v>Distributor</v>
      </c>
      <c r="R660" s="19" t="str">
        <f>IFERROR(VLOOKUP(B660,crm_orders!$A:$S,8,FALSE),"")</f>
        <v>SKU0006</v>
      </c>
    </row>
    <row r="661" ht="15.75" customHeight="1">
      <c r="A661" s="25" t="s">
        <v>3575</v>
      </c>
      <c r="B661" s="25" t="s">
        <v>1192</v>
      </c>
      <c r="C661" s="26">
        <v>46142.0</v>
      </c>
      <c r="D661" s="25" t="s">
        <v>2260</v>
      </c>
      <c r="E661" s="25" t="s">
        <v>2251</v>
      </c>
      <c r="F661" s="25" t="s">
        <v>3576</v>
      </c>
      <c r="G661" s="29">
        <v>72.0</v>
      </c>
      <c r="H661" s="29">
        <v>72.0</v>
      </c>
      <c r="I661" s="29">
        <v>0.0</v>
      </c>
      <c r="J661" s="25" t="s">
        <v>2246</v>
      </c>
      <c r="K661" s="25" t="s">
        <v>2247</v>
      </c>
      <c r="L661" s="25" t="s">
        <v>2246</v>
      </c>
      <c r="M661" s="25" t="s">
        <v>2248</v>
      </c>
      <c r="N661" s="29">
        <f>IFERROR((C661-VLOOKUP(B661,crm_orders!$A:$S,2,FALSE))*24,0)</f>
        <v>240</v>
      </c>
      <c r="O661" s="27" t="str">
        <f>IFERROR(VLOOKUP(B661,crm_orders!$A:$S,3,FALSE),"")</f>
        <v>DSP0076</v>
      </c>
      <c r="P661" s="27" t="str">
        <f>IFERROR(VLOOKUP(B661,crm_orders!$A:$S,5,FALSE),"")</f>
        <v>CO</v>
      </c>
      <c r="Q661" s="27" t="str">
        <f>IFERROR(VLOOKUP(B661,crm_orders!$A:$S,7,FALSE),"")</f>
        <v>Wholesale</v>
      </c>
      <c r="R661" s="27" t="str">
        <f>IFERROR(VLOOKUP(B661,crm_orders!$A:$S,8,FALSE),"")</f>
        <v>SKU0007</v>
      </c>
    </row>
    <row r="662" ht="15.75" customHeight="1">
      <c r="A662" s="17" t="s">
        <v>3577</v>
      </c>
      <c r="B662" s="17" t="s">
        <v>1057</v>
      </c>
      <c r="C662" s="18">
        <v>46082.0</v>
      </c>
      <c r="D662" s="17" t="s">
        <v>2250</v>
      </c>
      <c r="E662" s="17" t="s">
        <v>2261</v>
      </c>
      <c r="F662" s="17" t="s">
        <v>3578</v>
      </c>
      <c r="G662" s="21">
        <v>60.0</v>
      </c>
      <c r="H662" s="21">
        <v>60.0</v>
      </c>
      <c r="I662" s="21">
        <v>0.0</v>
      </c>
      <c r="J662" s="17" t="s">
        <v>2246</v>
      </c>
      <c r="K662" s="17" t="s">
        <v>2247</v>
      </c>
      <c r="L662" s="17" t="s">
        <v>2246</v>
      </c>
      <c r="M662" s="17" t="s">
        <v>2248</v>
      </c>
      <c r="N662" s="21">
        <f>IFERROR((C662-VLOOKUP(B662,crm_orders!$A:$S,2,FALSE))*24,0)</f>
        <v>288</v>
      </c>
      <c r="O662" s="19" t="str">
        <f>IFERROR(VLOOKUP(B662,crm_orders!$A:$S,3,FALSE),"")</f>
        <v>DSP0083</v>
      </c>
      <c r="P662" s="19" t="str">
        <f>IFERROR(VLOOKUP(B662,crm_orders!$A:$S,5,FALSE),"")</f>
        <v>NY</v>
      </c>
      <c r="Q662" s="19" t="str">
        <f>IFERROR(VLOOKUP(B662,crm_orders!$A:$S,7,FALSE),"")</f>
        <v>Retail</v>
      </c>
      <c r="R662" s="19" t="str">
        <f>IFERROR(VLOOKUP(B662,crm_orders!$A:$S,8,FALSE),"")</f>
        <v>SKU0017</v>
      </c>
    </row>
    <row r="663" ht="15.75" customHeight="1">
      <c r="A663" s="25" t="s">
        <v>3579</v>
      </c>
      <c r="B663" s="25" t="s">
        <v>149</v>
      </c>
      <c r="C663" s="26">
        <v>46060.0</v>
      </c>
      <c r="D663" s="25" t="s">
        <v>2260</v>
      </c>
      <c r="E663" s="25" t="s">
        <v>2251</v>
      </c>
      <c r="F663" s="25" t="s">
        <v>3580</v>
      </c>
      <c r="G663" s="29">
        <v>96.0</v>
      </c>
      <c r="H663" s="29">
        <v>90.0</v>
      </c>
      <c r="I663" s="29">
        <v>6.0</v>
      </c>
      <c r="J663" s="25" t="s">
        <v>2246</v>
      </c>
      <c r="K663" s="25" t="s">
        <v>2246</v>
      </c>
      <c r="L663" s="25" t="s">
        <v>2246</v>
      </c>
      <c r="M663" s="25" t="s">
        <v>2267</v>
      </c>
      <c r="N663" s="29">
        <f>IFERROR((C663-VLOOKUP(B663,crm_orders!$A:$S,2,FALSE))*24,0)</f>
        <v>72</v>
      </c>
      <c r="O663" s="27" t="str">
        <f>IFERROR(VLOOKUP(B663,crm_orders!$A:$S,3,FALSE),"")</f>
        <v>DSP0064</v>
      </c>
      <c r="P663" s="27" t="str">
        <f>IFERROR(VLOOKUP(B663,crm_orders!$A:$S,5,FALSE),"")</f>
        <v>CO</v>
      </c>
      <c r="Q663" s="27" t="str">
        <f>IFERROR(VLOOKUP(B663,crm_orders!$A:$S,7,FALSE),"")</f>
        <v>Wholesale</v>
      </c>
      <c r="R663" s="27" t="str">
        <f>IFERROR(VLOOKUP(B663,crm_orders!$A:$S,8,FALSE),"")</f>
        <v>SKU0016</v>
      </c>
    </row>
    <row r="664" ht="15.75" customHeight="1">
      <c r="A664" s="17" t="s">
        <v>3581</v>
      </c>
      <c r="B664" s="17" t="s">
        <v>523</v>
      </c>
      <c r="C664" s="18">
        <v>46081.0</v>
      </c>
      <c r="D664" s="17" t="s">
        <v>2260</v>
      </c>
      <c r="E664" s="17" t="s">
        <v>2286</v>
      </c>
      <c r="F664" s="17" t="s">
        <v>3582</v>
      </c>
      <c r="G664" s="21">
        <v>24.0</v>
      </c>
      <c r="H664" s="21">
        <v>0.0</v>
      </c>
      <c r="I664" s="21">
        <v>24.0</v>
      </c>
      <c r="J664" s="17" t="s">
        <v>2246</v>
      </c>
      <c r="K664" s="17" t="s">
        <v>2246</v>
      </c>
      <c r="L664" s="17" t="s">
        <v>2246</v>
      </c>
      <c r="M664" s="17" t="s">
        <v>2267</v>
      </c>
      <c r="N664" s="21">
        <f>IFERROR((C664-VLOOKUP(B664,crm_orders!$A:$S,2,FALSE))*24,0)</f>
        <v>192</v>
      </c>
      <c r="O664" s="19" t="str">
        <f>IFERROR(VLOOKUP(B664,crm_orders!$A:$S,3,FALSE),"")</f>
        <v>DSP0058</v>
      </c>
      <c r="P664" s="19" t="str">
        <f>IFERROR(VLOOKUP(B664,crm_orders!$A:$S,5,FALSE),"")</f>
        <v>NM</v>
      </c>
      <c r="Q664" s="19" t="str">
        <f>IFERROR(VLOOKUP(B664,crm_orders!$A:$S,7,FALSE),"")</f>
        <v>Wholesale</v>
      </c>
      <c r="R664" s="19" t="str">
        <f>IFERROR(VLOOKUP(B664,crm_orders!$A:$S,8,FALSE),"")</f>
        <v>SKU0008</v>
      </c>
    </row>
    <row r="665" ht="15.75" customHeight="1">
      <c r="A665" s="25" t="s">
        <v>3583</v>
      </c>
      <c r="B665" s="25" t="s">
        <v>150</v>
      </c>
      <c r="C665" s="26">
        <v>46081.0</v>
      </c>
      <c r="D665" s="25" t="s">
        <v>2269</v>
      </c>
      <c r="E665" s="25" t="s">
        <v>2255</v>
      </c>
      <c r="F665" s="25" t="s">
        <v>3584</v>
      </c>
      <c r="G665" s="29">
        <v>36.0</v>
      </c>
      <c r="H665" s="29">
        <v>36.0</v>
      </c>
      <c r="I665" s="29">
        <v>0.0</v>
      </c>
      <c r="J665" s="25" t="s">
        <v>2246</v>
      </c>
      <c r="K665" s="25" t="s">
        <v>2247</v>
      </c>
      <c r="L665" s="25" t="s">
        <v>2246</v>
      </c>
      <c r="M665" s="25" t="s">
        <v>2248</v>
      </c>
      <c r="N665" s="29">
        <f>IFERROR((C665-VLOOKUP(B665,crm_orders!$A:$S,2,FALSE))*24,0)</f>
        <v>144</v>
      </c>
      <c r="O665" s="27" t="str">
        <f>IFERROR(VLOOKUP(B665,crm_orders!$A:$S,3,FALSE),"")</f>
        <v>DSP0060</v>
      </c>
      <c r="P665" s="27" t="str">
        <f>IFERROR(VLOOKUP(B665,crm_orders!$A:$S,5,FALSE),"")</f>
        <v>OK</v>
      </c>
      <c r="Q665" s="27" t="str">
        <f>IFERROR(VLOOKUP(B665,crm_orders!$A:$S,7,FALSE),"")</f>
        <v>Wholesale</v>
      </c>
      <c r="R665" s="27" t="str">
        <f>IFERROR(VLOOKUP(B665,crm_orders!$A:$S,8,FALSE),"")</f>
        <v>SKU0014</v>
      </c>
    </row>
    <row r="666" ht="15.75" customHeight="1">
      <c r="A666" s="17" t="s">
        <v>3585</v>
      </c>
      <c r="B666" s="17" t="s">
        <v>524</v>
      </c>
      <c r="C666" s="18">
        <v>46143.0</v>
      </c>
      <c r="D666" s="17" t="s">
        <v>2254</v>
      </c>
      <c r="E666" s="17" t="s">
        <v>2286</v>
      </c>
      <c r="F666" s="17" t="s">
        <v>3586</v>
      </c>
      <c r="G666" s="21">
        <v>12.0</v>
      </c>
      <c r="H666" s="21">
        <v>12.0</v>
      </c>
      <c r="I666" s="21">
        <v>0.0</v>
      </c>
      <c r="J666" s="17" t="s">
        <v>2246</v>
      </c>
      <c r="K666" s="17" t="s">
        <v>2247</v>
      </c>
      <c r="L666" s="17" t="s">
        <v>2246</v>
      </c>
      <c r="M666" s="17" t="s">
        <v>2248</v>
      </c>
      <c r="N666" s="21">
        <f>IFERROR((C666-VLOOKUP(B666,crm_orders!$A:$S,2,FALSE))*24,0)</f>
        <v>120</v>
      </c>
      <c r="O666" s="19" t="str">
        <f>IFERROR(VLOOKUP(B666,crm_orders!$A:$S,3,FALSE),"")</f>
        <v>DSP0010</v>
      </c>
      <c r="P666" s="19" t="str">
        <f>IFERROR(VLOOKUP(B666,crm_orders!$A:$S,5,FALSE),"")</f>
        <v>NM</v>
      </c>
      <c r="Q666" s="19" t="str">
        <f>IFERROR(VLOOKUP(B666,crm_orders!$A:$S,7,FALSE),"")</f>
        <v>Wholesale</v>
      </c>
      <c r="R666" s="19" t="str">
        <f>IFERROR(VLOOKUP(B666,crm_orders!$A:$S,8,FALSE),"")</f>
        <v>SKU0012</v>
      </c>
    </row>
    <row r="667" ht="15.75" customHeight="1">
      <c r="A667" s="25" t="s">
        <v>3587</v>
      </c>
      <c r="B667" s="25" t="s">
        <v>835</v>
      </c>
      <c r="C667" s="26">
        <v>46039.0</v>
      </c>
      <c r="D667" s="25" t="s">
        <v>2243</v>
      </c>
      <c r="E667" s="25" t="s">
        <v>2244</v>
      </c>
      <c r="F667" s="25" t="s">
        <v>3588</v>
      </c>
      <c r="G667" s="29">
        <v>36.0</v>
      </c>
      <c r="H667" s="29">
        <v>36.0</v>
      </c>
      <c r="I667" s="29">
        <v>0.0</v>
      </c>
      <c r="J667" s="25" t="s">
        <v>2246</v>
      </c>
      <c r="K667" s="25" t="s">
        <v>2247</v>
      </c>
      <c r="L667" s="25" t="s">
        <v>2246</v>
      </c>
      <c r="M667" s="25" t="s">
        <v>2248</v>
      </c>
      <c r="N667" s="29">
        <f>IFERROR((C667-VLOOKUP(B667,crm_orders!$A:$S,2,FALSE))*24,0)</f>
        <v>168</v>
      </c>
      <c r="O667" s="27" t="str">
        <f>IFERROR(VLOOKUP(B667,crm_orders!$A:$S,3,FALSE),"")</f>
        <v>DSP0013</v>
      </c>
      <c r="P667" s="27" t="str">
        <f>IFERROR(VLOOKUP(B667,crm_orders!$A:$S,5,FALSE),"")</f>
        <v>OR</v>
      </c>
      <c r="Q667" s="27" t="str">
        <f>IFERROR(VLOOKUP(B667,crm_orders!$A:$S,7,FALSE),"")</f>
        <v>Wholesale</v>
      </c>
      <c r="R667" s="27" t="str">
        <f>IFERROR(VLOOKUP(B667,crm_orders!$A:$S,8,FALSE),"")</f>
        <v>SKU0004</v>
      </c>
    </row>
    <row r="668" ht="15.75" customHeight="1">
      <c r="A668" s="17" t="s">
        <v>3589</v>
      </c>
      <c r="B668" s="17" t="s">
        <v>269</v>
      </c>
      <c r="C668" s="18">
        <v>46061.0</v>
      </c>
      <c r="D668" s="17" t="s">
        <v>2260</v>
      </c>
      <c r="E668" s="17" t="s">
        <v>2251</v>
      </c>
      <c r="F668" s="17" t="s">
        <v>3590</v>
      </c>
      <c r="G668" s="21">
        <v>96.0</v>
      </c>
      <c r="H668" s="21">
        <v>60.0</v>
      </c>
      <c r="I668" s="21">
        <v>36.0</v>
      </c>
      <c r="J668" s="17" t="s">
        <v>2246</v>
      </c>
      <c r="K668" s="17" t="s">
        <v>2246</v>
      </c>
      <c r="L668" s="17" t="s">
        <v>2246</v>
      </c>
      <c r="M668" s="17" t="s">
        <v>2267</v>
      </c>
      <c r="N668" s="21">
        <f>IFERROR((C668-VLOOKUP(B668,crm_orders!$A:$S,2,FALSE))*24,0)</f>
        <v>336</v>
      </c>
      <c r="O668" s="19" t="str">
        <f>IFERROR(VLOOKUP(B668,crm_orders!$A:$S,3,FALSE),"")</f>
        <v>DSP0099</v>
      </c>
      <c r="P668" s="19" t="str">
        <f>IFERROR(VLOOKUP(B668,crm_orders!$A:$S,5,FALSE),"")</f>
        <v>CA</v>
      </c>
      <c r="Q668" s="19" t="str">
        <f>IFERROR(VLOOKUP(B668,crm_orders!$A:$S,7,FALSE),"")</f>
        <v>Retail</v>
      </c>
      <c r="R668" s="19" t="str">
        <f>IFERROR(VLOOKUP(B668,crm_orders!$A:$S,8,FALSE),"")</f>
        <v>SKU0009</v>
      </c>
    </row>
    <row r="669" ht="15.75" customHeight="1">
      <c r="A669" s="25" t="s">
        <v>3591</v>
      </c>
      <c r="B669" s="25" t="s">
        <v>270</v>
      </c>
      <c r="C669" s="26">
        <v>46127.0</v>
      </c>
      <c r="D669" s="25" t="s">
        <v>2260</v>
      </c>
      <c r="E669" s="25" t="s">
        <v>2251</v>
      </c>
      <c r="F669" s="25" t="s">
        <v>3592</v>
      </c>
      <c r="G669" s="29">
        <v>18.0</v>
      </c>
      <c r="H669" s="29">
        <v>18.0</v>
      </c>
      <c r="I669" s="29">
        <v>0.0</v>
      </c>
      <c r="J669" s="25" t="s">
        <v>2246</v>
      </c>
      <c r="K669" s="25" t="s">
        <v>2247</v>
      </c>
      <c r="L669" s="25" t="s">
        <v>2246</v>
      </c>
      <c r="M669" s="25" t="s">
        <v>2248</v>
      </c>
      <c r="N669" s="29">
        <f>IFERROR((C669-VLOOKUP(B669,crm_orders!$A:$S,2,FALSE))*24,0)</f>
        <v>168</v>
      </c>
      <c r="O669" s="27" t="str">
        <f>IFERROR(VLOOKUP(B669,crm_orders!$A:$S,3,FALSE),"")</f>
        <v>DSP0084</v>
      </c>
      <c r="P669" s="27" t="str">
        <f>IFERROR(VLOOKUP(B669,crm_orders!$A:$S,5,FALSE),"")</f>
        <v>OK</v>
      </c>
      <c r="Q669" s="27" t="str">
        <f>IFERROR(VLOOKUP(B669,crm_orders!$A:$S,7,FALSE),"")</f>
        <v>Retail</v>
      </c>
      <c r="R669" s="27" t="str">
        <f>IFERROR(VLOOKUP(B669,crm_orders!$A:$S,8,FALSE),"")</f>
        <v>SKU0017</v>
      </c>
    </row>
    <row r="670" ht="15.75" customHeight="1">
      <c r="A670" s="17" t="s">
        <v>3593</v>
      </c>
      <c r="B670" s="17" t="s">
        <v>936</v>
      </c>
      <c r="C670" s="18">
        <v>46093.0</v>
      </c>
      <c r="D670" s="17" t="s">
        <v>2243</v>
      </c>
      <c r="E670" s="17" t="s">
        <v>2244</v>
      </c>
      <c r="F670" s="17" t="s">
        <v>3594</v>
      </c>
      <c r="G670" s="21">
        <v>120.0</v>
      </c>
      <c r="H670" s="21">
        <v>120.0</v>
      </c>
      <c r="I670" s="21">
        <v>0.0</v>
      </c>
      <c r="J670" s="17" t="s">
        <v>2247</v>
      </c>
      <c r="K670" s="17" t="s">
        <v>2247</v>
      </c>
      <c r="L670" s="17" t="s">
        <v>2247</v>
      </c>
      <c r="M670" s="17" t="s">
        <v>2248</v>
      </c>
      <c r="N670" s="21">
        <f>IFERROR((C670-VLOOKUP(B670,crm_orders!$A:$S,2,FALSE))*24,0)</f>
        <v>168</v>
      </c>
      <c r="O670" s="19" t="str">
        <f>IFERROR(VLOOKUP(B670,crm_orders!$A:$S,3,FALSE),"")</f>
        <v>DSP0095</v>
      </c>
      <c r="P670" s="19" t="str">
        <f>IFERROR(VLOOKUP(B670,crm_orders!$A:$S,5,FALSE),"")</f>
        <v>NY</v>
      </c>
      <c r="Q670" s="19" t="str">
        <f>IFERROR(VLOOKUP(B670,crm_orders!$A:$S,7,FALSE),"")</f>
        <v>Wholesale</v>
      </c>
      <c r="R670" s="19" t="str">
        <f>IFERROR(VLOOKUP(B670,crm_orders!$A:$S,8,FALSE),"")</f>
        <v>SKU0001</v>
      </c>
    </row>
    <row r="671" ht="15.75" customHeight="1">
      <c r="A671" s="25" t="s">
        <v>3595</v>
      </c>
      <c r="B671" s="25" t="s">
        <v>676</v>
      </c>
      <c r="C671" s="26">
        <v>46103.0</v>
      </c>
      <c r="D671" s="25" t="s">
        <v>2269</v>
      </c>
      <c r="E671" s="25" t="s">
        <v>2255</v>
      </c>
      <c r="F671" s="25" t="s">
        <v>3596</v>
      </c>
      <c r="G671" s="29">
        <v>6.0</v>
      </c>
      <c r="H671" s="29">
        <v>0.0</v>
      </c>
      <c r="I671" s="29">
        <v>6.0</v>
      </c>
      <c r="J671" s="25" t="s">
        <v>2247</v>
      </c>
      <c r="K671" s="25" t="s">
        <v>2246</v>
      </c>
      <c r="L671" s="25" t="s">
        <v>2246</v>
      </c>
      <c r="M671" s="25" t="s">
        <v>2267</v>
      </c>
      <c r="N671" s="29">
        <f>IFERROR((C671-VLOOKUP(B671,crm_orders!$A:$S,2,FALSE))*24,0)</f>
        <v>120</v>
      </c>
      <c r="O671" s="27" t="str">
        <f>IFERROR(VLOOKUP(B671,crm_orders!$A:$S,3,FALSE),"")</f>
        <v>DSP0039</v>
      </c>
      <c r="P671" s="27" t="str">
        <f>IFERROR(VLOOKUP(B671,crm_orders!$A:$S,5,FALSE),"")</f>
        <v>CA</v>
      </c>
      <c r="Q671" s="27" t="str">
        <f>IFERROR(VLOOKUP(B671,crm_orders!$A:$S,7,FALSE),"")</f>
        <v>Wholesale</v>
      </c>
      <c r="R671" s="27" t="str">
        <f>IFERROR(VLOOKUP(B671,crm_orders!$A:$S,8,FALSE),"")</f>
        <v>SKU0011</v>
      </c>
    </row>
    <row r="672" ht="15.75" customHeight="1">
      <c r="A672" s="17" t="s">
        <v>3597</v>
      </c>
      <c r="B672" s="17" t="s">
        <v>271</v>
      </c>
      <c r="C672" s="18">
        <v>46105.0</v>
      </c>
      <c r="D672" s="17" t="s">
        <v>2243</v>
      </c>
      <c r="E672" s="17" t="s">
        <v>2261</v>
      </c>
      <c r="F672" s="17" t="s">
        <v>3598</v>
      </c>
      <c r="G672" s="21">
        <v>48.0</v>
      </c>
      <c r="H672" s="21">
        <v>48.0</v>
      </c>
      <c r="I672" s="21">
        <v>0.0</v>
      </c>
      <c r="J672" s="17" t="s">
        <v>2247</v>
      </c>
      <c r="K672" s="17" t="s">
        <v>2247</v>
      </c>
      <c r="L672" s="17" t="s">
        <v>2247</v>
      </c>
      <c r="M672" s="17" t="s">
        <v>2248</v>
      </c>
      <c r="N672" s="21">
        <f>IFERROR((C672-VLOOKUP(B672,crm_orders!$A:$S,2,FALSE))*24,0)</f>
        <v>216</v>
      </c>
      <c r="O672" s="19" t="str">
        <f>IFERROR(VLOOKUP(B672,crm_orders!$A:$S,3,FALSE),"")</f>
        <v>DSP0117</v>
      </c>
      <c r="P672" s="19" t="str">
        <f>IFERROR(VLOOKUP(B672,crm_orders!$A:$S,5,FALSE),"")</f>
        <v>MO</v>
      </c>
      <c r="Q672" s="19" t="str">
        <f>IFERROR(VLOOKUP(B672,crm_orders!$A:$S,7,FALSE),"")</f>
        <v>Wholesale</v>
      </c>
      <c r="R672" s="19" t="str">
        <f>IFERROR(VLOOKUP(B672,crm_orders!$A:$S,8,FALSE),"")</f>
        <v>SKU0020</v>
      </c>
    </row>
    <row r="673" ht="15.75" customHeight="1">
      <c r="A673" s="25" t="s">
        <v>3599</v>
      </c>
      <c r="B673" s="25" t="s">
        <v>424</v>
      </c>
      <c r="C673" s="26">
        <v>46090.0</v>
      </c>
      <c r="D673" s="25" t="s">
        <v>2260</v>
      </c>
      <c r="E673" s="25" t="s">
        <v>2261</v>
      </c>
      <c r="F673" s="25" t="s">
        <v>3600</v>
      </c>
      <c r="G673" s="29">
        <v>120.0</v>
      </c>
      <c r="H673" s="29">
        <v>120.0</v>
      </c>
      <c r="I673" s="29">
        <v>0.0</v>
      </c>
      <c r="J673" s="25" t="s">
        <v>2246</v>
      </c>
      <c r="K673" s="25" t="s">
        <v>2247</v>
      </c>
      <c r="L673" s="25" t="s">
        <v>2246</v>
      </c>
      <c r="M673" s="25" t="s">
        <v>2248</v>
      </c>
      <c r="N673" s="29">
        <f>IFERROR((C673-VLOOKUP(B673,crm_orders!$A:$S,2,FALSE))*24,0)</f>
        <v>240</v>
      </c>
      <c r="O673" s="27" t="str">
        <f>IFERROR(VLOOKUP(B673,crm_orders!$A:$S,3,FALSE),"")</f>
        <v>DSP0043</v>
      </c>
      <c r="P673" s="27" t="str">
        <f>IFERROR(VLOOKUP(B673,crm_orders!$A:$S,5,FALSE),"")</f>
        <v>IL</v>
      </c>
      <c r="Q673" s="27" t="str">
        <f>IFERROR(VLOOKUP(B673,crm_orders!$A:$S,7,FALSE),"")</f>
        <v>Wholesale</v>
      </c>
      <c r="R673" s="27" t="str">
        <f>IFERROR(VLOOKUP(B673,crm_orders!$A:$S,8,FALSE),"")</f>
        <v>SKU0019</v>
      </c>
    </row>
    <row r="674" ht="15.75" customHeight="1">
      <c r="A674" s="17" t="s">
        <v>3601</v>
      </c>
      <c r="B674" s="17" t="s">
        <v>151</v>
      </c>
      <c r="C674" s="18">
        <v>46039.0</v>
      </c>
      <c r="D674" s="17" t="s">
        <v>2243</v>
      </c>
      <c r="E674" s="17" t="s">
        <v>2261</v>
      </c>
      <c r="F674" s="17" t="s">
        <v>3602</v>
      </c>
      <c r="G674" s="21">
        <v>18.0</v>
      </c>
      <c r="H674" s="21">
        <v>18.0</v>
      </c>
      <c r="I674" s="21">
        <v>0.0</v>
      </c>
      <c r="J674" s="17" t="s">
        <v>2246</v>
      </c>
      <c r="K674" s="17" t="s">
        <v>2247</v>
      </c>
      <c r="L674" s="17" t="s">
        <v>2246</v>
      </c>
      <c r="M674" s="17" t="s">
        <v>2248</v>
      </c>
      <c r="N674" s="21">
        <f>IFERROR((C674-VLOOKUP(B674,crm_orders!$A:$S,2,FALSE))*24,0)</f>
        <v>312</v>
      </c>
      <c r="O674" s="19" t="str">
        <f>IFERROR(VLOOKUP(B674,crm_orders!$A:$S,3,FALSE),"")</f>
        <v>DSP0078</v>
      </c>
      <c r="P674" s="19" t="str">
        <f>IFERROR(VLOOKUP(B674,crm_orders!$A:$S,5,FALSE),"")</f>
        <v>NV</v>
      </c>
      <c r="Q674" s="19" t="str">
        <f>IFERROR(VLOOKUP(B674,crm_orders!$A:$S,7,FALSE),"")</f>
        <v>Wholesale</v>
      </c>
      <c r="R674" s="19" t="str">
        <f>IFERROR(VLOOKUP(B674,crm_orders!$A:$S,8,FALSE),"")</f>
        <v>SKU0016</v>
      </c>
    </row>
    <row r="675" ht="15.75" customHeight="1">
      <c r="A675" s="25" t="s">
        <v>3603</v>
      </c>
      <c r="B675" s="25" t="s">
        <v>837</v>
      </c>
      <c r="C675" s="26">
        <v>46042.0</v>
      </c>
      <c r="D675" s="25" t="s">
        <v>2250</v>
      </c>
      <c r="E675" s="25" t="s">
        <v>2255</v>
      </c>
      <c r="F675" s="25" t="s">
        <v>3604</v>
      </c>
      <c r="G675" s="29">
        <v>36.0</v>
      </c>
      <c r="H675" s="29">
        <v>36.0</v>
      </c>
      <c r="I675" s="29">
        <v>0.0</v>
      </c>
      <c r="J675" s="25" t="s">
        <v>2246</v>
      </c>
      <c r="K675" s="25" t="s">
        <v>2247</v>
      </c>
      <c r="L675" s="25" t="s">
        <v>2246</v>
      </c>
      <c r="M675" s="25" t="s">
        <v>2248</v>
      </c>
      <c r="N675" s="29">
        <f>IFERROR((C675-VLOOKUP(B675,crm_orders!$A:$S,2,FALSE))*24,0)</f>
        <v>288</v>
      </c>
      <c r="O675" s="27" t="str">
        <f>IFERROR(VLOOKUP(B675,crm_orders!$A:$S,3,FALSE),"")</f>
        <v>DSP0009</v>
      </c>
      <c r="P675" s="27" t="str">
        <f>IFERROR(VLOOKUP(B675,crm_orders!$A:$S,5,FALSE),"")</f>
        <v>MO</v>
      </c>
      <c r="Q675" s="27" t="str">
        <f>IFERROR(VLOOKUP(B675,crm_orders!$A:$S,7,FALSE),"")</f>
        <v>Distributor</v>
      </c>
      <c r="R675" s="27" t="str">
        <f>IFERROR(VLOOKUP(B675,crm_orders!$A:$S,8,FALSE),"")</f>
        <v>SKU0015</v>
      </c>
    </row>
    <row r="676" ht="15.75" customHeight="1">
      <c r="A676" s="17" t="s">
        <v>3605</v>
      </c>
      <c r="B676" s="17" t="s">
        <v>426</v>
      </c>
      <c r="C676" s="18">
        <v>46060.0</v>
      </c>
      <c r="D676" s="17" t="s">
        <v>2243</v>
      </c>
      <c r="E676" s="17" t="s">
        <v>2244</v>
      </c>
      <c r="F676" s="17" t="s">
        <v>3606</v>
      </c>
      <c r="G676" s="21">
        <v>96.0</v>
      </c>
      <c r="H676" s="21">
        <v>96.0</v>
      </c>
      <c r="I676" s="21">
        <v>0.0</v>
      </c>
      <c r="J676" s="17" t="s">
        <v>2246</v>
      </c>
      <c r="K676" s="17" t="s">
        <v>2247</v>
      </c>
      <c r="L676" s="17" t="s">
        <v>2246</v>
      </c>
      <c r="M676" s="17" t="s">
        <v>2248</v>
      </c>
      <c r="N676" s="21">
        <f>IFERROR((C676-VLOOKUP(B676,crm_orders!$A:$S,2,FALSE))*24,0)</f>
        <v>408</v>
      </c>
      <c r="O676" s="19" t="str">
        <f>IFERROR(VLOOKUP(B676,crm_orders!$A:$S,3,FALSE),"")</f>
        <v>DSP0056</v>
      </c>
      <c r="P676" s="19" t="str">
        <f>IFERROR(VLOOKUP(B676,crm_orders!$A:$S,5,FALSE),"")</f>
        <v>MI</v>
      </c>
      <c r="Q676" s="19" t="str">
        <f>IFERROR(VLOOKUP(B676,crm_orders!$A:$S,7,FALSE),"")</f>
        <v>Wholesale</v>
      </c>
      <c r="R676" s="19" t="str">
        <f>IFERROR(VLOOKUP(B676,crm_orders!$A:$S,8,FALSE),"")</f>
        <v>SKU0016</v>
      </c>
    </row>
    <row r="677" ht="15.75" customHeight="1">
      <c r="A677" s="25" t="s">
        <v>3607</v>
      </c>
      <c r="B677" s="25" t="s">
        <v>677</v>
      </c>
      <c r="C677" s="26">
        <v>46040.0</v>
      </c>
      <c r="D677" s="25" t="s">
        <v>2260</v>
      </c>
      <c r="E677" s="25" t="s">
        <v>2261</v>
      </c>
      <c r="F677" s="25" t="s">
        <v>3608</v>
      </c>
      <c r="G677" s="29">
        <v>48.0</v>
      </c>
      <c r="H677" s="29">
        <v>48.0</v>
      </c>
      <c r="I677" s="29">
        <v>0.0</v>
      </c>
      <c r="J677" s="25" t="s">
        <v>2247</v>
      </c>
      <c r="K677" s="25" t="s">
        <v>2247</v>
      </c>
      <c r="L677" s="25" t="s">
        <v>2247</v>
      </c>
      <c r="M677" s="25" t="s">
        <v>2248</v>
      </c>
      <c r="N677" s="29">
        <f>IFERROR((C677-VLOOKUP(B677,crm_orders!$A:$S,2,FALSE))*24,0)</f>
        <v>216</v>
      </c>
      <c r="O677" s="27" t="str">
        <f>IFERROR(VLOOKUP(B677,crm_orders!$A:$S,3,FALSE),"")</f>
        <v>DSP0019</v>
      </c>
      <c r="P677" s="27" t="str">
        <f>IFERROR(VLOOKUP(B677,crm_orders!$A:$S,5,FALSE),"")</f>
        <v>IL</v>
      </c>
      <c r="Q677" s="27" t="str">
        <f>IFERROR(VLOOKUP(B677,crm_orders!$A:$S,7,FALSE),"")</f>
        <v>Wholesale</v>
      </c>
      <c r="R677" s="27" t="str">
        <f>IFERROR(VLOOKUP(B677,crm_orders!$A:$S,8,FALSE),"")</f>
        <v>SKU0015</v>
      </c>
    </row>
    <row r="678" ht="15.75" customHeight="1">
      <c r="A678" s="17" t="s">
        <v>3609</v>
      </c>
      <c r="B678" s="17" t="s">
        <v>427</v>
      </c>
      <c r="C678" s="18">
        <v>46123.0</v>
      </c>
      <c r="D678" s="17" t="s">
        <v>2243</v>
      </c>
      <c r="E678" s="17" t="s">
        <v>2286</v>
      </c>
      <c r="F678" s="17" t="s">
        <v>3610</v>
      </c>
      <c r="G678" s="21">
        <v>12.0</v>
      </c>
      <c r="H678" s="21">
        <v>12.0</v>
      </c>
      <c r="I678" s="21">
        <v>0.0</v>
      </c>
      <c r="J678" s="17" t="s">
        <v>2246</v>
      </c>
      <c r="K678" s="17" t="s">
        <v>2247</v>
      </c>
      <c r="L678" s="17" t="s">
        <v>2246</v>
      </c>
      <c r="M678" s="17" t="s">
        <v>2248</v>
      </c>
      <c r="N678" s="21">
        <f>IFERROR((C678-VLOOKUP(B678,crm_orders!$A:$S,2,FALSE))*24,0)</f>
        <v>144</v>
      </c>
      <c r="O678" s="19" t="str">
        <f>IFERROR(VLOOKUP(B678,crm_orders!$A:$S,3,FALSE),"")</f>
        <v>DSP0074</v>
      </c>
      <c r="P678" s="19" t="str">
        <f>IFERROR(VLOOKUP(B678,crm_orders!$A:$S,5,FALSE),"")</f>
        <v>WA</v>
      </c>
      <c r="Q678" s="19" t="str">
        <f>IFERROR(VLOOKUP(B678,crm_orders!$A:$S,7,FALSE),"")</f>
        <v>Wholesale</v>
      </c>
      <c r="R678" s="19" t="str">
        <f>IFERROR(VLOOKUP(B678,crm_orders!$A:$S,8,FALSE),"")</f>
        <v>SKU0002</v>
      </c>
    </row>
    <row r="679" ht="15.75" customHeight="1">
      <c r="A679" s="25" t="s">
        <v>3611</v>
      </c>
      <c r="B679" s="25" t="s">
        <v>1058</v>
      </c>
      <c r="C679" s="26">
        <v>46081.0</v>
      </c>
      <c r="D679" s="25" t="s">
        <v>2254</v>
      </c>
      <c r="E679" s="25" t="s">
        <v>2255</v>
      </c>
      <c r="F679" s="25" t="s">
        <v>3612</v>
      </c>
      <c r="G679" s="29">
        <v>6.0</v>
      </c>
      <c r="H679" s="29">
        <v>6.0</v>
      </c>
      <c r="I679" s="29">
        <v>0.0</v>
      </c>
      <c r="J679" s="25" t="s">
        <v>2247</v>
      </c>
      <c r="K679" s="25" t="s">
        <v>2247</v>
      </c>
      <c r="L679" s="25" t="s">
        <v>2247</v>
      </c>
      <c r="M679" s="25" t="s">
        <v>2248</v>
      </c>
      <c r="N679" s="29">
        <f>IFERROR((C679-VLOOKUP(B679,crm_orders!$A:$S,2,FALSE))*24,0)</f>
        <v>192</v>
      </c>
      <c r="O679" s="27" t="str">
        <f>IFERROR(VLOOKUP(B679,crm_orders!$A:$S,3,FALSE),"")</f>
        <v>DSP0073</v>
      </c>
      <c r="P679" s="27" t="str">
        <f>IFERROR(VLOOKUP(B679,crm_orders!$A:$S,5,FALSE),"")</f>
        <v>OR</v>
      </c>
      <c r="Q679" s="27" t="str">
        <f>IFERROR(VLOOKUP(B679,crm_orders!$A:$S,7,FALSE),"")</f>
        <v>Wholesale</v>
      </c>
      <c r="R679" s="27" t="str">
        <f>IFERROR(VLOOKUP(B679,crm_orders!$A:$S,8,FALSE),"")</f>
        <v>SKU0004</v>
      </c>
    </row>
    <row r="680" ht="15.75" customHeight="1">
      <c r="A680" s="17" t="s">
        <v>3613</v>
      </c>
      <c r="B680" s="17" t="s">
        <v>839</v>
      </c>
      <c r="C680" s="18">
        <v>46145.0</v>
      </c>
      <c r="D680" s="17" t="s">
        <v>2254</v>
      </c>
      <c r="E680" s="17" t="s">
        <v>2251</v>
      </c>
      <c r="F680" s="17" t="s">
        <v>3614</v>
      </c>
      <c r="G680" s="21">
        <v>60.0</v>
      </c>
      <c r="H680" s="21">
        <v>60.0</v>
      </c>
      <c r="I680" s="21">
        <v>0.0</v>
      </c>
      <c r="J680" s="17" t="s">
        <v>2247</v>
      </c>
      <c r="K680" s="17" t="s">
        <v>2247</v>
      </c>
      <c r="L680" s="17" t="s">
        <v>2247</v>
      </c>
      <c r="M680" s="17" t="s">
        <v>2248</v>
      </c>
      <c r="N680" s="21">
        <f>IFERROR((C680-VLOOKUP(B680,crm_orders!$A:$S,2,FALSE))*24,0)</f>
        <v>144</v>
      </c>
      <c r="O680" s="19" t="str">
        <f>IFERROR(VLOOKUP(B680,crm_orders!$A:$S,3,FALSE),"")</f>
        <v>DSP0090</v>
      </c>
      <c r="P680" s="19" t="str">
        <f>IFERROR(VLOOKUP(B680,crm_orders!$A:$S,5,FALSE),"")</f>
        <v>NV</v>
      </c>
      <c r="Q680" s="19" t="str">
        <f>IFERROR(VLOOKUP(B680,crm_orders!$A:$S,7,FALSE),"")</f>
        <v>Wholesale</v>
      </c>
      <c r="R680" s="19" t="str">
        <f>IFERROR(VLOOKUP(B680,crm_orders!$A:$S,8,FALSE),"")</f>
        <v>SKU0007</v>
      </c>
    </row>
    <row r="681" ht="15.75" customHeight="1">
      <c r="A681" s="25" t="s">
        <v>3615</v>
      </c>
      <c r="B681" s="25" t="s">
        <v>272</v>
      </c>
      <c r="C681" s="26">
        <v>46081.0</v>
      </c>
      <c r="D681" s="25" t="s">
        <v>2269</v>
      </c>
      <c r="E681" s="25" t="s">
        <v>2244</v>
      </c>
      <c r="F681" s="25" t="s">
        <v>3616</v>
      </c>
      <c r="G681" s="29">
        <v>60.0</v>
      </c>
      <c r="H681" s="29">
        <v>60.0</v>
      </c>
      <c r="I681" s="29">
        <v>0.0</v>
      </c>
      <c r="J681" s="25" t="s">
        <v>2246</v>
      </c>
      <c r="K681" s="25" t="s">
        <v>2247</v>
      </c>
      <c r="L681" s="25" t="s">
        <v>2246</v>
      </c>
      <c r="M681" s="25" t="s">
        <v>2248</v>
      </c>
      <c r="N681" s="29">
        <f>IFERROR((C681-VLOOKUP(B681,crm_orders!$A:$S,2,FALSE))*24,0)</f>
        <v>144</v>
      </c>
      <c r="O681" s="27" t="str">
        <f>IFERROR(VLOOKUP(B681,crm_orders!$A:$S,3,FALSE),"")</f>
        <v>DSP0099</v>
      </c>
      <c r="P681" s="27" t="str">
        <f>IFERROR(VLOOKUP(B681,crm_orders!$A:$S,5,FALSE),"")</f>
        <v>CA</v>
      </c>
      <c r="Q681" s="27" t="str">
        <f>IFERROR(VLOOKUP(B681,crm_orders!$A:$S,7,FALSE),"")</f>
        <v>Wholesale</v>
      </c>
      <c r="R681" s="27" t="str">
        <f>IFERROR(VLOOKUP(B681,crm_orders!$A:$S,8,FALSE),"")</f>
        <v>SKU0011</v>
      </c>
    </row>
    <row r="682" ht="15.75" customHeight="1">
      <c r="A682" s="17" t="s">
        <v>3617</v>
      </c>
      <c r="B682" s="17" t="s">
        <v>152</v>
      </c>
      <c r="C682" s="18">
        <v>46073.0</v>
      </c>
      <c r="D682" s="17" t="s">
        <v>2260</v>
      </c>
      <c r="E682" s="17" t="s">
        <v>2261</v>
      </c>
      <c r="F682" s="17" t="s">
        <v>3618</v>
      </c>
      <c r="G682" s="21">
        <v>36.0</v>
      </c>
      <c r="H682" s="21">
        <v>36.0</v>
      </c>
      <c r="I682" s="21">
        <v>0.0</v>
      </c>
      <c r="J682" s="17" t="s">
        <v>2246</v>
      </c>
      <c r="K682" s="17" t="s">
        <v>2247</v>
      </c>
      <c r="L682" s="17" t="s">
        <v>2246</v>
      </c>
      <c r="M682" s="17" t="s">
        <v>2248</v>
      </c>
      <c r="N682" s="21">
        <f>IFERROR((C682-VLOOKUP(B682,crm_orders!$A:$S,2,FALSE))*24,0)</f>
        <v>48</v>
      </c>
      <c r="O682" s="19" t="str">
        <f>IFERROR(VLOOKUP(B682,crm_orders!$A:$S,3,FALSE),"")</f>
        <v>DSP0096</v>
      </c>
      <c r="P682" s="19" t="str">
        <f>IFERROR(VLOOKUP(B682,crm_orders!$A:$S,5,FALSE),"")</f>
        <v>OK</v>
      </c>
      <c r="Q682" s="19" t="str">
        <f>IFERROR(VLOOKUP(B682,crm_orders!$A:$S,7,FALSE),"")</f>
        <v>Wholesale</v>
      </c>
      <c r="R682" s="19" t="str">
        <f>IFERROR(VLOOKUP(B682,crm_orders!$A:$S,8,FALSE),"")</f>
        <v>SKU0015</v>
      </c>
    </row>
    <row r="683" ht="15.75" customHeight="1">
      <c r="A683" s="25" t="s">
        <v>3619</v>
      </c>
      <c r="B683" s="25" t="s">
        <v>840</v>
      </c>
      <c r="C683" s="26">
        <v>46114.0</v>
      </c>
      <c r="D683" s="25" t="s">
        <v>2269</v>
      </c>
      <c r="E683" s="25" t="s">
        <v>2255</v>
      </c>
      <c r="F683" s="25" t="s">
        <v>3620</v>
      </c>
      <c r="G683" s="29">
        <v>60.0</v>
      </c>
      <c r="H683" s="29">
        <v>60.0</v>
      </c>
      <c r="I683" s="29">
        <v>0.0</v>
      </c>
      <c r="J683" s="25" t="s">
        <v>2246</v>
      </c>
      <c r="K683" s="25" t="s">
        <v>2247</v>
      </c>
      <c r="L683" s="25" t="s">
        <v>2246</v>
      </c>
      <c r="M683" s="25" t="s">
        <v>2248</v>
      </c>
      <c r="N683" s="29">
        <f>IFERROR((C683-VLOOKUP(B683,crm_orders!$A:$S,2,FALSE))*24,0)</f>
        <v>144</v>
      </c>
      <c r="O683" s="27" t="str">
        <f>IFERROR(VLOOKUP(B683,crm_orders!$A:$S,3,FALSE),"")</f>
        <v>DSP0018</v>
      </c>
      <c r="P683" s="27" t="str">
        <f>IFERROR(VLOOKUP(B683,crm_orders!$A:$S,5,FALSE),"")</f>
        <v>NV</v>
      </c>
      <c r="Q683" s="27" t="str">
        <f>IFERROR(VLOOKUP(B683,crm_orders!$A:$S,7,FALSE),"")</f>
        <v>Wholesale</v>
      </c>
      <c r="R683" s="27" t="str">
        <f>IFERROR(VLOOKUP(B683,crm_orders!$A:$S,8,FALSE),"")</f>
        <v>SKU0011</v>
      </c>
    </row>
    <row r="684" ht="15.75" customHeight="1">
      <c r="A684" s="17" t="s">
        <v>3621</v>
      </c>
      <c r="B684" s="17" t="s">
        <v>937</v>
      </c>
      <c r="C684" s="18">
        <v>46140.0</v>
      </c>
      <c r="D684" s="17" t="s">
        <v>2254</v>
      </c>
      <c r="E684" s="17" t="s">
        <v>2261</v>
      </c>
      <c r="F684" s="17" t="s">
        <v>3622</v>
      </c>
      <c r="G684" s="21">
        <v>18.0</v>
      </c>
      <c r="H684" s="21">
        <v>18.0</v>
      </c>
      <c r="I684" s="21">
        <v>0.0</v>
      </c>
      <c r="J684" s="17" t="s">
        <v>2246</v>
      </c>
      <c r="K684" s="17" t="s">
        <v>2247</v>
      </c>
      <c r="L684" s="17" t="s">
        <v>2246</v>
      </c>
      <c r="M684" s="17" t="s">
        <v>2248</v>
      </c>
      <c r="N684" s="21">
        <f>IFERROR((C684-VLOOKUP(B684,crm_orders!$A:$S,2,FALSE))*24,0)</f>
        <v>240</v>
      </c>
      <c r="O684" s="19" t="str">
        <f>IFERROR(VLOOKUP(B684,crm_orders!$A:$S,3,FALSE),"")</f>
        <v>DSP0061</v>
      </c>
      <c r="P684" s="19" t="str">
        <f>IFERROR(VLOOKUP(B684,crm_orders!$A:$S,5,FALSE),"")</f>
        <v>OR</v>
      </c>
      <c r="Q684" s="19" t="str">
        <f>IFERROR(VLOOKUP(B684,crm_orders!$A:$S,7,FALSE),"")</f>
        <v>Wholesale</v>
      </c>
      <c r="R684" s="19" t="str">
        <f>IFERROR(VLOOKUP(B684,crm_orders!$A:$S,8,FALSE),"")</f>
        <v>SKU0009</v>
      </c>
    </row>
    <row r="685" ht="15.75" customHeight="1">
      <c r="A685" s="25" t="s">
        <v>3623</v>
      </c>
      <c r="B685" s="25" t="s">
        <v>428</v>
      </c>
      <c r="C685" s="26">
        <v>46081.0</v>
      </c>
      <c r="D685" s="25" t="s">
        <v>2250</v>
      </c>
      <c r="E685" s="25" t="s">
        <v>2286</v>
      </c>
      <c r="F685" s="25" t="s">
        <v>3624</v>
      </c>
      <c r="G685" s="29">
        <v>6.0</v>
      </c>
      <c r="H685" s="29">
        <v>6.0</v>
      </c>
      <c r="I685" s="29">
        <v>0.0</v>
      </c>
      <c r="J685" s="25" t="s">
        <v>2247</v>
      </c>
      <c r="K685" s="25" t="s">
        <v>2247</v>
      </c>
      <c r="L685" s="25" t="s">
        <v>2247</v>
      </c>
      <c r="M685" s="25" t="s">
        <v>2248</v>
      </c>
      <c r="N685" s="29">
        <f>IFERROR((C685-VLOOKUP(B685,crm_orders!$A:$S,2,FALSE))*24,0)</f>
        <v>48</v>
      </c>
      <c r="O685" s="27" t="str">
        <f>IFERROR(VLOOKUP(B685,crm_orders!$A:$S,3,FALSE),"")</f>
        <v>DSP0069</v>
      </c>
      <c r="P685" s="27" t="str">
        <f>IFERROR(VLOOKUP(B685,crm_orders!$A:$S,5,FALSE),"")</f>
        <v>MO</v>
      </c>
      <c r="Q685" s="27" t="str">
        <f>IFERROR(VLOOKUP(B685,crm_orders!$A:$S,7,FALSE),"")</f>
        <v>Wholesale</v>
      </c>
      <c r="R685" s="27" t="str">
        <f>IFERROR(VLOOKUP(B685,crm_orders!$A:$S,8,FALSE),"")</f>
        <v>SKU0007</v>
      </c>
    </row>
    <row r="686" ht="15.75" customHeight="1">
      <c r="A686" s="17" t="s">
        <v>3625</v>
      </c>
      <c r="B686" s="17" t="s">
        <v>1193</v>
      </c>
      <c r="C686" s="18">
        <v>46029.0</v>
      </c>
      <c r="D686" s="17" t="s">
        <v>2243</v>
      </c>
      <c r="E686" s="17" t="s">
        <v>2286</v>
      </c>
      <c r="F686" s="17" t="s">
        <v>3626</v>
      </c>
      <c r="G686" s="21">
        <v>6.0</v>
      </c>
      <c r="H686" s="21">
        <v>6.0</v>
      </c>
      <c r="I686" s="21">
        <v>0.0</v>
      </c>
      <c r="J686" s="17" t="s">
        <v>2247</v>
      </c>
      <c r="K686" s="17" t="s">
        <v>2247</v>
      </c>
      <c r="L686" s="17" t="s">
        <v>2247</v>
      </c>
      <c r="M686" s="17" t="s">
        <v>2248</v>
      </c>
      <c r="N686" s="21">
        <f>IFERROR((C686-VLOOKUP(B686,crm_orders!$A:$S,2,FALSE))*24,0)</f>
        <v>144</v>
      </c>
      <c r="O686" s="19" t="str">
        <f>IFERROR(VLOOKUP(B686,crm_orders!$A:$S,3,FALSE),"")</f>
        <v>DSP0007</v>
      </c>
      <c r="P686" s="19" t="str">
        <f>IFERROR(VLOOKUP(B686,crm_orders!$A:$S,5,FALSE),"")</f>
        <v>IL</v>
      </c>
      <c r="Q686" s="19" t="str">
        <f>IFERROR(VLOOKUP(B686,crm_orders!$A:$S,7,FALSE),"")</f>
        <v>Distributor</v>
      </c>
      <c r="R686" s="19" t="str">
        <f>IFERROR(VLOOKUP(B686,crm_orders!$A:$S,8,FALSE),"")</f>
        <v>SKU0020</v>
      </c>
    </row>
    <row r="687" ht="15.75" customHeight="1">
      <c r="A687" s="25" t="s">
        <v>3627</v>
      </c>
      <c r="B687" s="25" t="s">
        <v>841</v>
      </c>
      <c r="C687" s="26">
        <v>46032.0</v>
      </c>
      <c r="D687" s="25" t="s">
        <v>2250</v>
      </c>
      <c r="E687" s="25" t="s">
        <v>2255</v>
      </c>
      <c r="F687" s="25" t="s">
        <v>3628</v>
      </c>
      <c r="G687" s="29">
        <v>6.0</v>
      </c>
      <c r="H687" s="29">
        <v>6.0</v>
      </c>
      <c r="I687" s="29">
        <v>0.0</v>
      </c>
      <c r="J687" s="25" t="s">
        <v>2246</v>
      </c>
      <c r="K687" s="25" t="s">
        <v>2247</v>
      </c>
      <c r="L687" s="25" t="s">
        <v>2246</v>
      </c>
      <c r="M687" s="25" t="s">
        <v>2248</v>
      </c>
      <c r="N687" s="29">
        <f>IFERROR((C687-VLOOKUP(B687,crm_orders!$A:$S,2,FALSE))*24,0)</f>
        <v>144</v>
      </c>
      <c r="O687" s="27" t="str">
        <f>IFERROR(VLOOKUP(B687,crm_orders!$A:$S,3,FALSE),"")</f>
        <v>DSP0003</v>
      </c>
      <c r="P687" s="27" t="str">
        <f>IFERROR(VLOOKUP(B687,crm_orders!$A:$S,5,FALSE),"")</f>
        <v>CA</v>
      </c>
      <c r="Q687" s="27" t="str">
        <f>IFERROR(VLOOKUP(B687,crm_orders!$A:$S,7,FALSE),"")</f>
        <v>Retail</v>
      </c>
      <c r="R687" s="27" t="str">
        <f>IFERROR(VLOOKUP(B687,crm_orders!$A:$S,8,FALSE),"")</f>
        <v>SKU0014</v>
      </c>
    </row>
    <row r="688" ht="15.75" customHeight="1">
      <c r="A688" s="17" t="s">
        <v>3629</v>
      </c>
      <c r="B688" s="17" t="s">
        <v>526</v>
      </c>
      <c r="C688" s="18">
        <v>46122.0</v>
      </c>
      <c r="D688" s="17" t="s">
        <v>2254</v>
      </c>
      <c r="E688" s="17" t="s">
        <v>2255</v>
      </c>
      <c r="F688" s="17" t="s">
        <v>3630</v>
      </c>
      <c r="G688" s="21">
        <v>18.0</v>
      </c>
      <c r="H688" s="21">
        <v>18.0</v>
      </c>
      <c r="I688" s="21">
        <v>0.0</v>
      </c>
      <c r="J688" s="17" t="s">
        <v>2246</v>
      </c>
      <c r="K688" s="17" t="s">
        <v>2247</v>
      </c>
      <c r="L688" s="17" t="s">
        <v>2246</v>
      </c>
      <c r="M688" s="17" t="s">
        <v>2248</v>
      </c>
      <c r="N688" s="21">
        <f>IFERROR((C688-VLOOKUP(B688,crm_orders!$A:$S,2,FALSE))*24,0)</f>
        <v>168</v>
      </c>
      <c r="O688" s="19" t="str">
        <f>IFERROR(VLOOKUP(B688,crm_orders!$A:$S,3,FALSE),"")</f>
        <v>DSP0107</v>
      </c>
      <c r="P688" s="19" t="str">
        <f>IFERROR(VLOOKUP(B688,crm_orders!$A:$S,5,FALSE),"")</f>
        <v>NY</v>
      </c>
      <c r="Q688" s="19" t="str">
        <f>IFERROR(VLOOKUP(B688,crm_orders!$A:$S,7,FALSE),"")</f>
        <v>Distributor</v>
      </c>
      <c r="R688" s="19" t="str">
        <f>IFERROR(VLOOKUP(B688,crm_orders!$A:$S,8,FALSE),"")</f>
        <v>SKU0006</v>
      </c>
    </row>
    <row r="689" ht="15.75" customHeight="1">
      <c r="A689" s="25" t="s">
        <v>3631</v>
      </c>
      <c r="B689" s="25" t="s">
        <v>429</v>
      </c>
      <c r="C689" s="26">
        <v>46076.0</v>
      </c>
      <c r="D689" s="25" t="s">
        <v>2269</v>
      </c>
      <c r="E689" s="25" t="s">
        <v>2251</v>
      </c>
      <c r="F689" s="25" t="s">
        <v>3632</v>
      </c>
      <c r="G689" s="29">
        <v>48.0</v>
      </c>
      <c r="H689" s="29">
        <v>48.0</v>
      </c>
      <c r="I689" s="29">
        <v>0.0</v>
      </c>
      <c r="J689" s="25" t="s">
        <v>2247</v>
      </c>
      <c r="K689" s="25" t="s">
        <v>2247</v>
      </c>
      <c r="L689" s="25" t="s">
        <v>2247</v>
      </c>
      <c r="M689" s="25" t="s">
        <v>2248</v>
      </c>
      <c r="N689" s="29">
        <f>IFERROR((C689-VLOOKUP(B689,crm_orders!$A:$S,2,FALSE))*24,0)</f>
        <v>72</v>
      </c>
      <c r="O689" s="27" t="str">
        <f>IFERROR(VLOOKUP(B689,crm_orders!$A:$S,3,FALSE),"")</f>
        <v>DSP0027</v>
      </c>
      <c r="P689" s="27" t="str">
        <f>IFERROR(VLOOKUP(B689,crm_orders!$A:$S,5,FALSE),"")</f>
        <v>CA</v>
      </c>
      <c r="Q689" s="27" t="str">
        <f>IFERROR(VLOOKUP(B689,crm_orders!$A:$S,7,FALSE),"")</f>
        <v>Wholesale</v>
      </c>
      <c r="R689" s="27" t="str">
        <f>IFERROR(VLOOKUP(B689,crm_orders!$A:$S,8,FALSE),"")</f>
        <v>SKU0018</v>
      </c>
    </row>
    <row r="690" ht="15.75" customHeight="1">
      <c r="A690" s="17" t="s">
        <v>3633</v>
      </c>
      <c r="B690" s="17" t="s">
        <v>430</v>
      </c>
      <c r="C690" s="18">
        <v>46061.0</v>
      </c>
      <c r="D690" s="17" t="s">
        <v>2250</v>
      </c>
      <c r="E690" s="17" t="s">
        <v>2251</v>
      </c>
      <c r="F690" s="17" t="s">
        <v>3634</v>
      </c>
      <c r="G690" s="21">
        <v>60.0</v>
      </c>
      <c r="H690" s="21">
        <v>60.0</v>
      </c>
      <c r="I690" s="21">
        <v>0.0</v>
      </c>
      <c r="J690" s="17" t="s">
        <v>2246</v>
      </c>
      <c r="K690" s="17" t="s">
        <v>2247</v>
      </c>
      <c r="L690" s="17" t="s">
        <v>2246</v>
      </c>
      <c r="M690" s="17" t="s">
        <v>2248</v>
      </c>
      <c r="N690" s="21">
        <f>IFERROR((C690-VLOOKUP(B690,crm_orders!$A:$S,2,FALSE))*24,0)</f>
        <v>264</v>
      </c>
      <c r="O690" s="19" t="str">
        <f>IFERROR(VLOOKUP(B690,crm_orders!$A:$S,3,FALSE),"")</f>
        <v>DSP0002</v>
      </c>
      <c r="P690" s="19" t="str">
        <f>IFERROR(VLOOKUP(B690,crm_orders!$A:$S,5,FALSE),"")</f>
        <v>WA</v>
      </c>
      <c r="Q690" s="19" t="str">
        <f>IFERROR(VLOOKUP(B690,crm_orders!$A:$S,7,FALSE),"")</f>
        <v>Wholesale</v>
      </c>
      <c r="R690" s="19" t="str">
        <f>IFERROR(VLOOKUP(B690,crm_orders!$A:$S,8,FALSE),"")</f>
        <v>SKU0013</v>
      </c>
    </row>
    <row r="691" ht="15.75" customHeight="1">
      <c r="A691" s="25" t="s">
        <v>3635</v>
      </c>
      <c r="B691" s="25" t="s">
        <v>431</v>
      </c>
      <c r="C691" s="26">
        <v>46111.0</v>
      </c>
      <c r="D691" s="25" t="s">
        <v>2250</v>
      </c>
      <c r="E691" s="25" t="s">
        <v>2261</v>
      </c>
      <c r="F691" s="25" t="s">
        <v>3636</v>
      </c>
      <c r="G691" s="29">
        <v>48.0</v>
      </c>
      <c r="H691" s="29">
        <v>48.0</v>
      </c>
      <c r="I691" s="29">
        <v>0.0</v>
      </c>
      <c r="J691" s="25" t="s">
        <v>2246</v>
      </c>
      <c r="K691" s="25" t="s">
        <v>2247</v>
      </c>
      <c r="L691" s="25" t="s">
        <v>2246</v>
      </c>
      <c r="M691" s="25" t="s">
        <v>2248</v>
      </c>
      <c r="N691" s="29">
        <f>IFERROR((C691-VLOOKUP(B691,crm_orders!$A:$S,2,FALSE))*24,0)</f>
        <v>192</v>
      </c>
      <c r="O691" s="27" t="str">
        <f>IFERROR(VLOOKUP(B691,crm_orders!$A:$S,3,FALSE),"")</f>
        <v>DSP0077</v>
      </c>
      <c r="P691" s="27" t="str">
        <f>IFERROR(VLOOKUP(B691,crm_orders!$A:$S,5,FALSE),"")</f>
        <v>AZ</v>
      </c>
      <c r="Q691" s="27" t="str">
        <f>IFERROR(VLOOKUP(B691,crm_orders!$A:$S,7,FALSE),"")</f>
        <v>Retail</v>
      </c>
      <c r="R691" s="27" t="str">
        <f>IFERROR(VLOOKUP(B691,crm_orders!$A:$S,8,FALSE),"")</f>
        <v>SKU0011</v>
      </c>
    </row>
    <row r="692" ht="15.75" customHeight="1">
      <c r="A692" s="17" t="s">
        <v>3637</v>
      </c>
      <c r="B692" s="17" t="s">
        <v>842</v>
      </c>
      <c r="C692" s="18">
        <v>46141.0</v>
      </c>
      <c r="D692" s="17" t="s">
        <v>2250</v>
      </c>
      <c r="E692" s="17" t="s">
        <v>2261</v>
      </c>
      <c r="F692" s="17" t="s">
        <v>3638</v>
      </c>
      <c r="G692" s="21">
        <v>120.0</v>
      </c>
      <c r="H692" s="21">
        <v>84.0</v>
      </c>
      <c r="I692" s="21">
        <v>36.0</v>
      </c>
      <c r="J692" s="17" t="s">
        <v>2247</v>
      </c>
      <c r="K692" s="17" t="s">
        <v>2246</v>
      </c>
      <c r="L692" s="17" t="s">
        <v>2246</v>
      </c>
      <c r="M692" s="17" t="s">
        <v>2267</v>
      </c>
      <c r="N692" s="21">
        <f>IFERROR((C692-VLOOKUP(B692,crm_orders!$A:$S,2,FALSE))*24,0)</f>
        <v>240</v>
      </c>
      <c r="O692" s="19" t="str">
        <f>IFERROR(VLOOKUP(B692,crm_orders!$A:$S,3,FALSE),"")</f>
        <v>DSP0089</v>
      </c>
      <c r="P692" s="19" t="str">
        <f>IFERROR(VLOOKUP(B692,crm_orders!$A:$S,5,FALSE),"")</f>
        <v>AZ</v>
      </c>
      <c r="Q692" s="19" t="str">
        <f>IFERROR(VLOOKUP(B692,crm_orders!$A:$S,7,FALSE),"")</f>
        <v>Wholesale</v>
      </c>
      <c r="R692" s="19" t="str">
        <f>IFERROR(VLOOKUP(B692,crm_orders!$A:$S,8,FALSE),"")</f>
        <v>SKU0011</v>
      </c>
    </row>
    <row r="693" ht="15.75" customHeight="1">
      <c r="A693" s="25" t="s">
        <v>3639</v>
      </c>
      <c r="B693" s="25" t="s">
        <v>938</v>
      </c>
      <c r="C693" s="26">
        <v>46092.0</v>
      </c>
      <c r="D693" s="25" t="s">
        <v>2260</v>
      </c>
      <c r="E693" s="25" t="s">
        <v>2286</v>
      </c>
      <c r="F693" s="25" t="s">
        <v>3640</v>
      </c>
      <c r="G693" s="29">
        <v>96.0</v>
      </c>
      <c r="H693" s="29">
        <v>96.0</v>
      </c>
      <c r="I693" s="29">
        <v>0.0</v>
      </c>
      <c r="J693" s="25" t="s">
        <v>2246</v>
      </c>
      <c r="K693" s="25" t="s">
        <v>2247</v>
      </c>
      <c r="L693" s="25" t="s">
        <v>2246</v>
      </c>
      <c r="M693" s="25" t="s">
        <v>2248</v>
      </c>
      <c r="N693" s="29">
        <f>IFERROR((C693-VLOOKUP(B693,crm_orders!$A:$S,2,FALSE))*24,0)</f>
        <v>120</v>
      </c>
      <c r="O693" s="27" t="str">
        <f>IFERROR(VLOOKUP(B693,crm_orders!$A:$S,3,FALSE),"")</f>
        <v>DSP0095</v>
      </c>
      <c r="P693" s="27" t="str">
        <f>IFERROR(VLOOKUP(B693,crm_orders!$A:$S,5,FALSE),"")</f>
        <v>NY</v>
      </c>
      <c r="Q693" s="27" t="str">
        <f>IFERROR(VLOOKUP(B693,crm_orders!$A:$S,7,FALSE),"")</f>
        <v>Wholesale</v>
      </c>
      <c r="R693" s="27" t="str">
        <f>IFERROR(VLOOKUP(B693,crm_orders!$A:$S,8,FALSE),"")</f>
        <v>SKU0008</v>
      </c>
    </row>
    <row r="694" ht="15.75" customHeight="1">
      <c r="A694" s="17" t="s">
        <v>3641</v>
      </c>
      <c r="B694" s="17" t="s">
        <v>1059</v>
      </c>
      <c r="C694" s="18">
        <v>46123.0</v>
      </c>
      <c r="D694" s="17" t="s">
        <v>2269</v>
      </c>
      <c r="E694" s="17" t="s">
        <v>2286</v>
      </c>
      <c r="F694" s="17" t="s">
        <v>3642</v>
      </c>
      <c r="G694" s="21">
        <v>6.0</v>
      </c>
      <c r="H694" s="21">
        <v>6.0</v>
      </c>
      <c r="I694" s="21">
        <v>0.0</v>
      </c>
      <c r="J694" s="17" t="s">
        <v>2247</v>
      </c>
      <c r="K694" s="17" t="s">
        <v>2247</v>
      </c>
      <c r="L694" s="17" t="s">
        <v>2247</v>
      </c>
      <c r="M694" s="17" t="s">
        <v>2248</v>
      </c>
      <c r="N694" s="21">
        <f>IFERROR((C694-VLOOKUP(B694,crm_orders!$A:$S,2,FALSE))*24,0)</f>
        <v>96</v>
      </c>
      <c r="O694" s="19" t="str">
        <f>IFERROR(VLOOKUP(B694,crm_orders!$A:$S,3,FALSE),"")</f>
        <v>DSP0083</v>
      </c>
      <c r="P694" s="19" t="str">
        <f>IFERROR(VLOOKUP(B694,crm_orders!$A:$S,5,FALSE),"")</f>
        <v>NY</v>
      </c>
      <c r="Q694" s="19" t="str">
        <f>IFERROR(VLOOKUP(B694,crm_orders!$A:$S,7,FALSE),"")</f>
        <v>Wholesale</v>
      </c>
      <c r="R694" s="19" t="str">
        <f>IFERROR(VLOOKUP(B694,crm_orders!$A:$S,8,FALSE),"")</f>
        <v>SKU0010</v>
      </c>
    </row>
    <row r="695" ht="15.75" customHeight="1">
      <c r="A695" s="25" t="s">
        <v>3643</v>
      </c>
      <c r="B695" s="25" t="s">
        <v>1060</v>
      </c>
      <c r="C695" s="26">
        <v>46137.0</v>
      </c>
      <c r="D695" s="25" t="s">
        <v>2250</v>
      </c>
      <c r="E695" s="25" t="s">
        <v>2261</v>
      </c>
      <c r="F695" s="25" t="s">
        <v>3644</v>
      </c>
      <c r="G695" s="29">
        <v>120.0</v>
      </c>
      <c r="H695" s="29">
        <v>84.0</v>
      </c>
      <c r="I695" s="29">
        <v>36.0</v>
      </c>
      <c r="J695" s="25" t="s">
        <v>2246</v>
      </c>
      <c r="K695" s="25" t="s">
        <v>2246</v>
      </c>
      <c r="L695" s="25" t="s">
        <v>2246</v>
      </c>
      <c r="M695" s="25" t="s">
        <v>2267</v>
      </c>
      <c r="N695" s="29">
        <f>IFERROR((C695-VLOOKUP(B695,crm_orders!$A:$S,2,FALSE))*24,0)</f>
        <v>288</v>
      </c>
      <c r="O695" s="27" t="str">
        <f>IFERROR(VLOOKUP(B695,crm_orders!$A:$S,3,FALSE),"")</f>
        <v>DSP0086</v>
      </c>
      <c r="P695" s="27" t="str">
        <f>IFERROR(VLOOKUP(B695,crm_orders!$A:$S,5,FALSE),"")</f>
        <v>WA</v>
      </c>
      <c r="Q695" s="27" t="str">
        <f>IFERROR(VLOOKUP(B695,crm_orders!$A:$S,7,FALSE),"")</f>
        <v>Distributor</v>
      </c>
      <c r="R695" s="27" t="str">
        <f>IFERROR(VLOOKUP(B695,crm_orders!$A:$S,8,FALSE),"")</f>
        <v>SKU0008</v>
      </c>
    </row>
    <row r="696" ht="15.75" customHeight="1">
      <c r="A696" s="17" t="s">
        <v>3645</v>
      </c>
      <c r="B696" s="17" t="s">
        <v>678</v>
      </c>
      <c r="C696" s="18">
        <v>46138.0</v>
      </c>
      <c r="D696" s="17" t="s">
        <v>2250</v>
      </c>
      <c r="E696" s="17" t="s">
        <v>2251</v>
      </c>
      <c r="F696" s="17" t="s">
        <v>3646</v>
      </c>
      <c r="G696" s="21">
        <v>60.0</v>
      </c>
      <c r="H696" s="21">
        <v>60.0</v>
      </c>
      <c r="I696" s="21">
        <v>0.0</v>
      </c>
      <c r="J696" s="17" t="s">
        <v>2246</v>
      </c>
      <c r="K696" s="17" t="s">
        <v>2247</v>
      </c>
      <c r="L696" s="17" t="s">
        <v>2246</v>
      </c>
      <c r="M696" s="17" t="s">
        <v>2248</v>
      </c>
      <c r="N696" s="21">
        <f>IFERROR((C696-VLOOKUP(B696,crm_orders!$A:$S,2,FALSE))*24,0)</f>
        <v>96</v>
      </c>
      <c r="O696" s="19" t="str">
        <f>IFERROR(VLOOKUP(B696,crm_orders!$A:$S,3,FALSE),"")</f>
        <v>DSP0001</v>
      </c>
      <c r="P696" s="19" t="str">
        <f>IFERROR(VLOOKUP(B696,crm_orders!$A:$S,5,FALSE),"")</f>
        <v>OR</v>
      </c>
      <c r="Q696" s="19" t="str">
        <f>IFERROR(VLOOKUP(B696,crm_orders!$A:$S,7,FALSE),"")</f>
        <v>Wholesale</v>
      </c>
      <c r="R696" s="19" t="str">
        <f>IFERROR(VLOOKUP(B696,crm_orders!$A:$S,8,FALSE),"")</f>
        <v>SKU0003</v>
      </c>
    </row>
    <row r="697" ht="15.75" customHeight="1">
      <c r="A697" s="25" t="s">
        <v>3647</v>
      </c>
      <c r="B697" s="25" t="s">
        <v>1194</v>
      </c>
      <c r="C697" s="26">
        <v>46100.0</v>
      </c>
      <c r="D697" s="25" t="s">
        <v>2260</v>
      </c>
      <c r="E697" s="25" t="s">
        <v>2261</v>
      </c>
      <c r="F697" s="25" t="s">
        <v>3648</v>
      </c>
      <c r="G697" s="29">
        <v>24.0</v>
      </c>
      <c r="H697" s="29">
        <v>0.0</v>
      </c>
      <c r="I697" s="29">
        <v>24.0</v>
      </c>
      <c r="J697" s="25" t="s">
        <v>2246</v>
      </c>
      <c r="K697" s="25" t="s">
        <v>2246</v>
      </c>
      <c r="L697" s="25" t="s">
        <v>2246</v>
      </c>
      <c r="M697" s="25" t="s">
        <v>2267</v>
      </c>
      <c r="N697" s="29">
        <f>IFERROR((C697-VLOOKUP(B697,crm_orders!$A:$S,2,FALSE))*24,0)</f>
        <v>168</v>
      </c>
      <c r="O697" s="27" t="str">
        <f>IFERROR(VLOOKUP(B697,crm_orders!$A:$S,3,FALSE),"")</f>
        <v>DSP0023</v>
      </c>
      <c r="P697" s="27" t="str">
        <f>IFERROR(VLOOKUP(B697,crm_orders!$A:$S,5,FALSE),"")</f>
        <v>NY</v>
      </c>
      <c r="Q697" s="27" t="str">
        <f>IFERROR(VLOOKUP(B697,crm_orders!$A:$S,7,FALSE),"")</f>
        <v>Retail</v>
      </c>
      <c r="R697" s="27" t="str">
        <f>IFERROR(VLOOKUP(B697,crm_orders!$A:$S,8,FALSE),"")</f>
        <v>SKU0019</v>
      </c>
    </row>
    <row r="698" ht="15.75" customHeight="1">
      <c r="A698" s="17" t="s">
        <v>3649</v>
      </c>
      <c r="B698" s="17" t="s">
        <v>274</v>
      </c>
      <c r="C698" s="18">
        <v>46105.0</v>
      </c>
      <c r="D698" s="17" t="s">
        <v>2260</v>
      </c>
      <c r="E698" s="17" t="s">
        <v>2251</v>
      </c>
      <c r="F698" s="17" t="s">
        <v>3650</v>
      </c>
      <c r="G698" s="21">
        <v>24.0</v>
      </c>
      <c r="H698" s="21">
        <v>24.0</v>
      </c>
      <c r="I698" s="21">
        <v>0.0</v>
      </c>
      <c r="J698" s="17" t="s">
        <v>2246</v>
      </c>
      <c r="K698" s="17" t="s">
        <v>2247</v>
      </c>
      <c r="L698" s="17" t="s">
        <v>2246</v>
      </c>
      <c r="M698" s="17" t="s">
        <v>2248</v>
      </c>
      <c r="N698" s="21">
        <f>IFERROR((C698-VLOOKUP(B698,crm_orders!$A:$S,2,FALSE))*24,0)</f>
        <v>120</v>
      </c>
      <c r="O698" s="19" t="str">
        <f>IFERROR(VLOOKUP(B698,crm_orders!$A:$S,3,FALSE),"")</f>
        <v>DSP0055</v>
      </c>
      <c r="P698" s="19" t="str">
        <f>IFERROR(VLOOKUP(B698,crm_orders!$A:$S,5,FALSE),"")</f>
        <v>IL</v>
      </c>
      <c r="Q698" s="19" t="str">
        <f>IFERROR(VLOOKUP(B698,crm_orders!$A:$S,7,FALSE),"")</f>
        <v>Distributor</v>
      </c>
      <c r="R698" s="19" t="str">
        <f>IFERROR(VLOOKUP(B698,crm_orders!$A:$S,8,FALSE),"")</f>
        <v>SKU0006</v>
      </c>
    </row>
    <row r="699" ht="15.75" customHeight="1">
      <c r="A699" s="25" t="s">
        <v>3651</v>
      </c>
      <c r="B699" s="25" t="s">
        <v>1061</v>
      </c>
      <c r="C699" s="26">
        <v>46031.0</v>
      </c>
      <c r="D699" s="25" t="s">
        <v>2269</v>
      </c>
      <c r="E699" s="25" t="s">
        <v>2244</v>
      </c>
      <c r="F699" s="25" t="s">
        <v>3652</v>
      </c>
      <c r="G699" s="29">
        <v>48.0</v>
      </c>
      <c r="H699" s="29">
        <v>48.0</v>
      </c>
      <c r="I699" s="29">
        <v>0.0</v>
      </c>
      <c r="J699" s="25" t="s">
        <v>2246</v>
      </c>
      <c r="K699" s="25" t="s">
        <v>2247</v>
      </c>
      <c r="L699" s="25" t="s">
        <v>2246</v>
      </c>
      <c r="M699" s="25" t="s">
        <v>2248</v>
      </c>
      <c r="N699" s="29">
        <f>IFERROR((C699-VLOOKUP(B699,crm_orders!$A:$S,2,FALSE))*24,0)</f>
        <v>144</v>
      </c>
      <c r="O699" s="27" t="str">
        <f>IFERROR(VLOOKUP(B699,crm_orders!$A:$S,3,FALSE),"")</f>
        <v>DSP0102</v>
      </c>
      <c r="P699" s="27" t="str">
        <f>IFERROR(VLOOKUP(B699,crm_orders!$A:$S,5,FALSE),"")</f>
        <v>NV</v>
      </c>
      <c r="Q699" s="27" t="str">
        <f>IFERROR(VLOOKUP(B699,crm_orders!$A:$S,7,FALSE),"")</f>
        <v>Distributor</v>
      </c>
      <c r="R699" s="27" t="str">
        <f>IFERROR(VLOOKUP(B699,crm_orders!$A:$S,8,FALSE),"")</f>
        <v>SKU0016</v>
      </c>
    </row>
    <row r="700" ht="15.75" customHeight="1">
      <c r="A700" s="17" t="s">
        <v>3653</v>
      </c>
      <c r="B700" s="17" t="s">
        <v>939</v>
      </c>
      <c r="C700" s="18">
        <v>46063.0</v>
      </c>
      <c r="D700" s="17" t="s">
        <v>2243</v>
      </c>
      <c r="E700" s="17" t="s">
        <v>2255</v>
      </c>
      <c r="F700" s="17" t="s">
        <v>3654</v>
      </c>
      <c r="G700" s="21">
        <v>18.0</v>
      </c>
      <c r="H700" s="21">
        <v>6.0</v>
      </c>
      <c r="I700" s="21">
        <v>12.0</v>
      </c>
      <c r="J700" s="17" t="s">
        <v>2246</v>
      </c>
      <c r="K700" s="17" t="s">
        <v>2246</v>
      </c>
      <c r="L700" s="17" t="s">
        <v>2246</v>
      </c>
      <c r="M700" s="17" t="s">
        <v>2267</v>
      </c>
      <c r="N700" s="21">
        <f>IFERROR((C700-VLOOKUP(B700,crm_orders!$A:$S,2,FALSE))*24,0)</f>
        <v>360</v>
      </c>
      <c r="O700" s="19" t="str">
        <f>IFERROR(VLOOKUP(B700,crm_orders!$A:$S,3,FALSE),"")</f>
        <v>DSP0092</v>
      </c>
      <c r="P700" s="19" t="str">
        <f>IFERROR(VLOOKUP(B700,crm_orders!$A:$S,5,FALSE),"")</f>
        <v>MI</v>
      </c>
      <c r="Q700" s="19" t="str">
        <f>IFERROR(VLOOKUP(B700,crm_orders!$A:$S,7,FALSE),"")</f>
        <v>Distributor</v>
      </c>
      <c r="R700" s="19" t="str">
        <f>IFERROR(VLOOKUP(B700,crm_orders!$A:$S,8,FALSE),"")</f>
        <v>SKU0016</v>
      </c>
    </row>
    <row r="701" ht="15.75" customHeight="1">
      <c r="A701" s="25" t="s">
        <v>3655</v>
      </c>
      <c r="B701" s="25" t="s">
        <v>940</v>
      </c>
      <c r="C701" s="26">
        <v>46073.0</v>
      </c>
      <c r="D701" s="25" t="s">
        <v>2254</v>
      </c>
      <c r="E701" s="25" t="s">
        <v>2286</v>
      </c>
      <c r="F701" s="25" t="s">
        <v>3656</v>
      </c>
      <c r="G701" s="29">
        <v>60.0</v>
      </c>
      <c r="H701" s="29">
        <v>60.0</v>
      </c>
      <c r="I701" s="29">
        <v>0.0</v>
      </c>
      <c r="J701" s="25" t="s">
        <v>2247</v>
      </c>
      <c r="K701" s="25" t="s">
        <v>2247</v>
      </c>
      <c r="L701" s="25" t="s">
        <v>2247</v>
      </c>
      <c r="M701" s="25" t="s">
        <v>2248</v>
      </c>
      <c r="N701" s="29">
        <f>IFERROR((C701-VLOOKUP(B701,crm_orders!$A:$S,2,FALSE))*24,0)</f>
        <v>24</v>
      </c>
      <c r="O701" s="27" t="str">
        <f>IFERROR(VLOOKUP(B701,crm_orders!$A:$S,3,FALSE),"")</f>
        <v>DSP0051</v>
      </c>
      <c r="P701" s="27" t="str">
        <f>IFERROR(VLOOKUP(B701,crm_orders!$A:$S,5,FALSE),"")</f>
        <v>CA</v>
      </c>
      <c r="Q701" s="27" t="str">
        <f>IFERROR(VLOOKUP(B701,crm_orders!$A:$S,7,FALSE),"")</f>
        <v>Wholesale</v>
      </c>
      <c r="R701" s="27" t="str">
        <f>IFERROR(VLOOKUP(B701,crm_orders!$A:$S,8,FALSE),"")</f>
        <v>SKU0012</v>
      </c>
    </row>
    <row r="702" ht="15.75" customHeight="1">
      <c r="A702" s="17" t="s">
        <v>3657</v>
      </c>
      <c r="B702" s="17" t="s">
        <v>844</v>
      </c>
      <c r="C702" s="18">
        <v>46116.0</v>
      </c>
      <c r="D702" s="17" t="s">
        <v>2254</v>
      </c>
      <c r="E702" s="17" t="s">
        <v>2286</v>
      </c>
      <c r="F702" s="17" t="s">
        <v>3658</v>
      </c>
      <c r="G702" s="21">
        <v>6.0</v>
      </c>
      <c r="H702" s="21">
        <v>6.0</v>
      </c>
      <c r="I702" s="21">
        <v>0.0</v>
      </c>
      <c r="J702" s="17" t="s">
        <v>2247</v>
      </c>
      <c r="K702" s="17" t="s">
        <v>2247</v>
      </c>
      <c r="L702" s="17" t="s">
        <v>2247</v>
      </c>
      <c r="M702" s="17" t="s">
        <v>2248</v>
      </c>
      <c r="N702" s="21">
        <f>IFERROR((C702-VLOOKUP(B702,crm_orders!$A:$S,2,FALSE))*24,0)</f>
        <v>96</v>
      </c>
      <c r="O702" s="19" t="str">
        <f>IFERROR(VLOOKUP(B702,crm_orders!$A:$S,3,FALSE),"")</f>
        <v>DSP0089</v>
      </c>
      <c r="P702" s="19" t="str">
        <f>IFERROR(VLOOKUP(B702,crm_orders!$A:$S,5,FALSE),"")</f>
        <v>AZ</v>
      </c>
      <c r="Q702" s="19" t="str">
        <f>IFERROR(VLOOKUP(B702,crm_orders!$A:$S,7,FALSE),"")</f>
        <v>Retail</v>
      </c>
      <c r="R702" s="19" t="str">
        <f>IFERROR(VLOOKUP(B702,crm_orders!$A:$S,8,FALSE),"")</f>
        <v>SKU0012</v>
      </c>
    </row>
    <row r="703" ht="15.75" customHeight="1">
      <c r="A703" s="25" t="s">
        <v>3659</v>
      </c>
      <c r="B703" s="25" t="s">
        <v>1195</v>
      </c>
      <c r="C703" s="26">
        <v>46033.0</v>
      </c>
      <c r="D703" s="25" t="s">
        <v>2260</v>
      </c>
      <c r="E703" s="25" t="s">
        <v>2286</v>
      </c>
      <c r="F703" s="25" t="s">
        <v>3660</v>
      </c>
      <c r="G703" s="29">
        <v>12.0</v>
      </c>
      <c r="H703" s="29">
        <v>12.0</v>
      </c>
      <c r="I703" s="29">
        <v>0.0</v>
      </c>
      <c r="J703" s="25" t="s">
        <v>2246</v>
      </c>
      <c r="K703" s="25" t="s">
        <v>2247</v>
      </c>
      <c r="L703" s="25" t="s">
        <v>2246</v>
      </c>
      <c r="M703" s="25" t="s">
        <v>2248</v>
      </c>
      <c r="N703" s="29">
        <f>IFERROR((C703-VLOOKUP(B703,crm_orders!$A:$S,2,FALSE))*24,0)</f>
        <v>216</v>
      </c>
      <c r="O703" s="27" t="str">
        <f>IFERROR(VLOOKUP(B703,crm_orders!$A:$S,3,FALSE),"")</f>
        <v>DSP0085</v>
      </c>
      <c r="P703" s="27" t="str">
        <f>IFERROR(VLOOKUP(B703,crm_orders!$A:$S,5,FALSE),"")</f>
        <v>OR</v>
      </c>
      <c r="Q703" s="27" t="str">
        <f>IFERROR(VLOOKUP(B703,crm_orders!$A:$S,7,FALSE),"")</f>
        <v>Distributor</v>
      </c>
      <c r="R703" s="27" t="str">
        <f>IFERROR(VLOOKUP(B703,crm_orders!$A:$S,8,FALSE),"")</f>
        <v>SKU0006</v>
      </c>
    </row>
    <row r="704" ht="15.75" customHeight="1">
      <c r="A704" s="17" t="s">
        <v>3661</v>
      </c>
      <c r="B704" s="17" t="s">
        <v>276</v>
      </c>
      <c r="C704" s="18">
        <v>46147.0</v>
      </c>
      <c r="D704" s="17" t="s">
        <v>2243</v>
      </c>
      <c r="E704" s="17" t="s">
        <v>2251</v>
      </c>
      <c r="F704" s="17" t="s">
        <v>3662</v>
      </c>
      <c r="G704" s="21">
        <v>24.0</v>
      </c>
      <c r="H704" s="21">
        <v>0.0</v>
      </c>
      <c r="I704" s="21">
        <v>24.0</v>
      </c>
      <c r="J704" s="17" t="s">
        <v>2246</v>
      </c>
      <c r="K704" s="17" t="s">
        <v>2246</v>
      </c>
      <c r="L704" s="17" t="s">
        <v>2246</v>
      </c>
      <c r="M704" s="17" t="s">
        <v>2312</v>
      </c>
      <c r="N704" s="21">
        <f>IFERROR((C704-VLOOKUP(B704,crm_orders!$A:$S,2,FALSE))*24,0)</f>
        <v>192</v>
      </c>
      <c r="O704" s="19" t="str">
        <f>IFERROR(VLOOKUP(B704,crm_orders!$A:$S,3,FALSE),"")</f>
        <v>DSP0011</v>
      </c>
      <c r="P704" s="19" t="str">
        <f>IFERROR(VLOOKUP(B704,crm_orders!$A:$S,5,FALSE),"")</f>
        <v>NY</v>
      </c>
      <c r="Q704" s="19" t="str">
        <f>IFERROR(VLOOKUP(B704,crm_orders!$A:$S,7,FALSE),"")</f>
        <v>Wholesale</v>
      </c>
      <c r="R704" s="19" t="str">
        <f>IFERROR(VLOOKUP(B704,crm_orders!$A:$S,8,FALSE),"")</f>
        <v>SKU0017</v>
      </c>
    </row>
    <row r="705" ht="15.75" customHeight="1">
      <c r="A705" s="25" t="s">
        <v>3663</v>
      </c>
      <c r="B705" s="25" t="s">
        <v>277</v>
      </c>
      <c r="C705" s="26">
        <v>46102.0</v>
      </c>
      <c r="D705" s="25" t="s">
        <v>2243</v>
      </c>
      <c r="E705" s="25" t="s">
        <v>2251</v>
      </c>
      <c r="F705" s="25" t="s">
        <v>3664</v>
      </c>
      <c r="G705" s="29">
        <v>30.0</v>
      </c>
      <c r="H705" s="29">
        <v>30.0</v>
      </c>
      <c r="I705" s="29">
        <v>0.0</v>
      </c>
      <c r="J705" s="25" t="s">
        <v>2246</v>
      </c>
      <c r="K705" s="25" t="s">
        <v>2247</v>
      </c>
      <c r="L705" s="25" t="s">
        <v>2246</v>
      </c>
      <c r="M705" s="25" t="s">
        <v>2248</v>
      </c>
      <c r="N705" s="29">
        <f>IFERROR((C705-VLOOKUP(B705,crm_orders!$A:$S,2,FALSE))*24,0)</f>
        <v>96</v>
      </c>
      <c r="O705" s="27" t="str">
        <f>IFERROR(VLOOKUP(B705,crm_orders!$A:$S,3,FALSE),"")</f>
        <v>DSP0114</v>
      </c>
      <c r="P705" s="27" t="str">
        <f>IFERROR(VLOOKUP(B705,crm_orders!$A:$S,5,FALSE),"")</f>
        <v>NV</v>
      </c>
      <c r="Q705" s="27" t="str">
        <f>IFERROR(VLOOKUP(B705,crm_orders!$A:$S,7,FALSE),"")</f>
        <v>Distributor</v>
      </c>
      <c r="R705" s="27" t="str">
        <f>IFERROR(VLOOKUP(B705,crm_orders!$A:$S,8,FALSE),"")</f>
        <v>SKU0013</v>
      </c>
    </row>
    <row r="706" ht="15.75" customHeight="1">
      <c r="A706" s="17" t="s">
        <v>3665</v>
      </c>
      <c r="B706" s="17" t="s">
        <v>278</v>
      </c>
      <c r="C706" s="18">
        <v>46133.0</v>
      </c>
      <c r="D706" s="17" t="s">
        <v>2243</v>
      </c>
      <c r="E706" s="17" t="s">
        <v>2261</v>
      </c>
      <c r="F706" s="17" t="s">
        <v>3666</v>
      </c>
      <c r="G706" s="21">
        <v>18.0</v>
      </c>
      <c r="H706" s="21">
        <v>18.0</v>
      </c>
      <c r="I706" s="21">
        <v>0.0</v>
      </c>
      <c r="J706" s="17" t="s">
        <v>2246</v>
      </c>
      <c r="K706" s="17" t="s">
        <v>2247</v>
      </c>
      <c r="L706" s="17" t="s">
        <v>2246</v>
      </c>
      <c r="M706" s="17" t="s">
        <v>2248</v>
      </c>
      <c r="N706" s="21">
        <f>IFERROR((C706-VLOOKUP(B706,crm_orders!$A:$S,2,FALSE))*24,0)</f>
        <v>144</v>
      </c>
      <c r="O706" s="19" t="str">
        <f>IFERROR(VLOOKUP(B706,crm_orders!$A:$S,3,FALSE),"")</f>
        <v>DSP0103</v>
      </c>
      <c r="P706" s="19" t="str">
        <f>IFERROR(VLOOKUP(B706,crm_orders!$A:$S,5,FALSE),"")</f>
        <v>IL</v>
      </c>
      <c r="Q706" s="19" t="str">
        <f>IFERROR(VLOOKUP(B706,crm_orders!$A:$S,7,FALSE),"")</f>
        <v>Retail</v>
      </c>
      <c r="R706" s="19" t="str">
        <f>IFERROR(VLOOKUP(B706,crm_orders!$A:$S,8,FALSE),"")</f>
        <v>SKU0012</v>
      </c>
    </row>
    <row r="707" ht="15.75" customHeight="1">
      <c r="A707" s="25" t="s">
        <v>3667</v>
      </c>
      <c r="B707" s="25" t="s">
        <v>432</v>
      </c>
      <c r="C707" s="26">
        <v>46123.0</v>
      </c>
      <c r="D707" s="25" t="s">
        <v>2250</v>
      </c>
      <c r="E707" s="25" t="s">
        <v>2244</v>
      </c>
      <c r="F707" s="25" t="s">
        <v>3668</v>
      </c>
      <c r="G707" s="29">
        <v>18.0</v>
      </c>
      <c r="H707" s="29">
        <v>18.0</v>
      </c>
      <c r="I707" s="29">
        <v>0.0</v>
      </c>
      <c r="J707" s="25" t="s">
        <v>2246</v>
      </c>
      <c r="K707" s="25" t="s">
        <v>2247</v>
      </c>
      <c r="L707" s="25" t="s">
        <v>2246</v>
      </c>
      <c r="M707" s="25" t="s">
        <v>2248</v>
      </c>
      <c r="N707" s="29">
        <f>IFERROR((C707-VLOOKUP(B707,crm_orders!$A:$S,2,FALSE))*24,0)</f>
        <v>240</v>
      </c>
      <c r="O707" s="27" t="str">
        <f>IFERROR(VLOOKUP(B707,crm_orders!$A:$S,3,FALSE),"")</f>
        <v>DSP0048</v>
      </c>
      <c r="P707" s="27" t="str">
        <f>IFERROR(VLOOKUP(B707,crm_orders!$A:$S,5,FALSE),"")</f>
        <v>OK</v>
      </c>
      <c r="Q707" s="27" t="str">
        <f>IFERROR(VLOOKUP(B707,crm_orders!$A:$S,7,FALSE),"")</f>
        <v>Distributor</v>
      </c>
      <c r="R707" s="27" t="str">
        <f>IFERROR(VLOOKUP(B707,crm_orders!$A:$S,8,FALSE),"")</f>
        <v>SKU0006</v>
      </c>
    </row>
    <row r="708" ht="15.75" customHeight="1">
      <c r="A708" s="17" t="s">
        <v>3669</v>
      </c>
      <c r="B708" s="17" t="s">
        <v>679</v>
      </c>
      <c r="C708" s="18">
        <v>46127.0</v>
      </c>
      <c r="D708" s="17" t="s">
        <v>2254</v>
      </c>
      <c r="E708" s="17" t="s">
        <v>2261</v>
      </c>
      <c r="F708" s="17" t="s">
        <v>3670</v>
      </c>
      <c r="G708" s="21">
        <v>18.0</v>
      </c>
      <c r="H708" s="21">
        <v>18.0</v>
      </c>
      <c r="I708" s="21">
        <v>0.0</v>
      </c>
      <c r="J708" s="17" t="s">
        <v>2246</v>
      </c>
      <c r="K708" s="17" t="s">
        <v>2247</v>
      </c>
      <c r="L708" s="17" t="s">
        <v>2246</v>
      </c>
      <c r="M708" s="17" t="s">
        <v>2248</v>
      </c>
      <c r="N708" s="21">
        <f>IFERROR((C708-VLOOKUP(B708,crm_orders!$A:$S,2,FALSE))*24,0)</f>
        <v>216</v>
      </c>
      <c r="O708" s="19" t="str">
        <f>IFERROR(VLOOKUP(B708,crm_orders!$A:$S,3,FALSE),"")</f>
        <v>DSP0026</v>
      </c>
      <c r="P708" s="19" t="str">
        <f>IFERROR(VLOOKUP(B708,crm_orders!$A:$S,5,FALSE),"")</f>
        <v>WA</v>
      </c>
      <c r="Q708" s="19" t="str">
        <f>IFERROR(VLOOKUP(B708,crm_orders!$A:$S,7,FALSE),"")</f>
        <v>Distributor</v>
      </c>
      <c r="R708" s="19" t="str">
        <f>IFERROR(VLOOKUP(B708,crm_orders!$A:$S,8,FALSE),"")</f>
        <v>SKU0002</v>
      </c>
    </row>
    <row r="709" ht="15.75" customHeight="1">
      <c r="A709" s="25" t="s">
        <v>3671</v>
      </c>
      <c r="B709" s="25" t="s">
        <v>528</v>
      </c>
      <c r="C709" s="26">
        <v>46035.0</v>
      </c>
      <c r="D709" s="25" t="s">
        <v>2250</v>
      </c>
      <c r="E709" s="25" t="s">
        <v>2255</v>
      </c>
      <c r="F709" s="25" t="s">
        <v>3672</v>
      </c>
      <c r="G709" s="29">
        <v>30.0</v>
      </c>
      <c r="H709" s="29">
        <v>30.0</v>
      </c>
      <c r="I709" s="29">
        <v>0.0</v>
      </c>
      <c r="J709" s="25" t="s">
        <v>2246</v>
      </c>
      <c r="K709" s="25" t="s">
        <v>2247</v>
      </c>
      <c r="L709" s="25" t="s">
        <v>2246</v>
      </c>
      <c r="M709" s="25" t="s">
        <v>2248</v>
      </c>
      <c r="N709" s="29">
        <f>IFERROR((C709-VLOOKUP(B709,crm_orders!$A:$S,2,FALSE))*24,0)</f>
        <v>48</v>
      </c>
      <c r="O709" s="27" t="str">
        <f>IFERROR(VLOOKUP(B709,crm_orders!$A:$S,3,FALSE),"")</f>
        <v>DSP0014</v>
      </c>
      <c r="P709" s="27" t="str">
        <f>IFERROR(VLOOKUP(B709,crm_orders!$A:$S,5,FALSE),"")</f>
        <v>WA</v>
      </c>
      <c r="Q709" s="27" t="str">
        <f>IFERROR(VLOOKUP(B709,crm_orders!$A:$S,7,FALSE),"")</f>
        <v>Wholesale</v>
      </c>
      <c r="R709" s="27" t="str">
        <f>IFERROR(VLOOKUP(B709,crm_orders!$A:$S,8,FALSE),"")</f>
        <v>SKU0006</v>
      </c>
    </row>
    <row r="710" ht="15.75" customHeight="1">
      <c r="A710" s="17" t="s">
        <v>3673</v>
      </c>
      <c r="B710" s="17" t="s">
        <v>1196</v>
      </c>
      <c r="C710" s="18">
        <v>46034.0</v>
      </c>
      <c r="D710" s="17" t="s">
        <v>2250</v>
      </c>
      <c r="E710" s="17" t="s">
        <v>2286</v>
      </c>
      <c r="F710" s="17" t="s">
        <v>3674</v>
      </c>
      <c r="G710" s="21">
        <v>6.0</v>
      </c>
      <c r="H710" s="21">
        <v>0.0</v>
      </c>
      <c r="I710" s="21">
        <v>6.0</v>
      </c>
      <c r="J710" s="17" t="s">
        <v>2246</v>
      </c>
      <c r="K710" s="17" t="s">
        <v>2246</v>
      </c>
      <c r="L710" s="17" t="s">
        <v>2246</v>
      </c>
      <c r="M710" s="17" t="s">
        <v>2267</v>
      </c>
      <c r="N710" s="21">
        <f>IFERROR((C710-VLOOKUP(B710,crm_orders!$A:$S,2,FALSE))*24,0)</f>
        <v>240</v>
      </c>
      <c r="O710" s="19" t="str">
        <f>IFERROR(VLOOKUP(B710,crm_orders!$A:$S,3,FALSE),"")</f>
        <v>DSP0087</v>
      </c>
      <c r="P710" s="19" t="str">
        <f>IFERROR(VLOOKUP(B710,crm_orders!$A:$S,5,FALSE),"")</f>
        <v>CA</v>
      </c>
      <c r="Q710" s="19" t="str">
        <f>IFERROR(VLOOKUP(B710,crm_orders!$A:$S,7,FALSE),"")</f>
        <v>Retail</v>
      </c>
      <c r="R710" s="19" t="str">
        <f>IFERROR(VLOOKUP(B710,crm_orders!$A:$S,8,FALSE),"")</f>
        <v>SKU0004</v>
      </c>
    </row>
    <row r="711" ht="15.75" customHeight="1">
      <c r="A711" s="25" t="s">
        <v>3675</v>
      </c>
      <c r="B711" s="25" t="s">
        <v>680</v>
      </c>
      <c r="C711" s="26">
        <v>46109.0</v>
      </c>
      <c r="D711" s="25" t="s">
        <v>2269</v>
      </c>
      <c r="E711" s="25" t="s">
        <v>2261</v>
      </c>
      <c r="F711" s="25" t="s">
        <v>3676</v>
      </c>
      <c r="G711" s="29">
        <v>72.0</v>
      </c>
      <c r="H711" s="29">
        <v>60.0</v>
      </c>
      <c r="I711" s="29">
        <v>12.0</v>
      </c>
      <c r="J711" s="25" t="s">
        <v>2246</v>
      </c>
      <c r="K711" s="25" t="s">
        <v>2246</v>
      </c>
      <c r="L711" s="25" t="s">
        <v>2246</v>
      </c>
      <c r="M711" s="25" t="s">
        <v>2267</v>
      </c>
      <c r="N711" s="29">
        <f>IFERROR((C711-VLOOKUP(B711,crm_orders!$A:$S,2,FALSE))*24,0)</f>
        <v>216</v>
      </c>
      <c r="O711" s="27" t="str">
        <f>IFERROR(VLOOKUP(B711,crm_orders!$A:$S,3,FALSE),"")</f>
        <v>DSP0001</v>
      </c>
      <c r="P711" s="27" t="str">
        <f>IFERROR(VLOOKUP(B711,crm_orders!$A:$S,5,FALSE),"")</f>
        <v>OR</v>
      </c>
      <c r="Q711" s="27" t="str">
        <f>IFERROR(VLOOKUP(B711,crm_orders!$A:$S,7,FALSE),"")</f>
        <v>Distributor</v>
      </c>
      <c r="R711" s="27" t="str">
        <f>IFERROR(VLOOKUP(B711,crm_orders!$A:$S,8,FALSE),"")</f>
        <v>SKU0013</v>
      </c>
    </row>
    <row r="712" ht="15.75" customHeight="1">
      <c r="A712" s="17" t="s">
        <v>3677</v>
      </c>
      <c r="B712" s="17" t="s">
        <v>279</v>
      </c>
      <c r="C712" s="18">
        <v>46119.0</v>
      </c>
      <c r="D712" s="17" t="s">
        <v>2243</v>
      </c>
      <c r="E712" s="17" t="s">
        <v>2255</v>
      </c>
      <c r="F712" s="17" t="s">
        <v>3678</v>
      </c>
      <c r="G712" s="21">
        <v>36.0</v>
      </c>
      <c r="H712" s="21">
        <v>36.0</v>
      </c>
      <c r="I712" s="21">
        <v>0.0</v>
      </c>
      <c r="J712" s="17" t="s">
        <v>2246</v>
      </c>
      <c r="K712" s="17" t="s">
        <v>2247</v>
      </c>
      <c r="L712" s="17" t="s">
        <v>2246</v>
      </c>
      <c r="M712" s="17" t="s">
        <v>2248</v>
      </c>
      <c r="N712" s="21">
        <f>IFERROR((C712-VLOOKUP(B712,crm_orders!$A:$S,2,FALSE))*24,0)</f>
        <v>216</v>
      </c>
      <c r="O712" s="19" t="str">
        <f>IFERROR(VLOOKUP(B712,crm_orders!$A:$S,3,FALSE),"")</f>
        <v>DSP0044</v>
      </c>
      <c r="P712" s="19" t="str">
        <f>IFERROR(VLOOKUP(B712,crm_orders!$A:$S,5,FALSE),"")</f>
        <v>MI</v>
      </c>
      <c r="Q712" s="19" t="str">
        <f>IFERROR(VLOOKUP(B712,crm_orders!$A:$S,7,FALSE),"")</f>
        <v>Distributor</v>
      </c>
      <c r="R712" s="19" t="str">
        <f>IFERROR(VLOOKUP(B712,crm_orders!$A:$S,8,FALSE),"")</f>
        <v>SKU0012</v>
      </c>
    </row>
    <row r="713" ht="15.75" customHeight="1">
      <c r="A713" s="25" t="s">
        <v>3679</v>
      </c>
      <c r="B713" s="25" t="s">
        <v>845</v>
      </c>
      <c r="C713" s="26">
        <v>46131.0</v>
      </c>
      <c r="D713" s="25" t="s">
        <v>2250</v>
      </c>
      <c r="E713" s="25" t="s">
        <v>2261</v>
      </c>
      <c r="F713" s="25" t="s">
        <v>3680</v>
      </c>
      <c r="G713" s="29">
        <v>12.0</v>
      </c>
      <c r="H713" s="29">
        <v>12.0</v>
      </c>
      <c r="I713" s="29">
        <v>0.0</v>
      </c>
      <c r="J713" s="25" t="s">
        <v>2246</v>
      </c>
      <c r="K713" s="25" t="s">
        <v>2247</v>
      </c>
      <c r="L713" s="25" t="s">
        <v>2246</v>
      </c>
      <c r="M713" s="25" t="s">
        <v>2248</v>
      </c>
      <c r="N713" s="29">
        <f>IFERROR((C713-VLOOKUP(B713,crm_orders!$A:$S,2,FALSE))*24,0)</f>
        <v>120</v>
      </c>
      <c r="O713" s="27" t="str">
        <f>IFERROR(VLOOKUP(B713,crm_orders!$A:$S,3,FALSE),"")</f>
        <v>DSP0046</v>
      </c>
      <c r="P713" s="27" t="str">
        <f>IFERROR(VLOOKUP(B713,crm_orders!$A:$S,5,FALSE),"")</f>
        <v>NM</v>
      </c>
      <c r="Q713" s="27" t="str">
        <f>IFERROR(VLOOKUP(B713,crm_orders!$A:$S,7,FALSE),"")</f>
        <v>Wholesale</v>
      </c>
      <c r="R713" s="27" t="str">
        <f>IFERROR(VLOOKUP(B713,crm_orders!$A:$S,8,FALSE),"")</f>
        <v>SKU0011</v>
      </c>
    </row>
    <row r="714" ht="15.75" customHeight="1">
      <c r="A714" s="17" t="s">
        <v>3681</v>
      </c>
      <c r="B714" s="17" t="s">
        <v>942</v>
      </c>
      <c r="C714" s="18">
        <v>46129.0</v>
      </c>
      <c r="D714" s="17" t="s">
        <v>2250</v>
      </c>
      <c r="E714" s="17" t="s">
        <v>2255</v>
      </c>
      <c r="F714" s="17" t="s">
        <v>3682</v>
      </c>
      <c r="G714" s="21">
        <v>24.0</v>
      </c>
      <c r="H714" s="21">
        <v>24.0</v>
      </c>
      <c r="I714" s="21">
        <v>0.0</v>
      </c>
      <c r="J714" s="17" t="s">
        <v>2246</v>
      </c>
      <c r="K714" s="17" t="s">
        <v>2247</v>
      </c>
      <c r="L714" s="17" t="s">
        <v>2246</v>
      </c>
      <c r="M714" s="17" t="s">
        <v>2248</v>
      </c>
      <c r="N714" s="21">
        <f>IFERROR((C714-VLOOKUP(B714,crm_orders!$A:$S,2,FALSE))*24,0)</f>
        <v>408</v>
      </c>
      <c r="O714" s="19" t="str">
        <f>IFERROR(VLOOKUP(B714,crm_orders!$A:$S,3,FALSE),"")</f>
        <v>DSP0068</v>
      </c>
      <c r="P714" s="19" t="str">
        <f>IFERROR(VLOOKUP(B714,crm_orders!$A:$S,5,FALSE),"")</f>
        <v>MI</v>
      </c>
      <c r="Q714" s="19" t="str">
        <f>IFERROR(VLOOKUP(B714,crm_orders!$A:$S,7,FALSE),"")</f>
        <v>Retail</v>
      </c>
      <c r="R714" s="19" t="str">
        <f>IFERROR(VLOOKUP(B714,crm_orders!$A:$S,8,FALSE),"")</f>
        <v>SKU0009</v>
      </c>
    </row>
    <row r="715" ht="15.75" customHeight="1">
      <c r="A715" s="25" t="s">
        <v>3683</v>
      </c>
      <c r="B715" s="25" t="s">
        <v>681</v>
      </c>
      <c r="C715" s="26">
        <v>46034.0</v>
      </c>
      <c r="D715" s="25" t="s">
        <v>2250</v>
      </c>
      <c r="E715" s="25" t="s">
        <v>2251</v>
      </c>
      <c r="F715" s="25" t="s">
        <v>3684</v>
      </c>
      <c r="G715" s="29">
        <v>120.0</v>
      </c>
      <c r="H715" s="29">
        <v>120.0</v>
      </c>
      <c r="I715" s="29">
        <v>0.0</v>
      </c>
      <c r="J715" s="25" t="s">
        <v>2246</v>
      </c>
      <c r="K715" s="25" t="s">
        <v>2247</v>
      </c>
      <c r="L715" s="25" t="s">
        <v>2246</v>
      </c>
      <c r="M715" s="25" t="s">
        <v>2248</v>
      </c>
      <c r="N715" s="29">
        <f>IFERROR((C715-VLOOKUP(B715,crm_orders!$A:$S,2,FALSE))*24,0)</f>
        <v>216</v>
      </c>
      <c r="O715" s="27" t="str">
        <f>IFERROR(VLOOKUP(B715,crm_orders!$A:$S,3,FALSE),"")</f>
        <v>DSP0001</v>
      </c>
      <c r="P715" s="27" t="str">
        <f>IFERROR(VLOOKUP(B715,crm_orders!$A:$S,5,FALSE),"")</f>
        <v>OR</v>
      </c>
      <c r="Q715" s="27" t="str">
        <f>IFERROR(VLOOKUP(B715,crm_orders!$A:$S,7,FALSE),"")</f>
        <v>Distributor</v>
      </c>
      <c r="R715" s="27" t="str">
        <f>IFERROR(VLOOKUP(B715,crm_orders!$A:$S,8,FALSE),"")</f>
        <v>SKU0011</v>
      </c>
    </row>
    <row r="716" ht="15.75" customHeight="1">
      <c r="A716" s="17" t="s">
        <v>3685</v>
      </c>
      <c r="B716" s="17" t="s">
        <v>157</v>
      </c>
      <c r="C716" s="18">
        <v>46127.0</v>
      </c>
      <c r="D716" s="17" t="s">
        <v>2260</v>
      </c>
      <c r="E716" s="17" t="s">
        <v>2255</v>
      </c>
      <c r="F716" s="17" t="s">
        <v>3686</v>
      </c>
      <c r="G716" s="21">
        <v>96.0</v>
      </c>
      <c r="H716" s="21">
        <v>96.0</v>
      </c>
      <c r="I716" s="21">
        <v>0.0</v>
      </c>
      <c r="J716" s="17" t="s">
        <v>2246</v>
      </c>
      <c r="K716" s="17" t="s">
        <v>2247</v>
      </c>
      <c r="L716" s="17" t="s">
        <v>2246</v>
      </c>
      <c r="M716" s="17" t="s">
        <v>2248</v>
      </c>
      <c r="N716" s="21">
        <f>IFERROR((C716-VLOOKUP(B716,crm_orders!$A:$S,2,FALSE))*24,0)</f>
        <v>240</v>
      </c>
      <c r="O716" s="19" t="str">
        <f>IFERROR(VLOOKUP(B716,crm_orders!$A:$S,3,FALSE),"")</f>
        <v>DSP0063</v>
      </c>
      <c r="P716" s="19" t="str">
        <f>IFERROR(VLOOKUP(B716,crm_orders!$A:$S,5,FALSE),"")</f>
        <v>CA</v>
      </c>
      <c r="Q716" s="19" t="str">
        <f>IFERROR(VLOOKUP(B716,crm_orders!$A:$S,7,FALSE),"")</f>
        <v>Distributor</v>
      </c>
      <c r="R716" s="19" t="str">
        <f>IFERROR(VLOOKUP(B716,crm_orders!$A:$S,8,FALSE),"")</f>
        <v>SKU0013</v>
      </c>
    </row>
    <row r="717" ht="15.75" customHeight="1">
      <c r="A717" s="25" t="s">
        <v>3687</v>
      </c>
      <c r="B717" s="25" t="s">
        <v>943</v>
      </c>
      <c r="C717" s="26">
        <v>46127.0</v>
      </c>
      <c r="D717" s="25" t="s">
        <v>2254</v>
      </c>
      <c r="E717" s="25" t="s">
        <v>2251</v>
      </c>
      <c r="F717" s="25" t="s">
        <v>3688</v>
      </c>
      <c r="G717" s="29">
        <v>48.0</v>
      </c>
      <c r="H717" s="29">
        <v>48.0</v>
      </c>
      <c r="I717" s="29">
        <v>0.0</v>
      </c>
      <c r="J717" s="25" t="s">
        <v>2246</v>
      </c>
      <c r="K717" s="25" t="s">
        <v>2247</v>
      </c>
      <c r="L717" s="25" t="s">
        <v>2246</v>
      </c>
      <c r="M717" s="25" t="s">
        <v>2248</v>
      </c>
      <c r="N717" s="29">
        <f>IFERROR((C717-VLOOKUP(B717,crm_orders!$A:$S,2,FALSE))*24,0)</f>
        <v>264</v>
      </c>
      <c r="O717" s="27" t="str">
        <f>IFERROR(VLOOKUP(B717,crm_orders!$A:$S,3,FALSE),"")</f>
        <v>DSP0116</v>
      </c>
      <c r="P717" s="27" t="str">
        <f>IFERROR(VLOOKUP(B717,crm_orders!$A:$S,5,FALSE),"")</f>
        <v>MI</v>
      </c>
      <c r="Q717" s="27" t="str">
        <f>IFERROR(VLOOKUP(B717,crm_orders!$A:$S,7,FALSE),"")</f>
        <v>Wholesale</v>
      </c>
      <c r="R717" s="27" t="str">
        <f>IFERROR(VLOOKUP(B717,crm_orders!$A:$S,8,FALSE),"")</f>
        <v>SKU0004</v>
      </c>
    </row>
    <row r="718" ht="15.75" customHeight="1">
      <c r="A718" s="17" t="s">
        <v>3689</v>
      </c>
      <c r="B718" s="17" t="s">
        <v>944</v>
      </c>
      <c r="C718" s="18">
        <v>46037.0</v>
      </c>
      <c r="D718" s="17" t="s">
        <v>2260</v>
      </c>
      <c r="E718" s="17" t="s">
        <v>2244</v>
      </c>
      <c r="F718" s="17" t="s">
        <v>3690</v>
      </c>
      <c r="G718" s="21">
        <v>18.0</v>
      </c>
      <c r="H718" s="21">
        <v>18.0</v>
      </c>
      <c r="I718" s="21">
        <v>0.0</v>
      </c>
      <c r="J718" s="17" t="s">
        <v>2246</v>
      </c>
      <c r="K718" s="17" t="s">
        <v>2247</v>
      </c>
      <c r="L718" s="17" t="s">
        <v>2246</v>
      </c>
      <c r="M718" s="17" t="s">
        <v>2248</v>
      </c>
      <c r="N718" s="21">
        <f>IFERROR((C718-VLOOKUP(B718,crm_orders!$A:$S,2,FALSE))*24,0)</f>
        <v>240</v>
      </c>
      <c r="O718" s="19" t="str">
        <f>IFERROR(VLOOKUP(B718,crm_orders!$A:$S,3,FALSE),"")</f>
        <v>DSP0092</v>
      </c>
      <c r="P718" s="19" t="str">
        <f>IFERROR(VLOOKUP(B718,crm_orders!$A:$S,5,FALSE),"")</f>
        <v>MI</v>
      </c>
      <c r="Q718" s="19" t="str">
        <f>IFERROR(VLOOKUP(B718,crm_orders!$A:$S,7,FALSE),"")</f>
        <v>Distributor</v>
      </c>
      <c r="R718" s="19" t="str">
        <f>IFERROR(VLOOKUP(B718,crm_orders!$A:$S,8,FALSE),"")</f>
        <v>SKU0017</v>
      </c>
    </row>
    <row r="719" ht="15.75" customHeight="1">
      <c r="A719" s="25" t="s">
        <v>3691</v>
      </c>
      <c r="B719" s="25" t="s">
        <v>433</v>
      </c>
      <c r="C719" s="26">
        <v>46039.0</v>
      </c>
      <c r="D719" s="25" t="s">
        <v>2254</v>
      </c>
      <c r="E719" s="25" t="s">
        <v>2244</v>
      </c>
      <c r="F719" s="25" t="s">
        <v>3692</v>
      </c>
      <c r="G719" s="29">
        <v>60.0</v>
      </c>
      <c r="H719" s="29">
        <v>60.0</v>
      </c>
      <c r="I719" s="29">
        <v>0.0</v>
      </c>
      <c r="J719" s="25" t="s">
        <v>2247</v>
      </c>
      <c r="K719" s="25" t="s">
        <v>2247</v>
      </c>
      <c r="L719" s="25" t="s">
        <v>2247</v>
      </c>
      <c r="M719" s="25" t="s">
        <v>2248</v>
      </c>
      <c r="N719" s="29">
        <f>IFERROR((C719-VLOOKUP(B719,crm_orders!$A:$S,2,FALSE))*24,0)</f>
        <v>48</v>
      </c>
      <c r="O719" s="27" t="str">
        <f>IFERROR(VLOOKUP(B719,crm_orders!$A:$S,3,FALSE),"")</f>
        <v>DSP0115</v>
      </c>
      <c r="P719" s="27" t="str">
        <f>IFERROR(VLOOKUP(B719,crm_orders!$A:$S,5,FALSE),"")</f>
        <v>IL</v>
      </c>
      <c r="Q719" s="27" t="str">
        <f>IFERROR(VLOOKUP(B719,crm_orders!$A:$S,7,FALSE),"")</f>
        <v>Wholesale</v>
      </c>
      <c r="R719" s="27" t="str">
        <f>IFERROR(VLOOKUP(B719,crm_orders!$A:$S,8,FALSE),"")</f>
        <v>SKU0015</v>
      </c>
    </row>
    <row r="720" ht="15.75" customHeight="1">
      <c r="A720" s="17" t="s">
        <v>3693</v>
      </c>
      <c r="B720" s="17" t="s">
        <v>1063</v>
      </c>
      <c r="C720" s="18">
        <v>46116.0</v>
      </c>
      <c r="D720" s="17" t="s">
        <v>2260</v>
      </c>
      <c r="E720" s="17" t="s">
        <v>2251</v>
      </c>
      <c r="F720" s="17" t="s">
        <v>3694</v>
      </c>
      <c r="G720" s="21">
        <v>18.0</v>
      </c>
      <c r="H720" s="21">
        <v>18.0</v>
      </c>
      <c r="I720" s="21">
        <v>0.0</v>
      </c>
      <c r="J720" s="17" t="s">
        <v>2246</v>
      </c>
      <c r="K720" s="17" t="s">
        <v>2247</v>
      </c>
      <c r="L720" s="17" t="s">
        <v>2246</v>
      </c>
      <c r="M720" s="17" t="s">
        <v>2248</v>
      </c>
      <c r="N720" s="21">
        <f>IFERROR((C720-VLOOKUP(B720,crm_orders!$A:$S,2,FALSE))*24,0)</f>
        <v>192</v>
      </c>
      <c r="O720" s="19" t="str">
        <f>IFERROR(VLOOKUP(B720,crm_orders!$A:$S,3,FALSE),"")</f>
        <v>DSP0086</v>
      </c>
      <c r="P720" s="19" t="str">
        <f>IFERROR(VLOOKUP(B720,crm_orders!$A:$S,5,FALSE),"")</f>
        <v>WA</v>
      </c>
      <c r="Q720" s="19" t="str">
        <f>IFERROR(VLOOKUP(B720,crm_orders!$A:$S,7,FALSE),"")</f>
        <v>Wholesale</v>
      </c>
      <c r="R720" s="19" t="str">
        <f>IFERROR(VLOOKUP(B720,crm_orders!$A:$S,8,FALSE),"")</f>
        <v>SKU0004</v>
      </c>
    </row>
    <row r="721" ht="15.75" customHeight="1">
      <c r="A721" s="25" t="s">
        <v>3695</v>
      </c>
      <c r="B721" s="25" t="s">
        <v>280</v>
      </c>
      <c r="C721" s="26">
        <v>46038.0</v>
      </c>
      <c r="D721" s="25" t="s">
        <v>2243</v>
      </c>
      <c r="E721" s="25" t="s">
        <v>2251</v>
      </c>
      <c r="F721" s="25" t="s">
        <v>3696</v>
      </c>
      <c r="G721" s="29">
        <v>120.0</v>
      </c>
      <c r="H721" s="29">
        <v>120.0</v>
      </c>
      <c r="I721" s="29">
        <v>0.0</v>
      </c>
      <c r="J721" s="25" t="s">
        <v>2247</v>
      </c>
      <c r="K721" s="25" t="s">
        <v>2247</v>
      </c>
      <c r="L721" s="25" t="s">
        <v>2247</v>
      </c>
      <c r="M721" s="25" t="s">
        <v>2248</v>
      </c>
      <c r="N721" s="29">
        <f>IFERROR((C721-VLOOKUP(B721,crm_orders!$A:$S,2,FALSE))*24,0)</f>
        <v>168</v>
      </c>
      <c r="O721" s="27" t="str">
        <f>IFERROR(VLOOKUP(B721,crm_orders!$A:$S,3,FALSE),"")</f>
        <v>DSP0099</v>
      </c>
      <c r="P721" s="27" t="str">
        <f>IFERROR(VLOOKUP(B721,crm_orders!$A:$S,5,FALSE),"")</f>
        <v>CA</v>
      </c>
      <c r="Q721" s="27" t="str">
        <f>IFERROR(VLOOKUP(B721,crm_orders!$A:$S,7,FALSE),"")</f>
        <v>Retail</v>
      </c>
      <c r="R721" s="27" t="str">
        <f>IFERROR(VLOOKUP(B721,crm_orders!$A:$S,8,FALSE),"")</f>
        <v>SKU0020</v>
      </c>
    </row>
    <row r="722" ht="15.75" customHeight="1">
      <c r="A722" s="17" t="s">
        <v>3697</v>
      </c>
      <c r="B722" s="17" t="s">
        <v>683</v>
      </c>
      <c r="C722" s="18">
        <v>46137.0</v>
      </c>
      <c r="D722" s="17" t="s">
        <v>2269</v>
      </c>
      <c r="E722" s="17" t="s">
        <v>2261</v>
      </c>
      <c r="F722" s="17" t="s">
        <v>3698</v>
      </c>
      <c r="G722" s="21">
        <v>24.0</v>
      </c>
      <c r="H722" s="21">
        <v>6.0</v>
      </c>
      <c r="I722" s="21">
        <v>18.0</v>
      </c>
      <c r="J722" s="17" t="s">
        <v>2246</v>
      </c>
      <c r="K722" s="17" t="s">
        <v>2246</v>
      </c>
      <c r="L722" s="17" t="s">
        <v>2246</v>
      </c>
      <c r="M722" s="17" t="s">
        <v>2267</v>
      </c>
      <c r="N722" s="21">
        <f>IFERROR((C722-VLOOKUP(B722,crm_orders!$A:$S,2,FALSE))*24,0)</f>
        <v>264</v>
      </c>
      <c r="O722" s="19" t="str">
        <f>IFERROR(VLOOKUP(B722,crm_orders!$A:$S,3,FALSE),"")</f>
        <v>DSP0110</v>
      </c>
      <c r="P722" s="19" t="str">
        <f>IFERROR(VLOOKUP(B722,crm_orders!$A:$S,5,FALSE),"")</f>
        <v>WA</v>
      </c>
      <c r="Q722" s="19" t="str">
        <f>IFERROR(VLOOKUP(B722,crm_orders!$A:$S,7,FALSE),"")</f>
        <v>Wholesale</v>
      </c>
      <c r="R722" s="19" t="str">
        <f>IFERROR(VLOOKUP(B722,crm_orders!$A:$S,8,FALSE),"")</f>
        <v>SKU0014</v>
      </c>
    </row>
    <row r="723" ht="15.75" customHeight="1">
      <c r="A723" s="25" t="s">
        <v>3699</v>
      </c>
      <c r="B723" s="25" t="s">
        <v>684</v>
      </c>
      <c r="C723" s="26">
        <v>46098.0</v>
      </c>
      <c r="D723" s="25" t="s">
        <v>2243</v>
      </c>
      <c r="E723" s="25" t="s">
        <v>2261</v>
      </c>
      <c r="F723" s="25" t="s">
        <v>3700</v>
      </c>
      <c r="G723" s="29">
        <v>36.0</v>
      </c>
      <c r="H723" s="29">
        <v>36.0</v>
      </c>
      <c r="I723" s="29">
        <v>0.0</v>
      </c>
      <c r="J723" s="25" t="s">
        <v>2246</v>
      </c>
      <c r="K723" s="25" t="s">
        <v>2247</v>
      </c>
      <c r="L723" s="25" t="s">
        <v>2246</v>
      </c>
      <c r="M723" s="25" t="s">
        <v>2248</v>
      </c>
      <c r="N723" s="29">
        <f>IFERROR((C723-VLOOKUP(B723,crm_orders!$A:$S,2,FALSE))*24,0)</f>
        <v>48</v>
      </c>
      <c r="O723" s="27" t="str">
        <f>IFERROR(VLOOKUP(B723,crm_orders!$A:$S,3,FALSE),"")</f>
        <v>DSP0025</v>
      </c>
      <c r="P723" s="27" t="str">
        <f>IFERROR(VLOOKUP(B723,crm_orders!$A:$S,5,FALSE),"")</f>
        <v>OR</v>
      </c>
      <c r="Q723" s="27" t="str">
        <f>IFERROR(VLOOKUP(B723,crm_orders!$A:$S,7,FALSE),"")</f>
        <v>Wholesale</v>
      </c>
      <c r="R723" s="27" t="str">
        <f>IFERROR(VLOOKUP(B723,crm_orders!$A:$S,8,FALSE),"")</f>
        <v>SKU0004</v>
      </c>
    </row>
    <row r="724" ht="15.75" customHeight="1">
      <c r="A724" s="17" t="s">
        <v>3701</v>
      </c>
      <c r="B724" s="17" t="s">
        <v>685</v>
      </c>
      <c r="C724" s="18">
        <v>46081.0</v>
      </c>
      <c r="D724" s="17" t="s">
        <v>2269</v>
      </c>
      <c r="E724" s="17" t="s">
        <v>2251</v>
      </c>
      <c r="F724" s="17" t="s">
        <v>3702</v>
      </c>
      <c r="G724" s="21">
        <v>36.0</v>
      </c>
      <c r="H724" s="21">
        <v>36.0</v>
      </c>
      <c r="I724" s="21">
        <v>0.0</v>
      </c>
      <c r="J724" s="17" t="s">
        <v>2246</v>
      </c>
      <c r="K724" s="17" t="s">
        <v>2247</v>
      </c>
      <c r="L724" s="17" t="s">
        <v>2246</v>
      </c>
      <c r="M724" s="17" t="s">
        <v>2248</v>
      </c>
      <c r="N724" s="21">
        <f>IFERROR((C724-VLOOKUP(B724,crm_orders!$A:$S,2,FALSE))*24,0)</f>
        <v>96</v>
      </c>
      <c r="O724" s="19" t="str">
        <f>IFERROR(VLOOKUP(B724,crm_orders!$A:$S,3,FALSE),"")</f>
        <v>DSP0025</v>
      </c>
      <c r="P724" s="19" t="str">
        <f>IFERROR(VLOOKUP(B724,crm_orders!$A:$S,5,FALSE),"")</f>
        <v>OR</v>
      </c>
      <c r="Q724" s="19" t="str">
        <f>IFERROR(VLOOKUP(B724,crm_orders!$A:$S,7,FALSE),"")</f>
        <v>Distributor</v>
      </c>
      <c r="R724" s="19" t="str">
        <f>IFERROR(VLOOKUP(B724,crm_orders!$A:$S,8,FALSE),"")</f>
        <v>SKU0013</v>
      </c>
    </row>
    <row r="725" ht="15.75" customHeight="1">
      <c r="A725" s="25" t="s">
        <v>3703</v>
      </c>
      <c r="B725" s="25" t="s">
        <v>1064</v>
      </c>
      <c r="C725" s="26">
        <v>46099.0</v>
      </c>
      <c r="D725" s="25" t="s">
        <v>2243</v>
      </c>
      <c r="E725" s="25" t="s">
        <v>2244</v>
      </c>
      <c r="F725" s="25" t="s">
        <v>3704</v>
      </c>
      <c r="G725" s="29">
        <v>30.0</v>
      </c>
      <c r="H725" s="29">
        <v>30.0</v>
      </c>
      <c r="I725" s="29">
        <v>0.0</v>
      </c>
      <c r="J725" s="25" t="s">
        <v>2247</v>
      </c>
      <c r="K725" s="25" t="s">
        <v>2247</v>
      </c>
      <c r="L725" s="25" t="s">
        <v>2247</v>
      </c>
      <c r="M725" s="25" t="s">
        <v>2248</v>
      </c>
      <c r="N725" s="29">
        <f>IFERROR((C725-VLOOKUP(B725,crm_orders!$A:$S,2,FALSE))*24,0)</f>
        <v>0</v>
      </c>
      <c r="O725" s="27" t="str">
        <f>IFERROR(VLOOKUP(B725,crm_orders!$A:$S,3,FALSE),"")</f>
        <v>DSP0059</v>
      </c>
      <c r="P725" s="27" t="str">
        <f>IFERROR(VLOOKUP(B725,crm_orders!$A:$S,5,FALSE),"")</f>
        <v>NY</v>
      </c>
      <c r="Q725" s="27" t="str">
        <f>IFERROR(VLOOKUP(B725,crm_orders!$A:$S,7,FALSE),"")</f>
        <v>Distributor</v>
      </c>
      <c r="R725" s="27" t="str">
        <f>IFERROR(VLOOKUP(B725,crm_orders!$A:$S,8,FALSE),"")</f>
        <v>SKU0005</v>
      </c>
    </row>
    <row r="726" ht="15.75" customHeight="1">
      <c r="A726" s="17" t="s">
        <v>3705</v>
      </c>
      <c r="B726" s="17" t="s">
        <v>846</v>
      </c>
      <c r="C726" s="18">
        <v>46066.0</v>
      </c>
      <c r="D726" s="17" t="s">
        <v>2269</v>
      </c>
      <c r="E726" s="17" t="s">
        <v>2255</v>
      </c>
      <c r="F726" s="17" t="s">
        <v>3706</v>
      </c>
      <c r="G726" s="21">
        <v>96.0</v>
      </c>
      <c r="H726" s="21">
        <v>96.0</v>
      </c>
      <c r="I726" s="21">
        <v>0.0</v>
      </c>
      <c r="J726" s="17" t="s">
        <v>2246</v>
      </c>
      <c r="K726" s="17" t="s">
        <v>2247</v>
      </c>
      <c r="L726" s="17" t="s">
        <v>2246</v>
      </c>
      <c r="M726" s="17" t="s">
        <v>2248</v>
      </c>
      <c r="N726" s="21">
        <f>IFERROR((C726-VLOOKUP(B726,crm_orders!$A:$S,2,FALSE))*24,0)</f>
        <v>192</v>
      </c>
      <c r="O726" s="19" t="str">
        <f>IFERROR(VLOOKUP(B726,crm_orders!$A:$S,3,FALSE),"")</f>
        <v>DSP0089</v>
      </c>
      <c r="P726" s="19" t="str">
        <f>IFERROR(VLOOKUP(B726,crm_orders!$A:$S,5,FALSE),"")</f>
        <v>AZ</v>
      </c>
      <c r="Q726" s="19" t="str">
        <f>IFERROR(VLOOKUP(B726,crm_orders!$A:$S,7,FALSE),"")</f>
        <v>Wholesale</v>
      </c>
      <c r="R726" s="19" t="str">
        <f>IFERROR(VLOOKUP(B726,crm_orders!$A:$S,8,FALSE),"")</f>
        <v>SKU0004</v>
      </c>
    </row>
    <row r="727" ht="15.75" customHeight="1">
      <c r="A727" s="25" t="s">
        <v>3707</v>
      </c>
      <c r="B727" s="25" t="s">
        <v>1118</v>
      </c>
      <c r="C727" s="26">
        <v>46134.0</v>
      </c>
      <c r="D727" s="25" t="s">
        <v>2260</v>
      </c>
      <c r="E727" s="25" t="s">
        <v>2244</v>
      </c>
      <c r="F727" s="25" t="s">
        <v>3708</v>
      </c>
      <c r="G727" s="29">
        <v>24.0</v>
      </c>
      <c r="H727" s="29">
        <v>24.0</v>
      </c>
      <c r="I727" s="29">
        <v>0.0</v>
      </c>
      <c r="J727" s="25" t="s">
        <v>2247</v>
      </c>
      <c r="K727" s="25" t="s">
        <v>2247</v>
      </c>
      <c r="L727" s="25" t="s">
        <v>2247</v>
      </c>
      <c r="M727" s="25" t="s">
        <v>2248</v>
      </c>
      <c r="N727" s="29">
        <f>IFERROR((C727-VLOOKUP(B727,crm_orders!$A:$S,2,FALSE))*24,0)</f>
        <v>72</v>
      </c>
      <c r="O727" s="27" t="str">
        <f>IFERROR(VLOOKUP(B727,crm_orders!$A:$S,3,FALSE),"")</f>
        <v>DSP0020</v>
      </c>
      <c r="P727" s="27" t="str">
        <f>IFERROR(VLOOKUP(B727,crm_orders!$A:$S,5,FALSE),"")</f>
        <v>MI</v>
      </c>
      <c r="Q727" s="27" t="str">
        <f>IFERROR(VLOOKUP(B727,crm_orders!$A:$S,7,FALSE),"")</f>
        <v>Distributor</v>
      </c>
      <c r="R727" s="27" t="str">
        <f>IFERROR(VLOOKUP(B727,crm_orders!$A:$S,8,FALSE),"")</f>
        <v>SKU0007</v>
      </c>
    </row>
    <row r="728" ht="15.75" customHeight="1">
      <c r="A728" s="17" t="s">
        <v>3709</v>
      </c>
      <c r="B728" s="17" t="s">
        <v>945</v>
      </c>
      <c r="C728" s="18">
        <v>46066.0</v>
      </c>
      <c r="D728" s="17" t="s">
        <v>2243</v>
      </c>
      <c r="E728" s="17" t="s">
        <v>2286</v>
      </c>
      <c r="F728" s="17" t="s">
        <v>3710</v>
      </c>
      <c r="G728" s="21">
        <v>24.0</v>
      </c>
      <c r="H728" s="21">
        <v>24.0</v>
      </c>
      <c r="I728" s="21">
        <v>0.0</v>
      </c>
      <c r="J728" s="17" t="s">
        <v>2246</v>
      </c>
      <c r="K728" s="17" t="s">
        <v>2247</v>
      </c>
      <c r="L728" s="17" t="s">
        <v>2246</v>
      </c>
      <c r="M728" s="17" t="s">
        <v>2248</v>
      </c>
      <c r="N728" s="21">
        <f>IFERROR((C728-VLOOKUP(B728,crm_orders!$A:$S,2,FALSE))*24,0)</f>
        <v>168</v>
      </c>
      <c r="O728" s="19" t="str">
        <f>IFERROR(VLOOKUP(B728,crm_orders!$A:$S,3,FALSE),"")</f>
        <v>DSP0068</v>
      </c>
      <c r="P728" s="19" t="str">
        <f>IFERROR(VLOOKUP(B728,crm_orders!$A:$S,5,FALSE),"")</f>
        <v>MI</v>
      </c>
      <c r="Q728" s="19" t="str">
        <f>IFERROR(VLOOKUP(B728,crm_orders!$A:$S,7,FALSE),"")</f>
        <v>Wholesale</v>
      </c>
      <c r="R728" s="19" t="str">
        <f>IFERROR(VLOOKUP(B728,crm_orders!$A:$S,8,FALSE),"")</f>
        <v>SKU0010</v>
      </c>
    </row>
    <row r="729" ht="15.75" customHeight="1">
      <c r="A729" s="25" t="s">
        <v>3711</v>
      </c>
      <c r="B729" s="25" t="s">
        <v>687</v>
      </c>
      <c r="C729" s="26">
        <v>46140.0</v>
      </c>
      <c r="D729" s="25" t="s">
        <v>2269</v>
      </c>
      <c r="E729" s="25" t="s">
        <v>2251</v>
      </c>
      <c r="F729" s="25" t="s">
        <v>3712</v>
      </c>
      <c r="G729" s="29">
        <v>30.0</v>
      </c>
      <c r="H729" s="29">
        <v>0.0</v>
      </c>
      <c r="I729" s="29">
        <v>30.0</v>
      </c>
      <c r="J729" s="25" t="s">
        <v>2246</v>
      </c>
      <c r="K729" s="25" t="s">
        <v>2246</v>
      </c>
      <c r="L729" s="25" t="s">
        <v>2246</v>
      </c>
      <c r="M729" s="25" t="s">
        <v>2312</v>
      </c>
      <c r="N729" s="29">
        <f>IFERROR((C729-VLOOKUP(B729,crm_orders!$A:$S,2,FALSE))*24,0)</f>
        <v>216</v>
      </c>
      <c r="O729" s="27" t="str">
        <f>IFERROR(VLOOKUP(B729,crm_orders!$A:$S,3,FALSE),"")</f>
        <v>DSP0104</v>
      </c>
      <c r="P729" s="27" t="str">
        <f>IFERROR(VLOOKUP(B729,crm_orders!$A:$S,5,FALSE),"")</f>
        <v>MI</v>
      </c>
      <c r="Q729" s="27" t="str">
        <f>IFERROR(VLOOKUP(B729,crm_orders!$A:$S,7,FALSE),"")</f>
        <v>Wholesale</v>
      </c>
      <c r="R729" s="27" t="str">
        <f>IFERROR(VLOOKUP(B729,crm_orders!$A:$S,8,FALSE),"")</f>
        <v>SKU0002</v>
      </c>
    </row>
    <row r="730" ht="15.75" customHeight="1">
      <c r="A730" s="17" t="s">
        <v>3713</v>
      </c>
      <c r="B730" s="17" t="s">
        <v>530</v>
      </c>
      <c r="C730" s="18">
        <v>46120.0</v>
      </c>
      <c r="D730" s="17" t="s">
        <v>2243</v>
      </c>
      <c r="E730" s="17" t="s">
        <v>2261</v>
      </c>
      <c r="F730" s="17" t="s">
        <v>3714</v>
      </c>
      <c r="G730" s="21">
        <v>120.0</v>
      </c>
      <c r="H730" s="21">
        <v>120.0</v>
      </c>
      <c r="I730" s="21">
        <v>0.0</v>
      </c>
      <c r="J730" s="17" t="s">
        <v>2247</v>
      </c>
      <c r="K730" s="17" t="s">
        <v>2247</v>
      </c>
      <c r="L730" s="17" t="s">
        <v>2247</v>
      </c>
      <c r="M730" s="17" t="s">
        <v>2248</v>
      </c>
      <c r="N730" s="21">
        <f>IFERROR((C730-VLOOKUP(B730,crm_orders!$A:$S,2,FALSE))*24,0)</f>
        <v>72</v>
      </c>
      <c r="O730" s="19" t="str">
        <f>IFERROR(VLOOKUP(B730,crm_orders!$A:$S,3,FALSE),"")</f>
        <v>DSP0028</v>
      </c>
      <c r="P730" s="19" t="str">
        <f>IFERROR(VLOOKUP(B730,crm_orders!$A:$S,5,FALSE),"")</f>
        <v>CO</v>
      </c>
      <c r="Q730" s="19" t="str">
        <f>IFERROR(VLOOKUP(B730,crm_orders!$A:$S,7,FALSE),"")</f>
        <v>Wholesale</v>
      </c>
      <c r="R730" s="19" t="str">
        <f>IFERROR(VLOOKUP(B730,crm_orders!$A:$S,8,FALSE),"")</f>
        <v>SKU0007</v>
      </c>
    </row>
    <row r="731" ht="15.75" customHeight="1">
      <c r="A731" s="25" t="s">
        <v>3715</v>
      </c>
      <c r="B731" s="25" t="s">
        <v>434</v>
      </c>
      <c r="C731" s="26">
        <v>46111.0</v>
      </c>
      <c r="D731" s="25" t="s">
        <v>2243</v>
      </c>
      <c r="E731" s="25" t="s">
        <v>2261</v>
      </c>
      <c r="F731" s="25" t="s">
        <v>3716</v>
      </c>
      <c r="G731" s="29">
        <v>48.0</v>
      </c>
      <c r="H731" s="29">
        <v>48.0</v>
      </c>
      <c r="I731" s="29">
        <v>0.0</v>
      </c>
      <c r="J731" s="25" t="s">
        <v>2246</v>
      </c>
      <c r="K731" s="25" t="s">
        <v>2247</v>
      </c>
      <c r="L731" s="25" t="s">
        <v>2246</v>
      </c>
      <c r="M731" s="25" t="s">
        <v>2248</v>
      </c>
      <c r="N731" s="29">
        <f>IFERROR((C731-VLOOKUP(B731,crm_orders!$A:$S,2,FALSE))*24,0)</f>
        <v>120</v>
      </c>
      <c r="O731" s="27" t="str">
        <f>IFERROR(VLOOKUP(B731,crm_orders!$A:$S,3,FALSE),"")</f>
        <v>DSP0077</v>
      </c>
      <c r="P731" s="27" t="str">
        <f>IFERROR(VLOOKUP(B731,crm_orders!$A:$S,5,FALSE),"")</f>
        <v>AZ</v>
      </c>
      <c r="Q731" s="27" t="str">
        <f>IFERROR(VLOOKUP(B731,crm_orders!$A:$S,7,FALSE),"")</f>
        <v>Retail</v>
      </c>
      <c r="R731" s="27" t="str">
        <f>IFERROR(VLOOKUP(B731,crm_orders!$A:$S,8,FALSE),"")</f>
        <v>SKU0006</v>
      </c>
    </row>
    <row r="732" ht="15.75" customHeight="1">
      <c r="A732" s="17" t="s">
        <v>3717</v>
      </c>
      <c r="B732" s="17" t="s">
        <v>282</v>
      </c>
      <c r="C732" s="18">
        <v>46063.0</v>
      </c>
      <c r="D732" s="17" t="s">
        <v>2269</v>
      </c>
      <c r="E732" s="17" t="s">
        <v>2261</v>
      </c>
      <c r="F732" s="17" t="s">
        <v>3718</v>
      </c>
      <c r="G732" s="21">
        <v>120.0</v>
      </c>
      <c r="H732" s="21">
        <v>120.0</v>
      </c>
      <c r="I732" s="21">
        <v>0.0</v>
      </c>
      <c r="J732" s="17" t="s">
        <v>2246</v>
      </c>
      <c r="K732" s="17" t="s">
        <v>2247</v>
      </c>
      <c r="L732" s="17" t="s">
        <v>2246</v>
      </c>
      <c r="M732" s="17" t="s">
        <v>2248</v>
      </c>
      <c r="N732" s="21">
        <f>IFERROR((C732-VLOOKUP(B732,crm_orders!$A:$S,2,FALSE))*24,0)</f>
        <v>120</v>
      </c>
      <c r="O732" s="19" t="str">
        <f>IFERROR(VLOOKUP(B732,crm_orders!$A:$S,3,FALSE),"")</f>
        <v>DSP0084</v>
      </c>
      <c r="P732" s="19" t="str">
        <f>IFERROR(VLOOKUP(B732,crm_orders!$A:$S,5,FALSE),"")</f>
        <v>OK</v>
      </c>
      <c r="Q732" s="19" t="str">
        <f>IFERROR(VLOOKUP(B732,crm_orders!$A:$S,7,FALSE),"")</f>
        <v>Wholesale</v>
      </c>
      <c r="R732" s="19" t="str">
        <f>IFERROR(VLOOKUP(B732,crm_orders!$A:$S,8,FALSE),"")</f>
        <v>SKU0013</v>
      </c>
    </row>
    <row r="733" ht="15.75" customHeight="1">
      <c r="A733" s="25" t="s">
        <v>3719</v>
      </c>
      <c r="B733" s="25" t="s">
        <v>1198</v>
      </c>
      <c r="C733" s="26">
        <v>46070.0</v>
      </c>
      <c r="D733" s="25" t="s">
        <v>2243</v>
      </c>
      <c r="E733" s="25" t="s">
        <v>2286</v>
      </c>
      <c r="F733" s="25" t="s">
        <v>3720</v>
      </c>
      <c r="G733" s="29">
        <v>96.0</v>
      </c>
      <c r="H733" s="29">
        <v>96.0</v>
      </c>
      <c r="I733" s="29">
        <v>0.0</v>
      </c>
      <c r="J733" s="25" t="s">
        <v>2247</v>
      </c>
      <c r="K733" s="25" t="s">
        <v>2247</v>
      </c>
      <c r="L733" s="25" t="s">
        <v>2247</v>
      </c>
      <c r="M733" s="25" t="s">
        <v>2248</v>
      </c>
      <c r="N733" s="29">
        <f>IFERROR((C733-VLOOKUP(B733,crm_orders!$A:$S,2,FALSE))*24,0)</f>
        <v>216</v>
      </c>
      <c r="O733" s="27" t="str">
        <f>IFERROR(VLOOKUP(B733,crm_orders!$A:$S,3,FALSE),"")</f>
        <v>DSP0062</v>
      </c>
      <c r="P733" s="27" t="str">
        <f>IFERROR(VLOOKUP(B733,crm_orders!$A:$S,5,FALSE),"")</f>
        <v>WA</v>
      </c>
      <c r="Q733" s="27" t="str">
        <f>IFERROR(VLOOKUP(B733,crm_orders!$A:$S,7,FALSE),"")</f>
        <v>Retail</v>
      </c>
      <c r="R733" s="27" t="str">
        <f>IFERROR(VLOOKUP(B733,crm_orders!$A:$S,8,FALSE),"")</f>
        <v>SKU0014</v>
      </c>
    </row>
    <row r="734" ht="15.75" customHeight="1">
      <c r="A734" s="17" t="s">
        <v>3721</v>
      </c>
      <c r="B734" s="17" t="s">
        <v>847</v>
      </c>
      <c r="C734" s="18">
        <v>46104.0</v>
      </c>
      <c r="D734" s="17" t="s">
        <v>2269</v>
      </c>
      <c r="E734" s="17" t="s">
        <v>2261</v>
      </c>
      <c r="F734" s="17" t="s">
        <v>3722</v>
      </c>
      <c r="G734" s="21">
        <v>72.0</v>
      </c>
      <c r="H734" s="21">
        <v>72.0</v>
      </c>
      <c r="I734" s="21">
        <v>0.0</v>
      </c>
      <c r="J734" s="17" t="s">
        <v>2247</v>
      </c>
      <c r="K734" s="17" t="s">
        <v>2247</v>
      </c>
      <c r="L734" s="17" t="s">
        <v>2247</v>
      </c>
      <c r="M734" s="17" t="s">
        <v>2248</v>
      </c>
      <c r="N734" s="21">
        <f>IFERROR((C734-VLOOKUP(B734,crm_orders!$A:$S,2,FALSE))*24,0)</f>
        <v>240</v>
      </c>
      <c r="O734" s="19" t="str">
        <f>IFERROR(VLOOKUP(B734,crm_orders!$A:$S,3,FALSE),"")</f>
        <v>DSP0003</v>
      </c>
      <c r="P734" s="19" t="str">
        <f>IFERROR(VLOOKUP(B734,crm_orders!$A:$S,5,FALSE),"")</f>
        <v>CA</v>
      </c>
      <c r="Q734" s="19" t="str">
        <f>IFERROR(VLOOKUP(B734,crm_orders!$A:$S,7,FALSE),"")</f>
        <v>Wholesale</v>
      </c>
      <c r="R734" s="19" t="str">
        <f>IFERROR(VLOOKUP(B734,crm_orders!$A:$S,8,FALSE),"")</f>
        <v>SKU0013</v>
      </c>
    </row>
    <row r="735" ht="15.75" customHeight="1">
      <c r="A735" s="25" t="s">
        <v>3723</v>
      </c>
      <c r="B735" s="25" t="s">
        <v>284</v>
      </c>
      <c r="C735" s="26">
        <v>46130.0</v>
      </c>
      <c r="D735" s="25" t="s">
        <v>2243</v>
      </c>
      <c r="E735" s="25" t="s">
        <v>2251</v>
      </c>
      <c r="F735" s="25" t="s">
        <v>3724</v>
      </c>
      <c r="G735" s="29">
        <v>24.0</v>
      </c>
      <c r="H735" s="29">
        <v>24.0</v>
      </c>
      <c r="I735" s="29">
        <v>0.0</v>
      </c>
      <c r="J735" s="25" t="s">
        <v>2246</v>
      </c>
      <c r="K735" s="25" t="s">
        <v>2247</v>
      </c>
      <c r="L735" s="25" t="s">
        <v>2246</v>
      </c>
      <c r="M735" s="25" t="s">
        <v>2248</v>
      </c>
      <c r="N735" s="29">
        <f>IFERROR((C735-VLOOKUP(B735,crm_orders!$A:$S,2,FALSE))*24,0)</f>
        <v>264</v>
      </c>
      <c r="O735" s="27" t="str">
        <f>IFERROR(VLOOKUP(B735,crm_orders!$A:$S,3,FALSE),"")</f>
        <v>DSP0084</v>
      </c>
      <c r="P735" s="27" t="str">
        <f>IFERROR(VLOOKUP(B735,crm_orders!$A:$S,5,FALSE),"")</f>
        <v>OK</v>
      </c>
      <c r="Q735" s="27" t="str">
        <f>IFERROR(VLOOKUP(B735,crm_orders!$A:$S,7,FALSE),"")</f>
        <v>Wholesale</v>
      </c>
      <c r="R735" s="27" t="str">
        <f>IFERROR(VLOOKUP(B735,crm_orders!$A:$S,8,FALSE),"")</f>
        <v/>
      </c>
    </row>
    <row r="736" ht="15.75" customHeight="1">
      <c r="A736" s="17" t="s">
        <v>3725</v>
      </c>
      <c r="B736" s="17" t="s">
        <v>531</v>
      </c>
      <c r="C736" s="18">
        <v>46050.0</v>
      </c>
      <c r="D736" s="17" t="s">
        <v>2250</v>
      </c>
      <c r="E736" s="17" t="s">
        <v>2251</v>
      </c>
      <c r="F736" s="17" t="s">
        <v>3726</v>
      </c>
      <c r="G736" s="21">
        <v>6.0</v>
      </c>
      <c r="H736" s="21">
        <v>6.0</v>
      </c>
      <c r="I736" s="21">
        <v>0.0</v>
      </c>
      <c r="J736" s="17" t="s">
        <v>2246</v>
      </c>
      <c r="K736" s="17" t="s">
        <v>2247</v>
      </c>
      <c r="L736" s="17" t="s">
        <v>2246</v>
      </c>
      <c r="M736" s="17" t="s">
        <v>2248</v>
      </c>
      <c r="N736" s="21">
        <f>IFERROR((C736-VLOOKUP(B736,crm_orders!$A:$S,2,FALSE))*24,0)</f>
        <v>288</v>
      </c>
      <c r="O736" s="19" t="str">
        <f>IFERROR(VLOOKUP(B736,crm_orders!$A:$S,3,FALSE),"")</f>
        <v>DSP0058</v>
      </c>
      <c r="P736" s="19" t="str">
        <f>IFERROR(VLOOKUP(B736,crm_orders!$A:$S,5,FALSE),"")</f>
        <v>NM</v>
      </c>
      <c r="Q736" s="19" t="str">
        <f>IFERROR(VLOOKUP(B736,crm_orders!$A:$S,7,FALSE),"")</f>
        <v>Wholesale</v>
      </c>
      <c r="R736" s="19" t="str">
        <f>IFERROR(VLOOKUP(B736,crm_orders!$A:$S,8,FALSE),"")</f>
        <v>SKU0011</v>
      </c>
    </row>
    <row r="737" ht="15.75" customHeight="1">
      <c r="A737" s="25" t="s">
        <v>3727</v>
      </c>
      <c r="B737" s="25" t="s">
        <v>285</v>
      </c>
      <c r="C737" s="26">
        <v>46090.0</v>
      </c>
      <c r="D737" s="25" t="s">
        <v>2269</v>
      </c>
      <c r="E737" s="25" t="s">
        <v>2261</v>
      </c>
      <c r="F737" s="25" t="s">
        <v>3728</v>
      </c>
      <c r="G737" s="29">
        <v>30.0</v>
      </c>
      <c r="H737" s="29">
        <v>30.0</v>
      </c>
      <c r="I737" s="29">
        <v>0.0</v>
      </c>
      <c r="J737" s="25" t="s">
        <v>2246</v>
      </c>
      <c r="K737" s="25" t="s">
        <v>2247</v>
      </c>
      <c r="L737" s="25" t="s">
        <v>2246</v>
      </c>
      <c r="M737" s="25" t="s">
        <v>2248</v>
      </c>
      <c r="N737" s="29">
        <f>IFERROR((C737-VLOOKUP(B737,crm_orders!$A:$S,2,FALSE))*24,0)</f>
        <v>72</v>
      </c>
      <c r="O737" s="27" t="str">
        <f>IFERROR(VLOOKUP(B737,crm_orders!$A:$S,3,FALSE),"")</f>
        <v>DSP0011</v>
      </c>
      <c r="P737" s="27" t="str">
        <f>IFERROR(VLOOKUP(B737,crm_orders!$A:$S,5,FALSE),"")</f>
        <v>NY</v>
      </c>
      <c r="Q737" s="27" t="str">
        <f>IFERROR(VLOOKUP(B737,crm_orders!$A:$S,7,FALSE),"")</f>
        <v>Wholesale</v>
      </c>
      <c r="R737" s="27" t="str">
        <f>IFERROR(VLOOKUP(B737,crm_orders!$A:$S,8,FALSE),"")</f>
        <v>SKU0004</v>
      </c>
    </row>
    <row r="738" ht="15.75" customHeight="1">
      <c r="A738" s="17" t="s">
        <v>3729</v>
      </c>
      <c r="B738" s="17" t="s">
        <v>1119</v>
      </c>
      <c r="C738" s="18">
        <v>46118.0</v>
      </c>
      <c r="D738" s="17" t="s">
        <v>2254</v>
      </c>
      <c r="E738" s="17" t="s">
        <v>2251</v>
      </c>
      <c r="F738" s="17" t="s">
        <v>3730</v>
      </c>
      <c r="G738" s="21">
        <v>72.0</v>
      </c>
      <c r="H738" s="21">
        <v>72.0</v>
      </c>
      <c r="I738" s="21">
        <v>0.0</v>
      </c>
      <c r="J738" s="17" t="s">
        <v>2246</v>
      </c>
      <c r="K738" s="17" t="s">
        <v>2247</v>
      </c>
      <c r="L738" s="17" t="s">
        <v>2246</v>
      </c>
      <c r="M738" s="17" t="s">
        <v>2248</v>
      </c>
      <c r="N738" s="21">
        <f>IFERROR((C738-VLOOKUP(B738,crm_orders!$A:$S,2,FALSE))*24,0)</f>
        <v>264</v>
      </c>
      <c r="O738" s="19" t="str">
        <f>IFERROR(VLOOKUP(B738,crm_orders!$A:$S,3,FALSE),"")</f>
        <v>DSP0067</v>
      </c>
      <c r="P738" s="19" t="str">
        <f>IFERROR(VLOOKUP(B738,crm_orders!$A:$S,5,FALSE),"")</f>
        <v>IL</v>
      </c>
      <c r="Q738" s="19" t="str">
        <f>IFERROR(VLOOKUP(B738,crm_orders!$A:$S,7,FALSE),"")</f>
        <v>Retail</v>
      </c>
      <c r="R738" s="19" t="str">
        <f>IFERROR(VLOOKUP(B738,crm_orders!$A:$S,8,FALSE),"")</f>
        <v>SKU0010</v>
      </c>
    </row>
    <row r="739" ht="15.75" customHeight="1">
      <c r="A739" s="25" t="s">
        <v>3731</v>
      </c>
      <c r="B739" s="25" t="s">
        <v>158</v>
      </c>
      <c r="C739" s="26">
        <v>46091.0</v>
      </c>
      <c r="D739" s="25" t="s">
        <v>2260</v>
      </c>
      <c r="E739" s="25" t="s">
        <v>2255</v>
      </c>
      <c r="F739" s="25" t="s">
        <v>3732</v>
      </c>
      <c r="G739" s="29">
        <v>24.0</v>
      </c>
      <c r="H739" s="29">
        <v>24.0</v>
      </c>
      <c r="I739" s="29">
        <v>0.0</v>
      </c>
      <c r="J739" s="25" t="s">
        <v>2246</v>
      </c>
      <c r="K739" s="25" t="s">
        <v>2247</v>
      </c>
      <c r="L739" s="25" t="s">
        <v>2246</v>
      </c>
      <c r="M739" s="25" t="s">
        <v>2248</v>
      </c>
      <c r="N739" s="29">
        <f>IFERROR((C739-VLOOKUP(B739,crm_orders!$A:$S,2,FALSE))*24,0)</f>
        <v>72</v>
      </c>
      <c r="O739" s="27" t="str">
        <f>IFERROR(VLOOKUP(B739,crm_orders!$A:$S,3,FALSE),"")</f>
        <v>DSP0078</v>
      </c>
      <c r="P739" s="27" t="str">
        <f>IFERROR(VLOOKUP(B739,crm_orders!$A:$S,5,FALSE),"")</f>
        <v>NV</v>
      </c>
      <c r="Q739" s="27" t="str">
        <f>IFERROR(VLOOKUP(B739,crm_orders!$A:$S,7,FALSE),"")</f>
        <v>Wholesale</v>
      </c>
      <c r="R739" s="27" t="str">
        <f>IFERROR(VLOOKUP(B739,crm_orders!$A:$S,8,FALSE),"")</f>
        <v>SKU0018</v>
      </c>
    </row>
    <row r="740" ht="15.75" customHeight="1">
      <c r="A740" s="17" t="s">
        <v>3733</v>
      </c>
      <c r="B740" s="17" t="s">
        <v>532</v>
      </c>
      <c r="C740" s="18">
        <v>46052.0</v>
      </c>
      <c r="D740" s="17" t="s">
        <v>2269</v>
      </c>
      <c r="E740" s="17" t="s">
        <v>2261</v>
      </c>
      <c r="F740" s="17" t="s">
        <v>3734</v>
      </c>
      <c r="G740" s="21">
        <v>96.0</v>
      </c>
      <c r="H740" s="21">
        <v>96.0</v>
      </c>
      <c r="I740" s="21">
        <v>0.0</v>
      </c>
      <c r="J740" s="17" t="s">
        <v>2246</v>
      </c>
      <c r="K740" s="17" t="s">
        <v>2247</v>
      </c>
      <c r="L740" s="17" t="s">
        <v>2246</v>
      </c>
      <c r="M740" s="17" t="s">
        <v>2248</v>
      </c>
      <c r="N740" s="21">
        <f>IFERROR((C740-VLOOKUP(B740,crm_orders!$A:$S,2,FALSE))*24,0)</f>
        <v>288</v>
      </c>
      <c r="O740" s="19" t="str">
        <f>IFERROR(VLOOKUP(B740,crm_orders!$A:$S,3,FALSE),"")</f>
        <v>DSP0107</v>
      </c>
      <c r="P740" s="19" t="str">
        <f>IFERROR(VLOOKUP(B740,crm_orders!$A:$S,5,FALSE),"")</f>
        <v>NY</v>
      </c>
      <c r="Q740" s="19" t="str">
        <f>IFERROR(VLOOKUP(B740,crm_orders!$A:$S,7,FALSE),"")</f>
        <v>Wholesale</v>
      </c>
      <c r="R740" s="19" t="str">
        <f>IFERROR(VLOOKUP(B740,crm_orders!$A:$S,8,FALSE),"")</f>
        <v>SKU0007</v>
      </c>
    </row>
    <row r="741" ht="15.75" customHeight="1">
      <c r="A741" s="25" t="s">
        <v>3735</v>
      </c>
      <c r="B741" s="25" t="s">
        <v>435</v>
      </c>
      <c r="C741" s="26">
        <v>46112.0</v>
      </c>
      <c r="D741" s="25" t="s">
        <v>2243</v>
      </c>
      <c r="E741" s="25" t="s">
        <v>2244</v>
      </c>
      <c r="F741" s="25" t="s">
        <v>3736</v>
      </c>
      <c r="G741" s="29">
        <v>18.0</v>
      </c>
      <c r="H741" s="29">
        <v>0.0</v>
      </c>
      <c r="I741" s="29">
        <v>18.0</v>
      </c>
      <c r="J741" s="25" t="s">
        <v>2247</v>
      </c>
      <c r="K741" s="25" t="s">
        <v>2246</v>
      </c>
      <c r="L741" s="25" t="s">
        <v>2246</v>
      </c>
      <c r="M741" s="25" t="s">
        <v>2267</v>
      </c>
      <c r="N741" s="29">
        <f>IFERROR((C741-VLOOKUP(B741,crm_orders!$A:$S,2,FALSE))*24,0)</f>
        <v>144</v>
      </c>
      <c r="O741" s="27" t="str">
        <f>IFERROR(VLOOKUP(B741,crm_orders!$A:$S,3,FALSE),"")</f>
        <v>DSP0034</v>
      </c>
      <c r="P741" s="27" t="str">
        <f>IFERROR(VLOOKUP(B741,crm_orders!$A:$S,5,FALSE),"")</f>
        <v>NM</v>
      </c>
      <c r="Q741" s="27" t="str">
        <f>IFERROR(VLOOKUP(B741,crm_orders!$A:$S,7,FALSE),"")</f>
        <v>Wholesale</v>
      </c>
      <c r="R741" s="27" t="str">
        <f>IFERROR(VLOOKUP(B741,crm_orders!$A:$S,8,FALSE),"")</f>
        <v>SKU0013</v>
      </c>
    </row>
    <row r="742" ht="15.75" customHeight="1">
      <c r="A742" s="17" t="s">
        <v>3737</v>
      </c>
      <c r="B742" s="17" t="s">
        <v>436</v>
      </c>
      <c r="C742" s="18">
        <v>46110.0</v>
      </c>
      <c r="D742" s="17" t="s">
        <v>2260</v>
      </c>
      <c r="E742" s="17" t="s">
        <v>2286</v>
      </c>
      <c r="F742" s="17" t="s">
        <v>3738</v>
      </c>
      <c r="G742" s="21">
        <v>30.0</v>
      </c>
      <c r="H742" s="21">
        <v>30.0</v>
      </c>
      <c r="I742" s="21">
        <v>0.0</v>
      </c>
      <c r="J742" s="17" t="s">
        <v>2246</v>
      </c>
      <c r="K742" s="17" t="s">
        <v>2247</v>
      </c>
      <c r="L742" s="17" t="s">
        <v>2246</v>
      </c>
      <c r="M742" s="17" t="s">
        <v>2248</v>
      </c>
      <c r="N742" s="21">
        <f>IFERROR((C742-VLOOKUP(B742,crm_orders!$A:$S,2,FALSE))*24,0)</f>
        <v>168</v>
      </c>
      <c r="O742" s="19" t="str">
        <f>IFERROR(VLOOKUP(B742,crm_orders!$A:$S,3,FALSE),"")</f>
        <v>DSP0027</v>
      </c>
      <c r="P742" s="19" t="str">
        <f>IFERROR(VLOOKUP(B742,crm_orders!$A:$S,5,FALSE),"")</f>
        <v>CA</v>
      </c>
      <c r="Q742" s="19" t="str">
        <f>IFERROR(VLOOKUP(B742,crm_orders!$A:$S,7,FALSE),"")</f>
        <v>Wholesale</v>
      </c>
      <c r="R742" s="19" t="str">
        <f>IFERROR(VLOOKUP(B742,crm_orders!$A:$S,8,FALSE),"")</f>
        <v>SKU0003</v>
      </c>
    </row>
    <row r="743" ht="15.75" customHeight="1">
      <c r="A743" s="25" t="s">
        <v>3739</v>
      </c>
      <c r="B743" s="25" t="s">
        <v>533</v>
      </c>
      <c r="C743" s="26">
        <v>46041.0</v>
      </c>
      <c r="D743" s="25" t="s">
        <v>2254</v>
      </c>
      <c r="E743" s="25" t="s">
        <v>2251</v>
      </c>
      <c r="F743" s="25" t="s">
        <v>3740</v>
      </c>
      <c r="G743" s="29">
        <v>72.0</v>
      </c>
      <c r="H743" s="29">
        <v>72.0</v>
      </c>
      <c r="I743" s="29">
        <v>0.0</v>
      </c>
      <c r="J743" s="25" t="s">
        <v>2246</v>
      </c>
      <c r="K743" s="25" t="s">
        <v>2247</v>
      </c>
      <c r="L743" s="25" t="s">
        <v>2246</v>
      </c>
      <c r="M743" s="25" t="s">
        <v>2248</v>
      </c>
      <c r="N743" s="29">
        <f>IFERROR((C743-VLOOKUP(B743,crm_orders!$A:$S,2,FALSE))*24,0)</f>
        <v>72</v>
      </c>
      <c r="O743" s="27" t="str">
        <f>IFERROR(VLOOKUP(B743,crm_orders!$A:$S,3,FALSE),"")</f>
        <v>DSP0010</v>
      </c>
      <c r="P743" s="27" t="str">
        <f>IFERROR(VLOOKUP(B743,crm_orders!$A:$S,5,FALSE),"")</f>
        <v>NM</v>
      </c>
      <c r="Q743" s="27" t="str">
        <f>IFERROR(VLOOKUP(B743,crm_orders!$A:$S,7,FALSE),"")</f>
        <v>Wholesale</v>
      </c>
      <c r="R743" s="27" t="str">
        <f>IFERROR(VLOOKUP(B743,crm_orders!$A:$S,8,FALSE),"")</f>
        <v>SKU0009</v>
      </c>
    </row>
    <row r="744" ht="15.75" customHeight="1">
      <c r="A744" s="17" t="s">
        <v>3741</v>
      </c>
      <c r="B744" s="17" t="s">
        <v>1065</v>
      </c>
      <c r="C744" s="18">
        <v>46139.0</v>
      </c>
      <c r="D744" s="17" t="s">
        <v>2250</v>
      </c>
      <c r="E744" s="17" t="s">
        <v>2286</v>
      </c>
      <c r="F744" s="17" t="s">
        <v>3742</v>
      </c>
      <c r="G744" s="21">
        <v>24.0</v>
      </c>
      <c r="H744" s="21">
        <v>24.0</v>
      </c>
      <c r="I744" s="21">
        <v>0.0</v>
      </c>
      <c r="J744" s="17" t="s">
        <v>2246</v>
      </c>
      <c r="K744" s="17" t="s">
        <v>2247</v>
      </c>
      <c r="L744" s="17" t="s">
        <v>2246</v>
      </c>
      <c r="M744" s="17" t="s">
        <v>2248</v>
      </c>
      <c r="N744" s="21">
        <f>IFERROR((C744-VLOOKUP(B744,crm_orders!$A:$S,2,FALSE))*24,0)</f>
        <v>120</v>
      </c>
      <c r="O744" s="19" t="str">
        <f>IFERROR(VLOOKUP(B744,crm_orders!$A:$S,3,FALSE),"")</f>
        <v>DSP0035</v>
      </c>
      <c r="P744" s="19" t="str">
        <f>IFERROR(VLOOKUP(B744,crm_orders!$A:$S,5,FALSE),"")</f>
        <v>NY</v>
      </c>
      <c r="Q744" s="19" t="str">
        <f>IFERROR(VLOOKUP(B744,crm_orders!$A:$S,7,FALSE),"")</f>
        <v>Distributor</v>
      </c>
      <c r="R744" s="19" t="str">
        <f>IFERROR(VLOOKUP(B744,crm_orders!$A:$S,8,FALSE),"")</f>
        <v>SKU0005</v>
      </c>
    </row>
    <row r="745" ht="15.75" customHeight="1">
      <c r="A745" s="25" t="s">
        <v>3743</v>
      </c>
      <c r="B745" s="25" t="s">
        <v>946</v>
      </c>
      <c r="C745" s="26">
        <v>46054.0</v>
      </c>
      <c r="D745" s="25" t="s">
        <v>2269</v>
      </c>
      <c r="E745" s="25" t="s">
        <v>2244</v>
      </c>
      <c r="F745" s="25" t="s">
        <v>3744</v>
      </c>
      <c r="G745" s="29">
        <v>72.0</v>
      </c>
      <c r="H745" s="29">
        <v>72.0</v>
      </c>
      <c r="I745" s="29">
        <v>0.0</v>
      </c>
      <c r="J745" s="25" t="s">
        <v>2246</v>
      </c>
      <c r="K745" s="25" t="s">
        <v>2247</v>
      </c>
      <c r="L745" s="25" t="s">
        <v>2246</v>
      </c>
      <c r="M745" s="25" t="s">
        <v>2248</v>
      </c>
      <c r="N745" s="29">
        <f>IFERROR((C745-VLOOKUP(B745,crm_orders!$A:$S,2,FALSE))*24,0)</f>
        <v>216</v>
      </c>
      <c r="O745" s="27" t="str">
        <f>IFERROR(VLOOKUP(B745,crm_orders!$A:$S,3,FALSE),"")</f>
        <v>DSP0119</v>
      </c>
      <c r="P745" s="27" t="str">
        <f>IFERROR(VLOOKUP(B745,crm_orders!$A:$S,5,FALSE),"")</f>
        <v>NY</v>
      </c>
      <c r="Q745" s="27" t="str">
        <f>IFERROR(VLOOKUP(B745,crm_orders!$A:$S,7,FALSE),"")</f>
        <v>Distributor</v>
      </c>
      <c r="R745" s="27" t="str">
        <f>IFERROR(VLOOKUP(B745,crm_orders!$A:$S,8,FALSE),"")</f>
        <v>SKU0004</v>
      </c>
    </row>
    <row r="746" ht="15.75" customHeight="1">
      <c r="A746" s="17" t="s">
        <v>3745</v>
      </c>
      <c r="B746" s="17" t="s">
        <v>1199</v>
      </c>
      <c r="C746" s="18">
        <v>46111.0</v>
      </c>
      <c r="D746" s="17" t="s">
        <v>2260</v>
      </c>
      <c r="E746" s="17" t="s">
        <v>2244</v>
      </c>
      <c r="F746" s="17" t="s">
        <v>3746</v>
      </c>
      <c r="G746" s="21">
        <v>48.0</v>
      </c>
      <c r="H746" s="21">
        <v>48.0</v>
      </c>
      <c r="I746" s="21">
        <v>0.0</v>
      </c>
      <c r="J746" s="17" t="s">
        <v>2246</v>
      </c>
      <c r="K746" s="17" t="s">
        <v>2247</v>
      </c>
      <c r="L746" s="17" t="s">
        <v>2246</v>
      </c>
      <c r="M746" s="17" t="s">
        <v>2248</v>
      </c>
      <c r="N746" s="21">
        <f>IFERROR((C746-VLOOKUP(B746,crm_orders!$A:$S,2,FALSE))*24,0)</f>
        <v>432</v>
      </c>
      <c r="O746" s="19" t="str">
        <f>IFERROR(VLOOKUP(B746,crm_orders!$A:$S,3,FALSE),"")</f>
        <v>DSP0087</v>
      </c>
      <c r="P746" s="19" t="str">
        <f>IFERROR(VLOOKUP(B746,crm_orders!$A:$S,5,FALSE),"")</f>
        <v>CA</v>
      </c>
      <c r="Q746" s="19" t="str">
        <f>IFERROR(VLOOKUP(B746,crm_orders!$A:$S,7,FALSE),"")</f>
        <v>Wholesale</v>
      </c>
      <c r="R746" s="19" t="str">
        <f>IFERROR(VLOOKUP(B746,crm_orders!$A:$S,8,FALSE),"")</f>
        <v>SKU0018</v>
      </c>
    </row>
    <row r="747" ht="15.75" customHeight="1">
      <c r="A747" s="25" t="s">
        <v>3747</v>
      </c>
      <c r="B747" s="25" t="s">
        <v>689</v>
      </c>
      <c r="C747" s="26">
        <v>46102.0</v>
      </c>
      <c r="D747" s="25" t="s">
        <v>2260</v>
      </c>
      <c r="E747" s="25" t="s">
        <v>2244</v>
      </c>
      <c r="F747" s="25" t="s">
        <v>3748</v>
      </c>
      <c r="G747" s="29">
        <v>6.0</v>
      </c>
      <c r="H747" s="29">
        <v>6.0</v>
      </c>
      <c r="I747" s="29">
        <v>0.0</v>
      </c>
      <c r="J747" s="25" t="s">
        <v>2246</v>
      </c>
      <c r="K747" s="25" t="s">
        <v>2247</v>
      </c>
      <c r="L747" s="25" t="s">
        <v>2246</v>
      </c>
      <c r="M747" s="25" t="s">
        <v>2248</v>
      </c>
      <c r="N747" s="29">
        <f>IFERROR((C747-VLOOKUP(B747,crm_orders!$A:$S,2,FALSE))*24,0)</f>
        <v>168</v>
      </c>
      <c r="O747" s="27" t="str">
        <f>IFERROR(VLOOKUP(B747,crm_orders!$A:$S,3,FALSE),"")</f>
        <v>DSP0019</v>
      </c>
      <c r="P747" s="27" t="str">
        <f>IFERROR(VLOOKUP(B747,crm_orders!$A:$S,5,FALSE),"")</f>
        <v>IL</v>
      </c>
      <c r="Q747" s="27" t="str">
        <f>IFERROR(VLOOKUP(B747,crm_orders!$A:$S,7,FALSE),"")</f>
        <v>Wholesale</v>
      </c>
      <c r="R747" s="27" t="str">
        <f>IFERROR(VLOOKUP(B747,crm_orders!$A:$S,8,FALSE),"")</f>
        <v>SKU0013</v>
      </c>
    </row>
    <row r="748" ht="15.75" customHeight="1">
      <c r="A748" s="17" t="s">
        <v>3749</v>
      </c>
      <c r="B748" s="17" t="s">
        <v>1066</v>
      </c>
      <c r="C748" s="18">
        <v>46083.0</v>
      </c>
      <c r="D748" s="17" t="s">
        <v>2260</v>
      </c>
      <c r="E748" s="17" t="s">
        <v>2261</v>
      </c>
      <c r="F748" s="17" t="s">
        <v>3750</v>
      </c>
      <c r="G748" s="21">
        <v>60.0</v>
      </c>
      <c r="H748" s="21">
        <v>60.0</v>
      </c>
      <c r="I748" s="21">
        <v>0.0</v>
      </c>
      <c r="J748" s="17" t="s">
        <v>2247</v>
      </c>
      <c r="K748" s="17" t="s">
        <v>2247</v>
      </c>
      <c r="L748" s="17" t="s">
        <v>2247</v>
      </c>
      <c r="M748" s="17" t="s">
        <v>2248</v>
      </c>
      <c r="N748" s="21">
        <f>IFERROR((C748-VLOOKUP(B748,crm_orders!$A:$S,2,FALSE))*24,0)</f>
        <v>96</v>
      </c>
      <c r="O748" s="19" t="str">
        <f>IFERROR(VLOOKUP(B748,crm_orders!$A:$S,3,FALSE),"")</f>
        <v>DSP0059</v>
      </c>
      <c r="P748" s="19" t="str">
        <f>IFERROR(VLOOKUP(B748,crm_orders!$A:$S,5,FALSE),"")</f>
        <v>NY</v>
      </c>
      <c r="Q748" s="19" t="str">
        <f>IFERROR(VLOOKUP(B748,crm_orders!$A:$S,7,FALSE),"")</f>
        <v>Wholesale</v>
      </c>
      <c r="R748" s="19" t="str">
        <f>IFERROR(VLOOKUP(B748,crm_orders!$A:$S,8,FALSE),"")</f>
        <v>SKU0006</v>
      </c>
    </row>
    <row r="749" ht="15.75" customHeight="1">
      <c r="A749" s="25" t="s">
        <v>3751</v>
      </c>
      <c r="B749" s="25" t="s">
        <v>159</v>
      </c>
      <c r="C749" s="26">
        <v>46126.0</v>
      </c>
      <c r="D749" s="25" t="s">
        <v>2269</v>
      </c>
      <c r="E749" s="25" t="s">
        <v>2255</v>
      </c>
      <c r="F749" s="25" t="s">
        <v>3752</v>
      </c>
      <c r="G749" s="29">
        <v>12.0</v>
      </c>
      <c r="H749" s="29">
        <v>12.0</v>
      </c>
      <c r="I749" s="29">
        <v>0.0</v>
      </c>
      <c r="J749" s="25" t="s">
        <v>2246</v>
      </c>
      <c r="K749" s="25" t="s">
        <v>2247</v>
      </c>
      <c r="L749" s="25" t="s">
        <v>2246</v>
      </c>
      <c r="M749" s="25" t="s">
        <v>2248</v>
      </c>
      <c r="N749" s="29">
        <f>IFERROR((C749-VLOOKUP(B749,crm_orders!$A:$S,2,FALSE))*24,0)</f>
        <v>120</v>
      </c>
      <c r="O749" s="27" t="str">
        <f>IFERROR(VLOOKUP(B749,crm_orders!$A:$S,3,FALSE),"")</f>
        <v>DSP0040</v>
      </c>
      <c r="P749" s="27" t="str">
        <f>IFERROR(VLOOKUP(B749,crm_orders!$A:$S,5,FALSE),"")</f>
        <v>CO</v>
      </c>
      <c r="Q749" s="27" t="str">
        <f>IFERROR(VLOOKUP(B749,crm_orders!$A:$S,7,FALSE),"")</f>
        <v>Wholesale</v>
      </c>
      <c r="R749" s="27" t="str">
        <f>IFERROR(VLOOKUP(B749,crm_orders!$A:$S,8,FALSE),"")</f>
        <v>SKU0014</v>
      </c>
    </row>
    <row r="750" ht="15.75" customHeight="1">
      <c r="A750" s="17" t="s">
        <v>3753</v>
      </c>
      <c r="B750" s="17" t="s">
        <v>169</v>
      </c>
      <c r="C750" s="18">
        <v>46119.0</v>
      </c>
      <c r="D750" s="17" t="s">
        <v>2250</v>
      </c>
      <c r="E750" s="17" t="s">
        <v>2244</v>
      </c>
      <c r="F750" s="17" t="s">
        <v>3754</v>
      </c>
      <c r="G750" s="21">
        <v>96.0</v>
      </c>
      <c r="H750" s="21">
        <v>60.0</v>
      </c>
      <c r="I750" s="21">
        <v>36.0</v>
      </c>
      <c r="J750" s="17" t="s">
        <v>2247</v>
      </c>
      <c r="K750" s="17" t="s">
        <v>2246</v>
      </c>
      <c r="L750" s="17" t="s">
        <v>2246</v>
      </c>
      <c r="M750" s="17" t="s">
        <v>2267</v>
      </c>
      <c r="N750" s="21">
        <f>IFERROR((C750-VLOOKUP(B750,crm_orders!$A:$S,2,FALSE))*24,0)</f>
        <v>2112</v>
      </c>
      <c r="O750" s="19" t="str">
        <f>IFERROR(VLOOKUP(B750,crm_orders!$A:$S,3,FALSE),"")</f>
        <v>DSP0055</v>
      </c>
      <c r="P750" s="19" t="str">
        <f>IFERROR(VLOOKUP(B750,crm_orders!$A:$S,5,FALSE),"")</f>
        <v>IL</v>
      </c>
      <c r="Q750" s="19" t="str">
        <f>IFERROR(VLOOKUP(B750,crm_orders!$A:$S,7,FALSE),"")</f>
        <v>Wholesale</v>
      </c>
      <c r="R750" s="19" t="str">
        <f>IFERROR(VLOOKUP(B750,crm_orders!$A:$S,8,FALSE),"")</f>
        <v>SKU0012</v>
      </c>
    </row>
    <row r="751" ht="15.75" customHeight="1">
      <c r="A751" s="25" t="s">
        <v>3755</v>
      </c>
      <c r="B751" s="25" t="s">
        <v>690</v>
      </c>
      <c r="C751" s="26">
        <v>46121.0</v>
      </c>
      <c r="D751" s="25" t="s">
        <v>2243</v>
      </c>
      <c r="E751" s="25" t="s">
        <v>2255</v>
      </c>
      <c r="F751" s="25" t="s">
        <v>3756</v>
      </c>
      <c r="G751" s="29">
        <v>96.0</v>
      </c>
      <c r="H751" s="29">
        <v>96.0</v>
      </c>
      <c r="I751" s="29">
        <v>0.0</v>
      </c>
      <c r="J751" s="25" t="s">
        <v>2246</v>
      </c>
      <c r="K751" s="25" t="s">
        <v>2247</v>
      </c>
      <c r="L751" s="25" t="s">
        <v>2246</v>
      </c>
      <c r="M751" s="25" t="s">
        <v>2248</v>
      </c>
      <c r="N751" s="29">
        <f>IFERROR((C751-VLOOKUP(B751,crm_orders!$A:$S,2,FALSE))*24,0)</f>
        <v>264</v>
      </c>
      <c r="O751" s="27" t="str">
        <f>IFERROR(VLOOKUP(B751,crm_orders!$A:$S,3,FALSE),"")</f>
        <v>DSP0032</v>
      </c>
      <c r="P751" s="27" t="str">
        <f>IFERROR(VLOOKUP(B751,crm_orders!$A:$S,5,FALSE),"")</f>
        <v>MI</v>
      </c>
      <c r="Q751" s="27" t="str">
        <f>IFERROR(VLOOKUP(B751,crm_orders!$A:$S,7,FALSE),"")</f>
        <v>Distributor</v>
      </c>
      <c r="R751" s="27" t="str">
        <f>IFERROR(VLOOKUP(B751,crm_orders!$A:$S,8,FALSE),"")</f>
        <v>SKU0017</v>
      </c>
    </row>
    <row r="752" ht="15.75" customHeight="1">
      <c r="A752" s="17" t="s">
        <v>3757</v>
      </c>
      <c r="B752" s="17" t="s">
        <v>534</v>
      </c>
      <c r="C752" s="18">
        <v>46141.0</v>
      </c>
      <c r="D752" s="17" t="s">
        <v>2260</v>
      </c>
      <c r="E752" s="17" t="s">
        <v>2255</v>
      </c>
      <c r="F752" s="17" t="s">
        <v>3758</v>
      </c>
      <c r="G752" s="21">
        <v>12.0</v>
      </c>
      <c r="H752" s="21">
        <v>12.0</v>
      </c>
      <c r="I752" s="21">
        <v>0.0</v>
      </c>
      <c r="J752" s="17" t="s">
        <v>2246</v>
      </c>
      <c r="K752" s="17" t="s">
        <v>2247</v>
      </c>
      <c r="L752" s="17" t="s">
        <v>2246</v>
      </c>
      <c r="M752" s="17" t="s">
        <v>2248</v>
      </c>
      <c r="N752" s="21">
        <f>IFERROR((C752-VLOOKUP(B752,crm_orders!$A:$S,2,FALSE))*24,0)</f>
        <v>240</v>
      </c>
      <c r="O752" s="19" t="str">
        <f>IFERROR(VLOOKUP(B752,crm_orders!$A:$S,3,FALSE),"")</f>
        <v>DSP0107</v>
      </c>
      <c r="P752" s="19" t="str">
        <f>IFERROR(VLOOKUP(B752,crm_orders!$A:$S,5,FALSE),"")</f>
        <v>NY</v>
      </c>
      <c r="Q752" s="19" t="str">
        <f>IFERROR(VLOOKUP(B752,crm_orders!$A:$S,7,FALSE),"")</f>
        <v>Wholesale</v>
      </c>
      <c r="R752" s="19" t="str">
        <f>IFERROR(VLOOKUP(B752,crm_orders!$A:$S,8,FALSE),"")</f>
        <v>SKU0018</v>
      </c>
    </row>
    <row r="753" ht="15.75" customHeight="1">
      <c r="A753" s="25" t="s">
        <v>3759</v>
      </c>
      <c r="B753" s="25" t="s">
        <v>535</v>
      </c>
      <c r="C753" s="26">
        <v>46154.0</v>
      </c>
      <c r="D753" s="25" t="s">
        <v>2254</v>
      </c>
      <c r="E753" s="25" t="s">
        <v>2255</v>
      </c>
      <c r="F753" s="25" t="s">
        <v>3760</v>
      </c>
      <c r="G753" s="29">
        <v>120.0</v>
      </c>
      <c r="H753" s="29">
        <v>120.0</v>
      </c>
      <c r="I753" s="29">
        <v>0.0</v>
      </c>
      <c r="J753" s="25" t="s">
        <v>2246</v>
      </c>
      <c r="K753" s="25" t="s">
        <v>2247</v>
      </c>
      <c r="L753" s="25" t="s">
        <v>2246</v>
      </c>
      <c r="M753" s="25" t="s">
        <v>2248</v>
      </c>
      <c r="N753" s="29">
        <f>IFERROR((C753-VLOOKUP(B753,crm_orders!$A:$S,2,FALSE))*24,0)</f>
        <v>312</v>
      </c>
      <c r="O753" s="27" t="str">
        <f>IFERROR(VLOOKUP(B753,crm_orders!$A:$S,3,FALSE),"")</f>
        <v>DSP0028</v>
      </c>
      <c r="P753" s="27" t="str">
        <f>IFERROR(VLOOKUP(B753,crm_orders!$A:$S,5,FALSE),"")</f>
        <v>CO</v>
      </c>
      <c r="Q753" s="27" t="str">
        <f>IFERROR(VLOOKUP(B753,crm_orders!$A:$S,7,FALSE),"")</f>
        <v>Distributor</v>
      </c>
      <c r="R753" s="27" t="str">
        <f>IFERROR(VLOOKUP(B753,crm_orders!$A:$S,8,FALSE),"")</f>
        <v>SKU0010</v>
      </c>
    </row>
    <row r="754" ht="15.75" customHeight="1">
      <c r="A754" s="17" t="s">
        <v>3761</v>
      </c>
      <c r="B754" s="17" t="s">
        <v>691</v>
      </c>
      <c r="C754" s="18">
        <v>46093.0</v>
      </c>
      <c r="D754" s="17" t="s">
        <v>2260</v>
      </c>
      <c r="E754" s="17" t="s">
        <v>2255</v>
      </c>
      <c r="F754" s="17" t="s">
        <v>3762</v>
      </c>
      <c r="G754" s="21">
        <v>36.0</v>
      </c>
      <c r="H754" s="21">
        <v>36.0</v>
      </c>
      <c r="I754" s="21">
        <v>0.0</v>
      </c>
      <c r="J754" s="17" t="s">
        <v>2246</v>
      </c>
      <c r="K754" s="17" t="s">
        <v>2247</v>
      </c>
      <c r="L754" s="17" t="s">
        <v>2246</v>
      </c>
      <c r="M754" s="17" t="s">
        <v>2248</v>
      </c>
      <c r="N754" s="21">
        <f>IFERROR((C754-VLOOKUP(B754,crm_orders!$A:$S,2,FALSE))*24,0)</f>
        <v>288</v>
      </c>
      <c r="O754" s="19" t="str">
        <f>IFERROR(VLOOKUP(B754,crm_orders!$A:$S,3,FALSE),"")</f>
        <v>DSP0001</v>
      </c>
      <c r="P754" s="19" t="str">
        <f>IFERROR(VLOOKUP(B754,crm_orders!$A:$S,5,FALSE),"")</f>
        <v>OR</v>
      </c>
      <c r="Q754" s="19" t="str">
        <f>IFERROR(VLOOKUP(B754,crm_orders!$A:$S,7,FALSE),"")</f>
        <v>Retail</v>
      </c>
      <c r="R754" s="19" t="str">
        <f>IFERROR(VLOOKUP(B754,crm_orders!$A:$S,8,FALSE),"")</f>
        <v>SKU0020</v>
      </c>
    </row>
    <row r="755" ht="15.75" customHeight="1">
      <c r="A755" s="25" t="s">
        <v>3763</v>
      </c>
      <c r="B755" s="25" t="s">
        <v>161</v>
      </c>
      <c r="C755" s="26">
        <v>46039.0</v>
      </c>
      <c r="D755" s="25" t="s">
        <v>2269</v>
      </c>
      <c r="E755" s="25" t="s">
        <v>2286</v>
      </c>
      <c r="F755" s="25" t="s">
        <v>3764</v>
      </c>
      <c r="G755" s="29">
        <v>18.0</v>
      </c>
      <c r="H755" s="29">
        <v>18.0</v>
      </c>
      <c r="I755" s="29">
        <v>0.0</v>
      </c>
      <c r="J755" s="25" t="s">
        <v>2246</v>
      </c>
      <c r="K755" s="25" t="s">
        <v>2247</v>
      </c>
      <c r="L755" s="25" t="s">
        <v>2246</v>
      </c>
      <c r="M755" s="25" t="s">
        <v>2248</v>
      </c>
      <c r="N755" s="29">
        <f>IFERROR((C755-VLOOKUP(B755,crm_orders!$A:$S,2,FALSE))*24,0)</f>
        <v>144</v>
      </c>
      <c r="O755" s="27" t="str">
        <f>IFERROR(VLOOKUP(B755,crm_orders!$A:$S,3,FALSE),"")</f>
        <v>DSP0063</v>
      </c>
      <c r="P755" s="27" t="str">
        <f>IFERROR(VLOOKUP(B755,crm_orders!$A:$S,5,FALSE),"")</f>
        <v>CA</v>
      </c>
      <c r="Q755" s="27" t="str">
        <f>IFERROR(VLOOKUP(B755,crm_orders!$A:$S,7,FALSE),"")</f>
        <v>Wholesale</v>
      </c>
      <c r="R755" s="27" t="str">
        <f>IFERROR(VLOOKUP(B755,crm_orders!$A:$S,8,FALSE),"")</f>
        <v>SKU0007</v>
      </c>
    </row>
    <row r="756" ht="15.75" customHeight="1">
      <c r="A756" s="17" t="s">
        <v>3765</v>
      </c>
      <c r="B756" s="17" t="s">
        <v>692</v>
      </c>
      <c r="C756" s="18">
        <v>46085.0</v>
      </c>
      <c r="D756" s="17" t="s">
        <v>2243</v>
      </c>
      <c r="E756" s="17" t="s">
        <v>2255</v>
      </c>
      <c r="F756" s="17" t="s">
        <v>3766</v>
      </c>
      <c r="G756" s="21">
        <v>72.0</v>
      </c>
      <c r="H756" s="21">
        <v>72.0</v>
      </c>
      <c r="I756" s="21">
        <v>0.0</v>
      </c>
      <c r="J756" s="17" t="s">
        <v>2247</v>
      </c>
      <c r="K756" s="17" t="s">
        <v>2247</v>
      </c>
      <c r="L756" s="17" t="s">
        <v>2247</v>
      </c>
      <c r="M756" s="17" t="s">
        <v>2248</v>
      </c>
      <c r="N756" s="21">
        <f>IFERROR((C756-VLOOKUP(B756,crm_orders!$A:$S,2,FALSE))*24,0)</f>
        <v>192</v>
      </c>
      <c r="O756" s="19" t="str">
        <f>IFERROR(VLOOKUP(B756,crm_orders!$A:$S,3,FALSE),"")</f>
        <v>DSP0039</v>
      </c>
      <c r="P756" s="19" t="str">
        <f>IFERROR(VLOOKUP(B756,crm_orders!$A:$S,5,FALSE),"")</f>
        <v>CA</v>
      </c>
      <c r="Q756" s="19" t="str">
        <f>IFERROR(VLOOKUP(B756,crm_orders!$A:$S,7,FALSE),"")</f>
        <v>Wholesale</v>
      </c>
      <c r="R756" s="19" t="str">
        <f>IFERROR(VLOOKUP(B756,crm_orders!$A:$S,8,FALSE),"")</f>
        <v>SKU0012</v>
      </c>
    </row>
    <row r="757" ht="15.75" customHeight="1">
      <c r="A757" s="25" t="s">
        <v>3767</v>
      </c>
      <c r="B757" s="25" t="s">
        <v>438</v>
      </c>
      <c r="C757" s="26">
        <v>46075.0</v>
      </c>
      <c r="D757" s="25" t="s">
        <v>2260</v>
      </c>
      <c r="E757" s="25" t="s">
        <v>2244</v>
      </c>
      <c r="F757" s="25" t="s">
        <v>3768</v>
      </c>
      <c r="G757" s="29">
        <v>24.0</v>
      </c>
      <c r="H757" s="29">
        <v>24.0</v>
      </c>
      <c r="I757" s="29">
        <v>0.0</v>
      </c>
      <c r="J757" s="25" t="s">
        <v>2247</v>
      </c>
      <c r="K757" s="25" t="s">
        <v>2247</v>
      </c>
      <c r="L757" s="25" t="s">
        <v>2247</v>
      </c>
      <c r="M757" s="25" t="s">
        <v>2248</v>
      </c>
      <c r="N757" s="29">
        <f>IFERROR((C757-VLOOKUP(B757,crm_orders!$A:$S,2,FALSE))*24,0)</f>
        <v>168</v>
      </c>
      <c r="O757" s="27" t="str">
        <f>IFERROR(VLOOKUP(B757,crm_orders!$A:$S,3,FALSE),"")</f>
        <v>DSP0056</v>
      </c>
      <c r="P757" s="27" t="str">
        <f>IFERROR(VLOOKUP(B757,crm_orders!$A:$S,5,FALSE),"")</f>
        <v>MI</v>
      </c>
      <c r="Q757" s="27" t="str">
        <f>IFERROR(VLOOKUP(B757,crm_orders!$A:$S,7,FALSE),"")</f>
        <v>Wholesale</v>
      </c>
      <c r="R757" s="27" t="str">
        <f>IFERROR(VLOOKUP(B757,crm_orders!$A:$S,8,FALSE),"")</f>
        <v>SKU0001</v>
      </c>
    </row>
    <row r="758" ht="15.75" customHeight="1">
      <c r="A758" s="17" t="s">
        <v>3769</v>
      </c>
      <c r="B758" s="17" t="s">
        <v>1068</v>
      </c>
      <c r="C758" s="18">
        <v>46088.0</v>
      </c>
      <c r="D758" s="17" t="s">
        <v>2243</v>
      </c>
      <c r="E758" s="17" t="s">
        <v>2251</v>
      </c>
      <c r="F758" s="17" t="s">
        <v>3770</v>
      </c>
      <c r="G758" s="21">
        <v>30.0</v>
      </c>
      <c r="H758" s="21">
        <v>30.0</v>
      </c>
      <c r="I758" s="21">
        <v>0.0</v>
      </c>
      <c r="J758" s="17" t="s">
        <v>2246</v>
      </c>
      <c r="K758" s="17" t="s">
        <v>2247</v>
      </c>
      <c r="L758" s="17" t="s">
        <v>2246</v>
      </c>
      <c r="M758" s="17" t="s">
        <v>2248</v>
      </c>
      <c r="N758" s="21">
        <f>IFERROR((C758-VLOOKUP(B758,crm_orders!$A:$S,2,FALSE))*24,0)</f>
        <v>96</v>
      </c>
      <c r="O758" s="19" t="str">
        <f>IFERROR(VLOOKUP(B758,crm_orders!$A:$S,3,FALSE),"")</f>
        <v>DSP0021</v>
      </c>
      <c r="P758" s="19" t="str">
        <f>IFERROR(VLOOKUP(B758,crm_orders!$A:$S,5,FALSE),"")</f>
        <v>MO</v>
      </c>
      <c r="Q758" s="19" t="str">
        <f>IFERROR(VLOOKUP(B758,crm_orders!$A:$S,7,FALSE),"")</f>
        <v>Wholesale</v>
      </c>
      <c r="R758" s="19" t="str">
        <f>IFERROR(VLOOKUP(B758,crm_orders!$A:$S,8,FALSE),"")</f>
        <v>SKU0007</v>
      </c>
    </row>
    <row r="759" ht="15.75" customHeight="1">
      <c r="A759" s="25" t="s">
        <v>3771</v>
      </c>
      <c r="B759" s="25" t="s">
        <v>1120</v>
      </c>
      <c r="C759" s="26">
        <v>46061.0</v>
      </c>
      <c r="D759" s="25" t="s">
        <v>2243</v>
      </c>
      <c r="E759" s="25" t="s">
        <v>2251</v>
      </c>
      <c r="F759" s="25" t="s">
        <v>3772</v>
      </c>
      <c r="G759" s="29">
        <v>72.0</v>
      </c>
      <c r="H759" s="29">
        <v>72.0</v>
      </c>
      <c r="I759" s="29">
        <v>0.0</v>
      </c>
      <c r="J759" s="25" t="s">
        <v>2246</v>
      </c>
      <c r="K759" s="25" t="s">
        <v>2247</v>
      </c>
      <c r="L759" s="25" t="s">
        <v>2246</v>
      </c>
      <c r="M759" s="25" t="s">
        <v>2248</v>
      </c>
      <c r="N759" s="29">
        <f>IFERROR((C759-VLOOKUP(B759,crm_orders!$A:$S,2,FALSE))*24,0)</f>
        <v>168</v>
      </c>
      <c r="O759" s="27" t="str">
        <f>IFERROR(VLOOKUP(B759,crm_orders!$A:$S,3,FALSE),"")</f>
        <v>DSP0098</v>
      </c>
      <c r="P759" s="27" t="str">
        <f>IFERROR(VLOOKUP(B759,crm_orders!$A:$S,5,FALSE),"")</f>
        <v>WA</v>
      </c>
      <c r="Q759" s="27" t="str">
        <f>IFERROR(VLOOKUP(B759,crm_orders!$A:$S,7,FALSE),"")</f>
        <v>Wholesale</v>
      </c>
      <c r="R759" s="27" t="str">
        <f>IFERROR(VLOOKUP(B759,crm_orders!$A:$S,8,FALSE),"")</f>
        <v>SKU0014</v>
      </c>
    </row>
    <row r="760" ht="15.75" customHeight="1">
      <c r="A760" s="17" t="s">
        <v>3773</v>
      </c>
      <c r="B760" s="17" t="s">
        <v>1070</v>
      </c>
      <c r="C760" s="18">
        <v>46059.0</v>
      </c>
      <c r="D760" s="17" t="s">
        <v>2260</v>
      </c>
      <c r="E760" s="17" t="s">
        <v>2251</v>
      </c>
      <c r="F760" s="17" t="s">
        <v>3774</v>
      </c>
      <c r="G760" s="21">
        <v>12.0</v>
      </c>
      <c r="H760" s="21">
        <v>12.0</v>
      </c>
      <c r="I760" s="21">
        <v>0.0</v>
      </c>
      <c r="J760" s="17" t="s">
        <v>2246</v>
      </c>
      <c r="K760" s="17" t="s">
        <v>2247</v>
      </c>
      <c r="L760" s="17" t="s">
        <v>2246</v>
      </c>
      <c r="M760" s="17" t="s">
        <v>2248</v>
      </c>
      <c r="N760" s="21">
        <f>IFERROR((C760-VLOOKUP(B760,crm_orders!$A:$S,2,FALSE))*24,0)</f>
        <v>264</v>
      </c>
      <c r="O760" s="19" t="str">
        <f>IFERROR(VLOOKUP(B760,crm_orders!$A:$S,3,FALSE),"")</f>
        <v>DSP0106</v>
      </c>
      <c r="P760" s="19" t="str">
        <f>IFERROR(VLOOKUP(B760,crm_orders!$A:$S,5,FALSE),"")</f>
        <v>NM</v>
      </c>
      <c r="Q760" s="19" t="str">
        <f>IFERROR(VLOOKUP(B760,crm_orders!$A:$S,7,FALSE),"")</f>
        <v>Wholesale</v>
      </c>
      <c r="R760" s="19" t="str">
        <f>IFERROR(VLOOKUP(B760,crm_orders!$A:$S,8,FALSE),"")</f>
        <v>SKU0014</v>
      </c>
    </row>
    <row r="761" ht="15.75" customHeight="1">
      <c r="A761" s="25" t="s">
        <v>3775</v>
      </c>
      <c r="B761" s="25" t="s">
        <v>475</v>
      </c>
      <c r="C761" s="26">
        <v>46077.0</v>
      </c>
      <c r="D761" s="25" t="s">
        <v>2250</v>
      </c>
      <c r="E761" s="25" t="s">
        <v>2244</v>
      </c>
      <c r="F761" s="25" t="s">
        <v>3776</v>
      </c>
      <c r="G761" s="29">
        <v>18.0</v>
      </c>
      <c r="H761" s="29">
        <v>18.0</v>
      </c>
      <c r="I761" s="29">
        <v>0.0</v>
      </c>
      <c r="J761" s="25" t="s">
        <v>2246</v>
      </c>
      <c r="K761" s="25" t="s">
        <v>2247</v>
      </c>
      <c r="L761" s="25" t="s">
        <v>2246</v>
      </c>
      <c r="M761" s="25" t="s">
        <v>2248</v>
      </c>
      <c r="N761" s="29">
        <f>IFERROR((C761-VLOOKUP(B761,crm_orders!$A:$S,2,FALSE))*24,0)</f>
        <v>1248</v>
      </c>
      <c r="O761" s="27" t="str">
        <f>IFERROR(VLOOKUP(B761,crm_orders!$A:$S,3,FALSE),"")</f>
        <v>DSP0029</v>
      </c>
      <c r="P761" s="27" t="str">
        <f>IFERROR(VLOOKUP(B761,crm_orders!$A:$S,5,FALSE),"")</f>
        <v>AZ</v>
      </c>
      <c r="Q761" s="27" t="str">
        <f>IFERROR(VLOOKUP(B761,crm_orders!$A:$S,7,FALSE),"")</f>
        <v>Retail</v>
      </c>
      <c r="R761" s="27" t="str">
        <f>IFERROR(VLOOKUP(B761,crm_orders!$A:$S,8,FALSE),"")</f>
        <v>SKU0005</v>
      </c>
    </row>
    <row r="762" ht="15.75" customHeight="1">
      <c r="A762" s="17" t="s">
        <v>3777</v>
      </c>
      <c r="B762" s="17" t="s">
        <v>1071</v>
      </c>
      <c r="C762" s="18">
        <v>46060.0</v>
      </c>
      <c r="D762" s="17" t="s">
        <v>2269</v>
      </c>
      <c r="E762" s="17" t="s">
        <v>2286</v>
      </c>
      <c r="F762" s="17" t="s">
        <v>3778</v>
      </c>
      <c r="G762" s="21">
        <v>6.0</v>
      </c>
      <c r="H762" s="21">
        <v>6.0</v>
      </c>
      <c r="I762" s="21">
        <v>0.0</v>
      </c>
      <c r="J762" s="17" t="s">
        <v>2247</v>
      </c>
      <c r="K762" s="17" t="s">
        <v>2247</v>
      </c>
      <c r="L762" s="17" t="s">
        <v>2247</v>
      </c>
      <c r="M762" s="17" t="s">
        <v>2248</v>
      </c>
      <c r="N762" s="21">
        <f>IFERROR((C762-VLOOKUP(B762,crm_orders!$A:$S,2,FALSE))*24,0)</f>
        <v>144</v>
      </c>
      <c r="O762" s="19" t="str">
        <f>IFERROR(VLOOKUP(B762,crm_orders!$A:$S,3,FALSE),"")</f>
        <v>DSP0045</v>
      </c>
      <c r="P762" s="19" t="str">
        <f>IFERROR(VLOOKUP(B762,crm_orders!$A:$S,5,FALSE),"")</f>
        <v>MO</v>
      </c>
      <c r="Q762" s="19" t="str">
        <f>IFERROR(VLOOKUP(B762,crm_orders!$A:$S,7,FALSE),"")</f>
        <v>Retail</v>
      </c>
      <c r="R762" s="19" t="str">
        <f>IFERROR(VLOOKUP(B762,crm_orders!$A:$S,8,FALSE),"")</f>
        <v>SKU0014</v>
      </c>
    </row>
    <row r="763" ht="15.75" customHeight="1">
      <c r="A763" s="25" t="s">
        <v>3779</v>
      </c>
      <c r="B763" s="25" t="s">
        <v>287</v>
      </c>
      <c r="C763" s="26">
        <v>46037.0</v>
      </c>
      <c r="D763" s="25" t="s">
        <v>2254</v>
      </c>
      <c r="E763" s="25" t="s">
        <v>2251</v>
      </c>
      <c r="F763" s="25" t="s">
        <v>3780</v>
      </c>
      <c r="G763" s="29">
        <v>30.0</v>
      </c>
      <c r="H763" s="29">
        <v>30.0</v>
      </c>
      <c r="I763" s="29">
        <v>0.0</v>
      </c>
      <c r="J763" s="25" t="s">
        <v>2247</v>
      </c>
      <c r="K763" s="25" t="s">
        <v>2247</v>
      </c>
      <c r="L763" s="25" t="s">
        <v>2247</v>
      </c>
      <c r="M763" s="25" t="s">
        <v>2248</v>
      </c>
      <c r="N763" s="29">
        <f>IFERROR((C763-VLOOKUP(B763,crm_orders!$A:$S,2,FALSE))*24,0)</f>
        <v>48</v>
      </c>
      <c r="O763" s="27" t="str">
        <f>IFERROR(VLOOKUP(B763,crm_orders!$A:$S,3,FALSE),"")</f>
        <v>DSP0117</v>
      </c>
      <c r="P763" s="27" t="str">
        <f>IFERROR(VLOOKUP(B763,crm_orders!$A:$S,5,FALSE),"")</f>
        <v>MO</v>
      </c>
      <c r="Q763" s="27" t="str">
        <f>IFERROR(VLOOKUP(B763,crm_orders!$A:$S,7,FALSE),"")</f>
        <v>Wholesale</v>
      </c>
      <c r="R763" s="27" t="str">
        <f>IFERROR(VLOOKUP(B763,crm_orders!$A:$S,8,FALSE),"")</f>
        <v>SKU0020</v>
      </c>
    </row>
    <row r="764" ht="15.75" customHeight="1">
      <c r="A764" s="17" t="s">
        <v>3781</v>
      </c>
      <c r="B764" s="17" t="s">
        <v>288</v>
      </c>
      <c r="C764" s="18">
        <v>46070.0</v>
      </c>
      <c r="D764" s="17" t="s">
        <v>2254</v>
      </c>
      <c r="E764" s="17" t="s">
        <v>2286</v>
      </c>
      <c r="F764" s="17" t="s">
        <v>3782</v>
      </c>
      <c r="G764" s="21">
        <v>36.0</v>
      </c>
      <c r="H764" s="21">
        <v>36.0</v>
      </c>
      <c r="I764" s="21">
        <v>0.0</v>
      </c>
      <c r="J764" s="17" t="s">
        <v>2246</v>
      </c>
      <c r="K764" s="17" t="s">
        <v>2247</v>
      </c>
      <c r="L764" s="17" t="s">
        <v>2246</v>
      </c>
      <c r="M764" s="17" t="s">
        <v>2248</v>
      </c>
      <c r="N764" s="21">
        <f>IFERROR((C764-VLOOKUP(B764,crm_orders!$A:$S,2,FALSE))*24,0)</f>
        <v>120</v>
      </c>
      <c r="O764" s="19" t="str">
        <f>IFERROR(VLOOKUP(B764,crm_orders!$A:$S,3,FALSE),"")</f>
        <v>DSP0099</v>
      </c>
      <c r="P764" s="19" t="str">
        <f>IFERROR(VLOOKUP(B764,crm_orders!$A:$S,5,FALSE),"")</f>
        <v>CA</v>
      </c>
      <c r="Q764" s="19" t="str">
        <f>IFERROR(VLOOKUP(B764,crm_orders!$A:$S,7,FALSE),"")</f>
        <v>Wholesale</v>
      </c>
      <c r="R764" s="19" t="str">
        <f>IFERROR(VLOOKUP(B764,crm_orders!$A:$S,8,FALSE),"")</f>
        <v>SKU0005</v>
      </c>
    </row>
    <row r="765" ht="15.75" customHeight="1">
      <c r="A765" s="25" t="s">
        <v>3783</v>
      </c>
      <c r="B765" s="25" t="s">
        <v>643</v>
      </c>
      <c r="C765" s="26">
        <v>46140.0</v>
      </c>
      <c r="D765" s="25" t="s">
        <v>2250</v>
      </c>
      <c r="E765" s="25" t="s">
        <v>2255</v>
      </c>
      <c r="F765" s="25" t="s">
        <v>3784</v>
      </c>
      <c r="G765" s="29">
        <v>96.0</v>
      </c>
      <c r="H765" s="29">
        <v>96.0</v>
      </c>
      <c r="I765" s="29">
        <v>0.0</v>
      </c>
      <c r="J765" s="25" t="s">
        <v>2247</v>
      </c>
      <c r="K765" s="25" t="s">
        <v>2247</v>
      </c>
      <c r="L765" s="25" t="s">
        <v>2247</v>
      </c>
      <c r="M765" s="25" t="s">
        <v>2248</v>
      </c>
      <c r="N765" s="29">
        <f>IFERROR((C765-VLOOKUP(B765,crm_orders!$A:$S,2,FALSE))*24,0)</f>
        <v>840</v>
      </c>
      <c r="O765" s="27" t="str">
        <f>IFERROR(VLOOKUP(B765,crm_orders!$A:$S,3,FALSE),"")</f>
        <v>DSP0030</v>
      </c>
      <c r="P765" s="27" t="str">
        <f>IFERROR(VLOOKUP(B765,crm_orders!$A:$S,5,FALSE),"")</f>
        <v>NV</v>
      </c>
      <c r="Q765" s="27" t="str">
        <f>IFERROR(VLOOKUP(B765,crm_orders!$A:$S,7,FALSE),"")</f>
        <v>Wholesale</v>
      </c>
      <c r="R765" s="27" t="str">
        <f>IFERROR(VLOOKUP(B765,crm_orders!$A:$S,8,FALSE),"")</f>
        <v>SKU0017</v>
      </c>
    </row>
    <row r="766" ht="15.75" customHeight="1">
      <c r="A766" s="17" t="s">
        <v>3785</v>
      </c>
      <c r="B766" s="17" t="s">
        <v>693</v>
      </c>
      <c r="C766" s="18">
        <v>46098.0</v>
      </c>
      <c r="D766" s="17" t="s">
        <v>2254</v>
      </c>
      <c r="E766" s="17" t="s">
        <v>2286</v>
      </c>
      <c r="F766" s="17" t="s">
        <v>3786</v>
      </c>
      <c r="G766" s="21">
        <v>72.0</v>
      </c>
      <c r="H766" s="21">
        <v>72.0</v>
      </c>
      <c r="I766" s="21">
        <v>0.0</v>
      </c>
      <c r="J766" s="17" t="s">
        <v>2246</v>
      </c>
      <c r="K766" s="17" t="s">
        <v>2247</v>
      </c>
      <c r="L766" s="17" t="s">
        <v>2246</v>
      </c>
      <c r="M766" s="17" t="s">
        <v>2248</v>
      </c>
      <c r="N766" s="21">
        <f>IFERROR((C766-VLOOKUP(B766,crm_orders!$A:$S,2,FALSE))*24,0)</f>
        <v>120</v>
      </c>
      <c r="O766" s="19" t="str">
        <f>IFERROR(VLOOKUP(B766,crm_orders!$A:$S,3,FALSE),"")</f>
        <v>DSP0025</v>
      </c>
      <c r="P766" s="19" t="str">
        <f>IFERROR(VLOOKUP(B766,crm_orders!$A:$S,5,FALSE),"")</f>
        <v>OR</v>
      </c>
      <c r="Q766" s="19" t="str">
        <f>IFERROR(VLOOKUP(B766,crm_orders!$A:$S,7,FALSE),"")</f>
        <v>Wholesale</v>
      </c>
      <c r="R766" s="19" t="str">
        <f>IFERROR(VLOOKUP(B766,crm_orders!$A:$S,8,FALSE),"")</f>
        <v>SKU0014</v>
      </c>
    </row>
    <row r="767" ht="15.75" customHeight="1">
      <c r="A767" s="25" t="s">
        <v>3787</v>
      </c>
      <c r="B767" s="25" t="s">
        <v>850</v>
      </c>
      <c r="C767" s="26">
        <v>46149.0</v>
      </c>
      <c r="D767" s="25" t="s">
        <v>2269</v>
      </c>
      <c r="E767" s="25" t="s">
        <v>2255</v>
      </c>
      <c r="F767" s="25" t="s">
        <v>3788</v>
      </c>
      <c r="G767" s="29">
        <v>6.0</v>
      </c>
      <c r="H767" s="29">
        <v>6.0</v>
      </c>
      <c r="I767" s="29">
        <v>0.0</v>
      </c>
      <c r="J767" s="25" t="s">
        <v>2246</v>
      </c>
      <c r="K767" s="25" t="s">
        <v>2247</v>
      </c>
      <c r="L767" s="25" t="s">
        <v>2246</v>
      </c>
      <c r="M767" s="25" t="s">
        <v>2248</v>
      </c>
      <c r="N767" s="29">
        <f>IFERROR((C767-VLOOKUP(B767,crm_orders!$A:$S,2,FALSE))*24,0)</f>
        <v>168</v>
      </c>
      <c r="O767" s="27" t="str">
        <f>IFERROR(VLOOKUP(B767,crm_orders!$A:$S,3,FALSE),"")</f>
        <v>DSP0054</v>
      </c>
      <c r="P767" s="27" t="str">
        <f>IFERROR(VLOOKUP(B767,crm_orders!$A:$S,5,FALSE),"")</f>
        <v>NV</v>
      </c>
      <c r="Q767" s="27" t="str">
        <f>IFERROR(VLOOKUP(B767,crm_orders!$A:$S,7,FALSE),"")</f>
        <v>Distributor</v>
      </c>
      <c r="R767" s="27" t="str">
        <f>IFERROR(VLOOKUP(B767,crm_orders!$A:$S,8,FALSE),"")</f>
        <v>SKU0017</v>
      </c>
    </row>
    <row r="768" ht="15.75" customHeight="1">
      <c r="A768" s="17" t="s">
        <v>3789</v>
      </c>
      <c r="B768" s="17" t="s">
        <v>1072</v>
      </c>
      <c r="C768" s="18">
        <v>46122.0</v>
      </c>
      <c r="D768" s="17" t="s">
        <v>2254</v>
      </c>
      <c r="E768" s="17" t="s">
        <v>2251</v>
      </c>
      <c r="F768" s="17" t="s">
        <v>3790</v>
      </c>
      <c r="G768" s="21">
        <v>60.0</v>
      </c>
      <c r="H768" s="21">
        <v>60.0</v>
      </c>
      <c r="I768" s="21">
        <v>0.0</v>
      </c>
      <c r="J768" s="17" t="s">
        <v>2246</v>
      </c>
      <c r="K768" s="17" t="s">
        <v>2247</v>
      </c>
      <c r="L768" s="17" t="s">
        <v>2246</v>
      </c>
      <c r="M768" s="17" t="s">
        <v>2248</v>
      </c>
      <c r="N768" s="21">
        <f>IFERROR((C768-VLOOKUP(B768,crm_orders!$A:$S,2,FALSE))*24,0)</f>
        <v>120</v>
      </c>
      <c r="O768" s="19" t="str">
        <f>IFERROR(VLOOKUP(B768,crm_orders!$A:$S,3,FALSE),"")</f>
        <v>DSP0102</v>
      </c>
      <c r="P768" s="19" t="str">
        <f>IFERROR(VLOOKUP(B768,crm_orders!$A:$S,5,FALSE),"")</f>
        <v>NV</v>
      </c>
      <c r="Q768" s="19" t="str">
        <f>IFERROR(VLOOKUP(B768,crm_orders!$A:$S,7,FALSE),"")</f>
        <v>Distributor</v>
      </c>
      <c r="R768" s="19" t="str">
        <f>IFERROR(VLOOKUP(B768,crm_orders!$A:$S,8,FALSE),"")</f>
        <v>SKU0007</v>
      </c>
    </row>
    <row r="769" ht="15.75" customHeight="1">
      <c r="A769" s="25" t="s">
        <v>3791</v>
      </c>
      <c r="B769" s="25" t="s">
        <v>289</v>
      </c>
      <c r="C769" s="26">
        <v>46077.0</v>
      </c>
      <c r="D769" s="25" t="s">
        <v>2254</v>
      </c>
      <c r="E769" s="25" t="s">
        <v>2251</v>
      </c>
      <c r="F769" s="25" t="s">
        <v>3792</v>
      </c>
      <c r="G769" s="29">
        <v>24.0</v>
      </c>
      <c r="H769" s="29">
        <v>24.0</v>
      </c>
      <c r="I769" s="29">
        <v>0.0</v>
      </c>
      <c r="J769" s="25" t="s">
        <v>2246</v>
      </c>
      <c r="K769" s="25" t="s">
        <v>2247</v>
      </c>
      <c r="L769" s="25" t="s">
        <v>2246</v>
      </c>
      <c r="M769" s="25" t="s">
        <v>2248</v>
      </c>
      <c r="N769" s="29">
        <f>IFERROR((C769-VLOOKUP(B769,crm_orders!$A:$S,2,FALSE))*24,0)</f>
        <v>72</v>
      </c>
      <c r="O769" s="27" t="str">
        <f>IFERROR(VLOOKUP(B769,crm_orders!$A:$S,3,FALSE),"")</f>
        <v>DSP0072</v>
      </c>
      <c r="P769" s="27" t="str">
        <f>IFERROR(VLOOKUP(B769,crm_orders!$A:$S,5,FALSE),"")</f>
        <v>OK</v>
      </c>
      <c r="Q769" s="27" t="str">
        <f>IFERROR(VLOOKUP(B769,crm_orders!$A:$S,7,FALSE),"")</f>
        <v>Wholesale</v>
      </c>
      <c r="R769" s="27" t="str">
        <f>IFERROR(VLOOKUP(B769,crm_orders!$A:$S,8,FALSE),"")</f>
        <v>SKU0013</v>
      </c>
    </row>
    <row r="770" ht="15.75" customHeight="1">
      <c r="A770" s="17" t="s">
        <v>3793</v>
      </c>
      <c r="B770" s="17" t="s">
        <v>1073</v>
      </c>
      <c r="C770" s="18">
        <v>46124.0</v>
      </c>
      <c r="D770" s="17" t="s">
        <v>2250</v>
      </c>
      <c r="E770" s="17" t="s">
        <v>2286</v>
      </c>
      <c r="F770" s="17" t="s">
        <v>3794</v>
      </c>
      <c r="G770" s="21">
        <v>30.0</v>
      </c>
      <c r="H770" s="21">
        <v>30.0</v>
      </c>
      <c r="I770" s="21">
        <v>0.0</v>
      </c>
      <c r="J770" s="17" t="s">
        <v>2246</v>
      </c>
      <c r="K770" s="17" t="s">
        <v>2247</v>
      </c>
      <c r="L770" s="17" t="s">
        <v>2246</v>
      </c>
      <c r="M770" s="17" t="s">
        <v>2248</v>
      </c>
      <c r="N770" s="21">
        <f>IFERROR((C770-VLOOKUP(B770,crm_orders!$A:$S,2,FALSE))*24,0)</f>
        <v>264</v>
      </c>
      <c r="O770" s="19" t="str">
        <f>IFERROR(VLOOKUP(B770,crm_orders!$A:$S,3,FALSE),"")</f>
        <v>DSP0059</v>
      </c>
      <c r="P770" s="19" t="str">
        <f>IFERROR(VLOOKUP(B770,crm_orders!$A:$S,5,FALSE),"")</f>
        <v>NY</v>
      </c>
      <c r="Q770" s="19" t="str">
        <f>IFERROR(VLOOKUP(B770,crm_orders!$A:$S,7,FALSE),"")</f>
        <v>Retail</v>
      </c>
      <c r="R770" s="19" t="str">
        <f>IFERROR(VLOOKUP(B770,crm_orders!$A:$S,8,FALSE),"")</f>
        <v>SKU0017</v>
      </c>
    </row>
    <row r="771" ht="15.75" customHeight="1">
      <c r="A771" s="25" t="s">
        <v>3795</v>
      </c>
      <c r="B771" s="25" t="s">
        <v>439</v>
      </c>
      <c r="C771" s="26">
        <v>46065.0</v>
      </c>
      <c r="D771" s="25" t="s">
        <v>2260</v>
      </c>
      <c r="E771" s="25" t="s">
        <v>2286</v>
      </c>
      <c r="F771" s="25" t="s">
        <v>3796</v>
      </c>
      <c r="G771" s="29">
        <v>30.0</v>
      </c>
      <c r="H771" s="29">
        <v>30.0</v>
      </c>
      <c r="I771" s="29">
        <v>0.0</v>
      </c>
      <c r="J771" s="25" t="s">
        <v>2246</v>
      </c>
      <c r="K771" s="25" t="s">
        <v>2247</v>
      </c>
      <c r="L771" s="25" t="s">
        <v>2246</v>
      </c>
      <c r="M771" s="25" t="s">
        <v>2248</v>
      </c>
      <c r="N771" s="29">
        <f>IFERROR((C771-VLOOKUP(B771,crm_orders!$A:$S,2,FALSE))*24,0)</f>
        <v>120</v>
      </c>
      <c r="O771" s="27" t="str">
        <f>IFERROR(VLOOKUP(B771,crm_orders!$A:$S,3,FALSE),"")</f>
        <v>DSP0069</v>
      </c>
      <c r="P771" s="27" t="str">
        <f>IFERROR(VLOOKUP(B771,crm_orders!$A:$S,5,FALSE),"")</f>
        <v>MO</v>
      </c>
      <c r="Q771" s="27" t="str">
        <f>IFERROR(VLOOKUP(B771,crm_orders!$A:$S,7,FALSE),"")</f>
        <v>Retail</v>
      </c>
      <c r="R771" s="27" t="str">
        <f>IFERROR(VLOOKUP(B771,crm_orders!$A:$S,8,FALSE),"")</f>
        <v>SKU0008</v>
      </c>
    </row>
    <row r="772" ht="15.75" customHeight="1">
      <c r="A772" s="17" t="s">
        <v>3797</v>
      </c>
      <c r="B772" s="17" t="s">
        <v>1200</v>
      </c>
      <c r="C772" s="18">
        <v>46116.0</v>
      </c>
      <c r="D772" s="17" t="s">
        <v>2254</v>
      </c>
      <c r="E772" s="17" t="s">
        <v>2255</v>
      </c>
      <c r="F772" s="17" t="s">
        <v>3798</v>
      </c>
      <c r="G772" s="21">
        <v>96.0</v>
      </c>
      <c r="H772" s="21">
        <v>96.0</v>
      </c>
      <c r="I772" s="21">
        <v>0.0</v>
      </c>
      <c r="J772" s="17" t="s">
        <v>2246</v>
      </c>
      <c r="K772" s="17" t="s">
        <v>2247</v>
      </c>
      <c r="L772" s="17" t="s">
        <v>2246</v>
      </c>
      <c r="M772" s="17" t="s">
        <v>2248</v>
      </c>
      <c r="N772" s="21">
        <f>IFERROR((C772-VLOOKUP(B772,crm_orders!$A:$S,2,FALSE))*24,0)</f>
        <v>240</v>
      </c>
      <c r="O772" s="19" t="str">
        <f>IFERROR(VLOOKUP(B772,crm_orders!$A:$S,3,FALSE),"")</f>
        <v>DSP0015</v>
      </c>
      <c r="P772" s="19" t="str">
        <f>IFERROR(VLOOKUP(B772,crm_orders!$A:$S,5,FALSE),"")</f>
        <v>CA</v>
      </c>
      <c r="Q772" s="19" t="str">
        <f>IFERROR(VLOOKUP(B772,crm_orders!$A:$S,7,FALSE),"")</f>
        <v>Distributor</v>
      </c>
      <c r="R772" s="19" t="str">
        <f>IFERROR(VLOOKUP(B772,crm_orders!$A:$S,8,FALSE),"")</f>
        <v>SKU0001</v>
      </c>
    </row>
    <row r="773" ht="15.75" customHeight="1">
      <c r="A773" s="25" t="s">
        <v>3799</v>
      </c>
      <c r="B773" s="25" t="s">
        <v>440</v>
      </c>
      <c r="C773" s="26">
        <v>46065.0</v>
      </c>
      <c r="D773" s="25" t="s">
        <v>2269</v>
      </c>
      <c r="E773" s="25" t="s">
        <v>2251</v>
      </c>
      <c r="F773" s="25" t="s">
        <v>3800</v>
      </c>
      <c r="G773" s="29">
        <v>6.0</v>
      </c>
      <c r="H773" s="29">
        <v>6.0</v>
      </c>
      <c r="I773" s="29">
        <v>0.0</v>
      </c>
      <c r="J773" s="25" t="s">
        <v>2247</v>
      </c>
      <c r="K773" s="25" t="s">
        <v>2247</v>
      </c>
      <c r="L773" s="25" t="s">
        <v>2247</v>
      </c>
      <c r="M773" s="25" t="s">
        <v>2248</v>
      </c>
      <c r="N773" s="29">
        <f>IFERROR((C773-VLOOKUP(B773,crm_orders!$A:$S,2,FALSE))*24,0)</f>
        <v>120</v>
      </c>
      <c r="O773" s="27" t="str">
        <f>IFERROR(VLOOKUP(B773,crm_orders!$A:$S,3,FALSE),"")</f>
        <v>DSP0115</v>
      </c>
      <c r="P773" s="27" t="str">
        <f>IFERROR(VLOOKUP(B773,crm_orders!$A:$S,5,FALSE),"")</f>
        <v>IL</v>
      </c>
      <c r="Q773" s="27" t="str">
        <f>IFERROR(VLOOKUP(B773,crm_orders!$A:$S,7,FALSE),"")</f>
        <v>Wholesale</v>
      </c>
      <c r="R773" s="27" t="str">
        <f>IFERROR(VLOOKUP(B773,crm_orders!$A:$S,8,FALSE),"")</f>
        <v>SKU0020</v>
      </c>
    </row>
    <row r="774" ht="15.75" customHeight="1">
      <c r="A774" s="17" t="s">
        <v>3801</v>
      </c>
      <c r="B774" s="17" t="s">
        <v>441</v>
      </c>
      <c r="C774" s="18">
        <v>46055.0</v>
      </c>
      <c r="D774" s="17" t="s">
        <v>2269</v>
      </c>
      <c r="E774" s="17" t="s">
        <v>2255</v>
      </c>
      <c r="F774" s="17" t="s">
        <v>3802</v>
      </c>
      <c r="G774" s="21">
        <v>48.0</v>
      </c>
      <c r="H774" s="21">
        <v>48.0</v>
      </c>
      <c r="I774" s="21">
        <v>0.0</v>
      </c>
      <c r="J774" s="17" t="s">
        <v>2246</v>
      </c>
      <c r="K774" s="17" t="s">
        <v>2247</v>
      </c>
      <c r="L774" s="17" t="s">
        <v>2246</v>
      </c>
      <c r="M774" s="17" t="s">
        <v>2248</v>
      </c>
      <c r="N774" s="21">
        <f>IFERROR((C774-VLOOKUP(B774,crm_orders!$A:$S,2,FALSE))*24,0)</f>
        <v>456</v>
      </c>
      <c r="O774" s="19" t="str">
        <f>IFERROR(VLOOKUP(B774,crm_orders!$A:$S,3,FALSE),"")</f>
        <v>DSP0069</v>
      </c>
      <c r="P774" s="19" t="str">
        <f>IFERROR(VLOOKUP(B774,crm_orders!$A:$S,5,FALSE),"")</f>
        <v>MO</v>
      </c>
      <c r="Q774" s="19" t="str">
        <f>IFERROR(VLOOKUP(B774,crm_orders!$A:$S,7,FALSE),"")</f>
        <v>Wholesale</v>
      </c>
      <c r="R774" s="19" t="str">
        <f>IFERROR(VLOOKUP(B774,crm_orders!$A:$S,8,FALSE),"")</f>
        <v>SKU0019</v>
      </c>
    </row>
    <row r="775" ht="15.75" customHeight="1">
      <c r="A775" s="25" t="s">
        <v>3803</v>
      </c>
      <c r="B775" s="25" t="s">
        <v>536</v>
      </c>
      <c r="C775" s="26">
        <v>46063.0</v>
      </c>
      <c r="D775" s="25" t="s">
        <v>2269</v>
      </c>
      <c r="E775" s="25" t="s">
        <v>2255</v>
      </c>
      <c r="F775" s="25" t="s">
        <v>3804</v>
      </c>
      <c r="G775" s="29">
        <v>120.0</v>
      </c>
      <c r="H775" s="29">
        <v>120.0</v>
      </c>
      <c r="I775" s="29">
        <v>0.0</v>
      </c>
      <c r="J775" s="25" t="s">
        <v>2246</v>
      </c>
      <c r="K775" s="25" t="s">
        <v>2247</v>
      </c>
      <c r="L775" s="25" t="s">
        <v>2246</v>
      </c>
      <c r="M775" s="25" t="s">
        <v>2248</v>
      </c>
      <c r="N775" s="29">
        <f>IFERROR((C775-VLOOKUP(B775,crm_orders!$A:$S,2,FALSE))*24,0)</f>
        <v>144</v>
      </c>
      <c r="O775" s="27" t="str">
        <f>IFERROR(VLOOKUP(B775,crm_orders!$A:$S,3,FALSE),"")</f>
        <v>DSP0029</v>
      </c>
      <c r="P775" s="27" t="str">
        <f>IFERROR(VLOOKUP(B775,crm_orders!$A:$S,5,FALSE),"")</f>
        <v>AZ</v>
      </c>
      <c r="Q775" s="27" t="str">
        <f>IFERROR(VLOOKUP(B775,crm_orders!$A:$S,7,FALSE),"")</f>
        <v>Wholesale</v>
      </c>
      <c r="R775" s="27" t="str">
        <f>IFERROR(VLOOKUP(B775,crm_orders!$A:$S,8,FALSE),"")</f>
        <v>SKU0011</v>
      </c>
    </row>
    <row r="776" ht="15.75" customHeight="1">
      <c r="A776" s="17" t="s">
        <v>3805</v>
      </c>
      <c r="B776" s="17" t="s">
        <v>694</v>
      </c>
      <c r="C776" s="18">
        <v>46045.0</v>
      </c>
      <c r="D776" s="17" t="s">
        <v>2254</v>
      </c>
      <c r="E776" s="17" t="s">
        <v>2286</v>
      </c>
      <c r="F776" s="17" t="s">
        <v>3806</v>
      </c>
      <c r="G776" s="21">
        <v>60.0</v>
      </c>
      <c r="H776" s="21">
        <v>42.0</v>
      </c>
      <c r="I776" s="21">
        <v>18.0</v>
      </c>
      <c r="J776" s="17" t="s">
        <v>2246</v>
      </c>
      <c r="K776" s="17" t="s">
        <v>2246</v>
      </c>
      <c r="L776" s="17" t="s">
        <v>2246</v>
      </c>
      <c r="M776" s="17" t="s">
        <v>2267</v>
      </c>
      <c r="N776" s="21">
        <f>IFERROR((C776-VLOOKUP(B776,crm_orders!$A:$S,2,FALSE))*24,0)</f>
        <v>264</v>
      </c>
      <c r="O776" s="19" t="str">
        <f>IFERROR(VLOOKUP(B776,crm_orders!$A:$S,3,FALSE),"")</f>
        <v>DSP0019</v>
      </c>
      <c r="P776" s="19" t="str">
        <f>IFERROR(VLOOKUP(B776,crm_orders!$A:$S,5,FALSE),"")</f>
        <v>IL</v>
      </c>
      <c r="Q776" s="19" t="str">
        <f>IFERROR(VLOOKUP(B776,crm_orders!$A:$S,7,FALSE),"")</f>
        <v>Wholesale</v>
      </c>
      <c r="R776" s="19" t="str">
        <f>IFERROR(VLOOKUP(B776,crm_orders!$A:$S,8,FALSE),"")</f>
        <v>SKU0016</v>
      </c>
    </row>
    <row r="777" ht="15.75" customHeight="1">
      <c r="A777" s="25" t="s">
        <v>3807</v>
      </c>
      <c r="B777" s="25" t="s">
        <v>472</v>
      </c>
      <c r="C777" s="26">
        <v>46072.0</v>
      </c>
      <c r="D777" s="25" t="s">
        <v>2250</v>
      </c>
      <c r="E777" s="25" t="s">
        <v>2261</v>
      </c>
      <c r="F777" s="25" t="s">
        <v>3808</v>
      </c>
      <c r="G777" s="29">
        <v>48.0</v>
      </c>
      <c r="H777" s="29">
        <v>48.0</v>
      </c>
      <c r="I777" s="29">
        <v>0.0</v>
      </c>
      <c r="J777" s="25" t="s">
        <v>2246</v>
      </c>
      <c r="K777" s="25" t="s">
        <v>2247</v>
      </c>
      <c r="L777" s="25" t="s">
        <v>2246</v>
      </c>
      <c r="M777" s="25" t="s">
        <v>2248</v>
      </c>
      <c r="N777" s="29">
        <f>IFERROR((C777-VLOOKUP(B777,crm_orders!$A:$S,2,FALSE))*24,0)</f>
        <v>24</v>
      </c>
      <c r="O777" s="27" t="str">
        <f>IFERROR(VLOOKUP(B777,crm_orders!$A:$S,3,FALSE),"")</f>
        <v>DSP0058</v>
      </c>
      <c r="P777" s="27" t="str">
        <f>IFERROR(VLOOKUP(B777,crm_orders!$A:$S,5,FALSE),"")</f>
        <v>NM</v>
      </c>
      <c r="Q777" s="27" t="str">
        <f>IFERROR(VLOOKUP(B777,crm_orders!$A:$S,7,FALSE),"")</f>
        <v>Wholesale</v>
      </c>
      <c r="R777" s="27" t="str">
        <f>IFERROR(VLOOKUP(B777,crm_orders!$A:$S,8,FALSE),"")</f>
        <v>SKU0013</v>
      </c>
    </row>
    <row r="778" ht="15.75" customHeight="1">
      <c r="A778" s="17" t="s">
        <v>3809</v>
      </c>
      <c r="B778" s="17" t="s">
        <v>537</v>
      </c>
      <c r="C778" s="18">
        <v>46057.0</v>
      </c>
      <c r="D778" s="17" t="s">
        <v>2243</v>
      </c>
      <c r="E778" s="17" t="s">
        <v>2286</v>
      </c>
      <c r="F778" s="17" t="s">
        <v>3810</v>
      </c>
      <c r="G778" s="21">
        <v>30.0</v>
      </c>
      <c r="H778" s="21">
        <v>12.0</v>
      </c>
      <c r="I778" s="21">
        <v>18.0</v>
      </c>
      <c r="J778" s="17" t="s">
        <v>2246</v>
      </c>
      <c r="K778" s="17" t="s">
        <v>2246</v>
      </c>
      <c r="L778" s="17" t="s">
        <v>2246</v>
      </c>
      <c r="M778" s="17" t="s">
        <v>2267</v>
      </c>
      <c r="N778" s="21">
        <f>IFERROR((C778-VLOOKUP(B778,crm_orders!$A:$S,2,FALSE))*24,0)</f>
        <v>72</v>
      </c>
      <c r="O778" s="19" t="str">
        <f>IFERROR(VLOOKUP(B778,crm_orders!$A:$S,3,FALSE),"")</f>
        <v>DSP0006</v>
      </c>
      <c r="P778" s="19" t="str">
        <f>IFERROR(VLOOKUP(B778,crm_orders!$A:$S,5,FALSE),"")</f>
        <v>NV</v>
      </c>
      <c r="Q778" s="19" t="str">
        <f>IFERROR(VLOOKUP(B778,crm_orders!$A:$S,7,FALSE),"")</f>
        <v>Wholesale</v>
      </c>
      <c r="R778" s="19" t="str">
        <f>IFERROR(VLOOKUP(B778,crm_orders!$A:$S,8,FALSE),"")</f>
        <v>SKU0005</v>
      </c>
    </row>
    <row r="779" ht="15.75" customHeight="1">
      <c r="A779" s="25" t="s">
        <v>3811</v>
      </c>
      <c r="B779" s="25" t="s">
        <v>948</v>
      </c>
      <c r="C779" s="26">
        <v>46144.0</v>
      </c>
      <c r="D779" s="25" t="s">
        <v>2260</v>
      </c>
      <c r="E779" s="25" t="s">
        <v>2255</v>
      </c>
      <c r="F779" s="25" t="s">
        <v>3812</v>
      </c>
      <c r="G779" s="29">
        <v>24.0</v>
      </c>
      <c r="H779" s="29">
        <v>24.0</v>
      </c>
      <c r="I779" s="29">
        <v>0.0</v>
      </c>
      <c r="J779" s="25" t="s">
        <v>2246</v>
      </c>
      <c r="K779" s="25" t="s">
        <v>2247</v>
      </c>
      <c r="L779" s="25" t="s">
        <v>2246</v>
      </c>
      <c r="M779" s="25" t="s">
        <v>2248</v>
      </c>
      <c r="N779" s="29">
        <f>IFERROR((C779-VLOOKUP(B779,crm_orders!$A:$S,2,FALSE))*24,0)</f>
        <v>288</v>
      </c>
      <c r="O779" s="27" t="str">
        <f>IFERROR(VLOOKUP(B779,crm_orders!$A:$S,3,FALSE),"")</f>
        <v>DSP0095</v>
      </c>
      <c r="P779" s="27" t="str">
        <f>IFERROR(VLOOKUP(B779,crm_orders!$A:$S,5,FALSE),"")</f>
        <v>NY</v>
      </c>
      <c r="Q779" s="27" t="str">
        <f>IFERROR(VLOOKUP(B779,crm_orders!$A:$S,7,FALSE),"")</f>
        <v>Distributor</v>
      </c>
      <c r="R779" s="27" t="str">
        <f>IFERROR(VLOOKUP(B779,crm_orders!$A:$S,8,FALSE),"")</f>
        <v>SKU0011</v>
      </c>
    </row>
    <row r="780" ht="15.75" customHeight="1">
      <c r="A780" s="17" t="s">
        <v>3813</v>
      </c>
      <c r="B780" s="17" t="s">
        <v>695</v>
      </c>
      <c r="C780" s="18">
        <v>46100.0</v>
      </c>
      <c r="D780" s="17" t="s">
        <v>2260</v>
      </c>
      <c r="E780" s="17" t="s">
        <v>2251</v>
      </c>
      <c r="F780" s="17" t="s">
        <v>3814</v>
      </c>
      <c r="G780" s="21">
        <v>120.0</v>
      </c>
      <c r="H780" s="21">
        <v>108.0</v>
      </c>
      <c r="I780" s="21">
        <v>12.0</v>
      </c>
      <c r="J780" s="17" t="s">
        <v>2247</v>
      </c>
      <c r="K780" s="17" t="s">
        <v>2246</v>
      </c>
      <c r="L780" s="17" t="s">
        <v>2246</v>
      </c>
      <c r="M780" s="17" t="s">
        <v>2267</v>
      </c>
      <c r="N780" s="21">
        <f>IFERROR((C780-VLOOKUP(B780,crm_orders!$A:$S,2,FALSE))*24,0)</f>
        <v>192</v>
      </c>
      <c r="O780" s="19" t="str">
        <f>IFERROR(VLOOKUP(B780,crm_orders!$A:$S,3,FALSE),"")</f>
        <v>DSP0032</v>
      </c>
      <c r="P780" s="19" t="str">
        <f>IFERROR(VLOOKUP(B780,crm_orders!$A:$S,5,FALSE),"")</f>
        <v>MI</v>
      </c>
      <c r="Q780" s="19" t="str">
        <f>IFERROR(VLOOKUP(B780,crm_orders!$A:$S,7,FALSE),"")</f>
        <v>Wholesale</v>
      </c>
      <c r="R780" s="19" t="str">
        <f>IFERROR(VLOOKUP(B780,crm_orders!$A:$S,8,FALSE),"")</f>
        <v>SKU0002</v>
      </c>
    </row>
    <row r="781" ht="15.75" customHeight="1">
      <c r="A781" s="25" t="s">
        <v>3815</v>
      </c>
      <c r="B781" s="25" t="s">
        <v>867</v>
      </c>
      <c r="C781" s="26">
        <v>46095.0</v>
      </c>
      <c r="D781" s="25" t="s">
        <v>2243</v>
      </c>
      <c r="E781" s="25" t="s">
        <v>2255</v>
      </c>
      <c r="F781" s="25" t="s">
        <v>3816</v>
      </c>
      <c r="G781" s="29">
        <v>24.0</v>
      </c>
      <c r="H781" s="29">
        <v>24.0</v>
      </c>
      <c r="I781" s="29">
        <v>0.0</v>
      </c>
      <c r="J781" s="25" t="s">
        <v>2247</v>
      </c>
      <c r="K781" s="25" t="s">
        <v>2247</v>
      </c>
      <c r="L781" s="25" t="s">
        <v>2247</v>
      </c>
      <c r="M781" s="25" t="s">
        <v>2248</v>
      </c>
      <c r="N781" s="29">
        <f>IFERROR((C781-VLOOKUP(B781,crm_orders!$A:$S,2,FALSE))*24,0)</f>
        <v>456</v>
      </c>
      <c r="O781" s="27" t="str">
        <f>IFERROR(VLOOKUP(B781,crm_orders!$A:$S,3,FALSE),"")</f>
        <v>DSP0120</v>
      </c>
      <c r="P781" s="27" t="str">
        <f>IFERROR(VLOOKUP(B781,crm_orders!$A:$S,5,FALSE),"")</f>
        <v>OK</v>
      </c>
      <c r="Q781" s="27" t="str">
        <f>IFERROR(VLOOKUP(B781,crm_orders!$A:$S,7,FALSE),"")</f>
        <v>Wholesale</v>
      </c>
      <c r="R781" s="27" t="str">
        <f>IFERROR(VLOOKUP(B781,crm_orders!$A:$S,8,FALSE),"")</f>
        <v>SKU0001</v>
      </c>
    </row>
    <row r="782" ht="15.75" customHeight="1">
      <c r="A782" s="17" t="s">
        <v>3817</v>
      </c>
      <c r="B782" s="17" t="s">
        <v>571</v>
      </c>
      <c r="C782" s="18">
        <v>46149.0</v>
      </c>
      <c r="D782" s="17" t="s">
        <v>2260</v>
      </c>
      <c r="E782" s="17" t="s">
        <v>2261</v>
      </c>
      <c r="F782" s="17" t="s">
        <v>3818</v>
      </c>
      <c r="G782" s="21">
        <v>18.0</v>
      </c>
      <c r="H782" s="21">
        <v>18.0</v>
      </c>
      <c r="I782" s="21">
        <v>0.0</v>
      </c>
      <c r="J782" s="17" t="s">
        <v>2246</v>
      </c>
      <c r="K782" s="17" t="s">
        <v>2247</v>
      </c>
      <c r="L782" s="17" t="s">
        <v>2246</v>
      </c>
      <c r="M782" s="17" t="s">
        <v>2248</v>
      </c>
      <c r="N782" s="21">
        <f>IFERROR((C782-VLOOKUP(B782,crm_orders!$A:$S,2,FALSE))*24,0)</f>
        <v>1200</v>
      </c>
      <c r="O782" s="19" t="str">
        <f>IFERROR(VLOOKUP(B782,crm_orders!$A:$S,3,FALSE),"")</f>
        <v>DSP0112</v>
      </c>
      <c r="P782" s="19" t="str">
        <f>IFERROR(VLOOKUP(B782,crm_orders!$A:$S,5,FALSE),"")</f>
        <v>CO</v>
      </c>
      <c r="Q782" s="19" t="str">
        <f>IFERROR(VLOOKUP(B782,crm_orders!$A:$S,7,FALSE),"")</f>
        <v>Distributor</v>
      </c>
      <c r="R782" s="19" t="str">
        <f>IFERROR(VLOOKUP(B782,crm_orders!$A:$S,8,FALSE),"")</f>
        <v>SKU0001</v>
      </c>
    </row>
    <row r="783" ht="15.75" customHeight="1">
      <c r="A783" s="25" t="s">
        <v>3819</v>
      </c>
      <c r="B783" s="25" t="s">
        <v>696</v>
      </c>
      <c r="C783" s="26">
        <v>46132.0</v>
      </c>
      <c r="D783" s="25" t="s">
        <v>2254</v>
      </c>
      <c r="E783" s="25" t="s">
        <v>2251</v>
      </c>
      <c r="F783" s="25" t="s">
        <v>3820</v>
      </c>
      <c r="G783" s="29">
        <v>12.0</v>
      </c>
      <c r="H783" s="29">
        <v>0.0</v>
      </c>
      <c r="I783" s="29">
        <v>12.0</v>
      </c>
      <c r="J783" s="25" t="s">
        <v>2247</v>
      </c>
      <c r="K783" s="25" t="s">
        <v>2246</v>
      </c>
      <c r="L783" s="25" t="s">
        <v>2246</v>
      </c>
      <c r="M783" s="25" t="s">
        <v>2267</v>
      </c>
      <c r="N783" s="29">
        <f>IFERROR((C783-VLOOKUP(B783,crm_orders!$A:$S,2,FALSE))*24,0)</f>
        <v>120</v>
      </c>
      <c r="O783" s="27" t="str">
        <f>IFERROR(VLOOKUP(B783,crm_orders!$A:$S,3,FALSE),"")</f>
        <v>DSP0039</v>
      </c>
      <c r="P783" s="27" t="str">
        <f>IFERROR(VLOOKUP(B783,crm_orders!$A:$S,5,FALSE),"")</f>
        <v>CA</v>
      </c>
      <c r="Q783" s="27" t="str">
        <f>IFERROR(VLOOKUP(B783,crm_orders!$A:$S,7,FALSE),"")</f>
        <v>Wholesale</v>
      </c>
      <c r="R783" s="27" t="str">
        <f>IFERROR(VLOOKUP(B783,crm_orders!$A:$S,8,FALSE),"")</f>
        <v>SKU0020</v>
      </c>
    </row>
    <row r="784" ht="15.75" customHeight="1">
      <c r="A784" s="17" t="s">
        <v>3821</v>
      </c>
      <c r="B784" s="17" t="s">
        <v>538</v>
      </c>
      <c r="C784" s="18">
        <v>46142.0</v>
      </c>
      <c r="D784" s="17" t="s">
        <v>2260</v>
      </c>
      <c r="E784" s="17" t="s">
        <v>2251</v>
      </c>
      <c r="F784" s="17" t="s">
        <v>3822</v>
      </c>
      <c r="G784" s="21">
        <v>18.0</v>
      </c>
      <c r="H784" s="21">
        <v>6.0</v>
      </c>
      <c r="I784" s="21">
        <v>12.0</v>
      </c>
      <c r="J784" s="17" t="s">
        <v>2246</v>
      </c>
      <c r="K784" s="17" t="s">
        <v>2246</v>
      </c>
      <c r="L784" s="17" t="s">
        <v>2246</v>
      </c>
      <c r="M784" s="17" t="s">
        <v>2267</v>
      </c>
      <c r="N784" s="21">
        <f>IFERROR((C784-VLOOKUP(B784,crm_orders!$A:$S,2,FALSE))*24,0)</f>
        <v>216</v>
      </c>
      <c r="O784" s="19" t="str">
        <f>IFERROR(VLOOKUP(B784,crm_orders!$A:$S,3,FALSE),"")</f>
        <v>DSP0010</v>
      </c>
      <c r="P784" s="19" t="str">
        <f>IFERROR(VLOOKUP(B784,crm_orders!$A:$S,5,FALSE),"")</f>
        <v>NM</v>
      </c>
      <c r="Q784" s="19" t="str">
        <f>IFERROR(VLOOKUP(B784,crm_orders!$A:$S,7,FALSE),"")</f>
        <v>Wholesale</v>
      </c>
      <c r="R784" s="19" t="str">
        <f>IFERROR(VLOOKUP(B784,crm_orders!$A:$S,8,FALSE),"")</f>
        <v>SKU0001</v>
      </c>
    </row>
    <row r="785" ht="15.75" customHeight="1">
      <c r="A785" s="25" t="s">
        <v>3823</v>
      </c>
      <c r="B785" s="25" t="s">
        <v>1201</v>
      </c>
      <c r="C785" s="26">
        <v>46045.0</v>
      </c>
      <c r="D785" s="25" t="s">
        <v>2250</v>
      </c>
      <c r="E785" s="25" t="s">
        <v>2244</v>
      </c>
      <c r="F785" s="25" t="s">
        <v>3824</v>
      </c>
      <c r="G785" s="29">
        <v>30.0</v>
      </c>
      <c r="H785" s="29">
        <v>30.0</v>
      </c>
      <c r="I785" s="29">
        <v>0.0</v>
      </c>
      <c r="J785" s="25" t="s">
        <v>2246</v>
      </c>
      <c r="K785" s="25" t="s">
        <v>2247</v>
      </c>
      <c r="L785" s="25" t="s">
        <v>2246</v>
      </c>
      <c r="M785" s="25" t="s">
        <v>2248</v>
      </c>
      <c r="N785" s="29">
        <f>IFERROR((C785-VLOOKUP(B785,crm_orders!$A:$S,2,FALSE))*24,0)</f>
        <v>192</v>
      </c>
      <c r="O785" s="27" t="str">
        <f>IFERROR(VLOOKUP(B785,crm_orders!$A:$S,3,FALSE),"")</f>
        <v>DSP0062</v>
      </c>
      <c r="P785" s="27" t="str">
        <f>IFERROR(VLOOKUP(B785,crm_orders!$A:$S,5,FALSE),"")</f>
        <v>WA</v>
      </c>
      <c r="Q785" s="27" t="str">
        <f>IFERROR(VLOOKUP(B785,crm_orders!$A:$S,7,FALSE),"")</f>
        <v>Wholesale</v>
      </c>
      <c r="R785" s="27" t="str">
        <f>IFERROR(VLOOKUP(B785,crm_orders!$A:$S,8,FALSE),"")</f>
        <v>SKU0003</v>
      </c>
    </row>
    <row r="786" ht="15.75" customHeight="1">
      <c r="A786" s="17" t="s">
        <v>3825</v>
      </c>
      <c r="B786" s="17" t="s">
        <v>1202</v>
      </c>
      <c r="C786" s="18">
        <v>46108.0</v>
      </c>
      <c r="D786" s="17" t="s">
        <v>2269</v>
      </c>
      <c r="E786" s="17" t="s">
        <v>2261</v>
      </c>
      <c r="F786" s="17" t="s">
        <v>3826</v>
      </c>
      <c r="G786" s="21">
        <v>36.0</v>
      </c>
      <c r="H786" s="21">
        <v>36.0</v>
      </c>
      <c r="I786" s="21">
        <v>0.0</v>
      </c>
      <c r="J786" s="17" t="s">
        <v>2246</v>
      </c>
      <c r="K786" s="17" t="s">
        <v>2247</v>
      </c>
      <c r="L786" s="17" t="s">
        <v>2246</v>
      </c>
      <c r="M786" s="17" t="s">
        <v>2248</v>
      </c>
      <c r="N786" s="21">
        <f>IFERROR((C786-VLOOKUP(B786,crm_orders!$A:$S,2,FALSE))*24,0)</f>
        <v>192</v>
      </c>
      <c r="O786" s="19" t="str">
        <f>IFERROR(VLOOKUP(B786,crm_orders!$A:$S,3,FALSE),"")</f>
        <v>DSP0062</v>
      </c>
      <c r="P786" s="19" t="str">
        <f>IFERROR(VLOOKUP(B786,crm_orders!$A:$S,5,FALSE),"")</f>
        <v>WA</v>
      </c>
      <c r="Q786" s="19" t="str">
        <f>IFERROR(VLOOKUP(B786,crm_orders!$A:$S,7,FALSE),"")</f>
        <v>Distributor</v>
      </c>
      <c r="R786" s="19" t="str">
        <f>IFERROR(VLOOKUP(B786,crm_orders!$A:$S,8,FALSE),"")</f>
        <v>SKU0014</v>
      </c>
    </row>
    <row r="787" ht="15.75" customHeight="1">
      <c r="A787" s="25" t="s">
        <v>3827</v>
      </c>
      <c r="B787" s="25" t="s">
        <v>442</v>
      </c>
      <c r="C787" s="26">
        <v>46103.0</v>
      </c>
      <c r="D787" s="25" t="s">
        <v>2260</v>
      </c>
      <c r="E787" s="25" t="s">
        <v>2286</v>
      </c>
      <c r="F787" s="25" t="s">
        <v>3828</v>
      </c>
      <c r="G787" s="29">
        <v>24.0</v>
      </c>
      <c r="H787" s="29">
        <v>24.0</v>
      </c>
      <c r="I787" s="29">
        <v>0.0</v>
      </c>
      <c r="J787" s="25" t="s">
        <v>2246</v>
      </c>
      <c r="K787" s="25" t="s">
        <v>2247</v>
      </c>
      <c r="L787" s="25" t="s">
        <v>2246</v>
      </c>
      <c r="M787" s="25" t="s">
        <v>2248</v>
      </c>
      <c r="N787" s="29">
        <f>IFERROR((C787-VLOOKUP(B787,crm_orders!$A:$S,2,FALSE))*24,0)</f>
        <v>288</v>
      </c>
      <c r="O787" s="27" t="str">
        <f>IFERROR(VLOOKUP(B787,crm_orders!$A:$S,3,FALSE),"")</f>
        <v>DSP0069</v>
      </c>
      <c r="P787" s="27" t="str">
        <f>IFERROR(VLOOKUP(B787,crm_orders!$A:$S,5,FALSE),"")</f>
        <v>MO</v>
      </c>
      <c r="Q787" s="27" t="str">
        <f>IFERROR(VLOOKUP(B787,crm_orders!$A:$S,7,FALSE),"")</f>
        <v>Wholesale</v>
      </c>
      <c r="R787" s="27" t="str">
        <f>IFERROR(VLOOKUP(B787,crm_orders!$A:$S,8,FALSE),"")</f>
        <v>SKU0016</v>
      </c>
    </row>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787"/>
  <conditionalFormatting sqref="L2:L787">
    <cfRule type="expression" dxfId="1" priority="1">
      <formula>L2="No"</formula>
    </cfRule>
  </conditionalFormatting>
  <conditionalFormatting sqref="I2:I787">
    <cfRule type="cellIs" dxfId="2" priority="2" operator="greaterThan">
      <formula>0</formula>
    </cfRule>
  </conditionalFormatting>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1.0"/>
    <col customWidth="1" min="3" max="3" width="13.0"/>
    <col customWidth="1" min="4" max="5" width="21.0"/>
    <col customWidth="1" min="6" max="6" width="16.0"/>
    <col customWidth="1" min="7" max="7" width="21.0"/>
    <col customWidth="1" min="8" max="8" width="16.0"/>
    <col customWidth="1" min="9" max="9" width="21.0"/>
    <col customWidth="1" min="10" max="10" width="22.0"/>
    <col customWidth="1" min="11" max="13" width="34.0"/>
    <col customWidth="1" min="14" max="26" width="8.71"/>
  </cols>
  <sheetData>
    <row r="1">
      <c r="A1" s="52" t="s">
        <v>1203</v>
      </c>
      <c r="B1" s="52" t="s">
        <v>43</v>
      </c>
      <c r="C1" s="52" t="s">
        <v>45</v>
      </c>
      <c r="D1" s="52" t="s">
        <v>1204</v>
      </c>
      <c r="E1" s="52" t="s">
        <v>3829</v>
      </c>
      <c r="F1" s="52" t="s">
        <v>1206</v>
      </c>
      <c r="G1" s="52" t="s">
        <v>3830</v>
      </c>
      <c r="H1" s="52" t="s">
        <v>3831</v>
      </c>
      <c r="I1" s="52" t="s">
        <v>3832</v>
      </c>
      <c r="J1" s="52" t="s">
        <v>3833</v>
      </c>
      <c r="K1" s="52" t="s">
        <v>3834</v>
      </c>
      <c r="L1" s="52" t="s">
        <v>3835</v>
      </c>
      <c r="M1" s="52" t="s">
        <v>3836</v>
      </c>
    </row>
    <row r="2">
      <c r="A2" s="53" t="s">
        <v>1211</v>
      </c>
      <c r="B2" s="53" t="s">
        <v>163</v>
      </c>
      <c r="C2" s="53" t="s">
        <v>164</v>
      </c>
      <c r="D2" s="54">
        <v>46065.0</v>
      </c>
      <c r="E2" s="54">
        <v>46095.0</v>
      </c>
      <c r="F2" s="55">
        <v>522.72</v>
      </c>
      <c r="G2" s="54">
        <v>46135.0</v>
      </c>
      <c r="H2" s="55">
        <v>522.72</v>
      </c>
      <c r="I2" s="55">
        <f t="shared" ref="I2:I935" si="1">F2-H2</f>
        <v>0</v>
      </c>
      <c r="J2" s="56">
        <f t="shared" ref="J2:J935" si="2">MAX(0,TODAY()-E2)</f>
        <v>63</v>
      </c>
      <c r="K2" s="53" t="str">
        <f t="shared" ref="K2:K935" si="3">IF(I2=0,"Paid",IF(J2&lt;=30,"0-30",IF(J2&lt;=60,"31-60",IF(J2&lt;=90,"61-90","90+"))))</f>
        <v>Paid</v>
      </c>
      <c r="L2" s="53" t="str">
        <f t="shared" ref="L2:L935" si="4">IF(I2=0,"Closed",IF(J2&gt;90,"Escalate",IF(J2&gt;60,"Collections Review",IF(J2&gt;30,"Reminder Sent","Current"))))</f>
        <v>Closed</v>
      </c>
      <c r="M2" s="55" t="str">
        <f t="shared" ref="M2:M935" si="5">IF(OR(K2="61-90",K2="90+"),"Yes","No")</f>
        <v>No</v>
      </c>
    </row>
    <row r="3">
      <c r="A3" s="25" t="s">
        <v>1213</v>
      </c>
      <c r="B3" s="25" t="s">
        <v>1121</v>
      </c>
      <c r="C3" s="25" t="s">
        <v>1122</v>
      </c>
      <c r="D3" s="26">
        <v>46083.0</v>
      </c>
      <c r="E3" s="26">
        <v>46113.0</v>
      </c>
      <c r="F3" s="30">
        <v>236.4</v>
      </c>
      <c r="G3" s="26"/>
      <c r="H3" s="30">
        <v>0.0</v>
      </c>
      <c r="I3" s="30">
        <f t="shared" si="1"/>
        <v>236.4</v>
      </c>
      <c r="J3" s="29">
        <f t="shared" si="2"/>
        <v>45</v>
      </c>
      <c r="K3" s="25" t="str">
        <f t="shared" si="3"/>
        <v>31-60</v>
      </c>
      <c r="L3" s="25" t="str">
        <f t="shared" si="4"/>
        <v>Reminder Sent</v>
      </c>
      <c r="M3" s="30" t="str">
        <f t="shared" si="5"/>
        <v>No</v>
      </c>
    </row>
    <row r="4">
      <c r="A4" s="53" t="s">
        <v>1215</v>
      </c>
      <c r="B4" s="53" t="s">
        <v>443</v>
      </c>
      <c r="C4" s="53" t="s">
        <v>444</v>
      </c>
      <c r="D4" s="54">
        <v>46128.0</v>
      </c>
      <c r="E4" s="54">
        <v>46143.0</v>
      </c>
      <c r="F4" s="55">
        <v>312.6</v>
      </c>
      <c r="G4" s="54">
        <v>46160.0</v>
      </c>
      <c r="H4" s="55">
        <v>312.6</v>
      </c>
      <c r="I4" s="55">
        <f t="shared" si="1"/>
        <v>0</v>
      </c>
      <c r="J4" s="56">
        <f t="shared" si="2"/>
        <v>15</v>
      </c>
      <c r="K4" s="53" t="str">
        <f t="shared" si="3"/>
        <v>Paid</v>
      </c>
      <c r="L4" s="53" t="str">
        <f t="shared" si="4"/>
        <v>Closed</v>
      </c>
      <c r="M4" s="55" t="str">
        <f t="shared" si="5"/>
        <v>No</v>
      </c>
    </row>
    <row r="5">
      <c r="A5" s="25" t="s">
        <v>1216</v>
      </c>
      <c r="B5" s="25" t="s">
        <v>697</v>
      </c>
      <c r="C5" s="25" t="s">
        <v>698</v>
      </c>
      <c r="D5" s="26">
        <v>46122.0</v>
      </c>
      <c r="E5" s="26">
        <v>46152.0</v>
      </c>
      <c r="F5" s="30">
        <v>224.64</v>
      </c>
      <c r="G5" s="26"/>
      <c r="H5" s="30">
        <v>0.0</v>
      </c>
      <c r="I5" s="30">
        <f t="shared" si="1"/>
        <v>224.64</v>
      </c>
      <c r="J5" s="29">
        <f t="shared" si="2"/>
        <v>6</v>
      </c>
      <c r="K5" s="25" t="str">
        <f t="shared" si="3"/>
        <v>0-30</v>
      </c>
      <c r="L5" s="25" t="str">
        <f t="shared" si="4"/>
        <v>Current</v>
      </c>
      <c r="M5" s="30" t="str">
        <f t="shared" si="5"/>
        <v>No</v>
      </c>
    </row>
    <row r="6">
      <c r="A6" s="53" t="s">
        <v>1217</v>
      </c>
      <c r="B6" s="53" t="s">
        <v>949</v>
      </c>
      <c r="C6" s="53" t="s">
        <v>950</v>
      </c>
      <c r="D6" s="54">
        <v>46113.0</v>
      </c>
      <c r="E6" s="54">
        <v>46143.0</v>
      </c>
      <c r="F6" s="55">
        <v>49.8</v>
      </c>
      <c r="G6" s="54">
        <v>46155.0</v>
      </c>
      <c r="H6" s="55">
        <v>49.8</v>
      </c>
      <c r="I6" s="55">
        <f t="shared" si="1"/>
        <v>0</v>
      </c>
      <c r="J6" s="56">
        <f t="shared" si="2"/>
        <v>15</v>
      </c>
      <c r="K6" s="53" t="str">
        <f t="shared" si="3"/>
        <v>Paid</v>
      </c>
      <c r="L6" s="53" t="str">
        <f t="shared" si="4"/>
        <v>Closed</v>
      </c>
      <c r="M6" s="55" t="str">
        <f t="shared" si="5"/>
        <v>No</v>
      </c>
    </row>
    <row r="7">
      <c r="A7" s="25" t="s">
        <v>1218</v>
      </c>
      <c r="B7" s="25" t="s">
        <v>951</v>
      </c>
      <c r="C7" s="25" t="s">
        <v>950</v>
      </c>
      <c r="D7" s="26">
        <v>46103.0</v>
      </c>
      <c r="E7" s="26">
        <v>46133.0</v>
      </c>
      <c r="F7" s="30">
        <v>546.72</v>
      </c>
      <c r="G7" s="26"/>
      <c r="H7" s="30">
        <v>0.0</v>
      </c>
      <c r="I7" s="30">
        <f t="shared" si="1"/>
        <v>546.72</v>
      </c>
      <c r="J7" s="29">
        <f t="shared" si="2"/>
        <v>25</v>
      </c>
      <c r="K7" s="25" t="str">
        <f t="shared" si="3"/>
        <v>0-30</v>
      </c>
      <c r="L7" s="25" t="str">
        <f t="shared" si="4"/>
        <v>Current</v>
      </c>
      <c r="M7" s="30" t="str">
        <f t="shared" si="5"/>
        <v>No</v>
      </c>
    </row>
    <row r="8">
      <c r="A8" s="53" t="s">
        <v>1219</v>
      </c>
      <c r="B8" s="53" t="s">
        <v>165</v>
      </c>
      <c r="C8" s="53" t="s">
        <v>166</v>
      </c>
      <c r="D8" s="54">
        <v>46117.0</v>
      </c>
      <c r="E8" s="54">
        <v>46132.0</v>
      </c>
      <c r="F8" s="55">
        <v>206.64</v>
      </c>
      <c r="G8" s="54">
        <v>46147.0</v>
      </c>
      <c r="H8" s="55">
        <v>206.64</v>
      </c>
      <c r="I8" s="55">
        <f t="shared" si="1"/>
        <v>0</v>
      </c>
      <c r="J8" s="56">
        <f t="shared" si="2"/>
        <v>26</v>
      </c>
      <c r="K8" s="53" t="str">
        <f t="shared" si="3"/>
        <v>Paid</v>
      </c>
      <c r="L8" s="53" t="str">
        <f t="shared" si="4"/>
        <v>Closed</v>
      </c>
      <c r="M8" s="55" t="str">
        <f t="shared" si="5"/>
        <v>No</v>
      </c>
    </row>
    <row r="9">
      <c r="A9" s="25" t="s">
        <v>1220</v>
      </c>
      <c r="B9" s="25" t="s">
        <v>952</v>
      </c>
      <c r="C9" s="25" t="s">
        <v>953</v>
      </c>
      <c r="D9" s="26">
        <v>46036.0</v>
      </c>
      <c r="E9" s="26">
        <v>46066.0</v>
      </c>
      <c r="F9" s="30">
        <v>1301.52</v>
      </c>
      <c r="G9" s="26"/>
      <c r="H9" s="30">
        <v>0.0</v>
      </c>
      <c r="I9" s="30">
        <f t="shared" si="1"/>
        <v>1301.52</v>
      </c>
      <c r="J9" s="29">
        <f t="shared" si="2"/>
        <v>92</v>
      </c>
      <c r="K9" s="25" t="str">
        <f t="shared" si="3"/>
        <v>90+</v>
      </c>
      <c r="L9" s="25" t="str">
        <f t="shared" si="4"/>
        <v>Escalate</v>
      </c>
      <c r="M9" s="30" t="str">
        <f t="shared" si="5"/>
        <v>Yes</v>
      </c>
    </row>
    <row r="10">
      <c r="A10" s="53" t="s">
        <v>1221</v>
      </c>
      <c r="B10" s="53" t="s">
        <v>852</v>
      </c>
      <c r="C10" s="53" t="s">
        <v>853</v>
      </c>
      <c r="D10" s="54">
        <v>46132.0</v>
      </c>
      <c r="E10" s="54">
        <v>46147.0</v>
      </c>
      <c r="F10" s="55">
        <v>481.44</v>
      </c>
      <c r="G10" s="54">
        <v>46189.0</v>
      </c>
      <c r="H10" s="55">
        <v>481.44</v>
      </c>
      <c r="I10" s="55">
        <f t="shared" si="1"/>
        <v>0</v>
      </c>
      <c r="J10" s="56">
        <f t="shared" si="2"/>
        <v>11</v>
      </c>
      <c r="K10" s="53" t="str">
        <f t="shared" si="3"/>
        <v>Paid</v>
      </c>
      <c r="L10" s="53" t="str">
        <f t="shared" si="4"/>
        <v>Closed</v>
      </c>
      <c r="M10" s="55" t="str">
        <f t="shared" si="5"/>
        <v>No</v>
      </c>
    </row>
    <row r="11">
      <c r="A11" s="25" t="s">
        <v>1222</v>
      </c>
      <c r="B11" s="25" t="s">
        <v>1123</v>
      </c>
      <c r="C11" s="25" t="s">
        <v>1124</v>
      </c>
      <c r="D11" s="26">
        <v>46063.0</v>
      </c>
      <c r="E11" s="26">
        <v>46108.0</v>
      </c>
      <c r="F11" s="30">
        <v>1150.8</v>
      </c>
      <c r="G11" s="26"/>
      <c r="H11" s="30">
        <v>0.0</v>
      </c>
      <c r="I11" s="30">
        <f t="shared" si="1"/>
        <v>1150.8</v>
      </c>
      <c r="J11" s="29">
        <f t="shared" si="2"/>
        <v>50</v>
      </c>
      <c r="K11" s="25" t="str">
        <f t="shared" si="3"/>
        <v>31-60</v>
      </c>
      <c r="L11" s="25" t="str">
        <f t="shared" si="4"/>
        <v>Reminder Sent</v>
      </c>
      <c r="M11" s="30" t="str">
        <f t="shared" si="5"/>
        <v>No</v>
      </c>
    </row>
    <row r="12">
      <c r="A12" s="53" t="s">
        <v>1223</v>
      </c>
      <c r="B12" s="53" t="s">
        <v>699</v>
      </c>
      <c r="C12" s="53" t="s">
        <v>700</v>
      </c>
      <c r="D12" s="54">
        <v>46045.0</v>
      </c>
      <c r="E12" s="54">
        <v>46075.0</v>
      </c>
      <c r="F12" s="55">
        <v>129.06</v>
      </c>
      <c r="G12" s="54"/>
      <c r="H12" s="55">
        <v>0.0</v>
      </c>
      <c r="I12" s="55">
        <f t="shared" si="1"/>
        <v>129.06</v>
      </c>
      <c r="J12" s="56">
        <f t="shared" si="2"/>
        <v>83</v>
      </c>
      <c r="K12" s="53" t="str">
        <f t="shared" si="3"/>
        <v>61-90</v>
      </c>
      <c r="L12" s="53" t="str">
        <f t="shared" si="4"/>
        <v>Collections Review</v>
      </c>
      <c r="M12" s="55" t="str">
        <f t="shared" si="5"/>
        <v>Yes</v>
      </c>
    </row>
    <row r="13">
      <c r="A13" s="25" t="s">
        <v>1224</v>
      </c>
      <c r="B13" s="25" t="s">
        <v>290</v>
      </c>
      <c r="C13" s="25" t="s">
        <v>291</v>
      </c>
      <c r="D13" s="26">
        <v>46107.0</v>
      </c>
      <c r="E13" s="26">
        <v>46137.0</v>
      </c>
      <c r="F13" s="30">
        <v>1128.0</v>
      </c>
      <c r="G13" s="26">
        <v>46150.0</v>
      </c>
      <c r="H13" s="30">
        <v>1128.0</v>
      </c>
      <c r="I13" s="30">
        <f t="shared" si="1"/>
        <v>0</v>
      </c>
      <c r="J13" s="29">
        <f t="shared" si="2"/>
        <v>21</v>
      </c>
      <c r="K13" s="25" t="str">
        <f t="shared" si="3"/>
        <v>Paid</v>
      </c>
      <c r="L13" s="25" t="str">
        <f t="shared" si="4"/>
        <v>Closed</v>
      </c>
      <c r="M13" s="30" t="str">
        <f t="shared" si="5"/>
        <v>No</v>
      </c>
    </row>
    <row r="14">
      <c r="A14" s="53" t="s">
        <v>1225</v>
      </c>
      <c r="B14" s="53" t="s">
        <v>539</v>
      </c>
      <c r="C14" s="53" t="s">
        <v>540</v>
      </c>
      <c r="D14" s="54">
        <v>46110.0</v>
      </c>
      <c r="E14" s="54">
        <v>46140.0</v>
      </c>
      <c r="F14" s="55">
        <v>1428.0</v>
      </c>
      <c r="G14" s="54">
        <v>46173.0</v>
      </c>
      <c r="H14" s="55">
        <v>1120.4</v>
      </c>
      <c r="I14" s="55">
        <f t="shared" si="1"/>
        <v>307.6</v>
      </c>
      <c r="J14" s="56">
        <f t="shared" si="2"/>
        <v>18</v>
      </c>
      <c r="K14" s="53" t="str">
        <f t="shared" si="3"/>
        <v>0-30</v>
      </c>
      <c r="L14" s="53" t="str">
        <f t="shared" si="4"/>
        <v>Current</v>
      </c>
      <c r="M14" s="55" t="str">
        <f t="shared" si="5"/>
        <v>No</v>
      </c>
    </row>
    <row r="15">
      <c r="A15" s="25" t="s">
        <v>1226</v>
      </c>
      <c r="B15" s="25" t="s">
        <v>167</v>
      </c>
      <c r="C15" s="25" t="s">
        <v>168</v>
      </c>
      <c r="D15" s="26">
        <v>46039.0</v>
      </c>
      <c r="E15" s="26">
        <v>46084.0</v>
      </c>
      <c r="F15" s="30">
        <v>345.0</v>
      </c>
      <c r="G15" s="26">
        <v>46086.0</v>
      </c>
      <c r="H15" s="30">
        <v>345.0</v>
      </c>
      <c r="I15" s="30">
        <f t="shared" si="1"/>
        <v>0</v>
      </c>
      <c r="J15" s="29">
        <f t="shared" si="2"/>
        <v>74</v>
      </c>
      <c r="K15" s="25" t="str">
        <f t="shared" si="3"/>
        <v>Paid</v>
      </c>
      <c r="L15" s="25" t="str">
        <f t="shared" si="4"/>
        <v>Closed</v>
      </c>
      <c r="M15" s="30" t="str">
        <f t="shared" si="5"/>
        <v>No</v>
      </c>
    </row>
    <row r="16">
      <c r="A16" s="53" t="s">
        <v>1227</v>
      </c>
      <c r="B16" s="53" t="s">
        <v>169</v>
      </c>
      <c r="C16" s="53" t="s">
        <v>170</v>
      </c>
      <c r="D16" s="54">
        <v>46043.0</v>
      </c>
      <c r="E16" s="54">
        <v>46073.0</v>
      </c>
      <c r="F16" s="55">
        <v>778.32</v>
      </c>
      <c r="G16" s="54">
        <v>46067.0</v>
      </c>
      <c r="H16" s="55">
        <v>778.32</v>
      </c>
      <c r="I16" s="55">
        <f t="shared" si="1"/>
        <v>0</v>
      </c>
      <c r="J16" s="56">
        <f t="shared" si="2"/>
        <v>85</v>
      </c>
      <c r="K16" s="53" t="str">
        <f t="shared" si="3"/>
        <v>Paid</v>
      </c>
      <c r="L16" s="53" t="str">
        <f t="shared" si="4"/>
        <v>Closed</v>
      </c>
      <c r="M16" s="55" t="str">
        <f t="shared" si="5"/>
        <v>No</v>
      </c>
    </row>
    <row r="17">
      <c r="A17" s="25" t="s">
        <v>1228</v>
      </c>
      <c r="B17" s="25" t="s">
        <v>701</v>
      </c>
      <c r="C17" s="25" t="s">
        <v>702</v>
      </c>
      <c r="D17" s="26">
        <v>46125.0</v>
      </c>
      <c r="E17" s="26">
        <v>46140.0</v>
      </c>
      <c r="F17" s="30">
        <v>204.3</v>
      </c>
      <c r="G17" s="26">
        <v>46184.0</v>
      </c>
      <c r="H17" s="30">
        <v>204.3</v>
      </c>
      <c r="I17" s="30">
        <f t="shared" si="1"/>
        <v>0</v>
      </c>
      <c r="J17" s="29">
        <f t="shared" si="2"/>
        <v>18</v>
      </c>
      <c r="K17" s="25" t="str">
        <f t="shared" si="3"/>
        <v>Paid</v>
      </c>
      <c r="L17" s="25" t="str">
        <f t="shared" si="4"/>
        <v>Closed</v>
      </c>
      <c r="M17" s="30" t="str">
        <f t="shared" si="5"/>
        <v>No</v>
      </c>
    </row>
    <row r="18">
      <c r="A18" s="53" t="s">
        <v>1229</v>
      </c>
      <c r="B18" s="53" t="s">
        <v>703</v>
      </c>
      <c r="C18" s="53" t="s">
        <v>704</v>
      </c>
      <c r="D18" s="54">
        <v>46090.0</v>
      </c>
      <c r="E18" s="54">
        <v>46135.0</v>
      </c>
      <c r="F18" s="55">
        <v>383.52</v>
      </c>
      <c r="G18" s="54">
        <v>46172.0</v>
      </c>
      <c r="H18" s="55">
        <v>383.52</v>
      </c>
      <c r="I18" s="55">
        <f t="shared" si="1"/>
        <v>0</v>
      </c>
      <c r="J18" s="56">
        <f t="shared" si="2"/>
        <v>23</v>
      </c>
      <c r="K18" s="53" t="str">
        <f t="shared" si="3"/>
        <v>Paid</v>
      </c>
      <c r="L18" s="53" t="str">
        <f t="shared" si="4"/>
        <v>Closed</v>
      </c>
      <c r="M18" s="55" t="str">
        <f t="shared" si="5"/>
        <v>No</v>
      </c>
    </row>
    <row r="19">
      <c r="A19" s="25" t="s">
        <v>1230</v>
      </c>
      <c r="B19" s="25" t="s">
        <v>954</v>
      </c>
      <c r="C19" s="25" t="s">
        <v>955</v>
      </c>
      <c r="D19" s="26">
        <v>46067.0</v>
      </c>
      <c r="E19" s="26">
        <v>46097.0</v>
      </c>
      <c r="F19" s="30">
        <v>699.6</v>
      </c>
      <c r="G19" s="26">
        <v>46119.0</v>
      </c>
      <c r="H19" s="30">
        <v>699.6</v>
      </c>
      <c r="I19" s="30">
        <f t="shared" si="1"/>
        <v>0</v>
      </c>
      <c r="J19" s="29">
        <f t="shared" si="2"/>
        <v>61</v>
      </c>
      <c r="K19" s="25" t="str">
        <f t="shared" si="3"/>
        <v>Paid</v>
      </c>
      <c r="L19" s="25" t="str">
        <f t="shared" si="4"/>
        <v>Closed</v>
      </c>
      <c r="M19" s="30" t="str">
        <f t="shared" si="5"/>
        <v>No</v>
      </c>
    </row>
    <row r="20">
      <c r="A20" s="53" t="s">
        <v>1231</v>
      </c>
      <c r="B20" s="53" t="s">
        <v>445</v>
      </c>
      <c r="C20" s="53" t="s">
        <v>446</v>
      </c>
      <c r="D20" s="54">
        <v>46131.0</v>
      </c>
      <c r="E20" s="54">
        <v>46161.0</v>
      </c>
      <c r="F20" s="55">
        <v>299.49</v>
      </c>
      <c r="G20" s="54"/>
      <c r="H20" s="55">
        <v>0.0</v>
      </c>
      <c r="I20" s="55">
        <f t="shared" si="1"/>
        <v>299.49</v>
      </c>
      <c r="J20" s="56">
        <f t="shared" si="2"/>
        <v>0</v>
      </c>
      <c r="K20" s="53" t="str">
        <f t="shared" si="3"/>
        <v>0-30</v>
      </c>
      <c r="L20" s="53" t="str">
        <f t="shared" si="4"/>
        <v>Current</v>
      </c>
      <c r="M20" s="55" t="str">
        <f t="shared" si="5"/>
        <v>No</v>
      </c>
    </row>
    <row r="21" ht="15.75" customHeight="1">
      <c r="A21" s="25" t="s">
        <v>1232</v>
      </c>
      <c r="B21" s="25" t="s">
        <v>541</v>
      </c>
      <c r="C21" s="25" t="s">
        <v>542</v>
      </c>
      <c r="D21" s="26">
        <v>46055.0</v>
      </c>
      <c r="E21" s="26">
        <v>46070.0</v>
      </c>
      <c r="F21" s="30">
        <v>658.2</v>
      </c>
      <c r="G21" s="26">
        <v>46094.0</v>
      </c>
      <c r="H21" s="30">
        <v>658.2</v>
      </c>
      <c r="I21" s="30">
        <f t="shared" si="1"/>
        <v>0</v>
      </c>
      <c r="J21" s="29">
        <f t="shared" si="2"/>
        <v>88</v>
      </c>
      <c r="K21" s="25" t="str">
        <f t="shared" si="3"/>
        <v>Paid</v>
      </c>
      <c r="L21" s="25" t="str">
        <f t="shared" si="4"/>
        <v>Closed</v>
      </c>
      <c r="M21" s="30" t="str">
        <f t="shared" si="5"/>
        <v>No</v>
      </c>
    </row>
    <row r="22" ht="15.75" customHeight="1">
      <c r="A22" s="53" t="s">
        <v>1233</v>
      </c>
      <c r="B22" s="53" t="s">
        <v>292</v>
      </c>
      <c r="C22" s="53" t="s">
        <v>293</v>
      </c>
      <c r="D22" s="54">
        <v>46075.0</v>
      </c>
      <c r="E22" s="54">
        <v>46105.0</v>
      </c>
      <c r="F22" s="55">
        <v>247.92</v>
      </c>
      <c r="G22" s="54">
        <v>46097.0</v>
      </c>
      <c r="H22" s="55">
        <v>247.92</v>
      </c>
      <c r="I22" s="55">
        <f t="shared" si="1"/>
        <v>0</v>
      </c>
      <c r="J22" s="56">
        <f t="shared" si="2"/>
        <v>53</v>
      </c>
      <c r="K22" s="53" t="str">
        <f t="shared" si="3"/>
        <v>Paid</v>
      </c>
      <c r="L22" s="53" t="str">
        <f t="shared" si="4"/>
        <v>Closed</v>
      </c>
      <c r="M22" s="55" t="str">
        <f t="shared" si="5"/>
        <v>No</v>
      </c>
    </row>
    <row r="23" ht="15.75" customHeight="1">
      <c r="A23" s="25" t="s">
        <v>1234</v>
      </c>
      <c r="B23" s="25" t="s">
        <v>1074</v>
      </c>
      <c r="C23" s="25" t="s">
        <v>1075</v>
      </c>
      <c r="D23" s="26">
        <v>46055.0</v>
      </c>
      <c r="E23" s="26">
        <v>46100.0</v>
      </c>
      <c r="F23" s="30">
        <v>67.56</v>
      </c>
      <c r="G23" s="26">
        <v>46117.0</v>
      </c>
      <c r="H23" s="30">
        <v>67.56</v>
      </c>
      <c r="I23" s="30">
        <f t="shared" si="1"/>
        <v>0</v>
      </c>
      <c r="J23" s="29">
        <f t="shared" si="2"/>
        <v>58</v>
      </c>
      <c r="K23" s="25" t="str">
        <f t="shared" si="3"/>
        <v>Paid</v>
      </c>
      <c r="L23" s="25" t="str">
        <f t="shared" si="4"/>
        <v>Closed</v>
      </c>
      <c r="M23" s="30" t="str">
        <f t="shared" si="5"/>
        <v>No</v>
      </c>
    </row>
    <row r="24" ht="15.75" customHeight="1">
      <c r="A24" s="53" t="s">
        <v>1235</v>
      </c>
      <c r="B24" s="53" t="s">
        <v>447</v>
      </c>
      <c r="C24" s="53" t="s">
        <v>448</v>
      </c>
      <c r="D24" s="54">
        <v>46073.0</v>
      </c>
      <c r="E24" s="54">
        <v>46088.0</v>
      </c>
      <c r="F24" s="55">
        <v>239.04</v>
      </c>
      <c r="G24" s="54">
        <v>46099.0</v>
      </c>
      <c r="H24" s="55">
        <v>239.04</v>
      </c>
      <c r="I24" s="55">
        <f t="shared" si="1"/>
        <v>0</v>
      </c>
      <c r="J24" s="56">
        <f t="shared" si="2"/>
        <v>70</v>
      </c>
      <c r="K24" s="53" t="str">
        <f t="shared" si="3"/>
        <v>Paid</v>
      </c>
      <c r="L24" s="53" t="str">
        <f t="shared" si="4"/>
        <v>Closed</v>
      </c>
      <c r="M24" s="55" t="str">
        <f t="shared" si="5"/>
        <v>No</v>
      </c>
    </row>
    <row r="25" ht="15.75" customHeight="1">
      <c r="A25" s="25" t="s">
        <v>1236</v>
      </c>
      <c r="B25" s="25" t="s">
        <v>545</v>
      </c>
      <c r="C25" s="25" t="s">
        <v>544</v>
      </c>
      <c r="D25" s="26">
        <v>46124.0</v>
      </c>
      <c r="E25" s="26">
        <v>46154.0</v>
      </c>
      <c r="F25" s="30">
        <v>203.4</v>
      </c>
      <c r="G25" s="26">
        <v>46177.0</v>
      </c>
      <c r="H25" s="30">
        <v>203.4</v>
      </c>
      <c r="I25" s="30">
        <f t="shared" si="1"/>
        <v>0</v>
      </c>
      <c r="J25" s="29">
        <f t="shared" si="2"/>
        <v>4</v>
      </c>
      <c r="K25" s="25" t="str">
        <f t="shared" si="3"/>
        <v>Paid</v>
      </c>
      <c r="L25" s="25" t="str">
        <f t="shared" si="4"/>
        <v>Closed</v>
      </c>
      <c r="M25" s="30" t="str">
        <f t="shared" si="5"/>
        <v>No</v>
      </c>
    </row>
    <row r="26" ht="15.75" customHeight="1">
      <c r="A26" s="53" t="s">
        <v>1237</v>
      </c>
      <c r="B26" s="53" t="s">
        <v>449</v>
      </c>
      <c r="C26" s="53" t="s">
        <v>444</v>
      </c>
      <c r="D26" s="54">
        <v>46058.0</v>
      </c>
      <c r="E26" s="54">
        <v>46088.0</v>
      </c>
      <c r="F26" s="55">
        <v>59.88</v>
      </c>
      <c r="G26" s="54"/>
      <c r="H26" s="55">
        <v>0.0</v>
      </c>
      <c r="I26" s="55">
        <f t="shared" si="1"/>
        <v>59.88</v>
      </c>
      <c r="J26" s="56">
        <f t="shared" si="2"/>
        <v>70</v>
      </c>
      <c r="K26" s="53" t="str">
        <f t="shared" si="3"/>
        <v>61-90</v>
      </c>
      <c r="L26" s="53" t="str">
        <f t="shared" si="4"/>
        <v>Collections Review</v>
      </c>
      <c r="M26" s="55" t="str">
        <f t="shared" si="5"/>
        <v>Yes</v>
      </c>
    </row>
    <row r="27" ht="15.75" customHeight="1">
      <c r="A27" s="25" t="s">
        <v>1238</v>
      </c>
      <c r="B27" s="25" t="s">
        <v>69</v>
      </c>
      <c r="C27" s="25" t="s">
        <v>70</v>
      </c>
      <c r="D27" s="26">
        <v>46132.0</v>
      </c>
      <c r="E27" s="26">
        <v>46147.0</v>
      </c>
      <c r="F27" s="30">
        <v>702.72</v>
      </c>
      <c r="G27" s="26"/>
      <c r="H27" s="30">
        <v>0.0</v>
      </c>
      <c r="I27" s="30">
        <f t="shared" si="1"/>
        <v>702.72</v>
      </c>
      <c r="J27" s="29">
        <f t="shared" si="2"/>
        <v>11</v>
      </c>
      <c r="K27" s="25" t="str">
        <f t="shared" si="3"/>
        <v>0-30</v>
      </c>
      <c r="L27" s="25" t="str">
        <f t="shared" si="4"/>
        <v>Current</v>
      </c>
      <c r="M27" s="30" t="str">
        <f t="shared" si="5"/>
        <v>No</v>
      </c>
    </row>
    <row r="28" ht="15.75" customHeight="1">
      <c r="A28" s="53" t="s">
        <v>1239</v>
      </c>
      <c r="B28" s="53" t="s">
        <v>172</v>
      </c>
      <c r="C28" s="53" t="s">
        <v>170</v>
      </c>
      <c r="D28" s="54">
        <v>46103.0</v>
      </c>
      <c r="E28" s="54">
        <v>46118.0</v>
      </c>
      <c r="F28" s="55">
        <v>902.7</v>
      </c>
      <c r="G28" s="54">
        <v>46135.0</v>
      </c>
      <c r="H28" s="55">
        <v>902.7</v>
      </c>
      <c r="I28" s="55">
        <f t="shared" si="1"/>
        <v>0</v>
      </c>
      <c r="J28" s="56">
        <f t="shared" si="2"/>
        <v>40</v>
      </c>
      <c r="K28" s="53" t="str">
        <f t="shared" si="3"/>
        <v>Paid</v>
      </c>
      <c r="L28" s="53" t="str">
        <f t="shared" si="4"/>
        <v>Closed</v>
      </c>
      <c r="M28" s="55" t="str">
        <f t="shared" si="5"/>
        <v>No</v>
      </c>
    </row>
    <row r="29" ht="15.75" customHeight="1">
      <c r="A29" s="25" t="s">
        <v>1240</v>
      </c>
      <c r="B29" s="25" t="s">
        <v>173</v>
      </c>
      <c r="C29" s="25" t="s">
        <v>174</v>
      </c>
      <c r="D29" s="26">
        <v>46064.0</v>
      </c>
      <c r="E29" s="26">
        <v>46094.0</v>
      </c>
      <c r="F29" s="30">
        <v>195.48</v>
      </c>
      <c r="G29" s="26">
        <v>46129.0</v>
      </c>
      <c r="H29" s="30">
        <v>195.48</v>
      </c>
      <c r="I29" s="30">
        <f t="shared" si="1"/>
        <v>0</v>
      </c>
      <c r="J29" s="29">
        <f t="shared" si="2"/>
        <v>64</v>
      </c>
      <c r="K29" s="25" t="str">
        <f t="shared" si="3"/>
        <v>Paid</v>
      </c>
      <c r="L29" s="25" t="str">
        <f t="shared" si="4"/>
        <v>Closed</v>
      </c>
      <c r="M29" s="30" t="str">
        <f t="shared" si="5"/>
        <v>No</v>
      </c>
    </row>
    <row r="30" ht="15.75" customHeight="1">
      <c r="A30" s="53" t="s">
        <v>1241</v>
      </c>
      <c r="B30" s="53" t="s">
        <v>705</v>
      </c>
      <c r="C30" s="53" t="s">
        <v>706</v>
      </c>
      <c r="D30" s="54">
        <v>46121.0</v>
      </c>
      <c r="E30" s="54">
        <v>46166.0</v>
      </c>
      <c r="F30" s="55">
        <v>603.6</v>
      </c>
      <c r="G30" s="54">
        <v>46196.0</v>
      </c>
      <c r="H30" s="55">
        <v>603.6</v>
      </c>
      <c r="I30" s="55">
        <f t="shared" si="1"/>
        <v>0</v>
      </c>
      <c r="J30" s="56">
        <f t="shared" si="2"/>
        <v>0</v>
      </c>
      <c r="K30" s="53" t="str">
        <f t="shared" si="3"/>
        <v>Paid</v>
      </c>
      <c r="L30" s="53" t="str">
        <f t="shared" si="4"/>
        <v>Closed</v>
      </c>
      <c r="M30" s="55" t="str">
        <f t="shared" si="5"/>
        <v>No</v>
      </c>
    </row>
    <row r="31" ht="15.75" customHeight="1">
      <c r="A31" s="25" t="s">
        <v>1242</v>
      </c>
      <c r="B31" s="25" t="s">
        <v>175</v>
      </c>
      <c r="C31" s="25" t="s">
        <v>170</v>
      </c>
      <c r="D31" s="26">
        <v>46100.0</v>
      </c>
      <c r="E31" s="26">
        <v>46115.0</v>
      </c>
      <c r="F31" s="30">
        <v>265.68</v>
      </c>
      <c r="G31" s="26">
        <v>46139.0</v>
      </c>
      <c r="H31" s="30">
        <v>265.68</v>
      </c>
      <c r="I31" s="30">
        <f t="shared" si="1"/>
        <v>0</v>
      </c>
      <c r="J31" s="29">
        <f t="shared" si="2"/>
        <v>43</v>
      </c>
      <c r="K31" s="25" t="str">
        <f t="shared" si="3"/>
        <v>Paid</v>
      </c>
      <c r="L31" s="25" t="str">
        <f t="shared" si="4"/>
        <v>Closed</v>
      </c>
      <c r="M31" s="30" t="str">
        <f t="shared" si="5"/>
        <v>No</v>
      </c>
    </row>
    <row r="32" ht="15.75" customHeight="1">
      <c r="A32" s="53" t="s">
        <v>1243</v>
      </c>
      <c r="B32" s="53" t="s">
        <v>294</v>
      </c>
      <c r="C32" s="53" t="s">
        <v>295</v>
      </c>
      <c r="D32" s="54">
        <v>46147.0</v>
      </c>
      <c r="E32" s="54">
        <v>46192.0</v>
      </c>
      <c r="F32" s="55">
        <v>45.96</v>
      </c>
      <c r="G32" s="54">
        <v>46208.0</v>
      </c>
      <c r="H32" s="55">
        <v>45.96</v>
      </c>
      <c r="I32" s="55">
        <f t="shared" si="1"/>
        <v>0</v>
      </c>
      <c r="J32" s="56">
        <f t="shared" si="2"/>
        <v>0</v>
      </c>
      <c r="K32" s="53" t="str">
        <f t="shared" si="3"/>
        <v>Paid</v>
      </c>
      <c r="L32" s="53" t="str">
        <f t="shared" si="4"/>
        <v>Closed</v>
      </c>
      <c r="M32" s="55" t="str">
        <f t="shared" si="5"/>
        <v>No</v>
      </c>
    </row>
    <row r="33" ht="15.75" customHeight="1">
      <c r="A33" s="25" t="s">
        <v>1244</v>
      </c>
      <c r="B33" s="25" t="s">
        <v>72</v>
      </c>
      <c r="C33" s="25" t="s">
        <v>73</v>
      </c>
      <c r="D33" s="26">
        <v>46036.0</v>
      </c>
      <c r="E33" s="26">
        <v>46051.0</v>
      </c>
      <c r="F33" s="30">
        <v>1002.24</v>
      </c>
      <c r="G33" s="26">
        <v>46071.0</v>
      </c>
      <c r="H33" s="30">
        <v>1002.24</v>
      </c>
      <c r="I33" s="30">
        <f t="shared" si="1"/>
        <v>0</v>
      </c>
      <c r="J33" s="29">
        <f t="shared" si="2"/>
        <v>107</v>
      </c>
      <c r="K33" s="25" t="str">
        <f t="shared" si="3"/>
        <v>Paid</v>
      </c>
      <c r="L33" s="25" t="str">
        <f t="shared" si="4"/>
        <v>Closed</v>
      </c>
      <c r="M33" s="30" t="str">
        <f t="shared" si="5"/>
        <v>No</v>
      </c>
    </row>
    <row r="34" ht="15.75" customHeight="1">
      <c r="A34" s="53" t="s">
        <v>1245</v>
      </c>
      <c r="B34" s="53" t="s">
        <v>1076</v>
      </c>
      <c r="C34" s="53" t="s">
        <v>1077</v>
      </c>
      <c r="D34" s="54">
        <v>46145.0</v>
      </c>
      <c r="E34" s="54">
        <v>46175.0</v>
      </c>
      <c r="F34" s="55">
        <v>323.1</v>
      </c>
      <c r="G34" s="54"/>
      <c r="H34" s="55">
        <v>0.0</v>
      </c>
      <c r="I34" s="55">
        <f t="shared" si="1"/>
        <v>323.1</v>
      </c>
      <c r="J34" s="56">
        <f t="shared" si="2"/>
        <v>0</v>
      </c>
      <c r="K34" s="53" t="str">
        <f t="shared" si="3"/>
        <v>0-30</v>
      </c>
      <c r="L34" s="53" t="str">
        <f t="shared" si="4"/>
        <v>Current</v>
      </c>
      <c r="M34" s="55" t="str">
        <f t="shared" si="5"/>
        <v>No</v>
      </c>
    </row>
    <row r="35" ht="15.75" customHeight="1">
      <c r="A35" s="25" t="s">
        <v>1246</v>
      </c>
      <c r="B35" s="25" t="s">
        <v>707</v>
      </c>
      <c r="C35" s="25" t="s">
        <v>708</v>
      </c>
      <c r="D35" s="26">
        <v>46033.0</v>
      </c>
      <c r="E35" s="26">
        <v>46063.0</v>
      </c>
      <c r="F35" s="30">
        <v>399.0</v>
      </c>
      <c r="G35" s="26"/>
      <c r="H35" s="30">
        <v>0.0</v>
      </c>
      <c r="I35" s="30">
        <f t="shared" si="1"/>
        <v>399</v>
      </c>
      <c r="J35" s="29">
        <f t="shared" si="2"/>
        <v>95</v>
      </c>
      <c r="K35" s="25" t="str">
        <f t="shared" si="3"/>
        <v>90+</v>
      </c>
      <c r="L35" s="25" t="str">
        <f t="shared" si="4"/>
        <v>Escalate</v>
      </c>
      <c r="M35" s="30" t="str">
        <f t="shared" si="5"/>
        <v>Yes</v>
      </c>
    </row>
    <row r="36" ht="15.75" customHeight="1">
      <c r="A36" s="53" t="s">
        <v>1247</v>
      </c>
      <c r="B36" s="53" t="s">
        <v>546</v>
      </c>
      <c r="C36" s="53" t="s">
        <v>547</v>
      </c>
      <c r="D36" s="54">
        <v>46088.0</v>
      </c>
      <c r="E36" s="54">
        <v>46118.0</v>
      </c>
      <c r="F36" s="55">
        <v>237.6</v>
      </c>
      <c r="G36" s="54"/>
      <c r="H36" s="55">
        <v>0.0</v>
      </c>
      <c r="I36" s="55">
        <f t="shared" si="1"/>
        <v>237.6</v>
      </c>
      <c r="J36" s="56">
        <f t="shared" si="2"/>
        <v>40</v>
      </c>
      <c r="K36" s="53" t="str">
        <f t="shared" si="3"/>
        <v>31-60</v>
      </c>
      <c r="L36" s="53" t="str">
        <f t="shared" si="4"/>
        <v>Reminder Sent</v>
      </c>
      <c r="M36" s="55" t="str">
        <f t="shared" si="5"/>
        <v>No</v>
      </c>
    </row>
    <row r="37" ht="15.75" customHeight="1">
      <c r="A37" s="25" t="s">
        <v>1248</v>
      </c>
      <c r="B37" s="25" t="s">
        <v>298</v>
      </c>
      <c r="C37" s="25" t="s">
        <v>299</v>
      </c>
      <c r="D37" s="26">
        <v>46098.0</v>
      </c>
      <c r="E37" s="26">
        <v>46113.0</v>
      </c>
      <c r="F37" s="30">
        <v>219.78</v>
      </c>
      <c r="G37" s="26"/>
      <c r="H37" s="30">
        <v>0.0</v>
      </c>
      <c r="I37" s="30">
        <f t="shared" si="1"/>
        <v>219.78</v>
      </c>
      <c r="J37" s="29">
        <f t="shared" si="2"/>
        <v>45</v>
      </c>
      <c r="K37" s="25" t="str">
        <f t="shared" si="3"/>
        <v>31-60</v>
      </c>
      <c r="L37" s="25" t="str">
        <f t="shared" si="4"/>
        <v>Reminder Sent</v>
      </c>
      <c r="M37" s="30" t="str">
        <f t="shared" si="5"/>
        <v>No</v>
      </c>
    </row>
    <row r="38" ht="15.75" customHeight="1">
      <c r="A38" s="53" t="s">
        <v>1249</v>
      </c>
      <c r="B38" s="53" t="s">
        <v>176</v>
      </c>
      <c r="C38" s="53" t="s">
        <v>177</v>
      </c>
      <c r="D38" s="54">
        <v>46123.0</v>
      </c>
      <c r="E38" s="54">
        <v>46153.0</v>
      </c>
      <c r="F38" s="55">
        <v>186.12</v>
      </c>
      <c r="G38" s="54">
        <v>46180.0</v>
      </c>
      <c r="H38" s="55">
        <v>186.12</v>
      </c>
      <c r="I38" s="55">
        <f t="shared" si="1"/>
        <v>0</v>
      </c>
      <c r="J38" s="56">
        <f t="shared" si="2"/>
        <v>5</v>
      </c>
      <c r="K38" s="53" t="str">
        <f t="shared" si="3"/>
        <v>Paid</v>
      </c>
      <c r="L38" s="53" t="str">
        <f t="shared" si="4"/>
        <v>Closed</v>
      </c>
      <c r="M38" s="55" t="str">
        <f t="shared" si="5"/>
        <v>No</v>
      </c>
    </row>
    <row r="39" ht="15.75" customHeight="1">
      <c r="A39" s="25" t="s">
        <v>1250</v>
      </c>
      <c r="B39" s="25" t="s">
        <v>76</v>
      </c>
      <c r="C39" s="25" t="s">
        <v>77</v>
      </c>
      <c r="D39" s="26">
        <v>46115.0</v>
      </c>
      <c r="E39" s="26">
        <v>46130.0</v>
      </c>
      <c r="F39" s="30">
        <v>193.5</v>
      </c>
      <c r="G39" s="26"/>
      <c r="H39" s="30">
        <v>0.0</v>
      </c>
      <c r="I39" s="30">
        <f t="shared" si="1"/>
        <v>193.5</v>
      </c>
      <c r="J39" s="29">
        <f t="shared" si="2"/>
        <v>28</v>
      </c>
      <c r="K39" s="25" t="str">
        <f t="shared" si="3"/>
        <v>0-30</v>
      </c>
      <c r="L39" s="25" t="str">
        <f t="shared" si="4"/>
        <v>Current</v>
      </c>
      <c r="M39" s="30" t="str">
        <f t="shared" si="5"/>
        <v>No</v>
      </c>
    </row>
    <row r="40" ht="15.75" customHeight="1">
      <c r="A40" s="53" t="s">
        <v>1251</v>
      </c>
      <c r="B40" s="53" t="s">
        <v>854</v>
      </c>
      <c r="C40" s="53" t="s">
        <v>855</v>
      </c>
      <c r="D40" s="54">
        <v>46087.0</v>
      </c>
      <c r="E40" s="54">
        <v>46132.0</v>
      </c>
      <c r="F40" s="55">
        <v>719.28</v>
      </c>
      <c r="G40" s="54">
        <v>46128.0</v>
      </c>
      <c r="H40" s="55">
        <v>719.28</v>
      </c>
      <c r="I40" s="55">
        <f t="shared" si="1"/>
        <v>0</v>
      </c>
      <c r="J40" s="56">
        <f t="shared" si="2"/>
        <v>26</v>
      </c>
      <c r="K40" s="53" t="str">
        <f t="shared" si="3"/>
        <v>Paid</v>
      </c>
      <c r="L40" s="53" t="str">
        <f t="shared" si="4"/>
        <v>Closed</v>
      </c>
      <c r="M40" s="55" t="str">
        <f t="shared" si="5"/>
        <v>No</v>
      </c>
    </row>
    <row r="41" ht="15.75" customHeight="1">
      <c r="A41" s="25" t="s">
        <v>1252</v>
      </c>
      <c r="B41" s="25" t="s">
        <v>956</v>
      </c>
      <c r="C41" s="25" t="s">
        <v>957</v>
      </c>
      <c r="D41" s="26">
        <v>46077.0</v>
      </c>
      <c r="E41" s="26">
        <v>46122.0</v>
      </c>
      <c r="F41" s="30">
        <v>676.5</v>
      </c>
      <c r="G41" s="26">
        <v>46144.0</v>
      </c>
      <c r="H41" s="30">
        <v>676.5</v>
      </c>
      <c r="I41" s="30">
        <f t="shared" si="1"/>
        <v>0</v>
      </c>
      <c r="J41" s="29">
        <f t="shared" si="2"/>
        <v>36</v>
      </c>
      <c r="K41" s="25" t="str">
        <f t="shared" si="3"/>
        <v>Paid</v>
      </c>
      <c r="L41" s="25" t="str">
        <f t="shared" si="4"/>
        <v>Closed</v>
      </c>
      <c r="M41" s="30" t="str">
        <f t="shared" si="5"/>
        <v>No</v>
      </c>
    </row>
    <row r="42" ht="15.75" customHeight="1">
      <c r="A42" s="53" t="s">
        <v>1253</v>
      </c>
      <c r="B42" s="53" t="s">
        <v>1127</v>
      </c>
      <c r="C42" s="53" t="s">
        <v>1122</v>
      </c>
      <c r="D42" s="54">
        <v>46081.0</v>
      </c>
      <c r="E42" s="54">
        <v>46111.0</v>
      </c>
      <c r="F42" s="55">
        <v>735.84</v>
      </c>
      <c r="G42" s="54">
        <v>46114.0</v>
      </c>
      <c r="H42" s="55">
        <v>735.84</v>
      </c>
      <c r="I42" s="55">
        <f t="shared" si="1"/>
        <v>0</v>
      </c>
      <c r="J42" s="56">
        <f t="shared" si="2"/>
        <v>47</v>
      </c>
      <c r="K42" s="53" t="str">
        <f t="shared" si="3"/>
        <v>Paid</v>
      </c>
      <c r="L42" s="53" t="str">
        <f t="shared" si="4"/>
        <v>Closed</v>
      </c>
      <c r="M42" s="55" t="str">
        <f t="shared" si="5"/>
        <v>No</v>
      </c>
    </row>
    <row r="43" ht="15.75" customHeight="1">
      <c r="A43" s="25" t="s">
        <v>1254</v>
      </c>
      <c r="B43" s="25" t="s">
        <v>548</v>
      </c>
      <c r="C43" s="25" t="s">
        <v>542</v>
      </c>
      <c r="D43" s="26">
        <v>46110.0</v>
      </c>
      <c r="E43" s="26">
        <v>46125.0</v>
      </c>
      <c r="F43" s="30">
        <v>244.32</v>
      </c>
      <c r="G43" s="26"/>
      <c r="H43" s="30">
        <v>0.0</v>
      </c>
      <c r="I43" s="30">
        <f t="shared" si="1"/>
        <v>244.32</v>
      </c>
      <c r="J43" s="29">
        <f t="shared" si="2"/>
        <v>33</v>
      </c>
      <c r="K43" s="25" t="str">
        <f t="shared" si="3"/>
        <v>31-60</v>
      </c>
      <c r="L43" s="25" t="str">
        <f t="shared" si="4"/>
        <v>Reminder Sent</v>
      </c>
      <c r="M43" s="30" t="str">
        <f t="shared" si="5"/>
        <v>No</v>
      </c>
    </row>
    <row r="44" ht="15.75" customHeight="1">
      <c r="A44" s="53" t="s">
        <v>1255</v>
      </c>
      <c r="B44" s="53" t="s">
        <v>958</v>
      </c>
      <c r="C44" s="53" t="s">
        <v>950</v>
      </c>
      <c r="D44" s="54">
        <v>46094.0</v>
      </c>
      <c r="E44" s="54">
        <v>46124.0</v>
      </c>
      <c r="F44" s="55">
        <v>56.88</v>
      </c>
      <c r="G44" s="54"/>
      <c r="H44" s="55">
        <v>0.0</v>
      </c>
      <c r="I44" s="55">
        <f t="shared" si="1"/>
        <v>56.88</v>
      </c>
      <c r="J44" s="56">
        <f t="shared" si="2"/>
        <v>34</v>
      </c>
      <c r="K44" s="53" t="str">
        <f t="shared" si="3"/>
        <v>31-60</v>
      </c>
      <c r="L44" s="53" t="str">
        <f t="shared" si="4"/>
        <v>Reminder Sent</v>
      </c>
      <c r="M44" s="55" t="str">
        <f t="shared" si="5"/>
        <v>No</v>
      </c>
    </row>
    <row r="45" ht="15.75" customHeight="1">
      <c r="A45" s="25" t="s">
        <v>1256</v>
      </c>
      <c r="B45" s="25" t="s">
        <v>300</v>
      </c>
      <c r="C45" s="25" t="s">
        <v>301</v>
      </c>
      <c r="D45" s="26">
        <v>46113.0</v>
      </c>
      <c r="E45" s="26">
        <v>46143.0</v>
      </c>
      <c r="F45" s="30">
        <v>138.12</v>
      </c>
      <c r="G45" s="26">
        <v>46139.0</v>
      </c>
      <c r="H45" s="30">
        <v>138.12</v>
      </c>
      <c r="I45" s="30">
        <f t="shared" si="1"/>
        <v>0</v>
      </c>
      <c r="J45" s="29">
        <f t="shared" si="2"/>
        <v>15</v>
      </c>
      <c r="K45" s="25" t="str">
        <f t="shared" si="3"/>
        <v>Paid</v>
      </c>
      <c r="L45" s="25" t="str">
        <f t="shared" si="4"/>
        <v>Closed</v>
      </c>
      <c r="M45" s="30" t="str">
        <f t="shared" si="5"/>
        <v>No</v>
      </c>
    </row>
    <row r="46" ht="15.75" customHeight="1">
      <c r="A46" s="53" t="s">
        <v>1257</v>
      </c>
      <c r="B46" s="53" t="s">
        <v>178</v>
      </c>
      <c r="C46" s="53" t="s">
        <v>179</v>
      </c>
      <c r="D46" s="54">
        <v>46144.0</v>
      </c>
      <c r="E46" s="54">
        <v>46174.0</v>
      </c>
      <c r="F46" s="55">
        <v>489.6</v>
      </c>
      <c r="G46" s="54">
        <v>46172.0</v>
      </c>
      <c r="H46" s="55">
        <v>489.6</v>
      </c>
      <c r="I46" s="55">
        <f t="shared" si="1"/>
        <v>0</v>
      </c>
      <c r="J46" s="56">
        <f t="shared" si="2"/>
        <v>0</v>
      </c>
      <c r="K46" s="53" t="str">
        <f t="shared" si="3"/>
        <v>Paid</v>
      </c>
      <c r="L46" s="53" t="str">
        <f t="shared" si="4"/>
        <v>Closed</v>
      </c>
      <c r="M46" s="55" t="str">
        <f t="shared" si="5"/>
        <v>No</v>
      </c>
    </row>
    <row r="47" ht="15.75" customHeight="1">
      <c r="A47" s="25" t="s">
        <v>1258</v>
      </c>
      <c r="B47" s="25" t="s">
        <v>302</v>
      </c>
      <c r="C47" s="25" t="s">
        <v>303</v>
      </c>
      <c r="D47" s="26">
        <v>46121.0</v>
      </c>
      <c r="E47" s="26">
        <v>46136.0</v>
      </c>
      <c r="F47" s="30">
        <v>1342.8</v>
      </c>
      <c r="G47" s="26">
        <v>46170.0</v>
      </c>
      <c r="H47" s="30">
        <v>1342.8</v>
      </c>
      <c r="I47" s="30">
        <f t="shared" si="1"/>
        <v>0</v>
      </c>
      <c r="J47" s="29">
        <f t="shared" si="2"/>
        <v>22</v>
      </c>
      <c r="K47" s="25" t="str">
        <f t="shared" si="3"/>
        <v>Paid</v>
      </c>
      <c r="L47" s="25" t="str">
        <f t="shared" si="4"/>
        <v>Closed</v>
      </c>
      <c r="M47" s="30" t="str">
        <f t="shared" si="5"/>
        <v>No</v>
      </c>
    </row>
    <row r="48" ht="15.75" customHeight="1">
      <c r="A48" s="53" t="s">
        <v>1259</v>
      </c>
      <c r="B48" s="53" t="s">
        <v>959</v>
      </c>
      <c r="C48" s="53" t="s">
        <v>957</v>
      </c>
      <c r="D48" s="54">
        <v>46070.0</v>
      </c>
      <c r="E48" s="54">
        <v>46100.0</v>
      </c>
      <c r="F48" s="55">
        <v>122.88</v>
      </c>
      <c r="G48" s="54">
        <v>46123.0</v>
      </c>
      <c r="H48" s="55">
        <v>122.88</v>
      </c>
      <c r="I48" s="55">
        <f t="shared" si="1"/>
        <v>0</v>
      </c>
      <c r="J48" s="56">
        <f t="shared" si="2"/>
        <v>58</v>
      </c>
      <c r="K48" s="53" t="str">
        <f t="shared" si="3"/>
        <v>Paid</v>
      </c>
      <c r="L48" s="53" t="str">
        <f t="shared" si="4"/>
        <v>Closed</v>
      </c>
      <c r="M48" s="55" t="str">
        <f t="shared" si="5"/>
        <v>No</v>
      </c>
    </row>
    <row r="49" ht="15.75" customHeight="1">
      <c r="A49" s="25" t="s">
        <v>1260</v>
      </c>
      <c r="B49" s="25" t="s">
        <v>1128</v>
      </c>
      <c r="C49" s="25" t="s">
        <v>1129</v>
      </c>
      <c r="D49" s="26">
        <v>46109.0</v>
      </c>
      <c r="E49" s="26">
        <v>46154.0</v>
      </c>
      <c r="F49" s="30">
        <v>551.66</v>
      </c>
      <c r="G49" s="26">
        <v>46173.0</v>
      </c>
      <c r="H49" s="30">
        <v>551.66</v>
      </c>
      <c r="I49" s="30">
        <f t="shared" si="1"/>
        <v>0</v>
      </c>
      <c r="J49" s="29">
        <f t="shared" si="2"/>
        <v>4</v>
      </c>
      <c r="K49" s="25" t="str">
        <f t="shared" si="3"/>
        <v>Paid</v>
      </c>
      <c r="L49" s="25" t="str">
        <f t="shared" si="4"/>
        <v>Closed</v>
      </c>
      <c r="M49" s="30" t="str">
        <f t="shared" si="5"/>
        <v>No</v>
      </c>
    </row>
    <row r="50" ht="15.75" customHeight="1">
      <c r="A50" s="53" t="s">
        <v>1261</v>
      </c>
      <c r="B50" s="53" t="s">
        <v>960</v>
      </c>
      <c r="C50" s="53" t="s">
        <v>961</v>
      </c>
      <c r="D50" s="54">
        <v>46113.0</v>
      </c>
      <c r="E50" s="54">
        <v>46143.0</v>
      </c>
      <c r="F50" s="55">
        <v>72.9</v>
      </c>
      <c r="G50" s="54"/>
      <c r="H50" s="55">
        <v>0.0</v>
      </c>
      <c r="I50" s="55">
        <f t="shared" si="1"/>
        <v>72.9</v>
      </c>
      <c r="J50" s="56">
        <f t="shared" si="2"/>
        <v>15</v>
      </c>
      <c r="K50" s="53" t="str">
        <f t="shared" si="3"/>
        <v>0-30</v>
      </c>
      <c r="L50" s="53" t="str">
        <f t="shared" si="4"/>
        <v>Current</v>
      </c>
      <c r="M50" s="55" t="str">
        <f t="shared" si="5"/>
        <v>No</v>
      </c>
    </row>
    <row r="51" ht="15.75" customHeight="1">
      <c r="A51" s="25" t="s">
        <v>1262</v>
      </c>
      <c r="B51" s="25" t="s">
        <v>962</v>
      </c>
      <c r="C51" s="25" t="s">
        <v>963</v>
      </c>
      <c r="D51" s="26">
        <v>46066.0</v>
      </c>
      <c r="E51" s="26">
        <v>46096.0</v>
      </c>
      <c r="F51" s="30">
        <v>1016.4</v>
      </c>
      <c r="G51" s="26"/>
      <c r="H51" s="30">
        <v>0.0</v>
      </c>
      <c r="I51" s="30">
        <f t="shared" si="1"/>
        <v>1016.4</v>
      </c>
      <c r="J51" s="29">
        <f t="shared" si="2"/>
        <v>62</v>
      </c>
      <c r="K51" s="25" t="str">
        <f t="shared" si="3"/>
        <v>61-90</v>
      </c>
      <c r="L51" s="25" t="str">
        <f t="shared" si="4"/>
        <v>Collections Review</v>
      </c>
      <c r="M51" s="30" t="str">
        <f t="shared" si="5"/>
        <v>Yes</v>
      </c>
    </row>
    <row r="52" ht="15.75" customHeight="1">
      <c r="A52" s="53" t="s">
        <v>1263</v>
      </c>
      <c r="B52" s="53" t="s">
        <v>1130</v>
      </c>
      <c r="C52" s="53" t="s">
        <v>1131</v>
      </c>
      <c r="D52" s="54">
        <v>46058.0</v>
      </c>
      <c r="E52" s="54">
        <v>46073.0</v>
      </c>
      <c r="F52" s="55">
        <v>523.2</v>
      </c>
      <c r="G52" s="54"/>
      <c r="H52" s="55">
        <v>0.0</v>
      </c>
      <c r="I52" s="55">
        <f t="shared" si="1"/>
        <v>523.2</v>
      </c>
      <c r="J52" s="56">
        <f t="shared" si="2"/>
        <v>85</v>
      </c>
      <c r="K52" s="53" t="str">
        <f t="shared" si="3"/>
        <v>61-90</v>
      </c>
      <c r="L52" s="53" t="str">
        <f t="shared" si="4"/>
        <v>Collections Review</v>
      </c>
      <c r="M52" s="55" t="str">
        <f t="shared" si="5"/>
        <v>Yes</v>
      </c>
    </row>
    <row r="53" ht="15.75" customHeight="1">
      <c r="A53" s="25" t="s">
        <v>1264</v>
      </c>
      <c r="B53" s="25" t="s">
        <v>858</v>
      </c>
      <c r="C53" s="25" t="s">
        <v>859</v>
      </c>
      <c r="D53" s="26">
        <v>46037.0</v>
      </c>
      <c r="E53" s="26">
        <v>46082.0</v>
      </c>
      <c r="F53" s="30">
        <v>1158.72</v>
      </c>
      <c r="G53" s="26">
        <v>46094.0</v>
      </c>
      <c r="H53" s="30">
        <v>462.08</v>
      </c>
      <c r="I53" s="30">
        <f t="shared" si="1"/>
        <v>696.64</v>
      </c>
      <c r="J53" s="29">
        <f t="shared" si="2"/>
        <v>76</v>
      </c>
      <c r="K53" s="25" t="str">
        <f t="shared" si="3"/>
        <v>61-90</v>
      </c>
      <c r="L53" s="25" t="str">
        <f t="shared" si="4"/>
        <v>Collections Review</v>
      </c>
      <c r="M53" s="30" t="str">
        <f t="shared" si="5"/>
        <v>Yes</v>
      </c>
    </row>
    <row r="54" ht="15.75" customHeight="1">
      <c r="A54" s="53" t="s">
        <v>1265</v>
      </c>
      <c r="B54" s="53" t="s">
        <v>860</v>
      </c>
      <c r="C54" s="53" t="s">
        <v>861</v>
      </c>
      <c r="D54" s="54">
        <v>46131.0</v>
      </c>
      <c r="E54" s="54">
        <v>46176.0</v>
      </c>
      <c r="F54" s="55">
        <v>269.76</v>
      </c>
      <c r="G54" s="54">
        <v>46191.0</v>
      </c>
      <c r="H54" s="55">
        <v>269.76</v>
      </c>
      <c r="I54" s="55">
        <f t="shared" si="1"/>
        <v>0</v>
      </c>
      <c r="J54" s="56">
        <f t="shared" si="2"/>
        <v>0</v>
      </c>
      <c r="K54" s="53" t="str">
        <f t="shared" si="3"/>
        <v>Paid</v>
      </c>
      <c r="L54" s="53" t="str">
        <f t="shared" si="4"/>
        <v>Closed</v>
      </c>
      <c r="M54" s="55" t="str">
        <f t="shared" si="5"/>
        <v>No</v>
      </c>
    </row>
    <row r="55" ht="15.75" customHeight="1">
      <c r="A55" s="25" t="s">
        <v>1266</v>
      </c>
      <c r="B55" s="25" t="s">
        <v>180</v>
      </c>
      <c r="C55" s="25" t="s">
        <v>181</v>
      </c>
      <c r="D55" s="26">
        <v>46115.0</v>
      </c>
      <c r="E55" s="26">
        <v>46145.0</v>
      </c>
      <c r="F55" s="30">
        <v>132.96</v>
      </c>
      <c r="G55" s="26">
        <v>46153.0</v>
      </c>
      <c r="H55" s="30">
        <v>132.96</v>
      </c>
      <c r="I55" s="30">
        <f t="shared" si="1"/>
        <v>0</v>
      </c>
      <c r="J55" s="29">
        <f t="shared" si="2"/>
        <v>13</v>
      </c>
      <c r="K55" s="25" t="str">
        <f t="shared" si="3"/>
        <v>Paid</v>
      </c>
      <c r="L55" s="25" t="str">
        <f t="shared" si="4"/>
        <v>Closed</v>
      </c>
      <c r="M55" s="30" t="str">
        <f t="shared" si="5"/>
        <v>No</v>
      </c>
    </row>
    <row r="56" ht="15.75" customHeight="1">
      <c r="A56" s="53" t="s">
        <v>1267</v>
      </c>
      <c r="B56" s="53" t="s">
        <v>304</v>
      </c>
      <c r="C56" s="53" t="s">
        <v>305</v>
      </c>
      <c r="D56" s="54">
        <v>46143.0</v>
      </c>
      <c r="E56" s="54">
        <v>46173.0</v>
      </c>
      <c r="F56" s="55">
        <v>191.16</v>
      </c>
      <c r="G56" s="54">
        <v>46176.0</v>
      </c>
      <c r="H56" s="55">
        <v>191.16</v>
      </c>
      <c r="I56" s="55">
        <f t="shared" si="1"/>
        <v>0</v>
      </c>
      <c r="J56" s="56">
        <f t="shared" si="2"/>
        <v>0</v>
      </c>
      <c r="K56" s="53" t="str">
        <f t="shared" si="3"/>
        <v>Paid</v>
      </c>
      <c r="L56" s="53" t="str">
        <f t="shared" si="4"/>
        <v>Closed</v>
      </c>
      <c r="M56" s="55" t="str">
        <f t="shared" si="5"/>
        <v>No</v>
      </c>
    </row>
    <row r="57" ht="15.75" customHeight="1">
      <c r="A57" s="25" t="s">
        <v>1268</v>
      </c>
      <c r="B57" s="25" t="s">
        <v>1078</v>
      </c>
      <c r="C57" s="25" t="s">
        <v>1079</v>
      </c>
      <c r="D57" s="26">
        <v>46141.0</v>
      </c>
      <c r="E57" s="26">
        <v>46171.0</v>
      </c>
      <c r="F57" s="30">
        <v>198.71</v>
      </c>
      <c r="G57" s="26">
        <v>46169.0</v>
      </c>
      <c r="H57" s="30">
        <v>198.71</v>
      </c>
      <c r="I57" s="30">
        <f t="shared" si="1"/>
        <v>0</v>
      </c>
      <c r="J57" s="29">
        <f t="shared" si="2"/>
        <v>0</v>
      </c>
      <c r="K57" s="25" t="str">
        <f t="shared" si="3"/>
        <v>Paid</v>
      </c>
      <c r="L57" s="25" t="str">
        <f t="shared" si="4"/>
        <v>Closed</v>
      </c>
      <c r="M57" s="30" t="str">
        <f t="shared" si="5"/>
        <v>No</v>
      </c>
    </row>
    <row r="58" ht="15.75" customHeight="1">
      <c r="A58" s="53" t="s">
        <v>1269</v>
      </c>
      <c r="B58" s="53" t="s">
        <v>1132</v>
      </c>
      <c r="C58" s="53" t="s">
        <v>1133</v>
      </c>
      <c r="D58" s="54">
        <v>46040.0</v>
      </c>
      <c r="E58" s="54">
        <v>46070.0</v>
      </c>
      <c r="F58" s="55">
        <v>217.44</v>
      </c>
      <c r="G58" s="54"/>
      <c r="H58" s="55">
        <v>0.0</v>
      </c>
      <c r="I58" s="55">
        <f t="shared" si="1"/>
        <v>217.44</v>
      </c>
      <c r="J58" s="56">
        <f t="shared" si="2"/>
        <v>88</v>
      </c>
      <c r="K58" s="53" t="str">
        <f t="shared" si="3"/>
        <v>61-90</v>
      </c>
      <c r="L58" s="53" t="str">
        <f t="shared" si="4"/>
        <v>Collections Review</v>
      </c>
      <c r="M58" s="55" t="str">
        <f t="shared" si="5"/>
        <v>Yes</v>
      </c>
    </row>
    <row r="59" ht="15.75" customHeight="1">
      <c r="A59" s="25" t="s">
        <v>1270</v>
      </c>
      <c r="B59" s="25" t="s">
        <v>964</v>
      </c>
      <c r="C59" s="25" t="s">
        <v>965</v>
      </c>
      <c r="D59" s="26">
        <v>46133.0</v>
      </c>
      <c r="E59" s="26">
        <v>46163.0</v>
      </c>
      <c r="F59" s="30">
        <v>476.64</v>
      </c>
      <c r="G59" s="26">
        <v>46202.0</v>
      </c>
      <c r="H59" s="30">
        <v>476.64</v>
      </c>
      <c r="I59" s="30">
        <f t="shared" si="1"/>
        <v>0</v>
      </c>
      <c r="J59" s="29">
        <f t="shared" si="2"/>
        <v>0</v>
      </c>
      <c r="K59" s="25" t="str">
        <f t="shared" si="3"/>
        <v>Paid</v>
      </c>
      <c r="L59" s="25" t="str">
        <f t="shared" si="4"/>
        <v>Closed</v>
      </c>
      <c r="M59" s="30" t="str">
        <f t="shared" si="5"/>
        <v>No</v>
      </c>
    </row>
    <row r="60" ht="15.75" customHeight="1">
      <c r="A60" s="53" t="s">
        <v>1271</v>
      </c>
      <c r="B60" s="53" t="s">
        <v>306</v>
      </c>
      <c r="C60" s="53" t="s">
        <v>291</v>
      </c>
      <c r="D60" s="54">
        <v>46120.0</v>
      </c>
      <c r="E60" s="54">
        <v>46135.0</v>
      </c>
      <c r="F60" s="55">
        <v>256.56</v>
      </c>
      <c r="G60" s="54">
        <v>46177.0</v>
      </c>
      <c r="H60" s="55">
        <v>256.56</v>
      </c>
      <c r="I60" s="55">
        <f t="shared" si="1"/>
        <v>0</v>
      </c>
      <c r="J60" s="56">
        <f t="shared" si="2"/>
        <v>23</v>
      </c>
      <c r="K60" s="53" t="str">
        <f t="shared" si="3"/>
        <v>Paid</v>
      </c>
      <c r="L60" s="53" t="str">
        <f t="shared" si="4"/>
        <v>Closed</v>
      </c>
      <c r="M60" s="55" t="str">
        <f t="shared" si="5"/>
        <v>No</v>
      </c>
    </row>
    <row r="61" ht="15.75" customHeight="1">
      <c r="A61" s="25" t="s">
        <v>1272</v>
      </c>
      <c r="B61" s="25" t="s">
        <v>709</v>
      </c>
      <c r="C61" s="25" t="s">
        <v>710</v>
      </c>
      <c r="D61" s="26">
        <v>46143.0</v>
      </c>
      <c r="E61" s="26">
        <v>46188.0</v>
      </c>
      <c r="F61" s="30">
        <v>355.2</v>
      </c>
      <c r="G61" s="26">
        <v>46192.0</v>
      </c>
      <c r="H61" s="30">
        <v>355.2</v>
      </c>
      <c r="I61" s="30">
        <f t="shared" si="1"/>
        <v>0</v>
      </c>
      <c r="J61" s="29">
        <f t="shared" si="2"/>
        <v>0</v>
      </c>
      <c r="K61" s="25" t="str">
        <f t="shared" si="3"/>
        <v>Paid</v>
      </c>
      <c r="L61" s="25" t="str">
        <f t="shared" si="4"/>
        <v>Closed</v>
      </c>
      <c r="M61" s="30" t="str">
        <f t="shared" si="5"/>
        <v>No</v>
      </c>
    </row>
    <row r="62" ht="15.75" customHeight="1">
      <c r="A62" s="53" t="s">
        <v>1273</v>
      </c>
      <c r="B62" s="53" t="s">
        <v>711</v>
      </c>
      <c r="C62" s="53" t="s">
        <v>712</v>
      </c>
      <c r="D62" s="54">
        <v>46142.0</v>
      </c>
      <c r="E62" s="54">
        <v>46172.0</v>
      </c>
      <c r="F62" s="55">
        <v>717.84</v>
      </c>
      <c r="G62" s="54"/>
      <c r="H62" s="55">
        <v>0.0</v>
      </c>
      <c r="I62" s="55">
        <f t="shared" si="1"/>
        <v>717.84</v>
      </c>
      <c r="J62" s="56">
        <f t="shared" si="2"/>
        <v>0</v>
      </c>
      <c r="K62" s="53" t="str">
        <f t="shared" si="3"/>
        <v>0-30</v>
      </c>
      <c r="L62" s="53" t="str">
        <f t="shared" si="4"/>
        <v>Current</v>
      </c>
      <c r="M62" s="55" t="str">
        <f t="shared" si="5"/>
        <v>No</v>
      </c>
    </row>
    <row r="63" ht="15.75" customHeight="1">
      <c r="A63" s="25" t="s">
        <v>1274</v>
      </c>
      <c r="B63" s="25" t="s">
        <v>1080</v>
      </c>
      <c r="C63" s="25" t="s">
        <v>1081</v>
      </c>
      <c r="D63" s="26">
        <v>46112.0</v>
      </c>
      <c r="E63" s="26">
        <v>46157.0</v>
      </c>
      <c r="F63" s="30">
        <v>275.28</v>
      </c>
      <c r="G63" s="26"/>
      <c r="H63" s="30">
        <v>0.0</v>
      </c>
      <c r="I63" s="30">
        <f t="shared" si="1"/>
        <v>275.28</v>
      </c>
      <c r="J63" s="29">
        <f t="shared" si="2"/>
        <v>1</v>
      </c>
      <c r="K63" s="25" t="str">
        <f t="shared" si="3"/>
        <v>0-30</v>
      </c>
      <c r="L63" s="25" t="str">
        <f t="shared" si="4"/>
        <v>Current</v>
      </c>
      <c r="M63" s="30" t="str">
        <f t="shared" si="5"/>
        <v>No</v>
      </c>
    </row>
    <row r="64" ht="15.75" customHeight="1">
      <c r="A64" s="53" t="s">
        <v>1275</v>
      </c>
      <c r="B64" s="53" t="s">
        <v>450</v>
      </c>
      <c r="C64" s="53" t="s">
        <v>444</v>
      </c>
      <c r="D64" s="54">
        <v>46065.0</v>
      </c>
      <c r="E64" s="54">
        <v>46080.0</v>
      </c>
      <c r="F64" s="55">
        <v>380.88</v>
      </c>
      <c r="G64" s="54">
        <v>46098.0</v>
      </c>
      <c r="H64" s="55">
        <v>380.88</v>
      </c>
      <c r="I64" s="55">
        <f t="shared" si="1"/>
        <v>0</v>
      </c>
      <c r="J64" s="56">
        <f t="shared" si="2"/>
        <v>78</v>
      </c>
      <c r="K64" s="53" t="str">
        <f t="shared" si="3"/>
        <v>Paid</v>
      </c>
      <c r="L64" s="53" t="str">
        <f t="shared" si="4"/>
        <v>Closed</v>
      </c>
      <c r="M64" s="55" t="str">
        <f t="shared" si="5"/>
        <v>No</v>
      </c>
    </row>
    <row r="65" ht="15.75" customHeight="1">
      <c r="A65" s="25" t="s">
        <v>1276</v>
      </c>
      <c r="B65" s="25" t="s">
        <v>1082</v>
      </c>
      <c r="C65" s="25" t="s">
        <v>1083</v>
      </c>
      <c r="D65" s="26">
        <v>46048.0</v>
      </c>
      <c r="E65" s="26">
        <v>46078.0</v>
      </c>
      <c r="F65" s="30">
        <v>1300.8</v>
      </c>
      <c r="G65" s="26">
        <v>46120.0</v>
      </c>
      <c r="H65" s="30">
        <v>1300.8</v>
      </c>
      <c r="I65" s="30">
        <f t="shared" si="1"/>
        <v>0</v>
      </c>
      <c r="J65" s="29">
        <f t="shared" si="2"/>
        <v>80</v>
      </c>
      <c r="K65" s="25" t="str">
        <f t="shared" si="3"/>
        <v>Paid</v>
      </c>
      <c r="L65" s="25" t="str">
        <f t="shared" si="4"/>
        <v>Closed</v>
      </c>
      <c r="M65" s="30" t="str">
        <f t="shared" si="5"/>
        <v>No</v>
      </c>
    </row>
    <row r="66" ht="15.75" customHeight="1">
      <c r="A66" s="53" t="s">
        <v>1277</v>
      </c>
      <c r="B66" s="53" t="s">
        <v>307</v>
      </c>
      <c r="C66" s="53" t="s">
        <v>305</v>
      </c>
      <c r="D66" s="54">
        <v>46052.0</v>
      </c>
      <c r="E66" s="54">
        <v>46082.0</v>
      </c>
      <c r="F66" s="55">
        <v>99.12</v>
      </c>
      <c r="G66" s="54">
        <v>46086.0</v>
      </c>
      <c r="H66" s="55">
        <v>99.12</v>
      </c>
      <c r="I66" s="55">
        <f t="shared" si="1"/>
        <v>0</v>
      </c>
      <c r="J66" s="56">
        <f t="shared" si="2"/>
        <v>76</v>
      </c>
      <c r="K66" s="53" t="str">
        <f t="shared" si="3"/>
        <v>Paid</v>
      </c>
      <c r="L66" s="53" t="str">
        <f t="shared" si="4"/>
        <v>Closed</v>
      </c>
      <c r="M66" s="55" t="str">
        <f t="shared" si="5"/>
        <v>No</v>
      </c>
    </row>
    <row r="67" ht="15.75" customHeight="1">
      <c r="A67" s="25" t="s">
        <v>1278</v>
      </c>
      <c r="B67" s="25" t="s">
        <v>862</v>
      </c>
      <c r="C67" s="25" t="s">
        <v>861</v>
      </c>
      <c r="D67" s="26">
        <v>46030.0</v>
      </c>
      <c r="E67" s="26">
        <v>46060.0</v>
      </c>
      <c r="F67" s="30">
        <v>249.3</v>
      </c>
      <c r="G67" s="26"/>
      <c r="H67" s="30">
        <v>0.0</v>
      </c>
      <c r="I67" s="30">
        <f t="shared" si="1"/>
        <v>249.3</v>
      </c>
      <c r="J67" s="29">
        <f t="shared" si="2"/>
        <v>98</v>
      </c>
      <c r="K67" s="25" t="str">
        <f t="shared" si="3"/>
        <v>90+</v>
      </c>
      <c r="L67" s="25" t="str">
        <f t="shared" si="4"/>
        <v>Escalate</v>
      </c>
      <c r="M67" s="30" t="str">
        <f t="shared" si="5"/>
        <v>Yes</v>
      </c>
    </row>
    <row r="68" ht="15.75" customHeight="1">
      <c r="A68" s="53" t="s">
        <v>1279</v>
      </c>
      <c r="B68" s="53" t="s">
        <v>1134</v>
      </c>
      <c r="C68" s="53" t="s">
        <v>1122</v>
      </c>
      <c r="D68" s="54">
        <v>46044.0</v>
      </c>
      <c r="E68" s="54">
        <v>46089.0</v>
      </c>
      <c r="F68" s="55">
        <v>58.32</v>
      </c>
      <c r="G68" s="54"/>
      <c r="H68" s="55">
        <v>0.0</v>
      </c>
      <c r="I68" s="55">
        <f t="shared" si="1"/>
        <v>58.32</v>
      </c>
      <c r="J68" s="56">
        <f t="shared" si="2"/>
        <v>69</v>
      </c>
      <c r="K68" s="53" t="str">
        <f t="shared" si="3"/>
        <v>61-90</v>
      </c>
      <c r="L68" s="53" t="str">
        <f t="shared" si="4"/>
        <v>Collections Review</v>
      </c>
      <c r="M68" s="55" t="str">
        <f t="shared" si="5"/>
        <v>Yes</v>
      </c>
    </row>
    <row r="69" ht="15.75" customHeight="1">
      <c r="A69" s="25" t="s">
        <v>1280</v>
      </c>
      <c r="B69" s="25" t="s">
        <v>863</v>
      </c>
      <c r="C69" s="25" t="s">
        <v>864</v>
      </c>
      <c r="D69" s="26">
        <v>46092.0</v>
      </c>
      <c r="E69" s="26">
        <v>46122.0</v>
      </c>
      <c r="F69" s="30">
        <v>135.36</v>
      </c>
      <c r="G69" s="26">
        <v>46140.0</v>
      </c>
      <c r="H69" s="30">
        <v>135.36</v>
      </c>
      <c r="I69" s="30">
        <f t="shared" si="1"/>
        <v>0</v>
      </c>
      <c r="J69" s="29">
        <f t="shared" si="2"/>
        <v>36</v>
      </c>
      <c r="K69" s="25" t="str">
        <f t="shared" si="3"/>
        <v>Paid</v>
      </c>
      <c r="L69" s="25" t="str">
        <f t="shared" si="4"/>
        <v>Closed</v>
      </c>
      <c r="M69" s="30" t="str">
        <f t="shared" si="5"/>
        <v>No</v>
      </c>
    </row>
    <row r="70" ht="15.75" customHeight="1">
      <c r="A70" s="53" t="s">
        <v>1281</v>
      </c>
      <c r="B70" s="53" t="s">
        <v>451</v>
      </c>
      <c r="C70" s="53" t="s">
        <v>452</v>
      </c>
      <c r="D70" s="54">
        <v>46035.0</v>
      </c>
      <c r="E70" s="54">
        <v>46065.0</v>
      </c>
      <c r="F70" s="55">
        <v>886.92</v>
      </c>
      <c r="G70" s="54"/>
      <c r="H70" s="55">
        <v>0.0</v>
      </c>
      <c r="I70" s="55">
        <f t="shared" si="1"/>
        <v>886.92</v>
      </c>
      <c r="J70" s="56">
        <f t="shared" si="2"/>
        <v>93</v>
      </c>
      <c r="K70" s="53" t="str">
        <f t="shared" si="3"/>
        <v>90+</v>
      </c>
      <c r="L70" s="53" t="str">
        <f t="shared" si="4"/>
        <v>Escalate</v>
      </c>
      <c r="M70" s="55" t="str">
        <f t="shared" si="5"/>
        <v>Yes</v>
      </c>
    </row>
    <row r="71" ht="15.75" customHeight="1">
      <c r="A71" s="25" t="s">
        <v>1282</v>
      </c>
      <c r="B71" s="25" t="s">
        <v>182</v>
      </c>
      <c r="C71" s="25" t="s">
        <v>170</v>
      </c>
      <c r="D71" s="26">
        <v>46096.0</v>
      </c>
      <c r="E71" s="26">
        <v>46141.0</v>
      </c>
      <c r="F71" s="30">
        <v>589.8</v>
      </c>
      <c r="G71" s="26"/>
      <c r="H71" s="30">
        <v>0.0</v>
      </c>
      <c r="I71" s="30">
        <f t="shared" si="1"/>
        <v>589.8</v>
      </c>
      <c r="J71" s="29">
        <f t="shared" si="2"/>
        <v>17</v>
      </c>
      <c r="K71" s="25" t="str">
        <f t="shared" si="3"/>
        <v>0-30</v>
      </c>
      <c r="L71" s="25" t="str">
        <f t="shared" si="4"/>
        <v>Current</v>
      </c>
      <c r="M71" s="30" t="str">
        <f t="shared" si="5"/>
        <v>No</v>
      </c>
    </row>
    <row r="72" ht="15.75" customHeight="1">
      <c r="A72" s="53" t="s">
        <v>1283</v>
      </c>
      <c r="B72" s="53" t="s">
        <v>79</v>
      </c>
      <c r="C72" s="53" t="s">
        <v>80</v>
      </c>
      <c r="D72" s="54">
        <v>46121.0</v>
      </c>
      <c r="E72" s="54">
        <v>46151.0</v>
      </c>
      <c r="F72" s="55">
        <v>84.96</v>
      </c>
      <c r="G72" s="54"/>
      <c r="H72" s="55">
        <v>0.0</v>
      </c>
      <c r="I72" s="55">
        <f t="shared" si="1"/>
        <v>84.96</v>
      </c>
      <c r="J72" s="56">
        <f t="shared" si="2"/>
        <v>7</v>
      </c>
      <c r="K72" s="53" t="str">
        <f t="shared" si="3"/>
        <v>0-30</v>
      </c>
      <c r="L72" s="53" t="str">
        <f t="shared" si="4"/>
        <v>Current</v>
      </c>
      <c r="M72" s="55" t="str">
        <f t="shared" si="5"/>
        <v>No</v>
      </c>
    </row>
    <row r="73" ht="15.75" customHeight="1">
      <c r="A73" s="25" t="s">
        <v>1284</v>
      </c>
      <c r="B73" s="25" t="s">
        <v>713</v>
      </c>
      <c r="C73" s="25" t="s">
        <v>714</v>
      </c>
      <c r="D73" s="26">
        <v>46140.0</v>
      </c>
      <c r="E73" s="26">
        <v>46170.0</v>
      </c>
      <c r="F73" s="30">
        <v>1328.4</v>
      </c>
      <c r="G73" s="26">
        <v>46179.0</v>
      </c>
      <c r="H73" s="30">
        <v>1328.4</v>
      </c>
      <c r="I73" s="30">
        <f t="shared" si="1"/>
        <v>0</v>
      </c>
      <c r="J73" s="29">
        <f t="shared" si="2"/>
        <v>0</v>
      </c>
      <c r="K73" s="25" t="str">
        <f t="shared" si="3"/>
        <v>Paid</v>
      </c>
      <c r="L73" s="25" t="str">
        <f t="shared" si="4"/>
        <v>Closed</v>
      </c>
      <c r="M73" s="30" t="str">
        <f t="shared" si="5"/>
        <v>No</v>
      </c>
    </row>
    <row r="74" ht="15.75" customHeight="1">
      <c r="A74" s="53" t="s">
        <v>1285</v>
      </c>
      <c r="B74" s="53" t="s">
        <v>308</v>
      </c>
      <c r="C74" s="53" t="s">
        <v>297</v>
      </c>
      <c r="D74" s="54">
        <v>46129.0</v>
      </c>
      <c r="E74" s="54">
        <v>46144.0</v>
      </c>
      <c r="F74" s="55">
        <v>617.4</v>
      </c>
      <c r="G74" s="54">
        <v>46160.0</v>
      </c>
      <c r="H74" s="55">
        <v>617.4</v>
      </c>
      <c r="I74" s="55">
        <f t="shared" si="1"/>
        <v>0</v>
      </c>
      <c r="J74" s="56">
        <f t="shared" si="2"/>
        <v>14</v>
      </c>
      <c r="K74" s="53" t="str">
        <f t="shared" si="3"/>
        <v>Paid</v>
      </c>
      <c r="L74" s="53" t="str">
        <f t="shared" si="4"/>
        <v>Closed</v>
      </c>
      <c r="M74" s="55" t="str">
        <f t="shared" si="5"/>
        <v>No</v>
      </c>
    </row>
    <row r="75" ht="15.75" customHeight="1">
      <c r="A75" s="25" t="s">
        <v>1286</v>
      </c>
      <c r="B75" s="25" t="s">
        <v>1084</v>
      </c>
      <c r="C75" s="25" t="s">
        <v>1081</v>
      </c>
      <c r="D75" s="26">
        <v>46042.0</v>
      </c>
      <c r="E75" s="26">
        <v>46072.0</v>
      </c>
      <c r="F75" s="30">
        <v>96.0</v>
      </c>
      <c r="G75" s="26">
        <v>46093.0</v>
      </c>
      <c r="H75" s="30">
        <v>96.0</v>
      </c>
      <c r="I75" s="30">
        <f t="shared" si="1"/>
        <v>0</v>
      </c>
      <c r="J75" s="29">
        <f t="shared" si="2"/>
        <v>86</v>
      </c>
      <c r="K75" s="25" t="str">
        <f t="shared" si="3"/>
        <v>Paid</v>
      </c>
      <c r="L75" s="25" t="str">
        <f t="shared" si="4"/>
        <v>Closed</v>
      </c>
      <c r="M75" s="30" t="str">
        <f t="shared" si="5"/>
        <v>No</v>
      </c>
    </row>
    <row r="76" ht="15.75" customHeight="1">
      <c r="A76" s="53" t="s">
        <v>1287</v>
      </c>
      <c r="B76" s="53" t="s">
        <v>1135</v>
      </c>
      <c r="C76" s="53" t="s">
        <v>1136</v>
      </c>
      <c r="D76" s="54">
        <v>46098.0</v>
      </c>
      <c r="E76" s="54">
        <v>46128.0</v>
      </c>
      <c r="F76" s="55">
        <v>315.0</v>
      </c>
      <c r="G76" s="54">
        <v>46145.0</v>
      </c>
      <c r="H76" s="55">
        <v>315.0</v>
      </c>
      <c r="I76" s="55">
        <f t="shared" si="1"/>
        <v>0</v>
      </c>
      <c r="J76" s="56">
        <f t="shared" si="2"/>
        <v>30</v>
      </c>
      <c r="K76" s="53" t="str">
        <f t="shared" si="3"/>
        <v>Paid</v>
      </c>
      <c r="L76" s="53" t="str">
        <f t="shared" si="4"/>
        <v>Closed</v>
      </c>
      <c r="M76" s="55" t="str">
        <f t="shared" si="5"/>
        <v>No</v>
      </c>
    </row>
    <row r="77" ht="15.75" customHeight="1">
      <c r="A77" s="25" t="s">
        <v>1288</v>
      </c>
      <c r="B77" s="25" t="s">
        <v>715</v>
      </c>
      <c r="C77" s="25" t="s">
        <v>706</v>
      </c>
      <c r="D77" s="26">
        <v>46076.0</v>
      </c>
      <c r="E77" s="26">
        <v>46106.0</v>
      </c>
      <c r="F77" s="30">
        <v>257.04</v>
      </c>
      <c r="G77" s="26"/>
      <c r="H77" s="30">
        <v>0.0</v>
      </c>
      <c r="I77" s="30">
        <f t="shared" si="1"/>
        <v>257.04</v>
      </c>
      <c r="J77" s="29">
        <f t="shared" si="2"/>
        <v>52</v>
      </c>
      <c r="K77" s="25" t="str">
        <f t="shared" si="3"/>
        <v>31-60</v>
      </c>
      <c r="L77" s="25" t="str">
        <f t="shared" si="4"/>
        <v>Reminder Sent</v>
      </c>
      <c r="M77" s="30" t="str">
        <f t="shared" si="5"/>
        <v>No</v>
      </c>
    </row>
    <row r="78" ht="15.75" customHeight="1">
      <c r="A78" s="53" t="s">
        <v>1289</v>
      </c>
      <c r="B78" s="53" t="s">
        <v>716</v>
      </c>
      <c r="C78" s="53" t="s">
        <v>717</v>
      </c>
      <c r="D78" s="54">
        <v>46080.0</v>
      </c>
      <c r="E78" s="54">
        <v>46110.0</v>
      </c>
      <c r="F78" s="55">
        <v>91.56</v>
      </c>
      <c r="G78" s="54"/>
      <c r="H78" s="55">
        <v>0.0</v>
      </c>
      <c r="I78" s="55">
        <f t="shared" si="1"/>
        <v>91.56</v>
      </c>
      <c r="J78" s="56">
        <f t="shared" si="2"/>
        <v>48</v>
      </c>
      <c r="K78" s="53" t="str">
        <f t="shared" si="3"/>
        <v>31-60</v>
      </c>
      <c r="L78" s="53" t="str">
        <f t="shared" si="4"/>
        <v>Reminder Sent</v>
      </c>
      <c r="M78" s="55" t="str">
        <f t="shared" si="5"/>
        <v>No</v>
      </c>
    </row>
    <row r="79" ht="15.75" customHeight="1">
      <c r="A79" s="25" t="s">
        <v>1290</v>
      </c>
      <c r="B79" s="25" t="s">
        <v>549</v>
      </c>
      <c r="C79" s="25" t="s">
        <v>550</v>
      </c>
      <c r="D79" s="26">
        <v>46037.0</v>
      </c>
      <c r="E79" s="26">
        <v>46067.0</v>
      </c>
      <c r="F79" s="30">
        <v>755.52</v>
      </c>
      <c r="G79" s="26"/>
      <c r="H79" s="30">
        <v>0.0</v>
      </c>
      <c r="I79" s="30">
        <f t="shared" si="1"/>
        <v>755.52</v>
      </c>
      <c r="J79" s="29">
        <f t="shared" si="2"/>
        <v>91</v>
      </c>
      <c r="K79" s="25" t="str">
        <f t="shared" si="3"/>
        <v>90+</v>
      </c>
      <c r="L79" s="25" t="str">
        <f t="shared" si="4"/>
        <v>Escalate</v>
      </c>
      <c r="M79" s="30" t="str">
        <f t="shared" si="5"/>
        <v>Yes</v>
      </c>
    </row>
    <row r="80" ht="15.75" customHeight="1">
      <c r="A80" s="53" t="s">
        <v>1291</v>
      </c>
      <c r="B80" s="53" t="s">
        <v>453</v>
      </c>
      <c r="C80" s="53" t="s">
        <v>454</v>
      </c>
      <c r="D80" s="54">
        <v>46078.0</v>
      </c>
      <c r="E80" s="54">
        <v>46093.0</v>
      </c>
      <c r="F80" s="55">
        <v>58.98</v>
      </c>
      <c r="G80" s="54">
        <v>46092.0</v>
      </c>
      <c r="H80" s="55">
        <v>58.98</v>
      </c>
      <c r="I80" s="55">
        <f t="shared" si="1"/>
        <v>0</v>
      </c>
      <c r="J80" s="56">
        <f t="shared" si="2"/>
        <v>65</v>
      </c>
      <c r="K80" s="53" t="str">
        <f t="shared" si="3"/>
        <v>Paid</v>
      </c>
      <c r="L80" s="53" t="str">
        <f t="shared" si="4"/>
        <v>Closed</v>
      </c>
      <c r="M80" s="55" t="str">
        <f t="shared" si="5"/>
        <v>No</v>
      </c>
    </row>
    <row r="81" ht="15.75" customHeight="1">
      <c r="A81" s="25" t="s">
        <v>1292</v>
      </c>
      <c r="B81" s="25" t="s">
        <v>551</v>
      </c>
      <c r="C81" s="25" t="s">
        <v>540</v>
      </c>
      <c r="D81" s="26">
        <v>46121.0</v>
      </c>
      <c r="E81" s="26">
        <v>46151.0</v>
      </c>
      <c r="F81" s="30">
        <v>746.64</v>
      </c>
      <c r="G81" s="26"/>
      <c r="H81" s="30">
        <v>0.0</v>
      </c>
      <c r="I81" s="30">
        <f t="shared" si="1"/>
        <v>746.64</v>
      </c>
      <c r="J81" s="29">
        <f t="shared" si="2"/>
        <v>7</v>
      </c>
      <c r="K81" s="25" t="str">
        <f t="shared" si="3"/>
        <v>0-30</v>
      </c>
      <c r="L81" s="25" t="str">
        <f t="shared" si="4"/>
        <v>Current</v>
      </c>
      <c r="M81" s="30" t="str">
        <f t="shared" si="5"/>
        <v>No</v>
      </c>
    </row>
    <row r="82" ht="15.75" customHeight="1">
      <c r="A82" s="53" t="s">
        <v>1293</v>
      </c>
      <c r="B82" s="53" t="s">
        <v>966</v>
      </c>
      <c r="C82" s="53" t="s">
        <v>953</v>
      </c>
      <c r="D82" s="54">
        <v>46044.0</v>
      </c>
      <c r="E82" s="54">
        <v>46059.0</v>
      </c>
      <c r="F82" s="55">
        <v>43.32</v>
      </c>
      <c r="G82" s="54">
        <v>46060.0</v>
      </c>
      <c r="H82" s="55">
        <v>43.32</v>
      </c>
      <c r="I82" s="55">
        <f t="shared" si="1"/>
        <v>0</v>
      </c>
      <c r="J82" s="56">
        <f t="shared" si="2"/>
        <v>99</v>
      </c>
      <c r="K82" s="53" t="str">
        <f t="shared" si="3"/>
        <v>Paid</v>
      </c>
      <c r="L82" s="53" t="str">
        <f t="shared" si="4"/>
        <v>Closed</v>
      </c>
      <c r="M82" s="55" t="str">
        <f t="shared" si="5"/>
        <v>No</v>
      </c>
    </row>
    <row r="83" ht="15.75" customHeight="1">
      <c r="A83" s="25" t="s">
        <v>1294</v>
      </c>
      <c r="B83" s="25" t="s">
        <v>82</v>
      </c>
      <c r="C83" s="25" t="s">
        <v>83</v>
      </c>
      <c r="D83" s="26">
        <v>46093.0</v>
      </c>
      <c r="E83" s="26">
        <v>46123.0</v>
      </c>
      <c r="F83" s="30">
        <v>355.2</v>
      </c>
      <c r="G83" s="26">
        <v>46160.0</v>
      </c>
      <c r="H83" s="30">
        <v>355.2</v>
      </c>
      <c r="I83" s="30">
        <f t="shared" si="1"/>
        <v>0</v>
      </c>
      <c r="J83" s="29">
        <f t="shared" si="2"/>
        <v>35</v>
      </c>
      <c r="K83" s="25" t="str">
        <f t="shared" si="3"/>
        <v>Paid</v>
      </c>
      <c r="L83" s="25" t="str">
        <f t="shared" si="4"/>
        <v>Closed</v>
      </c>
      <c r="M83" s="30" t="str">
        <f t="shared" si="5"/>
        <v>No</v>
      </c>
    </row>
    <row r="84" ht="15.75" customHeight="1">
      <c r="A84" s="53" t="s">
        <v>1295</v>
      </c>
      <c r="B84" s="53" t="s">
        <v>1137</v>
      </c>
      <c r="C84" s="53" t="s">
        <v>1136</v>
      </c>
      <c r="D84" s="54">
        <v>46097.0</v>
      </c>
      <c r="E84" s="54">
        <v>46127.0</v>
      </c>
      <c r="F84" s="55">
        <v>908.46</v>
      </c>
      <c r="G84" s="54">
        <v>46150.0</v>
      </c>
      <c r="H84" s="55">
        <v>908.46</v>
      </c>
      <c r="I84" s="55">
        <f t="shared" si="1"/>
        <v>0</v>
      </c>
      <c r="J84" s="56">
        <f t="shared" si="2"/>
        <v>31</v>
      </c>
      <c r="K84" s="53" t="str">
        <f t="shared" si="3"/>
        <v>Paid</v>
      </c>
      <c r="L84" s="53" t="str">
        <f t="shared" si="4"/>
        <v>Closed</v>
      </c>
      <c r="M84" s="55" t="str">
        <f t="shared" si="5"/>
        <v>No</v>
      </c>
    </row>
    <row r="85" ht="15.75" customHeight="1">
      <c r="A85" s="25" t="s">
        <v>1296</v>
      </c>
      <c r="B85" s="25" t="s">
        <v>552</v>
      </c>
      <c r="C85" s="25" t="s">
        <v>553</v>
      </c>
      <c r="D85" s="26">
        <v>46095.0</v>
      </c>
      <c r="E85" s="26">
        <v>46110.0</v>
      </c>
      <c r="F85" s="30">
        <v>825.84</v>
      </c>
      <c r="G85" s="26">
        <v>46112.0</v>
      </c>
      <c r="H85" s="30">
        <v>825.84</v>
      </c>
      <c r="I85" s="30">
        <f t="shared" si="1"/>
        <v>0</v>
      </c>
      <c r="J85" s="29">
        <f t="shared" si="2"/>
        <v>48</v>
      </c>
      <c r="K85" s="25" t="str">
        <f t="shared" si="3"/>
        <v>Paid</v>
      </c>
      <c r="L85" s="25" t="str">
        <f t="shared" si="4"/>
        <v>Closed</v>
      </c>
      <c r="M85" s="30" t="str">
        <f t="shared" si="5"/>
        <v>No</v>
      </c>
    </row>
    <row r="86" ht="15.75" customHeight="1">
      <c r="A86" s="53" t="s">
        <v>1297</v>
      </c>
      <c r="B86" s="53" t="s">
        <v>456</v>
      </c>
      <c r="C86" s="53" t="s">
        <v>457</v>
      </c>
      <c r="D86" s="54">
        <v>46100.0</v>
      </c>
      <c r="E86" s="54">
        <v>46130.0</v>
      </c>
      <c r="F86" s="55">
        <v>511.2</v>
      </c>
      <c r="G86" s="54">
        <v>46155.0</v>
      </c>
      <c r="H86" s="55">
        <v>511.2</v>
      </c>
      <c r="I86" s="55">
        <f t="shared" si="1"/>
        <v>0</v>
      </c>
      <c r="J86" s="56">
        <f t="shared" si="2"/>
        <v>28</v>
      </c>
      <c r="K86" s="53" t="str">
        <f t="shared" si="3"/>
        <v>Paid</v>
      </c>
      <c r="L86" s="53" t="str">
        <f t="shared" si="4"/>
        <v>Closed</v>
      </c>
      <c r="M86" s="55" t="str">
        <f t="shared" si="5"/>
        <v>No</v>
      </c>
    </row>
    <row r="87" ht="15.75" customHeight="1">
      <c r="A87" s="25" t="s">
        <v>1298</v>
      </c>
      <c r="B87" s="25" t="s">
        <v>458</v>
      </c>
      <c r="C87" s="25" t="s">
        <v>459</v>
      </c>
      <c r="D87" s="26">
        <v>46094.0</v>
      </c>
      <c r="E87" s="26">
        <v>46109.0</v>
      </c>
      <c r="F87" s="30">
        <v>255.96</v>
      </c>
      <c r="G87" s="26"/>
      <c r="H87" s="30">
        <v>0.0</v>
      </c>
      <c r="I87" s="30">
        <f t="shared" si="1"/>
        <v>255.96</v>
      </c>
      <c r="J87" s="29">
        <f t="shared" si="2"/>
        <v>49</v>
      </c>
      <c r="K87" s="25" t="str">
        <f t="shared" si="3"/>
        <v>31-60</v>
      </c>
      <c r="L87" s="25" t="str">
        <f t="shared" si="4"/>
        <v>Reminder Sent</v>
      </c>
      <c r="M87" s="30" t="str">
        <f t="shared" si="5"/>
        <v>No</v>
      </c>
    </row>
    <row r="88" ht="15.75" customHeight="1">
      <c r="A88" s="53" t="s">
        <v>1299</v>
      </c>
      <c r="B88" s="53" t="s">
        <v>718</v>
      </c>
      <c r="C88" s="53" t="s">
        <v>704</v>
      </c>
      <c r="D88" s="54">
        <v>46068.0</v>
      </c>
      <c r="E88" s="54">
        <v>46098.0</v>
      </c>
      <c r="F88" s="55">
        <v>1339.2</v>
      </c>
      <c r="G88" s="54">
        <v>46116.0</v>
      </c>
      <c r="H88" s="55">
        <v>1339.2</v>
      </c>
      <c r="I88" s="55">
        <f t="shared" si="1"/>
        <v>0</v>
      </c>
      <c r="J88" s="56">
        <f t="shared" si="2"/>
        <v>60</v>
      </c>
      <c r="K88" s="53" t="str">
        <f t="shared" si="3"/>
        <v>Paid</v>
      </c>
      <c r="L88" s="53" t="str">
        <f t="shared" si="4"/>
        <v>Closed</v>
      </c>
      <c r="M88" s="55" t="str">
        <f t="shared" si="5"/>
        <v>No</v>
      </c>
    </row>
    <row r="89" ht="15.75" customHeight="1">
      <c r="A89" s="25" t="s">
        <v>1300</v>
      </c>
      <c r="B89" s="25" t="s">
        <v>1085</v>
      </c>
      <c r="C89" s="25" t="s">
        <v>1075</v>
      </c>
      <c r="D89" s="26">
        <v>46055.0</v>
      </c>
      <c r="E89" s="26">
        <v>46085.0</v>
      </c>
      <c r="F89" s="30">
        <v>1318.8</v>
      </c>
      <c r="G89" s="26">
        <v>46121.0</v>
      </c>
      <c r="H89" s="30">
        <v>1318.8</v>
      </c>
      <c r="I89" s="30">
        <f t="shared" si="1"/>
        <v>0</v>
      </c>
      <c r="J89" s="29">
        <f t="shared" si="2"/>
        <v>73</v>
      </c>
      <c r="K89" s="25" t="str">
        <f t="shared" si="3"/>
        <v>Paid</v>
      </c>
      <c r="L89" s="25" t="str">
        <f t="shared" si="4"/>
        <v>Closed</v>
      </c>
      <c r="M89" s="30" t="str">
        <f t="shared" si="5"/>
        <v>No</v>
      </c>
    </row>
    <row r="90" ht="15.75" customHeight="1">
      <c r="A90" s="53" t="s">
        <v>1301</v>
      </c>
      <c r="B90" s="53" t="s">
        <v>967</v>
      </c>
      <c r="C90" s="53" t="s">
        <v>968</v>
      </c>
      <c r="D90" s="54">
        <v>46066.0</v>
      </c>
      <c r="E90" s="54">
        <v>46081.0</v>
      </c>
      <c r="F90" s="55">
        <v>896.4</v>
      </c>
      <c r="G90" s="54">
        <v>46111.0</v>
      </c>
      <c r="H90" s="55">
        <v>896.4</v>
      </c>
      <c r="I90" s="55">
        <f t="shared" si="1"/>
        <v>0</v>
      </c>
      <c r="J90" s="56">
        <f t="shared" si="2"/>
        <v>77</v>
      </c>
      <c r="K90" s="53" t="str">
        <f t="shared" si="3"/>
        <v>Paid</v>
      </c>
      <c r="L90" s="53" t="str">
        <f t="shared" si="4"/>
        <v>Closed</v>
      </c>
      <c r="M90" s="55" t="str">
        <f t="shared" si="5"/>
        <v>No</v>
      </c>
    </row>
    <row r="91" ht="15.75" customHeight="1">
      <c r="A91" s="25" t="s">
        <v>1302</v>
      </c>
      <c r="B91" s="25" t="s">
        <v>719</v>
      </c>
      <c r="C91" s="25" t="s">
        <v>720</v>
      </c>
      <c r="D91" s="26">
        <v>46040.0</v>
      </c>
      <c r="E91" s="26">
        <v>46070.0</v>
      </c>
      <c r="F91" s="30">
        <v>223.2</v>
      </c>
      <c r="G91" s="26">
        <v>46071.0</v>
      </c>
      <c r="H91" s="30">
        <v>223.2</v>
      </c>
      <c r="I91" s="30">
        <f t="shared" si="1"/>
        <v>0</v>
      </c>
      <c r="J91" s="29">
        <f t="shared" si="2"/>
        <v>88</v>
      </c>
      <c r="K91" s="25" t="str">
        <f t="shared" si="3"/>
        <v>Paid</v>
      </c>
      <c r="L91" s="25" t="str">
        <f t="shared" si="4"/>
        <v>Closed</v>
      </c>
      <c r="M91" s="30" t="str">
        <f t="shared" si="5"/>
        <v>No</v>
      </c>
    </row>
    <row r="92" ht="15.75" customHeight="1">
      <c r="A92" s="53" t="s">
        <v>1303</v>
      </c>
      <c r="B92" s="53" t="s">
        <v>556</v>
      </c>
      <c r="C92" s="53" t="s">
        <v>557</v>
      </c>
      <c r="D92" s="54">
        <v>46105.0</v>
      </c>
      <c r="E92" s="54">
        <v>46135.0</v>
      </c>
      <c r="F92" s="55">
        <v>1057.92</v>
      </c>
      <c r="G92" s="54"/>
      <c r="H92" s="55">
        <v>0.0</v>
      </c>
      <c r="I92" s="55">
        <f t="shared" si="1"/>
        <v>1057.92</v>
      </c>
      <c r="J92" s="56">
        <f t="shared" si="2"/>
        <v>23</v>
      </c>
      <c r="K92" s="53" t="str">
        <f t="shared" si="3"/>
        <v>0-30</v>
      </c>
      <c r="L92" s="53" t="str">
        <f t="shared" si="4"/>
        <v>Current</v>
      </c>
      <c r="M92" s="55" t="str">
        <f t="shared" si="5"/>
        <v>No</v>
      </c>
    </row>
    <row r="93" ht="15.75" customHeight="1">
      <c r="A93" s="25" t="s">
        <v>1304</v>
      </c>
      <c r="B93" s="25" t="s">
        <v>183</v>
      </c>
      <c r="C93" s="25" t="s">
        <v>184</v>
      </c>
      <c r="D93" s="26">
        <v>46077.0</v>
      </c>
      <c r="E93" s="26">
        <v>46107.0</v>
      </c>
      <c r="F93" s="30">
        <v>979.2</v>
      </c>
      <c r="G93" s="26">
        <v>46124.0</v>
      </c>
      <c r="H93" s="30">
        <v>979.2</v>
      </c>
      <c r="I93" s="30">
        <f t="shared" si="1"/>
        <v>0</v>
      </c>
      <c r="J93" s="29">
        <f t="shared" si="2"/>
        <v>51</v>
      </c>
      <c r="K93" s="25" t="str">
        <f t="shared" si="3"/>
        <v>Paid</v>
      </c>
      <c r="L93" s="25" t="str">
        <f t="shared" si="4"/>
        <v>Closed</v>
      </c>
      <c r="M93" s="30" t="str">
        <f t="shared" si="5"/>
        <v>No</v>
      </c>
    </row>
    <row r="94" ht="15.75" customHeight="1">
      <c r="A94" s="53" t="s">
        <v>1305</v>
      </c>
      <c r="B94" s="53" t="s">
        <v>865</v>
      </c>
      <c r="C94" s="53" t="s">
        <v>866</v>
      </c>
      <c r="D94" s="54">
        <v>46098.0</v>
      </c>
      <c r="E94" s="54">
        <v>46113.0</v>
      </c>
      <c r="F94" s="55">
        <v>1356.96</v>
      </c>
      <c r="G94" s="54"/>
      <c r="H94" s="55">
        <v>0.0</v>
      </c>
      <c r="I94" s="55">
        <f t="shared" si="1"/>
        <v>1356.96</v>
      </c>
      <c r="J94" s="56">
        <f t="shared" si="2"/>
        <v>45</v>
      </c>
      <c r="K94" s="53" t="str">
        <f t="shared" si="3"/>
        <v>31-60</v>
      </c>
      <c r="L94" s="53" t="str">
        <f t="shared" si="4"/>
        <v>Reminder Sent</v>
      </c>
      <c r="M94" s="55" t="str">
        <f t="shared" si="5"/>
        <v>No</v>
      </c>
    </row>
    <row r="95" ht="15.75" customHeight="1">
      <c r="A95" s="25" t="s">
        <v>1306</v>
      </c>
      <c r="B95" s="25" t="s">
        <v>969</v>
      </c>
      <c r="C95" s="25" t="s">
        <v>965</v>
      </c>
      <c r="D95" s="26">
        <v>46150.0</v>
      </c>
      <c r="E95" s="26">
        <v>46180.0</v>
      </c>
      <c r="F95" s="30">
        <v>430.92</v>
      </c>
      <c r="G95" s="26"/>
      <c r="H95" s="30">
        <v>0.0</v>
      </c>
      <c r="I95" s="30">
        <f t="shared" si="1"/>
        <v>430.92</v>
      </c>
      <c r="J95" s="29">
        <f t="shared" si="2"/>
        <v>0</v>
      </c>
      <c r="K95" s="25" t="str">
        <f t="shared" si="3"/>
        <v>0-30</v>
      </c>
      <c r="L95" s="25" t="str">
        <f t="shared" si="4"/>
        <v>Current</v>
      </c>
      <c r="M95" s="30" t="str">
        <f t="shared" si="5"/>
        <v>No</v>
      </c>
    </row>
    <row r="96" ht="15.75" customHeight="1">
      <c r="A96" s="53" t="s">
        <v>1307</v>
      </c>
      <c r="B96" s="53" t="s">
        <v>721</v>
      </c>
      <c r="C96" s="53" t="s">
        <v>710</v>
      </c>
      <c r="D96" s="54">
        <v>46036.0</v>
      </c>
      <c r="E96" s="54">
        <v>46081.0</v>
      </c>
      <c r="F96" s="55">
        <v>782.64</v>
      </c>
      <c r="G96" s="54">
        <v>46105.0</v>
      </c>
      <c r="H96" s="55">
        <v>782.64</v>
      </c>
      <c r="I96" s="55">
        <f t="shared" si="1"/>
        <v>0</v>
      </c>
      <c r="J96" s="56">
        <f t="shared" si="2"/>
        <v>77</v>
      </c>
      <c r="K96" s="53" t="str">
        <f t="shared" si="3"/>
        <v>Paid</v>
      </c>
      <c r="L96" s="53" t="str">
        <f t="shared" si="4"/>
        <v>Closed</v>
      </c>
      <c r="M96" s="55" t="str">
        <f t="shared" si="5"/>
        <v>No</v>
      </c>
    </row>
    <row r="97" ht="15.75" customHeight="1">
      <c r="A97" s="25" t="s">
        <v>1308</v>
      </c>
      <c r="B97" s="25" t="s">
        <v>84</v>
      </c>
      <c r="C97" s="25" t="s">
        <v>80</v>
      </c>
      <c r="D97" s="26">
        <v>46146.0</v>
      </c>
      <c r="E97" s="26">
        <v>46176.0</v>
      </c>
      <c r="F97" s="30">
        <v>414.12</v>
      </c>
      <c r="G97" s="26">
        <v>46171.0</v>
      </c>
      <c r="H97" s="30">
        <v>414.12</v>
      </c>
      <c r="I97" s="30">
        <f t="shared" si="1"/>
        <v>0</v>
      </c>
      <c r="J97" s="29">
        <f t="shared" si="2"/>
        <v>0</v>
      </c>
      <c r="K97" s="25" t="str">
        <f t="shared" si="3"/>
        <v>Paid</v>
      </c>
      <c r="L97" s="25" t="str">
        <f t="shared" si="4"/>
        <v>Closed</v>
      </c>
      <c r="M97" s="30" t="str">
        <f t="shared" si="5"/>
        <v>No</v>
      </c>
    </row>
    <row r="98" ht="15.75" customHeight="1">
      <c r="A98" s="53" t="s">
        <v>1309</v>
      </c>
      <c r="B98" s="53" t="s">
        <v>86</v>
      </c>
      <c r="C98" s="53" t="s">
        <v>87</v>
      </c>
      <c r="D98" s="54">
        <v>46074.0</v>
      </c>
      <c r="E98" s="54">
        <v>46104.0</v>
      </c>
      <c r="F98" s="55">
        <v>920.4</v>
      </c>
      <c r="G98" s="54">
        <v>46138.0</v>
      </c>
      <c r="H98" s="55">
        <v>920.4</v>
      </c>
      <c r="I98" s="55">
        <f t="shared" si="1"/>
        <v>0</v>
      </c>
      <c r="J98" s="56">
        <f t="shared" si="2"/>
        <v>54</v>
      </c>
      <c r="K98" s="53" t="str">
        <f t="shared" si="3"/>
        <v>Paid</v>
      </c>
      <c r="L98" s="53" t="str">
        <f t="shared" si="4"/>
        <v>Closed</v>
      </c>
      <c r="M98" s="55" t="str">
        <f t="shared" si="5"/>
        <v>No</v>
      </c>
    </row>
    <row r="99" ht="15.75" customHeight="1">
      <c r="A99" s="25" t="s">
        <v>1310</v>
      </c>
      <c r="B99" s="25" t="s">
        <v>558</v>
      </c>
      <c r="C99" s="25" t="s">
        <v>559</v>
      </c>
      <c r="D99" s="26">
        <v>46034.0</v>
      </c>
      <c r="E99" s="26">
        <v>46064.0</v>
      </c>
      <c r="F99" s="30">
        <v>363.6</v>
      </c>
      <c r="G99" s="26">
        <v>46072.0</v>
      </c>
      <c r="H99" s="30">
        <v>363.6</v>
      </c>
      <c r="I99" s="30">
        <f t="shared" si="1"/>
        <v>0</v>
      </c>
      <c r="J99" s="29">
        <f t="shared" si="2"/>
        <v>94</v>
      </c>
      <c r="K99" s="25" t="str">
        <f t="shared" si="3"/>
        <v>Paid</v>
      </c>
      <c r="L99" s="25" t="str">
        <f t="shared" si="4"/>
        <v>Closed</v>
      </c>
      <c r="M99" s="30" t="str">
        <f t="shared" si="5"/>
        <v>No</v>
      </c>
    </row>
    <row r="100" ht="15.75" customHeight="1">
      <c r="A100" s="53" t="s">
        <v>1311</v>
      </c>
      <c r="B100" s="53" t="s">
        <v>1086</v>
      </c>
      <c r="C100" s="53" t="s">
        <v>1081</v>
      </c>
      <c r="D100" s="54">
        <v>46067.0</v>
      </c>
      <c r="E100" s="54">
        <v>46097.0</v>
      </c>
      <c r="F100" s="55">
        <v>132.24</v>
      </c>
      <c r="G100" s="54"/>
      <c r="H100" s="55">
        <v>0.0</v>
      </c>
      <c r="I100" s="55">
        <f t="shared" si="1"/>
        <v>132.24</v>
      </c>
      <c r="J100" s="56">
        <f t="shared" si="2"/>
        <v>61</v>
      </c>
      <c r="K100" s="53" t="str">
        <f t="shared" si="3"/>
        <v>61-90</v>
      </c>
      <c r="L100" s="53" t="str">
        <f t="shared" si="4"/>
        <v>Collections Review</v>
      </c>
      <c r="M100" s="55" t="str">
        <f t="shared" si="5"/>
        <v>Yes</v>
      </c>
    </row>
    <row r="101" ht="15.75" customHeight="1">
      <c r="A101" s="25" t="s">
        <v>1312</v>
      </c>
      <c r="B101" s="25" t="s">
        <v>185</v>
      </c>
      <c r="C101" s="25" t="s">
        <v>181</v>
      </c>
      <c r="D101" s="26">
        <v>46051.0</v>
      </c>
      <c r="E101" s="26">
        <v>46081.0</v>
      </c>
      <c r="F101" s="30">
        <v>725.76</v>
      </c>
      <c r="G101" s="26">
        <v>46094.0</v>
      </c>
      <c r="H101" s="30">
        <v>725.76</v>
      </c>
      <c r="I101" s="30">
        <f t="shared" si="1"/>
        <v>0</v>
      </c>
      <c r="J101" s="29">
        <f t="shared" si="2"/>
        <v>77</v>
      </c>
      <c r="K101" s="25" t="str">
        <f t="shared" si="3"/>
        <v>Paid</v>
      </c>
      <c r="L101" s="25" t="str">
        <f t="shared" si="4"/>
        <v>Closed</v>
      </c>
      <c r="M101" s="30" t="str">
        <f t="shared" si="5"/>
        <v>No</v>
      </c>
    </row>
    <row r="102" ht="15.75" customHeight="1">
      <c r="A102" s="53" t="s">
        <v>1313</v>
      </c>
      <c r="B102" s="53" t="s">
        <v>460</v>
      </c>
      <c r="C102" s="53" t="s">
        <v>444</v>
      </c>
      <c r="D102" s="54">
        <v>46080.0</v>
      </c>
      <c r="E102" s="54">
        <v>46110.0</v>
      </c>
      <c r="F102" s="55">
        <v>391.32</v>
      </c>
      <c r="G102" s="54"/>
      <c r="H102" s="55">
        <v>0.0</v>
      </c>
      <c r="I102" s="55">
        <f t="shared" si="1"/>
        <v>391.32</v>
      </c>
      <c r="J102" s="56">
        <f t="shared" si="2"/>
        <v>48</v>
      </c>
      <c r="K102" s="53" t="str">
        <f t="shared" si="3"/>
        <v>31-60</v>
      </c>
      <c r="L102" s="53" t="str">
        <f t="shared" si="4"/>
        <v>Reminder Sent</v>
      </c>
      <c r="M102" s="55" t="str">
        <f t="shared" si="5"/>
        <v>No</v>
      </c>
    </row>
    <row r="103" ht="15.75" customHeight="1">
      <c r="A103" s="25" t="s">
        <v>1314</v>
      </c>
      <c r="B103" s="25" t="s">
        <v>560</v>
      </c>
      <c r="C103" s="25" t="s">
        <v>561</v>
      </c>
      <c r="D103" s="26">
        <v>46061.0</v>
      </c>
      <c r="E103" s="26">
        <v>46091.0</v>
      </c>
      <c r="F103" s="30">
        <v>237.9</v>
      </c>
      <c r="G103" s="26">
        <v>46120.0</v>
      </c>
      <c r="H103" s="30">
        <v>237.9</v>
      </c>
      <c r="I103" s="30">
        <f t="shared" si="1"/>
        <v>0</v>
      </c>
      <c r="J103" s="29">
        <f t="shared" si="2"/>
        <v>67</v>
      </c>
      <c r="K103" s="25" t="str">
        <f t="shared" si="3"/>
        <v>Paid</v>
      </c>
      <c r="L103" s="25" t="str">
        <f t="shared" si="4"/>
        <v>Closed</v>
      </c>
      <c r="M103" s="30" t="str">
        <f t="shared" si="5"/>
        <v>No</v>
      </c>
    </row>
    <row r="104" ht="15.75" customHeight="1">
      <c r="A104" s="53" t="s">
        <v>1315</v>
      </c>
      <c r="B104" s="53" t="s">
        <v>461</v>
      </c>
      <c r="C104" s="53" t="s">
        <v>444</v>
      </c>
      <c r="D104" s="54">
        <v>46131.0</v>
      </c>
      <c r="E104" s="54">
        <v>46176.0</v>
      </c>
      <c r="F104" s="55">
        <v>364.2</v>
      </c>
      <c r="G104" s="54">
        <v>46174.0</v>
      </c>
      <c r="H104" s="55">
        <v>131.14</v>
      </c>
      <c r="I104" s="55">
        <f t="shared" si="1"/>
        <v>233.06</v>
      </c>
      <c r="J104" s="56">
        <f t="shared" si="2"/>
        <v>0</v>
      </c>
      <c r="K104" s="53" t="str">
        <f t="shared" si="3"/>
        <v>0-30</v>
      </c>
      <c r="L104" s="53" t="str">
        <f t="shared" si="4"/>
        <v>Current</v>
      </c>
      <c r="M104" s="55" t="str">
        <f t="shared" si="5"/>
        <v>No</v>
      </c>
    </row>
    <row r="105" ht="15.75" customHeight="1">
      <c r="A105" s="25" t="s">
        <v>1316</v>
      </c>
      <c r="B105" s="25" t="s">
        <v>722</v>
      </c>
      <c r="C105" s="25" t="s">
        <v>723</v>
      </c>
      <c r="D105" s="26">
        <v>46043.0</v>
      </c>
      <c r="E105" s="26">
        <v>46073.0</v>
      </c>
      <c r="F105" s="30">
        <v>1210.68</v>
      </c>
      <c r="G105" s="26">
        <v>46071.0</v>
      </c>
      <c r="H105" s="30">
        <v>1210.68</v>
      </c>
      <c r="I105" s="30">
        <f t="shared" si="1"/>
        <v>0</v>
      </c>
      <c r="J105" s="29">
        <f t="shared" si="2"/>
        <v>85</v>
      </c>
      <c r="K105" s="25" t="str">
        <f t="shared" si="3"/>
        <v>Paid</v>
      </c>
      <c r="L105" s="25" t="str">
        <f t="shared" si="4"/>
        <v>Closed</v>
      </c>
      <c r="M105" s="30" t="str">
        <f t="shared" si="5"/>
        <v>No</v>
      </c>
    </row>
    <row r="106" ht="15.75" customHeight="1">
      <c r="A106" s="53" t="s">
        <v>1317</v>
      </c>
      <c r="B106" s="53" t="s">
        <v>1087</v>
      </c>
      <c r="C106" s="53" t="s">
        <v>1075</v>
      </c>
      <c r="D106" s="54">
        <v>46064.0</v>
      </c>
      <c r="E106" s="54">
        <v>46079.0</v>
      </c>
      <c r="F106" s="55">
        <v>697.2</v>
      </c>
      <c r="G106" s="54"/>
      <c r="H106" s="55">
        <v>0.0</v>
      </c>
      <c r="I106" s="55">
        <f t="shared" si="1"/>
        <v>697.2</v>
      </c>
      <c r="J106" s="56">
        <f t="shared" si="2"/>
        <v>79</v>
      </c>
      <c r="K106" s="53" t="str">
        <f t="shared" si="3"/>
        <v>61-90</v>
      </c>
      <c r="L106" s="53" t="str">
        <f t="shared" si="4"/>
        <v>Collections Review</v>
      </c>
      <c r="M106" s="55" t="str">
        <f t="shared" si="5"/>
        <v>Yes</v>
      </c>
    </row>
    <row r="107" ht="15.75" customHeight="1">
      <c r="A107" s="25" t="s">
        <v>1318</v>
      </c>
      <c r="B107" s="25" t="s">
        <v>867</v>
      </c>
      <c r="C107" s="25" t="s">
        <v>868</v>
      </c>
      <c r="D107" s="26">
        <v>46082.0</v>
      </c>
      <c r="E107" s="26">
        <v>46127.0</v>
      </c>
      <c r="F107" s="30">
        <v>58.74</v>
      </c>
      <c r="G107" s="26">
        <v>46159.0</v>
      </c>
      <c r="H107" s="30">
        <v>58.74</v>
      </c>
      <c r="I107" s="30">
        <f t="shared" si="1"/>
        <v>0</v>
      </c>
      <c r="J107" s="29">
        <f t="shared" si="2"/>
        <v>31</v>
      </c>
      <c r="K107" s="25" t="str">
        <f t="shared" si="3"/>
        <v>Paid</v>
      </c>
      <c r="L107" s="25" t="str">
        <f t="shared" si="4"/>
        <v>Closed</v>
      </c>
      <c r="M107" s="30" t="str">
        <f t="shared" si="5"/>
        <v>No</v>
      </c>
    </row>
    <row r="108" ht="15.75" customHeight="1">
      <c r="A108" s="53" t="s">
        <v>1319</v>
      </c>
      <c r="B108" s="53" t="s">
        <v>869</v>
      </c>
      <c r="C108" s="53" t="s">
        <v>868</v>
      </c>
      <c r="D108" s="54">
        <v>46133.0</v>
      </c>
      <c r="E108" s="54">
        <v>46178.0</v>
      </c>
      <c r="F108" s="55">
        <v>1248.0</v>
      </c>
      <c r="G108" s="54">
        <v>46208.0</v>
      </c>
      <c r="H108" s="55">
        <v>490.22</v>
      </c>
      <c r="I108" s="55">
        <f t="shared" si="1"/>
        <v>757.78</v>
      </c>
      <c r="J108" s="56">
        <f t="shared" si="2"/>
        <v>0</v>
      </c>
      <c r="K108" s="53" t="str">
        <f t="shared" si="3"/>
        <v>0-30</v>
      </c>
      <c r="L108" s="53" t="str">
        <f t="shared" si="4"/>
        <v>Current</v>
      </c>
      <c r="M108" s="55" t="str">
        <f t="shared" si="5"/>
        <v>No</v>
      </c>
    </row>
    <row r="109" ht="15.75" customHeight="1">
      <c r="A109" s="25" t="s">
        <v>1320</v>
      </c>
      <c r="B109" s="25" t="s">
        <v>562</v>
      </c>
      <c r="C109" s="25" t="s">
        <v>553</v>
      </c>
      <c r="D109" s="26">
        <v>46093.0</v>
      </c>
      <c r="E109" s="26">
        <v>46108.0</v>
      </c>
      <c r="F109" s="30">
        <v>689.52</v>
      </c>
      <c r="G109" s="26"/>
      <c r="H109" s="30">
        <v>0.0</v>
      </c>
      <c r="I109" s="30">
        <f t="shared" si="1"/>
        <v>689.52</v>
      </c>
      <c r="J109" s="29">
        <f t="shared" si="2"/>
        <v>50</v>
      </c>
      <c r="K109" s="25" t="str">
        <f t="shared" si="3"/>
        <v>31-60</v>
      </c>
      <c r="L109" s="25" t="str">
        <f t="shared" si="4"/>
        <v>Reminder Sent</v>
      </c>
      <c r="M109" s="30" t="str">
        <f t="shared" si="5"/>
        <v>No</v>
      </c>
    </row>
    <row r="110" ht="15.75" customHeight="1">
      <c r="A110" s="53" t="s">
        <v>1321</v>
      </c>
      <c r="B110" s="53" t="s">
        <v>870</v>
      </c>
      <c r="C110" s="53" t="s">
        <v>857</v>
      </c>
      <c r="D110" s="54">
        <v>46047.0</v>
      </c>
      <c r="E110" s="54">
        <v>46092.0</v>
      </c>
      <c r="F110" s="55">
        <v>305.7</v>
      </c>
      <c r="G110" s="54">
        <v>46113.0</v>
      </c>
      <c r="H110" s="55">
        <v>305.7</v>
      </c>
      <c r="I110" s="55">
        <f t="shared" si="1"/>
        <v>0</v>
      </c>
      <c r="J110" s="56">
        <f t="shared" si="2"/>
        <v>66</v>
      </c>
      <c r="K110" s="53" t="str">
        <f t="shared" si="3"/>
        <v>Paid</v>
      </c>
      <c r="L110" s="53" t="str">
        <f t="shared" si="4"/>
        <v>Closed</v>
      </c>
      <c r="M110" s="55" t="str">
        <f t="shared" si="5"/>
        <v>No</v>
      </c>
    </row>
    <row r="111" ht="15.75" customHeight="1">
      <c r="A111" s="25" t="s">
        <v>1322</v>
      </c>
      <c r="B111" s="25" t="s">
        <v>871</v>
      </c>
      <c r="C111" s="25" t="s">
        <v>861</v>
      </c>
      <c r="D111" s="26">
        <v>46109.0</v>
      </c>
      <c r="E111" s="26">
        <v>46124.0</v>
      </c>
      <c r="F111" s="30">
        <v>487.44</v>
      </c>
      <c r="G111" s="26">
        <v>46151.0</v>
      </c>
      <c r="H111" s="30">
        <v>178.86</v>
      </c>
      <c r="I111" s="30">
        <f t="shared" si="1"/>
        <v>308.58</v>
      </c>
      <c r="J111" s="29">
        <f t="shared" si="2"/>
        <v>34</v>
      </c>
      <c r="K111" s="25" t="str">
        <f t="shared" si="3"/>
        <v>31-60</v>
      </c>
      <c r="L111" s="25" t="str">
        <f t="shared" si="4"/>
        <v>Reminder Sent</v>
      </c>
      <c r="M111" s="30" t="str">
        <f t="shared" si="5"/>
        <v>No</v>
      </c>
    </row>
    <row r="112" ht="15.75" customHeight="1">
      <c r="A112" s="53" t="s">
        <v>1323</v>
      </c>
      <c r="B112" s="53" t="s">
        <v>724</v>
      </c>
      <c r="C112" s="53" t="s">
        <v>720</v>
      </c>
      <c r="D112" s="54">
        <v>46109.0</v>
      </c>
      <c r="E112" s="54">
        <v>46154.0</v>
      </c>
      <c r="F112" s="55">
        <v>483.84</v>
      </c>
      <c r="G112" s="54">
        <v>46156.0</v>
      </c>
      <c r="H112" s="55">
        <v>483.84</v>
      </c>
      <c r="I112" s="55">
        <f t="shared" si="1"/>
        <v>0</v>
      </c>
      <c r="J112" s="56">
        <f t="shared" si="2"/>
        <v>4</v>
      </c>
      <c r="K112" s="53" t="str">
        <f t="shared" si="3"/>
        <v>Paid</v>
      </c>
      <c r="L112" s="53" t="str">
        <f t="shared" si="4"/>
        <v>Closed</v>
      </c>
      <c r="M112" s="55" t="str">
        <f t="shared" si="5"/>
        <v>No</v>
      </c>
    </row>
    <row r="113" ht="15.75" customHeight="1">
      <c r="A113" s="25" t="s">
        <v>1324</v>
      </c>
      <c r="B113" s="25" t="s">
        <v>1088</v>
      </c>
      <c r="C113" s="25" t="s">
        <v>1079</v>
      </c>
      <c r="D113" s="26">
        <v>46106.0</v>
      </c>
      <c r="E113" s="26">
        <v>46136.0</v>
      </c>
      <c r="F113" s="30">
        <v>44.04</v>
      </c>
      <c r="G113" s="26">
        <v>46139.0</v>
      </c>
      <c r="H113" s="30">
        <v>44.04</v>
      </c>
      <c r="I113" s="30">
        <f t="shared" si="1"/>
        <v>0</v>
      </c>
      <c r="J113" s="29">
        <f t="shared" si="2"/>
        <v>22</v>
      </c>
      <c r="K113" s="25" t="str">
        <f t="shared" si="3"/>
        <v>Paid</v>
      </c>
      <c r="L113" s="25" t="str">
        <f t="shared" si="4"/>
        <v>Closed</v>
      </c>
      <c r="M113" s="30" t="str">
        <f t="shared" si="5"/>
        <v>No</v>
      </c>
    </row>
    <row r="114" ht="15.75" customHeight="1">
      <c r="A114" s="53" t="s">
        <v>1325</v>
      </c>
      <c r="B114" s="53" t="s">
        <v>186</v>
      </c>
      <c r="C114" s="53" t="s">
        <v>166</v>
      </c>
      <c r="D114" s="54">
        <v>46130.0</v>
      </c>
      <c r="E114" s="54">
        <v>46145.0</v>
      </c>
      <c r="F114" s="55">
        <v>1280.4</v>
      </c>
      <c r="G114" s="54"/>
      <c r="H114" s="55">
        <v>0.0</v>
      </c>
      <c r="I114" s="55">
        <f t="shared" si="1"/>
        <v>1280.4</v>
      </c>
      <c r="J114" s="56">
        <f t="shared" si="2"/>
        <v>13</v>
      </c>
      <c r="K114" s="53" t="str">
        <f t="shared" si="3"/>
        <v>0-30</v>
      </c>
      <c r="L114" s="53" t="str">
        <f t="shared" si="4"/>
        <v>Current</v>
      </c>
      <c r="M114" s="55" t="str">
        <f t="shared" si="5"/>
        <v>No</v>
      </c>
    </row>
    <row r="115" ht="15.75" customHeight="1">
      <c r="A115" s="25" t="s">
        <v>1326</v>
      </c>
      <c r="B115" s="25" t="s">
        <v>970</v>
      </c>
      <c r="C115" s="25" t="s">
        <v>961</v>
      </c>
      <c r="D115" s="26">
        <v>46066.0</v>
      </c>
      <c r="E115" s="26">
        <v>46096.0</v>
      </c>
      <c r="F115" s="30">
        <v>220.13</v>
      </c>
      <c r="G115" s="26"/>
      <c r="H115" s="30">
        <v>0.0</v>
      </c>
      <c r="I115" s="30">
        <f t="shared" si="1"/>
        <v>220.13</v>
      </c>
      <c r="J115" s="29">
        <f t="shared" si="2"/>
        <v>62</v>
      </c>
      <c r="K115" s="25" t="str">
        <f t="shared" si="3"/>
        <v>61-90</v>
      </c>
      <c r="L115" s="25" t="str">
        <f t="shared" si="4"/>
        <v>Collections Review</v>
      </c>
      <c r="M115" s="30" t="str">
        <f t="shared" si="5"/>
        <v>Yes</v>
      </c>
    </row>
    <row r="116" ht="15.75" customHeight="1">
      <c r="A116" s="53" t="s">
        <v>1327</v>
      </c>
      <c r="B116" s="53" t="s">
        <v>1138</v>
      </c>
      <c r="C116" s="53" t="s">
        <v>1139</v>
      </c>
      <c r="D116" s="54">
        <v>46065.0</v>
      </c>
      <c r="E116" s="54">
        <v>46110.0</v>
      </c>
      <c r="F116" s="55">
        <v>47.28</v>
      </c>
      <c r="G116" s="54"/>
      <c r="H116" s="55">
        <v>0.0</v>
      </c>
      <c r="I116" s="55">
        <f t="shared" si="1"/>
        <v>47.28</v>
      </c>
      <c r="J116" s="56">
        <f t="shared" si="2"/>
        <v>48</v>
      </c>
      <c r="K116" s="53" t="str">
        <f t="shared" si="3"/>
        <v>31-60</v>
      </c>
      <c r="L116" s="53" t="str">
        <f t="shared" si="4"/>
        <v>Reminder Sent</v>
      </c>
      <c r="M116" s="55" t="str">
        <f t="shared" si="5"/>
        <v>No</v>
      </c>
    </row>
    <row r="117" ht="15.75" customHeight="1">
      <c r="A117" s="25" t="s">
        <v>1328</v>
      </c>
      <c r="B117" s="25" t="s">
        <v>1089</v>
      </c>
      <c r="C117" s="25" t="s">
        <v>1083</v>
      </c>
      <c r="D117" s="26">
        <v>46085.0</v>
      </c>
      <c r="E117" s="26">
        <v>46115.0</v>
      </c>
      <c r="F117" s="30">
        <v>461.31</v>
      </c>
      <c r="G117" s="26"/>
      <c r="H117" s="30">
        <v>0.0</v>
      </c>
      <c r="I117" s="30">
        <f t="shared" si="1"/>
        <v>461.31</v>
      </c>
      <c r="J117" s="29">
        <f t="shared" si="2"/>
        <v>43</v>
      </c>
      <c r="K117" s="25" t="str">
        <f t="shared" si="3"/>
        <v>31-60</v>
      </c>
      <c r="L117" s="25" t="str">
        <f t="shared" si="4"/>
        <v>Reminder Sent</v>
      </c>
      <c r="M117" s="30" t="str">
        <f t="shared" si="5"/>
        <v>No</v>
      </c>
    </row>
    <row r="118" ht="15.75" customHeight="1">
      <c r="A118" s="53" t="s">
        <v>1329</v>
      </c>
      <c r="B118" s="53" t="s">
        <v>872</v>
      </c>
      <c r="C118" s="53" t="s">
        <v>873</v>
      </c>
      <c r="D118" s="54">
        <v>46064.0</v>
      </c>
      <c r="E118" s="54">
        <v>46094.0</v>
      </c>
      <c r="F118" s="55">
        <v>94.08</v>
      </c>
      <c r="G118" s="54"/>
      <c r="H118" s="55">
        <v>0.0</v>
      </c>
      <c r="I118" s="55">
        <f t="shared" si="1"/>
        <v>94.08</v>
      </c>
      <c r="J118" s="56">
        <f t="shared" si="2"/>
        <v>64</v>
      </c>
      <c r="K118" s="53" t="str">
        <f t="shared" si="3"/>
        <v>61-90</v>
      </c>
      <c r="L118" s="53" t="str">
        <f t="shared" si="4"/>
        <v>Collections Review</v>
      </c>
      <c r="M118" s="55" t="str">
        <f t="shared" si="5"/>
        <v>Yes</v>
      </c>
    </row>
    <row r="119" ht="15.75" customHeight="1">
      <c r="A119" s="25" t="s">
        <v>1330</v>
      </c>
      <c r="B119" s="25" t="s">
        <v>187</v>
      </c>
      <c r="C119" s="25" t="s">
        <v>174</v>
      </c>
      <c r="D119" s="26">
        <v>46116.0</v>
      </c>
      <c r="E119" s="26">
        <v>46146.0</v>
      </c>
      <c r="F119" s="30">
        <v>297.82</v>
      </c>
      <c r="G119" s="26"/>
      <c r="H119" s="30">
        <v>0.0</v>
      </c>
      <c r="I119" s="30">
        <f t="shared" si="1"/>
        <v>297.82</v>
      </c>
      <c r="J119" s="29">
        <f t="shared" si="2"/>
        <v>12</v>
      </c>
      <c r="K119" s="25" t="str">
        <f t="shared" si="3"/>
        <v>0-30</v>
      </c>
      <c r="L119" s="25" t="str">
        <f t="shared" si="4"/>
        <v>Current</v>
      </c>
      <c r="M119" s="30" t="str">
        <f t="shared" si="5"/>
        <v>No</v>
      </c>
    </row>
    <row r="120" ht="15.75" customHeight="1">
      <c r="A120" s="53" t="s">
        <v>1331</v>
      </c>
      <c r="B120" s="53" t="s">
        <v>563</v>
      </c>
      <c r="C120" s="53" t="s">
        <v>555</v>
      </c>
      <c r="D120" s="54">
        <v>46109.0</v>
      </c>
      <c r="E120" s="54">
        <v>46154.0</v>
      </c>
      <c r="F120" s="55">
        <v>481.44</v>
      </c>
      <c r="G120" s="54">
        <v>46150.0</v>
      </c>
      <c r="H120" s="55">
        <v>481.44</v>
      </c>
      <c r="I120" s="55">
        <f t="shared" si="1"/>
        <v>0</v>
      </c>
      <c r="J120" s="56">
        <f t="shared" si="2"/>
        <v>4</v>
      </c>
      <c r="K120" s="53" t="str">
        <f t="shared" si="3"/>
        <v>Paid</v>
      </c>
      <c r="L120" s="53" t="str">
        <f t="shared" si="4"/>
        <v>Closed</v>
      </c>
      <c r="M120" s="55" t="str">
        <f t="shared" si="5"/>
        <v>No</v>
      </c>
    </row>
    <row r="121" ht="15.75" customHeight="1">
      <c r="A121" s="25" t="s">
        <v>1332</v>
      </c>
      <c r="B121" s="25" t="s">
        <v>564</v>
      </c>
      <c r="C121" s="25" t="s">
        <v>559</v>
      </c>
      <c r="D121" s="26">
        <v>46036.0</v>
      </c>
      <c r="E121" s="26">
        <v>46066.0</v>
      </c>
      <c r="F121" s="30">
        <v>66.82</v>
      </c>
      <c r="G121" s="26"/>
      <c r="H121" s="30">
        <v>0.0</v>
      </c>
      <c r="I121" s="30">
        <f t="shared" si="1"/>
        <v>66.82</v>
      </c>
      <c r="J121" s="29">
        <f t="shared" si="2"/>
        <v>92</v>
      </c>
      <c r="K121" s="25" t="str">
        <f t="shared" si="3"/>
        <v>90+</v>
      </c>
      <c r="L121" s="25" t="str">
        <f t="shared" si="4"/>
        <v>Escalate</v>
      </c>
      <c r="M121" s="30" t="str">
        <f t="shared" si="5"/>
        <v>Yes</v>
      </c>
    </row>
    <row r="122" ht="15.75" customHeight="1">
      <c r="A122" s="53" t="s">
        <v>1333</v>
      </c>
      <c r="B122" s="53" t="s">
        <v>971</v>
      </c>
      <c r="C122" s="53" t="s">
        <v>965</v>
      </c>
      <c r="D122" s="54">
        <v>46084.0</v>
      </c>
      <c r="E122" s="54">
        <v>46099.0</v>
      </c>
      <c r="F122" s="55">
        <v>913.92</v>
      </c>
      <c r="G122" s="54"/>
      <c r="H122" s="55">
        <v>0.0</v>
      </c>
      <c r="I122" s="55">
        <f t="shared" si="1"/>
        <v>913.92</v>
      </c>
      <c r="J122" s="56">
        <f t="shared" si="2"/>
        <v>59</v>
      </c>
      <c r="K122" s="53" t="str">
        <f t="shared" si="3"/>
        <v>31-60</v>
      </c>
      <c r="L122" s="53" t="str">
        <f t="shared" si="4"/>
        <v>Reminder Sent</v>
      </c>
      <c r="M122" s="55" t="str">
        <f t="shared" si="5"/>
        <v>No</v>
      </c>
    </row>
    <row r="123" ht="15.75" customHeight="1">
      <c r="A123" s="25" t="s">
        <v>1334</v>
      </c>
      <c r="B123" s="25" t="s">
        <v>311</v>
      </c>
      <c r="C123" s="25" t="s">
        <v>312</v>
      </c>
      <c r="D123" s="26">
        <v>46103.0</v>
      </c>
      <c r="E123" s="26">
        <v>46133.0</v>
      </c>
      <c r="F123" s="30">
        <v>361.44</v>
      </c>
      <c r="G123" s="26">
        <v>46175.0</v>
      </c>
      <c r="H123" s="30">
        <v>361.44</v>
      </c>
      <c r="I123" s="30">
        <f t="shared" si="1"/>
        <v>0</v>
      </c>
      <c r="J123" s="29">
        <f t="shared" si="2"/>
        <v>25</v>
      </c>
      <c r="K123" s="25" t="str">
        <f t="shared" si="3"/>
        <v>Paid</v>
      </c>
      <c r="L123" s="25" t="str">
        <f t="shared" si="4"/>
        <v>Closed</v>
      </c>
      <c r="M123" s="30" t="str">
        <f t="shared" si="5"/>
        <v>No</v>
      </c>
    </row>
    <row r="124" ht="15.75" customHeight="1">
      <c r="A124" s="53" t="s">
        <v>1335</v>
      </c>
      <c r="B124" s="53" t="s">
        <v>1090</v>
      </c>
      <c r="C124" s="53" t="s">
        <v>1077</v>
      </c>
      <c r="D124" s="54">
        <v>46153.0</v>
      </c>
      <c r="E124" s="54">
        <v>46198.0</v>
      </c>
      <c r="F124" s="55">
        <v>655.38</v>
      </c>
      <c r="G124" s="54"/>
      <c r="H124" s="55">
        <v>0.0</v>
      </c>
      <c r="I124" s="55">
        <f t="shared" si="1"/>
        <v>655.38</v>
      </c>
      <c r="J124" s="56">
        <f t="shared" si="2"/>
        <v>0</v>
      </c>
      <c r="K124" s="53" t="str">
        <f t="shared" si="3"/>
        <v>0-30</v>
      </c>
      <c r="L124" s="53" t="str">
        <f t="shared" si="4"/>
        <v>Current</v>
      </c>
      <c r="M124" s="55" t="str">
        <f t="shared" si="5"/>
        <v>No</v>
      </c>
    </row>
    <row r="125" ht="15.75" customHeight="1">
      <c r="A125" s="25" t="s">
        <v>1336</v>
      </c>
      <c r="B125" s="25" t="s">
        <v>725</v>
      </c>
      <c r="C125" s="25" t="s">
        <v>717</v>
      </c>
      <c r="D125" s="26">
        <v>46118.0</v>
      </c>
      <c r="E125" s="26">
        <v>46148.0</v>
      </c>
      <c r="F125" s="30">
        <v>393.84</v>
      </c>
      <c r="G125" s="26"/>
      <c r="H125" s="30">
        <v>0.0</v>
      </c>
      <c r="I125" s="30">
        <f t="shared" si="1"/>
        <v>393.84</v>
      </c>
      <c r="J125" s="29">
        <f t="shared" si="2"/>
        <v>10</v>
      </c>
      <c r="K125" s="25" t="str">
        <f t="shared" si="3"/>
        <v>0-30</v>
      </c>
      <c r="L125" s="25" t="str">
        <f t="shared" si="4"/>
        <v>Current</v>
      </c>
      <c r="M125" s="30" t="str">
        <f t="shared" si="5"/>
        <v>No</v>
      </c>
    </row>
    <row r="126" ht="15.75" customHeight="1">
      <c r="A126" s="53" t="s">
        <v>1337</v>
      </c>
      <c r="B126" s="53" t="s">
        <v>874</v>
      </c>
      <c r="C126" s="53" t="s">
        <v>873</v>
      </c>
      <c r="D126" s="54">
        <v>46134.0</v>
      </c>
      <c r="E126" s="54">
        <v>46164.0</v>
      </c>
      <c r="F126" s="55">
        <v>387.72</v>
      </c>
      <c r="G126" s="54"/>
      <c r="H126" s="55">
        <v>0.0</v>
      </c>
      <c r="I126" s="55">
        <f t="shared" si="1"/>
        <v>387.72</v>
      </c>
      <c r="J126" s="56">
        <f t="shared" si="2"/>
        <v>0</v>
      </c>
      <c r="K126" s="53" t="str">
        <f t="shared" si="3"/>
        <v>0-30</v>
      </c>
      <c r="L126" s="53" t="str">
        <f t="shared" si="4"/>
        <v>Current</v>
      </c>
      <c r="M126" s="55" t="str">
        <f t="shared" si="5"/>
        <v>No</v>
      </c>
    </row>
    <row r="127" ht="15.75" customHeight="1">
      <c r="A127" s="25" t="s">
        <v>1338</v>
      </c>
      <c r="B127" s="25" t="s">
        <v>972</v>
      </c>
      <c r="C127" s="25" t="s">
        <v>965</v>
      </c>
      <c r="D127" s="26">
        <v>46110.0</v>
      </c>
      <c r="E127" s="26">
        <v>46140.0</v>
      </c>
      <c r="F127" s="30">
        <v>259.2</v>
      </c>
      <c r="G127" s="26"/>
      <c r="H127" s="30">
        <v>0.0</v>
      </c>
      <c r="I127" s="30">
        <f t="shared" si="1"/>
        <v>259.2</v>
      </c>
      <c r="J127" s="29">
        <f t="shared" si="2"/>
        <v>18</v>
      </c>
      <c r="K127" s="25" t="str">
        <f t="shared" si="3"/>
        <v>0-30</v>
      </c>
      <c r="L127" s="25" t="str">
        <f t="shared" si="4"/>
        <v>Current</v>
      </c>
      <c r="M127" s="30" t="str">
        <f t="shared" si="5"/>
        <v>No</v>
      </c>
    </row>
    <row r="128" ht="15.75" customHeight="1">
      <c r="A128" s="53" t="s">
        <v>1339</v>
      </c>
      <c r="B128" s="53" t="s">
        <v>875</v>
      </c>
      <c r="C128" s="53" t="s">
        <v>866</v>
      </c>
      <c r="D128" s="54">
        <v>46099.0</v>
      </c>
      <c r="E128" s="54">
        <v>46144.0</v>
      </c>
      <c r="F128" s="55">
        <v>379.2</v>
      </c>
      <c r="G128" s="54">
        <v>46182.0</v>
      </c>
      <c r="H128" s="55">
        <v>379.2</v>
      </c>
      <c r="I128" s="55">
        <f t="shared" si="1"/>
        <v>0</v>
      </c>
      <c r="J128" s="56">
        <f t="shared" si="2"/>
        <v>14</v>
      </c>
      <c r="K128" s="53" t="str">
        <f t="shared" si="3"/>
        <v>Paid</v>
      </c>
      <c r="L128" s="53" t="str">
        <f t="shared" si="4"/>
        <v>Closed</v>
      </c>
      <c r="M128" s="55" t="str">
        <f t="shared" si="5"/>
        <v>No</v>
      </c>
    </row>
    <row r="129" ht="15.75" customHeight="1">
      <c r="A129" s="25" t="s">
        <v>1340</v>
      </c>
      <c r="B129" s="25" t="s">
        <v>973</v>
      </c>
      <c r="C129" s="25" t="s">
        <v>974</v>
      </c>
      <c r="D129" s="26">
        <v>46080.0</v>
      </c>
      <c r="E129" s="26">
        <v>46110.0</v>
      </c>
      <c r="F129" s="30">
        <v>145.26</v>
      </c>
      <c r="G129" s="26">
        <v>46117.0</v>
      </c>
      <c r="H129" s="30">
        <v>145.26</v>
      </c>
      <c r="I129" s="30">
        <f t="shared" si="1"/>
        <v>0</v>
      </c>
      <c r="J129" s="29">
        <f t="shared" si="2"/>
        <v>48</v>
      </c>
      <c r="K129" s="25" t="str">
        <f t="shared" si="3"/>
        <v>Paid</v>
      </c>
      <c r="L129" s="25" t="str">
        <f t="shared" si="4"/>
        <v>Closed</v>
      </c>
      <c r="M129" s="30" t="str">
        <f t="shared" si="5"/>
        <v>No</v>
      </c>
    </row>
    <row r="130" ht="15.75" customHeight="1">
      <c r="A130" s="53" t="s">
        <v>1341</v>
      </c>
      <c r="B130" s="53" t="s">
        <v>1091</v>
      </c>
      <c r="C130" s="53" t="s">
        <v>1079</v>
      </c>
      <c r="D130" s="54">
        <v>46131.0</v>
      </c>
      <c r="E130" s="54">
        <v>46176.0</v>
      </c>
      <c r="F130" s="55">
        <v>126.48</v>
      </c>
      <c r="G130" s="54"/>
      <c r="H130" s="55">
        <v>0.0</v>
      </c>
      <c r="I130" s="55">
        <f t="shared" si="1"/>
        <v>126.48</v>
      </c>
      <c r="J130" s="56">
        <f t="shared" si="2"/>
        <v>0</v>
      </c>
      <c r="K130" s="53" t="str">
        <f t="shared" si="3"/>
        <v>0-30</v>
      </c>
      <c r="L130" s="53" t="str">
        <f t="shared" si="4"/>
        <v>Current</v>
      </c>
      <c r="M130" s="55" t="str">
        <f t="shared" si="5"/>
        <v>No</v>
      </c>
    </row>
    <row r="131" ht="15.75" customHeight="1">
      <c r="A131" s="25" t="s">
        <v>1342</v>
      </c>
      <c r="B131" s="25" t="s">
        <v>313</v>
      </c>
      <c r="C131" s="25" t="s">
        <v>314</v>
      </c>
      <c r="D131" s="26">
        <v>46145.0</v>
      </c>
      <c r="E131" s="26">
        <v>46160.0</v>
      </c>
      <c r="F131" s="30">
        <v>125.4</v>
      </c>
      <c r="G131" s="26">
        <v>46160.0</v>
      </c>
      <c r="H131" s="30">
        <v>125.4</v>
      </c>
      <c r="I131" s="30">
        <f t="shared" si="1"/>
        <v>0</v>
      </c>
      <c r="J131" s="29">
        <f t="shared" si="2"/>
        <v>0</v>
      </c>
      <c r="K131" s="25" t="str">
        <f t="shared" si="3"/>
        <v>Paid</v>
      </c>
      <c r="L131" s="25" t="str">
        <f t="shared" si="4"/>
        <v>Closed</v>
      </c>
      <c r="M131" s="30" t="str">
        <f t="shared" si="5"/>
        <v>No</v>
      </c>
    </row>
    <row r="132" ht="15.75" customHeight="1">
      <c r="A132" s="53" t="s">
        <v>1343</v>
      </c>
      <c r="B132" s="53" t="s">
        <v>728</v>
      </c>
      <c r="C132" s="53" t="s">
        <v>729</v>
      </c>
      <c r="D132" s="54">
        <v>46118.0</v>
      </c>
      <c r="E132" s="54">
        <v>46163.0</v>
      </c>
      <c r="F132" s="55">
        <v>46.5</v>
      </c>
      <c r="G132" s="54">
        <v>46167.0</v>
      </c>
      <c r="H132" s="55">
        <v>46.5</v>
      </c>
      <c r="I132" s="55">
        <f t="shared" si="1"/>
        <v>0</v>
      </c>
      <c r="J132" s="56">
        <f t="shared" si="2"/>
        <v>0</v>
      </c>
      <c r="K132" s="53" t="str">
        <f t="shared" si="3"/>
        <v>Paid</v>
      </c>
      <c r="L132" s="53" t="str">
        <f t="shared" si="4"/>
        <v>Closed</v>
      </c>
      <c r="M132" s="55" t="str">
        <f t="shared" si="5"/>
        <v>No</v>
      </c>
    </row>
    <row r="133" ht="15.75" customHeight="1">
      <c r="A133" s="25" t="s">
        <v>1344</v>
      </c>
      <c r="B133" s="25" t="s">
        <v>975</v>
      </c>
      <c r="C133" s="25" t="s">
        <v>974</v>
      </c>
      <c r="D133" s="26">
        <v>46074.0</v>
      </c>
      <c r="E133" s="26">
        <v>46104.0</v>
      </c>
      <c r="F133" s="30">
        <v>589.8</v>
      </c>
      <c r="G133" s="26">
        <v>46126.0</v>
      </c>
      <c r="H133" s="30">
        <v>589.8</v>
      </c>
      <c r="I133" s="30">
        <f t="shared" si="1"/>
        <v>0</v>
      </c>
      <c r="J133" s="29">
        <f t="shared" si="2"/>
        <v>54</v>
      </c>
      <c r="K133" s="25" t="str">
        <f t="shared" si="3"/>
        <v>Paid</v>
      </c>
      <c r="L133" s="25" t="str">
        <f t="shared" si="4"/>
        <v>Closed</v>
      </c>
      <c r="M133" s="30" t="str">
        <f t="shared" si="5"/>
        <v>No</v>
      </c>
    </row>
    <row r="134" ht="15.75" customHeight="1">
      <c r="A134" s="53" t="s">
        <v>1345</v>
      </c>
      <c r="B134" s="53" t="s">
        <v>565</v>
      </c>
      <c r="C134" s="53" t="s">
        <v>566</v>
      </c>
      <c r="D134" s="54">
        <v>46141.0</v>
      </c>
      <c r="E134" s="54">
        <v>46156.0</v>
      </c>
      <c r="F134" s="55">
        <v>395.64</v>
      </c>
      <c r="G134" s="54">
        <v>46153.0</v>
      </c>
      <c r="H134" s="55">
        <v>395.64</v>
      </c>
      <c r="I134" s="55">
        <f t="shared" si="1"/>
        <v>0</v>
      </c>
      <c r="J134" s="56">
        <f t="shared" si="2"/>
        <v>2</v>
      </c>
      <c r="K134" s="53" t="str">
        <f t="shared" si="3"/>
        <v>Paid</v>
      </c>
      <c r="L134" s="53" t="str">
        <f t="shared" si="4"/>
        <v>Closed</v>
      </c>
      <c r="M134" s="55" t="str">
        <f t="shared" si="5"/>
        <v>No</v>
      </c>
    </row>
    <row r="135" ht="15.75" customHeight="1">
      <c r="A135" s="25" t="s">
        <v>1346</v>
      </c>
      <c r="B135" s="25" t="s">
        <v>463</v>
      </c>
      <c r="C135" s="25" t="s">
        <v>464</v>
      </c>
      <c r="D135" s="26">
        <v>46059.0</v>
      </c>
      <c r="E135" s="26">
        <v>46089.0</v>
      </c>
      <c r="F135" s="30">
        <v>582.6</v>
      </c>
      <c r="G135" s="26">
        <v>46116.0</v>
      </c>
      <c r="H135" s="30">
        <v>582.6</v>
      </c>
      <c r="I135" s="30">
        <f t="shared" si="1"/>
        <v>0</v>
      </c>
      <c r="J135" s="29">
        <f t="shared" si="2"/>
        <v>69</v>
      </c>
      <c r="K135" s="25" t="str">
        <f t="shared" si="3"/>
        <v>Paid</v>
      </c>
      <c r="L135" s="25" t="str">
        <f t="shared" si="4"/>
        <v>Closed</v>
      </c>
      <c r="M135" s="30" t="str">
        <f t="shared" si="5"/>
        <v>No</v>
      </c>
    </row>
    <row r="136" ht="15.75" customHeight="1">
      <c r="A136" s="53" t="s">
        <v>1347</v>
      </c>
      <c r="B136" s="53" t="s">
        <v>567</v>
      </c>
      <c r="C136" s="53" t="s">
        <v>550</v>
      </c>
      <c r="D136" s="54">
        <v>46061.0</v>
      </c>
      <c r="E136" s="54">
        <v>46091.0</v>
      </c>
      <c r="F136" s="55">
        <v>205.56</v>
      </c>
      <c r="G136" s="54">
        <v>46101.0</v>
      </c>
      <c r="H136" s="55">
        <v>62.96</v>
      </c>
      <c r="I136" s="55">
        <f t="shared" si="1"/>
        <v>142.6</v>
      </c>
      <c r="J136" s="56">
        <f t="shared" si="2"/>
        <v>67</v>
      </c>
      <c r="K136" s="53" t="str">
        <f t="shared" si="3"/>
        <v>61-90</v>
      </c>
      <c r="L136" s="53" t="str">
        <f t="shared" si="4"/>
        <v>Collections Review</v>
      </c>
      <c r="M136" s="55" t="str">
        <f t="shared" si="5"/>
        <v>Yes</v>
      </c>
    </row>
    <row r="137" ht="15.75" customHeight="1">
      <c r="A137" s="25" t="s">
        <v>1348</v>
      </c>
      <c r="B137" s="25" t="s">
        <v>568</v>
      </c>
      <c r="C137" s="25" t="s">
        <v>559</v>
      </c>
      <c r="D137" s="26">
        <v>46100.0</v>
      </c>
      <c r="E137" s="26">
        <v>46115.0</v>
      </c>
      <c r="F137" s="30">
        <v>344.7</v>
      </c>
      <c r="G137" s="26">
        <v>46156.0</v>
      </c>
      <c r="H137" s="30">
        <v>344.7</v>
      </c>
      <c r="I137" s="30">
        <f t="shared" si="1"/>
        <v>0</v>
      </c>
      <c r="J137" s="29">
        <f t="shared" si="2"/>
        <v>43</v>
      </c>
      <c r="K137" s="25" t="str">
        <f t="shared" si="3"/>
        <v>Paid</v>
      </c>
      <c r="L137" s="25" t="str">
        <f t="shared" si="4"/>
        <v>Closed</v>
      </c>
      <c r="M137" s="30" t="str">
        <f t="shared" si="5"/>
        <v>No</v>
      </c>
    </row>
    <row r="138" ht="15.75" customHeight="1">
      <c r="A138" s="53" t="s">
        <v>1349</v>
      </c>
      <c r="B138" s="53" t="s">
        <v>730</v>
      </c>
      <c r="C138" s="53" t="s">
        <v>720</v>
      </c>
      <c r="D138" s="54">
        <v>46031.0</v>
      </c>
      <c r="E138" s="54">
        <v>46046.0</v>
      </c>
      <c r="F138" s="55">
        <v>314.7</v>
      </c>
      <c r="G138" s="54">
        <v>46046.0</v>
      </c>
      <c r="H138" s="55">
        <v>314.7</v>
      </c>
      <c r="I138" s="55">
        <f t="shared" si="1"/>
        <v>0</v>
      </c>
      <c r="J138" s="56">
        <f t="shared" si="2"/>
        <v>112</v>
      </c>
      <c r="K138" s="53" t="str">
        <f t="shared" si="3"/>
        <v>Paid</v>
      </c>
      <c r="L138" s="53" t="str">
        <f t="shared" si="4"/>
        <v>Closed</v>
      </c>
      <c r="M138" s="55" t="str">
        <f t="shared" si="5"/>
        <v>No</v>
      </c>
    </row>
    <row r="139" ht="15.75" customHeight="1">
      <c r="A139" s="25" t="s">
        <v>1350</v>
      </c>
      <c r="B139" s="25" t="s">
        <v>976</v>
      </c>
      <c r="C139" s="25" t="s">
        <v>965</v>
      </c>
      <c r="D139" s="26">
        <v>46067.0</v>
      </c>
      <c r="E139" s="26">
        <v>46097.0</v>
      </c>
      <c r="F139" s="30">
        <v>85.08</v>
      </c>
      <c r="G139" s="26">
        <v>46110.0</v>
      </c>
      <c r="H139" s="30">
        <v>85.08</v>
      </c>
      <c r="I139" s="30">
        <f t="shared" si="1"/>
        <v>0</v>
      </c>
      <c r="J139" s="29">
        <f t="shared" si="2"/>
        <v>61</v>
      </c>
      <c r="K139" s="25" t="str">
        <f t="shared" si="3"/>
        <v>Paid</v>
      </c>
      <c r="L139" s="25" t="str">
        <f t="shared" si="4"/>
        <v>Closed</v>
      </c>
      <c r="M139" s="30" t="str">
        <f t="shared" si="5"/>
        <v>No</v>
      </c>
    </row>
    <row r="140" ht="15.75" customHeight="1">
      <c r="A140" s="53" t="s">
        <v>1351</v>
      </c>
      <c r="B140" s="53" t="s">
        <v>731</v>
      </c>
      <c r="C140" s="53" t="s">
        <v>712</v>
      </c>
      <c r="D140" s="54">
        <v>46074.0</v>
      </c>
      <c r="E140" s="54">
        <v>46104.0</v>
      </c>
      <c r="F140" s="55">
        <v>391.32</v>
      </c>
      <c r="G140" s="54">
        <v>46104.0</v>
      </c>
      <c r="H140" s="55">
        <v>391.32</v>
      </c>
      <c r="I140" s="55">
        <f t="shared" si="1"/>
        <v>0</v>
      </c>
      <c r="J140" s="56">
        <f t="shared" si="2"/>
        <v>54</v>
      </c>
      <c r="K140" s="53" t="str">
        <f t="shared" si="3"/>
        <v>Paid</v>
      </c>
      <c r="L140" s="53" t="str">
        <f t="shared" si="4"/>
        <v>Closed</v>
      </c>
      <c r="M140" s="55" t="str">
        <f t="shared" si="5"/>
        <v>No</v>
      </c>
    </row>
    <row r="141" ht="15.75" customHeight="1">
      <c r="A141" s="25" t="s">
        <v>1352</v>
      </c>
      <c r="B141" s="25" t="s">
        <v>732</v>
      </c>
      <c r="C141" s="25" t="s">
        <v>733</v>
      </c>
      <c r="D141" s="26">
        <v>46075.0</v>
      </c>
      <c r="E141" s="26">
        <v>46105.0</v>
      </c>
      <c r="F141" s="30">
        <v>810.72</v>
      </c>
      <c r="G141" s="26"/>
      <c r="H141" s="30">
        <v>0.0</v>
      </c>
      <c r="I141" s="30">
        <f t="shared" si="1"/>
        <v>810.72</v>
      </c>
      <c r="J141" s="29">
        <f t="shared" si="2"/>
        <v>53</v>
      </c>
      <c r="K141" s="25" t="str">
        <f t="shared" si="3"/>
        <v>31-60</v>
      </c>
      <c r="L141" s="25" t="str">
        <f t="shared" si="4"/>
        <v>Reminder Sent</v>
      </c>
      <c r="M141" s="30" t="str">
        <f t="shared" si="5"/>
        <v>No</v>
      </c>
    </row>
    <row r="142" ht="15.75" customHeight="1">
      <c r="A142" s="53" t="s">
        <v>1353</v>
      </c>
      <c r="B142" s="53" t="s">
        <v>569</v>
      </c>
      <c r="C142" s="53" t="s">
        <v>570</v>
      </c>
      <c r="D142" s="54">
        <v>46134.0</v>
      </c>
      <c r="E142" s="54">
        <v>46164.0</v>
      </c>
      <c r="F142" s="55">
        <v>43.8</v>
      </c>
      <c r="G142" s="54">
        <v>46203.0</v>
      </c>
      <c r="H142" s="55">
        <v>43.8</v>
      </c>
      <c r="I142" s="55">
        <f t="shared" si="1"/>
        <v>0</v>
      </c>
      <c r="J142" s="56">
        <f t="shared" si="2"/>
        <v>0</v>
      </c>
      <c r="K142" s="53" t="str">
        <f t="shared" si="3"/>
        <v>Paid</v>
      </c>
      <c r="L142" s="53" t="str">
        <f t="shared" si="4"/>
        <v>Closed</v>
      </c>
      <c r="M142" s="55" t="str">
        <f t="shared" si="5"/>
        <v>No</v>
      </c>
    </row>
    <row r="143" ht="15.75" customHeight="1">
      <c r="A143" s="25" t="s">
        <v>1354</v>
      </c>
      <c r="B143" s="25" t="s">
        <v>571</v>
      </c>
      <c r="C143" s="25" t="s">
        <v>555</v>
      </c>
      <c r="D143" s="26">
        <v>46101.0</v>
      </c>
      <c r="E143" s="26">
        <v>46131.0</v>
      </c>
      <c r="F143" s="30">
        <v>571.8</v>
      </c>
      <c r="G143" s="26">
        <v>46140.0</v>
      </c>
      <c r="H143" s="30">
        <v>571.8</v>
      </c>
      <c r="I143" s="30">
        <f t="shared" si="1"/>
        <v>0</v>
      </c>
      <c r="J143" s="29">
        <f t="shared" si="2"/>
        <v>27</v>
      </c>
      <c r="K143" s="25" t="str">
        <f t="shared" si="3"/>
        <v>Paid</v>
      </c>
      <c r="L143" s="25" t="str">
        <f t="shared" si="4"/>
        <v>Closed</v>
      </c>
      <c r="M143" s="30" t="str">
        <f t="shared" si="5"/>
        <v>No</v>
      </c>
    </row>
    <row r="144" ht="15.75" customHeight="1">
      <c r="A144" s="53" t="s">
        <v>1355</v>
      </c>
      <c r="B144" s="53" t="s">
        <v>88</v>
      </c>
      <c r="C144" s="53" t="s">
        <v>80</v>
      </c>
      <c r="D144" s="54">
        <v>46045.0</v>
      </c>
      <c r="E144" s="54">
        <v>46075.0</v>
      </c>
      <c r="F144" s="55">
        <v>553.68</v>
      </c>
      <c r="G144" s="54"/>
      <c r="H144" s="55">
        <v>0.0</v>
      </c>
      <c r="I144" s="55">
        <f t="shared" si="1"/>
        <v>553.68</v>
      </c>
      <c r="J144" s="56">
        <f t="shared" si="2"/>
        <v>83</v>
      </c>
      <c r="K144" s="53" t="str">
        <f t="shared" si="3"/>
        <v>61-90</v>
      </c>
      <c r="L144" s="53" t="str">
        <f t="shared" si="4"/>
        <v>Collections Review</v>
      </c>
      <c r="M144" s="55" t="str">
        <f t="shared" si="5"/>
        <v>Yes</v>
      </c>
    </row>
    <row r="145" ht="15.75" customHeight="1">
      <c r="A145" s="25" t="s">
        <v>1356</v>
      </c>
      <c r="B145" s="25" t="s">
        <v>315</v>
      </c>
      <c r="C145" s="25" t="s">
        <v>312</v>
      </c>
      <c r="D145" s="26">
        <v>46052.0</v>
      </c>
      <c r="E145" s="26">
        <v>46082.0</v>
      </c>
      <c r="F145" s="30">
        <v>63.72</v>
      </c>
      <c r="G145" s="26">
        <v>46076.0</v>
      </c>
      <c r="H145" s="30">
        <v>63.72</v>
      </c>
      <c r="I145" s="30">
        <f t="shared" si="1"/>
        <v>0</v>
      </c>
      <c r="J145" s="29">
        <f t="shared" si="2"/>
        <v>76</v>
      </c>
      <c r="K145" s="25" t="str">
        <f t="shared" si="3"/>
        <v>Paid</v>
      </c>
      <c r="L145" s="25" t="str">
        <f t="shared" si="4"/>
        <v>Closed</v>
      </c>
      <c r="M145" s="30" t="str">
        <f t="shared" si="5"/>
        <v>No</v>
      </c>
    </row>
    <row r="146" ht="15.75" customHeight="1">
      <c r="A146" s="53" t="s">
        <v>1357</v>
      </c>
      <c r="B146" s="53" t="s">
        <v>467</v>
      </c>
      <c r="C146" s="53" t="s">
        <v>454</v>
      </c>
      <c r="D146" s="54">
        <v>46136.0</v>
      </c>
      <c r="E146" s="54">
        <v>46166.0</v>
      </c>
      <c r="F146" s="55">
        <v>46.86</v>
      </c>
      <c r="G146" s="54">
        <v>46170.0</v>
      </c>
      <c r="H146" s="55">
        <v>46.86</v>
      </c>
      <c r="I146" s="55">
        <f t="shared" si="1"/>
        <v>0</v>
      </c>
      <c r="J146" s="56">
        <f t="shared" si="2"/>
        <v>0</v>
      </c>
      <c r="K146" s="53" t="str">
        <f t="shared" si="3"/>
        <v>Paid</v>
      </c>
      <c r="L146" s="53" t="str">
        <f t="shared" si="4"/>
        <v>Closed</v>
      </c>
      <c r="M146" s="55" t="str">
        <f t="shared" si="5"/>
        <v>No</v>
      </c>
    </row>
    <row r="147" ht="15.75" customHeight="1">
      <c r="A147" s="25" t="s">
        <v>1358</v>
      </c>
      <c r="B147" s="25" t="s">
        <v>1140</v>
      </c>
      <c r="C147" s="25" t="s">
        <v>1129</v>
      </c>
      <c r="D147" s="26">
        <v>46142.0</v>
      </c>
      <c r="E147" s="26">
        <v>46187.0</v>
      </c>
      <c r="F147" s="30">
        <v>802.08</v>
      </c>
      <c r="G147" s="26">
        <v>46225.0</v>
      </c>
      <c r="H147" s="30">
        <v>802.08</v>
      </c>
      <c r="I147" s="30">
        <f t="shared" si="1"/>
        <v>0</v>
      </c>
      <c r="J147" s="29">
        <f t="shared" si="2"/>
        <v>0</v>
      </c>
      <c r="K147" s="25" t="str">
        <f t="shared" si="3"/>
        <v>Paid</v>
      </c>
      <c r="L147" s="25" t="str">
        <f t="shared" si="4"/>
        <v>Closed</v>
      </c>
      <c r="M147" s="30" t="str">
        <f t="shared" si="5"/>
        <v>No</v>
      </c>
    </row>
    <row r="148" ht="15.75" customHeight="1">
      <c r="A148" s="53" t="s">
        <v>1359</v>
      </c>
      <c r="B148" s="53" t="s">
        <v>572</v>
      </c>
      <c r="C148" s="53" t="s">
        <v>573</v>
      </c>
      <c r="D148" s="54">
        <v>46106.0</v>
      </c>
      <c r="E148" s="54">
        <v>46121.0</v>
      </c>
      <c r="F148" s="55">
        <v>191.34</v>
      </c>
      <c r="G148" s="54">
        <v>46154.0</v>
      </c>
      <c r="H148" s="55">
        <v>191.34</v>
      </c>
      <c r="I148" s="55">
        <f t="shared" si="1"/>
        <v>0</v>
      </c>
      <c r="J148" s="56">
        <f t="shared" si="2"/>
        <v>37</v>
      </c>
      <c r="K148" s="53" t="str">
        <f t="shared" si="3"/>
        <v>Paid</v>
      </c>
      <c r="L148" s="53" t="str">
        <f t="shared" si="4"/>
        <v>Closed</v>
      </c>
      <c r="M148" s="55" t="str">
        <f t="shared" si="5"/>
        <v>No</v>
      </c>
    </row>
    <row r="149" ht="15.75" customHeight="1">
      <c r="A149" s="25" t="s">
        <v>1360</v>
      </c>
      <c r="B149" s="25" t="s">
        <v>91</v>
      </c>
      <c r="C149" s="25" t="s">
        <v>83</v>
      </c>
      <c r="D149" s="26">
        <v>46089.0</v>
      </c>
      <c r="E149" s="26">
        <v>46119.0</v>
      </c>
      <c r="F149" s="30">
        <v>382.68</v>
      </c>
      <c r="G149" s="26">
        <v>46156.0</v>
      </c>
      <c r="H149" s="30">
        <v>382.68</v>
      </c>
      <c r="I149" s="30">
        <f t="shared" si="1"/>
        <v>0</v>
      </c>
      <c r="J149" s="29">
        <f t="shared" si="2"/>
        <v>39</v>
      </c>
      <c r="K149" s="25" t="str">
        <f t="shared" si="3"/>
        <v>Paid</v>
      </c>
      <c r="L149" s="25" t="str">
        <f t="shared" si="4"/>
        <v>Closed</v>
      </c>
      <c r="M149" s="30" t="str">
        <f t="shared" si="5"/>
        <v>No</v>
      </c>
    </row>
    <row r="150" ht="15.75" customHeight="1">
      <c r="A150" s="53" t="s">
        <v>1361</v>
      </c>
      <c r="B150" s="53" t="s">
        <v>734</v>
      </c>
      <c r="C150" s="53" t="s">
        <v>735</v>
      </c>
      <c r="D150" s="54">
        <v>46130.0</v>
      </c>
      <c r="E150" s="54">
        <v>46160.0</v>
      </c>
      <c r="F150" s="55">
        <v>422.28</v>
      </c>
      <c r="G150" s="54"/>
      <c r="H150" s="55">
        <v>0.0</v>
      </c>
      <c r="I150" s="55">
        <f t="shared" si="1"/>
        <v>422.28</v>
      </c>
      <c r="J150" s="56">
        <f t="shared" si="2"/>
        <v>0</v>
      </c>
      <c r="K150" s="53" t="str">
        <f t="shared" si="3"/>
        <v>0-30</v>
      </c>
      <c r="L150" s="53" t="str">
        <f t="shared" si="4"/>
        <v>Current</v>
      </c>
      <c r="M150" s="55" t="str">
        <f t="shared" si="5"/>
        <v>No</v>
      </c>
    </row>
    <row r="151" ht="15.75" customHeight="1">
      <c r="A151" s="25" t="s">
        <v>1362</v>
      </c>
      <c r="B151" s="25" t="s">
        <v>736</v>
      </c>
      <c r="C151" s="25" t="s">
        <v>723</v>
      </c>
      <c r="D151" s="26">
        <v>46107.0</v>
      </c>
      <c r="E151" s="26">
        <v>46122.0</v>
      </c>
      <c r="F151" s="30">
        <v>794.82</v>
      </c>
      <c r="G151" s="26"/>
      <c r="H151" s="30">
        <v>0.0</v>
      </c>
      <c r="I151" s="30">
        <f t="shared" si="1"/>
        <v>794.82</v>
      </c>
      <c r="J151" s="29">
        <f t="shared" si="2"/>
        <v>36</v>
      </c>
      <c r="K151" s="25" t="str">
        <f t="shared" si="3"/>
        <v>31-60</v>
      </c>
      <c r="L151" s="25" t="str">
        <f t="shared" si="4"/>
        <v>Reminder Sent</v>
      </c>
      <c r="M151" s="30" t="str">
        <f t="shared" si="5"/>
        <v>No</v>
      </c>
    </row>
    <row r="152" ht="15.75" customHeight="1">
      <c r="A152" s="53" t="s">
        <v>1363</v>
      </c>
      <c r="B152" s="53" t="s">
        <v>316</v>
      </c>
      <c r="C152" s="53" t="s">
        <v>297</v>
      </c>
      <c r="D152" s="54">
        <v>46115.0</v>
      </c>
      <c r="E152" s="54">
        <v>46130.0</v>
      </c>
      <c r="F152" s="55">
        <v>579.6</v>
      </c>
      <c r="G152" s="54">
        <v>46151.0</v>
      </c>
      <c r="H152" s="55">
        <v>579.6</v>
      </c>
      <c r="I152" s="55">
        <f t="shared" si="1"/>
        <v>0</v>
      </c>
      <c r="J152" s="56">
        <f t="shared" si="2"/>
        <v>28</v>
      </c>
      <c r="K152" s="53" t="str">
        <f t="shared" si="3"/>
        <v>Paid</v>
      </c>
      <c r="L152" s="53" t="str">
        <f t="shared" si="4"/>
        <v>Closed</v>
      </c>
      <c r="M152" s="55" t="str">
        <f t="shared" si="5"/>
        <v>No</v>
      </c>
    </row>
    <row r="153" ht="15.75" customHeight="1">
      <c r="A153" s="25" t="s">
        <v>1364</v>
      </c>
      <c r="B153" s="25" t="s">
        <v>191</v>
      </c>
      <c r="C153" s="25" t="s">
        <v>184</v>
      </c>
      <c r="D153" s="26">
        <v>46088.0</v>
      </c>
      <c r="E153" s="26">
        <v>46118.0</v>
      </c>
      <c r="F153" s="30">
        <v>858.19</v>
      </c>
      <c r="G153" s="26">
        <v>46146.0</v>
      </c>
      <c r="H153" s="30">
        <v>858.19</v>
      </c>
      <c r="I153" s="30">
        <f t="shared" si="1"/>
        <v>0</v>
      </c>
      <c r="J153" s="29">
        <f t="shared" si="2"/>
        <v>40</v>
      </c>
      <c r="K153" s="25" t="str">
        <f t="shared" si="3"/>
        <v>Paid</v>
      </c>
      <c r="L153" s="25" t="str">
        <f t="shared" si="4"/>
        <v>Closed</v>
      </c>
      <c r="M153" s="30" t="str">
        <f t="shared" si="5"/>
        <v>No</v>
      </c>
    </row>
    <row r="154" ht="15.75" customHeight="1">
      <c r="A154" s="53" t="s">
        <v>1365</v>
      </c>
      <c r="B154" s="53" t="s">
        <v>317</v>
      </c>
      <c r="C154" s="53" t="s">
        <v>312</v>
      </c>
      <c r="D154" s="54">
        <v>46095.0</v>
      </c>
      <c r="E154" s="54">
        <v>46140.0</v>
      </c>
      <c r="F154" s="55">
        <v>69.84</v>
      </c>
      <c r="G154" s="54">
        <v>46181.0</v>
      </c>
      <c r="H154" s="55">
        <v>69.84</v>
      </c>
      <c r="I154" s="55">
        <f t="shared" si="1"/>
        <v>0</v>
      </c>
      <c r="J154" s="56">
        <f t="shared" si="2"/>
        <v>18</v>
      </c>
      <c r="K154" s="53" t="str">
        <f t="shared" si="3"/>
        <v>Paid</v>
      </c>
      <c r="L154" s="53" t="str">
        <f t="shared" si="4"/>
        <v>Closed</v>
      </c>
      <c r="M154" s="55" t="str">
        <f t="shared" si="5"/>
        <v>No</v>
      </c>
    </row>
    <row r="155" ht="15.75" customHeight="1">
      <c r="A155" s="25" t="s">
        <v>1366</v>
      </c>
      <c r="B155" s="25" t="s">
        <v>737</v>
      </c>
      <c r="C155" s="25" t="s">
        <v>727</v>
      </c>
      <c r="D155" s="26">
        <v>46128.0</v>
      </c>
      <c r="E155" s="26">
        <v>46158.0</v>
      </c>
      <c r="F155" s="30">
        <v>604.8</v>
      </c>
      <c r="G155" s="26">
        <v>46151.0</v>
      </c>
      <c r="H155" s="30">
        <v>604.8</v>
      </c>
      <c r="I155" s="30">
        <f t="shared" si="1"/>
        <v>0</v>
      </c>
      <c r="J155" s="29">
        <f t="shared" si="2"/>
        <v>0</v>
      </c>
      <c r="K155" s="25" t="str">
        <f t="shared" si="3"/>
        <v>Paid</v>
      </c>
      <c r="L155" s="25" t="str">
        <f t="shared" si="4"/>
        <v>Closed</v>
      </c>
      <c r="M155" s="30" t="str">
        <f t="shared" si="5"/>
        <v>No</v>
      </c>
    </row>
    <row r="156" ht="15.75" customHeight="1">
      <c r="A156" s="53" t="s">
        <v>1367</v>
      </c>
      <c r="B156" s="53" t="s">
        <v>977</v>
      </c>
      <c r="C156" s="53" t="s">
        <v>953</v>
      </c>
      <c r="D156" s="54">
        <v>46045.0</v>
      </c>
      <c r="E156" s="54">
        <v>46075.0</v>
      </c>
      <c r="F156" s="55">
        <v>267.12</v>
      </c>
      <c r="G156" s="54">
        <v>46104.0</v>
      </c>
      <c r="H156" s="55">
        <v>267.12</v>
      </c>
      <c r="I156" s="55">
        <f t="shared" si="1"/>
        <v>0</v>
      </c>
      <c r="J156" s="56">
        <f t="shared" si="2"/>
        <v>83</v>
      </c>
      <c r="K156" s="53" t="str">
        <f t="shared" si="3"/>
        <v>Paid</v>
      </c>
      <c r="L156" s="53" t="str">
        <f t="shared" si="4"/>
        <v>Closed</v>
      </c>
      <c r="M156" s="55" t="str">
        <f t="shared" si="5"/>
        <v>No</v>
      </c>
    </row>
    <row r="157" ht="15.75" customHeight="1">
      <c r="A157" s="25" t="s">
        <v>1368</v>
      </c>
      <c r="B157" s="25" t="s">
        <v>192</v>
      </c>
      <c r="C157" s="25" t="s">
        <v>166</v>
      </c>
      <c r="D157" s="26">
        <v>46107.0</v>
      </c>
      <c r="E157" s="26">
        <v>46122.0</v>
      </c>
      <c r="F157" s="30">
        <v>1388.4</v>
      </c>
      <c r="G157" s="26"/>
      <c r="H157" s="30">
        <v>0.0</v>
      </c>
      <c r="I157" s="30">
        <f t="shared" si="1"/>
        <v>1388.4</v>
      </c>
      <c r="J157" s="29">
        <f t="shared" si="2"/>
        <v>36</v>
      </c>
      <c r="K157" s="25" t="str">
        <f t="shared" si="3"/>
        <v>31-60</v>
      </c>
      <c r="L157" s="25" t="str">
        <f t="shared" si="4"/>
        <v>Reminder Sent</v>
      </c>
      <c r="M157" s="30" t="str">
        <f t="shared" si="5"/>
        <v>No</v>
      </c>
    </row>
    <row r="158" ht="15.75" customHeight="1">
      <c r="A158" s="53" t="s">
        <v>1369</v>
      </c>
      <c r="B158" s="53" t="s">
        <v>193</v>
      </c>
      <c r="C158" s="53" t="s">
        <v>189</v>
      </c>
      <c r="D158" s="54">
        <v>46122.0</v>
      </c>
      <c r="E158" s="54">
        <v>46152.0</v>
      </c>
      <c r="F158" s="55">
        <v>120.84</v>
      </c>
      <c r="G158" s="54"/>
      <c r="H158" s="55">
        <v>0.0</v>
      </c>
      <c r="I158" s="55">
        <f t="shared" si="1"/>
        <v>120.84</v>
      </c>
      <c r="J158" s="56">
        <f t="shared" si="2"/>
        <v>6</v>
      </c>
      <c r="K158" s="53" t="str">
        <f t="shared" si="3"/>
        <v>0-30</v>
      </c>
      <c r="L158" s="53" t="str">
        <f t="shared" si="4"/>
        <v>Current</v>
      </c>
      <c r="M158" s="55" t="str">
        <f t="shared" si="5"/>
        <v>No</v>
      </c>
    </row>
    <row r="159" ht="15.75" customHeight="1">
      <c r="A159" s="25" t="s">
        <v>1370</v>
      </c>
      <c r="B159" s="25" t="s">
        <v>468</v>
      </c>
      <c r="C159" s="25" t="s">
        <v>469</v>
      </c>
      <c r="D159" s="26">
        <v>46066.0</v>
      </c>
      <c r="E159" s="26">
        <v>46096.0</v>
      </c>
      <c r="F159" s="30">
        <v>343.2</v>
      </c>
      <c r="G159" s="26">
        <v>46091.0</v>
      </c>
      <c r="H159" s="30">
        <v>343.2</v>
      </c>
      <c r="I159" s="30">
        <f t="shared" si="1"/>
        <v>0</v>
      </c>
      <c r="J159" s="29">
        <f t="shared" si="2"/>
        <v>62</v>
      </c>
      <c r="K159" s="25" t="str">
        <f t="shared" si="3"/>
        <v>Paid</v>
      </c>
      <c r="L159" s="25" t="str">
        <f t="shared" si="4"/>
        <v>Closed</v>
      </c>
      <c r="M159" s="30" t="str">
        <f t="shared" si="5"/>
        <v>No</v>
      </c>
    </row>
    <row r="160" ht="15.75" customHeight="1">
      <c r="A160" s="53" t="s">
        <v>1371</v>
      </c>
      <c r="B160" s="53" t="s">
        <v>1093</v>
      </c>
      <c r="C160" s="53" t="s">
        <v>1083</v>
      </c>
      <c r="D160" s="54">
        <v>46068.0</v>
      </c>
      <c r="E160" s="54">
        <v>46098.0</v>
      </c>
      <c r="F160" s="55">
        <v>203.04</v>
      </c>
      <c r="G160" s="54"/>
      <c r="H160" s="55">
        <v>0.0</v>
      </c>
      <c r="I160" s="55">
        <f t="shared" si="1"/>
        <v>203.04</v>
      </c>
      <c r="J160" s="56">
        <f t="shared" si="2"/>
        <v>60</v>
      </c>
      <c r="K160" s="53" t="str">
        <f t="shared" si="3"/>
        <v>31-60</v>
      </c>
      <c r="L160" s="53" t="str">
        <f t="shared" si="4"/>
        <v>Reminder Sent</v>
      </c>
      <c r="M160" s="55" t="str">
        <f t="shared" si="5"/>
        <v>No</v>
      </c>
    </row>
    <row r="161" ht="15.75" customHeight="1">
      <c r="A161" s="25" t="s">
        <v>1372</v>
      </c>
      <c r="B161" s="25" t="s">
        <v>318</v>
      </c>
      <c r="C161" s="25" t="s">
        <v>293</v>
      </c>
      <c r="D161" s="26">
        <v>46107.0</v>
      </c>
      <c r="E161" s="26">
        <v>46122.0</v>
      </c>
      <c r="F161" s="30">
        <v>237.84</v>
      </c>
      <c r="G161" s="26">
        <v>46140.0</v>
      </c>
      <c r="H161" s="30">
        <v>237.84</v>
      </c>
      <c r="I161" s="30">
        <f t="shared" si="1"/>
        <v>0</v>
      </c>
      <c r="J161" s="29">
        <f t="shared" si="2"/>
        <v>36</v>
      </c>
      <c r="K161" s="25" t="str">
        <f t="shared" si="3"/>
        <v>Paid</v>
      </c>
      <c r="L161" s="25" t="str">
        <f t="shared" si="4"/>
        <v>Closed</v>
      </c>
      <c r="M161" s="30" t="str">
        <f t="shared" si="5"/>
        <v>No</v>
      </c>
    </row>
    <row r="162" ht="15.75" customHeight="1">
      <c r="A162" s="53" t="s">
        <v>1373</v>
      </c>
      <c r="B162" s="53" t="s">
        <v>194</v>
      </c>
      <c r="C162" s="53" t="s">
        <v>195</v>
      </c>
      <c r="D162" s="54">
        <v>46121.0</v>
      </c>
      <c r="E162" s="54">
        <v>46166.0</v>
      </c>
      <c r="F162" s="55">
        <v>572.4</v>
      </c>
      <c r="G162" s="54">
        <v>46164.0</v>
      </c>
      <c r="H162" s="55">
        <v>572.4</v>
      </c>
      <c r="I162" s="55">
        <f t="shared" si="1"/>
        <v>0</v>
      </c>
      <c r="J162" s="56">
        <f t="shared" si="2"/>
        <v>0</v>
      </c>
      <c r="K162" s="53" t="str">
        <f t="shared" si="3"/>
        <v>Paid</v>
      </c>
      <c r="L162" s="53" t="str">
        <f t="shared" si="4"/>
        <v>Closed</v>
      </c>
      <c r="M162" s="55" t="str">
        <f t="shared" si="5"/>
        <v>No</v>
      </c>
    </row>
    <row r="163" ht="15.75" customHeight="1">
      <c r="A163" s="25" t="s">
        <v>1374</v>
      </c>
      <c r="B163" s="25" t="s">
        <v>470</v>
      </c>
      <c r="C163" s="25" t="s">
        <v>469</v>
      </c>
      <c r="D163" s="26">
        <v>46121.0</v>
      </c>
      <c r="E163" s="26">
        <v>46136.0</v>
      </c>
      <c r="F163" s="30">
        <v>247.32</v>
      </c>
      <c r="G163" s="26"/>
      <c r="H163" s="30">
        <v>0.0</v>
      </c>
      <c r="I163" s="30">
        <f t="shared" si="1"/>
        <v>247.32</v>
      </c>
      <c r="J163" s="29">
        <f t="shared" si="2"/>
        <v>22</v>
      </c>
      <c r="K163" s="25" t="str">
        <f t="shared" si="3"/>
        <v>0-30</v>
      </c>
      <c r="L163" s="25" t="str">
        <f t="shared" si="4"/>
        <v>Current</v>
      </c>
      <c r="M163" s="30" t="str">
        <f t="shared" si="5"/>
        <v>No</v>
      </c>
    </row>
    <row r="164" ht="15.75" customHeight="1">
      <c r="A164" s="53" t="s">
        <v>1375</v>
      </c>
      <c r="B164" s="53" t="s">
        <v>319</v>
      </c>
      <c r="C164" s="53" t="s">
        <v>320</v>
      </c>
      <c r="D164" s="54">
        <v>46050.0</v>
      </c>
      <c r="E164" s="54">
        <v>46080.0</v>
      </c>
      <c r="F164" s="55">
        <v>395.28</v>
      </c>
      <c r="G164" s="54"/>
      <c r="H164" s="55">
        <v>0.0</v>
      </c>
      <c r="I164" s="55">
        <f t="shared" si="1"/>
        <v>395.28</v>
      </c>
      <c r="J164" s="56">
        <f t="shared" si="2"/>
        <v>78</v>
      </c>
      <c r="K164" s="53" t="str">
        <f t="shared" si="3"/>
        <v>61-90</v>
      </c>
      <c r="L164" s="53" t="str">
        <f t="shared" si="4"/>
        <v>Collections Review</v>
      </c>
      <c r="M164" s="55" t="str">
        <f t="shared" si="5"/>
        <v>Yes</v>
      </c>
    </row>
    <row r="165" ht="15.75" customHeight="1">
      <c r="A165" s="25" t="s">
        <v>1376</v>
      </c>
      <c r="B165" s="25" t="s">
        <v>471</v>
      </c>
      <c r="C165" s="25" t="s">
        <v>469</v>
      </c>
      <c r="D165" s="26">
        <v>46086.0</v>
      </c>
      <c r="E165" s="26">
        <v>46116.0</v>
      </c>
      <c r="F165" s="30">
        <v>189.54</v>
      </c>
      <c r="G165" s="26"/>
      <c r="H165" s="30">
        <v>0.0</v>
      </c>
      <c r="I165" s="30">
        <f t="shared" si="1"/>
        <v>189.54</v>
      </c>
      <c r="J165" s="29">
        <f t="shared" si="2"/>
        <v>42</v>
      </c>
      <c r="K165" s="25" t="str">
        <f t="shared" si="3"/>
        <v>31-60</v>
      </c>
      <c r="L165" s="25" t="str">
        <f t="shared" si="4"/>
        <v>Reminder Sent</v>
      </c>
      <c r="M165" s="30" t="str">
        <f t="shared" si="5"/>
        <v>No</v>
      </c>
    </row>
    <row r="166" ht="15.75" customHeight="1">
      <c r="A166" s="53" t="s">
        <v>1377</v>
      </c>
      <c r="B166" s="53" t="s">
        <v>738</v>
      </c>
      <c r="C166" s="53" t="s">
        <v>700</v>
      </c>
      <c r="D166" s="54">
        <v>46057.0</v>
      </c>
      <c r="E166" s="54">
        <v>46102.0</v>
      </c>
      <c r="F166" s="55">
        <v>67.68</v>
      </c>
      <c r="G166" s="54">
        <v>46121.0</v>
      </c>
      <c r="H166" s="55">
        <v>67.68</v>
      </c>
      <c r="I166" s="55">
        <f t="shared" si="1"/>
        <v>0</v>
      </c>
      <c r="J166" s="56">
        <f t="shared" si="2"/>
        <v>56</v>
      </c>
      <c r="K166" s="53" t="str">
        <f t="shared" si="3"/>
        <v>Paid</v>
      </c>
      <c r="L166" s="53" t="str">
        <f t="shared" si="4"/>
        <v>Closed</v>
      </c>
      <c r="M166" s="55" t="str">
        <f t="shared" si="5"/>
        <v>No</v>
      </c>
    </row>
    <row r="167" ht="15.75" customHeight="1">
      <c r="A167" s="25" t="s">
        <v>1378</v>
      </c>
      <c r="B167" s="25" t="s">
        <v>574</v>
      </c>
      <c r="C167" s="25" t="s">
        <v>575</v>
      </c>
      <c r="D167" s="26">
        <v>46147.0</v>
      </c>
      <c r="E167" s="26">
        <v>46177.0</v>
      </c>
      <c r="F167" s="30">
        <v>538.38</v>
      </c>
      <c r="G167" s="26">
        <v>46206.0</v>
      </c>
      <c r="H167" s="30">
        <v>319.31</v>
      </c>
      <c r="I167" s="30">
        <f t="shared" si="1"/>
        <v>219.07</v>
      </c>
      <c r="J167" s="29">
        <f t="shared" si="2"/>
        <v>0</v>
      </c>
      <c r="K167" s="25" t="str">
        <f t="shared" si="3"/>
        <v>0-30</v>
      </c>
      <c r="L167" s="25" t="str">
        <f t="shared" si="4"/>
        <v>Current</v>
      </c>
      <c r="M167" s="30" t="str">
        <f t="shared" si="5"/>
        <v>No</v>
      </c>
    </row>
    <row r="168" ht="15.75" customHeight="1">
      <c r="A168" s="53" t="s">
        <v>1379</v>
      </c>
      <c r="B168" s="53" t="s">
        <v>472</v>
      </c>
      <c r="C168" s="53" t="s">
        <v>469</v>
      </c>
      <c r="D168" s="54">
        <v>46074.0</v>
      </c>
      <c r="E168" s="54">
        <v>46104.0</v>
      </c>
      <c r="F168" s="55">
        <v>133.68</v>
      </c>
      <c r="G168" s="54"/>
      <c r="H168" s="55">
        <v>0.0</v>
      </c>
      <c r="I168" s="55">
        <f t="shared" si="1"/>
        <v>133.68</v>
      </c>
      <c r="J168" s="56">
        <f t="shared" si="2"/>
        <v>54</v>
      </c>
      <c r="K168" s="53" t="str">
        <f t="shared" si="3"/>
        <v>31-60</v>
      </c>
      <c r="L168" s="53" t="str">
        <f t="shared" si="4"/>
        <v>Reminder Sent</v>
      </c>
      <c r="M168" s="55" t="str">
        <f t="shared" si="5"/>
        <v>No</v>
      </c>
    </row>
    <row r="169" ht="15.75" customHeight="1">
      <c r="A169" s="25" t="s">
        <v>1380</v>
      </c>
      <c r="B169" s="25" t="s">
        <v>877</v>
      </c>
      <c r="C169" s="25" t="s">
        <v>859</v>
      </c>
      <c r="D169" s="26">
        <v>46047.0</v>
      </c>
      <c r="E169" s="26">
        <v>46077.0</v>
      </c>
      <c r="F169" s="30">
        <v>184.95</v>
      </c>
      <c r="G169" s="26">
        <v>46090.0</v>
      </c>
      <c r="H169" s="30">
        <v>184.95</v>
      </c>
      <c r="I169" s="30">
        <f t="shared" si="1"/>
        <v>0</v>
      </c>
      <c r="J169" s="29">
        <f t="shared" si="2"/>
        <v>81</v>
      </c>
      <c r="K169" s="25" t="str">
        <f t="shared" si="3"/>
        <v>Paid</v>
      </c>
      <c r="L169" s="25" t="str">
        <f t="shared" si="4"/>
        <v>Closed</v>
      </c>
      <c r="M169" s="30" t="str">
        <f t="shared" si="5"/>
        <v>No</v>
      </c>
    </row>
    <row r="170" ht="15.75" customHeight="1">
      <c r="A170" s="53" t="s">
        <v>1381</v>
      </c>
      <c r="B170" s="53" t="s">
        <v>321</v>
      </c>
      <c r="C170" s="53" t="s">
        <v>320</v>
      </c>
      <c r="D170" s="54">
        <v>46138.0</v>
      </c>
      <c r="E170" s="54">
        <v>46168.0</v>
      </c>
      <c r="F170" s="55">
        <v>242.14</v>
      </c>
      <c r="G170" s="54">
        <v>46173.0</v>
      </c>
      <c r="H170" s="55">
        <v>242.14</v>
      </c>
      <c r="I170" s="55">
        <f t="shared" si="1"/>
        <v>0</v>
      </c>
      <c r="J170" s="56">
        <f t="shared" si="2"/>
        <v>0</v>
      </c>
      <c r="K170" s="53" t="str">
        <f t="shared" si="3"/>
        <v>Paid</v>
      </c>
      <c r="L170" s="53" t="str">
        <f t="shared" si="4"/>
        <v>Closed</v>
      </c>
      <c r="M170" s="55" t="str">
        <f t="shared" si="5"/>
        <v>No</v>
      </c>
    </row>
    <row r="171" ht="15.75" customHeight="1">
      <c r="A171" s="25" t="s">
        <v>1382</v>
      </c>
      <c r="B171" s="25" t="s">
        <v>576</v>
      </c>
      <c r="C171" s="25" t="s">
        <v>550</v>
      </c>
      <c r="D171" s="26">
        <v>46054.0</v>
      </c>
      <c r="E171" s="26">
        <v>46084.0</v>
      </c>
      <c r="F171" s="30">
        <v>219.12</v>
      </c>
      <c r="G171" s="26">
        <v>46095.0</v>
      </c>
      <c r="H171" s="30">
        <v>219.12</v>
      </c>
      <c r="I171" s="30">
        <f t="shared" si="1"/>
        <v>0</v>
      </c>
      <c r="J171" s="29">
        <f t="shared" si="2"/>
        <v>74</v>
      </c>
      <c r="K171" s="25" t="str">
        <f t="shared" si="3"/>
        <v>Paid</v>
      </c>
      <c r="L171" s="25" t="str">
        <f t="shared" si="4"/>
        <v>Closed</v>
      </c>
      <c r="M171" s="30" t="str">
        <f t="shared" si="5"/>
        <v>No</v>
      </c>
    </row>
    <row r="172" ht="15.75" customHeight="1">
      <c r="A172" s="53" t="s">
        <v>1383</v>
      </c>
      <c r="B172" s="53" t="s">
        <v>473</v>
      </c>
      <c r="C172" s="53" t="s">
        <v>444</v>
      </c>
      <c r="D172" s="54">
        <v>46103.0</v>
      </c>
      <c r="E172" s="54">
        <v>46148.0</v>
      </c>
      <c r="F172" s="55">
        <v>271.2</v>
      </c>
      <c r="G172" s="54"/>
      <c r="H172" s="55">
        <v>0.0</v>
      </c>
      <c r="I172" s="55">
        <f t="shared" si="1"/>
        <v>271.2</v>
      </c>
      <c r="J172" s="56">
        <f t="shared" si="2"/>
        <v>10</v>
      </c>
      <c r="K172" s="53" t="str">
        <f t="shared" si="3"/>
        <v>0-30</v>
      </c>
      <c r="L172" s="53" t="str">
        <f t="shared" si="4"/>
        <v>Current</v>
      </c>
      <c r="M172" s="55" t="str">
        <f t="shared" si="5"/>
        <v>No</v>
      </c>
    </row>
    <row r="173" ht="15.75" customHeight="1">
      <c r="A173" s="25" t="s">
        <v>1384</v>
      </c>
      <c r="B173" s="25" t="s">
        <v>322</v>
      </c>
      <c r="C173" s="25" t="s">
        <v>312</v>
      </c>
      <c r="D173" s="26">
        <v>46099.0</v>
      </c>
      <c r="E173" s="26">
        <v>46129.0</v>
      </c>
      <c r="F173" s="30">
        <v>1062.72</v>
      </c>
      <c r="G173" s="26">
        <v>46139.0</v>
      </c>
      <c r="H173" s="30">
        <v>1062.72</v>
      </c>
      <c r="I173" s="30">
        <f t="shared" si="1"/>
        <v>0</v>
      </c>
      <c r="J173" s="29">
        <f t="shared" si="2"/>
        <v>29</v>
      </c>
      <c r="K173" s="25" t="str">
        <f t="shared" si="3"/>
        <v>Paid</v>
      </c>
      <c r="L173" s="25" t="str">
        <f t="shared" si="4"/>
        <v>Closed</v>
      </c>
      <c r="M173" s="30" t="str">
        <f t="shared" si="5"/>
        <v>No</v>
      </c>
    </row>
    <row r="174" ht="15.75" customHeight="1">
      <c r="A174" s="53" t="s">
        <v>1385</v>
      </c>
      <c r="B174" s="53" t="s">
        <v>94</v>
      </c>
      <c r="C174" s="53" t="s">
        <v>73</v>
      </c>
      <c r="D174" s="54">
        <v>46075.0</v>
      </c>
      <c r="E174" s="54">
        <v>46105.0</v>
      </c>
      <c r="F174" s="55">
        <v>1303.2</v>
      </c>
      <c r="G174" s="54"/>
      <c r="H174" s="55">
        <v>0.0</v>
      </c>
      <c r="I174" s="55">
        <f t="shared" si="1"/>
        <v>1303.2</v>
      </c>
      <c r="J174" s="56">
        <f t="shared" si="2"/>
        <v>53</v>
      </c>
      <c r="K174" s="53" t="str">
        <f t="shared" si="3"/>
        <v>31-60</v>
      </c>
      <c r="L174" s="53" t="str">
        <f t="shared" si="4"/>
        <v>Reminder Sent</v>
      </c>
      <c r="M174" s="55" t="str">
        <f t="shared" si="5"/>
        <v>No</v>
      </c>
    </row>
    <row r="175" ht="15.75" customHeight="1">
      <c r="A175" s="25" t="s">
        <v>1386</v>
      </c>
      <c r="B175" s="25" t="s">
        <v>878</v>
      </c>
      <c r="C175" s="25" t="s">
        <v>879</v>
      </c>
      <c r="D175" s="26">
        <v>46090.0</v>
      </c>
      <c r="E175" s="26">
        <v>46120.0</v>
      </c>
      <c r="F175" s="30">
        <v>186.24</v>
      </c>
      <c r="G175" s="26">
        <v>46141.0</v>
      </c>
      <c r="H175" s="30">
        <v>186.24</v>
      </c>
      <c r="I175" s="30">
        <f t="shared" si="1"/>
        <v>0</v>
      </c>
      <c r="J175" s="29">
        <f t="shared" si="2"/>
        <v>38</v>
      </c>
      <c r="K175" s="25" t="str">
        <f t="shared" si="3"/>
        <v>Paid</v>
      </c>
      <c r="L175" s="25" t="str">
        <f t="shared" si="4"/>
        <v>Closed</v>
      </c>
      <c r="M175" s="30" t="str">
        <f t="shared" si="5"/>
        <v>No</v>
      </c>
    </row>
    <row r="176" ht="15.75" customHeight="1">
      <c r="A176" s="53" t="s">
        <v>1387</v>
      </c>
      <c r="B176" s="53" t="s">
        <v>739</v>
      </c>
      <c r="C176" s="53" t="s">
        <v>729</v>
      </c>
      <c r="D176" s="54">
        <v>46095.0</v>
      </c>
      <c r="E176" s="54">
        <v>46110.0</v>
      </c>
      <c r="F176" s="55">
        <v>127.62</v>
      </c>
      <c r="G176" s="54"/>
      <c r="H176" s="55">
        <v>0.0</v>
      </c>
      <c r="I176" s="55">
        <f t="shared" si="1"/>
        <v>127.62</v>
      </c>
      <c r="J176" s="56">
        <f t="shared" si="2"/>
        <v>48</v>
      </c>
      <c r="K176" s="53" t="str">
        <f t="shared" si="3"/>
        <v>31-60</v>
      </c>
      <c r="L176" s="53" t="str">
        <f t="shared" si="4"/>
        <v>Reminder Sent</v>
      </c>
      <c r="M176" s="55" t="str">
        <f t="shared" si="5"/>
        <v>No</v>
      </c>
    </row>
    <row r="177" ht="15.75" customHeight="1">
      <c r="A177" s="25" t="s">
        <v>1388</v>
      </c>
      <c r="B177" s="25" t="s">
        <v>196</v>
      </c>
      <c r="C177" s="25" t="s">
        <v>189</v>
      </c>
      <c r="D177" s="26">
        <v>46118.0</v>
      </c>
      <c r="E177" s="26">
        <v>46133.0</v>
      </c>
      <c r="F177" s="30">
        <v>158.4</v>
      </c>
      <c r="G177" s="26">
        <v>46139.0</v>
      </c>
      <c r="H177" s="30">
        <v>158.4</v>
      </c>
      <c r="I177" s="30">
        <f t="shared" si="1"/>
        <v>0</v>
      </c>
      <c r="J177" s="29">
        <f t="shared" si="2"/>
        <v>25</v>
      </c>
      <c r="K177" s="25" t="str">
        <f t="shared" si="3"/>
        <v>Paid</v>
      </c>
      <c r="L177" s="25" t="str">
        <f t="shared" si="4"/>
        <v>Closed</v>
      </c>
      <c r="M177" s="30" t="str">
        <f t="shared" si="5"/>
        <v>No</v>
      </c>
    </row>
    <row r="178" ht="15.75" customHeight="1">
      <c r="A178" s="53" t="s">
        <v>1389</v>
      </c>
      <c r="B178" s="53" t="s">
        <v>1094</v>
      </c>
      <c r="C178" s="53" t="s">
        <v>1075</v>
      </c>
      <c r="D178" s="54">
        <v>46120.0</v>
      </c>
      <c r="E178" s="54">
        <v>46150.0</v>
      </c>
      <c r="F178" s="55">
        <v>940.8</v>
      </c>
      <c r="G178" s="54">
        <v>46191.0</v>
      </c>
      <c r="H178" s="55">
        <v>940.8</v>
      </c>
      <c r="I178" s="55">
        <f t="shared" si="1"/>
        <v>0</v>
      </c>
      <c r="J178" s="56">
        <f t="shared" si="2"/>
        <v>8</v>
      </c>
      <c r="K178" s="53" t="str">
        <f t="shared" si="3"/>
        <v>Paid</v>
      </c>
      <c r="L178" s="53" t="str">
        <f t="shared" si="4"/>
        <v>Closed</v>
      </c>
      <c r="M178" s="55" t="str">
        <f t="shared" si="5"/>
        <v>No</v>
      </c>
    </row>
    <row r="179" ht="15.75" customHeight="1">
      <c r="A179" s="25" t="s">
        <v>1390</v>
      </c>
      <c r="B179" s="25" t="s">
        <v>474</v>
      </c>
      <c r="C179" s="25" t="s">
        <v>446</v>
      </c>
      <c r="D179" s="26">
        <v>46120.0</v>
      </c>
      <c r="E179" s="26">
        <v>46150.0</v>
      </c>
      <c r="F179" s="30">
        <v>129.12</v>
      </c>
      <c r="G179" s="26">
        <v>46149.0</v>
      </c>
      <c r="H179" s="30">
        <v>129.12</v>
      </c>
      <c r="I179" s="30">
        <f t="shared" si="1"/>
        <v>0</v>
      </c>
      <c r="J179" s="29">
        <f t="shared" si="2"/>
        <v>8</v>
      </c>
      <c r="K179" s="25" t="str">
        <f t="shared" si="3"/>
        <v>Paid</v>
      </c>
      <c r="L179" s="25" t="str">
        <f t="shared" si="4"/>
        <v>Closed</v>
      </c>
      <c r="M179" s="30" t="str">
        <f t="shared" si="5"/>
        <v>No</v>
      </c>
    </row>
    <row r="180" ht="15.75" customHeight="1">
      <c r="A180" s="53" t="s">
        <v>1391</v>
      </c>
      <c r="B180" s="53" t="s">
        <v>740</v>
      </c>
      <c r="C180" s="53" t="s">
        <v>741</v>
      </c>
      <c r="D180" s="54">
        <v>46072.0</v>
      </c>
      <c r="E180" s="54">
        <v>46102.0</v>
      </c>
      <c r="F180" s="55">
        <v>212.4</v>
      </c>
      <c r="G180" s="54"/>
      <c r="H180" s="55">
        <v>0.0</v>
      </c>
      <c r="I180" s="55">
        <f t="shared" si="1"/>
        <v>212.4</v>
      </c>
      <c r="J180" s="56">
        <f t="shared" si="2"/>
        <v>56</v>
      </c>
      <c r="K180" s="53" t="str">
        <f t="shared" si="3"/>
        <v>31-60</v>
      </c>
      <c r="L180" s="53" t="str">
        <f t="shared" si="4"/>
        <v>Reminder Sent</v>
      </c>
      <c r="M180" s="55" t="str">
        <f t="shared" si="5"/>
        <v>No</v>
      </c>
    </row>
    <row r="181" ht="15.75" customHeight="1">
      <c r="A181" s="25" t="s">
        <v>1392</v>
      </c>
      <c r="B181" s="25" t="s">
        <v>96</v>
      </c>
      <c r="C181" s="25" t="s">
        <v>77</v>
      </c>
      <c r="D181" s="26">
        <v>46131.0</v>
      </c>
      <c r="E181" s="26">
        <v>46176.0</v>
      </c>
      <c r="F181" s="30">
        <v>678.6</v>
      </c>
      <c r="G181" s="26">
        <v>46187.0</v>
      </c>
      <c r="H181" s="30">
        <v>678.6</v>
      </c>
      <c r="I181" s="30">
        <f t="shared" si="1"/>
        <v>0</v>
      </c>
      <c r="J181" s="29">
        <f t="shared" si="2"/>
        <v>0</v>
      </c>
      <c r="K181" s="25" t="str">
        <f t="shared" si="3"/>
        <v>Paid</v>
      </c>
      <c r="L181" s="25" t="str">
        <f t="shared" si="4"/>
        <v>Closed</v>
      </c>
      <c r="M181" s="30" t="str">
        <f t="shared" si="5"/>
        <v>No</v>
      </c>
    </row>
    <row r="182" ht="15.75" customHeight="1">
      <c r="A182" s="53" t="s">
        <v>1393</v>
      </c>
      <c r="B182" s="53" t="s">
        <v>742</v>
      </c>
      <c r="C182" s="53" t="s">
        <v>735</v>
      </c>
      <c r="D182" s="54">
        <v>46142.0</v>
      </c>
      <c r="E182" s="54">
        <v>46172.0</v>
      </c>
      <c r="F182" s="55">
        <v>186.0</v>
      </c>
      <c r="G182" s="54"/>
      <c r="H182" s="55">
        <v>0.0</v>
      </c>
      <c r="I182" s="55">
        <f t="shared" si="1"/>
        <v>186</v>
      </c>
      <c r="J182" s="56">
        <f t="shared" si="2"/>
        <v>0</v>
      </c>
      <c r="K182" s="53" t="str">
        <f t="shared" si="3"/>
        <v>0-30</v>
      </c>
      <c r="L182" s="53" t="str">
        <f t="shared" si="4"/>
        <v>Current</v>
      </c>
      <c r="M182" s="55" t="str">
        <f t="shared" si="5"/>
        <v>No</v>
      </c>
    </row>
    <row r="183" ht="15.75" customHeight="1">
      <c r="A183" s="25" t="s">
        <v>1394</v>
      </c>
      <c r="B183" s="25" t="s">
        <v>197</v>
      </c>
      <c r="C183" s="25" t="s">
        <v>198</v>
      </c>
      <c r="D183" s="26">
        <v>46085.0</v>
      </c>
      <c r="E183" s="26">
        <v>46115.0</v>
      </c>
      <c r="F183" s="30">
        <v>141.3</v>
      </c>
      <c r="G183" s="26">
        <v>46113.0</v>
      </c>
      <c r="H183" s="30">
        <v>41.24</v>
      </c>
      <c r="I183" s="30">
        <f t="shared" si="1"/>
        <v>100.06</v>
      </c>
      <c r="J183" s="29">
        <f t="shared" si="2"/>
        <v>43</v>
      </c>
      <c r="K183" s="25" t="str">
        <f t="shared" si="3"/>
        <v>31-60</v>
      </c>
      <c r="L183" s="25" t="str">
        <f t="shared" si="4"/>
        <v>Reminder Sent</v>
      </c>
      <c r="M183" s="30" t="str">
        <f t="shared" si="5"/>
        <v>No</v>
      </c>
    </row>
    <row r="184" ht="15.75" customHeight="1">
      <c r="A184" s="53" t="s">
        <v>1395</v>
      </c>
      <c r="B184" s="53" t="s">
        <v>1141</v>
      </c>
      <c r="C184" s="53" t="s">
        <v>1139</v>
      </c>
      <c r="D184" s="54">
        <v>46095.0</v>
      </c>
      <c r="E184" s="54">
        <v>46110.0</v>
      </c>
      <c r="F184" s="55">
        <v>0.0</v>
      </c>
      <c r="G184" s="54">
        <v>46108.0</v>
      </c>
      <c r="H184" s="55">
        <v>0.0</v>
      </c>
      <c r="I184" s="55">
        <f t="shared" si="1"/>
        <v>0</v>
      </c>
      <c r="J184" s="56">
        <f t="shared" si="2"/>
        <v>48</v>
      </c>
      <c r="K184" s="53" t="str">
        <f t="shared" si="3"/>
        <v>Paid</v>
      </c>
      <c r="L184" s="53" t="str">
        <f t="shared" si="4"/>
        <v>Closed</v>
      </c>
      <c r="M184" s="55" t="str">
        <f t="shared" si="5"/>
        <v>No</v>
      </c>
    </row>
    <row r="185" ht="15.75" customHeight="1">
      <c r="A185" s="25" t="s">
        <v>1396</v>
      </c>
      <c r="B185" s="25" t="s">
        <v>743</v>
      </c>
      <c r="C185" s="25" t="s">
        <v>727</v>
      </c>
      <c r="D185" s="26">
        <v>46044.0</v>
      </c>
      <c r="E185" s="26">
        <v>46059.0</v>
      </c>
      <c r="F185" s="30">
        <v>174.42</v>
      </c>
      <c r="G185" s="26">
        <v>46082.0</v>
      </c>
      <c r="H185" s="30">
        <v>174.42</v>
      </c>
      <c r="I185" s="30">
        <f t="shared" si="1"/>
        <v>0</v>
      </c>
      <c r="J185" s="29">
        <f t="shared" si="2"/>
        <v>99</v>
      </c>
      <c r="K185" s="25" t="str">
        <f t="shared" si="3"/>
        <v>Paid</v>
      </c>
      <c r="L185" s="25" t="str">
        <f t="shared" si="4"/>
        <v>Closed</v>
      </c>
      <c r="M185" s="30" t="str">
        <f t="shared" si="5"/>
        <v>No</v>
      </c>
    </row>
    <row r="186" ht="15.75" customHeight="1">
      <c r="A186" s="53" t="s">
        <v>1397</v>
      </c>
      <c r="B186" s="53" t="s">
        <v>744</v>
      </c>
      <c r="C186" s="53" t="s">
        <v>706</v>
      </c>
      <c r="D186" s="54">
        <v>46098.0</v>
      </c>
      <c r="E186" s="54">
        <v>46113.0</v>
      </c>
      <c r="F186" s="55">
        <v>1124.04</v>
      </c>
      <c r="G186" s="54"/>
      <c r="H186" s="55">
        <v>0.0</v>
      </c>
      <c r="I186" s="55">
        <f t="shared" si="1"/>
        <v>1124.04</v>
      </c>
      <c r="J186" s="56">
        <f t="shared" si="2"/>
        <v>45</v>
      </c>
      <c r="K186" s="53" t="str">
        <f t="shared" si="3"/>
        <v>31-60</v>
      </c>
      <c r="L186" s="53" t="str">
        <f t="shared" si="4"/>
        <v>Reminder Sent</v>
      </c>
      <c r="M186" s="55" t="str">
        <f t="shared" si="5"/>
        <v>No</v>
      </c>
    </row>
    <row r="187" ht="15.75" customHeight="1">
      <c r="A187" s="25" t="s">
        <v>1398</v>
      </c>
      <c r="B187" s="25" t="s">
        <v>324</v>
      </c>
      <c r="C187" s="25" t="s">
        <v>301</v>
      </c>
      <c r="D187" s="26">
        <v>46069.0</v>
      </c>
      <c r="E187" s="26">
        <v>46084.0</v>
      </c>
      <c r="F187" s="30">
        <v>214.5</v>
      </c>
      <c r="G187" s="26">
        <v>46128.0</v>
      </c>
      <c r="H187" s="30">
        <v>214.5</v>
      </c>
      <c r="I187" s="30">
        <f t="shared" si="1"/>
        <v>0</v>
      </c>
      <c r="J187" s="29">
        <f t="shared" si="2"/>
        <v>74</v>
      </c>
      <c r="K187" s="25" t="str">
        <f t="shared" si="3"/>
        <v>Paid</v>
      </c>
      <c r="L187" s="25" t="str">
        <f t="shared" si="4"/>
        <v>Closed</v>
      </c>
      <c r="M187" s="30" t="str">
        <f t="shared" si="5"/>
        <v>No</v>
      </c>
    </row>
    <row r="188" ht="15.75" customHeight="1">
      <c r="A188" s="53" t="s">
        <v>1399</v>
      </c>
      <c r="B188" s="53" t="s">
        <v>745</v>
      </c>
      <c r="C188" s="53" t="s">
        <v>714</v>
      </c>
      <c r="D188" s="54">
        <v>46069.0</v>
      </c>
      <c r="E188" s="54">
        <v>46114.0</v>
      </c>
      <c r="F188" s="55">
        <v>1375.2</v>
      </c>
      <c r="G188" s="54">
        <v>46118.0</v>
      </c>
      <c r="H188" s="55">
        <v>1375.2</v>
      </c>
      <c r="I188" s="55">
        <f t="shared" si="1"/>
        <v>0</v>
      </c>
      <c r="J188" s="56">
        <f t="shared" si="2"/>
        <v>44</v>
      </c>
      <c r="K188" s="53" t="str">
        <f t="shared" si="3"/>
        <v>Paid</v>
      </c>
      <c r="L188" s="53" t="str">
        <f t="shared" si="4"/>
        <v>Closed</v>
      </c>
      <c r="M188" s="55" t="str">
        <f t="shared" si="5"/>
        <v>No</v>
      </c>
    </row>
    <row r="189" ht="15.75" customHeight="1">
      <c r="A189" s="25" t="s">
        <v>1400</v>
      </c>
      <c r="B189" s="25" t="s">
        <v>577</v>
      </c>
      <c r="C189" s="25" t="s">
        <v>544</v>
      </c>
      <c r="D189" s="26">
        <v>46041.0</v>
      </c>
      <c r="E189" s="26">
        <v>46071.0</v>
      </c>
      <c r="F189" s="30">
        <v>810.22</v>
      </c>
      <c r="G189" s="26">
        <v>46089.0</v>
      </c>
      <c r="H189" s="30">
        <v>810.22</v>
      </c>
      <c r="I189" s="30">
        <f t="shared" si="1"/>
        <v>0</v>
      </c>
      <c r="J189" s="29">
        <f t="shared" si="2"/>
        <v>87</v>
      </c>
      <c r="K189" s="25" t="str">
        <f t="shared" si="3"/>
        <v>Paid</v>
      </c>
      <c r="L189" s="25" t="str">
        <f t="shared" si="4"/>
        <v>Closed</v>
      </c>
      <c r="M189" s="30" t="str">
        <f t="shared" si="5"/>
        <v>No</v>
      </c>
    </row>
    <row r="190" ht="15.75" customHeight="1">
      <c r="A190" s="53" t="s">
        <v>1401</v>
      </c>
      <c r="B190" s="53" t="s">
        <v>578</v>
      </c>
      <c r="C190" s="53" t="s">
        <v>557</v>
      </c>
      <c r="D190" s="54">
        <v>46139.0</v>
      </c>
      <c r="E190" s="54">
        <v>46184.0</v>
      </c>
      <c r="F190" s="55">
        <v>699.0</v>
      </c>
      <c r="G190" s="54">
        <v>46196.0</v>
      </c>
      <c r="H190" s="55">
        <v>699.0</v>
      </c>
      <c r="I190" s="55">
        <f t="shared" si="1"/>
        <v>0</v>
      </c>
      <c r="J190" s="56">
        <f t="shared" si="2"/>
        <v>0</v>
      </c>
      <c r="K190" s="53" t="str">
        <f t="shared" si="3"/>
        <v>Paid</v>
      </c>
      <c r="L190" s="53" t="str">
        <f t="shared" si="4"/>
        <v>Closed</v>
      </c>
      <c r="M190" s="55" t="str">
        <f t="shared" si="5"/>
        <v>No</v>
      </c>
    </row>
    <row r="191" ht="15.75" customHeight="1">
      <c r="A191" s="25" t="s">
        <v>1402</v>
      </c>
      <c r="B191" s="25" t="s">
        <v>476</v>
      </c>
      <c r="C191" s="25" t="s">
        <v>457</v>
      </c>
      <c r="D191" s="26">
        <v>46142.0</v>
      </c>
      <c r="E191" s="26">
        <v>46187.0</v>
      </c>
      <c r="F191" s="30">
        <v>751.74</v>
      </c>
      <c r="G191" s="26">
        <v>46220.0</v>
      </c>
      <c r="H191" s="30">
        <v>751.74</v>
      </c>
      <c r="I191" s="30">
        <f t="shared" si="1"/>
        <v>0</v>
      </c>
      <c r="J191" s="29">
        <f t="shared" si="2"/>
        <v>0</v>
      </c>
      <c r="K191" s="25" t="str">
        <f t="shared" si="3"/>
        <v>Paid</v>
      </c>
      <c r="L191" s="25" t="str">
        <f t="shared" si="4"/>
        <v>Closed</v>
      </c>
      <c r="M191" s="30" t="str">
        <f t="shared" si="5"/>
        <v>No</v>
      </c>
    </row>
    <row r="192" ht="15.75" customHeight="1">
      <c r="A192" s="53" t="s">
        <v>1403</v>
      </c>
      <c r="B192" s="53" t="s">
        <v>978</v>
      </c>
      <c r="C192" s="53" t="s">
        <v>950</v>
      </c>
      <c r="D192" s="54">
        <v>46131.0</v>
      </c>
      <c r="E192" s="54">
        <v>46161.0</v>
      </c>
      <c r="F192" s="55">
        <v>123.0</v>
      </c>
      <c r="G192" s="54"/>
      <c r="H192" s="55">
        <v>0.0</v>
      </c>
      <c r="I192" s="55">
        <f t="shared" si="1"/>
        <v>123</v>
      </c>
      <c r="J192" s="56">
        <f t="shared" si="2"/>
        <v>0</v>
      </c>
      <c r="K192" s="53" t="str">
        <f t="shared" si="3"/>
        <v>0-30</v>
      </c>
      <c r="L192" s="53" t="str">
        <f t="shared" si="4"/>
        <v>Current</v>
      </c>
      <c r="M192" s="55" t="str">
        <f t="shared" si="5"/>
        <v>No</v>
      </c>
    </row>
    <row r="193" ht="15.75" customHeight="1">
      <c r="A193" s="25" t="s">
        <v>1404</v>
      </c>
      <c r="B193" s="25" t="s">
        <v>98</v>
      </c>
      <c r="C193" s="25" t="s">
        <v>70</v>
      </c>
      <c r="D193" s="26">
        <v>46104.0</v>
      </c>
      <c r="E193" s="26">
        <v>46119.0</v>
      </c>
      <c r="F193" s="30">
        <v>407.04</v>
      </c>
      <c r="G193" s="26">
        <v>46117.0</v>
      </c>
      <c r="H193" s="30">
        <v>407.04</v>
      </c>
      <c r="I193" s="30">
        <f t="shared" si="1"/>
        <v>0</v>
      </c>
      <c r="J193" s="29">
        <f t="shared" si="2"/>
        <v>39</v>
      </c>
      <c r="K193" s="25" t="str">
        <f t="shared" si="3"/>
        <v>Paid</v>
      </c>
      <c r="L193" s="25" t="str">
        <f t="shared" si="4"/>
        <v>Closed</v>
      </c>
      <c r="M193" s="30" t="str">
        <f t="shared" si="5"/>
        <v>No</v>
      </c>
    </row>
    <row r="194" ht="15.75" customHeight="1">
      <c r="A194" s="53" t="s">
        <v>1405</v>
      </c>
      <c r="B194" s="53" t="s">
        <v>746</v>
      </c>
      <c r="C194" s="53" t="s">
        <v>735</v>
      </c>
      <c r="D194" s="54">
        <v>46053.0</v>
      </c>
      <c r="E194" s="54">
        <v>46083.0</v>
      </c>
      <c r="F194" s="55">
        <v>1377.18</v>
      </c>
      <c r="G194" s="54">
        <v>46106.0</v>
      </c>
      <c r="H194" s="55">
        <v>1377.18</v>
      </c>
      <c r="I194" s="55">
        <f t="shared" si="1"/>
        <v>0</v>
      </c>
      <c r="J194" s="56">
        <f t="shared" si="2"/>
        <v>75</v>
      </c>
      <c r="K194" s="53" t="str">
        <f t="shared" si="3"/>
        <v>Paid</v>
      </c>
      <c r="L194" s="53" t="str">
        <f t="shared" si="4"/>
        <v>Closed</v>
      </c>
      <c r="M194" s="55" t="str">
        <f t="shared" si="5"/>
        <v>No</v>
      </c>
    </row>
    <row r="195" ht="15.75" customHeight="1">
      <c r="A195" s="25" t="s">
        <v>1406</v>
      </c>
      <c r="B195" s="25" t="s">
        <v>200</v>
      </c>
      <c r="C195" s="25" t="s">
        <v>174</v>
      </c>
      <c r="D195" s="26">
        <v>46045.0</v>
      </c>
      <c r="E195" s="26">
        <v>46090.0</v>
      </c>
      <c r="F195" s="30">
        <v>563.04</v>
      </c>
      <c r="G195" s="26"/>
      <c r="H195" s="30">
        <v>0.0</v>
      </c>
      <c r="I195" s="30">
        <f t="shared" si="1"/>
        <v>563.04</v>
      </c>
      <c r="J195" s="29">
        <f t="shared" si="2"/>
        <v>68</v>
      </c>
      <c r="K195" s="25" t="str">
        <f t="shared" si="3"/>
        <v>61-90</v>
      </c>
      <c r="L195" s="25" t="str">
        <f t="shared" si="4"/>
        <v>Collections Review</v>
      </c>
      <c r="M195" s="30" t="str">
        <f t="shared" si="5"/>
        <v>Yes</v>
      </c>
    </row>
    <row r="196" ht="15.75" customHeight="1">
      <c r="A196" s="53" t="s">
        <v>1407</v>
      </c>
      <c r="B196" s="53" t="s">
        <v>99</v>
      </c>
      <c r="C196" s="53" t="s">
        <v>87</v>
      </c>
      <c r="D196" s="54">
        <v>46074.0</v>
      </c>
      <c r="E196" s="54">
        <v>46089.0</v>
      </c>
      <c r="F196" s="55">
        <v>317.7</v>
      </c>
      <c r="G196" s="54">
        <v>46105.0</v>
      </c>
      <c r="H196" s="55">
        <v>317.7</v>
      </c>
      <c r="I196" s="55">
        <f t="shared" si="1"/>
        <v>0</v>
      </c>
      <c r="J196" s="56">
        <f t="shared" si="2"/>
        <v>69</v>
      </c>
      <c r="K196" s="53" t="str">
        <f t="shared" si="3"/>
        <v>Paid</v>
      </c>
      <c r="L196" s="53" t="str">
        <f t="shared" si="4"/>
        <v>Closed</v>
      </c>
      <c r="M196" s="55" t="str">
        <f t="shared" si="5"/>
        <v>No</v>
      </c>
    </row>
    <row r="197" ht="15.75" customHeight="1">
      <c r="A197" s="25" t="s">
        <v>1408</v>
      </c>
      <c r="B197" s="25" t="s">
        <v>580</v>
      </c>
      <c r="C197" s="25" t="s">
        <v>540</v>
      </c>
      <c r="D197" s="26">
        <v>46075.0</v>
      </c>
      <c r="E197" s="26">
        <v>46120.0</v>
      </c>
      <c r="F197" s="30">
        <v>727.2</v>
      </c>
      <c r="G197" s="26">
        <v>46158.0</v>
      </c>
      <c r="H197" s="30">
        <v>727.2</v>
      </c>
      <c r="I197" s="30">
        <f t="shared" si="1"/>
        <v>0</v>
      </c>
      <c r="J197" s="29">
        <f t="shared" si="2"/>
        <v>38</v>
      </c>
      <c r="K197" s="25" t="str">
        <f t="shared" si="3"/>
        <v>Paid</v>
      </c>
      <c r="L197" s="25" t="str">
        <f t="shared" si="4"/>
        <v>Closed</v>
      </c>
      <c r="M197" s="30" t="str">
        <f t="shared" si="5"/>
        <v>No</v>
      </c>
    </row>
    <row r="198" ht="15.75" customHeight="1">
      <c r="A198" s="53" t="s">
        <v>1409</v>
      </c>
      <c r="B198" s="53" t="s">
        <v>747</v>
      </c>
      <c r="C198" s="53" t="s">
        <v>704</v>
      </c>
      <c r="D198" s="54">
        <v>46118.0</v>
      </c>
      <c r="E198" s="54">
        <v>46163.0</v>
      </c>
      <c r="F198" s="55">
        <v>570.72</v>
      </c>
      <c r="G198" s="54">
        <v>46162.0</v>
      </c>
      <c r="H198" s="55">
        <v>570.72</v>
      </c>
      <c r="I198" s="55">
        <f t="shared" si="1"/>
        <v>0</v>
      </c>
      <c r="J198" s="56">
        <f t="shared" si="2"/>
        <v>0</v>
      </c>
      <c r="K198" s="53" t="str">
        <f t="shared" si="3"/>
        <v>Paid</v>
      </c>
      <c r="L198" s="53" t="str">
        <f t="shared" si="4"/>
        <v>Closed</v>
      </c>
      <c r="M198" s="55" t="str">
        <f t="shared" si="5"/>
        <v>No</v>
      </c>
    </row>
    <row r="199" ht="15.75" customHeight="1">
      <c r="A199" s="25" t="s">
        <v>1410</v>
      </c>
      <c r="B199" s="25" t="s">
        <v>979</v>
      </c>
      <c r="C199" s="25" t="s">
        <v>980</v>
      </c>
      <c r="D199" s="26">
        <v>46058.0</v>
      </c>
      <c r="E199" s="26">
        <v>46073.0</v>
      </c>
      <c r="F199" s="30">
        <v>613.2</v>
      </c>
      <c r="G199" s="26">
        <v>46091.0</v>
      </c>
      <c r="H199" s="30">
        <v>613.2</v>
      </c>
      <c r="I199" s="30">
        <f t="shared" si="1"/>
        <v>0</v>
      </c>
      <c r="J199" s="29">
        <f t="shared" si="2"/>
        <v>85</v>
      </c>
      <c r="K199" s="25" t="str">
        <f t="shared" si="3"/>
        <v>Paid</v>
      </c>
      <c r="L199" s="25" t="str">
        <f t="shared" si="4"/>
        <v>Closed</v>
      </c>
      <c r="M199" s="30" t="str">
        <f t="shared" si="5"/>
        <v>No</v>
      </c>
    </row>
    <row r="200" ht="15.75" customHeight="1">
      <c r="A200" s="53" t="s">
        <v>1411</v>
      </c>
      <c r="B200" s="53" t="s">
        <v>325</v>
      </c>
      <c r="C200" s="53" t="s">
        <v>326</v>
      </c>
      <c r="D200" s="54">
        <v>46074.0</v>
      </c>
      <c r="E200" s="54">
        <v>46104.0</v>
      </c>
      <c r="F200" s="55">
        <v>275.76</v>
      </c>
      <c r="G200" s="54">
        <v>46138.0</v>
      </c>
      <c r="H200" s="55">
        <v>275.76</v>
      </c>
      <c r="I200" s="55">
        <f t="shared" si="1"/>
        <v>0</v>
      </c>
      <c r="J200" s="56">
        <f t="shared" si="2"/>
        <v>54</v>
      </c>
      <c r="K200" s="53" t="str">
        <f t="shared" si="3"/>
        <v>Paid</v>
      </c>
      <c r="L200" s="53" t="str">
        <f t="shared" si="4"/>
        <v>Closed</v>
      </c>
      <c r="M200" s="55" t="str">
        <f t="shared" si="5"/>
        <v>No</v>
      </c>
    </row>
    <row r="201" ht="15.75" customHeight="1">
      <c r="A201" s="25" t="s">
        <v>1412</v>
      </c>
      <c r="B201" s="25" t="s">
        <v>748</v>
      </c>
      <c r="C201" s="25" t="s">
        <v>698</v>
      </c>
      <c r="D201" s="26">
        <v>46090.0</v>
      </c>
      <c r="E201" s="26">
        <v>46120.0</v>
      </c>
      <c r="F201" s="30">
        <v>345.24</v>
      </c>
      <c r="G201" s="26">
        <v>46141.0</v>
      </c>
      <c r="H201" s="30">
        <v>345.24</v>
      </c>
      <c r="I201" s="30">
        <f t="shared" si="1"/>
        <v>0</v>
      </c>
      <c r="J201" s="29">
        <f t="shared" si="2"/>
        <v>38</v>
      </c>
      <c r="K201" s="25" t="str">
        <f t="shared" si="3"/>
        <v>Paid</v>
      </c>
      <c r="L201" s="25" t="str">
        <f t="shared" si="4"/>
        <v>Closed</v>
      </c>
      <c r="M201" s="30" t="str">
        <f t="shared" si="5"/>
        <v>No</v>
      </c>
    </row>
    <row r="202" ht="15.75" customHeight="1">
      <c r="A202" s="53" t="s">
        <v>1413</v>
      </c>
      <c r="B202" s="53" t="s">
        <v>880</v>
      </c>
      <c r="C202" s="53" t="s">
        <v>853</v>
      </c>
      <c r="D202" s="54">
        <v>46067.0</v>
      </c>
      <c r="E202" s="54">
        <v>46082.0</v>
      </c>
      <c r="F202" s="55">
        <v>502.08</v>
      </c>
      <c r="G202" s="54"/>
      <c r="H202" s="55">
        <v>0.0</v>
      </c>
      <c r="I202" s="55">
        <f t="shared" si="1"/>
        <v>502.08</v>
      </c>
      <c r="J202" s="56">
        <f t="shared" si="2"/>
        <v>76</v>
      </c>
      <c r="K202" s="53" t="str">
        <f t="shared" si="3"/>
        <v>61-90</v>
      </c>
      <c r="L202" s="53" t="str">
        <f t="shared" si="4"/>
        <v>Collections Review</v>
      </c>
      <c r="M202" s="55" t="str">
        <f t="shared" si="5"/>
        <v>Yes</v>
      </c>
    </row>
    <row r="203" ht="15.75" customHeight="1">
      <c r="A203" s="25" t="s">
        <v>1414</v>
      </c>
      <c r="B203" s="25" t="s">
        <v>583</v>
      </c>
      <c r="C203" s="25" t="s">
        <v>540</v>
      </c>
      <c r="D203" s="26">
        <v>46155.0</v>
      </c>
      <c r="E203" s="26">
        <v>46185.0</v>
      </c>
      <c r="F203" s="30">
        <v>272.64</v>
      </c>
      <c r="G203" s="26">
        <v>46198.0</v>
      </c>
      <c r="H203" s="30">
        <v>272.64</v>
      </c>
      <c r="I203" s="30">
        <f t="shared" si="1"/>
        <v>0</v>
      </c>
      <c r="J203" s="29">
        <f t="shared" si="2"/>
        <v>0</v>
      </c>
      <c r="K203" s="25" t="str">
        <f t="shared" si="3"/>
        <v>Paid</v>
      </c>
      <c r="L203" s="25" t="str">
        <f t="shared" si="4"/>
        <v>Closed</v>
      </c>
      <c r="M203" s="30" t="str">
        <f t="shared" si="5"/>
        <v>No</v>
      </c>
    </row>
    <row r="204" ht="15.75" customHeight="1">
      <c r="A204" s="53" t="s">
        <v>1415</v>
      </c>
      <c r="B204" s="53" t="s">
        <v>584</v>
      </c>
      <c r="C204" s="53" t="s">
        <v>570</v>
      </c>
      <c r="D204" s="54">
        <v>46068.0</v>
      </c>
      <c r="E204" s="54">
        <v>46083.0</v>
      </c>
      <c r="F204" s="55">
        <v>1201.2</v>
      </c>
      <c r="G204" s="54">
        <v>46121.0</v>
      </c>
      <c r="H204" s="55">
        <v>1201.2</v>
      </c>
      <c r="I204" s="55">
        <f t="shared" si="1"/>
        <v>0</v>
      </c>
      <c r="J204" s="56">
        <f t="shared" si="2"/>
        <v>75</v>
      </c>
      <c r="K204" s="53" t="str">
        <f t="shared" si="3"/>
        <v>Paid</v>
      </c>
      <c r="L204" s="53" t="str">
        <f t="shared" si="4"/>
        <v>Closed</v>
      </c>
      <c r="M204" s="55" t="str">
        <f t="shared" si="5"/>
        <v>No</v>
      </c>
    </row>
    <row r="205" ht="15.75" customHeight="1">
      <c r="A205" s="25" t="s">
        <v>1416</v>
      </c>
      <c r="B205" s="25" t="s">
        <v>881</v>
      </c>
      <c r="C205" s="25" t="s">
        <v>882</v>
      </c>
      <c r="D205" s="26">
        <v>46098.0</v>
      </c>
      <c r="E205" s="26">
        <v>46143.0</v>
      </c>
      <c r="F205" s="30">
        <v>350.88</v>
      </c>
      <c r="G205" s="26">
        <v>46174.0</v>
      </c>
      <c r="H205" s="30">
        <v>350.88</v>
      </c>
      <c r="I205" s="30">
        <f t="shared" si="1"/>
        <v>0</v>
      </c>
      <c r="J205" s="29">
        <f t="shared" si="2"/>
        <v>15</v>
      </c>
      <c r="K205" s="25" t="str">
        <f t="shared" si="3"/>
        <v>Paid</v>
      </c>
      <c r="L205" s="25" t="str">
        <f t="shared" si="4"/>
        <v>Closed</v>
      </c>
      <c r="M205" s="30" t="str">
        <f t="shared" si="5"/>
        <v>No</v>
      </c>
    </row>
    <row r="206" ht="15.75" customHeight="1">
      <c r="A206" s="53" t="s">
        <v>1417</v>
      </c>
      <c r="B206" s="53" t="s">
        <v>477</v>
      </c>
      <c r="C206" s="53" t="s">
        <v>464</v>
      </c>
      <c r="D206" s="54">
        <v>46119.0</v>
      </c>
      <c r="E206" s="54">
        <v>46149.0</v>
      </c>
      <c r="F206" s="55">
        <v>1252.8</v>
      </c>
      <c r="G206" s="54"/>
      <c r="H206" s="55">
        <v>0.0</v>
      </c>
      <c r="I206" s="55">
        <f t="shared" si="1"/>
        <v>1252.8</v>
      </c>
      <c r="J206" s="56">
        <f t="shared" si="2"/>
        <v>9</v>
      </c>
      <c r="K206" s="53" t="str">
        <f t="shared" si="3"/>
        <v>0-30</v>
      </c>
      <c r="L206" s="53" t="str">
        <f t="shared" si="4"/>
        <v>Current</v>
      </c>
      <c r="M206" s="55" t="str">
        <f t="shared" si="5"/>
        <v>No</v>
      </c>
    </row>
    <row r="207" ht="15.75" customHeight="1">
      <c r="A207" s="25" t="s">
        <v>1418</v>
      </c>
      <c r="B207" s="25" t="s">
        <v>981</v>
      </c>
      <c r="C207" s="25" t="s">
        <v>957</v>
      </c>
      <c r="D207" s="26">
        <v>46042.0</v>
      </c>
      <c r="E207" s="26">
        <v>46057.0</v>
      </c>
      <c r="F207" s="30">
        <v>59.34</v>
      </c>
      <c r="G207" s="26"/>
      <c r="H207" s="30">
        <v>0.0</v>
      </c>
      <c r="I207" s="30">
        <f t="shared" si="1"/>
        <v>59.34</v>
      </c>
      <c r="J207" s="29">
        <f t="shared" si="2"/>
        <v>101</v>
      </c>
      <c r="K207" s="25" t="str">
        <f t="shared" si="3"/>
        <v>90+</v>
      </c>
      <c r="L207" s="25" t="str">
        <f t="shared" si="4"/>
        <v>Escalate</v>
      </c>
      <c r="M207" s="30" t="str">
        <f t="shared" si="5"/>
        <v>Yes</v>
      </c>
    </row>
    <row r="208" ht="15.75" customHeight="1">
      <c r="A208" s="53" t="s">
        <v>1419</v>
      </c>
      <c r="B208" s="53" t="s">
        <v>478</v>
      </c>
      <c r="C208" s="53" t="s">
        <v>469</v>
      </c>
      <c r="D208" s="54">
        <v>46075.0</v>
      </c>
      <c r="E208" s="54">
        <v>46120.0</v>
      </c>
      <c r="F208" s="55">
        <v>531.36</v>
      </c>
      <c r="G208" s="54"/>
      <c r="H208" s="55">
        <v>0.0</v>
      </c>
      <c r="I208" s="55">
        <f t="shared" si="1"/>
        <v>531.36</v>
      </c>
      <c r="J208" s="56">
        <f t="shared" si="2"/>
        <v>38</v>
      </c>
      <c r="K208" s="53" t="str">
        <f t="shared" si="3"/>
        <v>31-60</v>
      </c>
      <c r="L208" s="53" t="str">
        <f t="shared" si="4"/>
        <v>Reminder Sent</v>
      </c>
      <c r="M208" s="55" t="str">
        <f t="shared" si="5"/>
        <v>No</v>
      </c>
    </row>
    <row r="209" ht="15.75" customHeight="1">
      <c r="A209" s="25" t="s">
        <v>1420</v>
      </c>
      <c r="B209" s="25" t="s">
        <v>327</v>
      </c>
      <c r="C209" s="25" t="s">
        <v>293</v>
      </c>
      <c r="D209" s="26">
        <v>46151.0</v>
      </c>
      <c r="E209" s="26">
        <v>46181.0</v>
      </c>
      <c r="F209" s="30">
        <v>119.04</v>
      </c>
      <c r="G209" s="26"/>
      <c r="H209" s="30">
        <v>0.0</v>
      </c>
      <c r="I209" s="30">
        <f t="shared" si="1"/>
        <v>119.04</v>
      </c>
      <c r="J209" s="29">
        <f t="shared" si="2"/>
        <v>0</v>
      </c>
      <c r="K209" s="25" t="str">
        <f t="shared" si="3"/>
        <v>0-30</v>
      </c>
      <c r="L209" s="25" t="str">
        <f t="shared" si="4"/>
        <v>Current</v>
      </c>
      <c r="M209" s="30" t="str">
        <f t="shared" si="5"/>
        <v>No</v>
      </c>
    </row>
    <row r="210" ht="15.75" customHeight="1">
      <c r="A210" s="53" t="s">
        <v>1421</v>
      </c>
      <c r="B210" s="53" t="s">
        <v>1095</v>
      </c>
      <c r="C210" s="53" t="s">
        <v>1077</v>
      </c>
      <c r="D210" s="54">
        <v>46079.0</v>
      </c>
      <c r="E210" s="54">
        <v>46109.0</v>
      </c>
      <c r="F210" s="55">
        <v>414.0</v>
      </c>
      <c r="G210" s="54"/>
      <c r="H210" s="55">
        <v>0.0</v>
      </c>
      <c r="I210" s="55">
        <f t="shared" si="1"/>
        <v>414</v>
      </c>
      <c r="J210" s="56">
        <f t="shared" si="2"/>
        <v>49</v>
      </c>
      <c r="K210" s="53" t="str">
        <f t="shared" si="3"/>
        <v>31-60</v>
      </c>
      <c r="L210" s="53" t="str">
        <f t="shared" si="4"/>
        <v>Reminder Sent</v>
      </c>
      <c r="M210" s="55" t="str">
        <f t="shared" si="5"/>
        <v>No</v>
      </c>
    </row>
    <row r="211" ht="15.75" customHeight="1">
      <c r="A211" s="25" t="s">
        <v>1422</v>
      </c>
      <c r="B211" s="25" t="s">
        <v>851</v>
      </c>
      <c r="C211" s="25" t="s">
        <v>1133</v>
      </c>
      <c r="D211" s="26">
        <v>46138.0</v>
      </c>
      <c r="E211" s="26">
        <v>46168.0</v>
      </c>
      <c r="F211" s="30">
        <v>370.8</v>
      </c>
      <c r="G211" s="26">
        <v>46161.0</v>
      </c>
      <c r="H211" s="30">
        <v>370.8</v>
      </c>
      <c r="I211" s="30">
        <f t="shared" si="1"/>
        <v>0</v>
      </c>
      <c r="J211" s="29">
        <f t="shared" si="2"/>
        <v>0</v>
      </c>
      <c r="K211" s="25" t="str">
        <f t="shared" si="3"/>
        <v>Paid</v>
      </c>
      <c r="L211" s="25" t="str">
        <f t="shared" si="4"/>
        <v>Closed</v>
      </c>
      <c r="M211" s="30" t="str">
        <f t="shared" si="5"/>
        <v>No</v>
      </c>
    </row>
    <row r="212" ht="15.75" customHeight="1">
      <c r="A212" s="53" t="s">
        <v>1423</v>
      </c>
      <c r="B212" s="53" t="s">
        <v>328</v>
      </c>
      <c r="C212" s="53" t="s">
        <v>326</v>
      </c>
      <c r="D212" s="54">
        <v>46079.0</v>
      </c>
      <c r="E212" s="54">
        <v>46109.0</v>
      </c>
      <c r="F212" s="55">
        <v>370.44</v>
      </c>
      <c r="G212" s="54">
        <v>46133.0</v>
      </c>
      <c r="H212" s="55">
        <v>370.44</v>
      </c>
      <c r="I212" s="55">
        <f t="shared" si="1"/>
        <v>0</v>
      </c>
      <c r="J212" s="56">
        <f t="shared" si="2"/>
        <v>49</v>
      </c>
      <c r="K212" s="53" t="str">
        <f t="shared" si="3"/>
        <v>Paid</v>
      </c>
      <c r="L212" s="53" t="str">
        <f t="shared" si="4"/>
        <v>Closed</v>
      </c>
      <c r="M212" s="55" t="str">
        <f t="shared" si="5"/>
        <v>No</v>
      </c>
    </row>
    <row r="213" ht="15.75" customHeight="1">
      <c r="A213" s="25" t="s">
        <v>1424</v>
      </c>
      <c r="B213" s="25" t="s">
        <v>201</v>
      </c>
      <c r="C213" s="25" t="s">
        <v>179</v>
      </c>
      <c r="D213" s="26">
        <v>46081.0</v>
      </c>
      <c r="E213" s="26">
        <v>46111.0</v>
      </c>
      <c r="F213" s="30">
        <v>970.56</v>
      </c>
      <c r="G213" s="26">
        <v>46118.0</v>
      </c>
      <c r="H213" s="30">
        <v>970.56</v>
      </c>
      <c r="I213" s="30">
        <f t="shared" si="1"/>
        <v>0</v>
      </c>
      <c r="J213" s="29">
        <f t="shared" si="2"/>
        <v>47</v>
      </c>
      <c r="K213" s="25" t="str">
        <f t="shared" si="3"/>
        <v>Paid</v>
      </c>
      <c r="L213" s="25" t="str">
        <f t="shared" si="4"/>
        <v>Closed</v>
      </c>
      <c r="M213" s="30" t="str">
        <f t="shared" si="5"/>
        <v>No</v>
      </c>
    </row>
    <row r="214" ht="15.75" customHeight="1">
      <c r="A214" s="53" t="s">
        <v>1425</v>
      </c>
      <c r="B214" s="53" t="s">
        <v>749</v>
      </c>
      <c r="C214" s="53" t="s">
        <v>710</v>
      </c>
      <c r="D214" s="54">
        <v>46047.0</v>
      </c>
      <c r="E214" s="54">
        <v>46092.0</v>
      </c>
      <c r="F214" s="55">
        <v>522.72</v>
      </c>
      <c r="G214" s="54">
        <v>46128.0</v>
      </c>
      <c r="H214" s="55">
        <v>522.72</v>
      </c>
      <c r="I214" s="55">
        <f t="shared" si="1"/>
        <v>0</v>
      </c>
      <c r="J214" s="56">
        <f t="shared" si="2"/>
        <v>66</v>
      </c>
      <c r="K214" s="53" t="str">
        <f t="shared" si="3"/>
        <v>Paid</v>
      </c>
      <c r="L214" s="53" t="str">
        <f t="shared" si="4"/>
        <v>Closed</v>
      </c>
      <c r="M214" s="55" t="str">
        <f t="shared" si="5"/>
        <v>No</v>
      </c>
    </row>
    <row r="215" ht="15.75" customHeight="1">
      <c r="A215" s="25" t="s">
        <v>1426</v>
      </c>
      <c r="B215" s="25" t="s">
        <v>750</v>
      </c>
      <c r="C215" s="25" t="s">
        <v>702</v>
      </c>
      <c r="D215" s="26">
        <v>46104.0</v>
      </c>
      <c r="E215" s="26">
        <v>46119.0</v>
      </c>
      <c r="F215" s="30">
        <v>515.04</v>
      </c>
      <c r="G215" s="26">
        <v>46116.0</v>
      </c>
      <c r="H215" s="30">
        <v>515.04</v>
      </c>
      <c r="I215" s="30">
        <f t="shared" si="1"/>
        <v>0</v>
      </c>
      <c r="J215" s="29">
        <f t="shared" si="2"/>
        <v>39</v>
      </c>
      <c r="K215" s="25" t="str">
        <f t="shared" si="3"/>
        <v>Paid</v>
      </c>
      <c r="L215" s="25" t="str">
        <f t="shared" si="4"/>
        <v>Closed</v>
      </c>
      <c r="M215" s="30" t="str">
        <f t="shared" si="5"/>
        <v>No</v>
      </c>
    </row>
    <row r="216" ht="15.75" customHeight="1">
      <c r="A216" s="53" t="s">
        <v>1427</v>
      </c>
      <c r="B216" s="53" t="s">
        <v>585</v>
      </c>
      <c r="C216" s="53" t="s">
        <v>553</v>
      </c>
      <c r="D216" s="54">
        <v>46153.0</v>
      </c>
      <c r="E216" s="54">
        <v>46168.0</v>
      </c>
      <c r="F216" s="55">
        <v>1075.2</v>
      </c>
      <c r="G216" s="54">
        <v>46199.0</v>
      </c>
      <c r="H216" s="55">
        <v>1075.2</v>
      </c>
      <c r="I216" s="55">
        <f t="shared" si="1"/>
        <v>0</v>
      </c>
      <c r="J216" s="56">
        <f t="shared" si="2"/>
        <v>0</v>
      </c>
      <c r="K216" s="53" t="str">
        <f t="shared" si="3"/>
        <v>Paid</v>
      </c>
      <c r="L216" s="53" t="str">
        <f t="shared" si="4"/>
        <v>Closed</v>
      </c>
      <c r="M216" s="55" t="str">
        <f t="shared" si="5"/>
        <v>No</v>
      </c>
    </row>
    <row r="217" ht="15.75" customHeight="1">
      <c r="A217" s="25" t="s">
        <v>1428</v>
      </c>
      <c r="B217" s="25" t="s">
        <v>751</v>
      </c>
      <c r="C217" s="25" t="s">
        <v>698</v>
      </c>
      <c r="D217" s="26">
        <v>46092.0</v>
      </c>
      <c r="E217" s="26">
        <v>46122.0</v>
      </c>
      <c r="F217" s="30">
        <v>362.88</v>
      </c>
      <c r="G217" s="26"/>
      <c r="H217" s="30">
        <v>0.0</v>
      </c>
      <c r="I217" s="30">
        <f t="shared" si="1"/>
        <v>362.88</v>
      </c>
      <c r="J217" s="29">
        <f t="shared" si="2"/>
        <v>36</v>
      </c>
      <c r="K217" s="25" t="str">
        <f t="shared" si="3"/>
        <v>31-60</v>
      </c>
      <c r="L217" s="25" t="str">
        <f t="shared" si="4"/>
        <v>Reminder Sent</v>
      </c>
      <c r="M217" s="30" t="str">
        <f t="shared" si="5"/>
        <v>No</v>
      </c>
    </row>
    <row r="218" ht="15.75" customHeight="1">
      <c r="A218" s="53" t="s">
        <v>1429</v>
      </c>
      <c r="B218" s="53" t="s">
        <v>479</v>
      </c>
      <c r="C218" s="53" t="s">
        <v>454</v>
      </c>
      <c r="D218" s="54">
        <v>46103.0</v>
      </c>
      <c r="E218" s="54">
        <v>46148.0</v>
      </c>
      <c r="F218" s="55">
        <v>193.14</v>
      </c>
      <c r="G218" s="54">
        <v>46189.0</v>
      </c>
      <c r="H218" s="55">
        <v>193.14</v>
      </c>
      <c r="I218" s="55">
        <f t="shared" si="1"/>
        <v>0</v>
      </c>
      <c r="J218" s="56">
        <f t="shared" si="2"/>
        <v>10</v>
      </c>
      <c r="K218" s="53" t="str">
        <f t="shared" si="3"/>
        <v>Paid</v>
      </c>
      <c r="L218" s="53" t="str">
        <f t="shared" si="4"/>
        <v>Closed</v>
      </c>
      <c r="M218" s="55" t="str">
        <f t="shared" si="5"/>
        <v>No</v>
      </c>
    </row>
    <row r="219" ht="15.75" customHeight="1">
      <c r="A219" s="25" t="s">
        <v>1430</v>
      </c>
      <c r="B219" s="25" t="s">
        <v>329</v>
      </c>
      <c r="C219" s="25" t="s">
        <v>330</v>
      </c>
      <c r="D219" s="26">
        <v>46052.0</v>
      </c>
      <c r="E219" s="26">
        <v>46082.0</v>
      </c>
      <c r="F219" s="30">
        <v>191.28</v>
      </c>
      <c r="G219" s="26">
        <v>46094.0</v>
      </c>
      <c r="H219" s="30">
        <v>191.28</v>
      </c>
      <c r="I219" s="30">
        <f t="shared" si="1"/>
        <v>0</v>
      </c>
      <c r="J219" s="29">
        <f t="shared" si="2"/>
        <v>76</v>
      </c>
      <c r="K219" s="25" t="str">
        <f t="shared" si="3"/>
        <v>Paid</v>
      </c>
      <c r="L219" s="25" t="str">
        <f t="shared" si="4"/>
        <v>Closed</v>
      </c>
      <c r="M219" s="30" t="str">
        <f t="shared" si="5"/>
        <v>No</v>
      </c>
    </row>
    <row r="220" ht="15.75" customHeight="1">
      <c r="A220" s="53" t="s">
        <v>1431</v>
      </c>
      <c r="B220" s="53" t="s">
        <v>586</v>
      </c>
      <c r="C220" s="53" t="s">
        <v>553</v>
      </c>
      <c r="D220" s="54">
        <v>46093.0</v>
      </c>
      <c r="E220" s="54">
        <v>46108.0</v>
      </c>
      <c r="F220" s="55">
        <v>189.72</v>
      </c>
      <c r="G220" s="54">
        <v>46142.0</v>
      </c>
      <c r="H220" s="55">
        <v>189.72</v>
      </c>
      <c r="I220" s="55">
        <f t="shared" si="1"/>
        <v>0</v>
      </c>
      <c r="J220" s="56">
        <f t="shared" si="2"/>
        <v>50</v>
      </c>
      <c r="K220" s="53" t="str">
        <f t="shared" si="3"/>
        <v>Paid</v>
      </c>
      <c r="L220" s="53" t="str">
        <f t="shared" si="4"/>
        <v>Closed</v>
      </c>
      <c r="M220" s="55" t="str">
        <f t="shared" si="5"/>
        <v>No</v>
      </c>
    </row>
    <row r="221" ht="15.75" customHeight="1">
      <c r="A221" s="25" t="s">
        <v>1432</v>
      </c>
      <c r="B221" s="25" t="s">
        <v>752</v>
      </c>
      <c r="C221" s="25" t="s">
        <v>706</v>
      </c>
      <c r="D221" s="26">
        <v>46135.0</v>
      </c>
      <c r="E221" s="26">
        <v>46180.0</v>
      </c>
      <c r="F221" s="30">
        <v>392.04</v>
      </c>
      <c r="G221" s="26"/>
      <c r="H221" s="30">
        <v>0.0</v>
      </c>
      <c r="I221" s="30">
        <f t="shared" si="1"/>
        <v>392.04</v>
      </c>
      <c r="J221" s="29">
        <f t="shared" si="2"/>
        <v>0</v>
      </c>
      <c r="K221" s="25" t="str">
        <f t="shared" si="3"/>
        <v>0-30</v>
      </c>
      <c r="L221" s="25" t="str">
        <f t="shared" si="4"/>
        <v>Current</v>
      </c>
      <c r="M221" s="30" t="str">
        <f t="shared" si="5"/>
        <v>No</v>
      </c>
    </row>
    <row r="222" ht="15.75" customHeight="1">
      <c r="A222" s="53" t="s">
        <v>1433</v>
      </c>
      <c r="B222" s="53" t="s">
        <v>753</v>
      </c>
      <c r="C222" s="53" t="s">
        <v>704</v>
      </c>
      <c r="D222" s="54">
        <v>46131.0</v>
      </c>
      <c r="E222" s="54">
        <v>46161.0</v>
      </c>
      <c r="F222" s="55">
        <v>263.16</v>
      </c>
      <c r="G222" s="54">
        <v>46189.0</v>
      </c>
      <c r="H222" s="55">
        <v>263.16</v>
      </c>
      <c r="I222" s="55">
        <f t="shared" si="1"/>
        <v>0</v>
      </c>
      <c r="J222" s="56">
        <f t="shared" si="2"/>
        <v>0</v>
      </c>
      <c r="K222" s="53" t="str">
        <f t="shared" si="3"/>
        <v>Paid</v>
      </c>
      <c r="L222" s="53" t="str">
        <f t="shared" si="4"/>
        <v>Closed</v>
      </c>
      <c r="M222" s="55" t="str">
        <f t="shared" si="5"/>
        <v>No</v>
      </c>
    </row>
    <row r="223" ht="15.75" customHeight="1">
      <c r="A223" s="25" t="s">
        <v>1434</v>
      </c>
      <c r="B223" s="25" t="s">
        <v>480</v>
      </c>
      <c r="C223" s="25" t="s">
        <v>464</v>
      </c>
      <c r="D223" s="26">
        <v>46071.0</v>
      </c>
      <c r="E223" s="26">
        <v>46101.0</v>
      </c>
      <c r="F223" s="30">
        <v>191.52</v>
      </c>
      <c r="G223" s="26">
        <v>46106.0</v>
      </c>
      <c r="H223" s="30">
        <v>191.52</v>
      </c>
      <c r="I223" s="30">
        <f t="shared" si="1"/>
        <v>0</v>
      </c>
      <c r="J223" s="29">
        <f t="shared" si="2"/>
        <v>57</v>
      </c>
      <c r="K223" s="25" t="str">
        <f t="shared" si="3"/>
        <v>Paid</v>
      </c>
      <c r="L223" s="25" t="str">
        <f t="shared" si="4"/>
        <v>Closed</v>
      </c>
      <c r="M223" s="30" t="str">
        <f t="shared" si="5"/>
        <v>No</v>
      </c>
    </row>
    <row r="224" ht="15.75" customHeight="1">
      <c r="A224" s="53" t="s">
        <v>1435</v>
      </c>
      <c r="B224" s="53" t="s">
        <v>587</v>
      </c>
      <c r="C224" s="53" t="s">
        <v>588</v>
      </c>
      <c r="D224" s="54">
        <v>46061.0</v>
      </c>
      <c r="E224" s="54">
        <v>46091.0</v>
      </c>
      <c r="F224" s="55">
        <v>1071.36</v>
      </c>
      <c r="G224" s="54"/>
      <c r="H224" s="55">
        <v>0.0</v>
      </c>
      <c r="I224" s="55">
        <f t="shared" si="1"/>
        <v>1071.36</v>
      </c>
      <c r="J224" s="56">
        <f t="shared" si="2"/>
        <v>67</v>
      </c>
      <c r="K224" s="53" t="str">
        <f t="shared" si="3"/>
        <v>61-90</v>
      </c>
      <c r="L224" s="53" t="str">
        <f t="shared" si="4"/>
        <v>Collections Review</v>
      </c>
      <c r="M224" s="55" t="str">
        <f t="shared" si="5"/>
        <v>Yes</v>
      </c>
    </row>
    <row r="225" ht="15.75" customHeight="1">
      <c r="A225" s="25" t="s">
        <v>1436</v>
      </c>
      <c r="B225" s="25" t="s">
        <v>331</v>
      </c>
      <c r="C225" s="25" t="s">
        <v>299</v>
      </c>
      <c r="D225" s="26">
        <v>46135.0</v>
      </c>
      <c r="E225" s="26">
        <v>46165.0</v>
      </c>
      <c r="F225" s="30">
        <v>62.34</v>
      </c>
      <c r="G225" s="26">
        <v>46174.0</v>
      </c>
      <c r="H225" s="30">
        <v>62.34</v>
      </c>
      <c r="I225" s="30">
        <f t="shared" si="1"/>
        <v>0</v>
      </c>
      <c r="J225" s="29">
        <f t="shared" si="2"/>
        <v>0</v>
      </c>
      <c r="K225" s="25" t="str">
        <f t="shared" si="3"/>
        <v>Paid</v>
      </c>
      <c r="L225" s="25" t="str">
        <f t="shared" si="4"/>
        <v>Closed</v>
      </c>
      <c r="M225" s="30" t="str">
        <f t="shared" si="5"/>
        <v>No</v>
      </c>
    </row>
    <row r="226" ht="15.75" customHeight="1">
      <c r="A226" s="53" t="s">
        <v>1437</v>
      </c>
      <c r="B226" s="53" t="s">
        <v>332</v>
      </c>
      <c r="C226" s="53" t="s">
        <v>293</v>
      </c>
      <c r="D226" s="54">
        <v>46064.0</v>
      </c>
      <c r="E226" s="54">
        <v>46109.0</v>
      </c>
      <c r="F226" s="55">
        <v>612.0</v>
      </c>
      <c r="G226" s="54">
        <v>46118.0</v>
      </c>
      <c r="H226" s="55">
        <v>612.0</v>
      </c>
      <c r="I226" s="55">
        <f t="shared" si="1"/>
        <v>0</v>
      </c>
      <c r="J226" s="56">
        <f t="shared" si="2"/>
        <v>49</v>
      </c>
      <c r="K226" s="53" t="str">
        <f t="shared" si="3"/>
        <v>Paid</v>
      </c>
      <c r="L226" s="53" t="str">
        <f t="shared" si="4"/>
        <v>Closed</v>
      </c>
      <c r="M226" s="55" t="str">
        <f t="shared" si="5"/>
        <v>No</v>
      </c>
    </row>
    <row r="227" ht="15.75" customHeight="1">
      <c r="A227" s="25" t="s">
        <v>1438</v>
      </c>
      <c r="B227" s="25" t="s">
        <v>1142</v>
      </c>
      <c r="C227" s="25" t="s">
        <v>1122</v>
      </c>
      <c r="D227" s="26">
        <v>46117.0</v>
      </c>
      <c r="E227" s="26">
        <v>46147.0</v>
      </c>
      <c r="F227" s="30">
        <v>292.2</v>
      </c>
      <c r="G227" s="26"/>
      <c r="H227" s="30">
        <v>0.0</v>
      </c>
      <c r="I227" s="30">
        <f t="shared" si="1"/>
        <v>292.2</v>
      </c>
      <c r="J227" s="29">
        <f t="shared" si="2"/>
        <v>11</v>
      </c>
      <c r="K227" s="25" t="str">
        <f t="shared" si="3"/>
        <v>0-30</v>
      </c>
      <c r="L227" s="25" t="str">
        <f t="shared" si="4"/>
        <v>Current</v>
      </c>
      <c r="M227" s="30" t="str">
        <f t="shared" si="5"/>
        <v>No</v>
      </c>
    </row>
    <row r="228" ht="15.75" customHeight="1">
      <c r="A228" s="53" t="s">
        <v>1439</v>
      </c>
      <c r="B228" s="53" t="s">
        <v>982</v>
      </c>
      <c r="C228" s="53" t="s">
        <v>980</v>
      </c>
      <c r="D228" s="54">
        <v>46084.0</v>
      </c>
      <c r="E228" s="54">
        <v>46129.0</v>
      </c>
      <c r="F228" s="55">
        <v>472.32</v>
      </c>
      <c r="G228" s="54">
        <v>46157.0</v>
      </c>
      <c r="H228" s="55">
        <v>472.32</v>
      </c>
      <c r="I228" s="55">
        <f t="shared" si="1"/>
        <v>0</v>
      </c>
      <c r="J228" s="56">
        <f t="shared" si="2"/>
        <v>29</v>
      </c>
      <c r="K228" s="53" t="str">
        <f t="shared" si="3"/>
        <v>Paid</v>
      </c>
      <c r="L228" s="53" t="str">
        <f t="shared" si="4"/>
        <v>Closed</v>
      </c>
      <c r="M228" s="55" t="str">
        <f t="shared" si="5"/>
        <v>No</v>
      </c>
    </row>
    <row r="229" ht="15.75" customHeight="1">
      <c r="A229" s="25" t="s">
        <v>1440</v>
      </c>
      <c r="B229" s="25" t="s">
        <v>883</v>
      </c>
      <c r="C229" s="25" t="s">
        <v>868</v>
      </c>
      <c r="D229" s="26">
        <v>46092.0</v>
      </c>
      <c r="E229" s="26">
        <v>46137.0</v>
      </c>
      <c r="F229" s="30">
        <v>608.4</v>
      </c>
      <c r="G229" s="26">
        <v>46143.0</v>
      </c>
      <c r="H229" s="30">
        <v>608.4</v>
      </c>
      <c r="I229" s="30">
        <f t="shared" si="1"/>
        <v>0</v>
      </c>
      <c r="J229" s="29">
        <f t="shared" si="2"/>
        <v>21</v>
      </c>
      <c r="K229" s="25" t="str">
        <f t="shared" si="3"/>
        <v>Paid</v>
      </c>
      <c r="L229" s="25" t="str">
        <f t="shared" si="4"/>
        <v>Closed</v>
      </c>
      <c r="M229" s="30" t="str">
        <f t="shared" si="5"/>
        <v>No</v>
      </c>
    </row>
    <row r="230" ht="15.75" customHeight="1">
      <c r="A230" s="53" t="s">
        <v>1441</v>
      </c>
      <c r="B230" s="53" t="s">
        <v>983</v>
      </c>
      <c r="C230" s="53" t="s">
        <v>984</v>
      </c>
      <c r="D230" s="54">
        <v>46141.0</v>
      </c>
      <c r="E230" s="54">
        <v>46156.0</v>
      </c>
      <c r="F230" s="55">
        <v>133.44</v>
      </c>
      <c r="G230" s="54">
        <v>46184.0</v>
      </c>
      <c r="H230" s="55">
        <v>133.44</v>
      </c>
      <c r="I230" s="55">
        <f t="shared" si="1"/>
        <v>0</v>
      </c>
      <c r="J230" s="56">
        <f t="shared" si="2"/>
        <v>2</v>
      </c>
      <c r="K230" s="53" t="str">
        <f t="shared" si="3"/>
        <v>Paid</v>
      </c>
      <c r="L230" s="53" t="str">
        <f t="shared" si="4"/>
        <v>Closed</v>
      </c>
      <c r="M230" s="55" t="str">
        <f t="shared" si="5"/>
        <v>No</v>
      </c>
    </row>
    <row r="231" ht="15.75" customHeight="1">
      <c r="A231" s="25" t="s">
        <v>1442</v>
      </c>
      <c r="B231" s="25" t="s">
        <v>755</v>
      </c>
      <c r="C231" s="25" t="s">
        <v>727</v>
      </c>
      <c r="D231" s="26">
        <v>46032.0</v>
      </c>
      <c r="E231" s="26">
        <v>46047.0</v>
      </c>
      <c r="F231" s="30">
        <v>149.88</v>
      </c>
      <c r="G231" s="26">
        <v>46087.0</v>
      </c>
      <c r="H231" s="30">
        <v>149.88</v>
      </c>
      <c r="I231" s="30">
        <f t="shared" si="1"/>
        <v>0</v>
      </c>
      <c r="J231" s="29">
        <f t="shared" si="2"/>
        <v>111</v>
      </c>
      <c r="K231" s="25" t="str">
        <f t="shared" si="3"/>
        <v>Paid</v>
      </c>
      <c r="L231" s="25" t="str">
        <f t="shared" si="4"/>
        <v>Closed</v>
      </c>
      <c r="M231" s="30" t="str">
        <f t="shared" si="5"/>
        <v>No</v>
      </c>
    </row>
    <row r="232" ht="15.75" customHeight="1">
      <c r="A232" s="53" t="s">
        <v>1443</v>
      </c>
      <c r="B232" s="53" t="s">
        <v>333</v>
      </c>
      <c r="C232" s="53" t="s">
        <v>305</v>
      </c>
      <c r="D232" s="54">
        <v>46046.0</v>
      </c>
      <c r="E232" s="54">
        <v>46061.0</v>
      </c>
      <c r="F232" s="55">
        <v>303.48</v>
      </c>
      <c r="G232" s="54">
        <v>46073.0</v>
      </c>
      <c r="H232" s="55">
        <v>303.48</v>
      </c>
      <c r="I232" s="55">
        <f t="shared" si="1"/>
        <v>0</v>
      </c>
      <c r="J232" s="56">
        <f t="shared" si="2"/>
        <v>97</v>
      </c>
      <c r="K232" s="53" t="str">
        <f t="shared" si="3"/>
        <v>Paid</v>
      </c>
      <c r="L232" s="53" t="str">
        <f t="shared" si="4"/>
        <v>Closed</v>
      </c>
      <c r="M232" s="55" t="str">
        <f t="shared" si="5"/>
        <v>No</v>
      </c>
    </row>
    <row r="233" ht="15.75" customHeight="1">
      <c r="A233" s="25" t="s">
        <v>1444</v>
      </c>
      <c r="B233" s="25" t="s">
        <v>202</v>
      </c>
      <c r="C233" s="25" t="s">
        <v>198</v>
      </c>
      <c r="D233" s="26">
        <v>46084.0</v>
      </c>
      <c r="E233" s="26">
        <v>46099.0</v>
      </c>
      <c r="F233" s="30">
        <v>1184.4</v>
      </c>
      <c r="G233" s="26">
        <v>46125.0</v>
      </c>
      <c r="H233" s="30">
        <v>1184.4</v>
      </c>
      <c r="I233" s="30">
        <f t="shared" si="1"/>
        <v>0</v>
      </c>
      <c r="J233" s="29">
        <f t="shared" si="2"/>
        <v>59</v>
      </c>
      <c r="K233" s="25" t="str">
        <f t="shared" si="3"/>
        <v>Paid</v>
      </c>
      <c r="L233" s="25" t="str">
        <f t="shared" si="4"/>
        <v>Closed</v>
      </c>
      <c r="M233" s="30" t="str">
        <f t="shared" si="5"/>
        <v>No</v>
      </c>
    </row>
    <row r="234" ht="15.75" customHeight="1">
      <c r="A234" s="53" t="s">
        <v>1445</v>
      </c>
      <c r="B234" s="53" t="s">
        <v>985</v>
      </c>
      <c r="C234" s="53" t="s">
        <v>974</v>
      </c>
      <c r="D234" s="54">
        <v>46025.0</v>
      </c>
      <c r="E234" s="54">
        <v>46055.0</v>
      </c>
      <c r="F234" s="55">
        <v>0.0</v>
      </c>
      <c r="G234" s="54">
        <v>46067.0</v>
      </c>
      <c r="H234" s="55">
        <v>0.0</v>
      </c>
      <c r="I234" s="55">
        <f t="shared" si="1"/>
        <v>0</v>
      </c>
      <c r="J234" s="56">
        <f t="shared" si="2"/>
        <v>103</v>
      </c>
      <c r="K234" s="53" t="str">
        <f t="shared" si="3"/>
        <v>Paid</v>
      </c>
      <c r="L234" s="53" t="str">
        <f t="shared" si="4"/>
        <v>Closed</v>
      </c>
      <c r="M234" s="55" t="str">
        <f t="shared" si="5"/>
        <v>No</v>
      </c>
    </row>
    <row r="235" ht="15.75" customHeight="1">
      <c r="A235" s="25" t="s">
        <v>1446</v>
      </c>
      <c r="B235" s="25" t="s">
        <v>589</v>
      </c>
      <c r="C235" s="25" t="s">
        <v>561</v>
      </c>
      <c r="D235" s="26">
        <v>46046.0</v>
      </c>
      <c r="E235" s="26">
        <v>46061.0</v>
      </c>
      <c r="F235" s="30">
        <v>0.0</v>
      </c>
      <c r="G235" s="26">
        <v>46098.0</v>
      </c>
      <c r="H235" s="30">
        <v>0.0</v>
      </c>
      <c r="I235" s="30">
        <f t="shared" si="1"/>
        <v>0</v>
      </c>
      <c r="J235" s="29">
        <f t="shared" si="2"/>
        <v>97</v>
      </c>
      <c r="K235" s="25" t="str">
        <f t="shared" si="3"/>
        <v>Paid</v>
      </c>
      <c r="L235" s="25" t="str">
        <f t="shared" si="4"/>
        <v>Closed</v>
      </c>
      <c r="M235" s="30" t="str">
        <f t="shared" si="5"/>
        <v>No</v>
      </c>
    </row>
    <row r="236" ht="15.75" customHeight="1">
      <c r="A236" s="53" t="s">
        <v>1447</v>
      </c>
      <c r="B236" s="53" t="s">
        <v>756</v>
      </c>
      <c r="C236" s="53" t="s">
        <v>723</v>
      </c>
      <c r="D236" s="54">
        <v>46038.0</v>
      </c>
      <c r="E236" s="54">
        <v>46068.0</v>
      </c>
      <c r="F236" s="55">
        <v>747.36</v>
      </c>
      <c r="G236" s="54">
        <v>46066.0</v>
      </c>
      <c r="H236" s="55">
        <v>747.36</v>
      </c>
      <c r="I236" s="55">
        <f t="shared" si="1"/>
        <v>0</v>
      </c>
      <c r="J236" s="56">
        <f t="shared" si="2"/>
        <v>90</v>
      </c>
      <c r="K236" s="53" t="str">
        <f t="shared" si="3"/>
        <v>Paid</v>
      </c>
      <c r="L236" s="53" t="str">
        <f t="shared" si="4"/>
        <v>Closed</v>
      </c>
      <c r="M236" s="55" t="str">
        <f t="shared" si="5"/>
        <v>No</v>
      </c>
    </row>
    <row r="237" ht="15.75" customHeight="1">
      <c r="A237" s="25" t="s">
        <v>1448</v>
      </c>
      <c r="B237" s="25" t="s">
        <v>1096</v>
      </c>
      <c r="C237" s="25" t="s">
        <v>1081</v>
      </c>
      <c r="D237" s="26">
        <v>46111.0</v>
      </c>
      <c r="E237" s="26">
        <v>46156.0</v>
      </c>
      <c r="F237" s="30">
        <v>1275.6</v>
      </c>
      <c r="G237" s="26">
        <v>46162.0</v>
      </c>
      <c r="H237" s="30">
        <v>1275.6</v>
      </c>
      <c r="I237" s="30">
        <f t="shared" si="1"/>
        <v>0</v>
      </c>
      <c r="J237" s="29">
        <f t="shared" si="2"/>
        <v>2</v>
      </c>
      <c r="K237" s="25" t="str">
        <f t="shared" si="3"/>
        <v>Paid</v>
      </c>
      <c r="L237" s="25" t="str">
        <f t="shared" si="4"/>
        <v>Closed</v>
      </c>
      <c r="M237" s="30" t="str">
        <f t="shared" si="5"/>
        <v>No</v>
      </c>
    </row>
    <row r="238" ht="15.75" customHeight="1">
      <c r="A238" s="53" t="s">
        <v>1449</v>
      </c>
      <c r="B238" s="53" t="s">
        <v>986</v>
      </c>
      <c r="C238" s="53" t="s">
        <v>950</v>
      </c>
      <c r="D238" s="54">
        <v>46078.0</v>
      </c>
      <c r="E238" s="54">
        <v>46123.0</v>
      </c>
      <c r="F238" s="55">
        <v>397.18</v>
      </c>
      <c r="G238" s="54"/>
      <c r="H238" s="55">
        <v>0.0</v>
      </c>
      <c r="I238" s="55">
        <f t="shared" si="1"/>
        <v>397.18</v>
      </c>
      <c r="J238" s="56">
        <f t="shared" si="2"/>
        <v>35</v>
      </c>
      <c r="K238" s="53" t="str">
        <f t="shared" si="3"/>
        <v>31-60</v>
      </c>
      <c r="L238" s="53" t="str">
        <f t="shared" si="4"/>
        <v>Reminder Sent</v>
      </c>
      <c r="M238" s="55" t="str">
        <f t="shared" si="5"/>
        <v>No</v>
      </c>
    </row>
    <row r="239" ht="15.75" customHeight="1">
      <c r="A239" s="25" t="s">
        <v>1450</v>
      </c>
      <c r="B239" s="25" t="s">
        <v>101</v>
      </c>
      <c r="C239" s="25" t="s">
        <v>70</v>
      </c>
      <c r="D239" s="26">
        <v>46135.0</v>
      </c>
      <c r="E239" s="26">
        <v>46180.0</v>
      </c>
      <c r="F239" s="30">
        <v>70.62</v>
      </c>
      <c r="G239" s="26"/>
      <c r="H239" s="30">
        <v>0.0</v>
      </c>
      <c r="I239" s="30">
        <f t="shared" si="1"/>
        <v>70.62</v>
      </c>
      <c r="J239" s="29">
        <f t="shared" si="2"/>
        <v>0</v>
      </c>
      <c r="K239" s="25" t="str">
        <f t="shared" si="3"/>
        <v>0-30</v>
      </c>
      <c r="L239" s="25" t="str">
        <f t="shared" si="4"/>
        <v>Current</v>
      </c>
      <c r="M239" s="30" t="str">
        <f t="shared" si="5"/>
        <v>No</v>
      </c>
    </row>
    <row r="240" ht="15.75" customHeight="1">
      <c r="A240" s="53" t="s">
        <v>1451</v>
      </c>
      <c r="B240" s="53" t="s">
        <v>334</v>
      </c>
      <c r="C240" s="53" t="s">
        <v>295</v>
      </c>
      <c r="D240" s="54">
        <v>46104.0</v>
      </c>
      <c r="E240" s="54">
        <v>46134.0</v>
      </c>
      <c r="F240" s="55">
        <v>0.0</v>
      </c>
      <c r="G240" s="54">
        <v>46170.0</v>
      </c>
      <c r="H240" s="55">
        <v>0.0</v>
      </c>
      <c r="I240" s="55">
        <f t="shared" si="1"/>
        <v>0</v>
      </c>
      <c r="J240" s="56">
        <f t="shared" si="2"/>
        <v>24</v>
      </c>
      <c r="K240" s="53" t="str">
        <f t="shared" si="3"/>
        <v>Paid</v>
      </c>
      <c r="L240" s="53" t="str">
        <f t="shared" si="4"/>
        <v>Closed</v>
      </c>
      <c r="M240" s="55" t="str">
        <f t="shared" si="5"/>
        <v>No</v>
      </c>
    </row>
    <row r="241" ht="15.75" customHeight="1">
      <c r="A241" s="25" t="s">
        <v>1452</v>
      </c>
      <c r="B241" s="25" t="s">
        <v>885</v>
      </c>
      <c r="C241" s="25" t="s">
        <v>859</v>
      </c>
      <c r="D241" s="26">
        <v>46070.0</v>
      </c>
      <c r="E241" s="26">
        <v>46100.0</v>
      </c>
      <c r="F241" s="30">
        <v>938.4</v>
      </c>
      <c r="G241" s="26">
        <v>46108.0</v>
      </c>
      <c r="H241" s="30">
        <v>938.4</v>
      </c>
      <c r="I241" s="30">
        <f t="shared" si="1"/>
        <v>0</v>
      </c>
      <c r="J241" s="29">
        <f t="shared" si="2"/>
        <v>58</v>
      </c>
      <c r="K241" s="25" t="str">
        <f t="shared" si="3"/>
        <v>Paid</v>
      </c>
      <c r="L241" s="25" t="str">
        <f t="shared" si="4"/>
        <v>Closed</v>
      </c>
      <c r="M241" s="30" t="str">
        <f t="shared" si="5"/>
        <v>No</v>
      </c>
    </row>
    <row r="242" ht="15.75" customHeight="1">
      <c r="A242" s="53" t="s">
        <v>1453</v>
      </c>
      <c r="B242" s="53" t="s">
        <v>590</v>
      </c>
      <c r="C242" s="53" t="s">
        <v>550</v>
      </c>
      <c r="D242" s="54">
        <v>46069.0</v>
      </c>
      <c r="E242" s="54">
        <v>46084.0</v>
      </c>
      <c r="F242" s="55">
        <v>118.32</v>
      </c>
      <c r="G242" s="54">
        <v>46126.0</v>
      </c>
      <c r="H242" s="55">
        <v>118.32</v>
      </c>
      <c r="I242" s="55">
        <f t="shared" si="1"/>
        <v>0</v>
      </c>
      <c r="J242" s="56">
        <f t="shared" si="2"/>
        <v>74</v>
      </c>
      <c r="K242" s="53" t="str">
        <f t="shared" si="3"/>
        <v>Paid</v>
      </c>
      <c r="L242" s="53" t="str">
        <f t="shared" si="4"/>
        <v>Closed</v>
      </c>
      <c r="M242" s="55" t="str">
        <f t="shared" si="5"/>
        <v>No</v>
      </c>
    </row>
    <row r="243" ht="15.75" customHeight="1">
      <c r="A243" s="25" t="s">
        <v>1454</v>
      </c>
      <c r="B243" s="25" t="s">
        <v>757</v>
      </c>
      <c r="C243" s="25" t="s">
        <v>702</v>
      </c>
      <c r="D243" s="26">
        <v>46070.0</v>
      </c>
      <c r="E243" s="26">
        <v>46100.0</v>
      </c>
      <c r="F243" s="30">
        <v>552.48</v>
      </c>
      <c r="G243" s="26">
        <v>46121.0</v>
      </c>
      <c r="H243" s="30">
        <v>552.48</v>
      </c>
      <c r="I243" s="30">
        <f t="shared" si="1"/>
        <v>0</v>
      </c>
      <c r="J243" s="29">
        <f t="shared" si="2"/>
        <v>58</v>
      </c>
      <c r="K243" s="25" t="str">
        <f t="shared" si="3"/>
        <v>Paid</v>
      </c>
      <c r="L243" s="25" t="str">
        <f t="shared" si="4"/>
        <v>Closed</v>
      </c>
      <c r="M243" s="30" t="str">
        <f t="shared" si="5"/>
        <v>No</v>
      </c>
    </row>
    <row r="244" ht="15.75" customHeight="1">
      <c r="A244" s="53" t="s">
        <v>1455</v>
      </c>
      <c r="B244" s="53" t="s">
        <v>591</v>
      </c>
      <c r="C244" s="53" t="s">
        <v>550</v>
      </c>
      <c r="D244" s="54">
        <v>46038.0</v>
      </c>
      <c r="E244" s="54">
        <v>46068.0</v>
      </c>
      <c r="F244" s="55">
        <v>240.3</v>
      </c>
      <c r="G244" s="54">
        <v>46088.0</v>
      </c>
      <c r="H244" s="55">
        <v>240.3</v>
      </c>
      <c r="I244" s="55">
        <f t="shared" si="1"/>
        <v>0</v>
      </c>
      <c r="J244" s="56">
        <f t="shared" si="2"/>
        <v>90</v>
      </c>
      <c r="K244" s="53" t="str">
        <f t="shared" si="3"/>
        <v>Paid</v>
      </c>
      <c r="L244" s="53" t="str">
        <f t="shared" si="4"/>
        <v>Closed</v>
      </c>
      <c r="M244" s="55" t="str">
        <f t="shared" si="5"/>
        <v>No</v>
      </c>
    </row>
    <row r="245" ht="15.75" customHeight="1">
      <c r="A245" s="25" t="s">
        <v>1456</v>
      </c>
      <c r="B245" s="25" t="s">
        <v>987</v>
      </c>
      <c r="C245" s="25" t="s">
        <v>988</v>
      </c>
      <c r="D245" s="26">
        <v>46078.0</v>
      </c>
      <c r="E245" s="26">
        <v>46108.0</v>
      </c>
      <c r="F245" s="30">
        <v>542.16</v>
      </c>
      <c r="G245" s="26">
        <v>46129.0</v>
      </c>
      <c r="H245" s="30">
        <v>542.16</v>
      </c>
      <c r="I245" s="30">
        <f t="shared" si="1"/>
        <v>0</v>
      </c>
      <c r="J245" s="29">
        <f t="shared" si="2"/>
        <v>50</v>
      </c>
      <c r="K245" s="25" t="str">
        <f t="shared" si="3"/>
        <v>Paid</v>
      </c>
      <c r="L245" s="25" t="str">
        <f t="shared" si="4"/>
        <v>Closed</v>
      </c>
      <c r="M245" s="30" t="str">
        <f t="shared" si="5"/>
        <v>No</v>
      </c>
    </row>
    <row r="246" ht="15.75" customHeight="1">
      <c r="A246" s="53" t="s">
        <v>1457</v>
      </c>
      <c r="B246" s="53" t="s">
        <v>989</v>
      </c>
      <c r="C246" s="53" t="s">
        <v>980</v>
      </c>
      <c r="D246" s="54">
        <v>46123.0</v>
      </c>
      <c r="E246" s="54">
        <v>46153.0</v>
      </c>
      <c r="F246" s="55">
        <v>0.0</v>
      </c>
      <c r="G246" s="54"/>
      <c r="H246" s="55">
        <v>0.0</v>
      </c>
      <c r="I246" s="55">
        <f t="shared" si="1"/>
        <v>0</v>
      </c>
      <c r="J246" s="56">
        <f t="shared" si="2"/>
        <v>5</v>
      </c>
      <c r="K246" s="53" t="str">
        <f t="shared" si="3"/>
        <v>Paid</v>
      </c>
      <c r="L246" s="53" t="str">
        <f t="shared" si="4"/>
        <v>Closed</v>
      </c>
      <c r="M246" s="55" t="str">
        <f t="shared" si="5"/>
        <v>No</v>
      </c>
    </row>
    <row r="247" ht="15.75" customHeight="1">
      <c r="A247" s="25" t="s">
        <v>1458</v>
      </c>
      <c r="B247" s="25" t="s">
        <v>481</v>
      </c>
      <c r="C247" s="25" t="s">
        <v>457</v>
      </c>
      <c r="D247" s="26">
        <v>46085.0</v>
      </c>
      <c r="E247" s="26">
        <v>46130.0</v>
      </c>
      <c r="F247" s="30">
        <v>524.88</v>
      </c>
      <c r="G247" s="26">
        <v>46163.0</v>
      </c>
      <c r="H247" s="30">
        <v>524.88</v>
      </c>
      <c r="I247" s="30">
        <f t="shared" si="1"/>
        <v>0</v>
      </c>
      <c r="J247" s="29">
        <f t="shared" si="2"/>
        <v>28</v>
      </c>
      <c r="K247" s="25" t="str">
        <f t="shared" si="3"/>
        <v>Paid</v>
      </c>
      <c r="L247" s="25" t="str">
        <f t="shared" si="4"/>
        <v>Closed</v>
      </c>
      <c r="M247" s="30" t="str">
        <f t="shared" si="5"/>
        <v>No</v>
      </c>
    </row>
    <row r="248" ht="15.75" customHeight="1">
      <c r="A248" s="53" t="s">
        <v>1459</v>
      </c>
      <c r="B248" s="53" t="s">
        <v>335</v>
      </c>
      <c r="C248" s="53" t="s">
        <v>314</v>
      </c>
      <c r="D248" s="54">
        <v>46118.0</v>
      </c>
      <c r="E248" s="54">
        <v>46148.0</v>
      </c>
      <c r="F248" s="55">
        <v>87.96</v>
      </c>
      <c r="G248" s="54">
        <v>46172.0</v>
      </c>
      <c r="H248" s="55">
        <v>87.96</v>
      </c>
      <c r="I248" s="55">
        <f t="shared" si="1"/>
        <v>0</v>
      </c>
      <c r="J248" s="56">
        <f t="shared" si="2"/>
        <v>10</v>
      </c>
      <c r="K248" s="53" t="str">
        <f t="shared" si="3"/>
        <v>Paid</v>
      </c>
      <c r="L248" s="53" t="str">
        <f t="shared" si="4"/>
        <v>Closed</v>
      </c>
      <c r="M248" s="55" t="str">
        <f t="shared" si="5"/>
        <v>No</v>
      </c>
    </row>
    <row r="249" ht="15.75" customHeight="1">
      <c r="A249" s="25" t="s">
        <v>1460</v>
      </c>
      <c r="B249" s="25" t="s">
        <v>990</v>
      </c>
      <c r="C249" s="25" t="s">
        <v>950</v>
      </c>
      <c r="D249" s="26">
        <v>46049.0</v>
      </c>
      <c r="E249" s="26">
        <v>46094.0</v>
      </c>
      <c r="F249" s="30">
        <v>62.16</v>
      </c>
      <c r="G249" s="26"/>
      <c r="H249" s="30">
        <v>0.0</v>
      </c>
      <c r="I249" s="30">
        <f t="shared" si="1"/>
        <v>62.16</v>
      </c>
      <c r="J249" s="29">
        <f t="shared" si="2"/>
        <v>64</v>
      </c>
      <c r="K249" s="25" t="str">
        <f t="shared" si="3"/>
        <v>61-90</v>
      </c>
      <c r="L249" s="25" t="str">
        <f t="shared" si="4"/>
        <v>Collections Review</v>
      </c>
      <c r="M249" s="30" t="str">
        <f t="shared" si="5"/>
        <v>Yes</v>
      </c>
    </row>
    <row r="250" ht="15.75" customHeight="1">
      <c r="A250" s="53" t="s">
        <v>1461</v>
      </c>
      <c r="B250" s="53" t="s">
        <v>482</v>
      </c>
      <c r="C250" s="53" t="s">
        <v>454</v>
      </c>
      <c r="D250" s="54">
        <v>46065.0</v>
      </c>
      <c r="E250" s="54">
        <v>46080.0</v>
      </c>
      <c r="F250" s="55">
        <v>127.8</v>
      </c>
      <c r="G250" s="54"/>
      <c r="H250" s="55">
        <v>0.0</v>
      </c>
      <c r="I250" s="55">
        <f t="shared" si="1"/>
        <v>127.8</v>
      </c>
      <c r="J250" s="56">
        <f t="shared" si="2"/>
        <v>78</v>
      </c>
      <c r="K250" s="53" t="str">
        <f t="shared" si="3"/>
        <v>61-90</v>
      </c>
      <c r="L250" s="53" t="str">
        <f t="shared" si="4"/>
        <v>Collections Review</v>
      </c>
      <c r="M250" s="55" t="str">
        <f t="shared" si="5"/>
        <v>Yes</v>
      </c>
    </row>
    <row r="251" ht="15.75" customHeight="1">
      <c r="A251" s="25" t="s">
        <v>1462</v>
      </c>
      <c r="B251" s="25" t="s">
        <v>483</v>
      </c>
      <c r="C251" s="25" t="s">
        <v>466</v>
      </c>
      <c r="D251" s="26">
        <v>46033.0</v>
      </c>
      <c r="E251" s="26">
        <v>46063.0</v>
      </c>
      <c r="F251" s="30">
        <v>415.44</v>
      </c>
      <c r="G251" s="26"/>
      <c r="H251" s="30">
        <v>0.0</v>
      </c>
      <c r="I251" s="30">
        <f t="shared" si="1"/>
        <v>415.44</v>
      </c>
      <c r="J251" s="29">
        <f t="shared" si="2"/>
        <v>95</v>
      </c>
      <c r="K251" s="25" t="str">
        <f t="shared" si="3"/>
        <v>90+</v>
      </c>
      <c r="L251" s="25" t="str">
        <f t="shared" si="4"/>
        <v>Escalate</v>
      </c>
      <c r="M251" s="30" t="str">
        <f t="shared" si="5"/>
        <v>Yes</v>
      </c>
    </row>
    <row r="252" ht="15.75" customHeight="1">
      <c r="A252" s="53" t="s">
        <v>1463</v>
      </c>
      <c r="B252" s="53" t="s">
        <v>592</v>
      </c>
      <c r="C252" s="53" t="s">
        <v>593</v>
      </c>
      <c r="D252" s="54">
        <v>46096.0</v>
      </c>
      <c r="E252" s="54">
        <v>46111.0</v>
      </c>
      <c r="F252" s="55">
        <v>345.9</v>
      </c>
      <c r="G252" s="54">
        <v>46127.0</v>
      </c>
      <c r="H252" s="55">
        <v>345.9</v>
      </c>
      <c r="I252" s="55">
        <f t="shared" si="1"/>
        <v>0</v>
      </c>
      <c r="J252" s="56">
        <f t="shared" si="2"/>
        <v>47</v>
      </c>
      <c r="K252" s="53" t="str">
        <f t="shared" si="3"/>
        <v>Paid</v>
      </c>
      <c r="L252" s="53" t="str">
        <f t="shared" si="4"/>
        <v>Closed</v>
      </c>
      <c r="M252" s="55" t="str">
        <f t="shared" si="5"/>
        <v>No</v>
      </c>
    </row>
    <row r="253" ht="15.75" customHeight="1">
      <c r="A253" s="25" t="s">
        <v>1464</v>
      </c>
      <c r="B253" s="25" t="s">
        <v>103</v>
      </c>
      <c r="C253" s="25" t="s">
        <v>104</v>
      </c>
      <c r="D253" s="26">
        <v>46131.0</v>
      </c>
      <c r="E253" s="26">
        <v>46161.0</v>
      </c>
      <c r="F253" s="30">
        <v>161.76</v>
      </c>
      <c r="G253" s="26">
        <v>46200.0</v>
      </c>
      <c r="H253" s="30">
        <v>161.76</v>
      </c>
      <c r="I253" s="30">
        <f t="shared" si="1"/>
        <v>0</v>
      </c>
      <c r="J253" s="29">
        <f t="shared" si="2"/>
        <v>0</v>
      </c>
      <c r="K253" s="25" t="str">
        <f t="shared" si="3"/>
        <v>Paid</v>
      </c>
      <c r="L253" s="25" t="str">
        <f t="shared" si="4"/>
        <v>Closed</v>
      </c>
      <c r="M253" s="30" t="str">
        <f t="shared" si="5"/>
        <v>No</v>
      </c>
    </row>
    <row r="254" ht="15.75" customHeight="1">
      <c r="A254" s="53" t="s">
        <v>1465</v>
      </c>
      <c r="B254" s="53" t="s">
        <v>758</v>
      </c>
      <c r="C254" s="53" t="s">
        <v>741</v>
      </c>
      <c r="D254" s="54">
        <v>46091.0</v>
      </c>
      <c r="E254" s="54">
        <v>46136.0</v>
      </c>
      <c r="F254" s="55">
        <v>70.62</v>
      </c>
      <c r="G254" s="54">
        <v>46142.0</v>
      </c>
      <c r="H254" s="55">
        <v>70.62</v>
      </c>
      <c r="I254" s="55">
        <f t="shared" si="1"/>
        <v>0</v>
      </c>
      <c r="J254" s="56">
        <f t="shared" si="2"/>
        <v>22</v>
      </c>
      <c r="K254" s="53" t="str">
        <f t="shared" si="3"/>
        <v>Paid</v>
      </c>
      <c r="L254" s="53" t="str">
        <f t="shared" si="4"/>
        <v>Closed</v>
      </c>
      <c r="M254" s="55" t="str">
        <f t="shared" si="5"/>
        <v>No</v>
      </c>
    </row>
    <row r="255" ht="15.75" customHeight="1">
      <c r="A255" s="25" t="s">
        <v>1466</v>
      </c>
      <c r="B255" s="25" t="s">
        <v>1097</v>
      </c>
      <c r="C255" s="25" t="s">
        <v>1077</v>
      </c>
      <c r="D255" s="26">
        <v>46125.0</v>
      </c>
      <c r="E255" s="26">
        <v>46140.0</v>
      </c>
      <c r="F255" s="30">
        <v>127.92</v>
      </c>
      <c r="G255" s="26"/>
      <c r="H255" s="30">
        <v>0.0</v>
      </c>
      <c r="I255" s="30">
        <f t="shared" si="1"/>
        <v>127.92</v>
      </c>
      <c r="J255" s="29">
        <f t="shared" si="2"/>
        <v>18</v>
      </c>
      <c r="K255" s="25" t="str">
        <f t="shared" si="3"/>
        <v>0-30</v>
      </c>
      <c r="L255" s="25" t="str">
        <f t="shared" si="4"/>
        <v>Current</v>
      </c>
      <c r="M255" s="30" t="str">
        <f t="shared" si="5"/>
        <v>No</v>
      </c>
    </row>
    <row r="256" ht="15.75" customHeight="1">
      <c r="A256" s="53" t="s">
        <v>1467</v>
      </c>
      <c r="B256" s="53" t="s">
        <v>484</v>
      </c>
      <c r="C256" s="53" t="s">
        <v>457</v>
      </c>
      <c r="D256" s="54">
        <v>46108.0</v>
      </c>
      <c r="E256" s="54">
        <v>46123.0</v>
      </c>
      <c r="F256" s="55">
        <v>0.0</v>
      </c>
      <c r="G256" s="54">
        <v>46156.0</v>
      </c>
      <c r="H256" s="55">
        <v>0.0</v>
      </c>
      <c r="I256" s="55">
        <f t="shared" si="1"/>
        <v>0</v>
      </c>
      <c r="J256" s="56">
        <f t="shared" si="2"/>
        <v>35</v>
      </c>
      <c r="K256" s="53" t="str">
        <f t="shared" si="3"/>
        <v>Paid</v>
      </c>
      <c r="L256" s="53" t="str">
        <f t="shared" si="4"/>
        <v>Closed</v>
      </c>
      <c r="M256" s="55" t="str">
        <f t="shared" si="5"/>
        <v>No</v>
      </c>
    </row>
    <row r="257" ht="15.75" customHeight="1">
      <c r="A257" s="25" t="s">
        <v>1468</v>
      </c>
      <c r="B257" s="25" t="s">
        <v>886</v>
      </c>
      <c r="C257" s="25" t="s">
        <v>859</v>
      </c>
      <c r="D257" s="26">
        <v>46068.0</v>
      </c>
      <c r="E257" s="26">
        <v>46113.0</v>
      </c>
      <c r="F257" s="30">
        <v>601.2</v>
      </c>
      <c r="G257" s="26">
        <v>46115.0</v>
      </c>
      <c r="H257" s="30">
        <v>601.2</v>
      </c>
      <c r="I257" s="30">
        <f t="shared" si="1"/>
        <v>0</v>
      </c>
      <c r="J257" s="29">
        <f t="shared" si="2"/>
        <v>45</v>
      </c>
      <c r="K257" s="25" t="str">
        <f t="shared" si="3"/>
        <v>Paid</v>
      </c>
      <c r="L257" s="25" t="str">
        <f t="shared" si="4"/>
        <v>Closed</v>
      </c>
      <c r="M257" s="30" t="str">
        <f t="shared" si="5"/>
        <v>No</v>
      </c>
    </row>
    <row r="258" ht="15.75" customHeight="1">
      <c r="A258" s="53" t="s">
        <v>1469</v>
      </c>
      <c r="B258" s="53" t="s">
        <v>485</v>
      </c>
      <c r="C258" s="53" t="s">
        <v>469</v>
      </c>
      <c r="D258" s="54">
        <v>46073.0</v>
      </c>
      <c r="E258" s="54">
        <v>46118.0</v>
      </c>
      <c r="F258" s="55">
        <v>510.24</v>
      </c>
      <c r="G258" s="54"/>
      <c r="H258" s="55">
        <v>0.0</v>
      </c>
      <c r="I258" s="55">
        <f t="shared" si="1"/>
        <v>510.24</v>
      </c>
      <c r="J258" s="56">
        <f t="shared" si="2"/>
        <v>40</v>
      </c>
      <c r="K258" s="53" t="str">
        <f t="shared" si="3"/>
        <v>31-60</v>
      </c>
      <c r="L258" s="53" t="str">
        <f t="shared" si="4"/>
        <v>Reminder Sent</v>
      </c>
      <c r="M258" s="55" t="str">
        <f t="shared" si="5"/>
        <v>No</v>
      </c>
    </row>
    <row r="259" ht="15.75" customHeight="1">
      <c r="A259" s="25" t="s">
        <v>1470</v>
      </c>
      <c r="B259" s="25" t="s">
        <v>1098</v>
      </c>
      <c r="C259" s="25" t="s">
        <v>1083</v>
      </c>
      <c r="D259" s="26">
        <v>46047.0</v>
      </c>
      <c r="E259" s="26">
        <v>46092.0</v>
      </c>
      <c r="F259" s="30">
        <v>1395.24</v>
      </c>
      <c r="G259" s="26"/>
      <c r="H259" s="30">
        <v>0.0</v>
      </c>
      <c r="I259" s="30">
        <f t="shared" si="1"/>
        <v>1395.24</v>
      </c>
      <c r="J259" s="29">
        <f t="shared" si="2"/>
        <v>66</v>
      </c>
      <c r="K259" s="25" t="str">
        <f t="shared" si="3"/>
        <v>61-90</v>
      </c>
      <c r="L259" s="25" t="str">
        <f t="shared" si="4"/>
        <v>Collections Review</v>
      </c>
      <c r="M259" s="30" t="str">
        <f t="shared" si="5"/>
        <v>Yes</v>
      </c>
    </row>
    <row r="260" ht="15.75" customHeight="1">
      <c r="A260" s="53" t="s">
        <v>1471</v>
      </c>
      <c r="B260" s="53" t="s">
        <v>203</v>
      </c>
      <c r="C260" s="53" t="s">
        <v>189</v>
      </c>
      <c r="D260" s="54">
        <v>46077.0</v>
      </c>
      <c r="E260" s="54">
        <v>46092.0</v>
      </c>
      <c r="F260" s="55">
        <v>508.1</v>
      </c>
      <c r="G260" s="54"/>
      <c r="H260" s="55">
        <v>0.0</v>
      </c>
      <c r="I260" s="55">
        <f t="shared" si="1"/>
        <v>508.1</v>
      </c>
      <c r="J260" s="56">
        <f t="shared" si="2"/>
        <v>66</v>
      </c>
      <c r="K260" s="53" t="str">
        <f t="shared" si="3"/>
        <v>61-90</v>
      </c>
      <c r="L260" s="53" t="str">
        <f t="shared" si="4"/>
        <v>Collections Review</v>
      </c>
      <c r="M260" s="55" t="str">
        <f t="shared" si="5"/>
        <v>Yes</v>
      </c>
    </row>
    <row r="261" ht="15.75" customHeight="1">
      <c r="A261" s="25" t="s">
        <v>1472</v>
      </c>
      <c r="B261" s="25" t="s">
        <v>486</v>
      </c>
      <c r="C261" s="25" t="s">
        <v>469</v>
      </c>
      <c r="D261" s="26">
        <v>46123.0</v>
      </c>
      <c r="E261" s="26">
        <v>46138.0</v>
      </c>
      <c r="F261" s="30">
        <v>496.08</v>
      </c>
      <c r="G261" s="26">
        <v>46141.0</v>
      </c>
      <c r="H261" s="30">
        <v>496.08</v>
      </c>
      <c r="I261" s="30">
        <f t="shared" si="1"/>
        <v>0</v>
      </c>
      <c r="J261" s="29">
        <f t="shared" si="2"/>
        <v>20</v>
      </c>
      <c r="K261" s="25" t="str">
        <f t="shared" si="3"/>
        <v>Paid</v>
      </c>
      <c r="L261" s="25" t="str">
        <f t="shared" si="4"/>
        <v>Closed</v>
      </c>
      <c r="M261" s="30" t="str">
        <f t="shared" si="5"/>
        <v>No</v>
      </c>
    </row>
    <row r="262" ht="15.75" customHeight="1">
      <c r="A262" s="53" t="s">
        <v>1473</v>
      </c>
      <c r="B262" s="53" t="s">
        <v>759</v>
      </c>
      <c r="C262" s="53" t="s">
        <v>704</v>
      </c>
      <c r="D262" s="54">
        <v>46049.0</v>
      </c>
      <c r="E262" s="54">
        <v>46079.0</v>
      </c>
      <c r="F262" s="55">
        <v>274.8</v>
      </c>
      <c r="G262" s="54"/>
      <c r="H262" s="55">
        <v>0.0</v>
      </c>
      <c r="I262" s="55">
        <f t="shared" si="1"/>
        <v>274.8</v>
      </c>
      <c r="J262" s="56">
        <f t="shared" si="2"/>
        <v>79</v>
      </c>
      <c r="K262" s="53" t="str">
        <f t="shared" si="3"/>
        <v>61-90</v>
      </c>
      <c r="L262" s="53" t="str">
        <f t="shared" si="4"/>
        <v>Collections Review</v>
      </c>
      <c r="M262" s="55" t="str">
        <f t="shared" si="5"/>
        <v>Yes</v>
      </c>
    </row>
    <row r="263" ht="15.75" customHeight="1">
      <c r="A263" s="25" t="s">
        <v>1474</v>
      </c>
      <c r="B263" s="25" t="s">
        <v>760</v>
      </c>
      <c r="C263" s="25" t="s">
        <v>708</v>
      </c>
      <c r="D263" s="26">
        <v>46026.0</v>
      </c>
      <c r="E263" s="26">
        <v>46056.0</v>
      </c>
      <c r="F263" s="30">
        <v>124.08</v>
      </c>
      <c r="G263" s="26">
        <v>46049.0</v>
      </c>
      <c r="H263" s="30">
        <v>124.08</v>
      </c>
      <c r="I263" s="30">
        <f t="shared" si="1"/>
        <v>0</v>
      </c>
      <c r="J263" s="29">
        <f t="shared" si="2"/>
        <v>102</v>
      </c>
      <c r="K263" s="25" t="str">
        <f t="shared" si="3"/>
        <v>Paid</v>
      </c>
      <c r="L263" s="25" t="str">
        <f t="shared" si="4"/>
        <v>Closed</v>
      </c>
      <c r="M263" s="30" t="str">
        <f t="shared" si="5"/>
        <v>No</v>
      </c>
    </row>
    <row r="264" ht="15.75" customHeight="1">
      <c r="A264" s="53" t="s">
        <v>1475</v>
      </c>
      <c r="B264" s="53" t="s">
        <v>336</v>
      </c>
      <c r="C264" s="53" t="s">
        <v>326</v>
      </c>
      <c r="D264" s="54">
        <v>46042.0</v>
      </c>
      <c r="E264" s="54">
        <v>46087.0</v>
      </c>
      <c r="F264" s="55">
        <v>586.8</v>
      </c>
      <c r="G264" s="54">
        <v>46127.0</v>
      </c>
      <c r="H264" s="55">
        <v>586.8</v>
      </c>
      <c r="I264" s="55">
        <f t="shared" si="1"/>
        <v>0</v>
      </c>
      <c r="J264" s="56">
        <f t="shared" si="2"/>
        <v>71</v>
      </c>
      <c r="K264" s="53" t="str">
        <f t="shared" si="3"/>
        <v>Paid</v>
      </c>
      <c r="L264" s="53" t="str">
        <f t="shared" si="4"/>
        <v>Closed</v>
      </c>
      <c r="M264" s="55" t="str">
        <f t="shared" si="5"/>
        <v>No</v>
      </c>
    </row>
    <row r="265" ht="15.75" customHeight="1">
      <c r="A265" s="25" t="s">
        <v>1476</v>
      </c>
      <c r="B265" s="25" t="s">
        <v>594</v>
      </c>
      <c r="C265" s="25" t="s">
        <v>573</v>
      </c>
      <c r="D265" s="26">
        <v>46095.0</v>
      </c>
      <c r="E265" s="26">
        <v>46125.0</v>
      </c>
      <c r="F265" s="30">
        <v>568.32</v>
      </c>
      <c r="G265" s="26">
        <v>46130.0</v>
      </c>
      <c r="H265" s="30">
        <v>568.32</v>
      </c>
      <c r="I265" s="30">
        <f t="shared" si="1"/>
        <v>0</v>
      </c>
      <c r="J265" s="29">
        <f t="shared" si="2"/>
        <v>33</v>
      </c>
      <c r="K265" s="25" t="str">
        <f t="shared" si="3"/>
        <v>Paid</v>
      </c>
      <c r="L265" s="25" t="str">
        <f t="shared" si="4"/>
        <v>Closed</v>
      </c>
      <c r="M265" s="30" t="str">
        <f t="shared" si="5"/>
        <v>No</v>
      </c>
    </row>
    <row r="266" ht="15.75" customHeight="1">
      <c r="A266" s="53" t="s">
        <v>1477</v>
      </c>
      <c r="B266" s="53" t="s">
        <v>205</v>
      </c>
      <c r="C266" s="53" t="s">
        <v>179</v>
      </c>
      <c r="D266" s="54">
        <v>46059.0</v>
      </c>
      <c r="E266" s="54">
        <v>46074.0</v>
      </c>
      <c r="F266" s="55">
        <v>988.8</v>
      </c>
      <c r="G266" s="54">
        <v>46076.0</v>
      </c>
      <c r="H266" s="55">
        <v>988.8</v>
      </c>
      <c r="I266" s="55">
        <f t="shared" si="1"/>
        <v>0</v>
      </c>
      <c r="J266" s="56">
        <f t="shared" si="2"/>
        <v>84</v>
      </c>
      <c r="K266" s="53" t="str">
        <f t="shared" si="3"/>
        <v>Paid</v>
      </c>
      <c r="L266" s="53" t="str">
        <f t="shared" si="4"/>
        <v>Closed</v>
      </c>
      <c r="M266" s="55" t="str">
        <f t="shared" si="5"/>
        <v>No</v>
      </c>
    </row>
    <row r="267" ht="15.75" customHeight="1">
      <c r="A267" s="25" t="s">
        <v>1478</v>
      </c>
      <c r="B267" s="25" t="s">
        <v>1144</v>
      </c>
      <c r="C267" s="25" t="s">
        <v>1139</v>
      </c>
      <c r="D267" s="26">
        <v>46081.0</v>
      </c>
      <c r="E267" s="26">
        <v>46111.0</v>
      </c>
      <c r="F267" s="30">
        <v>720.0</v>
      </c>
      <c r="G267" s="26">
        <v>46106.0</v>
      </c>
      <c r="H267" s="30">
        <v>720.0</v>
      </c>
      <c r="I267" s="30">
        <f t="shared" si="1"/>
        <v>0</v>
      </c>
      <c r="J267" s="29">
        <f t="shared" si="2"/>
        <v>47</v>
      </c>
      <c r="K267" s="25" t="str">
        <f t="shared" si="3"/>
        <v>Paid</v>
      </c>
      <c r="L267" s="25" t="str">
        <f t="shared" si="4"/>
        <v>Closed</v>
      </c>
      <c r="M267" s="30" t="str">
        <f t="shared" si="5"/>
        <v>No</v>
      </c>
    </row>
    <row r="268" ht="15.75" customHeight="1">
      <c r="A268" s="53" t="s">
        <v>1479</v>
      </c>
      <c r="B268" s="53" t="s">
        <v>992</v>
      </c>
      <c r="C268" s="53" t="s">
        <v>980</v>
      </c>
      <c r="D268" s="54">
        <v>46141.0</v>
      </c>
      <c r="E268" s="54">
        <v>46171.0</v>
      </c>
      <c r="F268" s="55">
        <v>45.78</v>
      </c>
      <c r="G268" s="54">
        <v>46199.0</v>
      </c>
      <c r="H268" s="55">
        <v>45.78</v>
      </c>
      <c r="I268" s="55">
        <f t="shared" si="1"/>
        <v>0</v>
      </c>
      <c r="J268" s="56">
        <f t="shared" si="2"/>
        <v>0</v>
      </c>
      <c r="K268" s="53" t="str">
        <f t="shared" si="3"/>
        <v>Paid</v>
      </c>
      <c r="L268" s="53" t="str">
        <f t="shared" si="4"/>
        <v>Closed</v>
      </c>
      <c r="M268" s="55" t="str">
        <f t="shared" si="5"/>
        <v>No</v>
      </c>
    </row>
    <row r="269" ht="15.75" customHeight="1">
      <c r="A269" s="25" t="s">
        <v>1480</v>
      </c>
      <c r="B269" s="25" t="s">
        <v>761</v>
      </c>
      <c r="C269" s="25" t="s">
        <v>717</v>
      </c>
      <c r="D269" s="26">
        <v>46057.0</v>
      </c>
      <c r="E269" s="26">
        <v>46087.0</v>
      </c>
      <c r="F269" s="30">
        <v>270.05</v>
      </c>
      <c r="G269" s="26">
        <v>46110.0</v>
      </c>
      <c r="H269" s="30">
        <v>270.05</v>
      </c>
      <c r="I269" s="30">
        <f t="shared" si="1"/>
        <v>0</v>
      </c>
      <c r="J269" s="29">
        <f t="shared" si="2"/>
        <v>71</v>
      </c>
      <c r="K269" s="25" t="str">
        <f t="shared" si="3"/>
        <v>Paid</v>
      </c>
      <c r="L269" s="25" t="str">
        <f t="shared" si="4"/>
        <v>Closed</v>
      </c>
      <c r="M269" s="30" t="str">
        <f t="shared" si="5"/>
        <v>No</v>
      </c>
    </row>
    <row r="270" ht="15.75" customHeight="1">
      <c r="A270" s="53" t="s">
        <v>1481</v>
      </c>
      <c r="B270" s="53" t="s">
        <v>993</v>
      </c>
      <c r="C270" s="53" t="s">
        <v>953</v>
      </c>
      <c r="D270" s="54">
        <v>46050.0</v>
      </c>
      <c r="E270" s="54">
        <v>46080.0</v>
      </c>
      <c r="F270" s="55">
        <v>810.24</v>
      </c>
      <c r="G270" s="54"/>
      <c r="H270" s="55">
        <v>0.0</v>
      </c>
      <c r="I270" s="55">
        <f t="shared" si="1"/>
        <v>810.24</v>
      </c>
      <c r="J270" s="56">
        <f t="shared" si="2"/>
        <v>78</v>
      </c>
      <c r="K270" s="53" t="str">
        <f t="shared" si="3"/>
        <v>61-90</v>
      </c>
      <c r="L270" s="53" t="str">
        <f t="shared" si="4"/>
        <v>Collections Review</v>
      </c>
      <c r="M270" s="55" t="str">
        <f t="shared" si="5"/>
        <v>Yes</v>
      </c>
    </row>
    <row r="271" ht="15.75" customHeight="1">
      <c r="A271" s="25" t="s">
        <v>1482</v>
      </c>
      <c r="B271" s="25" t="s">
        <v>337</v>
      </c>
      <c r="C271" s="25" t="s">
        <v>305</v>
      </c>
      <c r="D271" s="26">
        <v>46123.0</v>
      </c>
      <c r="E271" s="26">
        <v>46153.0</v>
      </c>
      <c r="F271" s="30">
        <v>68.28</v>
      </c>
      <c r="G271" s="26">
        <v>46166.0</v>
      </c>
      <c r="H271" s="30">
        <v>68.28</v>
      </c>
      <c r="I271" s="30">
        <f t="shared" si="1"/>
        <v>0</v>
      </c>
      <c r="J271" s="29">
        <f t="shared" si="2"/>
        <v>5</v>
      </c>
      <c r="K271" s="25" t="str">
        <f t="shared" si="3"/>
        <v>Paid</v>
      </c>
      <c r="L271" s="25" t="str">
        <f t="shared" si="4"/>
        <v>Closed</v>
      </c>
      <c r="M271" s="30" t="str">
        <f t="shared" si="5"/>
        <v>No</v>
      </c>
    </row>
    <row r="272" ht="15.75" customHeight="1">
      <c r="A272" s="53" t="s">
        <v>1483</v>
      </c>
      <c r="B272" s="53" t="s">
        <v>596</v>
      </c>
      <c r="C272" s="53" t="s">
        <v>566</v>
      </c>
      <c r="D272" s="54">
        <v>46138.0</v>
      </c>
      <c r="E272" s="54">
        <v>46183.0</v>
      </c>
      <c r="F272" s="55">
        <v>553.44</v>
      </c>
      <c r="G272" s="54"/>
      <c r="H272" s="55">
        <v>0.0</v>
      </c>
      <c r="I272" s="55">
        <f t="shared" si="1"/>
        <v>553.44</v>
      </c>
      <c r="J272" s="56">
        <f t="shared" si="2"/>
        <v>0</v>
      </c>
      <c r="K272" s="53" t="str">
        <f t="shared" si="3"/>
        <v>0-30</v>
      </c>
      <c r="L272" s="53" t="str">
        <f t="shared" si="4"/>
        <v>Current</v>
      </c>
      <c r="M272" s="55" t="str">
        <f t="shared" si="5"/>
        <v>No</v>
      </c>
    </row>
    <row r="273" ht="15.75" customHeight="1">
      <c r="A273" s="25" t="s">
        <v>1484</v>
      </c>
      <c r="B273" s="25" t="s">
        <v>887</v>
      </c>
      <c r="C273" s="25" t="s">
        <v>853</v>
      </c>
      <c r="D273" s="26">
        <v>46056.0</v>
      </c>
      <c r="E273" s="26">
        <v>46086.0</v>
      </c>
      <c r="F273" s="30">
        <v>520.8</v>
      </c>
      <c r="G273" s="26">
        <v>46125.0</v>
      </c>
      <c r="H273" s="30">
        <v>520.8</v>
      </c>
      <c r="I273" s="30">
        <f t="shared" si="1"/>
        <v>0</v>
      </c>
      <c r="J273" s="29">
        <f t="shared" si="2"/>
        <v>72</v>
      </c>
      <c r="K273" s="25" t="str">
        <f t="shared" si="3"/>
        <v>Paid</v>
      </c>
      <c r="L273" s="25" t="str">
        <f t="shared" si="4"/>
        <v>Closed</v>
      </c>
      <c r="M273" s="30" t="str">
        <f t="shared" si="5"/>
        <v>No</v>
      </c>
    </row>
    <row r="274" ht="15.75" customHeight="1">
      <c r="A274" s="53" t="s">
        <v>1485</v>
      </c>
      <c r="B274" s="53" t="s">
        <v>208</v>
      </c>
      <c r="C274" s="53" t="s">
        <v>179</v>
      </c>
      <c r="D274" s="54">
        <v>46128.0</v>
      </c>
      <c r="E274" s="54">
        <v>46173.0</v>
      </c>
      <c r="F274" s="55">
        <v>272.59</v>
      </c>
      <c r="G274" s="54">
        <v>46178.0</v>
      </c>
      <c r="H274" s="55">
        <v>272.59</v>
      </c>
      <c r="I274" s="55">
        <f t="shared" si="1"/>
        <v>0</v>
      </c>
      <c r="J274" s="56">
        <f t="shared" si="2"/>
        <v>0</v>
      </c>
      <c r="K274" s="53" t="str">
        <f t="shared" si="3"/>
        <v>Paid</v>
      </c>
      <c r="L274" s="53" t="str">
        <f t="shared" si="4"/>
        <v>Closed</v>
      </c>
      <c r="M274" s="55" t="str">
        <f t="shared" si="5"/>
        <v>No</v>
      </c>
    </row>
    <row r="275" ht="15.75" customHeight="1">
      <c r="A275" s="25" t="s">
        <v>1486</v>
      </c>
      <c r="B275" s="25" t="s">
        <v>1145</v>
      </c>
      <c r="C275" s="25" t="s">
        <v>1129</v>
      </c>
      <c r="D275" s="26">
        <v>46113.0</v>
      </c>
      <c r="E275" s="26">
        <v>46128.0</v>
      </c>
      <c r="F275" s="30">
        <v>821.52</v>
      </c>
      <c r="G275" s="26"/>
      <c r="H275" s="30">
        <v>0.0</v>
      </c>
      <c r="I275" s="30">
        <f t="shared" si="1"/>
        <v>821.52</v>
      </c>
      <c r="J275" s="29">
        <f t="shared" si="2"/>
        <v>30</v>
      </c>
      <c r="K275" s="25" t="str">
        <f t="shared" si="3"/>
        <v>0-30</v>
      </c>
      <c r="L275" s="25" t="str">
        <f t="shared" si="4"/>
        <v>Current</v>
      </c>
      <c r="M275" s="30" t="str">
        <f t="shared" si="5"/>
        <v>No</v>
      </c>
    </row>
    <row r="276" ht="15.75" customHeight="1">
      <c r="A276" s="53" t="s">
        <v>1487</v>
      </c>
      <c r="B276" s="53" t="s">
        <v>597</v>
      </c>
      <c r="C276" s="53" t="s">
        <v>588</v>
      </c>
      <c r="D276" s="54">
        <v>46060.0</v>
      </c>
      <c r="E276" s="54">
        <v>46090.0</v>
      </c>
      <c r="F276" s="55">
        <v>942.0</v>
      </c>
      <c r="G276" s="54">
        <v>46086.0</v>
      </c>
      <c r="H276" s="55">
        <v>942.0</v>
      </c>
      <c r="I276" s="55">
        <f t="shared" si="1"/>
        <v>0</v>
      </c>
      <c r="J276" s="56">
        <f t="shared" si="2"/>
        <v>68</v>
      </c>
      <c r="K276" s="53" t="str">
        <f t="shared" si="3"/>
        <v>Paid</v>
      </c>
      <c r="L276" s="53" t="str">
        <f t="shared" si="4"/>
        <v>Closed</v>
      </c>
      <c r="M276" s="55" t="str">
        <f t="shared" si="5"/>
        <v>No</v>
      </c>
    </row>
    <row r="277" ht="15.75" customHeight="1">
      <c r="A277" s="25" t="s">
        <v>1488</v>
      </c>
      <c r="B277" s="25" t="s">
        <v>487</v>
      </c>
      <c r="C277" s="25" t="s">
        <v>459</v>
      </c>
      <c r="D277" s="26">
        <v>46138.0</v>
      </c>
      <c r="E277" s="26">
        <v>46168.0</v>
      </c>
      <c r="F277" s="30">
        <v>1221.48</v>
      </c>
      <c r="G277" s="26"/>
      <c r="H277" s="30">
        <v>0.0</v>
      </c>
      <c r="I277" s="30">
        <f t="shared" si="1"/>
        <v>1221.48</v>
      </c>
      <c r="J277" s="29">
        <f t="shared" si="2"/>
        <v>0</v>
      </c>
      <c r="K277" s="25" t="str">
        <f t="shared" si="3"/>
        <v>0-30</v>
      </c>
      <c r="L277" s="25" t="str">
        <f t="shared" si="4"/>
        <v>Current</v>
      </c>
      <c r="M277" s="30" t="str">
        <f t="shared" si="5"/>
        <v>No</v>
      </c>
    </row>
    <row r="278" ht="15.75" customHeight="1">
      <c r="A278" s="53" t="s">
        <v>1489</v>
      </c>
      <c r="B278" s="53" t="s">
        <v>995</v>
      </c>
      <c r="C278" s="53" t="s">
        <v>988</v>
      </c>
      <c r="D278" s="54">
        <v>46036.0</v>
      </c>
      <c r="E278" s="54">
        <v>46051.0</v>
      </c>
      <c r="F278" s="55">
        <v>66.18</v>
      </c>
      <c r="G278" s="54">
        <v>46049.0</v>
      </c>
      <c r="H278" s="55">
        <v>66.18</v>
      </c>
      <c r="I278" s="55">
        <f t="shared" si="1"/>
        <v>0</v>
      </c>
      <c r="J278" s="56">
        <f t="shared" si="2"/>
        <v>107</v>
      </c>
      <c r="K278" s="53" t="str">
        <f t="shared" si="3"/>
        <v>Paid</v>
      </c>
      <c r="L278" s="53" t="str">
        <f t="shared" si="4"/>
        <v>Closed</v>
      </c>
      <c r="M278" s="55" t="str">
        <f t="shared" si="5"/>
        <v>No</v>
      </c>
    </row>
    <row r="279" ht="15.75" customHeight="1">
      <c r="A279" s="25" t="s">
        <v>1490</v>
      </c>
      <c r="B279" s="25" t="s">
        <v>996</v>
      </c>
      <c r="C279" s="25" t="s">
        <v>988</v>
      </c>
      <c r="D279" s="26">
        <v>46102.0</v>
      </c>
      <c r="E279" s="26">
        <v>46132.0</v>
      </c>
      <c r="F279" s="30">
        <v>127.68</v>
      </c>
      <c r="G279" s="26">
        <v>46153.0</v>
      </c>
      <c r="H279" s="30">
        <v>127.68</v>
      </c>
      <c r="I279" s="30">
        <f t="shared" si="1"/>
        <v>0</v>
      </c>
      <c r="J279" s="29">
        <f t="shared" si="2"/>
        <v>26</v>
      </c>
      <c r="K279" s="25" t="str">
        <f t="shared" si="3"/>
        <v>Paid</v>
      </c>
      <c r="L279" s="25" t="str">
        <f t="shared" si="4"/>
        <v>Closed</v>
      </c>
      <c r="M279" s="30" t="str">
        <f t="shared" si="5"/>
        <v>No</v>
      </c>
    </row>
    <row r="280" ht="15.75" customHeight="1">
      <c r="A280" s="53" t="s">
        <v>1491</v>
      </c>
      <c r="B280" s="53" t="s">
        <v>338</v>
      </c>
      <c r="C280" s="53" t="s">
        <v>339</v>
      </c>
      <c r="D280" s="54">
        <v>46070.0</v>
      </c>
      <c r="E280" s="54">
        <v>46100.0</v>
      </c>
      <c r="F280" s="55">
        <v>242.64</v>
      </c>
      <c r="G280" s="54">
        <v>46120.0</v>
      </c>
      <c r="H280" s="55">
        <v>242.64</v>
      </c>
      <c r="I280" s="55">
        <f t="shared" si="1"/>
        <v>0</v>
      </c>
      <c r="J280" s="56">
        <f t="shared" si="2"/>
        <v>58</v>
      </c>
      <c r="K280" s="53" t="str">
        <f t="shared" si="3"/>
        <v>Paid</v>
      </c>
      <c r="L280" s="53" t="str">
        <f t="shared" si="4"/>
        <v>Closed</v>
      </c>
      <c r="M280" s="55" t="str">
        <f t="shared" si="5"/>
        <v>No</v>
      </c>
    </row>
    <row r="281" ht="15.75" customHeight="1">
      <c r="A281" s="25" t="s">
        <v>1492</v>
      </c>
      <c r="B281" s="25" t="s">
        <v>209</v>
      </c>
      <c r="C281" s="25" t="s">
        <v>170</v>
      </c>
      <c r="D281" s="26">
        <v>46064.0</v>
      </c>
      <c r="E281" s="26">
        <v>46109.0</v>
      </c>
      <c r="F281" s="30">
        <v>1353.6</v>
      </c>
      <c r="G281" s="26">
        <v>46111.0</v>
      </c>
      <c r="H281" s="30">
        <v>1353.6</v>
      </c>
      <c r="I281" s="30">
        <f t="shared" si="1"/>
        <v>0</v>
      </c>
      <c r="J281" s="29">
        <f t="shared" si="2"/>
        <v>49</v>
      </c>
      <c r="K281" s="25" t="str">
        <f t="shared" si="3"/>
        <v>Paid</v>
      </c>
      <c r="L281" s="25" t="str">
        <f t="shared" si="4"/>
        <v>Closed</v>
      </c>
      <c r="M281" s="30" t="str">
        <f t="shared" si="5"/>
        <v>No</v>
      </c>
    </row>
    <row r="282" ht="15.75" customHeight="1">
      <c r="A282" s="53" t="s">
        <v>1493</v>
      </c>
      <c r="B282" s="53" t="s">
        <v>210</v>
      </c>
      <c r="C282" s="53" t="s">
        <v>174</v>
      </c>
      <c r="D282" s="54">
        <v>46137.0</v>
      </c>
      <c r="E282" s="54">
        <v>46182.0</v>
      </c>
      <c r="F282" s="55">
        <v>86.52</v>
      </c>
      <c r="G282" s="54">
        <v>46221.0</v>
      </c>
      <c r="H282" s="55">
        <v>86.52</v>
      </c>
      <c r="I282" s="55">
        <f t="shared" si="1"/>
        <v>0</v>
      </c>
      <c r="J282" s="56">
        <f t="shared" si="2"/>
        <v>0</v>
      </c>
      <c r="K282" s="53" t="str">
        <f t="shared" si="3"/>
        <v>Paid</v>
      </c>
      <c r="L282" s="53" t="str">
        <f t="shared" si="4"/>
        <v>Closed</v>
      </c>
      <c r="M282" s="55" t="str">
        <f t="shared" si="5"/>
        <v>No</v>
      </c>
    </row>
    <row r="283" ht="15.75" customHeight="1">
      <c r="A283" s="25" t="s">
        <v>1494</v>
      </c>
      <c r="B283" s="25" t="s">
        <v>888</v>
      </c>
      <c r="C283" s="25" t="s">
        <v>879</v>
      </c>
      <c r="D283" s="26">
        <v>46143.0</v>
      </c>
      <c r="E283" s="26">
        <v>46188.0</v>
      </c>
      <c r="F283" s="30">
        <v>491.04</v>
      </c>
      <c r="G283" s="26"/>
      <c r="H283" s="30">
        <v>0.0</v>
      </c>
      <c r="I283" s="30">
        <f t="shared" si="1"/>
        <v>491.04</v>
      </c>
      <c r="J283" s="29">
        <f t="shared" si="2"/>
        <v>0</v>
      </c>
      <c r="K283" s="25" t="str">
        <f t="shared" si="3"/>
        <v>0-30</v>
      </c>
      <c r="L283" s="25" t="str">
        <f t="shared" si="4"/>
        <v>Current</v>
      </c>
      <c r="M283" s="30" t="str">
        <f t="shared" si="5"/>
        <v>No</v>
      </c>
    </row>
    <row r="284" ht="15.75" customHeight="1">
      <c r="A284" s="53" t="s">
        <v>1495</v>
      </c>
      <c r="B284" s="53" t="s">
        <v>997</v>
      </c>
      <c r="C284" s="53" t="s">
        <v>953</v>
      </c>
      <c r="D284" s="54">
        <v>46053.0</v>
      </c>
      <c r="E284" s="54">
        <v>46083.0</v>
      </c>
      <c r="F284" s="55">
        <v>1158.0</v>
      </c>
      <c r="G284" s="54">
        <v>46108.0</v>
      </c>
      <c r="H284" s="55">
        <v>1158.0</v>
      </c>
      <c r="I284" s="55">
        <f t="shared" si="1"/>
        <v>0</v>
      </c>
      <c r="J284" s="56">
        <f t="shared" si="2"/>
        <v>75</v>
      </c>
      <c r="K284" s="53" t="str">
        <f t="shared" si="3"/>
        <v>Paid</v>
      </c>
      <c r="L284" s="53" t="str">
        <f t="shared" si="4"/>
        <v>Closed</v>
      </c>
      <c r="M284" s="55" t="str">
        <f t="shared" si="5"/>
        <v>No</v>
      </c>
    </row>
    <row r="285" ht="15.75" customHeight="1">
      <c r="A285" s="25" t="s">
        <v>1496</v>
      </c>
      <c r="B285" s="25" t="s">
        <v>598</v>
      </c>
      <c r="C285" s="25" t="s">
        <v>544</v>
      </c>
      <c r="D285" s="26">
        <v>46144.0</v>
      </c>
      <c r="E285" s="26">
        <v>46174.0</v>
      </c>
      <c r="F285" s="30">
        <v>536.16</v>
      </c>
      <c r="G285" s="26"/>
      <c r="H285" s="30">
        <v>0.0</v>
      </c>
      <c r="I285" s="30">
        <f t="shared" si="1"/>
        <v>536.16</v>
      </c>
      <c r="J285" s="29">
        <f t="shared" si="2"/>
        <v>0</v>
      </c>
      <c r="K285" s="25" t="str">
        <f t="shared" si="3"/>
        <v>0-30</v>
      </c>
      <c r="L285" s="25" t="str">
        <f t="shared" si="4"/>
        <v>Current</v>
      </c>
      <c r="M285" s="30" t="str">
        <f t="shared" si="5"/>
        <v>No</v>
      </c>
    </row>
    <row r="286" ht="15.75" customHeight="1">
      <c r="A286" s="53" t="s">
        <v>1497</v>
      </c>
      <c r="B286" s="53" t="s">
        <v>599</v>
      </c>
      <c r="C286" s="53" t="s">
        <v>570</v>
      </c>
      <c r="D286" s="54">
        <v>46080.0</v>
      </c>
      <c r="E286" s="54">
        <v>46095.0</v>
      </c>
      <c r="F286" s="55">
        <v>66.0</v>
      </c>
      <c r="G286" s="54">
        <v>46126.0</v>
      </c>
      <c r="H286" s="55">
        <v>66.0</v>
      </c>
      <c r="I286" s="55">
        <f t="shared" si="1"/>
        <v>0</v>
      </c>
      <c r="J286" s="56">
        <f t="shared" si="2"/>
        <v>63</v>
      </c>
      <c r="K286" s="53" t="str">
        <f t="shared" si="3"/>
        <v>Paid</v>
      </c>
      <c r="L286" s="53" t="str">
        <f t="shared" si="4"/>
        <v>Closed</v>
      </c>
      <c r="M286" s="55" t="str">
        <f t="shared" si="5"/>
        <v>No</v>
      </c>
    </row>
    <row r="287" ht="15.75" customHeight="1">
      <c r="A287" s="25" t="s">
        <v>1498</v>
      </c>
      <c r="B287" s="25" t="s">
        <v>488</v>
      </c>
      <c r="C287" s="25" t="s">
        <v>469</v>
      </c>
      <c r="D287" s="26">
        <v>46050.0</v>
      </c>
      <c r="E287" s="26">
        <v>46095.0</v>
      </c>
      <c r="F287" s="30">
        <v>273.84</v>
      </c>
      <c r="G287" s="26">
        <v>46096.0</v>
      </c>
      <c r="H287" s="30">
        <v>273.84</v>
      </c>
      <c r="I287" s="30">
        <f t="shared" si="1"/>
        <v>0</v>
      </c>
      <c r="J287" s="29">
        <f t="shared" si="2"/>
        <v>63</v>
      </c>
      <c r="K287" s="25" t="str">
        <f t="shared" si="3"/>
        <v>Paid</v>
      </c>
      <c r="L287" s="25" t="str">
        <f t="shared" si="4"/>
        <v>Closed</v>
      </c>
      <c r="M287" s="30" t="str">
        <f t="shared" si="5"/>
        <v>No</v>
      </c>
    </row>
    <row r="288" ht="15.75" customHeight="1">
      <c r="A288" s="53" t="s">
        <v>1499</v>
      </c>
      <c r="B288" s="53" t="s">
        <v>600</v>
      </c>
      <c r="C288" s="53" t="s">
        <v>566</v>
      </c>
      <c r="D288" s="54">
        <v>46066.0</v>
      </c>
      <c r="E288" s="54">
        <v>46081.0</v>
      </c>
      <c r="F288" s="55">
        <v>302.04</v>
      </c>
      <c r="G288" s="54"/>
      <c r="H288" s="55">
        <v>0.0</v>
      </c>
      <c r="I288" s="55">
        <f t="shared" si="1"/>
        <v>302.04</v>
      </c>
      <c r="J288" s="56">
        <f t="shared" si="2"/>
        <v>77</v>
      </c>
      <c r="K288" s="53" t="str">
        <f t="shared" si="3"/>
        <v>61-90</v>
      </c>
      <c r="L288" s="53" t="str">
        <f t="shared" si="4"/>
        <v>Collections Review</v>
      </c>
      <c r="M288" s="55" t="str">
        <f t="shared" si="5"/>
        <v>Yes</v>
      </c>
    </row>
    <row r="289" ht="15.75" customHeight="1">
      <c r="A289" s="25" t="s">
        <v>1500</v>
      </c>
      <c r="B289" s="25" t="s">
        <v>601</v>
      </c>
      <c r="C289" s="25" t="s">
        <v>557</v>
      </c>
      <c r="D289" s="26">
        <v>46097.0</v>
      </c>
      <c r="E289" s="26">
        <v>46127.0</v>
      </c>
      <c r="F289" s="30">
        <v>658.26</v>
      </c>
      <c r="G289" s="26">
        <v>46128.0</v>
      </c>
      <c r="H289" s="30">
        <v>658.26</v>
      </c>
      <c r="I289" s="30">
        <f t="shared" si="1"/>
        <v>0</v>
      </c>
      <c r="J289" s="29">
        <f t="shared" si="2"/>
        <v>31</v>
      </c>
      <c r="K289" s="25" t="str">
        <f t="shared" si="3"/>
        <v>Paid</v>
      </c>
      <c r="L289" s="25" t="str">
        <f t="shared" si="4"/>
        <v>Closed</v>
      </c>
      <c r="M289" s="30" t="str">
        <f t="shared" si="5"/>
        <v>No</v>
      </c>
    </row>
    <row r="290" ht="15.75" customHeight="1">
      <c r="A290" s="53" t="s">
        <v>1501</v>
      </c>
      <c r="B290" s="53" t="s">
        <v>762</v>
      </c>
      <c r="C290" s="53" t="s">
        <v>729</v>
      </c>
      <c r="D290" s="54">
        <v>46049.0</v>
      </c>
      <c r="E290" s="54">
        <v>46064.0</v>
      </c>
      <c r="F290" s="55">
        <v>995.79</v>
      </c>
      <c r="G290" s="54">
        <v>46079.0</v>
      </c>
      <c r="H290" s="55">
        <v>995.79</v>
      </c>
      <c r="I290" s="55">
        <f t="shared" si="1"/>
        <v>0</v>
      </c>
      <c r="J290" s="56">
        <f t="shared" si="2"/>
        <v>94</v>
      </c>
      <c r="K290" s="53" t="str">
        <f t="shared" si="3"/>
        <v>Paid</v>
      </c>
      <c r="L290" s="53" t="str">
        <f t="shared" si="4"/>
        <v>Closed</v>
      </c>
      <c r="M290" s="55" t="str">
        <f t="shared" si="5"/>
        <v>No</v>
      </c>
    </row>
    <row r="291" ht="15.75" customHeight="1">
      <c r="A291" s="25" t="s">
        <v>1502</v>
      </c>
      <c r="B291" s="25" t="s">
        <v>763</v>
      </c>
      <c r="C291" s="25" t="s">
        <v>706</v>
      </c>
      <c r="D291" s="26">
        <v>46137.0</v>
      </c>
      <c r="E291" s="26">
        <v>46167.0</v>
      </c>
      <c r="F291" s="30">
        <v>280.8</v>
      </c>
      <c r="G291" s="26">
        <v>46202.0</v>
      </c>
      <c r="H291" s="30">
        <v>280.8</v>
      </c>
      <c r="I291" s="30">
        <f t="shared" si="1"/>
        <v>0</v>
      </c>
      <c r="J291" s="29">
        <f t="shared" si="2"/>
        <v>0</v>
      </c>
      <c r="K291" s="25" t="str">
        <f t="shared" si="3"/>
        <v>Paid</v>
      </c>
      <c r="L291" s="25" t="str">
        <f t="shared" si="4"/>
        <v>Closed</v>
      </c>
      <c r="M291" s="30" t="str">
        <f t="shared" si="5"/>
        <v>No</v>
      </c>
    </row>
    <row r="292" ht="15.75" customHeight="1">
      <c r="A292" s="53" t="s">
        <v>1503</v>
      </c>
      <c r="B292" s="53" t="s">
        <v>998</v>
      </c>
      <c r="C292" s="53" t="s">
        <v>999</v>
      </c>
      <c r="D292" s="54">
        <v>46047.0</v>
      </c>
      <c r="E292" s="54">
        <v>46092.0</v>
      </c>
      <c r="F292" s="55">
        <v>1054.08</v>
      </c>
      <c r="G292" s="54"/>
      <c r="H292" s="55">
        <v>0.0</v>
      </c>
      <c r="I292" s="55">
        <f t="shared" si="1"/>
        <v>1054.08</v>
      </c>
      <c r="J292" s="56">
        <f t="shared" si="2"/>
        <v>66</v>
      </c>
      <c r="K292" s="53" t="str">
        <f t="shared" si="3"/>
        <v>61-90</v>
      </c>
      <c r="L292" s="53" t="str">
        <f t="shared" si="4"/>
        <v>Collections Review</v>
      </c>
      <c r="M292" s="55" t="str">
        <f t="shared" si="5"/>
        <v>Yes</v>
      </c>
    </row>
    <row r="293" ht="15.75" customHeight="1">
      <c r="A293" s="25" t="s">
        <v>1504</v>
      </c>
      <c r="B293" s="25" t="s">
        <v>889</v>
      </c>
      <c r="C293" s="25" t="s">
        <v>855</v>
      </c>
      <c r="D293" s="26">
        <v>46143.0</v>
      </c>
      <c r="E293" s="26">
        <v>46173.0</v>
      </c>
      <c r="F293" s="30">
        <v>366.12</v>
      </c>
      <c r="G293" s="26">
        <v>46207.0</v>
      </c>
      <c r="H293" s="30">
        <v>366.12</v>
      </c>
      <c r="I293" s="30">
        <f t="shared" si="1"/>
        <v>0</v>
      </c>
      <c r="J293" s="29">
        <f t="shared" si="2"/>
        <v>0</v>
      </c>
      <c r="K293" s="25" t="str">
        <f t="shared" si="3"/>
        <v>Paid</v>
      </c>
      <c r="L293" s="25" t="str">
        <f t="shared" si="4"/>
        <v>Closed</v>
      </c>
      <c r="M293" s="30" t="str">
        <f t="shared" si="5"/>
        <v>No</v>
      </c>
    </row>
    <row r="294" ht="15.75" customHeight="1">
      <c r="A294" s="53" t="s">
        <v>1505</v>
      </c>
      <c r="B294" s="53" t="s">
        <v>1000</v>
      </c>
      <c r="C294" s="53" t="s">
        <v>974</v>
      </c>
      <c r="D294" s="54">
        <v>46146.0</v>
      </c>
      <c r="E294" s="54">
        <v>46161.0</v>
      </c>
      <c r="F294" s="55">
        <v>59.76</v>
      </c>
      <c r="G294" s="54">
        <v>46204.0</v>
      </c>
      <c r="H294" s="55">
        <v>59.76</v>
      </c>
      <c r="I294" s="55">
        <f t="shared" si="1"/>
        <v>0</v>
      </c>
      <c r="J294" s="56">
        <f t="shared" si="2"/>
        <v>0</v>
      </c>
      <c r="K294" s="53" t="str">
        <f t="shared" si="3"/>
        <v>Paid</v>
      </c>
      <c r="L294" s="53" t="str">
        <f t="shared" si="4"/>
        <v>Closed</v>
      </c>
      <c r="M294" s="55" t="str">
        <f t="shared" si="5"/>
        <v>No</v>
      </c>
    </row>
    <row r="295" ht="15.75" customHeight="1">
      <c r="A295" s="25" t="s">
        <v>1506</v>
      </c>
      <c r="B295" s="25" t="s">
        <v>1001</v>
      </c>
      <c r="C295" s="25" t="s">
        <v>968</v>
      </c>
      <c r="D295" s="26">
        <v>46059.0</v>
      </c>
      <c r="E295" s="26">
        <v>46104.0</v>
      </c>
      <c r="F295" s="30">
        <v>622.2</v>
      </c>
      <c r="G295" s="26">
        <v>46128.0</v>
      </c>
      <c r="H295" s="30">
        <v>622.2</v>
      </c>
      <c r="I295" s="30">
        <f t="shared" si="1"/>
        <v>0</v>
      </c>
      <c r="J295" s="29">
        <f t="shared" si="2"/>
        <v>54</v>
      </c>
      <c r="K295" s="25" t="str">
        <f t="shared" si="3"/>
        <v>Paid</v>
      </c>
      <c r="L295" s="25" t="str">
        <f t="shared" si="4"/>
        <v>Closed</v>
      </c>
      <c r="M295" s="30" t="str">
        <f t="shared" si="5"/>
        <v>No</v>
      </c>
    </row>
    <row r="296" ht="15.75" customHeight="1">
      <c r="A296" s="53" t="s">
        <v>1507</v>
      </c>
      <c r="B296" s="53" t="s">
        <v>602</v>
      </c>
      <c r="C296" s="53" t="s">
        <v>559</v>
      </c>
      <c r="D296" s="54">
        <v>46034.0</v>
      </c>
      <c r="E296" s="54">
        <v>46064.0</v>
      </c>
      <c r="F296" s="55">
        <v>336.0</v>
      </c>
      <c r="G296" s="54"/>
      <c r="H296" s="55">
        <v>0.0</v>
      </c>
      <c r="I296" s="55">
        <f t="shared" si="1"/>
        <v>336</v>
      </c>
      <c r="J296" s="56">
        <f t="shared" si="2"/>
        <v>94</v>
      </c>
      <c r="K296" s="53" t="str">
        <f t="shared" si="3"/>
        <v>90+</v>
      </c>
      <c r="L296" s="53" t="str">
        <f t="shared" si="4"/>
        <v>Escalate</v>
      </c>
      <c r="M296" s="55" t="str">
        <f t="shared" si="5"/>
        <v>Yes</v>
      </c>
    </row>
    <row r="297" ht="15.75" customHeight="1">
      <c r="A297" s="25" t="s">
        <v>1508</v>
      </c>
      <c r="B297" s="25" t="s">
        <v>603</v>
      </c>
      <c r="C297" s="25" t="s">
        <v>542</v>
      </c>
      <c r="D297" s="26">
        <v>46133.0</v>
      </c>
      <c r="E297" s="26">
        <v>46148.0</v>
      </c>
      <c r="F297" s="30">
        <v>58.44</v>
      </c>
      <c r="G297" s="26">
        <v>46173.0</v>
      </c>
      <c r="H297" s="30">
        <v>58.44</v>
      </c>
      <c r="I297" s="30">
        <f t="shared" si="1"/>
        <v>0</v>
      </c>
      <c r="J297" s="29">
        <f t="shared" si="2"/>
        <v>10</v>
      </c>
      <c r="K297" s="25" t="str">
        <f t="shared" si="3"/>
        <v>Paid</v>
      </c>
      <c r="L297" s="25" t="str">
        <f t="shared" si="4"/>
        <v>Closed</v>
      </c>
      <c r="M297" s="30" t="str">
        <f t="shared" si="5"/>
        <v>No</v>
      </c>
    </row>
    <row r="298" ht="15.75" customHeight="1">
      <c r="A298" s="53" t="s">
        <v>1509</v>
      </c>
      <c r="B298" s="53" t="s">
        <v>1099</v>
      </c>
      <c r="C298" s="53" t="s">
        <v>1079</v>
      </c>
      <c r="D298" s="54">
        <v>46111.0</v>
      </c>
      <c r="E298" s="54">
        <v>46141.0</v>
      </c>
      <c r="F298" s="55">
        <v>133.68</v>
      </c>
      <c r="G298" s="54">
        <v>46145.0</v>
      </c>
      <c r="H298" s="55">
        <v>133.68</v>
      </c>
      <c r="I298" s="55">
        <f t="shared" si="1"/>
        <v>0</v>
      </c>
      <c r="J298" s="56">
        <f t="shared" si="2"/>
        <v>17</v>
      </c>
      <c r="K298" s="53" t="str">
        <f t="shared" si="3"/>
        <v>Paid</v>
      </c>
      <c r="L298" s="53" t="str">
        <f t="shared" si="4"/>
        <v>Closed</v>
      </c>
      <c r="M298" s="55" t="str">
        <f t="shared" si="5"/>
        <v>No</v>
      </c>
    </row>
    <row r="299" ht="15.75" customHeight="1">
      <c r="A299" s="25" t="s">
        <v>1510</v>
      </c>
      <c r="B299" s="25" t="s">
        <v>1146</v>
      </c>
      <c r="C299" s="25" t="s">
        <v>1136</v>
      </c>
      <c r="D299" s="26">
        <v>46080.0</v>
      </c>
      <c r="E299" s="26">
        <v>46125.0</v>
      </c>
      <c r="F299" s="30">
        <v>121.85</v>
      </c>
      <c r="G299" s="26">
        <v>46131.0</v>
      </c>
      <c r="H299" s="30">
        <v>121.85</v>
      </c>
      <c r="I299" s="30">
        <f t="shared" si="1"/>
        <v>0</v>
      </c>
      <c r="J299" s="29">
        <f t="shared" si="2"/>
        <v>33</v>
      </c>
      <c r="K299" s="25" t="str">
        <f t="shared" si="3"/>
        <v>Paid</v>
      </c>
      <c r="L299" s="25" t="str">
        <f t="shared" si="4"/>
        <v>Closed</v>
      </c>
      <c r="M299" s="30" t="str">
        <f t="shared" si="5"/>
        <v>No</v>
      </c>
    </row>
    <row r="300" ht="15.75" customHeight="1">
      <c r="A300" s="53" t="s">
        <v>1511</v>
      </c>
      <c r="B300" s="53" t="s">
        <v>1002</v>
      </c>
      <c r="C300" s="53" t="s">
        <v>988</v>
      </c>
      <c r="D300" s="54">
        <v>46131.0</v>
      </c>
      <c r="E300" s="54">
        <v>46161.0</v>
      </c>
      <c r="F300" s="55">
        <v>199.2</v>
      </c>
      <c r="G300" s="54">
        <v>46199.0</v>
      </c>
      <c r="H300" s="55">
        <v>199.2</v>
      </c>
      <c r="I300" s="55">
        <f t="shared" si="1"/>
        <v>0</v>
      </c>
      <c r="J300" s="56">
        <f t="shared" si="2"/>
        <v>0</v>
      </c>
      <c r="K300" s="53" t="str">
        <f t="shared" si="3"/>
        <v>Paid</v>
      </c>
      <c r="L300" s="53" t="str">
        <f t="shared" si="4"/>
        <v>Closed</v>
      </c>
      <c r="M300" s="55" t="str">
        <f t="shared" si="5"/>
        <v>No</v>
      </c>
    </row>
    <row r="301" ht="15.75" customHeight="1">
      <c r="A301" s="25" t="s">
        <v>1512</v>
      </c>
      <c r="B301" s="25" t="s">
        <v>1147</v>
      </c>
      <c r="C301" s="25" t="s">
        <v>1122</v>
      </c>
      <c r="D301" s="26">
        <v>46086.0</v>
      </c>
      <c r="E301" s="26">
        <v>46101.0</v>
      </c>
      <c r="F301" s="30">
        <v>185.22</v>
      </c>
      <c r="G301" s="26"/>
      <c r="H301" s="30">
        <v>0.0</v>
      </c>
      <c r="I301" s="30">
        <f t="shared" si="1"/>
        <v>185.22</v>
      </c>
      <c r="J301" s="29">
        <f t="shared" si="2"/>
        <v>57</v>
      </c>
      <c r="K301" s="25" t="str">
        <f t="shared" si="3"/>
        <v>31-60</v>
      </c>
      <c r="L301" s="25" t="str">
        <f t="shared" si="4"/>
        <v>Reminder Sent</v>
      </c>
      <c r="M301" s="30" t="str">
        <f t="shared" si="5"/>
        <v>No</v>
      </c>
    </row>
    <row r="302" ht="15.75" customHeight="1">
      <c r="A302" s="53" t="s">
        <v>1513</v>
      </c>
      <c r="B302" s="53" t="s">
        <v>890</v>
      </c>
      <c r="C302" s="53" t="s">
        <v>866</v>
      </c>
      <c r="D302" s="54">
        <v>46089.0</v>
      </c>
      <c r="E302" s="54">
        <v>46119.0</v>
      </c>
      <c r="F302" s="55">
        <v>577.92</v>
      </c>
      <c r="G302" s="54"/>
      <c r="H302" s="55">
        <v>0.0</v>
      </c>
      <c r="I302" s="55">
        <f t="shared" si="1"/>
        <v>577.92</v>
      </c>
      <c r="J302" s="56">
        <f t="shared" si="2"/>
        <v>39</v>
      </c>
      <c r="K302" s="53" t="str">
        <f t="shared" si="3"/>
        <v>31-60</v>
      </c>
      <c r="L302" s="53" t="str">
        <f t="shared" si="4"/>
        <v>Reminder Sent</v>
      </c>
      <c r="M302" s="55" t="str">
        <f t="shared" si="5"/>
        <v>No</v>
      </c>
    </row>
    <row r="303" ht="15.75" customHeight="1">
      <c r="A303" s="25" t="s">
        <v>1514</v>
      </c>
      <c r="B303" s="25" t="s">
        <v>891</v>
      </c>
      <c r="C303" s="25" t="s">
        <v>859</v>
      </c>
      <c r="D303" s="26">
        <v>46038.0</v>
      </c>
      <c r="E303" s="26">
        <v>46083.0</v>
      </c>
      <c r="F303" s="30">
        <v>46.62</v>
      </c>
      <c r="G303" s="26">
        <v>46096.0</v>
      </c>
      <c r="H303" s="30">
        <v>46.62</v>
      </c>
      <c r="I303" s="30">
        <f t="shared" si="1"/>
        <v>0</v>
      </c>
      <c r="J303" s="29">
        <f t="shared" si="2"/>
        <v>75</v>
      </c>
      <c r="K303" s="25" t="str">
        <f t="shared" si="3"/>
        <v>Paid</v>
      </c>
      <c r="L303" s="25" t="str">
        <f t="shared" si="4"/>
        <v>Closed</v>
      </c>
      <c r="M303" s="30" t="str">
        <f t="shared" si="5"/>
        <v>No</v>
      </c>
    </row>
    <row r="304" ht="15.75" customHeight="1">
      <c r="A304" s="53" t="s">
        <v>1515</v>
      </c>
      <c r="B304" s="53" t="s">
        <v>764</v>
      </c>
      <c r="C304" s="53" t="s">
        <v>706</v>
      </c>
      <c r="D304" s="54">
        <v>46114.0</v>
      </c>
      <c r="E304" s="54">
        <v>46144.0</v>
      </c>
      <c r="F304" s="55">
        <v>131.52</v>
      </c>
      <c r="G304" s="54">
        <v>46162.0</v>
      </c>
      <c r="H304" s="55">
        <v>131.52</v>
      </c>
      <c r="I304" s="55">
        <f t="shared" si="1"/>
        <v>0</v>
      </c>
      <c r="J304" s="56">
        <f t="shared" si="2"/>
        <v>14</v>
      </c>
      <c r="K304" s="53" t="str">
        <f t="shared" si="3"/>
        <v>Paid</v>
      </c>
      <c r="L304" s="53" t="str">
        <f t="shared" si="4"/>
        <v>Closed</v>
      </c>
      <c r="M304" s="55" t="str">
        <f t="shared" si="5"/>
        <v>No</v>
      </c>
    </row>
    <row r="305" ht="15.75" customHeight="1">
      <c r="A305" s="25" t="s">
        <v>1516</v>
      </c>
      <c r="B305" s="25" t="s">
        <v>892</v>
      </c>
      <c r="C305" s="25" t="s">
        <v>866</v>
      </c>
      <c r="D305" s="26">
        <v>46060.0</v>
      </c>
      <c r="E305" s="26">
        <v>46105.0</v>
      </c>
      <c r="F305" s="30">
        <v>66.24</v>
      </c>
      <c r="G305" s="26"/>
      <c r="H305" s="30">
        <v>0.0</v>
      </c>
      <c r="I305" s="30">
        <f t="shared" si="1"/>
        <v>66.24</v>
      </c>
      <c r="J305" s="29">
        <f t="shared" si="2"/>
        <v>53</v>
      </c>
      <c r="K305" s="25" t="str">
        <f t="shared" si="3"/>
        <v>31-60</v>
      </c>
      <c r="L305" s="25" t="str">
        <f t="shared" si="4"/>
        <v>Reminder Sent</v>
      </c>
      <c r="M305" s="30" t="str">
        <f t="shared" si="5"/>
        <v>No</v>
      </c>
    </row>
    <row r="306" ht="15.75" customHeight="1">
      <c r="A306" s="53" t="s">
        <v>1517</v>
      </c>
      <c r="B306" s="53" t="s">
        <v>765</v>
      </c>
      <c r="C306" s="53" t="s">
        <v>723</v>
      </c>
      <c r="D306" s="54">
        <v>46120.0</v>
      </c>
      <c r="E306" s="54">
        <v>46165.0</v>
      </c>
      <c r="F306" s="55">
        <v>659.4</v>
      </c>
      <c r="G306" s="54">
        <v>46179.0</v>
      </c>
      <c r="H306" s="55">
        <v>659.4</v>
      </c>
      <c r="I306" s="55">
        <f t="shared" si="1"/>
        <v>0</v>
      </c>
      <c r="J306" s="56">
        <f t="shared" si="2"/>
        <v>0</v>
      </c>
      <c r="K306" s="53" t="str">
        <f t="shared" si="3"/>
        <v>Paid</v>
      </c>
      <c r="L306" s="53" t="str">
        <f t="shared" si="4"/>
        <v>Closed</v>
      </c>
      <c r="M306" s="55" t="str">
        <f t="shared" si="5"/>
        <v>No</v>
      </c>
    </row>
    <row r="307" ht="15.75" customHeight="1">
      <c r="A307" s="25" t="s">
        <v>1518</v>
      </c>
      <c r="B307" s="25" t="s">
        <v>766</v>
      </c>
      <c r="C307" s="25" t="s">
        <v>727</v>
      </c>
      <c r="D307" s="26">
        <v>46055.0</v>
      </c>
      <c r="E307" s="26">
        <v>46085.0</v>
      </c>
      <c r="F307" s="30">
        <v>240.12</v>
      </c>
      <c r="G307" s="26">
        <v>46128.0</v>
      </c>
      <c r="H307" s="30">
        <v>240.12</v>
      </c>
      <c r="I307" s="30">
        <f t="shared" si="1"/>
        <v>0</v>
      </c>
      <c r="J307" s="29">
        <f t="shared" si="2"/>
        <v>73</v>
      </c>
      <c r="K307" s="25" t="str">
        <f t="shared" si="3"/>
        <v>Paid</v>
      </c>
      <c r="L307" s="25" t="str">
        <f t="shared" si="4"/>
        <v>Closed</v>
      </c>
      <c r="M307" s="30" t="str">
        <f t="shared" si="5"/>
        <v>No</v>
      </c>
    </row>
    <row r="308" ht="15.75" customHeight="1">
      <c r="A308" s="53" t="s">
        <v>1519</v>
      </c>
      <c r="B308" s="53" t="s">
        <v>1003</v>
      </c>
      <c r="C308" s="53" t="s">
        <v>974</v>
      </c>
      <c r="D308" s="54">
        <v>46116.0</v>
      </c>
      <c r="E308" s="54">
        <v>46131.0</v>
      </c>
      <c r="F308" s="55">
        <v>119.04</v>
      </c>
      <c r="G308" s="54">
        <v>46154.0</v>
      </c>
      <c r="H308" s="55">
        <v>119.04</v>
      </c>
      <c r="I308" s="55">
        <f t="shared" si="1"/>
        <v>0</v>
      </c>
      <c r="J308" s="56">
        <f t="shared" si="2"/>
        <v>27</v>
      </c>
      <c r="K308" s="53" t="str">
        <f t="shared" si="3"/>
        <v>Paid</v>
      </c>
      <c r="L308" s="53" t="str">
        <f t="shared" si="4"/>
        <v>Closed</v>
      </c>
      <c r="M308" s="55" t="str">
        <f t="shared" si="5"/>
        <v>No</v>
      </c>
    </row>
    <row r="309" ht="15.75" customHeight="1">
      <c r="A309" s="25" t="s">
        <v>1520</v>
      </c>
      <c r="B309" s="25" t="s">
        <v>341</v>
      </c>
      <c r="C309" s="25" t="s">
        <v>339</v>
      </c>
      <c r="D309" s="26">
        <v>46062.0</v>
      </c>
      <c r="E309" s="26">
        <v>46077.0</v>
      </c>
      <c r="F309" s="30">
        <v>497.4</v>
      </c>
      <c r="G309" s="26"/>
      <c r="H309" s="30">
        <v>0.0</v>
      </c>
      <c r="I309" s="30">
        <f t="shared" si="1"/>
        <v>497.4</v>
      </c>
      <c r="J309" s="29">
        <f t="shared" si="2"/>
        <v>81</v>
      </c>
      <c r="K309" s="25" t="str">
        <f t="shared" si="3"/>
        <v>61-90</v>
      </c>
      <c r="L309" s="25" t="str">
        <f t="shared" si="4"/>
        <v>Collections Review</v>
      </c>
      <c r="M309" s="30" t="str">
        <f t="shared" si="5"/>
        <v>Yes</v>
      </c>
    </row>
    <row r="310" ht="15.75" customHeight="1">
      <c r="A310" s="53" t="s">
        <v>1521</v>
      </c>
      <c r="B310" s="53" t="s">
        <v>893</v>
      </c>
      <c r="C310" s="53" t="s">
        <v>855</v>
      </c>
      <c r="D310" s="54">
        <v>46095.0</v>
      </c>
      <c r="E310" s="54">
        <v>46110.0</v>
      </c>
      <c r="F310" s="55">
        <v>132.0</v>
      </c>
      <c r="G310" s="54">
        <v>46114.0</v>
      </c>
      <c r="H310" s="55">
        <v>132.0</v>
      </c>
      <c r="I310" s="55">
        <f t="shared" si="1"/>
        <v>0</v>
      </c>
      <c r="J310" s="56">
        <f t="shared" si="2"/>
        <v>48</v>
      </c>
      <c r="K310" s="53" t="str">
        <f t="shared" si="3"/>
        <v>Paid</v>
      </c>
      <c r="L310" s="53" t="str">
        <f t="shared" si="4"/>
        <v>Closed</v>
      </c>
      <c r="M310" s="55" t="str">
        <f t="shared" si="5"/>
        <v>No</v>
      </c>
    </row>
    <row r="311" ht="15.75" customHeight="1">
      <c r="A311" s="25" t="s">
        <v>1522</v>
      </c>
      <c r="B311" s="25" t="s">
        <v>604</v>
      </c>
      <c r="C311" s="25" t="s">
        <v>593</v>
      </c>
      <c r="D311" s="26">
        <v>46077.0</v>
      </c>
      <c r="E311" s="26">
        <v>46122.0</v>
      </c>
      <c r="F311" s="30">
        <v>1086.72</v>
      </c>
      <c r="G311" s="26">
        <v>46120.0</v>
      </c>
      <c r="H311" s="30">
        <v>1086.72</v>
      </c>
      <c r="I311" s="30">
        <f t="shared" si="1"/>
        <v>0</v>
      </c>
      <c r="J311" s="29">
        <f t="shared" si="2"/>
        <v>36</v>
      </c>
      <c r="K311" s="25" t="str">
        <f t="shared" si="3"/>
        <v>Paid</v>
      </c>
      <c r="L311" s="25" t="str">
        <f t="shared" si="4"/>
        <v>Closed</v>
      </c>
      <c r="M311" s="30" t="str">
        <f t="shared" si="5"/>
        <v>No</v>
      </c>
    </row>
    <row r="312" ht="15.75" customHeight="1">
      <c r="A312" s="53" t="s">
        <v>1523</v>
      </c>
      <c r="B312" s="53" t="s">
        <v>211</v>
      </c>
      <c r="C312" s="53" t="s">
        <v>168</v>
      </c>
      <c r="D312" s="54">
        <v>46065.0</v>
      </c>
      <c r="E312" s="54">
        <v>46110.0</v>
      </c>
      <c r="F312" s="55">
        <v>1176.0</v>
      </c>
      <c r="G312" s="54"/>
      <c r="H312" s="55">
        <v>0.0</v>
      </c>
      <c r="I312" s="55">
        <f t="shared" si="1"/>
        <v>1176</v>
      </c>
      <c r="J312" s="56">
        <f t="shared" si="2"/>
        <v>48</v>
      </c>
      <c r="K312" s="53" t="str">
        <f t="shared" si="3"/>
        <v>31-60</v>
      </c>
      <c r="L312" s="53" t="str">
        <f t="shared" si="4"/>
        <v>Reminder Sent</v>
      </c>
      <c r="M312" s="55" t="str">
        <f t="shared" si="5"/>
        <v>No</v>
      </c>
    </row>
    <row r="313" ht="15.75" customHeight="1">
      <c r="A313" s="25" t="s">
        <v>1524</v>
      </c>
      <c r="B313" s="25" t="s">
        <v>342</v>
      </c>
      <c r="C313" s="25" t="s">
        <v>310</v>
      </c>
      <c r="D313" s="26">
        <v>46048.0</v>
      </c>
      <c r="E313" s="26">
        <v>46093.0</v>
      </c>
      <c r="F313" s="30">
        <v>1041.6</v>
      </c>
      <c r="G313" s="26">
        <v>46121.0</v>
      </c>
      <c r="H313" s="30">
        <v>1041.6</v>
      </c>
      <c r="I313" s="30">
        <f t="shared" si="1"/>
        <v>0</v>
      </c>
      <c r="J313" s="29">
        <f t="shared" si="2"/>
        <v>65</v>
      </c>
      <c r="K313" s="25" t="str">
        <f t="shared" si="3"/>
        <v>Paid</v>
      </c>
      <c r="L313" s="25" t="str">
        <f t="shared" si="4"/>
        <v>Closed</v>
      </c>
      <c r="M313" s="30" t="str">
        <f t="shared" si="5"/>
        <v>No</v>
      </c>
    </row>
    <row r="314" ht="15.75" customHeight="1">
      <c r="A314" s="53" t="s">
        <v>1525</v>
      </c>
      <c r="B314" s="53" t="s">
        <v>605</v>
      </c>
      <c r="C314" s="53" t="s">
        <v>593</v>
      </c>
      <c r="D314" s="54">
        <v>46025.0</v>
      </c>
      <c r="E314" s="54">
        <v>46055.0</v>
      </c>
      <c r="F314" s="55">
        <v>397.44</v>
      </c>
      <c r="G314" s="54"/>
      <c r="H314" s="55">
        <v>0.0</v>
      </c>
      <c r="I314" s="55">
        <f t="shared" si="1"/>
        <v>397.44</v>
      </c>
      <c r="J314" s="56">
        <f t="shared" si="2"/>
        <v>103</v>
      </c>
      <c r="K314" s="53" t="str">
        <f t="shared" si="3"/>
        <v>90+</v>
      </c>
      <c r="L314" s="53" t="str">
        <f t="shared" si="4"/>
        <v>Escalate</v>
      </c>
      <c r="M314" s="55" t="str">
        <f t="shared" si="5"/>
        <v>Yes</v>
      </c>
    </row>
    <row r="315" ht="15.75" customHeight="1">
      <c r="A315" s="25" t="s">
        <v>1526</v>
      </c>
      <c r="B315" s="25" t="s">
        <v>767</v>
      </c>
      <c r="C315" s="25" t="s">
        <v>698</v>
      </c>
      <c r="D315" s="26">
        <v>46076.0</v>
      </c>
      <c r="E315" s="26">
        <v>46091.0</v>
      </c>
      <c r="F315" s="30">
        <v>174.06</v>
      </c>
      <c r="G315" s="26">
        <v>46108.0</v>
      </c>
      <c r="H315" s="30">
        <v>174.06</v>
      </c>
      <c r="I315" s="30">
        <f t="shared" si="1"/>
        <v>0</v>
      </c>
      <c r="J315" s="29">
        <f t="shared" si="2"/>
        <v>67</v>
      </c>
      <c r="K315" s="25" t="str">
        <f t="shared" si="3"/>
        <v>Paid</v>
      </c>
      <c r="L315" s="25" t="str">
        <f t="shared" si="4"/>
        <v>Closed</v>
      </c>
      <c r="M315" s="30" t="str">
        <f t="shared" si="5"/>
        <v>No</v>
      </c>
    </row>
    <row r="316" ht="15.75" customHeight="1">
      <c r="A316" s="53" t="s">
        <v>1527</v>
      </c>
      <c r="B316" s="53" t="s">
        <v>343</v>
      </c>
      <c r="C316" s="53" t="s">
        <v>293</v>
      </c>
      <c r="D316" s="54">
        <v>46127.0</v>
      </c>
      <c r="E316" s="54">
        <v>46142.0</v>
      </c>
      <c r="F316" s="55">
        <v>703.2</v>
      </c>
      <c r="G316" s="54">
        <v>46173.0</v>
      </c>
      <c r="H316" s="55">
        <v>703.2</v>
      </c>
      <c r="I316" s="55">
        <f t="shared" si="1"/>
        <v>0</v>
      </c>
      <c r="J316" s="56">
        <f t="shared" si="2"/>
        <v>16</v>
      </c>
      <c r="K316" s="53" t="str">
        <f t="shared" si="3"/>
        <v>Paid</v>
      </c>
      <c r="L316" s="53" t="str">
        <f t="shared" si="4"/>
        <v>Closed</v>
      </c>
      <c r="M316" s="55" t="str">
        <f t="shared" si="5"/>
        <v>No</v>
      </c>
    </row>
    <row r="317" ht="15.75" customHeight="1">
      <c r="A317" s="25" t="s">
        <v>1528</v>
      </c>
      <c r="B317" s="25" t="s">
        <v>768</v>
      </c>
      <c r="C317" s="25" t="s">
        <v>720</v>
      </c>
      <c r="D317" s="26">
        <v>46048.0</v>
      </c>
      <c r="E317" s="26">
        <v>46093.0</v>
      </c>
      <c r="F317" s="30">
        <v>444.48</v>
      </c>
      <c r="G317" s="26">
        <v>46132.0</v>
      </c>
      <c r="H317" s="30">
        <v>444.48</v>
      </c>
      <c r="I317" s="30">
        <f t="shared" si="1"/>
        <v>0</v>
      </c>
      <c r="J317" s="29">
        <f t="shared" si="2"/>
        <v>65</v>
      </c>
      <c r="K317" s="25" t="str">
        <f t="shared" si="3"/>
        <v>Paid</v>
      </c>
      <c r="L317" s="25" t="str">
        <f t="shared" si="4"/>
        <v>Closed</v>
      </c>
      <c r="M317" s="30" t="str">
        <f t="shared" si="5"/>
        <v>No</v>
      </c>
    </row>
    <row r="318" ht="15.75" customHeight="1">
      <c r="A318" s="53" t="s">
        <v>1529</v>
      </c>
      <c r="B318" s="53" t="s">
        <v>489</v>
      </c>
      <c r="C318" s="53" t="s">
        <v>459</v>
      </c>
      <c r="D318" s="54">
        <v>46074.0</v>
      </c>
      <c r="E318" s="54">
        <v>46104.0</v>
      </c>
      <c r="F318" s="55">
        <v>1365.6</v>
      </c>
      <c r="G318" s="54">
        <v>46113.0</v>
      </c>
      <c r="H318" s="55">
        <v>1365.6</v>
      </c>
      <c r="I318" s="55">
        <f t="shared" si="1"/>
        <v>0</v>
      </c>
      <c r="J318" s="56">
        <f t="shared" si="2"/>
        <v>54</v>
      </c>
      <c r="K318" s="53" t="str">
        <f t="shared" si="3"/>
        <v>Paid</v>
      </c>
      <c r="L318" s="53" t="str">
        <f t="shared" si="4"/>
        <v>Closed</v>
      </c>
      <c r="M318" s="55" t="str">
        <f t="shared" si="5"/>
        <v>No</v>
      </c>
    </row>
    <row r="319" ht="15.75" customHeight="1">
      <c r="A319" s="25" t="s">
        <v>1530</v>
      </c>
      <c r="B319" s="25" t="s">
        <v>1148</v>
      </c>
      <c r="C319" s="25" t="s">
        <v>1124</v>
      </c>
      <c r="D319" s="26">
        <v>46118.0</v>
      </c>
      <c r="E319" s="26">
        <v>46148.0</v>
      </c>
      <c r="F319" s="30">
        <v>117.36</v>
      </c>
      <c r="G319" s="26">
        <v>46156.0</v>
      </c>
      <c r="H319" s="30">
        <v>117.36</v>
      </c>
      <c r="I319" s="30">
        <f t="shared" si="1"/>
        <v>0</v>
      </c>
      <c r="J319" s="29">
        <f t="shared" si="2"/>
        <v>10</v>
      </c>
      <c r="K319" s="25" t="str">
        <f t="shared" si="3"/>
        <v>Paid</v>
      </c>
      <c r="L319" s="25" t="str">
        <f t="shared" si="4"/>
        <v>Closed</v>
      </c>
      <c r="M319" s="30" t="str">
        <f t="shared" si="5"/>
        <v>No</v>
      </c>
    </row>
    <row r="320" ht="15.75" customHeight="1">
      <c r="A320" s="53" t="s">
        <v>1531</v>
      </c>
      <c r="B320" s="53" t="s">
        <v>1100</v>
      </c>
      <c r="C320" s="53" t="s">
        <v>1081</v>
      </c>
      <c r="D320" s="54">
        <v>46123.0</v>
      </c>
      <c r="E320" s="54">
        <v>46153.0</v>
      </c>
      <c r="F320" s="55">
        <v>1262.4</v>
      </c>
      <c r="G320" s="54">
        <v>46147.0</v>
      </c>
      <c r="H320" s="55">
        <v>1262.4</v>
      </c>
      <c r="I320" s="55">
        <f t="shared" si="1"/>
        <v>0</v>
      </c>
      <c r="J320" s="56">
        <f t="shared" si="2"/>
        <v>5</v>
      </c>
      <c r="K320" s="53" t="str">
        <f t="shared" si="3"/>
        <v>Paid</v>
      </c>
      <c r="L320" s="53" t="str">
        <f t="shared" si="4"/>
        <v>Closed</v>
      </c>
      <c r="M320" s="55" t="str">
        <f t="shared" si="5"/>
        <v>No</v>
      </c>
    </row>
    <row r="321" ht="15.75" customHeight="1">
      <c r="A321" s="25" t="s">
        <v>1532</v>
      </c>
      <c r="B321" s="25" t="s">
        <v>769</v>
      </c>
      <c r="C321" s="25" t="s">
        <v>723</v>
      </c>
      <c r="D321" s="26">
        <v>46139.0</v>
      </c>
      <c r="E321" s="26">
        <v>46169.0</v>
      </c>
      <c r="F321" s="30">
        <v>129.24</v>
      </c>
      <c r="G321" s="26">
        <v>46168.0</v>
      </c>
      <c r="H321" s="30">
        <v>129.24</v>
      </c>
      <c r="I321" s="30">
        <f t="shared" si="1"/>
        <v>0</v>
      </c>
      <c r="J321" s="29">
        <f t="shared" si="2"/>
        <v>0</v>
      </c>
      <c r="K321" s="25" t="str">
        <f t="shared" si="3"/>
        <v>Paid</v>
      </c>
      <c r="L321" s="25" t="str">
        <f t="shared" si="4"/>
        <v>Closed</v>
      </c>
      <c r="M321" s="30" t="str">
        <f t="shared" si="5"/>
        <v>No</v>
      </c>
    </row>
    <row r="322" ht="15.75" customHeight="1">
      <c r="A322" s="53" t="s">
        <v>1533</v>
      </c>
      <c r="B322" s="53" t="s">
        <v>770</v>
      </c>
      <c r="C322" s="53" t="s">
        <v>704</v>
      </c>
      <c r="D322" s="54">
        <v>46134.0</v>
      </c>
      <c r="E322" s="54">
        <v>46164.0</v>
      </c>
      <c r="F322" s="55">
        <v>886.32</v>
      </c>
      <c r="G322" s="54"/>
      <c r="H322" s="55">
        <v>0.0</v>
      </c>
      <c r="I322" s="55">
        <f t="shared" si="1"/>
        <v>886.32</v>
      </c>
      <c r="J322" s="56">
        <f t="shared" si="2"/>
        <v>0</v>
      </c>
      <c r="K322" s="53" t="str">
        <f t="shared" si="3"/>
        <v>0-30</v>
      </c>
      <c r="L322" s="53" t="str">
        <f t="shared" si="4"/>
        <v>Current</v>
      </c>
      <c r="M322" s="55" t="str">
        <f t="shared" si="5"/>
        <v>No</v>
      </c>
    </row>
    <row r="323" ht="15.75" customHeight="1">
      <c r="A323" s="25" t="s">
        <v>1534</v>
      </c>
      <c r="B323" s="25" t="s">
        <v>344</v>
      </c>
      <c r="C323" s="25" t="s">
        <v>299</v>
      </c>
      <c r="D323" s="26">
        <v>46076.0</v>
      </c>
      <c r="E323" s="26">
        <v>46106.0</v>
      </c>
      <c r="F323" s="30">
        <v>162.0</v>
      </c>
      <c r="G323" s="26">
        <v>46148.0</v>
      </c>
      <c r="H323" s="30">
        <v>162.0</v>
      </c>
      <c r="I323" s="30">
        <f t="shared" si="1"/>
        <v>0</v>
      </c>
      <c r="J323" s="29">
        <f t="shared" si="2"/>
        <v>52</v>
      </c>
      <c r="K323" s="25" t="str">
        <f t="shared" si="3"/>
        <v>Paid</v>
      </c>
      <c r="L323" s="25" t="str">
        <f t="shared" si="4"/>
        <v>Closed</v>
      </c>
      <c r="M323" s="30" t="str">
        <f t="shared" si="5"/>
        <v>No</v>
      </c>
    </row>
    <row r="324" ht="15.75" customHeight="1">
      <c r="A324" s="53" t="s">
        <v>1535</v>
      </c>
      <c r="B324" s="53" t="s">
        <v>212</v>
      </c>
      <c r="C324" s="53" t="s">
        <v>189</v>
      </c>
      <c r="D324" s="54">
        <v>46034.0</v>
      </c>
      <c r="E324" s="54">
        <v>46064.0</v>
      </c>
      <c r="F324" s="55">
        <v>97.32</v>
      </c>
      <c r="G324" s="54">
        <v>46059.0</v>
      </c>
      <c r="H324" s="55">
        <v>97.32</v>
      </c>
      <c r="I324" s="55">
        <f t="shared" si="1"/>
        <v>0</v>
      </c>
      <c r="J324" s="56">
        <f t="shared" si="2"/>
        <v>94</v>
      </c>
      <c r="K324" s="53" t="str">
        <f t="shared" si="3"/>
        <v>Paid</v>
      </c>
      <c r="L324" s="53" t="str">
        <f t="shared" si="4"/>
        <v>Closed</v>
      </c>
      <c r="M324" s="55" t="str">
        <f t="shared" si="5"/>
        <v>No</v>
      </c>
    </row>
    <row r="325" ht="15.75" customHeight="1">
      <c r="A325" s="25" t="s">
        <v>1536</v>
      </c>
      <c r="B325" s="25" t="s">
        <v>771</v>
      </c>
      <c r="C325" s="25" t="s">
        <v>708</v>
      </c>
      <c r="D325" s="26">
        <v>46142.0</v>
      </c>
      <c r="E325" s="26">
        <v>46172.0</v>
      </c>
      <c r="F325" s="30">
        <v>69.06</v>
      </c>
      <c r="G325" s="26">
        <v>46184.0</v>
      </c>
      <c r="H325" s="30">
        <v>69.06</v>
      </c>
      <c r="I325" s="30">
        <f t="shared" si="1"/>
        <v>0</v>
      </c>
      <c r="J325" s="29">
        <f t="shared" si="2"/>
        <v>0</v>
      </c>
      <c r="K325" s="25" t="str">
        <f t="shared" si="3"/>
        <v>Paid</v>
      </c>
      <c r="L325" s="25" t="str">
        <f t="shared" si="4"/>
        <v>Closed</v>
      </c>
      <c r="M325" s="30" t="str">
        <f t="shared" si="5"/>
        <v>No</v>
      </c>
    </row>
    <row r="326" ht="15.75" customHeight="1">
      <c r="A326" s="53" t="s">
        <v>1537</v>
      </c>
      <c r="B326" s="53" t="s">
        <v>1101</v>
      </c>
      <c r="C326" s="53" t="s">
        <v>1075</v>
      </c>
      <c r="D326" s="54">
        <v>46030.0</v>
      </c>
      <c r="E326" s="54">
        <v>46060.0</v>
      </c>
      <c r="F326" s="55">
        <v>195.12</v>
      </c>
      <c r="G326" s="54">
        <v>46093.0</v>
      </c>
      <c r="H326" s="55">
        <v>195.12</v>
      </c>
      <c r="I326" s="55">
        <f t="shared" si="1"/>
        <v>0</v>
      </c>
      <c r="J326" s="56">
        <f t="shared" si="2"/>
        <v>98</v>
      </c>
      <c r="K326" s="53" t="str">
        <f t="shared" si="3"/>
        <v>Paid</v>
      </c>
      <c r="L326" s="53" t="str">
        <f t="shared" si="4"/>
        <v>Closed</v>
      </c>
      <c r="M326" s="55" t="str">
        <f t="shared" si="5"/>
        <v>No</v>
      </c>
    </row>
    <row r="327" ht="15.75" customHeight="1">
      <c r="A327" s="25" t="s">
        <v>1538</v>
      </c>
      <c r="B327" s="25" t="s">
        <v>109</v>
      </c>
      <c r="C327" s="25" t="s">
        <v>104</v>
      </c>
      <c r="D327" s="26">
        <v>46078.0</v>
      </c>
      <c r="E327" s="26">
        <v>46108.0</v>
      </c>
      <c r="F327" s="30">
        <v>370.8</v>
      </c>
      <c r="G327" s="26">
        <v>46107.0</v>
      </c>
      <c r="H327" s="30">
        <v>370.8</v>
      </c>
      <c r="I327" s="30">
        <f t="shared" si="1"/>
        <v>0</v>
      </c>
      <c r="J327" s="29">
        <f t="shared" si="2"/>
        <v>50</v>
      </c>
      <c r="K327" s="25" t="str">
        <f t="shared" si="3"/>
        <v>Paid</v>
      </c>
      <c r="L327" s="25" t="str">
        <f t="shared" si="4"/>
        <v>Closed</v>
      </c>
      <c r="M327" s="30" t="str">
        <f t="shared" si="5"/>
        <v>No</v>
      </c>
    </row>
    <row r="328" ht="15.75" customHeight="1">
      <c r="A328" s="53" t="s">
        <v>1539</v>
      </c>
      <c r="B328" s="53" t="s">
        <v>1149</v>
      </c>
      <c r="C328" s="53" t="s">
        <v>1131</v>
      </c>
      <c r="D328" s="54">
        <v>46107.0</v>
      </c>
      <c r="E328" s="54">
        <v>46137.0</v>
      </c>
      <c r="F328" s="55">
        <v>178.56</v>
      </c>
      <c r="G328" s="54"/>
      <c r="H328" s="55">
        <v>0.0</v>
      </c>
      <c r="I328" s="55">
        <f t="shared" si="1"/>
        <v>178.56</v>
      </c>
      <c r="J328" s="56">
        <f t="shared" si="2"/>
        <v>21</v>
      </c>
      <c r="K328" s="53" t="str">
        <f t="shared" si="3"/>
        <v>0-30</v>
      </c>
      <c r="L328" s="53" t="str">
        <f t="shared" si="4"/>
        <v>Current</v>
      </c>
      <c r="M328" s="55" t="str">
        <f t="shared" si="5"/>
        <v>No</v>
      </c>
    </row>
    <row r="329" ht="15.75" customHeight="1">
      <c r="A329" s="25" t="s">
        <v>1540</v>
      </c>
      <c r="B329" s="25" t="s">
        <v>1150</v>
      </c>
      <c r="C329" s="25" t="s">
        <v>1131</v>
      </c>
      <c r="D329" s="26">
        <v>46110.0</v>
      </c>
      <c r="E329" s="26">
        <v>46140.0</v>
      </c>
      <c r="F329" s="30">
        <v>435.6</v>
      </c>
      <c r="G329" s="26">
        <v>46149.0</v>
      </c>
      <c r="H329" s="30">
        <v>435.6</v>
      </c>
      <c r="I329" s="30">
        <f t="shared" si="1"/>
        <v>0</v>
      </c>
      <c r="J329" s="29">
        <f t="shared" si="2"/>
        <v>18</v>
      </c>
      <c r="K329" s="25" t="str">
        <f t="shared" si="3"/>
        <v>Paid</v>
      </c>
      <c r="L329" s="25" t="str">
        <f t="shared" si="4"/>
        <v>Closed</v>
      </c>
      <c r="M329" s="30" t="str">
        <f t="shared" si="5"/>
        <v>No</v>
      </c>
    </row>
    <row r="330" ht="15.75" customHeight="1">
      <c r="A330" s="53" t="s">
        <v>1541</v>
      </c>
      <c r="B330" s="53" t="s">
        <v>111</v>
      </c>
      <c r="C330" s="53" t="s">
        <v>104</v>
      </c>
      <c r="D330" s="54">
        <v>46097.0</v>
      </c>
      <c r="E330" s="54">
        <v>46112.0</v>
      </c>
      <c r="F330" s="55">
        <v>567.6</v>
      </c>
      <c r="G330" s="54"/>
      <c r="H330" s="55">
        <v>0.0</v>
      </c>
      <c r="I330" s="55">
        <f t="shared" si="1"/>
        <v>567.6</v>
      </c>
      <c r="J330" s="56">
        <f t="shared" si="2"/>
        <v>46</v>
      </c>
      <c r="K330" s="53" t="str">
        <f t="shared" si="3"/>
        <v>31-60</v>
      </c>
      <c r="L330" s="53" t="str">
        <f t="shared" si="4"/>
        <v>Reminder Sent</v>
      </c>
      <c r="M330" s="55" t="str">
        <f t="shared" si="5"/>
        <v>No</v>
      </c>
    </row>
    <row r="331" ht="15.75" customHeight="1">
      <c r="A331" s="25" t="s">
        <v>1542</v>
      </c>
      <c r="B331" s="25" t="s">
        <v>606</v>
      </c>
      <c r="C331" s="25" t="s">
        <v>555</v>
      </c>
      <c r="D331" s="26">
        <v>46133.0</v>
      </c>
      <c r="E331" s="26">
        <v>46178.0</v>
      </c>
      <c r="F331" s="30">
        <v>749.49</v>
      </c>
      <c r="G331" s="26">
        <v>46204.0</v>
      </c>
      <c r="H331" s="30">
        <v>749.49</v>
      </c>
      <c r="I331" s="30">
        <f t="shared" si="1"/>
        <v>0</v>
      </c>
      <c r="J331" s="29">
        <f t="shared" si="2"/>
        <v>0</v>
      </c>
      <c r="K331" s="25" t="str">
        <f t="shared" si="3"/>
        <v>Paid</v>
      </c>
      <c r="L331" s="25" t="str">
        <f t="shared" si="4"/>
        <v>Closed</v>
      </c>
      <c r="M331" s="30" t="str">
        <f t="shared" si="5"/>
        <v>No</v>
      </c>
    </row>
    <row r="332" ht="15.75" customHeight="1">
      <c r="A332" s="53" t="s">
        <v>1543</v>
      </c>
      <c r="B332" s="53" t="s">
        <v>345</v>
      </c>
      <c r="C332" s="53" t="s">
        <v>301</v>
      </c>
      <c r="D332" s="54">
        <v>46081.0</v>
      </c>
      <c r="E332" s="54">
        <v>46126.0</v>
      </c>
      <c r="F332" s="55">
        <v>1348.8</v>
      </c>
      <c r="G332" s="54">
        <v>46119.0</v>
      </c>
      <c r="H332" s="55">
        <v>1348.8</v>
      </c>
      <c r="I332" s="55">
        <f t="shared" si="1"/>
        <v>0</v>
      </c>
      <c r="J332" s="56">
        <f t="shared" si="2"/>
        <v>32</v>
      </c>
      <c r="K332" s="53" t="str">
        <f t="shared" si="3"/>
        <v>Paid</v>
      </c>
      <c r="L332" s="53" t="str">
        <f t="shared" si="4"/>
        <v>Closed</v>
      </c>
      <c r="M332" s="55" t="str">
        <f t="shared" si="5"/>
        <v>No</v>
      </c>
    </row>
    <row r="333" ht="15.75" customHeight="1">
      <c r="A333" s="25" t="s">
        <v>1544</v>
      </c>
      <c r="B333" s="25" t="s">
        <v>346</v>
      </c>
      <c r="C333" s="25" t="s">
        <v>314</v>
      </c>
      <c r="D333" s="26">
        <v>46039.0</v>
      </c>
      <c r="E333" s="26">
        <v>46084.0</v>
      </c>
      <c r="F333" s="30">
        <v>48.67</v>
      </c>
      <c r="G333" s="26">
        <v>46089.0</v>
      </c>
      <c r="H333" s="30">
        <v>48.67</v>
      </c>
      <c r="I333" s="30">
        <f t="shared" si="1"/>
        <v>0</v>
      </c>
      <c r="J333" s="29">
        <f t="shared" si="2"/>
        <v>74</v>
      </c>
      <c r="K333" s="25" t="str">
        <f t="shared" si="3"/>
        <v>Paid</v>
      </c>
      <c r="L333" s="25" t="str">
        <f t="shared" si="4"/>
        <v>Closed</v>
      </c>
      <c r="M333" s="30" t="str">
        <f t="shared" si="5"/>
        <v>No</v>
      </c>
    </row>
    <row r="334" ht="15.75" customHeight="1">
      <c r="A334" s="53" t="s">
        <v>1545</v>
      </c>
      <c r="B334" s="53" t="s">
        <v>112</v>
      </c>
      <c r="C334" s="53" t="s">
        <v>83</v>
      </c>
      <c r="D334" s="54">
        <v>46055.0</v>
      </c>
      <c r="E334" s="54">
        <v>46085.0</v>
      </c>
      <c r="F334" s="55">
        <v>413.64</v>
      </c>
      <c r="G334" s="54">
        <v>46123.0</v>
      </c>
      <c r="H334" s="55">
        <v>413.64</v>
      </c>
      <c r="I334" s="55">
        <f t="shared" si="1"/>
        <v>0</v>
      </c>
      <c r="J334" s="56">
        <f t="shared" si="2"/>
        <v>73</v>
      </c>
      <c r="K334" s="53" t="str">
        <f t="shared" si="3"/>
        <v>Paid</v>
      </c>
      <c r="L334" s="53" t="str">
        <f t="shared" si="4"/>
        <v>Closed</v>
      </c>
      <c r="M334" s="55" t="str">
        <f t="shared" si="5"/>
        <v>No</v>
      </c>
    </row>
    <row r="335" ht="15.75" customHeight="1">
      <c r="A335" s="25" t="s">
        <v>1546</v>
      </c>
      <c r="B335" s="25" t="s">
        <v>1004</v>
      </c>
      <c r="C335" s="25" t="s">
        <v>961</v>
      </c>
      <c r="D335" s="26">
        <v>46127.0</v>
      </c>
      <c r="E335" s="26">
        <v>46157.0</v>
      </c>
      <c r="F335" s="30">
        <v>1092.48</v>
      </c>
      <c r="G335" s="26">
        <v>46170.0</v>
      </c>
      <c r="H335" s="30">
        <v>1092.48</v>
      </c>
      <c r="I335" s="30">
        <f t="shared" si="1"/>
        <v>0</v>
      </c>
      <c r="J335" s="29">
        <f t="shared" si="2"/>
        <v>1</v>
      </c>
      <c r="K335" s="25" t="str">
        <f t="shared" si="3"/>
        <v>Paid</v>
      </c>
      <c r="L335" s="25" t="str">
        <f t="shared" si="4"/>
        <v>Closed</v>
      </c>
      <c r="M335" s="30" t="str">
        <f t="shared" si="5"/>
        <v>No</v>
      </c>
    </row>
    <row r="336" ht="15.75" customHeight="1">
      <c r="A336" s="53" t="s">
        <v>1547</v>
      </c>
      <c r="B336" s="53" t="s">
        <v>772</v>
      </c>
      <c r="C336" s="53" t="s">
        <v>700</v>
      </c>
      <c r="D336" s="54">
        <v>46077.0</v>
      </c>
      <c r="E336" s="54">
        <v>46107.0</v>
      </c>
      <c r="F336" s="55">
        <v>468.0</v>
      </c>
      <c r="G336" s="54">
        <v>46109.0</v>
      </c>
      <c r="H336" s="55">
        <v>468.0</v>
      </c>
      <c r="I336" s="55">
        <f t="shared" si="1"/>
        <v>0</v>
      </c>
      <c r="J336" s="56">
        <f t="shared" si="2"/>
        <v>51</v>
      </c>
      <c r="K336" s="53" t="str">
        <f t="shared" si="3"/>
        <v>Paid</v>
      </c>
      <c r="L336" s="53" t="str">
        <f t="shared" si="4"/>
        <v>Closed</v>
      </c>
      <c r="M336" s="55" t="str">
        <f t="shared" si="5"/>
        <v>No</v>
      </c>
    </row>
    <row r="337" ht="15.75" customHeight="1">
      <c r="A337" s="25" t="s">
        <v>1548</v>
      </c>
      <c r="B337" s="25" t="s">
        <v>213</v>
      </c>
      <c r="C337" s="25" t="s">
        <v>179</v>
      </c>
      <c r="D337" s="26">
        <v>46097.0</v>
      </c>
      <c r="E337" s="26">
        <v>46112.0</v>
      </c>
      <c r="F337" s="30">
        <v>185.52</v>
      </c>
      <c r="G337" s="26">
        <v>46145.0</v>
      </c>
      <c r="H337" s="30">
        <v>185.52</v>
      </c>
      <c r="I337" s="30">
        <f t="shared" si="1"/>
        <v>0</v>
      </c>
      <c r="J337" s="29">
        <f t="shared" si="2"/>
        <v>46</v>
      </c>
      <c r="K337" s="25" t="str">
        <f t="shared" si="3"/>
        <v>Paid</v>
      </c>
      <c r="L337" s="25" t="str">
        <f t="shared" si="4"/>
        <v>Closed</v>
      </c>
      <c r="M337" s="30" t="str">
        <f t="shared" si="5"/>
        <v>No</v>
      </c>
    </row>
    <row r="338" ht="15.75" customHeight="1">
      <c r="A338" s="53" t="s">
        <v>1549</v>
      </c>
      <c r="B338" s="53" t="s">
        <v>347</v>
      </c>
      <c r="C338" s="53" t="s">
        <v>326</v>
      </c>
      <c r="D338" s="54">
        <v>46122.0</v>
      </c>
      <c r="E338" s="54">
        <v>46137.0</v>
      </c>
      <c r="F338" s="55">
        <v>665.1</v>
      </c>
      <c r="G338" s="54">
        <v>46160.0</v>
      </c>
      <c r="H338" s="55">
        <v>665.1</v>
      </c>
      <c r="I338" s="55">
        <f t="shared" si="1"/>
        <v>0</v>
      </c>
      <c r="J338" s="56">
        <f t="shared" si="2"/>
        <v>21</v>
      </c>
      <c r="K338" s="53" t="str">
        <f t="shared" si="3"/>
        <v>Paid</v>
      </c>
      <c r="L338" s="53" t="str">
        <f t="shared" si="4"/>
        <v>Closed</v>
      </c>
      <c r="M338" s="55" t="str">
        <f t="shared" si="5"/>
        <v>No</v>
      </c>
    </row>
    <row r="339" ht="15.75" customHeight="1">
      <c r="A339" s="25" t="s">
        <v>1550</v>
      </c>
      <c r="B339" s="25" t="s">
        <v>490</v>
      </c>
      <c r="C339" s="25" t="s">
        <v>452</v>
      </c>
      <c r="D339" s="26">
        <v>46079.0</v>
      </c>
      <c r="E339" s="26">
        <v>46109.0</v>
      </c>
      <c r="F339" s="30">
        <v>383.76</v>
      </c>
      <c r="G339" s="26">
        <v>46117.0</v>
      </c>
      <c r="H339" s="30">
        <v>383.76</v>
      </c>
      <c r="I339" s="30">
        <f t="shared" si="1"/>
        <v>0</v>
      </c>
      <c r="J339" s="29">
        <f t="shared" si="2"/>
        <v>49</v>
      </c>
      <c r="K339" s="25" t="str">
        <f t="shared" si="3"/>
        <v>Paid</v>
      </c>
      <c r="L339" s="25" t="str">
        <f t="shared" si="4"/>
        <v>Closed</v>
      </c>
      <c r="M339" s="30" t="str">
        <f t="shared" si="5"/>
        <v>No</v>
      </c>
    </row>
    <row r="340" ht="15.75" customHeight="1">
      <c r="A340" s="53" t="s">
        <v>1551</v>
      </c>
      <c r="B340" s="53" t="s">
        <v>348</v>
      </c>
      <c r="C340" s="53" t="s">
        <v>314</v>
      </c>
      <c r="D340" s="54">
        <v>46099.0</v>
      </c>
      <c r="E340" s="54">
        <v>46144.0</v>
      </c>
      <c r="F340" s="55">
        <v>274.56</v>
      </c>
      <c r="G340" s="54">
        <v>46165.0</v>
      </c>
      <c r="H340" s="55">
        <v>274.56</v>
      </c>
      <c r="I340" s="55">
        <f t="shared" si="1"/>
        <v>0</v>
      </c>
      <c r="J340" s="56">
        <f t="shared" si="2"/>
        <v>14</v>
      </c>
      <c r="K340" s="53" t="str">
        <f t="shared" si="3"/>
        <v>Paid</v>
      </c>
      <c r="L340" s="53" t="str">
        <f t="shared" si="4"/>
        <v>Closed</v>
      </c>
      <c r="M340" s="55" t="str">
        <f t="shared" si="5"/>
        <v>No</v>
      </c>
    </row>
    <row r="341" ht="15.75" customHeight="1">
      <c r="A341" s="25" t="s">
        <v>1552</v>
      </c>
      <c r="B341" s="25" t="s">
        <v>894</v>
      </c>
      <c r="C341" s="25" t="s">
        <v>868</v>
      </c>
      <c r="D341" s="26">
        <v>46057.0</v>
      </c>
      <c r="E341" s="26">
        <v>46072.0</v>
      </c>
      <c r="F341" s="30">
        <v>687.0</v>
      </c>
      <c r="G341" s="26">
        <v>46104.0</v>
      </c>
      <c r="H341" s="30">
        <v>687.0</v>
      </c>
      <c r="I341" s="30">
        <f t="shared" si="1"/>
        <v>0</v>
      </c>
      <c r="J341" s="29">
        <f t="shared" si="2"/>
        <v>86</v>
      </c>
      <c r="K341" s="25" t="str">
        <f t="shared" si="3"/>
        <v>Paid</v>
      </c>
      <c r="L341" s="25" t="str">
        <f t="shared" si="4"/>
        <v>Closed</v>
      </c>
      <c r="M341" s="30" t="str">
        <f t="shared" si="5"/>
        <v>No</v>
      </c>
    </row>
    <row r="342" ht="15.75" customHeight="1">
      <c r="A342" s="53" t="s">
        <v>1553</v>
      </c>
      <c r="B342" s="53" t="s">
        <v>773</v>
      </c>
      <c r="C342" s="53" t="s">
        <v>708</v>
      </c>
      <c r="D342" s="54">
        <v>46049.0</v>
      </c>
      <c r="E342" s="54">
        <v>46064.0</v>
      </c>
      <c r="F342" s="55">
        <v>570.78</v>
      </c>
      <c r="G342" s="54"/>
      <c r="H342" s="55">
        <v>0.0</v>
      </c>
      <c r="I342" s="55">
        <f t="shared" si="1"/>
        <v>570.78</v>
      </c>
      <c r="J342" s="56">
        <f t="shared" si="2"/>
        <v>94</v>
      </c>
      <c r="K342" s="53" t="str">
        <f t="shared" si="3"/>
        <v>90+</v>
      </c>
      <c r="L342" s="53" t="str">
        <f t="shared" si="4"/>
        <v>Escalate</v>
      </c>
      <c r="M342" s="55" t="str">
        <f t="shared" si="5"/>
        <v>Yes</v>
      </c>
    </row>
    <row r="343" ht="15.75" customHeight="1">
      <c r="A343" s="25" t="s">
        <v>1554</v>
      </c>
      <c r="B343" s="25" t="s">
        <v>774</v>
      </c>
      <c r="C343" s="25" t="s">
        <v>698</v>
      </c>
      <c r="D343" s="26">
        <v>46065.0</v>
      </c>
      <c r="E343" s="26">
        <v>46080.0</v>
      </c>
      <c r="F343" s="30">
        <v>564.0</v>
      </c>
      <c r="G343" s="26">
        <v>46122.0</v>
      </c>
      <c r="H343" s="30">
        <v>228.97</v>
      </c>
      <c r="I343" s="30">
        <f t="shared" si="1"/>
        <v>335.03</v>
      </c>
      <c r="J343" s="29">
        <f t="shared" si="2"/>
        <v>78</v>
      </c>
      <c r="K343" s="25" t="str">
        <f t="shared" si="3"/>
        <v>61-90</v>
      </c>
      <c r="L343" s="25" t="str">
        <f t="shared" si="4"/>
        <v>Collections Review</v>
      </c>
      <c r="M343" s="30" t="str">
        <f t="shared" si="5"/>
        <v>Yes</v>
      </c>
    </row>
    <row r="344" ht="15.75" customHeight="1">
      <c r="A344" s="53" t="s">
        <v>1555</v>
      </c>
      <c r="B344" s="53" t="s">
        <v>214</v>
      </c>
      <c r="C344" s="53" t="s">
        <v>179</v>
      </c>
      <c r="D344" s="54">
        <v>46070.0</v>
      </c>
      <c r="E344" s="54">
        <v>46100.0</v>
      </c>
      <c r="F344" s="55">
        <v>578.88</v>
      </c>
      <c r="G344" s="54">
        <v>46098.0</v>
      </c>
      <c r="H344" s="55">
        <v>578.88</v>
      </c>
      <c r="I344" s="55">
        <f t="shared" si="1"/>
        <v>0</v>
      </c>
      <c r="J344" s="56">
        <f t="shared" si="2"/>
        <v>58</v>
      </c>
      <c r="K344" s="53" t="str">
        <f t="shared" si="3"/>
        <v>Paid</v>
      </c>
      <c r="L344" s="53" t="str">
        <f t="shared" si="4"/>
        <v>Closed</v>
      </c>
      <c r="M344" s="55" t="str">
        <f t="shared" si="5"/>
        <v>No</v>
      </c>
    </row>
    <row r="345" ht="15.75" customHeight="1">
      <c r="A345" s="25" t="s">
        <v>1556</v>
      </c>
      <c r="B345" s="25" t="s">
        <v>349</v>
      </c>
      <c r="C345" s="25" t="s">
        <v>293</v>
      </c>
      <c r="D345" s="26">
        <v>46151.0</v>
      </c>
      <c r="E345" s="26">
        <v>46196.0</v>
      </c>
      <c r="F345" s="30">
        <v>1167.6</v>
      </c>
      <c r="G345" s="26"/>
      <c r="H345" s="30">
        <v>0.0</v>
      </c>
      <c r="I345" s="30">
        <f t="shared" si="1"/>
        <v>1167.6</v>
      </c>
      <c r="J345" s="29">
        <f t="shared" si="2"/>
        <v>0</v>
      </c>
      <c r="K345" s="25" t="str">
        <f t="shared" si="3"/>
        <v>0-30</v>
      </c>
      <c r="L345" s="25" t="str">
        <f t="shared" si="4"/>
        <v>Current</v>
      </c>
      <c r="M345" s="30" t="str">
        <f t="shared" si="5"/>
        <v>No</v>
      </c>
    </row>
    <row r="346" ht="15.75" customHeight="1">
      <c r="A346" s="53" t="s">
        <v>1557</v>
      </c>
      <c r="B346" s="53" t="s">
        <v>895</v>
      </c>
      <c r="C346" s="53" t="s">
        <v>853</v>
      </c>
      <c r="D346" s="54">
        <v>46127.0</v>
      </c>
      <c r="E346" s="54">
        <v>46157.0</v>
      </c>
      <c r="F346" s="55">
        <v>391.68</v>
      </c>
      <c r="G346" s="54"/>
      <c r="H346" s="55">
        <v>0.0</v>
      </c>
      <c r="I346" s="55">
        <f t="shared" si="1"/>
        <v>391.68</v>
      </c>
      <c r="J346" s="56">
        <f t="shared" si="2"/>
        <v>1</v>
      </c>
      <c r="K346" s="53" t="str">
        <f t="shared" si="3"/>
        <v>0-30</v>
      </c>
      <c r="L346" s="53" t="str">
        <f t="shared" si="4"/>
        <v>Current</v>
      </c>
      <c r="M346" s="55" t="str">
        <f t="shared" si="5"/>
        <v>No</v>
      </c>
    </row>
    <row r="347" ht="15.75" customHeight="1">
      <c r="A347" s="25" t="s">
        <v>1558</v>
      </c>
      <c r="B347" s="25" t="s">
        <v>350</v>
      </c>
      <c r="C347" s="25" t="s">
        <v>320</v>
      </c>
      <c r="D347" s="26">
        <v>46139.0</v>
      </c>
      <c r="E347" s="26">
        <v>46184.0</v>
      </c>
      <c r="F347" s="30">
        <v>560.64</v>
      </c>
      <c r="G347" s="26"/>
      <c r="H347" s="30">
        <v>0.0</v>
      </c>
      <c r="I347" s="30">
        <f t="shared" si="1"/>
        <v>560.64</v>
      </c>
      <c r="J347" s="29">
        <f t="shared" si="2"/>
        <v>0</v>
      </c>
      <c r="K347" s="25" t="str">
        <f t="shared" si="3"/>
        <v>0-30</v>
      </c>
      <c r="L347" s="25" t="str">
        <f t="shared" si="4"/>
        <v>Current</v>
      </c>
      <c r="M347" s="30" t="str">
        <f t="shared" si="5"/>
        <v>No</v>
      </c>
    </row>
    <row r="348" ht="15.75" customHeight="1">
      <c r="A348" s="53" t="s">
        <v>1559</v>
      </c>
      <c r="B348" s="53" t="s">
        <v>1005</v>
      </c>
      <c r="C348" s="53" t="s">
        <v>980</v>
      </c>
      <c r="D348" s="54">
        <v>46072.0</v>
      </c>
      <c r="E348" s="54">
        <v>46102.0</v>
      </c>
      <c r="F348" s="55">
        <v>1225.2</v>
      </c>
      <c r="G348" s="54">
        <v>46102.0</v>
      </c>
      <c r="H348" s="55">
        <v>1225.2</v>
      </c>
      <c r="I348" s="55">
        <f t="shared" si="1"/>
        <v>0</v>
      </c>
      <c r="J348" s="56">
        <f t="shared" si="2"/>
        <v>56</v>
      </c>
      <c r="K348" s="53" t="str">
        <f t="shared" si="3"/>
        <v>Paid</v>
      </c>
      <c r="L348" s="53" t="str">
        <f t="shared" si="4"/>
        <v>Closed</v>
      </c>
      <c r="M348" s="55" t="str">
        <f t="shared" si="5"/>
        <v>No</v>
      </c>
    </row>
    <row r="349" ht="15.75" customHeight="1">
      <c r="A349" s="25" t="s">
        <v>1560</v>
      </c>
      <c r="B349" s="25" t="s">
        <v>775</v>
      </c>
      <c r="C349" s="25" t="s">
        <v>720</v>
      </c>
      <c r="D349" s="26">
        <v>46043.0</v>
      </c>
      <c r="E349" s="26">
        <v>46073.0</v>
      </c>
      <c r="F349" s="30">
        <v>1185.6</v>
      </c>
      <c r="G349" s="26">
        <v>46104.0</v>
      </c>
      <c r="H349" s="30">
        <v>1185.6</v>
      </c>
      <c r="I349" s="30">
        <f t="shared" si="1"/>
        <v>0</v>
      </c>
      <c r="J349" s="29">
        <f t="shared" si="2"/>
        <v>85</v>
      </c>
      <c r="K349" s="25" t="str">
        <f t="shared" si="3"/>
        <v>Paid</v>
      </c>
      <c r="L349" s="25" t="str">
        <f t="shared" si="4"/>
        <v>Closed</v>
      </c>
      <c r="M349" s="30" t="str">
        <f t="shared" si="5"/>
        <v>No</v>
      </c>
    </row>
    <row r="350" ht="15.75" customHeight="1">
      <c r="A350" s="53" t="s">
        <v>1561</v>
      </c>
      <c r="B350" s="53" t="s">
        <v>1006</v>
      </c>
      <c r="C350" s="53" t="s">
        <v>957</v>
      </c>
      <c r="D350" s="54">
        <v>46116.0</v>
      </c>
      <c r="E350" s="54">
        <v>46161.0</v>
      </c>
      <c r="F350" s="55">
        <v>1200.0</v>
      </c>
      <c r="G350" s="54"/>
      <c r="H350" s="55">
        <v>0.0</v>
      </c>
      <c r="I350" s="55">
        <f t="shared" si="1"/>
        <v>1200</v>
      </c>
      <c r="J350" s="56">
        <f t="shared" si="2"/>
        <v>0</v>
      </c>
      <c r="K350" s="53" t="str">
        <f t="shared" si="3"/>
        <v>0-30</v>
      </c>
      <c r="L350" s="53" t="str">
        <f t="shared" si="4"/>
        <v>Current</v>
      </c>
      <c r="M350" s="55" t="str">
        <f t="shared" si="5"/>
        <v>No</v>
      </c>
    </row>
    <row r="351" ht="15.75" customHeight="1">
      <c r="A351" s="25" t="s">
        <v>1562</v>
      </c>
      <c r="B351" s="25" t="s">
        <v>113</v>
      </c>
      <c r="C351" s="25" t="s">
        <v>114</v>
      </c>
      <c r="D351" s="26">
        <v>46051.0</v>
      </c>
      <c r="E351" s="26">
        <v>46081.0</v>
      </c>
      <c r="F351" s="30">
        <v>1159.68</v>
      </c>
      <c r="G351" s="26">
        <v>46088.0</v>
      </c>
      <c r="H351" s="30">
        <v>1159.68</v>
      </c>
      <c r="I351" s="30">
        <f t="shared" si="1"/>
        <v>0</v>
      </c>
      <c r="J351" s="29">
        <f t="shared" si="2"/>
        <v>77</v>
      </c>
      <c r="K351" s="25" t="str">
        <f t="shared" si="3"/>
        <v>Paid</v>
      </c>
      <c r="L351" s="25" t="str">
        <f t="shared" si="4"/>
        <v>Closed</v>
      </c>
      <c r="M351" s="30" t="str">
        <f t="shared" si="5"/>
        <v>No</v>
      </c>
    </row>
    <row r="352" ht="15.75" customHeight="1">
      <c r="A352" s="53" t="s">
        <v>1563</v>
      </c>
      <c r="B352" s="53" t="s">
        <v>1008</v>
      </c>
      <c r="C352" s="53" t="s">
        <v>974</v>
      </c>
      <c r="D352" s="54">
        <v>46060.0</v>
      </c>
      <c r="E352" s="54">
        <v>46090.0</v>
      </c>
      <c r="F352" s="55">
        <v>207.36</v>
      </c>
      <c r="G352" s="54"/>
      <c r="H352" s="55">
        <v>0.0</v>
      </c>
      <c r="I352" s="55">
        <f t="shared" si="1"/>
        <v>207.36</v>
      </c>
      <c r="J352" s="56">
        <f t="shared" si="2"/>
        <v>68</v>
      </c>
      <c r="K352" s="53" t="str">
        <f t="shared" si="3"/>
        <v>61-90</v>
      </c>
      <c r="L352" s="53" t="str">
        <f t="shared" si="4"/>
        <v>Collections Review</v>
      </c>
      <c r="M352" s="55" t="str">
        <f t="shared" si="5"/>
        <v>Yes</v>
      </c>
    </row>
    <row r="353" ht="15.75" customHeight="1">
      <c r="A353" s="25" t="s">
        <v>1564</v>
      </c>
      <c r="B353" s="25" t="s">
        <v>116</v>
      </c>
      <c r="C353" s="25" t="s">
        <v>80</v>
      </c>
      <c r="D353" s="26">
        <v>46036.0</v>
      </c>
      <c r="E353" s="26">
        <v>46066.0</v>
      </c>
      <c r="F353" s="30">
        <v>402.12</v>
      </c>
      <c r="G353" s="26">
        <v>46063.0</v>
      </c>
      <c r="H353" s="30">
        <v>402.12</v>
      </c>
      <c r="I353" s="30">
        <f t="shared" si="1"/>
        <v>0</v>
      </c>
      <c r="J353" s="29">
        <f t="shared" si="2"/>
        <v>92</v>
      </c>
      <c r="K353" s="25" t="str">
        <f t="shared" si="3"/>
        <v>Paid</v>
      </c>
      <c r="L353" s="25" t="str">
        <f t="shared" si="4"/>
        <v>Closed</v>
      </c>
      <c r="M353" s="30" t="str">
        <f t="shared" si="5"/>
        <v>No</v>
      </c>
    </row>
    <row r="354" ht="15.75" customHeight="1">
      <c r="A354" s="53" t="s">
        <v>1565</v>
      </c>
      <c r="B354" s="53" t="s">
        <v>215</v>
      </c>
      <c r="C354" s="53" t="s">
        <v>168</v>
      </c>
      <c r="D354" s="54">
        <v>46131.0</v>
      </c>
      <c r="E354" s="54">
        <v>46146.0</v>
      </c>
      <c r="F354" s="55">
        <v>892.8</v>
      </c>
      <c r="G354" s="54">
        <v>46160.0</v>
      </c>
      <c r="H354" s="55">
        <v>892.8</v>
      </c>
      <c r="I354" s="55">
        <f t="shared" si="1"/>
        <v>0</v>
      </c>
      <c r="J354" s="56">
        <f t="shared" si="2"/>
        <v>12</v>
      </c>
      <c r="K354" s="53" t="str">
        <f t="shared" si="3"/>
        <v>Paid</v>
      </c>
      <c r="L354" s="53" t="str">
        <f t="shared" si="4"/>
        <v>Closed</v>
      </c>
      <c r="M354" s="55" t="str">
        <f t="shared" si="5"/>
        <v>No</v>
      </c>
    </row>
    <row r="355" ht="15.75" customHeight="1">
      <c r="A355" s="25" t="s">
        <v>1566</v>
      </c>
      <c r="B355" s="25" t="s">
        <v>492</v>
      </c>
      <c r="C355" s="25" t="s">
        <v>446</v>
      </c>
      <c r="D355" s="26">
        <v>46078.0</v>
      </c>
      <c r="E355" s="26">
        <v>46108.0</v>
      </c>
      <c r="F355" s="30">
        <v>362.52</v>
      </c>
      <c r="G355" s="26"/>
      <c r="H355" s="30">
        <v>0.0</v>
      </c>
      <c r="I355" s="30">
        <f t="shared" si="1"/>
        <v>362.52</v>
      </c>
      <c r="J355" s="29">
        <f t="shared" si="2"/>
        <v>50</v>
      </c>
      <c r="K355" s="25" t="str">
        <f t="shared" si="3"/>
        <v>31-60</v>
      </c>
      <c r="L355" s="25" t="str">
        <f t="shared" si="4"/>
        <v>Reminder Sent</v>
      </c>
      <c r="M355" s="30" t="str">
        <f t="shared" si="5"/>
        <v>No</v>
      </c>
    </row>
    <row r="356" ht="15.75" customHeight="1">
      <c r="A356" s="53" t="s">
        <v>1567</v>
      </c>
      <c r="B356" s="53" t="s">
        <v>216</v>
      </c>
      <c r="C356" s="53" t="s">
        <v>184</v>
      </c>
      <c r="D356" s="54">
        <v>46041.0</v>
      </c>
      <c r="E356" s="54">
        <v>46071.0</v>
      </c>
      <c r="F356" s="55">
        <v>1162.8</v>
      </c>
      <c r="G356" s="54">
        <v>46103.0</v>
      </c>
      <c r="H356" s="55">
        <v>1162.8</v>
      </c>
      <c r="I356" s="55">
        <f t="shared" si="1"/>
        <v>0</v>
      </c>
      <c r="J356" s="56">
        <f t="shared" si="2"/>
        <v>87</v>
      </c>
      <c r="K356" s="53" t="str">
        <f t="shared" si="3"/>
        <v>Paid</v>
      </c>
      <c r="L356" s="53" t="str">
        <f t="shared" si="4"/>
        <v>Closed</v>
      </c>
      <c r="M356" s="55" t="str">
        <f t="shared" si="5"/>
        <v>No</v>
      </c>
    </row>
    <row r="357" ht="15.75" customHeight="1">
      <c r="A357" s="25" t="s">
        <v>1568</v>
      </c>
      <c r="B357" s="25" t="s">
        <v>217</v>
      </c>
      <c r="C357" s="25" t="s">
        <v>179</v>
      </c>
      <c r="D357" s="26">
        <v>46083.0</v>
      </c>
      <c r="E357" s="26">
        <v>46098.0</v>
      </c>
      <c r="F357" s="30">
        <v>61.56</v>
      </c>
      <c r="G357" s="26">
        <v>46139.0</v>
      </c>
      <c r="H357" s="30">
        <v>61.56</v>
      </c>
      <c r="I357" s="30">
        <f t="shared" si="1"/>
        <v>0</v>
      </c>
      <c r="J357" s="29">
        <f t="shared" si="2"/>
        <v>60</v>
      </c>
      <c r="K357" s="25" t="str">
        <f t="shared" si="3"/>
        <v>Paid</v>
      </c>
      <c r="L357" s="25" t="str">
        <f t="shared" si="4"/>
        <v>Closed</v>
      </c>
      <c r="M357" s="30" t="str">
        <f t="shared" si="5"/>
        <v>No</v>
      </c>
    </row>
    <row r="358" ht="15.75" customHeight="1">
      <c r="A358" s="53" t="s">
        <v>1569</v>
      </c>
      <c r="B358" s="53" t="s">
        <v>218</v>
      </c>
      <c r="C358" s="53" t="s">
        <v>177</v>
      </c>
      <c r="D358" s="54">
        <v>46081.0</v>
      </c>
      <c r="E358" s="54">
        <v>46111.0</v>
      </c>
      <c r="F358" s="55">
        <v>409.2</v>
      </c>
      <c r="G358" s="54">
        <v>46107.0</v>
      </c>
      <c r="H358" s="55">
        <v>409.2</v>
      </c>
      <c r="I358" s="55">
        <f t="shared" si="1"/>
        <v>0</v>
      </c>
      <c r="J358" s="56">
        <f t="shared" si="2"/>
        <v>47</v>
      </c>
      <c r="K358" s="53" t="str">
        <f t="shared" si="3"/>
        <v>Paid</v>
      </c>
      <c r="L358" s="53" t="str">
        <f t="shared" si="4"/>
        <v>Closed</v>
      </c>
      <c r="M358" s="55" t="str">
        <f t="shared" si="5"/>
        <v>No</v>
      </c>
    </row>
    <row r="359" ht="15.75" customHeight="1">
      <c r="A359" s="25" t="s">
        <v>1570</v>
      </c>
      <c r="B359" s="25" t="s">
        <v>219</v>
      </c>
      <c r="C359" s="25" t="s">
        <v>181</v>
      </c>
      <c r="D359" s="26">
        <v>46093.0</v>
      </c>
      <c r="E359" s="26">
        <v>46123.0</v>
      </c>
      <c r="F359" s="30">
        <v>0.0</v>
      </c>
      <c r="G359" s="26"/>
      <c r="H359" s="30">
        <v>0.0</v>
      </c>
      <c r="I359" s="30">
        <f t="shared" si="1"/>
        <v>0</v>
      </c>
      <c r="J359" s="29">
        <f t="shared" si="2"/>
        <v>35</v>
      </c>
      <c r="K359" s="25" t="str">
        <f t="shared" si="3"/>
        <v>Paid</v>
      </c>
      <c r="L359" s="25" t="str">
        <f t="shared" si="4"/>
        <v>Closed</v>
      </c>
      <c r="M359" s="30" t="str">
        <f t="shared" si="5"/>
        <v>No</v>
      </c>
    </row>
    <row r="360" ht="15.75" customHeight="1">
      <c r="A360" s="53" t="s">
        <v>1571</v>
      </c>
      <c r="B360" s="53" t="s">
        <v>493</v>
      </c>
      <c r="C360" s="53" t="s">
        <v>464</v>
      </c>
      <c r="D360" s="54">
        <v>46094.0</v>
      </c>
      <c r="E360" s="54">
        <v>46109.0</v>
      </c>
      <c r="F360" s="55">
        <v>506.4</v>
      </c>
      <c r="G360" s="54"/>
      <c r="H360" s="55">
        <v>0.0</v>
      </c>
      <c r="I360" s="55">
        <f t="shared" si="1"/>
        <v>506.4</v>
      </c>
      <c r="J360" s="56">
        <f t="shared" si="2"/>
        <v>49</v>
      </c>
      <c r="K360" s="53" t="str">
        <f t="shared" si="3"/>
        <v>31-60</v>
      </c>
      <c r="L360" s="53" t="str">
        <f t="shared" si="4"/>
        <v>Reminder Sent</v>
      </c>
      <c r="M360" s="55" t="str">
        <f t="shared" si="5"/>
        <v>No</v>
      </c>
    </row>
    <row r="361" ht="15.75" customHeight="1">
      <c r="A361" s="25" t="s">
        <v>1572</v>
      </c>
      <c r="B361" s="25" t="s">
        <v>220</v>
      </c>
      <c r="C361" s="25" t="s">
        <v>207</v>
      </c>
      <c r="D361" s="26">
        <v>46039.0</v>
      </c>
      <c r="E361" s="26">
        <v>46069.0</v>
      </c>
      <c r="F361" s="30">
        <v>61.74</v>
      </c>
      <c r="G361" s="26">
        <v>46075.0</v>
      </c>
      <c r="H361" s="30">
        <v>61.74</v>
      </c>
      <c r="I361" s="30">
        <f t="shared" si="1"/>
        <v>0</v>
      </c>
      <c r="J361" s="29">
        <f t="shared" si="2"/>
        <v>89</v>
      </c>
      <c r="K361" s="25" t="str">
        <f t="shared" si="3"/>
        <v>Paid</v>
      </c>
      <c r="L361" s="25" t="str">
        <f t="shared" si="4"/>
        <v>Closed</v>
      </c>
      <c r="M361" s="30" t="str">
        <f t="shared" si="5"/>
        <v>No</v>
      </c>
    </row>
    <row r="362" ht="15.75" customHeight="1">
      <c r="A362" s="53" t="s">
        <v>1573</v>
      </c>
      <c r="B362" s="53" t="s">
        <v>494</v>
      </c>
      <c r="C362" s="53" t="s">
        <v>469</v>
      </c>
      <c r="D362" s="54">
        <v>46084.0</v>
      </c>
      <c r="E362" s="54">
        <v>46129.0</v>
      </c>
      <c r="F362" s="55">
        <v>349.56</v>
      </c>
      <c r="G362" s="54"/>
      <c r="H362" s="55">
        <v>0.0</v>
      </c>
      <c r="I362" s="55">
        <f t="shared" si="1"/>
        <v>349.56</v>
      </c>
      <c r="J362" s="56">
        <f t="shared" si="2"/>
        <v>29</v>
      </c>
      <c r="K362" s="53" t="str">
        <f t="shared" si="3"/>
        <v>0-30</v>
      </c>
      <c r="L362" s="53" t="str">
        <f t="shared" si="4"/>
        <v>Current</v>
      </c>
      <c r="M362" s="55" t="str">
        <f t="shared" si="5"/>
        <v>No</v>
      </c>
    </row>
    <row r="363" ht="15.75" customHeight="1">
      <c r="A363" s="25" t="s">
        <v>1574</v>
      </c>
      <c r="B363" s="25" t="s">
        <v>495</v>
      </c>
      <c r="C363" s="25" t="s">
        <v>466</v>
      </c>
      <c r="D363" s="26">
        <v>46077.0</v>
      </c>
      <c r="E363" s="26">
        <v>46122.0</v>
      </c>
      <c r="F363" s="30">
        <v>729.36</v>
      </c>
      <c r="G363" s="26">
        <v>46152.0</v>
      </c>
      <c r="H363" s="30">
        <v>729.36</v>
      </c>
      <c r="I363" s="30">
        <f t="shared" si="1"/>
        <v>0</v>
      </c>
      <c r="J363" s="29">
        <f t="shared" si="2"/>
        <v>36</v>
      </c>
      <c r="K363" s="25" t="str">
        <f t="shared" si="3"/>
        <v>Paid</v>
      </c>
      <c r="L363" s="25" t="str">
        <f t="shared" si="4"/>
        <v>Closed</v>
      </c>
      <c r="M363" s="30" t="str">
        <f t="shared" si="5"/>
        <v>No</v>
      </c>
    </row>
    <row r="364" ht="15.75" customHeight="1">
      <c r="A364" s="53" t="s">
        <v>1575</v>
      </c>
      <c r="B364" s="53" t="s">
        <v>776</v>
      </c>
      <c r="C364" s="53" t="s">
        <v>735</v>
      </c>
      <c r="D364" s="54">
        <v>46138.0</v>
      </c>
      <c r="E364" s="54">
        <v>46168.0</v>
      </c>
      <c r="F364" s="55">
        <v>1168.8</v>
      </c>
      <c r="G364" s="54"/>
      <c r="H364" s="55">
        <v>0.0</v>
      </c>
      <c r="I364" s="55">
        <f t="shared" si="1"/>
        <v>1168.8</v>
      </c>
      <c r="J364" s="56">
        <f t="shared" si="2"/>
        <v>0</v>
      </c>
      <c r="K364" s="53" t="str">
        <f t="shared" si="3"/>
        <v>0-30</v>
      </c>
      <c r="L364" s="53" t="str">
        <f t="shared" si="4"/>
        <v>Current</v>
      </c>
      <c r="M364" s="55" t="str">
        <f t="shared" si="5"/>
        <v>No</v>
      </c>
    </row>
    <row r="365" ht="15.75" customHeight="1">
      <c r="A365" s="25" t="s">
        <v>1576</v>
      </c>
      <c r="B365" s="25" t="s">
        <v>351</v>
      </c>
      <c r="C365" s="25" t="s">
        <v>293</v>
      </c>
      <c r="D365" s="26">
        <v>46073.0</v>
      </c>
      <c r="E365" s="26">
        <v>46103.0</v>
      </c>
      <c r="F365" s="30">
        <v>1324.8</v>
      </c>
      <c r="G365" s="26">
        <v>46107.0</v>
      </c>
      <c r="H365" s="30">
        <v>1324.8</v>
      </c>
      <c r="I365" s="30">
        <f t="shared" si="1"/>
        <v>0</v>
      </c>
      <c r="J365" s="29">
        <f t="shared" si="2"/>
        <v>55</v>
      </c>
      <c r="K365" s="25" t="str">
        <f t="shared" si="3"/>
        <v>Paid</v>
      </c>
      <c r="L365" s="25" t="str">
        <f t="shared" si="4"/>
        <v>Closed</v>
      </c>
      <c r="M365" s="30" t="str">
        <f t="shared" si="5"/>
        <v>No</v>
      </c>
    </row>
    <row r="366" ht="15.75" customHeight="1">
      <c r="A366" s="53" t="s">
        <v>1577</v>
      </c>
      <c r="B366" s="53" t="s">
        <v>608</v>
      </c>
      <c r="C366" s="53" t="s">
        <v>555</v>
      </c>
      <c r="D366" s="54">
        <v>46049.0</v>
      </c>
      <c r="E366" s="54">
        <v>46094.0</v>
      </c>
      <c r="F366" s="55">
        <v>0.0</v>
      </c>
      <c r="G366" s="54">
        <v>46137.0</v>
      </c>
      <c r="H366" s="55">
        <v>0.0</v>
      </c>
      <c r="I366" s="55">
        <f t="shared" si="1"/>
        <v>0</v>
      </c>
      <c r="J366" s="56">
        <f t="shared" si="2"/>
        <v>64</v>
      </c>
      <c r="K366" s="53" t="str">
        <f t="shared" si="3"/>
        <v>Paid</v>
      </c>
      <c r="L366" s="53" t="str">
        <f t="shared" si="4"/>
        <v>Closed</v>
      </c>
      <c r="M366" s="55" t="str">
        <f t="shared" si="5"/>
        <v>No</v>
      </c>
    </row>
    <row r="367" ht="15.75" customHeight="1">
      <c r="A367" s="25" t="s">
        <v>1578</v>
      </c>
      <c r="B367" s="25" t="s">
        <v>117</v>
      </c>
      <c r="C367" s="25" t="s">
        <v>114</v>
      </c>
      <c r="D367" s="26">
        <v>46051.0</v>
      </c>
      <c r="E367" s="26">
        <v>46066.0</v>
      </c>
      <c r="F367" s="30">
        <v>544.8</v>
      </c>
      <c r="G367" s="26">
        <v>46065.0</v>
      </c>
      <c r="H367" s="30">
        <v>544.8</v>
      </c>
      <c r="I367" s="30">
        <f t="shared" si="1"/>
        <v>0</v>
      </c>
      <c r="J367" s="29">
        <f t="shared" si="2"/>
        <v>92</v>
      </c>
      <c r="K367" s="25" t="str">
        <f t="shared" si="3"/>
        <v>Paid</v>
      </c>
      <c r="L367" s="25" t="str">
        <f t="shared" si="4"/>
        <v>Closed</v>
      </c>
      <c r="M367" s="30" t="str">
        <f t="shared" si="5"/>
        <v>No</v>
      </c>
    </row>
    <row r="368" ht="15.75" customHeight="1">
      <c r="A368" s="53" t="s">
        <v>1579</v>
      </c>
      <c r="B368" s="53" t="s">
        <v>609</v>
      </c>
      <c r="C368" s="53" t="s">
        <v>542</v>
      </c>
      <c r="D368" s="54">
        <v>46052.0</v>
      </c>
      <c r="E368" s="54">
        <v>46082.0</v>
      </c>
      <c r="F368" s="55">
        <v>1093.44</v>
      </c>
      <c r="G368" s="54">
        <v>46094.0</v>
      </c>
      <c r="H368" s="55">
        <v>1093.44</v>
      </c>
      <c r="I368" s="55">
        <f t="shared" si="1"/>
        <v>0</v>
      </c>
      <c r="J368" s="56">
        <f t="shared" si="2"/>
        <v>76</v>
      </c>
      <c r="K368" s="53" t="str">
        <f t="shared" si="3"/>
        <v>Paid</v>
      </c>
      <c r="L368" s="53" t="str">
        <f t="shared" si="4"/>
        <v>Closed</v>
      </c>
      <c r="M368" s="55" t="str">
        <f t="shared" si="5"/>
        <v>No</v>
      </c>
    </row>
    <row r="369" ht="15.75" customHeight="1">
      <c r="A369" s="25" t="s">
        <v>1580</v>
      </c>
      <c r="B369" s="25" t="s">
        <v>352</v>
      </c>
      <c r="C369" s="25" t="s">
        <v>293</v>
      </c>
      <c r="D369" s="26">
        <v>46059.0</v>
      </c>
      <c r="E369" s="26">
        <v>46074.0</v>
      </c>
      <c r="F369" s="30">
        <v>185.94</v>
      </c>
      <c r="G369" s="26">
        <v>46073.0</v>
      </c>
      <c r="H369" s="30">
        <v>185.94</v>
      </c>
      <c r="I369" s="30">
        <f t="shared" si="1"/>
        <v>0</v>
      </c>
      <c r="J369" s="29">
        <f t="shared" si="2"/>
        <v>84</v>
      </c>
      <c r="K369" s="25" t="str">
        <f t="shared" si="3"/>
        <v>Paid</v>
      </c>
      <c r="L369" s="25" t="str">
        <f t="shared" si="4"/>
        <v>Closed</v>
      </c>
      <c r="M369" s="30" t="str">
        <f t="shared" si="5"/>
        <v>No</v>
      </c>
    </row>
    <row r="370" ht="15.75" customHeight="1">
      <c r="A370" s="53" t="s">
        <v>1581</v>
      </c>
      <c r="B370" s="53" t="s">
        <v>777</v>
      </c>
      <c r="C370" s="53" t="s">
        <v>712</v>
      </c>
      <c r="D370" s="54">
        <v>46116.0</v>
      </c>
      <c r="E370" s="54">
        <v>46146.0</v>
      </c>
      <c r="F370" s="55">
        <v>142.56</v>
      </c>
      <c r="G370" s="54"/>
      <c r="H370" s="55">
        <v>0.0</v>
      </c>
      <c r="I370" s="55">
        <f t="shared" si="1"/>
        <v>142.56</v>
      </c>
      <c r="J370" s="56">
        <f t="shared" si="2"/>
        <v>12</v>
      </c>
      <c r="K370" s="53" t="str">
        <f t="shared" si="3"/>
        <v>0-30</v>
      </c>
      <c r="L370" s="53" t="str">
        <f t="shared" si="4"/>
        <v>Current</v>
      </c>
      <c r="M370" s="55" t="str">
        <f t="shared" si="5"/>
        <v>No</v>
      </c>
    </row>
    <row r="371" ht="15.75" customHeight="1">
      <c r="A371" s="25" t="s">
        <v>1582</v>
      </c>
      <c r="B371" s="25" t="s">
        <v>1102</v>
      </c>
      <c r="C371" s="25" t="s">
        <v>1081</v>
      </c>
      <c r="D371" s="26">
        <v>46100.0</v>
      </c>
      <c r="E371" s="26">
        <v>46145.0</v>
      </c>
      <c r="F371" s="30">
        <v>296.28</v>
      </c>
      <c r="G371" s="26"/>
      <c r="H371" s="30">
        <v>0.0</v>
      </c>
      <c r="I371" s="30">
        <f t="shared" si="1"/>
        <v>296.28</v>
      </c>
      <c r="J371" s="29">
        <f t="shared" si="2"/>
        <v>13</v>
      </c>
      <c r="K371" s="25" t="str">
        <f t="shared" si="3"/>
        <v>0-30</v>
      </c>
      <c r="L371" s="25" t="str">
        <f t="shared" si="4"/>
        <v>Current</v>
      </c>
      <c r="M371" s="30" t="str">
        <f t="shared" si="5"/>
        <v>No</v>
      </c>
    </row>
    <row r="372" ht="15.75" customHeight="1">
      <c r="A372" s="53" t="s">
        <v>1583</v>
      </c>
      <c r="B372" s="53" t="s">
        <v>896</v>
      </c>
      <c r="C372" s="53" t="s">
        <v>864</v>
      </c>
      <c r="D372" s="54">
        <v>46060.0</v>
      </c>
      <c r="E372" s="54">
        <v>46090.0</v>
      </c>
      <c r="F372" s="55">
        <v>358.56</v>
      </c>
      <c r="G372" s="54">
        <v>46097.0</v>
      </c>
      <c r="H372" s="55">
        <v>358.56</v>
      </c>
      <c r="I372" s="55">
        <f t="shared" si="1"/>
        <v>0</v>
      </c>
      <c r="J372" s="56">
        <f t="shared" si="2"/>
        <v>68</v>
      </c>
      <c r="K372" s="53" t="str">
        <f t="shared" si="3"/>
        <v>Paid</v>
      </c>
      <c r="L372" s="53" t="str">
        <f t="shared" si="4"/>
        <v>Closed</v>
      </c>
      <c r="M372" s="55" t="str">
        <f t="shared" si="5"/>
        <v>No</v>
      </c>
    </row>
    <row r="373" ht="15.75" customHeight="1">
      <c r="A373" s="25" t="s">
        <v>1584</v>
      </c>
      <c r="B373" s="25" t="s">
        <v>118</v>
      </c>
      <c r="C373" s="25" t="s">
        <v>83</v>
      </c>
      <c r="D373" s="26">
        <v>46049.0</v>
      </c>
      <c r="E373" s="26">
        <v>46079.0</v>
      </c>
      <c r="F373" s="30">
        <v>134.28</v>
      </c>
      <c r="G373" s="26"/>
      <c r="H373" s="30">
        <v>0.0</v>
      </c>
      <c r="I373" s="30">
        <f t="shared" si="1"/>
        <v>134.28</v>
      </c>
      <c r="J373" s="29">
        <f t="shared" si="2"/>
        <v>79</v>
      </c>
      <c r="K373" s="25" t="str">
        <f t="shared" si="3"/>
        <v>61-90</v>
      </c>
      <c r="L373" s="25" t="str">
        <f t="shared" si="4"/>
        <v>Collections Review</v>
      </c>
      <c r="M373" s="30" t="str">
        <f t="shared" si="5"/>
        <v>Yes</v>
      </c>
    </row>
    <row r="374" ht="15.75" customHeight="1">
      <c r="A374" s="53" t="s">
        <v>1585</v>
      </c>
      <c r="B374" s="53" t="s">
        <v>119</v>
      </c>
      <c r="C374" s="53" t="s">
        <v>104</v>
      </c>
      <c r="D374" s="54">
        <v>46130.0</v>
      </c>
      <c r="E374" s="54">
        <v>46160.0</v>
      </c>
      <c r="F374" s="55">
        <v>142.32</v>
      </c>
      <c r="G374" s="54"/>
      <c r="H374" s="55">
        <v>0.0</v>
      </c>
      <c r="I374" s="55">
        <f t="shared" si="1"/>
        <v>142.32</v>
      </c>
      <c r="J374" s="56">
        <f t="shared" si="2"/>
        <v>0</v>
      </c>
      <c r="K374" s="53" t="str">
        <f t="shared" si="3"/>
        <v>0-30</v>
      </c>
      <c r="L374" s="53" t="str">
        <f t="shared" si="4"/>
        <v>Current</v>
      </c>
      <c r="M374" s="55" t="str">
        <f t="shared" si="5"/>
        <v>No</v>
      </c>
    </row>
    <row r="375" ht="15.75" customHeight="1">
      <c r="A375" s="25" t="s">
        <v>1586</v>
      </c>
      <c r="B375" s="25" t="s">
        <v>496</v>
      </c>
      <c r="C375" s="25" t="s">
        <v>446</v>
      </c>
      <c r="D375" s="26">
        <v>46104.0</v>
      </c>
      <c r="E375" s="26">
        <v>46119.0</v>
      </c>
      <c r="F375" s="30">
        <v>310.88</v>
      </c>
      <c r="G375" s="26">
        <v>46117.0</v>
      </c>
      <c r="H375" s="30">
        <v>310.88</v>
      </c>
      <c r="I375" s="30">
        <f t="shared" si="1"/>
        <v>0</v>
      </c>
      <c r="J375" s="29">
        <f t="shared" si="2"/>
        <v>39</v>
      </c>
      <c r="K375" s="25" t="str">
        <f t="shared" si="3"/>
        <v>Paid</v>
      </c>
      <c r="L375" s="25" t="str">
        <f t="shared" si="4"/>
        <v>Closed</v>
      </c>
      <c r="M375" s="30" t="str">
        <f t="shared" si="5"/>
        <v>No</v>
      </c>
    </row>
    <row r="376" ht="15.75" customHeight="1">
      <c r="A376" s="53" t="s">
        <v>1587</v>
      </c>
      <c r="B376" s="53" t="s">
        <v>221</v>
      </c>
      <c r="C376" s="53" t="s">
        <v>181</v>
      </c>
      <c r="D376" s="54">
        <v>46129.0</v>
      </c>
      <c r="E376" s="54">
        <v>46159.0</v>
      </c>
      <c r="F376" s="55">
        <v>215.4</v>
      </c>
      <c r="G376" s="54">
        <v>46161.0</v>
      </c>
      <c r="H376" s="55">
        <v>215.4</v>
      </c>
      <c r="I376" s="55">
        <f t="shared" si="1"/>
        <v>0</v>
      </c>
      <c r="J376" s="56">
        <f t="shared" si="2"/>
        <v>0</v>
      </c>
      <c r="K376" s="53" t="str">
        <f t="shared" si="3"/>
        <v>Paid</v>
      </c>
      <c r="L376" s="53" t="str">
        <f t="shared" si="4"/>
        <v>Closed</v>
      </c>
      <c r="M376" s="55" t="str">
        <f t="shared" si="5"/>
        <v>No</v>
      </c>
    </row>
    <row r="377" ht="15.75" customHeight="1">
      <c r="A377" s="25" t="s">
        <v>1588</v>
      </c>
      <c r="B377" s="25" t="s">
        <v>353</v>
      </c>
      <c r="C377" s="25" t="s">
        <v>299</v>
      </c>
      <c r="D377" s="26">
        <v>46142.0</v>
      </c>
      <c r="E377" s="26">
        <v>46157.0</v>
      </c>
      <c r="F377" s="30">
        <v>263.88</v>
      </c>
      <c r="G377" s="26">
        <v>46168.0</v>
      </c>
      <c r="H377" s="30">
        <v>263.88</v>
      </c>
      <c r="I377" s="30">
        <f t="shared" si="1"/>
        <v>0</v>
      </c>
      <c r="J377" s="29">
        <f t="shared" si="2"/>
        <v>1</v>
      </c>
      <c r="K377" s="25" t="str">
        <f t="shared" si="3"/>
        <v>Paid</v>
      </c>
      <c r="L377" s="25" t="str">
        <f t="shared" si="4"/>
        <v>Closed</v>
      </c>
      <c r="M377" s="30" t="str">
        <f t="shared" si="5"/>
        <v>No</v>
      </c>
    </row>
    <row r="378" ht="15.75" customHeight="1">
      <c r="A378" s="53" t="s">
        <v>1589</v>
      </c>
      <c r="B378" s="53" t="s">
        <v>611</v>
      </c>
      <c r="C378" s="53" t="s">
        <v>553</v>
      </c>
      <c r="D378" s="54">
        <v>46113.0</v>
      </c>
      <c r="E378" s="54">
        <v>46143.0</v>
      </c>
      <c r="F378" s="55">
        <v>240.0</v>
      </c>
      <c r="G378" s="54">
        <v>46155.0</v>
      </c>
      <c r="H378" s="55">
        <v>240.0</v>
      </c>
      <c r="I378" s="55">
        <f t="shared" si="1"/>
        <v>0</v>
      </c>
      <c r="J378" s="56">
        <f t="shared" si="2"/>
        <v>15</v>
      </c>
      <c r="K378" s="53" t="str">
        <f t="shared" si="3"/>
        <v>Paid</v>
      </c>
      <c r="L378" s="53" t="str">
        <f t="shared" si="4"/>
        <v>Closed</v>
      </c>
      <c r="M378" s="55" t="str">
        <f t="shared" si="5"/>
        <v>No</v>
      </c>
    </row>
    <row r="379" ht="15.75" customHeight="1">
      <c r="A379" s="25" t="s">
        <v>1590</v>
      </c>
      <c r="B379" s="25" t="s">
        <v>1151</v>
      </c>
      <c r="C379" s="25" t="s">
        <v>1136</v>
      </c>
      <c r="D379" s="26">
        <v>46101.0</v>
      </c>
      <c r="E379" s="26">
        <v>46131.0</v>
      </c>
      <c r="F379" s="30">
        <v>321.9</v>
      </c>
      <c r="G379" s="26">
        <v>46145.0</v>
      </c>
      <c r="H379" s="30">
        <v>321.9</v>
      </c>
      <c r="I379" s="30">
        <f t="shared" si="1"/>
        <v>0</v>
      </c>
      <c r="J379" s="29">
        <f t="shared" si="2"/>
        <v>27</v>
      </c>
      <c r="K379" s="25" t="str">
        <f t="shared" si="3"/>
        <v>Paid</v>
      </c>
      <c r="L379" s="25" t="str">
        <f t="shared" si="4"/>
        <v>Closed</v>
      </c>
      <c r="M379" s="30" t="str">
        <f t="shared" si="5"/>
        <v>No</v>
      </c>
    </row>
    <row r="380" ht="15.75" customHeight="1">
      <c r="A380" s="53" t="s">
        <v>1591</v>
      </c>
      <c r="B380" s="53" t="s">
        <v>1009</v>
      </c>
      <c r="C380" s="53" t="s">
        <v>957</v>
      </c>
      <c r="D380" s="54">
        <v>46146.0</v>
      </c>
      <c r="E380" s="54">
        <v>46176.0</v>
      </c>
      <c r="F380" s="55">
        <v>648.96</v>
      </c>
      <c r="G380" s="54">
        <v>46221.0</v>
      </c>
      <c r="H380" s="55">
        <v>648.96</v>
      </c>
      <c r="I380" s="55">
        <f t="shared" si="1"/>
        <v>0</v>
      </c>
      <c r="J380" s="56">
        <f t="shared" si="2"/>
        <v>0</v>
      </c>
      <c r="K380" s="53" t="str">
        <f t="shared" si="3"/>
        <v>Paid</v>
      </c>
      <c r="L380" s="53" t="str">
        <f t="shared" si="4"/>
        <v>Closed</v>
      </c>
      <c r="M380" s="55" t="str">
        <f t="shared" si="5"/>
        <v>No</v>
      </c>
    </row>
    <row r="381" ht="15.75" customHeight="1">
      <c r="A381" s="25" t="s">
        <v>1592</v>
      </c>
      <c r="B381" s="25" t="s">
        <v>497</v>
      </c>
      <c r="C381" s="25" t="s">
        <v>446</v>
      </c>
      <c r="D381" s="26">
        <v>46058.0</v>
      </c>
      <c r="E381" s="26">
        <v>46088.0</v>
      </c>
      <c r="F381" s="30">
        <v>179.46</v>
      </c>
      <c r="G381" s="26">
        <v>46119.0</v>
      </c>
      <c r="H381" s="30">
        <v>179.46</v>
      </c>
      <c r="I381" s="30">
        <f t="shared" si="1"/>
        <v>0</v>
      </c>
      <c r="J381" s="29">
        <f t="shared" si="2"/>
        <v>70</v>
      </c>
      <c r="K381" s="25" t="str">
        <f t="shared" si="3"/>
        <v>Paid</v>
      </c>
      <c r="L381" s="25" t="str">
        <f t="shared" si="4"/>
        <v>Closed</v>
      </c>
      <c r="M381" s="30" t="str">
        <f t="shared" si="5"/>
        <v>No</v>
      </c>
    </row>
    <row r="382" ht="15.75" customHeight="1">
      <c r="A382" s="53" t="s">
        <v>1593</v>
      </c>
      <c r="B382" s="53" t="s">
        <v>1152</v>
      </c>
      <c r="C382" s="53" t="s">
        <v>1133</v>
      </c>
      <c r="D382" s="54">
        <v>46114.0</v>
      </c>
      <c r="E382" s="54">
        <v>46159.0</v>
      </c>
      <c r="F382" s="55">
        <v>448.2</v>
      </c>
      <c r="G382" s="54"/>
      <c r="H382" s="55">
        <v>0.0</v>
      </c>
      <c r="I382" s="55">
        <f t="shared" si="1"/>
        <v>448.2</v>
      </c>
      <c r="J382" s="56">
        <f t="shared" si="2"/>
        <v>0</v>
      </c>
      <c r="K382" s="53" t="str">
        <f t="shared" si="3"/>
        <v>0-30</v>
      </c>
      <c r="L382" s="53" t="str">
        <f t="shared" si="4"/>
        <v>Current</v>
      </c>
      <c r="M382" s="55" t="str">
        <f t="shared" si="5"/>
        <v>No</v>
      </c>
    </row>
    <row r="383" ht="15.75" customHeight="1">
      <c r="A383" s="25" t="s">
        <v>1594</v>
      </c>
      <c r="B383" s="25" t="s">
        <v>354</v>
      </c>
      <c r="C383" s="25" t="s">
        <v>312</v>
      </c>
      <c r="D383" s="26">
        <v>46044.0</v>
      </c>
      <c r="E383" s="26">
        <v>46089.0</v>
      </c>
      <c r="F383" s="30">
        <v>143.1</v>
      </c>
      <c r="G383" s="26"/>
      <c r="H383" s="30">
        <v>0.0</v>
      </c>
      <c r="I383" s="30">
        <f t="shared" si="1"/>
        <v>143.1</v>
      </c>
      <c r="J383" s="29">
        <f t="shared" si="2"/>
        <v>69</v>
      </c>
      <c r="K383" s="25" t="str">
        <f t="shared" si="3"/>
        <v>61-90</v>
      </c>
      <c r="L383" s="25" t="str">
        <f t="shared" si="4"/>
        <v>Collections Review</v>
      </c>
      <c r="M383" s="30" t="str">
        <f t="shared" si="5"/>
        <v>Yes</v>
      </c>
    </row>
    <row r="384" ht="15.75" customHeight="1">
      <c r="A384" s="53" t="s">
        <v>1595</v>
      </c>
      <c r="B384" s="53" t="s">
        <v>1103</v>
      </c>
      <c r="C384" s="53" t="s">
        <v>1077</v>
      </c>
      <c r="D384" s="54">
        <v>46106.0</v>
      </c>
      <c r="E384" s="54">
        <v>46136.0</v>
      </c>
      <c r="F384" s="55">
        <v>1060.8</v>
      </c>
      <c r="G384" s="54"/>
      <c r="H384" s="55">
        <v>0.0</v>
      </c>
      <c r="I384" s="55">
        <f t="shared" si="1"/>
        <v>1060.8</v>
      </c>
      <c r="J384" s="56">
        <f t="shared" si="2"/>
        <v>22</v>
      </c>
      <c r="K384" s="53" t="str">
        <f t="shared" si="3"/>
        <v>0-30</v>
      </c>
      <c r="L384" s="53" t="str">
        <f t="shared" si="4"/>
        <v>Current</v>
      </c>
      <c r="M384" s="55" t="str">
        <f t="shared" si="5"/>
        <v>No</v>
      </c>
    </row>
    <row r="385" ht="15.75" customHeight="1">
      <c r="A385" s="25" t="s">
        <v>1596</v>
      </c>
      <c r="B385" s="25" t="s">
        <v>120</v>
      </c>
      <c r="C385" s="25" t="s">
        <v>70</v>
      </c>
      <c r="D385" s="26">
        <v>46141.0</v>
      </c>
      <c r="E385" s="26">
        <v>46171.0</v>
      </c>
      <c r="F385" s="30">
        <v>420.6</v>
      </c>
      <c r="G385" s="26">
        <v>46215.0</v>
      </c>
      <c r="H385" s="30">
        <v>420.6</v>
      </c>
      <c r="I385" s="30">
        <f t="shared" si="1"/>
        <v>0</v>
      </c>
      <c r="J385" s="29">
        <f t="shared" si="2"/>
        <v>0</v>
      </c>
      <c r="K385" s="25" t="str">
        <f t="shared" si="3"/>
        <v>Paid</v>
      </c>
      <c r="L385" s="25" t="str">
        <f t="shared" si="4"/>
        <v>Closed</v>
      </c>
      <c r="M385" s="30" t="str">
        <f t="shared" si="5"/>
        <v>No</v>
      </c>
    </row>
    <row r="386" ht="15.75" customHeight="1">
      <c r="A386" s="53" t="s">
        <v>1597</v>
      </c>
      <c r="B386" s="53" t="s">
        <v>1153</v>
      </c>
      <c r="C386" s="53" t="s">
        <v>1154</v>
      </c>
      <c r="D386" s="54">
        <v>46062.0</v>
      </c>
      <c r="E386" s="54">
        <v>46092.0</v>
      </c>
      <c r="F386" s="55">
        <v>235.2</v>
      </c>
      <c r="G386" s="54">
        <v>46135.0</v>
      </c>
      <c r="H386" s="55">
        <v>235.2</v>
      </c>
      <c r="I386" s="55">
        <f t="shared" si="1"/>
        <v>0</v>
      </c>
      <c r="J386" s="56">
        <f t="shared" si="2"/>
        <v>66</v>
      </c>
      <c r="K386" s="53" t="str">
        <f t="shared" si="3"/>
        <v>Paid</v>
      </c>
      <c r="L386" s="53" t="str">
        <f t="shared" si="4"/>
        <v>Closed</v>
      </c>
      <c r="M386" s="55" t="str">
        <f t="shared" si="5"/>
        <v>No</v>
      </c>
    </row>
    <row r="387" ht="15.75" customHeight="1">
      <c r="A387" s="25" t="s">
        <v>1598</v>
      </c>
      <c r="B387" s="25" t="s">
        <v>355</v>
      </c>
      <c r="C387" s="25" t="s">
        <v>305</v>
      </c>
      <c r="D387" s="26">
        <v>46030.0</v>
      </c>
      <c r="E387" s="26">
        <v>46060.0</v>
      </c>
      <c r="F387" s="30">
        <v>381.8</v>
      </c>
      <c r="G387" s="26">
        <v>46082.0</v>
      </c>
      <c r="H387" s="30">
        <v>381.8</v>
      </c>
      <c r="I387" s="30">
        <f t="shared" si="1"/>
        <v>0</v>
      </c>
      <c r="J387" s="29">
        <f t="shared" si="2"/>
        <v>98</v>
      </c>
      <c r="K387" s="25" t="str">
        <f t="shared" si="3"/>
        <v>Paid</v>
      </c>
      <c r="L387" s="25" t="str">
        <f t="shared" si="4"/>
        <v>Closed</v>
      </c>
      <c r="M387" s="30" t="str">
        <f t="shared" si="5"/>
        <v>No</v>
      </c>
    </row>
    <row r="388" ht="15.75" customHeight="1">
      <c r="A388" s="53" t="s">
        <v>1599</v>
      </c>
      <c r="B388" s="53" t="s">
        <v>897</v>
      </c>
      <c r="C388" s="53" t="s">
        <v>861</v>
      </c>
      <c r="D388" s="54">
        <v>46100.0</v>
      </c>
      <c r="E388" s="54">
        <v>46115.0</v>
      </c>
      <c r="F388" s="55">
        <v>50.04</v>
      </c>
      <c r="G388" s="54">
        <v>46143.0</v>
      </c>
      <c r="H388" s="55">
        <v>50.04</v>
      </c>
      <c r="I388" s="55">
        <f t="shared" si="1"/>
        <v>0</v>
      </c>
      <c r="J388" s="56">
        <f t="shared" si="2"/>
        <v>43</v>
      </c>
      <c r="K388" s="53" t="str">
        <f t="shared" si="3"/>
        <v>Paid</v>
      </c>
      <c r="L388" s="53" t="str">
        <f t="shared" si="4"/>
        <v>Closed</v>
      </c>
      <c r="M388" s="55" t="str">
        <f t="shared" si="5"/>
        <v>No</v>
      </c>
    </row>
    <row r="389" ht="15.75" customHeight="1">
      <c r="A389" s="25" t="s">
        <v>1600</v>
      </c>
      <c r="B389" s="25" t="s">
        <v>779</v>
      </c>
      <c r="C389" s="25" t="s">
        <v>714</v>
      </c>
      <c r="D389" s="26">
        <v>46078.0</v>
      </c>
      <c r="E389" s="26">
        <v>46108.0</v>
      </c>
      <c r="F389" s="30">
        <v>195.84</v>
      </c>
      <c r="G389" s="26">
        <v>46146.0</v>
      </c>
      <c r="H389" s="30">
        <v>195.84</v>
      </c>
      <c r="I389" s="30">
        <f t="shared" si="1"/>
        <v>0</v>
      </c>
      <c r="J389" s="29">
        <f t="shared" si="2"/>
        <v>50</v>
      </c>
      <c r="K389" s="25" t="str">
        <f t="shared" si="3"/>
        <v>Paid</v>
      </c>
      <c r="L389" s="25" t="str">
        <f t="shared" si="4"/>
        <v>Closed</v>
      </c>
      <c r="M389" s="30" t="str">
        <f t="shared" si="5"/>
        <v>No</v>
      </c>
    </row>
    <row r="390" ht="15.75" customHeight="1">
      <c r="A390" s="53" t="s">
        <v>1601</v>
      </c>
      <c r="B390" s="53" t="s">
        <v>1104</v>
      </c>
      <c r="C390" s="53" t="s">
        <v>1075</v>
      </c>
      <c r="D390" s="54">
        <v>46043.0</v>
      </c>
      <c r="E390" s="54">
        <v>46058.0</v>
      </c>
      <c r="F390" s="55">
        <v>344.64</v>
      </c>
      <c r="G390" s="54">
        <v>46079.0</v>
      </c>
      <c r="H390" s="55">
        <v>344.64</v>
      </c>
      <c r="I390" s="55">
        <f t="shared" si="1"/>
        <v>0</v>
      </c>
      <c r="J390" s="56">
        <f t="shared" si="2"/>
        <v>100</v>
      </c>
      <c r="K390" s="53" t="str">
        <f t="shared" si="3"/>
        <v>Paid</v>
      </c>
      <c r="L390" s="53" t="str">
        <f t="shared" si="4"/>
        <v>Closed</v>
      </c>
      <c r="M390" s="55" t="str">
        <f t="shared" si="5"/>
        <v>No</v>
      </c>
    </row>
    <row r="391" ht="15.75" customHeight="1">
      <c r="A391" s="25" t="s">
        <v>1602</v>
      </c>
      <c r="B391" s="25" t="s">
        <v>356</v>
      </c>
      <c r="C391" s="25" t="s">
        <v>297</v>
      </c>
      <c r="D391" s="26">
        <v>46049.0</v>
      </c>
      <c r="E391" s="26">
        <v>46094.0</v>
      </c>
      <c r="F391" s="30">
        <v>0.0</v>
      </c>
      <c r="G391" s="26">
        <v>46120.0</v>
      </c>
      <c r="H391" s="30">
        <v>0.0</v>
      </c>
      <c r="I391" s="30">
        <f t="shared" si="1"/>
        <v>0</v>
      </c>
      <c r="J391" s="29">
        <f t="shared" si="2"/>
        <v>64</v>
      </c>
      <c r="K391" s="25" t="str">
        <f t="shared" si="3"/>
        <v>Paid</v>
      </c>
      <c r="L391" s="25" t="str">
        <f t="shared" si="4"/>
        <v>Closed</v>
      </c>
      <c r="M391" s="30" t="str">
        <f t="shared" si="5"/>
        <v>No</v>
      </c>
    </row>
    <row r="392" ht="15.75" customHeight="1">
      <c r="A392" s="53" t="s">
        <v>1603</v>
      </c>
      <c r="B392" s="53" t="s">
        <v>357</v>
      </c>
      <c r="C392" s="53" t="s">
        <v>299</v>
      </c>
      <c r="D392" s="54">
        <v>46078.0</v>
      </c>
      <c r="E392" s="54">
        <v>46108.0</v>
      </c>
      <c r="F392" s="55">
        <v>348.12</v>
      </c>
      <c r="G392" s="54">
        <v>46109.0</v>
      </c>
      <c r="H392" s="55">
        <v>348.12</v>
      </c>
      <c r="I392" s="55">
        <f t="shared" si="1"/>
        <v>0</v>
      </c>
      <c r="J392" s="56">
        <f t="shared" si="2"/>
        <v>50</v>
      </c>
      <c r="K392" s="53" t="str">
        <f t="shared" si="3"/>
        <v>Paid</v>
      </c>
      <c r="L392" s="53" t="str">
        <f t="shared" si="4"/>
        <v>Closed</v>
      </c>
      <c r="M392" s="55" t="str">
        <f t="shared" si="5"/>
        <v>No</v>
      </c>
    </row>
    <row r="393" ht="15.75" customHeight="1">
      <c r="A393" s="25" t="s">
        <v>1604</v>
      </c>
      <c r="B393" s="25" t="s">
        <v>1010</v>
      </c>
      <c r="C393" s="25" t="s">
        <v>965</v>
      </c>
      <c r="D393" s="26">
        <v>46059.0</v>
      </c>
      <c r="E393" s="26">
        <v>46104.0</v>
      </c>
      <c r="F393" s="30">
        <v>910.8</v>
      </c>
      <c r="G393" s="26">
        <v>46118.0</v>
      </c>
      <c r="H393" s="30">
        <v>910.8</v>
      </c>
      <c r="I393" s="30">
        <f t="shared" si="1"/>
        <v>0</v>
      </c>
      <c r="J393" s="29">
        <f t="shared" si="2"/>
        <v>54</v>
      </c>
      <c r="K393" s="25" t="str">
        <f t="shared" si="3"/>
        <v>Paid</v>
      </c>
      <c r="L393" s="25" t="str">
        <f t="shared" si="4"/>
        <v>Closed</v>
      </c>
      <c r="M393" s="30" t="str">
        <f t="shared" si="5"/>
        <v>No</v>
      </c>
    </row>
    <row r="394" ht="15.75" customHeight="1">
      <c r="A394" s="53" t="s">
        <v>1605</v>
      </c>
      <c r="B394" s="53" t="s">
        <v>222</v>
      </c>
      <c r="C394" s="53" t="s">
        <v>164</v>
      </c>
      <c r="D394" s="54">
        <v>46060.0</v>
      </c>
      <c r="E394" s="54">
        <v>46090.0</v>
      </c>
      <c r="F394" s="55">
        <v>228.6</v>
      </c>
      <c r="G394" s="54">
        <v>46103.0</v>
      </c>
      <c r="H394" s="55">
        <v>228.6</v>
      </c>
      <c r="I394" s="55">
        <f t="shared" si="1"/>
        <v>0</v>
      </c>
      <c r="J394" s="56">
        <f t="shared" si="2"/>
        <v>68</v>
      </c>
      <c r="K394" s="53" t="str">
        <f t="shared" si="3"/>
        <v>Paid</v>
      </c>
      <c r="L394" s="53" t="str">
        <f t="shared" si="4"/>
        <v>Closed</v>
      </c>
      <c r="M394" s="55" t="str">
        <f t="shared" si="5"/>
        <v>No</v>
      </c>
    </row>
    <row r="395" ht="15.75" customHeight="1">
      <c r="A395" s="25" t="s">
        <v>1606</v>
      </c>
      <c r="B395" s="25" t="s">
        <v>1155</v>
      </c>
      <c r="C395" s="25" t="s">
        <v>1124</v>
      </c>
      <c r="D395" s="26">
        <v>46086.0</v>
      </c>
      <c r="E395" s="26">
        <v>46101.0</v>
      </c>
      <c r="F395" s="30">
        <v>1162.8</v>
      </c>
      <c r="G395" s="26">
        <v>46096.0</v>
      </c>
      <c r="H395" s="30">
        <v>1162.8</v>
      </c>
      <c r="I395" s="30">
        <f t="shared" si="1"/>
        <v>0</v>
      </c>
      <c r="J395" s="29">
        <f t="shared" si="2"/>
        <v>57</v>
      </c>
      <c r="K395" s="25" t="str">
        <f t="shared" si="3"/>
        <v>Paid</v>
      </c>
      <c r="L395" s="25" t="str">
        <f t="shared" si="4"/>
        <v>Closed</v>
      </c>
      <c r="M395" s="30" t="str">
        <f t="shared" si="5"/>
        <v>No</v>
      </c>
    </row>
    <row r="396" ht="15.75" customHeight="1">
      <c r="A396" s="53" t="s">
        <v>1607</v>
      </c>
      <c r="B396" s="53" t="s">
        <v>498</v>
      </c>
      <c r="C396" s="53" t="s">
        <v>452</v>
      </c>
      <c r="D396" s="54">
        <v>46045.0</v>
      </c>
      <c r="E396" s="54">
        <v>46075.0</v>
      </c>
      <c r="F396" s="55">
        <v>914.88</v>
      </c>
      <c r="G396" s="54">
        <v>46085.0</v>
      </c>
      <c r="H396" s="55">
        <v>914.88</v>
      </c>
      <c r="I396" s="55">
        <f t="shared" si="1"/>
        <v>0</v>
      </c>
      <c r="J396" s="56">
        <f t="shared" si="2"/>
        <v>83</v>
      </c>
      <c r="K396" s="53" t="str">
        <f t="shared" si="3"/>
        <v>Paid</v>
      </c>
      <c r="L396" s="53" t="str">
        <f t="shared" si="4"/>
        <v>Closed</v>
      </c>
      <c r="M396" s="55" t="str">
        <f t="shared" si="5"/>
        <v>No</v>
      </c>
    </row>
    <row r="397" ht="15.75" customHeight="1">
      <c r="A397" s="25" t="s">
        <v>1608</v>
      </c>
      <c r="B397" s="25" t="s">
        <v>358</v>
      </c>
      <c r="C397" s="25" t="s">
        <v>295</v>
      </c>
      <c r="D397" s="26">
        <v>46136.0</v>
      </c>
      <c r="E397" s="26">
        <v>46166.0</v>
      </c>
      <c r="F397" s="30">
        <v>194.22</v>
      </c>
      <c r="G397" s="26">
        <v>46164.0</v>
      </c>
      <c r="H397" s="30">
        <v>194.22</v>
      </c>
      <c r="I397" s="30">
        <f t="shared" si="1"/>
        <v>0</v>
      </c>
      <c r="J397" s="29">
        <f t="shared" si="2"/>
        <v>0</v>
      </c>
      <c r="K397" s="25" t="str">
        <f t="shared" si="3"/>
        <v>Paid</v>
      </c>
      <c r="L397" s="25" t="str">
        <f t="shared" si="4"/>
        <v>Closed</v>
      </c>
      <c r="M397" s="30" t="str">
        <f t="shared" si="5"/>
        <v>No</v>
      </c>
    </row>
    <row r="398" ht="15.75" customHeight="1">
      <c r="A398" s="53" t="s">
        <v>1609</v>
      </c>
      <c r="B398" s="53" t="s">
        <v>359</v>
      </c>
      <c r="C398" s="53" t="s">
        <v>295</v>
      </c>
      <c r="D398" s="54">
        <v>46092.0</v>
      </c>
      <c r="E398" s="54">
        <v>46137.0</v>
      </c>
      <c r="F398" s="55">
        <v>184.08</v>
      </c>
      <c r="G398" s="54">
        <v>46166.0</v>
      </c>
      <c r="H398" s="55">
        <v>184.08</v>
      </c>
      <c r="I398" s="55">
        <f t="shared" si="1"/>
        <v>0</v>
      </c>
      <c r="J398" s="56">
        <f t="shared" si="2"/>
        <v>21</v>
      </c>
      <c r="K398" s="53" t="str">
        <f t="shared" si="3"/>
        <v>Paid</v>
      </c>
      <c r="L398" s="53" t="str">
        <f t="shared" si="4"/>
        <v>Closed</v>
      </c>
      <c r="M398" s="55" t="str">
        <f t="shared" si="5"/>
        <v>No</v>
      </c>
    </row>
    <row r="399" ht="15.75" customHeight="1">
      <c r="A399" s="25" t="s">
        <v>1610</v>
      </c>
      <c r="B399" s="25" t="s">
        <v>1011</v>
      </c>
      <c r="C399" s="25" t="s">
        <v>999</v>
      </c>
      <c r="D399" s="26">
        <v>46072.0</v>
      </c>
      <c r="E399" s="26">
        <v>46087.0</v>
      </c>
      <c r="F399" s="30">
        <v>1262.4</v>
      </c>
      <c r="G399" s="26">
        <v>46107.0</v>
      </c>
      <c r="H399" s="30">
        <v>1262.4</v>
      </c>
      <c r="I399" s="30">
        <f t="shared" si="1"/>
        <v>0</v>
      </c>
      <c r="J399" s="29">
        <f t="shared" si="2"/>
        <v>71</v>
      </c>
      <c r="K399" s="25" t="str">
        <f t="shared" si="3"/>
        <v>Paid</v>
      </c>
      <c r="L399" s="25" t="str">
        <f t="shared" si="4"/>
        <v>Closed</v>
      </c>
      <c r="M399" s="30" t="str">
        <f t="shared" si="5"/>
        <v>No</v>
      </c>
    </row>
    <row r="400" ht="15.75" customHeight="1">
      <c r="A400" s="53" t="s">
        <v>1611</v>
      </c>
      <c r="B400" s="53" t="s">
        <v>223</v>
      </c>
      <c r="C400" s="53" t="s">
        <v>198</v>
      </c>
      <c r="D400" s="54">
        <v>46141.0</v>
      </c>
      <c r="E400" s="54">
        <v>46171.0</v>
      </c>
      <c r="F400" s="55">
        <v>674.88</v>
      </c>
      <c r="G400" s="54">
        <v>46215.0</v>
      </c>
      <c r="H400" s="55">
        <v>674.88</v>
      </c>
      <c r="I400" s="55">
        <f t="shared" si="1"/>
        <v>0</v>
      </c>
      <c r="J400" s="56">
        <f t="shared" si="2"/>
        <v>0</v>
      </c>
      <c r="K400" s="53" t="str">
        <f t="shared" si="3"/>
        <v>Paid</v>
      </c>
      <c r="L400" s="53" t="str">
        <f t="shared" si="4"/>
        <v>Closed</v>
      </c>
      <c r="M400" s="55" t="str">
        <f t="shared" si="5"/>
        <v>No</v>
      </c>
    </row>
    <row r="401" ht="15.75" customHeight="1">
      <c r="A401" s="25" t="s">
        <v>1612</v>
      </c>
      <c r="B401" s="25" t="s">
        <v>898</v>
      </c>
      <c r="C401" s="25" t="s">
        <v>882</v>
      </c>
      <c r="D401" s="26">
        <v>46037.0</v>
      </c>
      <c r="E401" s="26">
        <v>46067.0</v>
      </c>
      <c r="F401" s="30">
        <v>217.5</v>
      </c>
      <c r="G401" s="26">
        <v>46106.0</v>
      </c>
      <c r="H401" s="30">
        <v>217.5</v>
      </c>
      <c r="I401" s="30">
        <f t="shared" si="1"/>
        <v>0</v>
      </c>
      <c r="J401" s="29">
        <f t="shared" si="2"/>
        <v>91</v>
      </c>
      <c r="K401" s="25" t="str">
        <f t="shared" si="3"/>
        <v>Paid</v>
      </c>
      <c r="L401" s="25" t="str">
        <f t="shared" si="4"/>
        <v>Closed</v>
      </c>
      <c r="M401" s="30" t="str">
        <f t="shared" si="5"/>
        <v>No</v>
      </c>
    </row>
    <row r="402" ht="15.75" customHeight="1">
      <c r="A402" s="53" t="s">
        <v>1613</v>
      </c>
      <c r="B402" s="53" t="s">
        <v>224</v>
      </c>
      <c r="C402" s="53" t="s">
        <v>177</v>
      </c>
      <c r="D402" s="54">
        <v>46057.0</v>
      </c>
      <c r="E402" s="54">
        <v>46087.0</v>
      </c>
      <c r="F402" s="55">
        <v>573.84</v>
      </c>
      <c r="G402" s="54">
        <v>46116.0</v>
      </c>
      <c r="H402" s="55">
        <v>573.84</v>
      </c>
      <c r="I402" s="55">
        <f t="shared" si="1"/>
        <v>0</v>
      </c>
      <c r="J402" s="56">
        <f t="shared" si="2"/>
        <v>71</v>
      </c>
      <c r="K402" s="53" t="str">
        <f t="shared" si="3"/>
        <v>Paid</v>
      </c>
      <c r="L402" s="53" t="str">
        <f t="shared" si="4"/>
        <v>Closed</v>
      </c>
      <c r="M402" s="55" t="str">
        <f t="shared" si="5"/>
        <v>No</v>
      </c>
    </row>
    <row r="403" ht="15.75" customHeight="1">
      <c r="A403" s="25" t="s">
        <v>1614</v>
      </c>
      <c r="B403" s="25" t="s">
        <v>225</v>
      </c>
      <c r="C403" s="25" t="s">
        <v>226</v>
      </c>
      <c r="D403" s="26">
        <v>46123.0</v>
      </c>
      <c r="E403" s="26">
        <v>46138.0</v>
      </c>
      <c r="F403" s="30">
        <v>652.8</v>
      </c>
      <c r="G403" s="26">
        <v>46131.0</v>
      </c>
      <c r="H403" s="30">
        <v>652.8</v>
      </c>
      <c r="I403" s="30">
        <f t="shared" si="1"/>
        <v>0</v>
      </c>
      <c r="J403" s="29">
        <f t="shared" si="2"/>
        <v>20</v>
      </c>
      <c r="K403" s="25" t="str">
        <f t="shared" si="3"/>
        <v>Paid</v>
      </c>
      <c r="L403" s="25" t="str">
        <f t="shared" si="4"/>
        <v>Closed</v>
      </c>
      <c r="M403" s="30" t="str">
        <f t="shared" si="5"/>
        <v>No</v>
      </c>
    </row>
    <row r="404" ht="15.75" customHeight="1">
      <c r="A404" s="53" t="s">
        <v>1615</v>
      </c>
      <c r="B404" s="53" t="s">
        <v>780</v>
      </c>
      <c r="C404" s="53" t="s">
        <v>702</v>
      </c>
      <c r="D404" s="54">
        <v>46111.0</v>
      </c>
      <c r="E404" s="54">
        <v>46141.0</v>
      </c>
      <c r="F404" s="55">
        <v>273.6</v>
      </c>
      <c r="G404" s="54">
        <v>46170.0</v>
      </c>
      <c r="H404" s="55">
        <v>273.6</v>
      </c>
      <c r="I404" s="55">
        <f t="shared" si="1"/>
        <v>0</v>
      </c>
      <c r="J404" s="56">
        <f t="shared" si="2"/>
        <v>17</v>
      </c>
      <c r="K404" s="53" t="str">
        <f t="shared" si="3"/>
        <v>Paid</v>
      </c>
      <c r="L404" s="53" t="str">
        <f t="shared" si="4"/>
        <v>Closed</v>
      </c>
      <c r="M404" s="55" t="str">
        <f t="shared" si="5"/>
        <v>No</v>
      </c>
    </row>
    <row r="405" ht="15.75" customHeight="1">
      <c r="A405" s="25" t="s">
        <v>1616</v>
      </c>
      <c r="B405" s="25" t="s">
        <v>612</v>
      </c>
      <c r="C405" s="25" t="s">
        <v>573</v>
      </c>
      <c r="D405" s="26">
        <v>46048.0</v>
      </c>
      <c r="E405" s="26">
        <v>46093.0</v>
      </c>
      <c r="F405" s="30">
        <v>546.24</v>
      </c>
      <c r="G405" s="26">
        <v>46104.0</v>
      </c>
      <c r="H405" s="30">
        <v>546.24</v>
      </c>
      <c r="I405" s="30">
        <f t="shared" si="1"/>
        <v>0</v>
      </c>
      <c r="J405" s="29">
        <f t="shared" si="2"/>
        <v>65</v>
      </c>
      <c r="K405" s="25" t="str">
        <f t="shared" si="3"/>
        <v>Paid</v>
      </c>
      <c r="L405" s="25" t="str">
        <f t="shared" si="4"/>
        <v>Closed</v>
      </c>
      <c r="M405" s="30" t="str">
        <f t="shared" si="5"/>
        <v>No</v>
      </c>
    </row>
    <row r="406" ht="15.75" customHeight="1">
      <c r="A406" s="53" t="s">
        <v>1617</v>
      </c>
      <c r="B406" s="53" t="s">
        <v>781</v>
      </c>
      <c r="C406" s="53" t="s">
        <v>741</v>
      </c>
      <c r="D406" s="54">
        <v>46052.0</v>
      </c>
      <c r="E406" s="54">
        <v>46067.0</v>
      </c>
      <c r="F406" s="55">
        <v>253.92</v>
      </c>
      <c r="G406" s="54">
        <v>46093.0</v>
      </c>
      <c r="H406" s="55">
        <v>253.92</v>
      </c>
      <c r="I406" s="55">
        <f t="shared" si="1"/>
        <v>0</v>
      </c>
      <c r="J406" s="56">
        <f t="shared" si="2"/>
        <v>91</v>
      </c>
      <c r="K406" s="53" t="str">
        <f t="shared" si="3"/>
        <v>Paid</v>
      </c>
      <c r="L406" s="53" t="str">
        <f t="shared" si="4"/>
        <v>Closed</v>
      </c>
      <c r="M406" s="55" t="str">
        <f t="shared" si="5"/>
        <v>No</v>
      </c>
    </row>
    <row r="407" ht="15.75" customHeight="1">
      <c r="A407" s="25" t="s">
        <v>1618</v>
      </c>
      <c r="B407" s="25" t="s">
        <v>227</v>
      </c>
      <c r="C407" s="25" t="s">
        <v>174</v>
      </c>
      <c r="D407" s="26">
        <v>46106.0</v>
      </c>
      <c r="E407" s="26">
        <v>46151.0</v>
      </c>
      <c r="F407" s="30">
        <v>47.4</v>
      </c>
      <c r="G407" s="26">
        <v>46179.0</v>
      </c>
      <c r="H407" s="30">
        <v>47.4</v>
      </c>
      <c r="I407" s="30">
        <f t="shared" si="1"/>
        <v>0</v>
      </c>
      <c r="J407" s="29">
        <f t="shared" si="2"/>
        <v>7</v>
      </c>
      <c r="K407" s="25" t="str">
        <f t="shared" si="3"/>
        <v>Paid</v>
      </c>
      <c r="L407" s="25" t="str">
        <f t="shared" si="4"/>
        <v>Closed</v>
      </c>
      <c r="M407" s="30" t="str">
        <f t="shared" si="5"/>
        <v>No</v>
      </c>
    </row>
    <row r="408" ht="15.75" customHeight="1">
      <c r="A408" s="53" t="s">
        <v>1619</v>
      </c>
      <c r="B408" s="53" t="s">
        <v>361</v>
      </c>
      <c r="C408" s="53" t="s">
        <v>314</v>
      </c>
      <c r="D408" s="54">
        <v>46139.0</v>
      </c>
      <c r="E408" s="54">
        <v>46169.0</v>
      </c>
      <c r="F408" s="55">
        <v>92.88</v>
      </c>
      <c r="G408" s="54"/>
      <c r="H408" s="55">
        <v>0.0</v>
      </c>
      <c r="I408" s="55">
        <f t="shared" si="1"/>
        <v>92.88</v>
      </c>
      <c r="J408" s="56">
        <f t="shared" si="2"/>
        <v>0</v>
      </c>
      <c r="K408" s="53" t="str">
        <f t="shared" si="3"/>
        <v>0-30</v>
      </c>
      <c r="L408" s="53" t="str">
        <f t="shared" si="4"/>
        <v>Current</v>
      </c>
      <c r="M408" s="55" t="str">
        <f t="shared" si="5"/>
        <v>No</v>
      </c>
    </row>
    <row r="409" ht="15.75" customHeight="1">
      <c r="A409" s="25" t="s">
        <v>1620</v>
      </c>
      <c r="B409" s="25" t="s">
        <v>362</v>
      </c>
      <c r="C409" s="25" t="s">
        <v>305</v>
      </c>
      <c r="D409" s="26">
        <v>46098.0</v>
      </c>
      <c r="E409" s="26">
        <v>46128.0</v>
      </c>
      <c r="F409" s="30">
        <v>501.6</v>
      </c>
      <c r="G409" s="26">
        <v>46122.0</v>
      </c>
      <c r="H409" s="30">
        <v>501.6</v>
      </c>
      <c r="I409" s="30">
        <f t="shared" si="1"/>
        <v>0</v>
      </c>
      <c r="J409" s="29">
        <f t="shared" si="2"/>
        <v>30</v>
      </c>
      <c r="K409" s="25" t="str">
        <f t="shared" si="3"/>
        <v>Paid</v>
      </c>
      <c r="L409" s="25" t="str">
        <f t="shared" si="4"/>
        <v>Closed</v>
      </c>
      <c r="M409" s="30" t="str">
        <f t="shared" si="5"/>
        <v>No</v>
      </c>
    </row>
    <row r="410" ht="15.75" customHeight="1">
      <c r="A410" s="53" t="s">
        <v>1621</v>
      </c>
      <c r="B410" s="53" t="s">
        <v>1012</v>
      </c>
      <c r="C410" s="53" t="s">
        <v>961</v>
      </c>
      <c r="D410" s="54">
        <v>46122.0</v>
      </c>
      <c r="E410" s="54">
        <v>46152.0</v>
      </c>
      <c r="F410" s="55">
        <v>767.52</v>
      </c>
      <c r="G410" s="54">
        <v>46181.0</v>
      </c>
      <c r="H410" s="55">
        <v>767.52</v>
      </c>
      <c r="I410" s="55">
        <f t="shared" si="1"/>
        <v>0</v>
      </c>
      <c r="J410" s="56">
        <f t="shared" si="2"/>
        <v>6</v>
      </c>
      <c r="K410" s="53" t="str">
        <f t="shared" si="3"/>
        <v>Paid</v>
      </c>
      <c r="L410" s="53" t="str">
        <f t="shared" si="4"/>
        <v>Closed</v>
      </c>
      <c r="M410" s="55" t="str">
        <f t="shared" si="5"/>
        <v>No</v>
      </c>
    </row>
    <row r="411" ht="15.75" customHeight="1">
      <c r="A411" s="25" t="s">
        <v>1622</v>
      </c>
      <c r="B411" s="25" t="s">
        <v>1013</v>
      </c>
      <c r="C411" s="25" t="s">
        <v>965</v>
      </c>
      <c r="D411" s="26">
        <v>46139.0</v>
      </c>
      <c r="E411" s="26">
        <v>46169.0</v>
      </c>
      <c r="F411" s="30">
        <v>218.1</v>
      </c>
      <c r="G411" s="26"/>
      <c r="H411" s="30">
        <v>0.0</v>
      </c>
      <c r="I411" s="30">
        <f t="shared" si="1"/>
        <v>218.1</v>
      </c>
      <c r="J411" s="29">
        <f t="shared" si="2"/>
        <v>0</v>
      </c>
      <c r="K411" s="25" t="str">
        <f t="shared" si="3"/>
        <v>0-30</v>
      </c>
      <c r="L411" s="25" t="str">
        <f t="shared" si="4"/>
        <v>Current</v>
      </c>
      <c r="M411" s="30" t="str">
        <f t="shared" si="5"/>
        <v>No</v>
      </c>
    </row>
    <row r="412" ht="15.75" customHeight="1">
      <c r="A412" s="53" t="s">
        <v>1623</v>
      </c>
      <c r="B412" s="53" t="s">
        <v>228</v>
      </c>
      <c r="C412" s="53" t="s">
        <v>170</v>
      </c>
      <c r="D412" s="54">
        <v>46085.0</v>
      </c>
      <c r="E412" s="54">
        <v>46130.0</v>
      </c>
      <c r="F412" s="55">
        <v>358.92</v>
      </c>
      <c r="G412" s="54">
        <v>46143.0</v>
      </c>
      <c r="H412" s="55">
        <v>358.92</v>
      </c>
      <c r="I412" s="55">
        <f t="shared" si="1"/>
        <v>0</v>
      </c>
      <c r="J412" s="56">
        <f t="shared" si="2"/>
        <v>28</v>
      </c>
      <c r="K412" s="53" t="str">
        <f t="shared" si="3"/>
        <v>Paid</v>
      </c>
      <c r="L412" s="53" t="str">
        <f t="shared" si="4"/>
        <v>Closed</v>
      </c>
      <c r="M412" s="55" t="str">
        <f t="shared" si="5"/>
        <v>No</v>
      </c>
    </row>
    <row r="413" ht="15.75" customHeight="1">
      <c r="A413" s="25" t="s">
        <v>1624</v>
      </c>
      <c r="B413" s="25" t="s">
        <v>613</v>
      </c>
      <c r="C413" s="25" t="s">
        <v>561</v>
      </c>
      <c r="D413" s="26">
        <v>46119.0</v>
      </c>
      <c r="E413" s="26">
        <v>46164.0</v>
      </c>
      <c r="F413" s="30">
        <v>331.47</v>
      </c>
      <c r="G413" s="26">
        <v>46188.0</v>
      </c>
      <c r="H413" s="30">
        <v>331.47</v>
      </c>
      <c r="I413" s="30">
        <f t="shared" si="1"/>
        <v>0</v>
      </c>
      <c r="J413" s="29">
        <f t="shared" si="2"/>
        <v>0</v>
      </c>
      <c r="K413" s="25" t="str">
        <f t="shared" si="3"/>
        <v>Paid</v>
      </c>
      <c r="L413" s="25" t="str">
        <f t="shared" si="4"/>
        <v>Closed</v>
      </c>
      <c r="M413" s="30" t="str">
        <f t="shared" si="5"/>
        <v>No</v>
      </c>
    </row>
    <row r="414" ht="15.75" customHeight="1">
      <c r="A414" s="53" t="s">
        <v>1625</v>
      </c>
      <c r="B414" s="53" t="s">
        <v>1105</v>
      </c>
      <c r="C414" s="53" t="s">
        <v>1081</v>
      </c>
      <c r="D414" s="54">
        <v>46129.0</v>
      </c>
      <c r="E414" s="54">
        <v>46174.0</v>
      </c>
      <c r="F414" s="55">
        <v>42.06</v>
      </c>
      <c r="G414" s="54">
        <v>46193.0</v>
      </c>
      <c r="H414" s="55">
        <v>42.06</v>
      </c>
      <c r="I414" s="55">
        <f t="shared" si="1"/>
        <v>0</v>
      </c>
      <c r="J414" s="56">
        <f t="shared" si="2"/>
        <v>0</v>
      </c>
      <c r="K414" s="53" t="str">
        <f t="shared" si="3"/>
        <v>Paid</v>
      </c>
      <c r="L414" s="53" t="str">
        <f t="shared" si="4"/>
        <v>Closed</v>
      </c>
      <c r="M414" s="55" t="str">
        <f t="shared" si="5"/>
        <v>No</v>
      </c>
    </row>
    <row r="415" ht="15.75" customHeight="1">
      <c r="A415" s="25" t="s">
        <v>1626</v>
      </c>
      <c r="B415" s="25" t="s">
        <v>124</v>
      </c>
      <c r="C415" s="25" t="s">
        <v>83</v>
      </c>
      <c r="D415" s="26">
        <v>46066.0</v>
      </c>
      <c r="E415" s="26">
        <v>46096.0</v>
      </c>
      <c r="F415" s="30">
        <v>919.62</v>
      </c>
      <c r="G415" s="26"/>
      <c r="H415" s="30">
        <v>0.0</v>
      </c>
      <c r="I415" s="30">
        <f t="shared" si="1"/>
        <v>919.62</v>
      </c>
      <c r="J415" s="29">
        <f t="shared" si="2"/>
        <v>62</v>
      </c>
      <c r="K415" s="25" t="str">
        <f t="shared" si="3"/>
        <v>61-90</v>
      </c>
      <c r="L415" s="25" t="str">
        <f t="shared" si="4"/>
        <v>Collections Review</v>
      </c>
      <c r="M415" s="30" t="str">
        <f t="shared" si="5"/>
        <v>Yes</v>
      </c>
    </row>
    <row r="416" ht="15.75" customHeight="1">
      <c r="A416" s="53" t="s">
        <v>1627</v>
      </c>
      <c r="B416" s="53" t="s">
        <v>899</v>
      </c>
      <c r="C416" s="53" t="s">
        <v>855</v>
      </c>
      <c r="D416" s="54">
        <v>46081.0</v>
      </c>
      <c r="E416" s="54">
        <v>46096.0</v>
      </c>
      <c r="F416" s="55">
        <v>368.28</v>
      </c>
      <c r="G416" s="54">
        <v>46090.0</v>
      </c>
      <c r="H416" s="55">
        <v>368.28</v>
      </c>
      <c r="I416" s="55">
        <f t="shared" si="1"/>
        <v>0</v>
      </c>
      <c r="J416" s="56">
        <f t="shared" si="2"/>
        <v>62</v>
      </c>
      <c r="K416" s="53" t="str">
        <f t="shared" si="3"/>
        <v>Paid</v>
      </c>
      <c r="L416" s="53" t="str">
        <f t="shared" si="4"/>
        <v>Closed</v>
      </c>
      <c r="M416" s="55" t="str">
        <f t="shared" si="5"/>
        <v>No</v>
      </c>
    </row>
    <row r="417" ht="15.75" customHeight="1">
      <c r="A417" s="25" t="s">
        <v>1628</v>
      </c>
      <c r="B417" s="25" t="s">
        <v>1014</v>
      </c>
      <c r="C417" s="25" t="s">
        <v>963</v>
      </c>
      <c r="D417" s="26">
        <v>46051.0</v>
      </c>
      <c r="E417" s="26">
        <v>46081.0</v>
      </c>
      <c r="F417" s="30">
        <v>755.52</v>
      </c>
      <c r="G417" s="26">
        <v>46114.0</v>
      </c>
      <c r="H417" s="30">
        <v>755.52</v>
      </c>
      <c r="I417" s="30">
        <f t="shared" si="1"/>
        <v>0</v>
      </c>
      <c r="J417" s="29">
        <f t="shared" si="2"/>
        <v>77</v>
      </c>
      <c r="K417" s="25" t="str">
        <f t="shared" si="3"/>
        <v>Paid</v>
      </c>
      <c r="L417" s="25" t="str">
        <f t="shared" si="4"/>
        <v>Closed</v>
      </c>
      <c r="M417" s="30" t="str">
        <f t="shared" si="5"/>
        <v>No</v>
      </c>
    </row>
    <row r="418" ht="15.75" customHeight="1">
      <c r="A418" s="53" t="s">
        <v>1629</v>
      </c>
      <c r="B418" s="53" t="s">
        <v>125</v>
      </c>
      <c r="C418" s="53" t="s">
        <v>83</v>
      </c>
      <c r="D418" s="54">
        <v>46137.0</v>
      </c>
      <c r="E418" s="54">
        <v>46167.0</v>
      </c>
      <c r="F418" s="55">
        <v>134.76</v>
      </c>
      <c r="G418" s="54">
        <v>46161.0</v>
      </c>
      <c r="H418" s="55">
        <v>134.76</v>
      </c>
      <c r="I418" s="55">
        <f t="shared" si="1"/>
        <v>0</v>
      </c>
      <c r="J418" s="56">
        <f t="shared" si="2"/>
        <v>0</v>
      </c>
      <c r="K418" s="53" t="str">
        <f t="shared" si="3"/>
        <v>Paid</v>
      </c>
      <c r="L418" s="53" t="str">
        <f t="shared" si="4"/>
        <v>Closed</v>
      </c>
      <c r="M418" s="55" t="str">
        <f t="shared" si="5"/>
        <v>No</v>
      </c>
    </row>
    <row r="419" ht="15.75" customHeight="1">
      <c r="A419" s="25" t="s">
        <v>1630</v>
      </c>
      <c r="B419" s="25" t="s">
        <v>900</v>
      </c>
      <c r="C419" s="25" t="s">
        <v>873</v>
      </c>
      <c r="D419" s="26">
        <v>46088.0</v>
      </c>
      <c r="E419" s="26">
        <v>46133.0</v>
      </c>
      <c r="F419" s="30">
        <v>1288.8</v>
      </c>
      <c r="G419" s="26"/>
      <c r="H419" s="30">
        <v>0.0</v>
      </c>
      <c r="I419" s="30">
        <f t="shared" si="1"/>
        <v>1288.8</v>
      </c>
      <c r="J419" s="29">
        <f t="shared" si="2"/>
        <v>25</v>
      </c>
      <c r="K419" s="25" t="str">
        <f t="shared" si="3"/>
        <v>0-30</v>
      </c>
      <c r="L419" s="25" t="str">
        <f t="shared" si="4"/>
        <v>Current</v>
      </c>
      <c r="M419" s="30" t="str">
        <f t="shared" si="5"/>
        <v>No</v>
      </c>
    </row>
    <row r="420" ht="15.75" customHeight="1">
      <c r="A420" s="53" t="s">
        <v>1631</v>
      </c>
      <c r="B420" s="53" t="s">
        <v>782</v>
      </c>
      <c r="C420" s="53" t="s">
        <v>733</v>
      </c>
      <c r="D420" s="54">
        <v>46119.0</v>
      </c>
      <c r="E420" s="54">
        <v>46164.0</v>
      </c>
      <c r="F420" s="55">
        <v>348.46</v>
      </c>
      <c r="G420" s="54"/>
      <c r="H420" s="55">
        <v>0.0</v>
      </c>
      <c r="I420" s="55">
        <f t="shared" si="1"/>
        <v>348.46</v>
      </c>
      <c r="J420" s="56">
        <f t="shared" si="2"/>
        <v>0</v>
      </c>
      <c r="K420" s="53" t="str">
        <f t="shared" si="3"/>
        <v>0-30</v>
      </c>
      <c r="L420" s="53" t="str">
        <f t="shared" si="4"/>
        <v>Current</v>
      </c>
      <c r="M420" s="55" t="str">
        <f t="shared" si="5"/>
        <v>No</v>
      </c>
    </row>
    <row r="421" ht="15.75" customHeight="1">
      <c r="A421" s="25" t="s">
        <v>1632</v>
      </c>
      <c r="B421" s="25" t="s">
        <v>499</v>
      </c>
      <c r="C421" s="25" t="s">
        <v>469</v>
      </c>
      <c r="D421" s="26">
        <v>46053.0</v>
      </c>
      <c r="E421" s="26">
        <v>46083.0</v>
      </c>
      <c r="F421" s="30">
        <v>0.0</v>
      </c>
      <c r="G421" s="26"/>
      <c r="H421" s="30">
        <v>0.0</v>
      </c>
      <c r="I421" s="30">
        <f t="shared" si="1"/>
        <v>0</v>
      </c>
      <c r="J421" s="29">
        <f t="shared" si="2"/>
        <v>75</v>
      </c>
      <c r="K421" s="25" t="str">
        <f t="shared" si="3"/>
        <v>Paid</v>
      </c>
      <c r="L421" s="25" t="str">
        <f t="shared" si="4"/>
        <v>Closed</v>
      </c>
      <c r="M421" s="30" t="str">
        <f t="shared" si="5"/>
        <v>No</v>
      </c>
    </row>
    <row r="422" ht="15.75" customHeight="1">
      <c r="A422" s="53" t="s">
        <v>1633</v>
      </c>
      <c r="B422" s="53" t="s">
        <v>229</v>
      </c>
      <c r="C422" s="53" t="s">
        <v>174</v>
      </c>
      <c r="D422" s="54">
        <v>46045.0</v>
      </c>
      <c r="E422" s="54">
        <v>46090.0</v>
      </c>
      <c r="F422" s="55">
        <v>453.12</v>
      </c>
      <c r="G422" s="54">
        <v>46129.0</v>
      </c>
      <c r="H422" s="55">
        <v>453.12</v>
      </c>
      <c r="I422" s="55">
        <f t="shared" si="1"/>
        <v>0</v>
      </c>
      <c r="J422" s="56">
        <f t="shared" si="2"/>
        <v>68</v>
      </c>
      <c r="K422" s="53" t="str">
        <f t="shared" si="3"/>
        <v>Paid</v>
      </c>
      <c r="L422" s="53" t="str">
        <f t="shared" si="4"/>
        <v>Closed</v>
      </c>
      <c r="M422" s="55" t="str">
        <f t="shared" si="5"/>
        <v>No</v>
      </c>
    </row>
    <row r="423" ht="15.75" customHeight="1">
      <c r="A423" s="25" t="s">
        <v>1634</v>
      </c>
      <c r="B423" s="25" t="s">
        <v>901</v>
      </c>
      <c r="C423" s="25" t="s">
        <v>857</v>
      </c>
      <c r="D423" s="26">
        <v>46048.0</v>
      </c>
      <c r="E423" s="26">
        <v>46078.0</v>
      </c>
      <c r="F423" s="30">
        <v>337.8</v>
      </c>
      <c r="G423" s="26">
        <v>46121.0</v>
      </c>
      <c r="H423" s="30">
        <v>337.8</v>
      </c>
      <c r="I423" s="30">
        <f t="shared" si="1"/>
        <v>0</v>
      </c>
      <c r="J423" s="29">
        <f t="shared" si="2"/>
        <v>80</v>
      </c>
      <c r="K423" s="25" t="str">
        <f t="shared" si="3"/>
        <v>Paid</v>
      </c>
      <c r="L423" s="25" t="str">
        <f t="shared" si="4"/>
        <v>Closed</v>
      </c>
      <c r="M423" s="30" t="str">
        <f t="shared" si="5"/>
        <v>No</v>
      </c>
    </row>
    <row r="424" ht="15.75" customHeight="1">
      <c r="A424" s="53" t="s">
        <v>1635</v>
      </c>
      <c r="B424" s="53" t="s">
        <v>783</v>
      </c>
      <c r="C424" s="53" t="s">
        <v>706</v>
      </c>
      <c r="D424" s="54">
        <v>46106.0</v>
      </c>
      <c r="E424" s="54">
        <v>46151.0</v>
      </c>
      <c r="F424" s="55">
        <v>191.7</v>
      </c>
      <c r="G424" s="54">
        <v>46175.0</v>
      </c>
      <c r="H424" s="55">
        <v>85.89</v>
      </c>
      <c r="I424" s="55">
        <f t="shared" si="1"/>
        <v>105.81</v>
      </c>
      <c r="J424" s="56">
        <f t="shared" si="2"/>
        <v>7</v>
      </c>
      <c r="K424" s="53" t="str">
        <f t="shared" si="3"/>
        <v>0-30</v>
      </c>
      <c r="L424" s="53" t="str">
        <f t="shared" si="4"/>
        <v>Current</v>
      </c>
      <c r="M424" s="55" t="str">
        <f t="shared" si="5"/>
        <v>No</v>
      </c>
    </row>
    <row r="425" ht="15.75" customHeight="1">
      <c r="A425" s="25" t="s">
        <v>1636</v>
      </c>
      <c r="B425" s="25" t="s">
        <v>902</v>
      </c>
      <c r="C425" s="25" t="s">
        <v>855</v>
      </c>
      <c r="D425" s="26">
        <v>46147.0</v>
      </c>
      <c r="E425" s="26">
        <v>46177.0</v>
      </c>
      <c r="F425" s="30">
        <v>900.0</v>
      </c>
      <c r="G425" s="26"/>
      <c r="H425" s="30">
        <v>0.0</v>
      </c>
      <c r="I425" s="30">
        <f t="shared" si="1"/>
        <v>900</v>
      </c>
      <c r="J425" s="29">
        <f t="shared" si="2"/>
        <v>0</v>
      </c>
      <c r="K425" s="25" t="str">
        <f t="shared" si="3"/>
        <v>0-30</v>
      </c>
      <c r="L425" s="25" t="str">
        <f t="shared" si="4"/>
        <v>Current</v>
      </c>
      <c r="M425" s="30" t="str">
        <f t="shared" si="5"/>
        <v>No</v>
      </c>
    </row>
    <row r="426" ht="15.75" customHeight="1">
      <c r="A426" s="53" t="s">
        <v>1637</v>
      </c>
      <c r="B426" s="53" t="s">
        <v>230</v>
      </c>
      <c r="C426" s="53" t="s">
        <v>168</v>
      </c>
      <c r="D426" s="54">
        <v>46079.0</v>
      </c>
      <c r="E426" s="54">
        <v>46109.0</v>
      </c>
      <c r="F426" s="55">
        <v>573.84</v>
      </c>
      <c r="G426" s="54">
        <v>46124.0</v>
      </c>
      <c r="H426" s="55">
        <v>573.84</v>
      </c>
      <c r="I426" s="55">
        <f t="shared" si="1"/>
        <v>0</v>
      </c>
      <c r="J426" s="56">
        <f t="shared" si="2"/>
        <v>49</v>
      </c>
      <c r="K426" s="53" t="str">
        <f t="shared" si="3"/>
        <v>Paid</v>
      </c>
      <c r="L426" s="53" t="str">
        <f t="shared" si="4"/>
        <v>Closed</v>
      </c>
      <c r="M426" s="55" t="str">
        <f t="shared" si="5"/>
        <v>No</v>
      </c>
    </row>
    <row r="427" ht="15.75" customHeight="1">
      <c r="A427" s="25" t="s">
        <v>1638</v>
      </c>
      <c r="B427" s="25" t="s">
        <v>500</v>
      </c>
      <c r="C427" s="25" t="s">
        <v>444</v>
      </c>
      <c r="D427" s="26">
        <v>46072.0</v>
      </c>
      <c r="E427" s="26">
        <v>46117.0</v>
      </c>
      <c r="F427" s="30">
        <v>502.56</v>
      </c>
      <c r="G427" s="26">
        <v>46140.0</v>
      </c>
      <c r="H427" s="30">
        <v>502.56</v>
      </c>
      <c r="I427" s="30">
        <f t="shared" si="1"/>
        <v>0</v>
      </c>
      <c r="J427" s="29">
        <f t="shared" si="2"/>
        <v>41</v>
      </c>
      <c r="K427" s="25" t="str">
        <f t="shared" si="3"/>
        <v>Paid</v>
      </c>
      <c r="L427" s="25" t="str">
        <f t="shared" si="4"/>
        <v>Closed</v>
      </c>
      <c r="M427" s="30" t="str">
        <f t="shared" si="5"/>
        <v>No</v>
      </c>
    </row>
    <row r="428" ht="15.75" customHeight="1">
      <c r="A428" s="53" t="s">
        <v>1639</v>
      </c>
      <c r="B428" s="53" t="s">
        <v>363</v>
      </c>
      <c r="C428" s="53" t="s">
        <v>330</v>
      </c>
      <c r="D428" s="54">
        <v>46130.0</v>
      </c>
      <c r="E428" s="54">
        <v>46175.0</v>
      </c>
      <c r="F428" s="55">
        <v>420.23</v>
      </c>
      <c r="G428" s="54">
        <v>46210.0</v>
      </c>
      <c r="H428" s="55">
        <v>301.37</v>
      </c>
      <c r="I428" s="55">
        <f t="shared" si="1"/>
        <v>118.86</v>
      </c>
      <c r="J428" s="56">
        <f t="shared" si="2"/>
        <v>0</v>
      </c>
      <c r="K428" s="53" t="str">
        <f t="shared" si="3"/>
        <v>0-30</v>
      </c>
      <c r="L428" s="53" t="str">
        <f t="shared" si="4"/>
        <v>Current</v>
      </c>
      <c r="M428" s="55" t="str">
        <f t="shared" si="5"/>
        <v>No</v>
      </c>
    </row>
    <row r="429" ht="15.75" customHeight="1">
      <c r="A429" s="25" t="s">
        <v>1640</v>
      </c>
      <c r="B429" s="25" t="s">
        <v>364</v>
      </c>
      <c r="C429" s="25" t="s">
        <v>291</v>
      </c>
      <c r="D429" s="26">
        <v>46084.0</v>
      </c>
      <c r="E429" s="26">
        <v>46114.0</v>
      </c>
      <c r="F429" s="30">
        <v>728.64</v>
      </c>
      <c r="G429" s="26">
        <v>46143.0</v>
      </c>
      <c r="H429" s="30">
        <v>728.64</v>
      </c>
      <c r="I429" s="30">
        <f t="shared" si="1"/>
        <v>0</v>
      </c>
      <c r="J429" s="29">
        <f t="shared" si="2"/>
        <v>44</v>
      </c>
      <c r="K429" s="25" t="str">
        <f t="shared" si="3"/>
        <v>Paid</v>
      </c>
      <c r="L429" s="25" t="str">
        <f t="shared" si="4"/>
        <v>Closed</v>
      </c>
      <c r="M429" s="30" t="str">
        <f t="shared" si="5"/>
        <v>No</v>
      </c>
    </row>
    <row r="430" ht="15.75" customHeight="1">
      <c r="A430" s="53" t="s">
        <v>1641</v>
      </c>
      <c r="B430" s="53" t="s">
        <v>231</v>
      </c>
      <c r="C430" s="53" t="s">
        <v>174</v>
      </c>
      <c r="D430" s="54">
        <v>46117.0</v>
      </c>
      <c r="E430" s="54">
        <v>46147.0</v>
      </c>
      <c r="F430" s="55">
        <v>258.96</v>
      </c>
      <c r="G430" s="54">
        <v>46151.0</v>
      </c>
      <c r="H430" s="55">
        <v>85.19</v>
      </c>
      <c r="I430" s="55">
        <f t="shared" si="1"/>
        <v>173.77</v>
      </c>
      <c r="J430" s="56">
        <f t="shared" si="2"/>
        <v>11</v>
      </c>
      <c r="K430" s="53" t="str">
        <f t="shared" si="3"/>
        <v>0-30</v>
      </c>
      <c r="L430" s="53" t="str">
        <f t="shared" si="4"/>
        <v>Current</v>
      </c>
      <c r="M430" s="55" t="str">
        <f t="shared" si="5"/>
        <v>No</v>
      </c>
    </row>
    <row r="431" ht="15.75" customHeight="1">
      <c r="A431" s="25" t="s">
        <v>1642</v>
      </c>
      <c r="B431" s="25" t="s">
        <v>614</v>
      </c>
      <c r="C431" s="25" t="s">
        <v>588</v>
      </c>
      <c r="D431" s="26">
        <v>46081.0</v>
      </c>
      <c r="E431" s="26">
        <v>46111.0</v>
      </c>
      <c r="F431" s="30">
        <v>289.2</v>
      </c>
      <c r="G431" s="26"/>
      <c r="H431" s="30">
        <v>0.0</v>
      </c>
      <c r="I431" s="30">
        <f t="shared" si="1"/>
        <v>289.2</v>
      </c>
      <c r="J431" s="29">
        <f t="shared" si="2"/>
        <v>47</v>
      </c>
      <c r="K431" s="25" t="str">
        <f t="shared" si="3"/>
        <v>31-60</v>
      </c>
      <c r="L431" s="25" t="str">
        <f t="shared" si="4"/>
        <v>Reminder Sent</v>
      </c>
      <c r="M431" s="30" t="str">
        <f t="shared" si="5"/>
        <v>No</v>
      </c>
    </row>
    <row r="432" ht="15.75" customHeight="1">
      <c r="A432" s="53" t="s">
        <v>1643</v>
      </c>
      <c r="B432" s="53" t="s">
        <v>365</v>
      </c>
      <c r="C432" s="53" t="s">
        <v>301</v>
      </c>
      <c r="D432" s="54">
        <v>46061.0</v>
      </c>
      <c r="E432" s="54">
        <v>46106.0</v>
      </c>
      <c r="F432" s="55">
        <v>244.08</v>
      </c>
      <c r="G432" s="54"/>
      <c r="H432" s="55">
        <v>0.0</v>
      </c>
      <c r="I432" s="55">
        <f t="shared" si="1"/>
        <v>244.08</v>
      </c>
      <c r="J432" s="56">
        <f t="shared" si="2"/>
        <v>52</v>
      </c>
      <c r="K432" s="53" t="str">
        <f t="shared" si="3"/>
        <v>31-60</v>
      </c>
      <c r="L432" s="53" t="str">
        <f t="shared" si="4"/>
        <v>Reminder Sent</v>
      </c>
      <c r="M432" s="55" t="str">
        <f t="shared" si="5"/>
        <v>No</v>
      </c>
    </row>
    <row r="433" ht="15.75" customHeight="1">
      <c r="A433" s="25" t="s">
        <v>1644</v>
      </c>
      <c r="B433" s="25" t="s">
        <v>366</v>
      </c>
      <c r="C433" s="25" t="s">
        <v>305</v>
      </c>
      <c r="D433" s="26">
        <v>46122.0</v>
      </c>
      <c r="E433" s="26">
        <v>46152.0</v>
      </c>
      <c r="F433" s="30">
        <v>65.34</v>
      </c>
      <c r="G433" s="26">
        <v>46191.0</v>
      </c>
      <c r="H433" s="30">
        <v>65.34</v>
      </c>
      <c r="I433" s="30">
        <f t="shared" si="1"/>
        <v>0</v>
      </c>
      <c r="J433" s="29">
        <f t="shared" si="2"/>
        <v>6</v>
      </c>
      <c r="K433" s="25" t="str">
        <f t="shared" si="3"/>
        <v>Paid</v>
      </c>
      <c r="L433" s="25" t="str">
        <f t="shared" si="4"/>
        <v>Closed</v>
      </c>
      <c r="M433" s="30" t="str">
        <f t="shared" si="5"/>
        <v>No</v>
      </c>
    </row>
    <row r="434" ht="15.75" customHeight="1">
      <c r="A434" s="53" t="s">
        <v>1645</v>
      </c>
      <c r="B434" s="53" t="s">
        <v>126</v>
      </c>
      <c r="C434" s="53" t="s">
        <v>73</v>
      </c>
      <c r="D434" s="54">
        <v>46092.0</v>
      </c>
      <c r="E434" s="54">
        <v>46122.0</v>
      </c>
      <c r="F434" s="55">
        <v>60.84</v>
      </c>
      <c r="G434" s="54">
        <v>46161.0</v>
      </c>
      <c r="H434" s="55">
        <v>60.84</v>
      </c>
      <c r="I434" s="55">
        <f t="shared" si="1"/>
        <v>0</v>
      </c>
      <c r="J434" s="56">
        <f t="shared" si="2"/>
        <v>36</v>
      </c>
      <c r="K434" s="53" t="str">
        <f t="shared" si="3"/>
        <v>Paid</v>
      </c>
      <c r="L434" s="53" t="str">
        <f t="shared" si="4"/>
        <v>Closed</v>
      </c>
      <c r="M434" s="55" t="str">
        <f t="shared" si="5"/>
        <v>No</v>
      </c>
    </row>
    <row r="435" ht="15.75" customHeight="1">
      <c r="A435" s="25" t="s">
        <v>1646</v>
      </c>
      <c r="B435" s="25" t="s">
        <v>1156</v>
      </c>
      <c r="C435" s="25" t="s">
        <v>1139</v>
      </c>
      <c r="D435" s="26">
        <v>46047.0</v>
      </c>
      <c r="E435" s="26">
        <v>46077.0</v>
      </c>
      <c r="F435" s="30">
        <v>194.16</v>
      </c>
      <c r="G435" s="26">
        <v>46105.0</v>
      </c>
      <c r="H435" s="30">
        <v>194.16</v>
      </c>
      <c r="I435" s="30">
        <f t="shared" si="1"/>
        <v>0</v>
      </c>
      <c r="J435" s="29">
        <f t="shared" si="2"/>
        <v>81</v>
      </c>
      <c r="K435" s="25" t="str">
        <f t="shared" si="3"/>
        <v>Paid</v>
      </c>
      <c r="L435" s="25" t="str">
        <f t="shared" si="4"/>
        <v>Closed</v>
      </c>
      <c r="M435" s="30" t="str">
        <f t="shared" si="5"/>
        <v>No</v>
      </c>
    </row>
    <row r="436" ht="15.75" customHeight="1">
      <c r="A436" s="53" t="s">
        <v>1647</v>
      </c>
      <c r="B436" s="53" t="s">
        <v>615</v>
      </c>
      <c r="C436" s="53" t="s">
        <v>573</v>
      </c>
      <c r="D436" s="54">
        <v>46124.0</v>
      </c>
      <c r="E436" s="54">
        <v>46169.0</v>
      </c>
      <c r="F436" s="55">
        <v>612.6</v>
      </c>
      <c r="G436" s="54"/>
      <c r="H436" s="55">
        <v>0.0</v>
      </c>
      <c r="I436" s="55">
        <f t="shared" si="1"/>
        <v>612.6</v>
      </c>
      <c r="J436" s="56">
        <f t="shared" si="2"/>
        <v>0</v>
      </c>
      <c r="K436" s="53" t="str">
        <f t="shared" si="3"/>
        <v>0-30</v>
      </c>
      <c r="L436" s="53" t="str">
        <f t="shared" si="4"/>
        <v>Current</v>
      </c>
      <c r="M436" s="55" t="str">
        <f t="shared" si="5"/>
        <v>No</v>
      </c>
    </row>
    <row r="437" ht="15.75" customHeight="1">
      <c r="A437" s="25" t="s">
        <v>1648</v>
      </c>
      <c r="B437" s="25" t="s">
        <v>903</v>
      </c>
      <c r="C437" s="25" t="s">
        <v>855</v>
      </c>
      <c r="D437" s="26">
        <v>46117.0</v>
      </c>
      <c r="E437" s="26">
        <v>46162.0</v>
      </c>
      <c r="F437" s="30">
        <v>350.7</v>
      </c>
      <c r="G437" s="26">
        <v>46185.0</v>
      </c>
      <c r="H437" s="30">
        <v>350.7</v>
      </c>
      <c r="I437" s="30">
        <f t="shared" si="1"/>
        <v>0</v>
      </c>
      <c r="J437" s="29">
        <f t="shared" si="2"/>
        <v>0</v>
      </c>
      <c r="K437" s="25" t="str">
        <f t="shared" si="3"/>
        <v>Paid</v>
      </c>
      <c r="L437" s="25" t="str">
        <f t="shared" si="4"/>
        <v>Closed</v>
      </c>
      <c r="M437" s="30" t="str">
        <f t="shared" si="5"/>
        <v>No</v>
      </c>
    </row>
    <row r="438" ht="15.75" customHeight="1">
      <c r="A438" s="53" t="s">
        <v>1649</v>
      </c>
      <c r="B438" s="53" t="s">
        <v>784</v>
      </c>
      <c r="C438" s="53" t="s">
        <v>702</v>
      </c>
      <c r="D438" s="54">
        <v>46062.0</v>
      </c>
      <c r="E438" s="54">
        <v>46077.0</v>
      </c>
      <c r="F438" s="55">
        <v>426.6</v>
      </c>
      <c r="G438" s="54">
        <v>46101.0</v>
      </c>
      <c r="H438" s="55">
        <v>426.6</v>
      </c>
      <c r="I438" s="55">
        <f t="shared" si="1"/>
        <v>0</v>
      </c>
      <c r="J438" s="56">
        <f t="shared" si="2"/>
        <v>81</v>
      </c>
      <c r="K438" s="53" t="str">
        <f t="shared" si="3"/>
        <v>Paid</v>
      </c>
      <c r="L438" s="53" t="str">
        <f t="shared" si="4"/>
        <v>Closed</v>
      </c>
      <c r="M438" s="55" t="str">
        <f t="shared" si="5"/>
        <v>No</v>
      </c>
    </row>
    <row r="439" ht="15.75" customHeight="1">
      <c r="A439" s="25" t="s">
        <v>1650</v>
      </c>
      <c r="B439" s="25" t="s">
        <v>367</v>
      </c>
      <c r="C439" s="25" t="s">
        <v>330</v>
      </c>
      <c r="D439" s="26">
        <v>46131.0</v>
      </c>
      <c r="E439" s="26">
        <v>46161.0</v>
      </c>
      <c r="F439" s="30">
        <v>327.9</v>
      </c>
      <c r="G439" s="26">
        <v>46170.0</v>
      </c>
      <c r="H439" s="30">
        <v>327.9</v>
      </c>
      <c r="I439" s="30">
        <f t="shared" si="1"/>
        <v>0</v>
      </c>
      <c r="J439" s="29">
        <f t="shared" si="2"/>
        <v>0</v>
      </c>
      <c r="K439" s="25" t="str">
        <f t="shared" si="3"/>
        <v>Paid</v>
      </c>
      <c r="L439" s="25" t="str">
        <f t="shared" si="4"/>
        <v>Closed</v>
      </c>
      <c r="M439" s="30" t="str">
        <f t="shared" si="5"/>
        <v>No</v>
      </c>
    </row>
    <row r="440" ht="15.75" customHeight="1">
      <c r="A440" s="53" t="s">
        <v>1651</v>
      </c>
      <c r="B440" s="53" t="s">
        <v>1106</v>
      </c>
      <c r="C440" s="53" t="s">
        <v>1075</v>
      </c>
      <c r="D440" s="54">
        <v>46032.0</v>
      </c>
      <c r="E440" s="54">
        <v>46077.0</v>
      </c>
      <c r="F440" s="55">
        <v>388.8</v>
      </c>
      <c r="G440" s="54">
        <v>46108.0</v>
      </c>
      <c r="H440" s="55">
        <v>388.8</v>
      </c>
      <c r="I440" s="55">
        <f t="shared" si="1"/>
        <v>0</v>
      </c>
      <c r="J440" s="56">
        <f t="shared" si="2"/>
        <v>81</v>
      </c>
      <c r="K440" s="53" t="str">
        <f t="shared" si="3"/>
        <v>Paid</v>
      </c>
      <c r="L440" s="53" t="str">
        <f t="shared" si="4"/>
        <v>Closed</v>
      </c>
      <c r="M440" s="55" t="str">
        <f t="shared" si="5"/>
        <v>No</v>
      </c>
    </row>
    <row r="441" ht="15.75" customHeight="1">
      <c r="A441" s="25" t="s">
        <v>1652</v>
      </c>
      <c r="B441" s="25" t="s">
        <v>232</v>
      </c>
      <c r="C441" s="25" t="s">
        <v>164</v>
      </c>
      <c r="D441" s="26">
        <v>46129.0</v>
      </c>
      <c r="E441" s="26">
        <v>46174.0</v>
      </c>
      <c r="F441" s="30">
        <v>659.4</v>
      </c>
      <c r="G441" s="26">
        <v>46166.0</v>
      </c>
      <c r="H441" s="30">
        <v>659.4</v>
      </c>
      <c r="I441" s="30">
        <f t="shared" si="1"/>
        <v>0</v>
      </c>
      <c r="J441" s="29">
        <f t="shared" si="2"/>
        <v>0</v>
      </c>
      <c r="K441" s="25" t="str">
        <f t="shared" si="3"/>
        <v>Paid</v>
      </c>
      <c r="L441" s="25" t="str">
        <f t="shared" si="4"/>
        <v>Closed</v>
      </c>
      <c r="M441" s="30" t="str">
        <f t="shared" si="5"/>
        <v>No</v>
      </c>
    </row>
    <row r="442" ht="15.75" customHeight="1">
      <c r="A442" s="53" t="s">
        <v>1653</v>
      </c>
      <c r="B442" s="53" t="s">
        <v>616</v>
      </c>
      <c r="C442" s="53" t="s">
        <v>553</v>
      </c>
      <c r="D442" s="54">
        <v>46105.0</v>
      </c>
      <c r="E442" s="54">
        <v>46135.0</v>
      </c>
      <c r="F442" s="55">
        <v>348.0</v>
      </c>
      <c r="G442" s="54"/>
      <c r="H442" s="55">
        <v>0.0</v>
      </c>
      <c r="I442" s="55">
        <f t="shared" si="1"/>
        <v>348</v>
      </c>
      <c r="J442" s="56">
        <f t="shared" si="2"/>
        <v>23</v>
      </c>
      <c r="K442" s="53" t="str">
        <f t="shared" si="3"/>
        <v>0-30</v>
      </c>
      <c r="L442" s="53" t="str">
        <f t="shared" si="4"/>
        <v>Current</v>
      </c>
      <c r="M442" s="55" t="str">
        <f t="shared" si="5"/>
        <v>No</v>
      </c>
    </row>
    <row r="443" ht="15.75" customHeight="1">
      <c r="A443" s="25" t="s">
        <v>1654</v>
      </c>
      <c r="B443" s="25" t="s">
        <v>1015</v>
      </c>
      <c r="C443" s="25" t="s">
        <v>999</v>
      </c>
      <c r="D443" s="26">
        <v>46151.0</v>
      </c>
      <c r="E443" s="26">
        <v>46181.0</v>
      </c>
      <c r="F443" s="30">
        <v>346.56</v>
      </c>
      <c r="G443" s="26"/>
      <c r="H443" s="30">
        <v>0.0</v>
      </c>
      <c r="I443" s="30">
        <f t="shared" si="1"/>
        <v>346.56</v>
      </c>
      <c r="J443" s="29">
        <f t="shared" si="2"/>
        <v>0</v>
      </c>
      <c r="K443" s="25" t="str">
        <f t="shared" si="3"/>
        <v>0-30</v>
      </c>
      <c r="L443" s="25" t="str">
        <f t="shared" si="4"/>
        <v>Current</v>
      </c>
      <c r="M443" s="30" t="str">
        <f t="shared" si="5"/>
        <v>No</v>
      </c>
    </row>
    <row r="444" ht="15.75" customHeight="1">
      <c r="A444" s="53" t="s">
        <v>1655</v>
      </c>
      <c r="B444" s="53" t="s">
        <v>786</v>
      </c>
      <c r="C444" s="53" t="s">
        <v>704</v>
      </c>
      <c r="D444" s="54">
        <v>46085.0</v>
      </c>
      <c r="E444" s="54">
        <v>46130.0</v>
      </c>
      <c r="F444" s="55">
        <v>145.26</v>
      </c>
      <c r="G444" s="54"/>
      <c r="H444" s="55">
        <v>0.0</v>
      </c>
      <c r="I444" s="55">
        <f t="shared" si="1"/>
        <v>145.26</v>
      </c>
      <c r="J444" s="56">
        <f t="shared" si="2"/>
        <v>28</v>
      </c>
      <c r="K444" s="53" t="str">
        <f t="shared" si="3"/>
        <v>0-30</v>
      </c>
      <c r="L444" s="53" t="str">
        <f t="shared" si="4"/>
        <v>Current</v>
      </c>
      <c r="M444" s="55" t="str">
        <f t="shared" si="5"/>
        <v>No</v>
      </c>
    </row>
    <row r="445" ht="15.75" customHeight="1">
      <c r="A445" s="25" t="s">
        <v>1656</v>
      </c>
      <c r="B445" s="25" t="s">
        <v>1157</v>
      </c>
      <c r="C445" s="25" t="s">
        <v>1154</v>
      </c>
      <c r="D445" s="26">
        <v>46136.0</v>
      </c>
      <c r="E445" s="26">
        <v>46166.0</v>
      </c>
      <c r="F445" s="30">
        <v>326.4</v>
      </c>
      <c r="G445" s="26"/>
      <c r="H445" s="30">
        <v>0.0</v>
      </c>
      <c r="I445" s="30">
        <f t="shared" si="1"/>
        <v>326.4</v>
      </c>
      <c r="J445" s="29">
        <f t="shared" si="2"/>
        <v>0</v>
      </c>
      <c r="K445" s="25" t="str">
        <f t="shared" si="3"/>
        <v>0-30</v>
      </c>
      <c r="L445" s="25" t="str">
        <f t="shared" si="4"/>
        <v>Current</v>
      </c>
      <c r="M445" s="30" t="str">
        <f t="shared" si="5"/>
        <v>No</v>
      </c>
    </row>
    <row r="446" ht="15.75" customHeight="1">
      <c r="A446" s="53" t="s">
        <v>1657</v>
      </c>
      <c r="B446" s="53" t="s">
        <v>501</v>
      </c>
      <c r="C446" s="53" t="s">
        <v>464</v>
      </c>
      <c r="D446" s="54">
        <v>46059.0</v>
      </c>
      <c r="E446" s="54">
        <v>46089.0</v>
      </c>
      <c r="F446" s="55">
        <v>81.6</v>
      </c>
      <c r="G446" s="54"/>
      <c r="H446" s="55">
        <v>0.0</v>
      </c>
      <c r="I446" s="55">
        <f t="shared" si="1"/>
        <v>81.6</v>
      </c>
      <c r="J446" s="56">
        <f t="shared" si="2"/>
        <v>69</v>
      </c>
      <c r="K446" s="53" t="str">
        <f t="shared" si="3"/>
        <v>61-90</v>
      </c>
      <c r="L446" s="53" t="str">
        <f t="shared" si="4"/>
        <v>Collections Review</v>
      </c>
      <c r="M446" s="55" t="str">
        <f t="shared" si="5"/>
        <v>Yes</v>
      </c>
    </row>
    <row r="447" ht="15.75" customHeight="1">
      <c r="A447" s="25" t="s">
        <v>1658</v>
      </c>
      <c r="B447" s="25" t="s">
        <v>617</v>
      </c>
      <c r="C447" s="25" t="s">
        <v>582</v>
      </c>
      <c r="D447" s="26">
        <v>46077.0</v>
      </c>
      <c r="E447" s="26">
        <v>46092.0</v>
      </c>
      <c r="F447" s="30">
        <v>264.85</v>
      </c>
      <c r="G447" s="26"/>
      <c r="H447" s="30">
        <v>0.0</v>
      </c>
      <c r="I447" s="30">
        <f t="shared" si="1"/>
        <v>264.85</v>
      </c>
      <c r="J447" s="29">
        <f t="shared" si="2"/>
        <v>66</v>
      </c>
      <c r="K447" s="25" t="str">
        <f t="shared" si="3"/>
        <v>61-90</v>
      </c>
      <c r="L447" s="25" t="str">
        <f t="shared" si="4"/>
        <v>Collections Review</v>
      </c>
      <c r="M447" s="30" t="str">
        <f t="shared" si="5"/>
        <v>Yes</v>
      </c>
    </row>
    <row r="448" ht="15.75" customHeight="1">
      <c r="A448" s="53" t="s">
        <v>1659</v>
      </c>
      <c r="B448" s="53" t="s">
        <v>502</v>
      </c>
      <c r="C448" s="53" t="s">
        <v>448</v>
      </c>
      <c r="D448" s="54">
        <v>46083.0</v>
      </c>
      <c r="E448" s="54">
        <v>46098.0</v>
      </c>
      <c r="F448" s="55">
        <v>1203.6</v>
      </c>
      <c r="G448" s="54"/>
      <c r="H448" s="55">
        <v>0.0</v>
      </c>
      <c r="I448" s="55">
        <f t="shared" si="1"/>
        <v>1203.6</v>
      </c>
      <c r="J448" s="56">
        <f t="shared" si="2"/>
        <v>60</v>
      </c>
      <c r="K448" s="53" t="str">
        <f t="shared" si="3"/>
        <v>31-60</v>
      </c>
      <c r="L448" s="53" t="str">
        <f t="shared" si="4"/>
        <v>Reminder Sent</v>
      </c>
      <c r="M448" s="55" t="str">
        <f t="shared" si="5"/>
        <v>No</v>
      </c>
    </row>
    <row r="449" ht="15.75" customHeight="1">
      <c r="A449" s="25" t="s">
        <v>1660</v>
      </c>
      <c r="B449" s="25" t="s">
        <v>618</v>
      </c>
      <c r="C449" s="25" t="s">
        <v>575</v>
      </c>
      <c r="D449" s="26">
        <v>46062.0</v>
      </c>
      <c r="E449" s="26">
        <v>46092.0</v>
      </c>
      <c r="F449" s="30">
        <v>591.36</v>
      </c>
      <c r="G449" s="26">
        <v>46097.0</v>
      </c>
      <c r="H449" s="30">
        <v>591.36</v>
      </c>
      <c r="I449" s="30">
        <f t="shared" si="1"/>
        <v>0</v>
      </c>
      <c r="J449" s="29">
        <f t="shared" si="2"/>
        <v>66</v>
      </c>
      <c r="K449" s="25" t="str">
        <f t="shared" si="3"/>
        <v>Paid</v>
      </c>
      <c r="L449" s="25" t="str">
        <f t="shared" si="4"/>
        <v>Closed</v>
      </c>
      <c r="M449" s="30" t="str">
        <f t="shared" si="5"/>
        <v>No</v>
      </c>
    </row>
    <row r="450" ht="15.75" customHeight="1">
      <c r="A450" s="53" t="s">
        <v>1661</v>
      </c>
      <c r="B450" s="53" t="s">
        <v>233</v>
      </c>
      <c r="C450" s="53" t="s">
        <v>198</v>
      </c>
      <c r="D450" s="54">
        <v>46092.0</v>
      </c>
      <c r="E450" s="54">
        <v>46122.0</v>
      </c>
      <c r="F450" s="55">
        <v>468.81</v>
      </c>
      <c r="G450" s="54"/>
      <c r="H450" s="55">
        <v>0.0</v>
      </c>
      <c r="I450" s="55">
        <f t="shared" si="1"/>
        <v>468.81</v>
      </c>
      <c r="J450" s="56">
        <f t="shared" si="2"/>
        <v>36</v>
      </c>
      <c r="K450" s="53" t="str">
        <f t="shared" si="3"/>
        <v>31-60</v>
      </c>
      <c r="L450" s="53" t="str">
        <f t="shared" si="4"/>
        <v>Reminder Sent</v>
      </c>
      <c r="M450" s="55" t="str">
        <f t="shared" si="5"/>
        <v>No</v>
      </c>
    </row>
    <row r="451" ht="15.75" customHeight="1">
      <c r="A451" s="25" t="s">
        <v>1662</v>
      </c>
      <c r="B451" s="25" t="s">
        <v>127</v>
      </c>
      <c r="C451" s="25" t="s">
        <v>114</v>
      </c>
      <c r="D451" s="26">
        <v>46130.0</v>
      </c>
      <c r="E451" s="26">
        <v>46160.0</v>
      </c>
      <c r="F451" s="30">
        <v>1309.2</v>
      </c>
      <c r="G451" s="26">
        <v>46179.0</v>
      </c>
      <c r="H451" s="30">
        <v>1309.2</v>
      </c>
      <c r="I451" s="30">
        <f t="shared" si="1"/>
        <v>0</v>
      </c>
      <c r="J451" s="29">
        <f t="shared" si="2"/>
        <v>0</v>
      </c>
      <c r="K451" s="25" t="str">
        <f t="shared" si="3"/>
        <v>Paid</v>
      </c>
      <c r="L451" s="25" t="str">
        <f t="shared" si="4"/>
        <v>Closed</v>
      </c>
      <c r="M451" s="30" t="str">
        <f t="shared" si="5"/>
        <v>No</v>
      </c>
    </row>
    <row r="452" ht="15.75" customHeight="1">
      <c r="A452" s="53" t="s">
        <v>1663</v>
      </c>
      <c r="B452" s="53" t="s">
        <v>904</v>
      </c>
      <c r="C452" s="53" t="s">
        <v>879</v>
      </c>
      <c r="D452" s="54">
        <v>46086.0</v>
      </c>
      <c r="E452" s="54">
        <v>46116.0</v>
      </c>
      <c r="F452" s="55">
        <v>504.72</v>
      </c>
      <c r="G452" s="54"/>
      <c r="H452" s="55">
        <v>0.0</v>
      </c>
      <c r="I452" s="55">
        <f t="shared" si="1"/>
        <v>504.72</v>
      </c>
      <c r="J452" s="56">
        <f t="shared" si="2"/>
        <v>42</v>
      </c>
      <c r="K452" s="53" t="str">
        <f t="shared" si="3"/>
        <v>31-60</v>
      </c>
      <c r="L452" s="53" t="str">
        <f t="shared" si="4"/>
        <v>Reminder Sent</v>
      </c>
      <c r="M452" s="55" t="str">
        <f t="shared" si="5"/>
        <v>No</v>
      </c>
    </row>
    <row r="453" ht="15.75" customHeight="1">
      <c r="A453" s="25" t="s">
        <v>1664</v>
      </c>
      <c r="B453" s="25" t="s">
        <v>619</v>
      </c>
      <c r="C453" s="25" t="s">
        <v>544</v>
      </c>
      <c r="D453" s="26">
        <v>46139.0</v>
      </c>
      <c r="E453" s="26">
        <v>46169.0</v>
      </c>
      <c r="F453" s="30">
        <v>371.52</v>
      </c>
      <c r="G453" s="26"/>
      <c r="H453" s="30">
        <v>0.0</v>
      </c>
      <c r="I453" s="30">
        <f t="shared" si="1"/>
        <v>371.52</v>
      </c>
      <c r="J453" s="29">
        <f t="shared" si="2"/>
        <v>0</v>
      </c>
      <c r="K453" s="25" t="str">
        <f t="shared" si="3"/>
        <v>0-30</v>
      </c>
      <c r="L453" s="25" t="str">
        <f t="shared" si="4"/>
        <v>Current</v>
      </c>
      <c r="M453" s="30" t="str">
        <f t="shared" si="5"/>
        <v>No</v>
      </c>
    </row>
    <row r="454" ht="15.75" customHeight="1">
      <c r="A454" s="53" t="s">
        <v>1665</v>
      </c>
      <c r="B454" s="53" t="s">
        <v>503</v>
      </c>
      <c r="C454" s="53" t="s">
        <v>446</v>
      </c>
      <c r="D454" s="54">
        <v>46133.0</v>
      </c>
      <c r="E454" s="54">
        <v>46163.0</v>
      </c>
      <c r="F454" s="55">
        <v>828.58</v>
      </c>
      <c r="G454" s="54"/>
      <c r="H454" s="55">
        <v>0.0</v>
      </c>
      <c r="I454" s="55">
        <f t="shared" si="1"/>
        <v>828.58</v>
      </c>
      <c r="J454" s="56">
        <f t="shared" si="2"/>
        <v>0</v>
      </c>
      <c r="K454" s="53" t="str">
        <f t="shared" si="3"/>
        <v>0-30</v>
      </c>
      <c r="L454" s="53" t="str">
        <f t="shared" si="4"/>
        <v>Current</v>
      </c>
      <c r="M454" s="55" t="str">
        <f t="shared" si="5"/>
        <v>No</v>
      </c>
    </row>
    <row r="455" ht="15.75" customHeight="1">
      <c r="A455" s="25" t="s">
        <v>1666</v>
      </c>
      <c r="B455" s="25" t="s">
        <v>787</v>
      </c>
      <c r="C455" s="25" t="s">
        <v>733</v>
      </c>
      <c r="D455" s="26">
        <v>46133.0</v>
      </c>
      <c r="E455" s="26">
        <v>46148.0</v>
      </c>
      <c r="F455" s="30">
        <v>325.2</v>
      </c>
      <c r="G455" s="26">
        <v>46170.0</v>
      </c>
      <c r="H455" s="30">
        <v>325.2</v>
      </c>
      <c r="I455" s="30">
        <f t="shared" si="1"/>
        <v>0</v>
      </c>
      <c r="J455" s="29">
        <f t="shared" si="2"/>
        <v>10</v>
      </c>
      <c r="K455" s="25" t="str">
        <f t="shared" si="3"/>
        <v>Paid</v>
      </c>
      <c r="L455" s="25" t="str">
        <f t="shared" si="4"/>
        <v>Closed</v>
      </c>
      <c r="M455" s="30" t="str">
        <f t="shared" si="5"/>
        <v>No</v>
      </c>
    </row>
    <row r="456" ht="15.75" customHeight="1">
      <c r="A456" s="53" t="s">
        <v>1667</v>
      </c>
      <c r="B456" s="53" t="s">
        <v>788</v>
      </c>
      <c r="C456" s="53" t="s">
        <v>720</v>
      </c>
      <c r="D456" s="54">
        <v>46042.0</v>
      </c>
      <c r="E456" s="54">
        <v>46072.0</v>
      </c>
      <c r="F456" s="55">
        <v>299.4</v>
      </c>
      <c r="G456" s="54"/>
      <c r="H456" s="55">
        <v>0.0</v>
      </c>
      <c r="I456" s="55">
        <f t="shared" si="1"/>
        <v>299.4</v>
      </c>
      <c r="J456" s="56">
        <f t="shared" si="2"/>
        <v>86</v>
      </c>
      <c r="K456" s="53" t="str">
        <f t="shared" si="3"/>
        <v>61-90</v>
      </c>
      <c r="L456" s="53" t="str">
        <f t="shared" si="4"/>
        <v>Collections Review</v>
      </c>
      <c r="M456" s="55" t="str">
        <f t="shared" si="5"/>
        <v>Yes</v>
      </c>
    </row>
    <row r="457" ht="15.75" customHeight="1">
      <c r="A457" s="25" t="s">
        <v>1668</v>
      </c>
      <c r="B457" s="25" t="s">
        <v>504</v>
      </c>
      <c r="C457" s="25" t="s">
        <v>454</v>
      </c>
      <c r="D457" s="26">
        <v>46119.0</v>
      </c>
      <c r="E457" s="26">
        <v>46149.0</v>
      </c>
      <c r="F457" s="30">
        <v>128.52</v>
      </c>
      <c r="G457" s="26">
        <v>46192.0</v>
      </c>
      <c r="H457" s="30">
        <v>128.52</v>
      </c>
      <c r="I457" s="30">
        <f t="shared" si="1"/>
        <v>0</v>
      </c>
      <c r="J457" s="29">
        <f t="shared" si="2"/>
        <v>9</v>
      </c>
      <c r="K457" s="25" t="str">
        <f t="shared" si="3"/>
        <v>Paid</v>
      </c>
      <c r="L457" s="25" t="str">
        <f t="shared" si="4"/>
        <v>Closed</v>
      </c>
      <c r="M457" s="30" t="str">
        <f t="shared" si="5"/>
        <v>No</v>
      </c>
    </row>
    <row r="458" ht="15.75" customHeight="1">
      <c r="A458" s="53" t="s">
        <v>1669</v>
      </c>
      <c r="B458" s="53" t="s">
        <v>1017</v>
      </c>
      <c r="C458" s="53" t="s">
        <v>968</v>
      </c>
      <c r="D458" s="54">
        <v>46041.0</v>
      </c>
      <c r="E458" s="54">
        <v>46056.0</v>
      </c>
      <c r="F458" s="55">
        <v>1031.04</v>
      </c>
      <c r="G458" s="54">
        <v>46048.0</v>
      </c>
      <c r="H458" s="55">
        <v>1031.04</v>
      </c>
      <c r="I458" s="55">
        <f t="shared" si="1"/>
        <v>0</v>
      </c>
      <c r="J458" s="56">
        <f t="shared" si="2"/>
        <v>102</v>
      </c>
      <c r="K458" s="53" t="str">
        <f t="shared" si="3"/>
        <v>Paid</v>
      </c>
      <c r="L458" s="53" t="str">
        <f t="shared" si="4"/>
        <v>Closed</v>
      </c>
      <c r="M458" s="55" t="str">
        <f t="shared" si="5"/>
        <v>No</v>
      </c>
    </row>
    <row r="459" ht="15.75" customHeight="1">
      <c r="A459" s="25" t="s">
        <v>1670</v>
      </c>
      <c r="B459" s="25" t="s">
        <v>789</v>
      </c>
      <c r="C459" s="25" t="s">
        <v>729</v>
      </c>
      <c r="D459" s="26">
        <v>46139.0</v>
      </c>
      <c r="E459" s="26">
        <v>46184.0</v>
      </c>
      <c r="F459" s="30">
        <v>270.72</v>
      </c>
      <c r="G459" s="26">
        <v>46183.0</v>
      </c>
      <c r="H459" s="30">
        <v>270.72</v>
      </c>
      <c r="I459" s="30">
        <f t="shared" si="1"/>
        <v>0</v>
      </c>
      <c r="J459" s="29">
        <f t="shared" si="2"/>
        <v>0</v>
      </c>
      <c r="K459" s="25" t="str">
        <f t="shared" si="3"/>
        <v>Paid</v>
      </c>
      <c r="L459" s="25" t="str">
        <f t="shared" si="4"/>
        <v>Closed</v>
      </c>
      <c r="M459" s="30" t="str">
        <f t="shared" si="5"/>
        <v>No</v>
      </c>
    </row>
    <row r="460" ht="15.75" customHeight="1">
      <c r="A460" s="53" t="s">
        <v>1671</v>
      </c>
      <c r="B460" s="53" t="s">
        <v>790</v>
      </c>
      <c r="C460" s="53" t="s">
        <v>733</v>
      </c>
      <c r="D460" s="54">
        <v>46096.0</v>
      </c>
      <c r="E460" s="54">
        <v>46126.0</v>
      </c>
      <c r="F460" s="55">
        <v>126.0</v>
      </c>
      <c r="G460" s="54">
        <v>46164.0</v>
      </c>
      <c r="H460" s="55">
        <v>126.0</v>
      </c>
      <c r="I460" s="55">
        <f t="shared" si="1"/>
        <v>0</v>
      </c>
      <c r="J460" s="56">
        <f t="shared" si="2"/>
        <v>32</v>
      </c>
      <c r="K460" s="53" t="str">
        <f t="shared" si="3"/>
        <v>Paid</v>
      </c>
      <c r="L460" s="53" t="str">
        <f t="shared" si="4"/>
        <v>Closed</v>
      </c>
      <c r="M460" s="55" t="str">
        <f t="shared" si="5"/>
        <v>No</v>
      </c>
    </row>
    <row r="461" ht="15.75" customHeight="1">
      <c r="A461" s="25" t="s">
        <v>1672</v>
      </c>
      <c r="B461" s="25" t="s">
        <v>368</v>
      </c>
      <c r="C461" s="25" t="s">
        <v>312</v>
      </c>
      <c r="D461" s="26">
        <v>46046.0</v>
      </c>
      <c r="E461" s="26">
        <v>46076.0</v>
      </c>
      <c r="F461" s="30">
        <v>177.6</v>
      </c>
      <c r="G461" s="26"/>
      <c r="H461" s="30">
        <v>0.0</v>
      </c>
      <c r="I461" s="30">
        <f t="shared" si="1"/>
        <v>177.6</v>
      </c>
      <c r="J461" s="29">
        <f t="shared" si="2"/>
        <v>82</v>
      </c>
      <c r="K461" s="25" t="str">
        <f t="shared" si="3"/>
        <v>61-90</v>
      </c>
      <c r="L461" s="25" t="str">
        <f t="shared" si="4"/>
        <v>Collections Review</v>
      </c>
      <c r="M461" s="30" t="str">
        <f t="shared" si="5"/>
        <v>Yes</v>
      </c>
    </row>
    <row r="462" ht="15.75" customHeight="1">
      <c r="A462" s="53" t="s">
        <v>1673</v>
      </c>
      <c r="B462" s="53" t="s">
        <v>620</v>
      </c>
      <c r="C462" s="53" t="s">
        <v>593</v>
      </c>
      <c r="D462" s="54">
        <v>46076.0</v>
      </c>
      <c r="E462" s="54">
        <v>46106.0</v>
      </c>
      <c r="F462" s="55">
        <v>913.2</v>
      </c>
      <c r="G462" s="54">
        <v>46136.0</v>
      </c>
      <c r="H462" s="55">
        <v>913.2</v>
      </c>
      <c r="I462" s="55">
        <f t="shared" si="1"/>
        <v>0</v>
      </c>
      <c r="J462" s="56">
        <f t="shared" si="2"/>
        <v>52</v>
      </c>
      <c r="K462" s="53" t="str">
        <f t="shared" si="3"/>
        <v>Paid</v>
      </c>
      <c r="L462" s="53" t="str">
        <f t="shared" si="4"/>
        <v>Closed</v>
      </c>
      <c r="M462" s="55" t="str">
        <f t="shared" si="5"/>
        <v>No</v>
      </c>
    </row>
    <row r="463" ht="15.75" customHeight="1">
      <c r="A463" s="25" t="s">
        <v>1674</v>
      </c>
      <c r="B463" s="25" t="s">
        <v>1018</v>
      </c>
      <c r="C463" s="25" t="s">
        <v>963</v>
      </c>
      <c r="D463" s="26">
        <v>46109.0</v>
      </c>
      <c r="E463" s="26">
        <v>46124.0</v>
      </c>
      <c r="F463" s="30">
        <v>49.02</v>
      </c>
      <c r="G463" s="26">
        <v>46164.0</v>
      </c>
      <c r="H463" s="30">
        <v>23.62</v>
      </c>
      <c r="I463" s="30">
        <f t="shared" si="1"/>
        <v>25.4</v>
      </c>
      <c r="J463" s="29">
        <f t="shared" si="2"/>
        <v>34</v>
      </c>
      <c r="K463" s="25" t="str">
        <f t="shared" si="3"/>
        <v>31-60</v>
      </c>
      <c r="L463" s="25" t="str">
        <f t="shared" si="4"/>
        <v>Reminder Sent</v>
      </c>
      <c r="M463" s="30" t="str">
        <f t="shared" si="5"/>
        <v>No</v>
      </c>
    </row>
    <row r="464" ht="15.75" customHeight="1">
      <c r="A464" s="53" t="s">
        <v>1675</v>
      </c>
      <c r="B464" s="53" t="s">
        <v>905</v>
      </c>
      <c r="C464" s="53" t="s">
        <v>873</v>
      </c>
      <c r="D464" s="54">
        <v>46050.0</v>
      </c>
      <c r="E464" s="54">
        <v>46095.0</v>
      </c>
      <c r="F464" s="55">
        <v>1383.36</v>
      </c>
      <c r="G464" s="54">
        <v>46105.0</v>
      </c>
      <c r="H464" s="55">
        <v>1383.36</v>
      </c>
      <c r="I464" s="55">
        <f t="shared" si="1"/>
        <v>0</v>
      </c>
      <c r="J464" s="56">
        <f t="shared" si="2"/>
        <v>63</v>
      </c>
      <c r="K464" s="53" t="str">
        <f t="shared" si="3"/>
        <v>Paid</v>
      </c>
      <c r="L464" s="53" t="str">
        <f t="shared" si="4"/>
        <v>Closed</v>
      </c>
      <c r="M464" s="55" t="str">
        <f t="shared" si="5"/>
        <v>No</v>
      </c>
    </row>
    <row r="465" ht="15.75" customHeight="1">
      <c r="A465" s="25" t="s">
        <v>1676</v>
      </c>
      <c r="B465" s="25" t="s">
        <v>369</v>
      </c>
      <c r="C465" s="25" t="s">
        <v>301</v>
      </c>
      <c r="D465" s="26">
        <v>46146.0</v>
      </c>
      <c r="E465" s="26">
        <v>46176.0</v>
      </c>
      <c r="F465" s="30">
        <v>277.5</v>
      </c>
      <c r="G465" s="26">
        <v>46210.0</v>
      </c>
      <c r="H465" s="30">
        <v>277.5</v>
      </c>
      <c r="I465" s="30">
        <f t="shared" si="1"/>
        <v>0</v>
      </c>
      <c r="J465" s="29">
        <f t="shared" si="2"/>
        <v>0</v>
      </c>
      <c r="K465" s="25" t="str">
        <f t="shared" si="3"/>
        <v>Paid</v>
      </c>
      <c r="L465" s="25" t="str">
        <f t="shared" si="4"/>
        <v>Closed</v>
      </c>
      <c r="M465" s="30" t="str">
        <f t="shared" si="5"/>
        <v>No</v>
      </c>
    </row>
    <row r="466" ht="15.75" customHeight="1">
      <c r="A466" s="53" t="s">
        <v>1677</v>
      </c>
      <c r="B466" s="53" t="s">
        <v>906</v>
      </c>
      <c r="C466" s="53" t="s">
        <v>864</v>
      </c>
      <c r="D466" s="54">
        <v>46056.0</v>
      </c>
      <c r="E466" s="54">
        <v>46086.0</v>
      </c>
      <c r="F466" s="55">
        <v>175.68</v>
      </c>
      <c r="G466" s="54">
        <v>46113.0</v>
      </c>
      <c r="H466" s="55">
        <v>175.68</v>
      </c>
      <c r="I466" s="55">
        <f t="shared" si="1"/>
        <v>0</v>
      </c>
      <c r="J466" s="56">
        <f t="shared" si="2"/>
        <v>72</v>
      </c>
      <c r="K466" s="53" t="str">
        <f t="shared" si="3"/>
        <v>Paid</v>
      </c>
      <c r="L466" s="53" t="str">
        <f t="shared" si="4"/>
        <v>Closed</v>
      </c>
      <c r="M466" s="55" t="str">
        <f t="shared" si="5"/>
        <v>No</v>
      </c>
    </row>
    <row r="467" ht="15.75" customHeight="1">
      <c r="A467" s="25" t="s">
        <v>1678</v>
      </c>
      <c r="B467" s="25" t="s">
        <v>792</v>
      </c>
      <c r="C467" s="25" t="s">
        <v>714</v>
      </c>
      <c r="D467" s="26">
        <v>46077.0</v>
      </c>
      <c r="E467" s="26">
        <v>46107.0</v>
      </c>
      <c r="F467" s="30">
        <v>1037.76</v>
      </c>
      <c r="G467" s="26">
        <v>46134.0</v>
      </c>
      <c r="H467" s="30">
        <v>1037.76</v>
      </c>
      <c r="I467" s="30">
        <f t="shared" si="1"/>
        <v>0</v>
      </c>
      <c r="J467" s="29">
        <f t="shared" si="2"/>
        <v>51</v>
      </c>
      <c r="K467" s="25" t="str">
        <f t="shared" si="3"/>
        <v>Paid</v>
      </c>
      <c r="L467" s="25" t="str">
        <f t="shared" si="4"/>
        <v>Closed</v>
      </c>
      <c r="M467" s="30" t="str">
        <f t="shared" si="5"/>
        <v>No</v>
      </c>
    </row>
    <row r="468" ht="15.75" customHeight="1">
      <c r="A468" s="53" t="s">
        <v>1679</v>
      </c>
      <c r="B468" s="53" t="s">
        <v>370</v>
      </c>
      <c r="C468" s="53" t="s">
        <v>301</v>
      </c>
      <c r="D468" s="54">
        <v>46033.0</v>
      </c>
      <c r="E468" s="54">
        <v>46078.0</v>
      </c>
      <c r="F468" s="55">
        <v>696.0</v>
      </c>
      <c r="G468" s="54">
        <v>46106.0</v>
      </c>
      <c r="H468" s="55">
        <v>696.0</v>
      </c>
      <c r="I468" s="55">
        <f t="shared" si="1"/>
        <v>0</v>
      </c>
      <c r="J468" s="56">
        <f t="shared" si="2"/>
        <v>80</v>
      </c>
      <c r="K468" s="53" t="str">
        <f t="shared" si="3"/>
        <v>Paid</v>
      </c>
      <c r="L468" s="53" t="str">
        <f t="shared" si="4"/>
        <v>Closed</v>
      </c>
      <c r="M468" s="55" t="str">
        <f t="shared" si="5"/>
        <v>No</v>
      </c>
    </row>
    <row r="469" ht="15.75" customHeight="1">
      <c r="A469" s="25" t="s">
        <v>1680</v>
      </c>
      <c r="B469" s="25" t="s">
        <v>1019</v>
      </c>
      <c r="C469" s="25" t="s">
        <v>965</v>
      </c>
      <c r="D469" s="26">
        <v>46036.0</v>
      </c>
      <c r="E469" s="26">
        <v>46081.0</v>
      </c>
      <c r="F469" s="30">
        <v>346.2</v>
      </c>
      <c r="G469" s="26">
        <v>46119.0</v>
      </c>
      <c r="H469" s="30">
        <v>346.2</v>
      </c>
      <c r="I469" s="30">
        <f t="shared" si="1"/>
        <v>0</v>
      </c>
      <c r="J469" s="29">
        <f t="shared" si="2"/>
        <v>77</v>
      </c>
      <c r="K469" s="25" t="str">
        <f t="shared" si="3"/>
        <v>Paid</v>
      </c>
      <c r="L469" s="25" t="str">
        <f t="shared" si="4"/>
        <v>Closed</v>
      </c>
      <c r="M469" s="30" t="str">
        <f t="shared" si="5"/>
        <v>No</v>
      </c>
    </row>
    <row r="470" ht="15.75" customHeight="1">
      <c r="A470" s="53" t="s">
        <v>1681</v>
      </c>
      <c r="B470" s="53" t="s">
        <v>907</v>
      </c>
      <c r="C470" s="53" t="s">
        <v>861</v>
      </c>
      <c r="D470" s="54">
        <v>46091.0</v>
      </c>
      <c r="E470" s="54">
        <v>46121.0</v>
      </c>
      <c r="F470" s="55">
        <v>824.46</v>
      </c>
      <c r="G470" s="54">
        <v>46148.0</v>
      </c>
      <c r="H470" s="55">
        <v>596.43</v>
      </c>
      <c r="I470" s="55">
        <f t="shared" si="1"/>
        <v>228.03</v>
      </c>
      <c r="J470" s="56">
        <f t="shared" si="2"/>
        <v>37</v>
      </c>
      <c r="K470" s="53" t="str">
        <f t="shared" si="3"/>
        <v>31-60</v>
      </c>
      <c r="L470" s="53" t="str">
        <f t="shared" si="4"/>
        <v>Reminder Sent</v>
      </c>
      <c r="M470" s="55" t="str">
        <f t="shared" si="5"/>
        <v>No</v>
      </c>
    </row>
    <row r="471" ht="15.75" customHeight="1">
      <c r="A471" s="25" t="s">
        <v>1682</v>
      </c>
      <c r="B471" s="25" t="s">
        <v>505</v>
      </c>
      <c r="C471" s="25" t="s">
        <v>466</v>
      </c>
      <c r="D471" s="26">
        <v>46149.0</v>
      </c>
      <c r="E471" s="26">
        <v>46164.0</v>
      </c>
      <c r="F471" s="30">
        <v>619.8</v>
      </c>
      <c r="G471" s="26">
        <v>46195.0</v>
      </c>
      <c r="H471" s="30">
        <v>619.8</v>
      </c>
      <c r="I471" s="30">
        <f t="shared" si="1"/>
        <v>0</v>
      </c>
      <c r="J471" s="29">
        <f t="shared" si="2"/>
        <v>0</v>
      </c>
      <c r="K471" s="25" t="str">
        <f t="shared" si="3"/>
        <v>Paid</v>
      </c>
      <c r="L471" s="25" t="str">
        <f t="shared" si="4"/>
        <v>Closed</v>
      </c>
      <c r="M471" s="30" t="str">
        <f t="shared" si="5"/>
        <v>No</v>
      </c>
    </row>
    <row r="472" ht="15.75" customHeight="1">
      <c r="A472" s="53" t="s">
        <v>1683</v>
      </c>
      <c r="B472" s="53" t="s">
        <v>235</v>
      </c>
      <c r="C472" s="53" t="s">
        <v>168</v>
      </c>
      <c r="D472" s="54">
        <v>46066.0</v>
      </c>
      <c r="E472" s="54">
        <v>46096.0</v>
      </c>
      <c r="F472" s="55">
        <v>567.54</v>
      </c>
      <c r="G472" s="54">
        <v>46111.0</v>
      </c>
      <c r="H472" s="55">
        <v>567.54</v>
      </c>
      <c r="I472" s="55">
        <f t="shared" si="1"/>
        <v>0</v>
      </c>
      <c r="J472" s="56">
        <f t="shared" si="2"/>
        <v>62</v>
      </c>
      <c r="K472" s="53" t="str">
        <f t="shared" si="3"/>
        <v>Paid</v>
      </c>
      <c r="L472" s="53" t="str">
        <f t="shared" si="4"/>
        <v>Closed</v>
      </c>
      <c r="M472" s="55" t="str">
        <f t="shared" si="5"/>
        <v>No</v>
      </c>
    </row>
    <row r="473" ht="15.75" customHeight="1">
      <c r="A473" s="25" t="s">
        <v>1684</v>
      </c>
      <c r="B473" s="25" t="s">
        <v>621</v>
      </c>
      <c r="C473" s="25" t="s">
        <v>540</v>
      </c>
      <c r="D473" s="26">
        <v>46067.0</v>
      </c>
      <c r="E473" s="26">
        <v>46082.0</v>
      </c>
      <c r="F473" s="30">
        <v>161.76</v>
      </c>
      <c r="G473" s="26">
        <v>46091.0</v>
      </c>
      <c r="H473" s="30">
        <v>161.76</v>
      </c>
      <c r="I473" s="30">
        <f t="shared" si="1"/>
        <v>0</v>
      </c>
      <c r="J473" s="29">
        <f t="shared" si="2"/>
        <v>76</v>
      </c>
      <c r="K473" s="25" t="str">
        <f t="shared" si="3"/>
        <v>Paid</v>
      </c>
      <c r="L473" s="25" t="str">
        <f t="shared" si="4"/>
        <v>Closed</v>
      </c>
      <c r="M473" s="30" t="str">
        <f t="shared" si="5"/>
        <v>No</v>
      </c>
    </row>
    <row r="474" ht="15.75" customHeight="1">
      <c r="A474" s="53" t="s">
        <v>1685</v>
      </c>
      <c r="B474" s="53" t="s">
        <v>1159</v>
      </c>
      <c r="C474" s="53" t="s">
        <v>1126</v>
      </c>
      <c r="D474" s="54">
        <v>46138.0</v>
      </c>
      <c r="E474" s="54">
        <v>46168.0</v>
      </c>
      <c r="F474" s="55">
        <v>964.8</v>
      </c>
      <c r="G474" s="54">
        <v>46179.0</v>
      </c>
      <c r="H474" s="55">
        <v>964.8</v>
      </c>
      <c r="I474" s="55">
        <f t="shared" si="1"/>
        <v>0</v>
      </c>
      <c r="J474" s="56">
        <f t="shared" si="2"/>
        <v>0</v>
      </c>
      <c r="K474" s="53" t="str">
        <f t="shared" si="3"/>
        <v>Paid</v>
      </c>
      <c r="L474" s="53" t="str">
        <f t="shared" si="4"/>
        <v>Closed</v>
      </c>
      <c r="M474" s="55" t="str">
        <f t="shared" si="5"/>
        <v>No</v>
      </c>
    </row>
    <row r="475" ht="15.75" customHeight="1">
      <c r="A475" s="25" t="s">
        <v>1686</v>
      </c>
      <c r="B475" s="25" t="s">
        <v>371</v>
      </c>
      <c r="C475" s="25" t="s">
        <v>326</v>
      </c>
      <c r="D475" s="26">
        <v>46105.0</v>
      </c>
      <c r="E475" s="26">
        <v>46135.0</v>
      </c>
      <c r="F475" s="30">
        <v>194.94</v>
      </c>
      <c r="G475" s="26"/>
      <c r="H475" s="30">
        <v>0.0</v>
      </c>
      <c r="I475" s="30">
        <f t="shared" si="1"/>
        <v>194.94</v>
      </c>
      <c r="J475" s="29">
        <f t="shared" si="2"/>
        <v>23</v>
      </c>
      <c r="K475" s="25" t="str">
        <f t="shared" si="3"/>
        <v>0-30</v>
      </c>
      <c r="L475" s="25" t="str">
        <f t="shared" si="4"/>
        <v>Current</v>
      </c>
      <c r="M475" s="30" t="str">
        <f t="shared" si="5"/>
        <v>No</v>
      </c>
    </row>
    <row r="476" ht="15.75" customHeight="1">
      <c r="A476" s="53" t="s">
        <v>1687</v>
      </c>
      <c r="B476" s="53" t="s">
        <v>622</v>
      </c>
      <c r="C476" s="53" t="s">
        <v>553</v>
      </c>
      <c r="D476" s="54">
        <v>46152.0</v>
      </c>
      <c r="E476" s="54">
        <v>46167.0</v>
      </c>
      <c r="F476" s="55">
        <v>133.2</v>
      </c>
      <c r="G476" s="54">
        <v>46198.0</v>
      </c>
      <c r="H476" s="55">
        <v>133.2</v>
      </c>
      <c r="I476" s="55">
        <f t="shared" si="1"/>
        <v>0</v>
      </c>
      <c r="J476" s="56">
        <f t="shared" si="2"/>
        <v>0</v>
      </c>
      <c r="K476" s="53" t="str">
        <f t="shared" si="3"/>
        <v>Paid</v>
      </c>
      <c r="L476" s="53" t="str">
        <f t="shared" si="4"/>
        <v>Closed</v>
      </c>
      <c r="M476" s="55" t="str">
        <f t="shared" si="5"/>
        <v>No</v>
      </c>
    </row>
    <row r="477" ht="15.75" customHeight="1">
      <c r="A477" s="25" t="s">
        <v>1688</v>
      </c>
      <c r="B477" s="25" t="s">
        <v>236</v>
      </c>
      <c r="C477" s="25" t="s">
        <v>164</v>
      </c>
      <c r="D477" s="26">
        <v>46126.0</v>
      </c>
      <c r="E477" s="26">
        <v>46171.0</v>
      </c>
      <c r="F477" s="30">
        <v>0.0</v>
      </c>
      <c r="G477" s="26">
        <v>46208.0</v>
      </c>
      <c r="H477" s="30">
        <v>0.0</v>
      </c>
      <c r="I477" s="30">
        <f t="shared" si="1"/>
        <v>0</v>
      </c>
      <c r="J477" s="29">
        <f t="shared" si="2"/>
        <v>0</v>
      </c>
      <c r="K477" s="25" t="str">
        <f t="shared" si="3"/>
        <v>Paid</v>
      </c>
      <c r="L477" s="25" t="str">
        <f t="shared" si="4"/>
        <v>Closed</v>
      </c>
      <c r="M477" s="30" t="str">
        <f t="shared" si="5"/>
        <v>No</v>
      </c>
    </row>
    <row r="478" ht="15.75" customHeight="1">
      <c r="A478" s="53" t="s">
        <v>1689</v>
      </c>
      <c r="B478" s="53" t="s">
        <v>372</v>
      </c>
      <c r="C478" s="53" t="s">
        <v>297</v>
      </c>
      <c r="D478" s="54">
        <v>46068.0</v>
      </c>
      <c r="E478" s="54">
        <v>46113.0</v>
      </c>
      <c r="F478" s="55">
        <v>676.8</v>
      </c>
      <c r="G478" s="54">
        <v>46146.0</v>
      </c>
      <c r="H478" s="55">
        <v>676.8</v>
      </c>
      <c r="I478" s="55">
        <f t="shared" si="1"/>
        <v>0</v>
      </c>
      <c r="J478" s="56">
        <f t="shared" si="2"/>
        <v>45</v>
      </c>
      <c r="K478" s="53" t="str">
        <f t="shared" si="3"/>
        <v>Paid</v>
      </c>
      <c r="L478" s="53" t="str">
        <f t="shared" si="4"/>
        <v>Closed</v>
      </c>
      <c r="M478" s="55" t="str">
        <f t="shared" si="5"/>
        <v>No</v>
      </c>
    </row>
    <row r="479" ht="15.75" customHeight="1">
      <c r="A479" s="25" t="s">
        <v>1690</v>
      </c>
      <c r="B479" s="25" t="s">
        <v>373</v>
      </c>
      <c r="C479" s="25" t="s">
        <v>305</v>
      </c>
      <c r="D479" s="26">
        <v>46040.0</v>
      </c>
      <c r="E479" s="26">
        <v>46085.0</v>
      </c>
      <c r="F479" s="30">
        <v>1056.0</v>
      </c>
      <c r="G479" s="26">
        <v>46101.0</v>
      </c>
      <c r="H479" s="30">
        <v>676.78</v>
      </c>
      <c r="I479" s="30">
        <f t="shared" si="1"/>
        <v>379.22</v>
      </c>
      <c r="J479" s="29">
        <f t="shared" si="2"/>
        <v>73</v>
      </c>
      <c r="K479" s="25" t="str">
        <f t="shared" si="3"/>
        <v>61-90</v>
      </c>
      <c r="L479" s="25" t="str">
        <f t="shared" si="4"/>
        <v>Collections Review</v>
      </c>
      <c r="M479" s="30" t="str">
        <f t="shared" si="5"/>
        <v>Yes</v>
      </c>
    </row>
    <row r="480" ht="15.75" customHeight="1">
      <c r="A480" s="53" t="s">
        <v>1691</v>
      </c>
      <c r="B480" s="53" t="s">
        <v>793</v>
      </c>
      <c r="C480" s="53" t="s">
        <v>720</v>
      </c>
      <c r="D480" s="54">
        <v>46119.0</v>
      </c>
      <c r="E480" s="54">
        <v>46149.0</v>
      </c>
      <c r="F480" s="55">
        <v>611.4</v>
      </c>
      <c r="G480" s="54">
        <v>46184.0</v>
      </c>
      <c r="H480" s="55">
        <v>611.4</v>
      </c>
      <c r="I480" s="55">
        <f t="shared" si="1"/>
        <v>0</v>
      </c>
      <c r="J480" s="56">
        <f t="shared" si="2"/>
        <v>9</v>
      </c>
      <c r="K480" s="53" t="str">
        <f t="shared" si="3"/>
        <v>Paid</v>
      </c>
      <c r="L480" s="53" t="str">
        <f t="shared" si="4"/>
        <v>Closed</v>
      </c>
      <c r="M480" s="55" t="str">
        <f t="shared" si="5"/>
        <v>No</v>
      </c>
    </row>
    <row r="481" ht="15.75" customHeight="1">
      <c r="A481" s="25" t="s">
        <v>1692</v>
      </c>
      <c r="B481" s="25" t="s">
        <v>908</v>
      </c>
      <c r="C481" s="25" t="s">
        <v>855</v>
      </c>
      <c r="D481" s="26">
        <v>46050.0</v>
      </c>
      <c r="E481" s="26">
        <v>46080.0</v>
      </c>
      <c r="F481" s="30">
        <v>232.56</v>
      </c>
      <c r="G481" s="26">
        <v>46123.0</v>
      </c>
      <c r="H481" s="30">
        <v>232.56</v>
      </c>
      <c r="I481" s="30">
        <f t="shared" si="1"/>
        <v>0</v>
      </c>
      <c r="J481" s="29">
        <f t="shared" si="2"/>
        <v>78</v>
      </c>
      <c r="K481" s="25" t="str">
        <f t="shared" si="3"/>
        <v>Paid</v>
      </c>
      <c r="L481" s="25" t="str">
        <f t="shared" si="4"/>
        <v>Closed</v>
      </c>
      <c r="M481" s="30" t="str">
        <f t="shared" si="5"/>
        <v>No</v>
      </c>
    </row>
    <row r="482" ht="15.75" customHeight="1">
      <c r="A482" s="53" t="s">
        <v>1693</v>
      </c>
      <c r="B482" s="53" t="s">
        <v>1020</v>
      </c>
      <c r="C482" s="53" t="s">
        <v>984</v>
      </c>
      <c r="D482" s="54">
        <v>46122.0</v>
      </c>
      <c r="E482" s="54">
        <v>46137.0</v>
      </c>
      <c r="F482" s="55">
        <v>224.64</v>
      </c>
      <c r="G482" s="54">
        <v>46165.0</v>
      </c>
      <c r="H482" s="55">
        <v>224.64</v>
      </c>
      <c r="I482" s="55">
        <f t="shared" si="1"/>
        <v>0</v>
      </c>
      <c r="J482" s="56">
        <f t="shared" si="2"/>
        <v>21</v>
      </c>
      <c r="K482" s="53" t="str">
        <f t="shared" si="3"/>
        <v>Paid</v>
      </c>
      <c r="L482" s="53" t="str">
        <f t="shared" si="4"/>
        <v>Closed</v>
      </c>
      <c r="M482" s="55" t="str">
        <f t="shared" si="5"/>
        <v>No</v>
      </c>
    </row>
    <row r="483" ht="15.75" customHeight="1">
      <c r="A483" s="25" t="s">
        <v>1694</v>
      </c>
      <c r="B483" s="25" t="s">
        <v>1021</v>
      </c>
      <c r="C483" s="25" t="s">
        <v>961</v>
      </c>
      <c r="D483" s="26">
        <v>46084.0</v>
      </c>
      <c r="E483" s="26">
        <v>46114.0</v>
      </c>
      <c r="F483" s="30">
        <v>544.32</v>
      </c>
      <c r="G483" s="26"/>
      <c r="H483" s="30">
        <v>0.0</v>
      </c>
      <c r="I483" s="30">
        <f t="shared" si="1"/>
        <v>544.32</v>
      </c>
      <c r="J483" s="29">
        <f t="shared" si="2"/>
        <v>44</v>
      </c>
      <c r="K483" s="25" t="str">
        <f t="shared" si="3"/>
        <v>31-60</v>
      </c>
      <c r="L483" s="25" t="str">
        <f t="shared" si="4"/>
        <v>Reminder Sent</v>
      </c>
      <c r="M483" s="30" t="str">
        <f t="shared" si="5"/>
        <v>No</v>
      </c>
    </row>
    <row r="484" ht="15.75" customHeight="1">
      <c r="A484" s="53" t="s">
        <v>1695</v>
      </c>
      <c r="B484" s="53" t="s">
        <v>374</v>
      </c>
      <c r="C484" s="53" t="s">
        <v>312</v>
      </c>
      <c r="D484" s="54">
        <v>46099.0</v>
      </c>
      <c r="E484" s="54">
        <v>46114.0</v>
      </c>
      <c r="F484" s="55">
        <v>578.49</v>
      </c>
      <c r="G484" s="54"/>
      <c r="H484" s="55">
        <v>0.0</v>
      </c>
      <c r="I484" s="55">
        <f t="shared" si="1"/>
        <v>578.49</v>
      </c>
      <c r="J484" s="56">
        <f t="shared" si="2"/>
        <v>44</v>
      </c>
      <c r="K484" s="53" t="str">
        <f t="shared" si="3"/>
        <v>31-60</v>
      </c>
      <c r="L484" s="53" t="str">
        <f t="shared" si="4"/>
        <v>Reminder Sent</v>
      </c>
      <c r="M484" s="55" t="str">
        <f t="shared" si="5"/>
        <v>No</v>
      </c>
    </row>
    <row r="485" ht="15.75" customHeight="1">
      <c r="A485" s="25" t="s">
        <v>1696</v>
      </c>
      <c r="B485" s="25" t="s">
        <v>506</v>
      </c>
      <c r="C485" s="25" t="s">
        <v>466</v>
      </c>
      <c r="D485" s="26">
        <v>46096.0</v>
      </c>
      <c r="E485" s="26">
        <v>46126.0</v>
      </c>
      <c r="F485" s="30">
        <v>758.16</v>
      </c>
      <c r="G485" s="26">
        <v>46127.0</v>
      </c>
      <c r="H485" s="30">
        <v>758.16</v>
      </c>
      <c r="I485" s="30">
        <f t="shared" si="1"/>
        <v>0</v>
      </c>
      <c r="J485" s="29">
        <f t="shared" si="2"/>
        <v>32</v>
      </c>
      <c r="K485" s="25" t="str">
        <f t="shared" si="3"/>
        <v>Paid</v>
      </c>
      <c r="L485" s="25" t="str">
        <f t="shared" si="4"/>
        <v>Closed</v>
      </c>
      <c r="M485" s="30" t="str">
        <f t="shared" si="5"/>
        <v>No</v>
      </c>
    </row>
    <row r="486" ht="15.75" customHeight="1">
      <c r="A486" s="53" t="s">
        <v>1697</v>
      </c>
      <c r="B486" s="53" t="s">
        <v>623</v>
      </c>
      <c r="C486" s="53" t="s">
        <v>542</v>
      </c>
      <c r="D486" s="54">
        <v>46085.0</v>
      </c>
      <c r="E486" s="54">
        <v>46115.0</v>
      </c>
      <c r="F486" s="55">
        <v>568.8</v>
      </c>
      <c r="G486" s="54">
        <v>46116.0</v>
      </c>
      <c r="H486" s="55">
        <v>568.8</v>
      </c>
      <c r="I486" s="55">
        <f t="shared" si="1"/>
        <v>0</v>
      </c>
      <c r="J486" s="56">
        <f t="shared" si="2"/>
        <v>43</v>
      </c>
      <c r="K486" s="53" t="str">
        <f t="shared" si="3"/>
        <v>Paid</v>
      </c>
      <c r="L486" s="53" t="str">
        <f t="shared" si="4"/>
        <v>Closed</v>
      </c>
      <c r="M486" s="55" t="str">
        <f t="shared" si="5"/>
        <v>No</v>
      </c>
    </row>
    <row r="487" ht="15.75" customHeight="1">
      <c r="A487" s="25" t="s">
        <v>1698</v>
      </c>
      <c r="B487" s="25" t="s">
        <v>1160</v>
      </c>
      <c r="C487" s="25" t="s">
        <v>1124</v>
      </c>
      <c r="D487" s="26">
        <v>46142.0</v>
      </c>
      <c r="E487" s="26">
        <v>46172.0</v>
      </c>
      <c r="F487" s="30">
        <v>134.1</v>
      </c>
      <c r="G487" s="26">
        <v>46178.0</v>
      </c>
      <c r="H487" s="30">
        <v>134.1</v>
      </c>
      <c r="I487" s="30">
        <f t="shared" si="1"/>
        <v>0</v>
      </c>
      <c r="J487" s="29">
        <f t="shared" si="2"/>
        <v>0</v>
      </c>
      <c r="K487" s="25" t="str">
        <f t="shared" si="3"/>
        <v>Paid</v>
      </c>
      <c r="L487" s="25" t="str">
        <f t="shared" si="4"/>
        <v>Closed</v>
      </c>
      <c r="M487" s="30" t="str">
        <f t="shared" si="5"/>
        <v>No</v>
      </c>
    </row>
    <row r="488" ht="15.75" customHeight="1">
      <c r="A488" s="53" t="s">
        <v>1699</v>
      </c>
      <c r="B488" s="53" t="s">
        <v>375</v>
      </c>
      <c r="C488" s="53" t="s">
        <v>314</v>
      </c>
      <c r="D488" s="54">
        <v>46048.0</v>
      </c>
      <c r="E488" s="54">
        <v>46078.0</v>
      </c>
      <c r="F488" s="55">
        <v>341.76</v>
      </c>
      <c r="G488" s="54">
        <v>46120.0</v>
      </c>
      <c r="H488" s="55">
        <v>341.76</v>
      </c>
      <c r="I488" s="55">
        <f t="shared" si="1"/>
        <v>0</v>
      </c>
      <c r="J488" s="56">
        <f t="shared" si="2"/>
        <v>80</v>
      </c>
      <c r="K488" s="53" t="str">
        <f t="shared" si="3"/>
        <v>Paid</v>
      </c>
      <c r="L488" s="53" t="str">
        <f t="shared" si="4"/>
        <v>Closed</v>
      </c>
      <c r="M488" s="55" t="str">
        <f t="shared" si="5"/>
        <v>No</v>
      </c>
    </row>
    <row r="489" ht="15.75" customHeight="1">
      <c r="A489" s="25" t="s">
        <v>1700</v>
      </c>
      <c r="B489" s="25" t="s">
        <v>1022</v>
      </c>
      <c r="C489" s="25" t="s">
        <v>955</v>
      </c>
      <c r="D489" s="26">
        <v>46037.0</v>
      </c>
      <c r="E489" s="26">
        <v>46067.0</v>
      </c>
      <c r="F489" s="30">
        <v>333.0</v>
      </c>
      <c r="G489" s="26">
        <v>46069.0</v>
      </c>
      <c r="H489" s="30">
        <v>333.0</v>
      </c>
      <c r="I489" s="30">
        <f t="shared" si="1"/>
        <v>0</v>
      </c>
      <c r="J489" s="29">
        <f t="shared" si="2"/>
        <v>91</v>
      </c>
      <c r="K489" s="25" t="str">
        <f t="shared" si="3"/>
        <v>Paid</v>
      </c>
      <c r="L489" s="25" t="str">
        <f t="shared" si="4"/>
        <v>Closed</v>
      </c>
      <c r="M489" s="30" t="str">
        <f t="shared" si="5"/>
        <v>No</v>
      </c>
    </row>
    <row r="490" ht="15.75" customHeight="1">
      <c r="A490" s="53" t="s">
        <v>1701</v>
      </c>
      <c r="B490" s="53" t="s">
        <v>1161</v>
      </c>
      <c r="C490" s="53" t="s">
        <v>1133</v>
      </c>
      <c r="D490" s="54">
        <v>46110.0</v>
      </c>
      <c r="E490" s="54">
        <v>46140.0</v>
      </c>
      <c r="F490" s="55">
        <v>379.8</v>
      </c>
      <c r="G490" s="54"/>
      <c r="H490" s="55">
        <v>0.0</v>
      </c>
      <c r="I490" s="55">
        <f t="shared" si="1"/>
        <v>379.8</v>
      </c>
      <c r="J490" s="56">
        <f t="shared" si="2"/>
        <v>18</v>
      </c>
      <c r="K490" s="53" t="str">
        <f t="shared" si="3"/>
        <v>0-30</v>
      </c>
      <c r="L490" s="53" t="str">
        <f t="shared" si="4"/>
        <v>Current</v>
      </c>
      <c r="M490" s="55" t="str">
        <f t="shared" si="5"/>
        <v>No</v>
      </c>
    </row>
    <row r="491" ht="15.75" customHeight="1">
      <c r="A491" s="25" t="s">
        <v>1702</v>
      </c>
      <c r="B491" s="25" t="s">
        <v>624</v>
      </c>
      <c r="C491" s="25" t="s">
        <v>544</v>
      </c>
      <c r="D491" s="26">
        <v>46030.0</v>
      </c>
      <c r="E491" s="26">
        <v>46060.0</v>
      </c>
      <c r="F491" s="30">
        <v>139.68</v>
      </c>
      <c r="G491" s="26">
        <v>46085.0</v>
      </c>
      <c r="H491" s="30">
        <v>139.68</v>
      </c>
      <c r="I491" s="30">
        <f t="shared" si="1"/>
        <v>0</v>
      </c>
      <c r="J491" s="29">
        <f t="shared" si="2"/>
        <v>98</v>
      </c>
      <c r="K491" s="25" t="str">
        <f t="shared" si="3"/>
        <v>Paid</v>
      </c>
      <c r="L491" s="25" t="str">
        <f t="shared" si="4"/>
        <v>Closed</v>
      </c>
      <c r="M491" s="30" t="str">
        <f t="shared" si="5"/>
        <v>No</v>
      </c>
    </row>
    <row r="492" ht="15.75" customHeight="1">
      <c r="A492" s="53" t="s">
        <v>1703</v>
      </c>
      <c r="B492" s="53" t="s">
        <v>237</v>
      </c>
      <c r="C492" s="53" t="s">
        <v>181</v>
      </c>
      <c r="D492" s="54">
        <v>46084.0</v>
      </c>
      <c r="E492" s="54">
        <v>46129.0</v>
      </c>
      <c r="F492" s="55">
        <v>303.0</v>
      </c>
      <c r="G492" s="54">
        <v>46151.0</v>
      </c>
      <c r="H492" s="55">
        <v>183.48</v>
      </c>
      <c r="I492" s="55">
        <f t="shared" si="1"/>
        <v>119.52</v>
      </c>
      <c r="J492" s="56">
        <f t="shared" si="2"/>
        <v>29</v>
      </c>
      <c r="K492" s="53" t="str">
        <f t="shared" si="3"/>
        <v>0-30</v>
      </c>
      <c r="L492" s="53" t="str">
        <f t="shared" si="4"/>
        <v>Current</v>
      </c>
      <c r="M492" s="55" t="str">
        <f t="shared" si="5"/>
        <v>No</v>
      </c>
    </row>
    <row r="493" ht="15.75" customHeight="1">
      <c r="A493" s="25" t="s">
        <v>1704</v>
      </c>
      <c r="B493" s="25" t="s">
        <v>625</v>
      </c>
      <c r="C493" s="25" t="s">
        <v>593</v>
      </c>
      <c r="D493" s="26">
        <v>46114.0</v>
      </c>
      <c r="E493" s="26">
        <v>46144.0</v>
      </c>
      <c r="F493" s="30">
        <v>270.6</v>
      </c>
      <c r="G493" s="26"/>
      <c r="H493" s="30">
        <v>0.0</v>
      </c>
      <c r="I493" s="30">
        <f t="shared" si="1"/>
        <v>270.6</v>
      </c>
      <c r="J493" s="29">
        <f t="shared" si="2"/>
        <v>14</v>
      </c>
      <c r="K493" s="25" t="str">
        <f t="shared" si="3"/>
        <v>0-30</v>
      </c>
      <c r="L493" s="25" t="str">
        <f t="shared" si="4"/>
        <v>Current</v>
      </c>
      <c r="M493" s="30" t="str">
        <f t="shared" si="5"/>
        <v>No</v>
      </c>
    </row>
    <row r="494" ht="15.75" customHeight="1">
      <c r="A494" s="53" t="s">
        <v>1705</v>
      </c>
      <c r="B494" s="53" t="s">
        <v>507</v>
      </c>
      <c r="C494" s="53" t="s">
        <v>446</v>
      </c>
      <c r="D494" s="54">
        <v>46119.0</v>
      </c>
      <c r="E494" s="54">
        <v>46149.0</v>
      </c>
      <c r="F494" s="55">
        <v>276.48</v>
      </c>
      <c r="G494" s="54">
        <v>46162.0</v>
      </c>
      <c r="H494" s="55">
        <v>276.48</v>
      </c>
      <c r="I494" s="55">
        <f t="shared" si="1"/>
        <v>0</v>
      </c>
      <c r="J494" s="56">
        <f t="shared" si="2"/>
        <v>9</v>
      </c>
      <c r="K494" s="53" t="str">
        <f t="shared" si="3"/>
        <v>Paid</v>
      </c>
      <c r="L494" s="53" t="str">
        <f t="shared" si="4"/>
        <v>Closed</v>
      </c>
      <c r="M494" s="55" t="str">
        <f t="shared" si="5"/>
        <v>No</v>
      </c>
    </row>
    <row r="495" ht="15.75" customHeight="1">
      <c r="A495" s="25" t="s">
        <v>1706</v>
      </c>
      <c r="B495" s="25" t="s">
        <v>376</v>
      </c>
      <c r="C495" s="25" t="s">
        <v>301</v>
      </c>
      <c r="D495" s="26">
        <v>46141.0</v>
      </c>
      <c r="E495" s="26">
        <v>46171.0</v>
      </c>
      <c r="F495" s="30">
        <v>158.4</v>
      </c>
      <c r="G495" s="26">
        <v>46194.0</v>
      </c>
      <c r="H495" s="30">
        <v>158.4</v>
      </c>
      <c r="I495" s="30">
        <f t="shared" si="1"/>
        <v>0</v>
      </c>
      <c r="J495" s="29">
        <f t="shared" si="2"/>
        <v>0</v>
      </c>
      <c r="K495" s="25" t="str">
        <f t="shared" si="3"/>
        <v>Paid</v>
      </c>
      <c r="L495" s="25" t="str">
        <f t="shared" si="4"/>
        <v>Closed</v>
      </c>
      <c r="M495" s="30" t="str">
        <f t="shared" si="5"/>
        <v>No</v>
      </c>
    </row>
    <row r="496" ht="15.75" customHeight="1">
      <c r="A496" s="53" t="s">
        <v>1707</v>
      </c>
      <c r="B496" s="53" t="s">
        <v>377</v>
      </c>
      <c r="C496" s="53" t="s">
        <v>312</v>
      </c>
      <c r="D496" s="54">
        <v>46070.0</v>
      </c>
      <c r="E496" s="54">
        <v>46100.0</v>
      </c>
      <c r="F496" s="55">
        <v>302.4</v>
      </c>
      <c r="G496" s="54">
        <v>46122.0</v>
      </c>
      <c r="H496" s="55">
        <v>302.4</v>
      </c>
      <c r="I496" s="55">
        <f t="shared" si="1"/>
        <v>0</v>
      </c>
      <c r="J496" s="56">
        <f t="shared" si="2"/>
        <v>58</v>
      </c>
      <c r="K496" s="53" t="str">
        <f t="shared" si="3"/>
        <v>Paid</v>
      </c>
      <c r="L496" s="53" t="str">
        <f t="shared" si="4"/>
        <v>Closed</v>
      </c>
      <c r="M496" s="55" t="str">
        <f t="shared" si="5"/>
        <v>No</v>
      </c>
    </row>
    <row r="497" ht="15.75" customHeight="1">
      <c r="A497" s="25" t="s">
        <v>1708</v>
      </c>
      <c r="B497" s="25" t="s">
        <v>1162</v>
      </c>
      <c r="C497" s="25" t="s">
        <v>1154</v>
      </c>
      <c r="D497" s="26">
        <v>46110.0</v>
      </c>
      <c r="E497" s="26">
        <v>46140.0</v>
      </c>
      <c r="F497" s="30">
        <v>522.0</v>
      </c>
      <c r="G497" s="26">
        <v>46150.0</v>
      </c>
      <c r="H497" s="30">
        <v>522.0</v>
      </c>
      <c r="I497" s="30">
        <f t="shared" si="1"/>
        <v>0</v>
      </c>
      <c r="J497" s="29">
        <f t="shared" si="2"/>
        <v>18</v>
      </c>
      <c r="K497" s="25" t="str">
        <f t="shared" si="3"/>
        <v>Paid</v>
      </c>
      <c r="L497" s="25" t="str">
        <f t="shared" si="4"/>
        <v>Closed</v>
      </c>
      <c r="M497" s="30" t="str">
        <f t="shared" si="5"/>
        <v>No</v>
      </c>
    </row>
    <row r="498" ht="15.75" customHeight="1">
      <c r="A498" s="53" t="s">
        <v>1709</v>
      </c>
      <c r="B498" s="53" t="s">
        <v>378</v>
      </c>
      <c r="C498" s="53" t="s">
        <v>291</v>
      </c>
      <c r="D498" s="54">
        <v>46130.0</v>
      </c>
      <c r="E498" s="54">
        <v>46160.0</v>
      </c>
      <c r="F498" s="55">
        <v>135.72</v>
      </c>
      <c r="G498" s="54">
        <v>46191.0</v>
      </c>
      <c r="H498" s="55">
        <v>78.19</v>
      </c>
      <c r="I498" s="55">
        <f t="shared" si="1"/>
        <v>57.53</v>
      </c>
      <c r="J498" s="56">
        <f t="shared" si="2"/>
        <v>0</v>
      </c>
      <c r="K498" s="53" t="str">
        <f t="shared" si="3"/>
        <v>0-30</v>
      </c>
      <c r="L498" s="53" t="str">
        <f t="shared" si="4"/>
        <v>Current</v>
      </c>
      <c r="M498" s="55" t="str">
        <f t="shared" si="5"/>
        <v>No</v>
      </c>
    </row>
    <row r="499" ht="15.75" customHeight="1">
      <c r="A499" s="25" t="s">
        <v>1710</v>
      </c>
      <c r="B499" s="25" t="s">
        <v>1023</v>
      </c>
      <c r="C499" s="25" t="s">
        <v>999</v>
      </c>
      <c r="D499" s="26">
        <v>46098.0</v>
      </c>
      <c r="E499" s="26">
        <v>46128.0</v>
      </c>
      <c r="F499" s="30">
        <v>506.4</v>
      </c>
      <c r="G499" s="26">
        <v>46130.0</v>
      </c>
      <c r="H499" s="30">
        <v>506.4</v>
      </c>
      <c r="I499" s="30">
        <f t="shared" si="1"/>
        <v>0</v>
      </c>
      <c r="J499" s="29">
        <f t="shared" si="2"/>
        <v>30</v>
      </c>
      <c r="K499" s="25" t="str">
        <f t="shared" si="3"/>
        <v>Paid</v>
      </c>
      <c r="L499" s="25" t="str">
        <f t="shared" si="4"/>
        <v>Closed</v>
      </c>
      <c r="M499" s="30" t="str">
        <f t="shared" si="5"/>
        <v>No</v>
      </c>
    </row>
    <row r="500" ht="15.75" customHeight="1">
      <c r="A500" s="53" t="s">
        <v>1711</v>
      </c>
      <c r="B500" s="53" t="s">
        <v>379</v>
      </c>
      <c r="C500" s="53" t="s">
        <v>312</v>
      </c>
      <c r="D500" s="54">
        <v>46076.0</v>
      </c>
      <c r="E500" s="54">
        <v>46106.0</v>
      </c>
      <c r="F500" s="55">
        <v>142.74</v>
      </c>
      <c r="G500" s="54"/>
      <c r="H500" s="55">
        <v>0.0</v>
      </c>
      <c r="I500" s="55">
        <f t="shared" si="1"/>
        <v>142.74</v>
      </c>
      <c r="J500" s="56">
        <f t="shared" si="2"/>
        <v>52</v>
      </c>
      <c r="K500" s="53" t="str">
        <f t="shared" si="3"/>
        <v>31-60</v>
      </c>
      <c r="L500" s="53" t="str">
        <f t="shared" si="4"/>
        <v>Reminder Sent</v>
      </c>
      <c r="M500" s="55" t="str">
        <f t="shared" si="5"/>
        <v>No</v>
      </c>
    </row>
    <row r="501" ht="15.75" customHeight="1">
      <c r="A501" s="25" t="s">
        <v>1712</v>
      </c>
      <c r="B501" s="25" t="s">
        <v>626</v>
      </c>
      <c r="C501" s="25" t="s">
        <v>550</v>
      </c>
      <c r="D501" s="26">
        <v>46119.0</v>
      </c>
      <c r="E501" s="26">
        <v>46134.0</v>
      </c>
      <c r="F501" s="30">
        <v>353.4</v>
      </c>
      <c r="G501" s="26"/>
      <c r="H501" s="30">
        <v>0.0</v>
      </c>
      <c r="I501" s="30">
        <f t="shared" si="1"/>
        <v>353.4</v>
      </c>
      <c r="J501" s="29">
        <f t="shared" si="2"/>
        <v>24</v>
      </c>
      <c r="K501" s="25" t="str">
        <f t="shared" si="3"/>
        <v>0-30</v>
      </c>
      <c r="L501" s="25" t="str">
        <f t="shared" si="4"/>
        <v>Current</v>
      </c>
      <c r="M501" s="30" t="str">
        <f t="shared" si="5"/>
        <v>No</v>
      </c>
    </row>
    <row r="502" ht="15.75" customHeight="1">
      <c r="A502" s="53" t="s">
        <v>1713</v>
      </c>
      <c r="B502" s="53" t="s">
        <v>627</v>
      </c>
      <c r="C502" s="53" t="s">
        <v>550</v>
      </c>
      <c r="D502" s="54">
        <v>46088.0</v>
      </c>
      <c r="E502" s="54">
        <v>46118.0</v>
      </c>
      <c r="F502" s="55">
        <v>64.24</v>
      </c>
      <c r="G502" s="54">
        <v>46153.0</v>
      </c>
      <c r="H502" s="55">
        <v>64.24</v>
      </c>
      <c r="I502" s="55">
        <f t="shared" si="1"/>
        <v>0</v>
      </c>
      <c r="J502" s="56">
        <f t="shared" si="2"/>
        <v>40</v>
      </c>
      <c r="K502" s="53" t="str">
        <f t="shared" si="3"/>
        <v>Paid</v>
      </c>
      <c r="L502" s="53" t="str">
        <f t="shared" si="4"/>
        <v>Closed</v>
      </c>
      <c r="M502" s="55" t="str">
        <f t="shared" si="5"/>
        <v>No</v>
      </c>
    </row>
    <row r="503" ht="15.75" customHeight="1">
      <c r="A503" s="25" t="s">
        <v>1714</v>
      </c>
      <c r="B503" s="25" t="s">
        <v>628</v>
      </c>
      <c r="C503" s="25" t="s">
        <v>582</v>
      </c>
      <c r="D503" s="26">
        <v>46074.0</v>
      </c>
      <c r="E503" s="26">
        <v>46104.0</v>
      </c>
      <c r="F503" s="30">
        <v>330.3</v>
      </c>
      <c r="G503" s="26"/>
      <c r="H503" s="30">
        <v>0.0</v>
      </c>
      <c r="I503" s="30">
        <f t="shared" si="1"/>
        <v>330.3</v>
      </c>
      <c r="J503" s="29">
        <f t="shared" si="2"/>
        <v>54</v>
      </c>
      <c r="K503" s="25" t="str">
        <f t="shared" si="3"/>
        <v>31-60</v>
      </c>
      <c r="L503" s="25" t="str">
        <f t="shared" si="4"/>
        <v>Reminder Sent</v>
      </c>
      <c r="M503" s="30" t="str">
        <f t="shared" si="5"/>
        <v>No</v>
      </c>
    </row>
    <row r="504" ht="15.75" customHeight="1">
      <c r="A504" s="53" t="s">
        <v>1715</v>
      </c>
      <c r="B504" s="53" t="s">
        <v>629</v>
      </c>
      <c r="C504" s="53" t="s">
        <v>550</v>
      </c>
      <c r="D504" s="54">
        <v>46137.0</v>
      </c>
      <c r="E504" s="54">
        <v>46167.0</v>
      </c>
      <c r="F504" s="55">
        <v>169.02</v>
      </c>
      <c r="G504" s="54">
        <v>46182.0</v>
      </c>
      <c r="H504" s="55">
        <v>169.02</v>
      </c>
      <c r="I504" s="55">
        <f t="shared" si="1"/>
        <v>0</v>
      </c>
      <c r="J504" s="56">
        <f t="shared" si="2"/>
        <v>0</v>
      </c>
      <c r="K504" s="53" t="str">
        <f t="shared" si="3"/>
        <v>Paid</v>
      </c>
      <c r="L504" s="53" t="str">
        <f t="shared" si="4"/>
        <v>Closed</v>
      </c>
      <c r="M504" s="55" t="str">
        <f t="shared" si="5"/>
        <v>No</v>
      </c>
    </row>
    <row r="505" ht="15.75" customHeight="1">
      <c r="A505" s="25" t="s">
        <v>1716</v>
      </c>
      <c r="B505" s="25" t="s">
        <v>1024</v>
      </c>
      <c r="C505" s="25" t="s">
        <v>968</v>
      </c>
      <c r="D505" s="26">
        <v>46087.0</v>
      </c>
      <c r="E505" s="26">
        <v>46117.0</v>
      </c>
      <c r="F505" s="30">
        <v>189.18</v>
      </c>
      <c r="G505" s="26">
        <v>46130.0</v>
      </c>
      <c r="H505" s="30">
        <v>189.18</v>
      </c>
      <c r="I505" s="30">
        <f t="shared" si="1"/>
        <v>0</v>
      </c>
      <c r="J505" s="29">
        <f t="shared" si="2"/>
        <v>41</v>
      </c>
      <c r="K505" s="25" t="str">
        <f t="shared" si="3"/>
        <v>Paid</v>
      </c>
      <c r="L505" s="25" t="str">
        <f t="shared" si="4"/>
        <v>Closed</v>
      </c>
      <c r="M505" s="30" t="str">
        <f t="shared" si="5"/>
        <v>No</v>
      </c>
    </row>
    <row r="506" ht="15.75" customHeight="1">
      <c r="A506" s="53" t="s">
        <v>1717</v>
      </c>
      <c r="B506" s="53" t="s">
        <v>910</v>
      </c>
      <c r="C506" s="53" t="s">
        <v>873</v>
      </c>
      <c r="D506" s="54">
        <v>46130.0</v>
      </c>
      <c r="E506" s="54">
        <v>46160.0</v>
      </c>
      <c r="F506" s="55">
        <v>725.76</v>
      </c>
      <c r="G506" s="54">
        <v>46162.0</v>
      </c>
      <c r="H506" s="55">
        <v>725.76</v>
      </c>
      <c r="I506" s="55">
        <f t="shared" si="1"/>
        <v>0</v>
      </c>
      <c r="J506" s="56">
        <f t="shared" si="2"/>
        <v>0</v>
      </c>
      <c r="K506" s="53" t="str">
        <f t="shared" si="3"/>
        <v>Paid</v>
      </c>
      <c r="L506" s="53" t="str">
        <f t="shared" si="4"/>
        <v>Closed</v>
      </c>
      <c r="M506" s="55" t="str">
        <f t="shared" si="5"/>
        <v>No</v>
      </c>
    </row>
    <row r="507" ht="15.75" customHeight="1">
      <c r="A507" s="25" t="s">
        <v>1718</v>
      </c>
      <c r="B507" s="25" t="s">
        <v>1025</v>
      </c>
      <c r="C507" s="25" t="s">
        <v>950</v>
      </c>
      <c r="D507" s="26">
        <v>46108.0</v>
      </c>
      <c r="E507" s="26">
        <v>46123.0</v>
      </c>
      <c r="F507" s="30">
        <v>138.36</v>
      </c>
      <c r="G507" s="26">
        <v>46164.0</v>
      </c>
      <c r="H507" s="30">
        <v>138.36</v>
      </c>
      <c r="I507" s="30">
        <f t="shared" si="1"/>
        <v>0</v>
      </c>
      <c r="J507" s="29">
        <f t="shared" si="2"/>
        <v>35</v>
      </c>
      <c r="K507" s="25" t="str">
        <f t="shared" si="3"/>
        <v>Paid</v>
      </c>
      <c r="L507" s="25" t="str">
        <f t="shared" si="4"/>
        <v>Closed</v>
      </c>
      <c r="M507" s="30" t="str">
        <f t="shared" si="5"/>
        <v>No</v>
      </c>
    </row>
    <row r="508" ht="15.75" customHeight="1">
      <c r="A508" s="53" t="s">
        <v>1719</v>
      </c>
      <c r="B508" s="53" t="s">
        <v>238</v>
      </c>
      <c r="C508" s="53" t="s">
        <v>189</v>
      </c>
      <c r="D508" s="54">
        <v>46138.0</v>
      </c>
      <c r="E508" s="54">
        <v>46153.0</v>
      </c>
      <c r="F508" s="55">
        <v>175.44</v>
      </c>
      <c r="G508" s="54">
        <v>46152.0</v>
      </c>
      <c r="H508" s="55">
        <v>175.44</v>
      </c>
      <c r="I508" s="55">
        <f t="shared" si="1"/>
        <v>0</v>
      </c>
      <c r="J508" s="56">
        <f t="shared" si="2"/>
        <v>5</v>
      </c>
      <c r="K508" s="53" t="str">
        <f t="shared" si="3"/>
        <v>Paid</v>
      </c>
      <c r="L508" s="53" t="str">
        <f t="shared" si="4"/>
        <v>Closed</v>
      </c>
      <c r="M508" s="55" t="str">
        <f t="shared" si="5"/>
        <v>No</v>
      </c>
    </row>
    <row r="509" ht="15.75" customHeight="1">
      <c r="A509" s="25" t="s">
        <v>1720</v>
      </c>
      <c r="B509" s="25" t="s">
        <v>381</v>
      </c>
      <c r="C509" s="25" t="s">
        <v>310</v>
      </c>
      <c r="D509" s="26">
        <v>46131.0</v>
      </c>
      <c r="E509" s="26">
        <v>46176.0</v>
      </c>
      <c r="F509" s="30">
        <v>272.88</v>
      </c>
      <c r="G509" s="26">
        <v>46190.0</v>
      </c>
      <c r="H509" s="30">
        <v>272.88</v>
      </c>
      <c r="I509" s="30">
        <f t="shared" si="1"/>
        <v>0</v>
      </c>
      <c r="J509" s="29">
        <f t="shared" si="2"/>
        <v>0</v>
      </c>
      <c r="K509" s="25" t="str">
        <f t="shared" si="3"/>
        <v>Paid</v>
      </c>
      <c r="L509" s="25" t="str">
        <f t="shared" si="4"/>
        <v>Closed</v>
      </c>
      <c r="M509" s="30" t="str">
        <f t="shared" si="5"/>
        <v>No</v>
      </c>
    </row>
    <row r="510" ht="15.75" customHeight="1">
      <c r="A510" s="53" t="s">
        <v>1721</v>
      </c>
      <c r="B510" s="53" t="s">
        <v>239</v>
      </c>
      <c r="C510" s="53" t="s">
        <v>166</v>
      </c>
      <c r="D510" s="54">
        <v>46125.0</v>
      </c>
      <c r="E510" s="54">
        <v>46170.0</v>
      </c>
      <c r="F510" s="55">
        <v>519.84</v>
      </c>
      <c r="G510" s="54">
        <v>46175.0</v>
      </c>
      <c r="H510" s="55">
        <v>519.84</v>
      </c>
      <c r="I510" s="55">
        <f t="shared" si="1"/>
        <v>0</v>
      </c>
      <c r="J510" s="56">
        <f t="shared" si="2"/>
        <v>0</v>
      </c>
      <c r="K510" s="53" t="str">
        <f t="shared" si="3"/>
        <v>Paid</v>
      </c>
      <c r="L510" s="53" t="str">
        <f t="shared" si="4"/>
        <v>Closed</v>
      </c>
      <c r="M510" s="55" t="str">
        <f t="shared" si="5"/>
        <v>No</v>
      </c>
    </row>
    <row r="511" ht="15.75" customHeight="1">
      <c r="A511" s="25" t="s">
        <v>1722</v>
      </c>
      <c r="B511" s="25" t="s">
        <v>1163</v>
      </c>
      <c r="C511" s="25" t="s">
        <v>1126</v>
      </c>
      <c r="D511" s="26">
        <v>46051.0</v>
      </c>
      <c r="E511" s="26">
        <v>46066.0</v>
      </c>
      <c r="F511" s="30">
        <v>61.02</v>
      </c>
      <c r="G511" s="26">
        <v>46078.0</v>
      </c>
      <c r="H511" s="30">
        <v>61.02</v>
      </c>
      <c r="I511" s="30">
        <f t="shared" si="1"/>
        <v>0</v>
      </c>
      <c r="J511" s="29">
        <f t="shared" si="2"/>
        <v>92</v>
      </c>
      <c r="K511" s="25" t="str">
        <f t="shared" si="3"/>
        <v>Paid</v>
      </c>
      <c r="L511" s="25" t="str">
        <f t="shared" si="4"/>
        <v>Closed</v>
      </c>
      <c r="M511" s="30" t="str">
        <f t="shared" si="5"/>
        <v>No</v>
      </c>
    </row>
    <row r="512" ht="15.75" customHeight="1">
      <c r="A512" s="53" t="s">
        <v>1723</v>
      </c>
      <c r="B512" s="53" t="s">
        <v>794</v>
      </c>
      <c r="C512" s="53" t="s">
        <v>717</v>
      </c>
      <c r="D512" s="54">
        <v>46147.0</v>
      </c>
      <c r="E512" s="54">
        <v>46162.0</v>
      </c>
      <c r="F512" s="55">
        <v>89.88</v>
      </c>
      <c r="G512" s="54">
        <v>46190.0</v>
      </c>
      <c r="H512" s="55">
        <v>89.88</v>
      </c>
      <c r="I512" s="55">
        <f t="shared" si="1"/>
        <v>0</v>
      </c>
      <c r="J512" s="56">
        <f t="shared" si="2"/>
        <v>0</v>
      </c>
      <c r="K512" s="53" t="str">
        <f t="shared" si="3"/>
        <v>Paid</v>
      </c>
      <c r="L512" s="53" t="str">
        <f t="shared" si="4"/>
        <v>Closed</v>
      </c>
      <c r="M512" s="55" t="str">
        <f t="shared" si="5"/>
        <v>No</v>
      </c>
    </row>
    <row r="513" ht="15.75" customHeight="1">
      <c r="A513" s="25" t="s">
        <v>1724</v>
      </c>
      <c r="B513" s="25" t="s">
        <v>795</v>
      </c>
      <c r="C513" s="25" t="s">
        <v>702</v>
      </c>
      <c r="D513" s="26">
        <v>46074.0</v>
      </c>
      <c r="E513" s="26">
        <v>46104.0</v>
      </c>
      <c r="F513" s="30">
        <v>230.88</v>
      </c>
      <c r="G513" s="26">
        <v>46121.0</v>
      </c>
      <c r="H513" s="30">
        <v>230.88</v>
      </c>
      <c r="I513" s="30">
        <f t="shared" si="1"/>
        <v>0</v>
      </c>
      <c r="J513" s="29">
        <f t="shared" si="2"/>
        <v>54</v>
      </c>
      <c r="K513" s="25" t="str">
        <f t="shared" si="3"/>
        <v>Paid</v>
      </c>
      <c r="L513" s="25" t="str">
        <f t="shared" si="4"/>
        <v>Closed</v>
      </c>
      <c r="M513" s="30" t="str">
        <f t="shared" si="5"/>
        <v>No</v>
      </c>
    </row>
    <row r="514" ht="15.75" customHeight="1">
      <c r="A514" s="53" t="s">
        <v>1725</v>
      </c>
      <c r="B514" s="53" t="s">
        <v>1026</v>
      </c>
      <c r="C514" s="53" t="s">
        <v>988</v>
      </c>
      <c r="D514" s="54">
        <v>46050.0</v>
      </c>
      <c r="E514" s="54">
        <v>46080.0</v>
      </c>
      <c r="F514" s="55">
        <v>73.68</v>
      </c>
      <c r="G514" s="54">
        <v>46120.0</v>
      </c>
      <c r="H514" s="55">
        <v>73.68</v>
      </c>
      <c r="I514" s="55">
        <f t="shared" si="1"/>
        <v>0</v>
      </c>
      <c r="J514" s="56">
        <f t="shared" si="2"/>
        <v>78</v>
      </c>
      <c r="K514" s="53" t="str">
        <f t="shared" si="3"/>
        <v>Paid</v>
      </c>
      <c r="L514" s="53" t="str">
        <f t="shared" si="4"/>
        <v>Closed</v>
      </c>
      <c r="M514" s="55" t="str">
        <f t="shared" si="5"/>
        <v>No</v>
      </c>
    </row>
    <row r="515" ht="15.75" customHeight="1">
      <c r="A515" s="25" t="s">
        <v>1726</v>
      </c>
      <c r="B515" s="25" t="s">
        <v>630</v>
      </c>
      <c r="C515" s="25" t="s">
        <v>566</v>
      </c>
      <c r="D515" s="26">
        <v>46097.0</v>
      </c>
      <c r="E515" s="26">
        <v>46127.0</v>
      </c>
      <c r="F515" s="30">
        <v>246.72</v>
      </c>
      <c r="G515" s="26">
        <v>46131.0</v>
      </c>
      <c r="H515" s="30">
        <v>246.72</v>
      </c>
      <c r="I515" s="30">
        <f t="shared" si="1"/>
        <v>0</v>
      </c>
      <c r="J515" s="29">
        <f t="shared" si="2"/>
        <v>31</v>
      </c>
      <c r="K515" s="25" t="str">
        <f t="shared" si="3"/>
        <v>Paid</v>
      </c>
      <c r="L515" s="25" t="str">
        <f t="shared" si="4"/>
        <v>Closed</v>
      </c>
      <c r="M515" s="30" t="str">
        <f t="shared" si="5"/>
        <v>No</v>
      </c>
    </row>
    <row r="516" ht="15.75" customHeight="1">
      <c r="A516" s="53" t="s">
        <v>1727</v>
      </c>
      <c r="B516" s="53" t="s">
        <v>796</v>
      </c>
      <c r="C516" s="53" t="s">
        <v>698</v>
      </c>
      <c r="D516" s="54">
        <v>46110.0</v>
      </c>
      <c r="E516" s="54">
        <v>46140.0</v>
      </c>
      <c r="F516" s="55">
        <v>398.52</v>
      </c>
      <c r="G516" s="54">
        <v>46134.0</v>
      </c>
      <c r="H516" s="55">
        <v>398.52</v>
      </c>
      <c r="I516" s="55">
        <f t="shared" si="1"/>
        <v>0</v>
      </c>
      <c r="J516" s="56">
        <f t="shared" si="2"/>
        <v>18</v>
      </c>
      <c r="K516" s="53" t="str">
        <f t="shared" si="3"/>
        <v>Paid</v>
      </c>
      <c r="L516" s="53" t="str">
        <f t="shared" si="4"/>
        <v>Closed</v>
      </c>
      <c r="M516" s="55" t="str">
        <f t="shared" si="5"/>
        <v>No</v>
      </c>
    </row>
    <row r="517" ht="15.75" customHeight="1">
      <c r="A517" s="25" t="s">
        <v>1728</v>
      </c>
      <c r="B517" s="25" t="s">
        <v>1107</v>
      </c>
      <c r="C517" s="25" t="s">
        <v>1075</v>
      </c>
      <c r="D517" s="26">
        <v>46103.0</v>
      </c>
      <c r="E517" s="26">
        <v>46133.0</v>
      </c>
      <c r="F517" s="30">
        <v>190.08</v>
      </c>
      <c r="G517" s="26">
        <v>46158.0</v>
      </c>
      <c r="H517" s="30">
        <v>190.08</v>
      </c>
      <c r="I517" s="30">
        <f t="shared" si="1"/>
        <v>0</v>
      </c>
      <c r="J517" s="29">
        <f t="shared" si="2"/>
        <v>25</v>
      </c>
      <c r="K517" s="25" t="str">
        <f t="shared" si="3"/>
        <v>Paid</v>
      </c>
      <c r="L517" s="25" t="str">
        <f t="shared" si="4"/>
        <v>Closed</v>
      </c>
      <c r="M517" s="30" t="str">
        <f t="shared" si="5"/>
        <v>No</v>
      </c>
    </row>
    <row r="518" ht="15.75" customHeight="1">
      <c r="A518" s="53" t="s">
        <v>1729</v>
      </c>
      <c r="B518" s="53" t="s">
        <v>631</v>
      </c>
      <c r="C518" s="53" t="s">
        <v>553</v>
      </c>
      <c r="D518" s="54">
        <v>46095.0</v>
      </c>
      <c r="E518" s="54">
        <v>46125.0</v>
      </c>
      <c r="F518" s="55">
        <v>300.72</v>
      </c>
      <c r="G518" s="54">
        <v>46150.0</v>
      </c>
      <c r="H518" s="55">
        <v>262.64</v>
      </c>
      <c r="I518" s="55">
        <f t="shared" si="1"/>
        <v>38.08</v>
      </c>
      <c r="J518" s="56">
        <f t="shared" si="2"/>
        <v>33</v>
      </c>
      <c r="K518" s="53" t="str">
        <f t="shared" si="3"/>
        <v>31-60</v>
      </c>
      <c r="L518" s="53" t="str">
        <f t="shared" si="4"/>
        <v>Reminder Sent</v>
      </c>
      <c r="M518" s="55" t="str">
        <f t="shared" si="5"/>
        <v>No</v>
      </c>
    </row>
    <row r="519" ht="15.75" customHeight="1">
      <c r="A519" s="25" t="s">
        <v>1730</v>
      </c>
      <c r="B519" s="25" t="s">
        <v>797</v>
      </c>
      <c r="C519" s="25" t="s">
        <v>714</v>
      </c>
      <c r="D519" s="26">
        <v>46126.0</v>
      </c>
      <c r="E519" s="26">
        <v>46156.0</v>
      </c>
      <c r="F519" s="30">
        <v>187.2</v>
      </c>
      <c r="G519" s="26">
        <v>46193.0</v>
      </c>
      <c r="H519" s="30">
        <v>187.2</v>
      </c>
      <c r="I519" s="30">
        <f t="shared" si="1"/>
        <v>0</v>
      </c>
      <c r="J519" s="29">
        <f t="shared" si="2"/>
        <v>2</v>
      </c>
      <c r="K519" s="25" t="str">
        <f t="shared" si="3"/>
        <v>Paid</v>
      </c>
      <c r="L519" s="25" t="str">
        <f t="shared" si="4"/>
        <v>Closed</v>
      </c>
      <c r="M519" s="30" t="str">
        <f t="shared" si="5"/>
        <v>No</v>
      </c>
    </row>
    <row r="520" ht="15.75" customHeight="1">
      <c r="A520" s="53" t="s">
        <v>1731</v>
      </c>
      <c r="B520" s="53" t="s">
        <v>798</v>
      </c>
      <c r="C520" s="53" t="s">
        <v>706</v>
      </c>
      <c r="D520" s="54">
        <v>46114.0</v>
      </c>
      <c r="E520" s="54">
        <v>46159.0</v>
      </c>
      <c r="F520" s="55">
        <v>933.12</v>
      </c>
      <c r="G520" s="54"/>
      <c r="H520" s="55">
        <v>0.0</v>
      </c>
      <c r="I520" s="55">
        <f t="shared" si="1"/>
        <v>933.12</v>
      </c>
      <c r="J520" s="56">
        <f t="shared" si="2"/>
        <v>0</v>
      </c>
      <c r="K520" s="53" t="str">
        <f t="shared" si="3"/>
        <v>0-30</v>
      </c>
      <c r="L520" s="53" t="str">
        <f t="shared" si="4"/>
        <v>Current</v>
      </c>
      <c r="M520" s="55" t="str">
        <f t="shared" si="5"/>
        <v>No</v>
      </c>
    </row>
    <row r="521" ht="15.75" customHeight="1">
      <c r="A521" s="25" t="s">
        <v>1732</v>
      </c>
      <c r="B521" s="25" t="s">
        <v>1027</v>
      </c>
      <c r="C521" s="25" t="s">
        <v>957</v>
      </c>
      <c r="D521" s="26">
        <v>46095.0</v>
      </c>
      <c r="E521" s="26">
        <v>46125.0</v>
      </c>
      <c r="F521" s="30">
        <v>646.8</v>
      </c>
      <c r="G521" s="26"/>
      <c r="H521" s="30">
        <v>0.0</v>
      </c>
      <c r="I521" s="30">
        <f t="shared" si="1"/>
        <v>646.8</v>
      </c>
      <c r="J521" s="29">
        <f t="shared" si="2"/>
        <v>33</v>
      </c>
      <c r="K521" s="25" t="str">
        <f t="shared" si="3"/>
        <v>31-60</v>
      </c>
      <c r="L521" s="25" t="str">
        <f t="shared" si="4"/>
        <v>Reminder Sent</v>
      </c>
      <c r="M521" s="30" t="str">
        <f t="shared" si="5"/>
        <v>No</v>
      </c>
    </row>
    <row r="522" ht="15.75" customHeight="1">
      <c r="A522" s="53" t="s">
        <v>1733</v>
      </c>
      <c r="B522" s="53" t="s">
        <v>799</v>
      </c>
      <c r="C522" s="53" t="s">
        <v>710</v>
      </c>
      <c r="D522" s="54">
        <v>46058.0</v>
      </c>
      <c r="E522" s="54">
        <v>46073.0</v>
      </c>
      <c r="F522" s="55">
        <v>994.56</v>
      </c>
      <c r="G522" s="54"/>
      <c r="H522" s="55">
        <v>0.0</v>
      </c>
      <c r="I522" s="55">
        <f t="shared" si="1"/>
        <v>994.56</v>
      </c>
      <c r="J522" s="56">
        <f t="shared" si="2"/>
        <v>85</v>
      </c>
      <c r="K522" s="53" t="str">
        <f t="shared" si="3"/>
        <v>61-90</v>
      </c>
      <c r="L522" s="53" t="str">
        <f t="shared" si="4"/>
        <v>Collections Review</v>
      </c>
      <c r="M522" s="55" t="str">
        <f t="shared" si="5"/>
        <v>Yes</v>
      </c>
    </row>
    <row r="523" ht="15.75" customHeight="1">
      <c r="A523" s="25" t="s">
        <v>1734</v>
      </c>
      <c r="B523" s="25" t="s">
        <v>1165</v>
      </c>
      <c r="C523" s="25" t="s">
        <v>1129</v>
      </c>
      <c r="D523" s="26">
        <v>46082.0</v>
      </c>
      <c r="E523" s="26">
        <v>46112.0</v>
      </c>
      <c r="F523" s="30">
        <v>0.0</v>
      </c>
      <c r="G523" s="26">
        <v>46144.0</v>
      </c>
      <c r="H523" s="30">
        <v>0.0</v>
      </c>
      <c r="I523" s="30">
        <f t="shared" si="1"/>
        <v>0</v>
      </c>
      <c r="J523" s="29">
        <f t="shared" si="2"/>
        <v>46</v>
      </c>
      <c r="K523" s="25" t="str">
        <f t="shared" si="3"/>
        <v>Paid</v>
      </c>
      <c r="L523" s="25" t="str">
        <f t="shared" si="4"/>
        <v>Closed</v>
      </c>
      <c r="M523" s="30" t="str">
        <f t="shared" si="5"/>
        <v>No</v>
      </c>
    </row>
    <row r="524" ht="15.75" customHeight="1">
      <c r="A524" s="53" t="s">
        <v>1735</v>
      </c>
      <c r="B524" s="53" t="s">
        <v>632</v>
      </c>
      <c r="C524" s="53" t="s">
        <v>575</v>
      </c>
      <c r="D524" s="54">
        <v>46055.0</v>
      </c>
      <c r="E524" s="54">
        <v>46100.0</v>
      </c>
      <c r="F524" s="55">
        <v>213.3</v>
      </c>
      <c r="G524" s="54">
        <v>46114.0</v>
      </c>
      <c r="H524" s="55">
        <v>213.3</v>
      </c>
      <c r="I524" s="55">
        <f t="shared" si="1"/>
        <v>0</v>
      </c>
      <c r="J524" s="56">
        <f t="shared" si="2"/>
        <v>58</v>
      </c>
      <c r="K524" s="53" t="str">
        <f t="shared" si="3"/>
        <v>Paid</v>
      </c>
      <c r="L524" s="53" t="str">
        <f t="shared" si="4"/>
        <v>Closed</v>
      </c>
      <c r="M524" s="55" t="str">
        <f t="shared" si="5"/>
        <v>No</v>
      </c>
    </row>
    <row r="525" ht="15.75" customHeight="1">
      <c r="A525" s="25" t="s">
        <v>1736</v>
      </c>
      <c r="B525" s="25" t="s">
        <v>508</v>
      </c>
      <c r="C525" s="25" t="s">
        <v>469</v>
      </c>
      <c r="D525" s="26">
        <v>46068.0</v>
      </c>
      <c r="E525" s="26">
        <v>46113.0</v>
      </c>
      <c r="F525" s="30">
        <v>356.16</v>
      </c>
      <c r="G525" s="26">
        <v>46158.0</v>
      </c>
      <c r="H525" s="30">
        <v>356.16</v>
      </c>
      <c r="I525" s="30">
        <f t="shared" si="1"/>
        <v>0</v>
      </c>
      <c r="J525" s="29">
        <f t="shared" si="2"/>
        <v>45</v>
      </c>
      <c r="K525" s="25" t="str">
        <f t="shared" si="3"/>
        <v>Paid</v>
      </c>
      <c r="L525" s="25" t="str">
        <f t="shared" si="4"/>
        <v>Closed</v>
      </c>
      <c r="M525" s="30" t="str">
        <f t="shared" si="5"/>
        <v>No</v>
      </c>
    </row>
    <row r="526" ht="15.75" customHeight="1">
      <c r="A526" s="53" t="s">
        <v>1737</v>
      </c>
      <c r="B526" s="53" t="s">
        <v>1166</v>
      </c>
      <c r="C526" s="53" t="s">
        <v>1126</v>
      </c>
      <c r="D526" s="54">
        <v>46148.0</v>
      </c>
      <c r="E526" s="54">
        <v>46193.0</v>
      </c>
      <c r="F526" s="55">
        <v>551.04</v>
      </c>
      <c r="G526" s="54">
        <v>46225.0</v>
      </c>
      <c r="H526" s="55">
        <v>551.04</v>
      </c>
      <c r="I526" s="55">
        <f t="shared" si="1"/>
        <v>0</v>
      </c>
      <c r="J526" s="56">
        <f t="shared" si="2"/>
        <v>0</v>
      </c>
      <c r="K526" s="53" t="str">
        <f t="shared" si="3"/>
        <v>Paid</v>
      </c>
      <c r="L526" s="53" t="str">
        <f t="shared" si="4"/>
        <v>Closed</v>
      </c>
      <c r="M526" s="55" t="str">
        <f t="shared" si="5"/>
        <v>No</v>
      </c>
    </row>
    <row r="527" ht="15.75" customHeight="1">
      <c r="A527" s="25" t="s">
        <v>1738</v>
      </c>
      <c r="B527" s="25" t="s">
        <v>912</v>
      </c>
      <c r="C527" s="25" t="s">
        <v>882</v>
      </c>
      <c r="D527" s="26">
        <v>46143.0</v>
      </c>
      <c r="E527" s="26">
        <v>46188.0</v>
      </c>
      <c r="F527" s="30">
        <v>280.5</v>
      </c>
      <c r="G527" s="26">
        <v>46224.0</v>
      </c>
      <c r="H527" s="30">
        <v>280.5</v>
      </c>
      <c r="I527" s="30">
        <f t="shared" si="1"/>
        <v>0</v>
      </c>
      <c r="J527" s="29">
        <f t="shared" si="2"/>
        <v>0</v>
      </c>
      <c r="K527" s="25" t="str">
        <f t="shared" si="3"/>
        <v>Paid</v>
      </c>
      <c r="L527" s="25" t="str">
        <f t="shared" si="4"/>
        <v>Closed</v>
      </c>
      <c r="M527" s="30" t="str">
        <f t="shared" si="5"/>
        <v>No</v>
      </c>
    </row>
    <row r="528" ht="15.75" customHeight="1">
      <c r="A528" s="53" t="s">
        <v>1739</v>
      </c>
      <c r="B528" s="53" t="s">
        <v>800</v>
      </c>
      <c r="C528" s="53" t="s">
        <v>720</v>
      </c>
      <c r="D528" s="54">
        <v>46138.0</v>
      </c>
      <c r="E528" s="54">
        <v>46168.0</v>
      </c>
      <c r="F528" s="55">
        <v>346.2</v>
      </c>
      <c r="G528" s="54"/>
      <c r="H528" s="55">
        <v>0.0</v>
      </c>
      <c r="I528" s="55">
        <f t="shared" si="1"/>
        <v>346.2</v>
      </c>
      <c r="J528" s="56">
        <f t="shared" si="2"/>
        <v>0</v>
      </c>
      <c r="K528" s="53" t="str">
        <f t="shared" si="3"/>
        <v>0-30</v>
      </c>
      <c r="L528" s="53" t="str">
        <f t="shared" si="4"/>
        <v>Current</v>
      </c>
      <c r="M528" s="55" t="str">
        <f t="shared" si="5"/>
        <v>No</v>
      </c>
    </row>
    <row r="529" ht="15.75" customHeight="1">
      <c r="A529" s="25" t="s">
        <v>1740</v>
      </c>
      <c r="B529" s="25" t="s">
        <v>913</v>
      </c>
      <c r="C529" s="25" t="s">
        <v>882</v>
      </c>
      <c r="D529" s="26">
        <v>46087.0</v>
      </c>
      <c r="E529" s="26">
        <v>46102.0</v>
      </c>
      <c r="F529" s="30">
        <v>729.36</v>
      </c>
      <c r="G529" s="26">
        <v>46133.0</v>
      </c>
      <c r="H529" s="30">
        <v>729.36</v>
      </c>
      <c r="I529" s="30">
        <f t="shared" si="1"/>
        <v>0</v>
      </c>
      <c r="J529" s="29">
        <f t="shared" si="2"/>
        <v>56</v>
      </c>
      <c r="K529" s="25" t="str">
        <f t="shared" si="3"/>
        <v>Paid</v>
      </c>
      <c r="L529" s="25" t="str">
        <f t="shared" si="4"/>
        <v>Closed</v>
      </c>
      <c r="M529" s="30" t="str">
        <f t="shared" si="5"/>
        <v>No</v>
      </c>
    </row>
    <row r="530" ht="15.75" customHeight="1">
      <c r="A530" s="53" t="s">
        <v>1741</v>
      </c>
      <c r="B530" s="53" t="s">
        <v>801</v>
      </c>
      <c r="C530" s="53" t="s">
        <v>727</v>
      </c>
      <c r="D530" s="54">
        <v>46050.0</v>
      </c>
      <c r="E530" s="54">
        <v>46080.0</v>
      </c>
      <c r="F530" s="55">
        <v>70.92</v>
      </c>
      <c r="G530" s="54">
        <v>46121.0</v>
      </c>
      <c r="H530" s="55">
        <v>70.92</v>
      </c>
      <c r="I530" s="55">
        <f t="shared" si="1"/>
        <v>0</v>
      </c>
      <c r="J530" s="56">
        <f t="shared" si="2"/>
        <v>78</v>
      </c>
      <c r="K530" s="53" t="str">
        <f t="shared" si="3"/>
        <v>Paid</v>
      </c>
      <c r="L530" s="53" t="str">
        <f t="shared" si="4"/>
        <v>Closed</v>
      </c>
      <c r="M530" s="55" t="str">
        <f t="shared" si="5"/>
        <v>No</v>
      </c>
    </row>
    <row r="531" ht="15.75" customHeight="1">
      <c r="A531" s="25" t="s">
        <v>1742</v>
      </c>
      <c r="B531" s="25" t="s">
        <v>240</v>
      </c>
      <c r="C531" s="25" t="s">
        <v>179</v>
      </c>
      <c r="D531" s="26">
        <v>46118.0</v>
      </c>
      <c r="E531" s="26">
        <v>46148.0</v>
      </c>
      <c r="F531" s="30">
        <v>394.08</v>
      </c>
      <c r="G531" s="26">
        <v>46161.0</v>
      </c>
      <c r="H531" s="30">
        <v>394.08</v>
      </c>
      <c r="I531" s="30">
        <f t="shared" si="1"/>
        <v>0</v>
      </c>
      <c r="J531" s="29">
        <f t="shared" si="2"/>
        <v>10</v>
      </c>
      <c r="K531" s="25" t="str">
        <f t="shared" si="3"/>
        <v>Paid</v>
      </c>
      <c r="L531" s="25" t="str">
        <f t="shared" si="4"/>
        <v>Closed</v>
      </c>
      <c r="M531" s="30" t="str">
        <f t="shared" si="5"/>
        <v>No</v>
      </c>
    </row>
    <row r="532" ht="15.75" customHeight="1">
      <c r="A532" s="53" t="s">
        <v>1743</v>
      </c>
      <c r="B532" s="53" t="s">
        <v>802</v>
      </c>
      <c r="C532" s="53" t="s">
        <v>714</v>
      </c>
      <c r="D532" s="54">
        <v>46151.0</v>
      </c>
      <c r="E532" s="54">
        <v>46181.0</v>
      </c>
      <c r="F532" s="55">
        <v>381.12</v>
      </c>
      <c r="G532" s="54">
        <v>46207.0</v>
      </c>
      <c r="H532" s="55">
        <v>381.12</v>
      </c>
      <c r="I532" s="55">
        <f t="shared" si="1"/>
        <v>0</v>
      </c>
      <c r="J532" s="56">
        <f t="shared" si="2"/>
        <v>0</v>
      </c>
      <c r="K532" s="53" t="str">
        <f t="shared" si="3"/>
        <v>Paid</v>
      </c>
      <c r="L532" s="53" t="str">
        <f t="shared" si="4"/>
        <v>Closed</v>
      </c>
      <c r="M532" s="55" t="str">
        <f t="shared" si="5"/>
        <v>No</v>
      </c>
    </row>
    <row r="533" ht="15.75" customHeight="1">
      <c r="A533" s="25" t="s">
        <v>1744</v>
      </c>
      <c r="B533" s="25" t="s">
        <v>241</v>
      </c>
      <c r="C533" s="25" t="s">
        <v>170</v>
      </c>
      <c r="D533" s="26">
        <v>46028.0</v>
      </c>
      <c r="E533" s="26">
        <v>46058.0</v>
      </c>
      <c r="F533" s="30">
        <v>744.0</v>
      </c>
      <c r="G533" s="26">
        <v>46089.0</v>
      </c>
      <c r="H533" s="30">
        <v>744.0</v>
      </c>
      <c r="I533" s="30">
        <f t="shared" si="1"/>
        <v>0</v>
      </c>
      <c r="J533" s="29">
        <f t="shared" si="2"/>
        <v>100</v>
      </c>
      <c r="K533" s="25" t="str">
        <f t="shared" si="3"/>
        <v>Paid</v>
      </c>
      <c r="L533" s="25" t="str">
        <f t="shared" si="4"/>
        <v>Closed</v>
      </c>
      <c r="M533" s="30" t="str">
        <f t="shared" si="5"/>
        <v>No</v>
      </c>
    </row>
    <row r="534" ht="15.75" customHeight="1">
      <c r="A534" s="53" t="s">
        <v>1745</v>
      </c>
      <c r="B534" s="53" t="s">
        <v>1028</v>
      </c>
      <c r="C534" s="53" t="s">
        <v>965</v>
      </c>
      <c r="D534" s="54">
        <v>46032.0</v>
      </c>
      <c r="E534" s="54">
        <v>46062.0</v>
      </c>
      <c r="F534" s="55">
        <v>1004.16</v>
      </c>
      <c r="G534" s="54"/>
      <c r="H534" s="55">
        <v>0.0</v>
      </c>
      <c r="I534" s="55">
        <f t="shared" si="1"/>
        <v>1004.16</v>
      </c>
      <c r="J534" s="56">
        <f t="shared" si="2"/>
        <v>96</v>
      </c>
      <c r="K534" s="53" t="str">
        <f t="shared" si="3"/>
        <v>90+</v>
      </c>
      <c r="L534" s="53" t="str">
        <f t="shared" si="4"/>
        <v>Escalate</v>
      </c>
      <c r="M534" s="55" t="str">
        <f t="shared" si="5"/>
        <v>Yes</v>
      </c>
    </row>
    <row r="535" ht="15.75" customHeight="1">
      <c r="A535" s="25" t="s">
        <v>1746</v>
      </c>
      <c r="B535" s="25" t="s">
        <v>633</v>
      </c>
      <c r="C535" s="25" t="s">
        <v>557</v>
      </c>
      <c r="D535" s="26">
        <v>46086.0</v>
      </c>
      <c r="E535" s="26">
        <v>46116.0</v>
      </c>
      <c r="F535" s="30">
        <v>741.6</v>
      </c>
      <c r="G535" s="26">
        <v>46144.0</v>
      </c>
      <c r="H535" s="30">
        <v>741.6</v>
      </c>
      <c r="I535" s="30">
        <f t="shared" si="1"/>
        <v>0</v>
      </c>
      <c r="J535" s="29">
        <f t="shared" si="2"/>
        <v>42</v>
      </c>
      <c r="K535" s="25" t="str">
        <f t="shared" si="3"/>
        <v>Paid</v>
      </c>
      <c r="L535" s="25" t="str">
        <f t="shared" si="4"/>
        <v>Closed</v>
      </c>
      <c r="M535" s="30" t="str">
        <f t="shared" si="5"/>
        <v>No</v>
      </c>
    </row>
    <row r="536" ht="15.75" customHeight="1">
      <c r="A536" s="53" t="s">
        <v>1747</v>
      </c>
      <c r="B536" s="53" t="s">
        <v>1029</v>
      </c>
      <c r="C536" s="53" t="s">
        <v>984</v>
      </c>
      <c r="D536" s="54">
        <v>46113.0</v>
      </c>
      <c r="E536" s="54">
        <v>46128.0</v>
      </c>
      <c r="F536" s="55">
        <v>1330.8</v>
      </c>
      <c r="G536" s="54"/>
      <c r="H536" s="55">
        <v>0.0</v>
      </c>
      <c r="I536" s="55">
        <f t="shared" si="1"/>
        <v>1330.8</v>
      </c>
      <c r="J536" s="56">
        <f t="shared" si="2"/>
        <v>30</v>
      </c>
      <c r="K536" s="53" t="str">
        <f t="shared" si="3"/>
        <v>0-30</v>
      </c>
      <c r="L536" s="53" t="str">
        <f t="shared" si="4"/>
        <v>Current</v>
      </c>
      <c r="M536" s="55" t="str">
        <f t="shared" si="5"/>
        <v>No</v>
      </c>
    </row>
    <row r="537" ht="15.75" customHeight="1">
      <c r="A537" s="25" t="s">
        <v>1748</v>
      </c>
      <c r="B537" s="25" t="s">
        <v>1030</v>
      </c>
      <c r="C537" s="25" t="s">
        <v>961</v>
      </c>
      <c r="D537" s="26">
        <v>46145.0</v>
      </c>
      <c r="E537" s="26">
        <v>46175.0</v>
      </c>
      <c r="F537" s="30">
        <v>456.6</v>
      </c>
      <c r="G537" s="26">
        <v>46218.0</v>
      </c>
      <c r="H537" s="30">
        <v>456.6</v>
      </c>
      <c r="I537" s="30">
        <f t="shared" si="1"/>
        <v>0</v>
      </c>
      <c r="J537" s="29">
        <f t="shared" si="2"/>
        <v>0</v>
      </c>
      <c r="K537" s="25" t="str">
        <f t="shared" si="3"/>
        <v>Paid</v>
      </c>
      <c r="L537" s="25" t="str">
        <f t="shared" si="4"/>
        <v>Closed</v>
      </c>
      <c r="M537" s="30" t="str">
        <f t="shared" si="5"/>
        <v>No</v>
      </c>
    </row>
    <row r="538" ht="15.75" customHeight="1">
      <c r="A538" s="53" t="s">
        <v>1749</v>
      </c>
      <c r="B538" s="53" t="s">
        <v>914</v>
      </c>
      <c r="C538" s="53" t="s">
        <v>873</v>
      </c>
      <c r="D538" s="54">
        <v>46132.0</v>
      </c>
      <c r="E538" s="54">
        <v>46162.0</v>
      </c>
      <c r="F538" s="55">
        <v>243.0</v>
      </c>
      <c r="G538" s="54">
        <v>46159.0</v>
      </c>
      <c r="H538" s="55">
        <v>243.0</v>
      </c>
      <c r="I538" s="55">
        <f t="shared" si="1"/>
        <v>0</v>
      </c>
      <c r="J538" s="56">
        <f t="shared" si="2"/>
        <v>0</v>
      </c>
      <c r="K538" s="53" t="str">
        <f t="shared" si="3"/>
        <v>Paid</v>
      </c>
      <c r="L538" s="53" t="str">
        <f t="shared" si="4"/>
        <v>Closed</v>
      </c>
      <c r="M538" s="55" t="str">
        <f t="shared" si="5"/>
        <v>No</v>
      </c>
    </row>
    <row r="539" ht="15.75" customHeight="1">
      <c r="A539" s="25" t="s">
        <v>1750</v>
      </c>
      <c r="B539" s="25" t="s">
        <v>1167</v>
      </c>
      <c r="C539" s="25" t="s">
        <v>1154</v>
      </c>
      <c r="D539" s="26">
        <v>46140.0</v>
      </c>
      <c r="E539" s="26">
        <v>46155.0</v>
      </c>
      <c r="F539" s="30">
        <v>956.16</v>
      </c>
      <c r="G539" s="26">
        <v>46195.0</v>
      </c>
      <c r="H539" s="30">
        <v>956.16</v>
      </c>
      <c r="I539" s="30">
        <f t="shared" si="1"/>
        <v>0</v>
      </c>
      <c r="J539" s="29">
        <f t="shared" si="2"/>
        <v>3</v>
      </c>
      <c r="K539" s="25" t="str">
        <f t="shared" si="3"/>
        <v>Paid</v>
      </c>
      <c r="L539" s="25" t="str">
        <f t="shared" si="4"/>
        <v>Closed</v>
      </c>
      <c r="M539" s="30" t="str">
        <f t="shared" si="5"/>
        <v>No</v>
      </c>
    </row>
    <row r="540" ht="15.75" customHeight="1">
      <c r="A540" s="53" t="s">
        <v>1751</v>
      </c>
      <c r="B540" s="53" t="s">
        <v>382</v>
      </c>
      <c r="C540" s="53" t="s">
        <v>305</v>
      </c>
      <c r="D540" s="54">
        <v>46065.0</v>
      </c>
      <c r="E540" s="54">
        <v>46095.0</v>
      </c>
      <c r="F540" s="55">
        <v>49.8</v>
      </c>
      <c r="G540" s="54"/>
      <c r="H540" s="55">
        <v>0.0</v>
      </c>
      <c r="I540" s="55">
        <f t="shared" si="1"/>
        <v>49.8</v>
      </c>
      <c r="J540" s="56">
        <f t="shared" si="2"/>
        <v>63</v>
      </c>
      <c r="K540" s="53" t="str">
        <f t="shared" si="3"/>
        <v>61-90</v>
      </c>
      <c r="L540" s="53" t="str">
        <f t="shared" si="4"/>
        <v>Collections Review</v>
      </c>
      <c r="M540" s="55" t="str">
        <f t="shared" si="5"/>
        <v>Yes</v>
      </c>
    </row>
    <row r="541" ht="15.75" customHeight="1">
      <c r="A541" s="25" t="s">
        <v>1752</v>
      </c>
      <c r="B541" s="25" t="s">
        <v>1168</v>
      </c>
      <c r="C541" s="25" t="s">
        <v>1154</v>
      </c>
      <c r="D541" s="26">
        <v>46073.0</v>
      </c>
      <c r="E541" s="26">
        <v>46103.0</v>
      </c>
      <c r="F541" s="30">
        <v>200.32</v>
      </c>
      <c r="G541" s="26">
        <v>46103.0</v>
      </c>
      <c r="H541" s="30">
        <v>200.32</v>
      </c>
      <c r="I541" s="30">
        <f t="shared" si="1"/>
        <v>0</v>
      </c>
      <c r="J541" s="29">
        <f t="shared" si="2"/>
        <v>55</v>
      </c>
      <c r="K541" s="25" t="str">
        <f t="shared" si="3"/>
        <v>Paid</v>
      </c>
      <c r="L541" s="25" t="str">
        <f t="shared" si="4"/>
        <v>Closed</v>
      </c>
      <c r="M541" s="30" t="str">
        <f t="shared" si="5"/>
        <v>No</v>
      </c>
    </row>
    <row r="542" ht="15.75" customHeight="1">
      <c r="A542" s="53" t="s">
        <v>1753</v>
      </c>
      <c r="B542" s="53" t="s">
        <v>242</v>
      </c>
      <c r="C542" s="53" t="s">
        <v>174</v>
      </c>
      <c r="D542" s="54">
        <v>46111.0</v>
      </c>
      <c r="E542" s="54">
        <v>46141.0</v>
      </c>
      <c r="F542" s="55">
        <v>195.78</v>
      </c>
      <c r="G542" s="54"/>
      <c r="H542" s="55">
        <v>0.0</v>
      </c>
      <c r="I542" s="55">
        <f t="shared" si="1"/>
        <v>195.78</v>
      </c>
      <c r="J542" s="56">
        <f t="shared" si="2"/>
        <v>17</v>
      </c>
      <c r="K542" s="53" t="str">
        <f t="shared" si="3"/>
        <v>0-30</v>
      </c>
      <c r="L542" s="53" t="str">
        <f t="shared" si="4"/>
        <v>Current</v>
      </c>
      <c r="M542" s="55" t="str">
        <f t="shared" si="5"/>
        <v>No</v>
      </c>
    </row>
    <row r="543" ht="15.75" customHeight="1">
      <c r="A543" s="25" t="s">
        <v>1754</v>
      </c>
      <c r="B543" s="25" t="s">
        <v>803</v>
      </c>
      <c r="C543" s="25" t="s">
        <v>702</v>
      </c>
      <c r="D543" s="26">
        <v>46058.0</v>
      </c>
      <c r="E543" s="26">
        <v>46088.0</v>
      </c>
      <c r="F543" s="30">
        <v>1080.0</v>
      </c>
      <c r="G543" s="26"/>
      <c r="H543" s="30">
        <v>0.0</v>
      </c>
      <c r="I543" s="30">
        <f t="shared" si="1"/>
        <v>1080</v>
      </c>
      <c r="J543" s="29">
        <f t="shared" si="2"/>
        <v>70</v>
      </c>
      <c r="K543" s="25" t="str">
        <f t="shared" si="3"/>
        <v>61-90</v>
      </c>
      <c r="L543" s="25" t="str">
        <f t="shared" si="4"/>
        <v>Collections Review</v>
      </c>
      <c r="M543" s="30" t="str">
        <f t="shared" si="5"/>
        <v>Yes</v>
      </c>
    </row>
    <row r="544" ht="15.75" customHeight="1">
      <c r="A544" s="53" t="s">
        <v>1755</v>
      </c>
      <c r="B544" s="53" t="s">
        <v>915</v>
      </c>
      <c r="C544" s="53" t="s">
        <v>855</v>
      </c>
      <c r="D544" s="54">
        <v>46097.0</v>
      </c>
      <c r="E544" s="54">
        <v>46112.0</v>
      </c>
      <c r="F544" s="55">
        <v>749.52</v>
      </c>
      <c r="G544" s="54"/>
      <c r="H544" s="55">
        <v>0.0</v>
      </c>
      <c r="I544" s="55">
        <f t="shared" si="1"/>
        <v>749.52</v>
      </c>
      <c r="J544" s="56">
        <f t="shared" si="2"/>
        <v>46</v>
      </c>
      <c r="K544" s="53" t="str">
        <f t="shared" si="3"/>
        <v>31-60</v>
      </c>
      <c r="L544" s="53" t="str">
        <f t="shared" si="4"/>
        <v>Reminder Sent</v>
      </c>
      <c r="M544" s="55" t="str">
        <f t="shared" si="5"/>
        <v>No</v>
      </c>
    </row>
    <row r="545" ht="15.75" customHeight="1">
      <c r="A545" s="25" t="s">
        <v>1756</v>
      </c>
      <c r="B545" s="25" t="s">
        <v>383</v>
      </c>
      <c r="C545" s="25" t="s">
        <v>330</v>
      </c>
      <c r="D545" s="26">
        <v>46153.0</v>
      </c>
      <c r="E545" s="26">
        <v>46168.0</v>
      </c>
      <c r="F545" s="30">
        <v>644.4</v>
      </c>
      <c r="G545" s="26">
        <v>46174.0</v>
      </c>
      <c r="H545" s="30">
        <v>644.4</v>
      </c>
      <c r="I545" s="30">
        <f t="shared" si="1"/>
        <v>0</v>
      </c>
      <c r="J545" s="29">
        <f t="shared" si="2"/>
        <v>0</v>
      </c>
      <c r="K545" s="25" t="str">
        <f t="shared" si="3"/>
        <v>Paid</v>
      </c>
      <c r="L545" s="25" t="str">
        <f t="shared" si="4"/>
        <v>Closed</v>
      </c>
      <c r="M545" s="30" t="str">
        <f t="shared" si="5"/>
        <v>No</v>
      </c>
    </row>
    <row r="546" ht="15.75" customHeight="1">
      <c r="A546" s="53" t="s">
        <v>1757</v>
      </c>
      <c r="B546" s="53" t="s">
        <v>804</v>
      </c>
      <c r="C546" s="53" t="s">
        <v>720</v>
      </c>
      <c r="D546" s="54">
        <v>46108.0</v>
      </c>
      <c r="E546" s="54">
        <v>46138.0</v>
      </c>
      <c r="F546" s="55">
        <v>1382.4</v>
      </c>
      <c r="G546" s="54">
        <v>46134.0</v>
      </c>
      <c r="H546" s="55">
        <v>659.57</v>
      </c>
      <c r="I546" s="55">
        <f t="shared" si="1"/>
        <v>722.83</v>
      </c>
      <c r="J546" s="56">
        <f t="shared" si="2"/>
        <v>20</v>
      </c>
      <c r="K546" s="53" t="str">
        <f t="shared" si="3"/>
        <v>0-30</v>
      </c>
      <c r="L546" s="53" t="str">
        <f t="shared" si="4"/>
        <v>Current</v>
      </c>
      <c r="M546" s="55" t="str">
        <f t="shared" si="5"/>
        <v>No</v>
      </c>
    </row>
    <row r="547" ht="15.75" customHeight="1">
      <c r="A547" s="25" t="s">
        <v>1758</v>
      </c>
      <c r="B547" s="25" t="s">
        <v>128</v>
      </c>
      <c r="C547" s="25" t="s">
        <v>77</v>
      </c>
      <c r="D547" s="26">
        <v>46126.0</v>
      </c>
      <c r="E547" s="26">
        <v>46141.0</v>
      </c>
      <c r="F547" s="30">
        <v>1312.8</v>
      </c>
      <c r="G547" s="26">
        <v>46183.0</v>
      </c>
      <c r="H547" s="30">
        <v>606.17</v>
      </c>
      <c r="I547" s="30">
        <f t="shared" si="1"/>
        <v>706.63</v>
      </c>
      <c r="J547" s="29">
        <f t="shared" si="2"/>
        <v>17</v>
      </c>
      <c r="K547" s="25" t="str">
        <f t="shared" si="3"/>
        <v>0-30</v>
      </c>
      <c r="L547" s="25" t="str">
        <f t="shared" si="4"/>
        <v>Current</v>
      </c>
      <c r="M547" s="30" t="str">
        <f t="shared" si="5"/>
        <v>No</v>
      </c>
    </row>
    <row r="548" ht="15.75" customHeight="1">
      <c r="A548" s="53" t="s">
        <v>1759</v>
      </c>
      <c r="B548" s="53" t="s">
        <v>384</v>
      </c>
      <c r="C548" s="53" t="s">
        <v>330</v>
      </c>
      <c r="D548" s="54">
        <v>46033.0</v>
      </c>
      <c r="E548" s="54">
        <v>46063.0</v>
      </c>
      <c r="F548" s="55">
        <v>485.28</v>
      </c>
      <c r="G548" s="54">
        <v>46108.0</v>
      </c>
      <c r="H548" s="55">
        <v>217.69</v>
      </c>
      <c r="I548" s="55">
        <f t="shared" si="1"/>
        <v>267.59</v>
      </c>
      <c r="J548" s="56">
        <f t="shared" si="2"/>
        <v>95</v>
      </c>
      <c r="K548" s="53" t="str">
        <f t="shared" si="3"/>
        <v>90+</v>
      </c>
      <c r="L548" s="53" t="str">
        <f t="shared" si="4"/>
        <v>Escalate</v>
      </c>
      <c r="M548" s="55" t="str">
        <f t="shared" si="5"/>
        <v>Yes</v>
      </c>
    </row>
    <row r="549" ht="15.75" customHeight="1">
      <c r="A549" s="25" t="s">
        <v>1760</v>
      </c>
      <c r="B549" s="25" t="s">
        <v>243</v>
      </c>
      <c r="C549" s="25" t="s">
        <v>207</v>
      </c>
      <c r="D549" s="26">
        <v>46114.0</v>
      </c>
      <c r="E549" s="26">
        <v>46159.0</v>
      </c>
      <c r="F549" s="30">
        <v>0.0</v>
      </c>
      <c r="G549" s="26">
        <v>46168.0</v>
      </c>
      <c r="H549" s="30">
        <v>0.0</v>
      </c>
      <c r="I549" s="30">
        <f t="shared" si="1"/>
        <v>0</v>
      </c>
      <c r="J549" s="29">
        <f t="shared" si="2"/>
        <v>0</v>
      </c>
      <c r="K549" s="25" t="str">
        <f t="shared" si="3"/>
        <v>Paid</v>
      </c>
      <c r="L549" s="25" t="str">
        <f t="shared" si="4"/>
        <v>Closed</v>
      </c>
      <c r="M549" s="30" t="str">
        <f t="shared" si="5"/>
        <v>No</v>
      </c>
    </row>
    <row r="550" ht="15.75" customHeight="1">
      <c r="A550" s="53" t="s">
        <v>1761</v>
      </c>
      <c r="B550" s="53" t="s">
        <v>634</v>
      </c>
      <c r="C550" s="53" t="s">
        <v>553</v>
      </c>
      <c r="D550" s="54">
        <v>46044.0</v>
      </c>
      <c r="E550" s="54">
        <v>46074.0</v>
      </c>
      <c r="F550" s="55">
        <v>955.2</v>
      </c>
      <c r="G550" s="54"/>
      <c r="H550" s="55">
        <v>0.0</v>
      </c>
      <c r="I550" s="55">
        <f t="shared" si="1"/>
        <v>955.2</v>
      </c>
      <c r="J550" s="56">
        <f t="shared" si="2"/>
        <v>84</v>
      </c>
      <c r="K550" s="53" t="str">
        <f t="shared" si="3"/>
        <v>61-90</v>
      </c>
      <c r="L550" s="53" t="str">
        <f t="shared" si="4"/>
        <v>Collections Review</v>
      </c>
      <c r="M550" s="55" t="str">
        <f t="shared" si="5"/>
        <v>Yes</v>
      </c>
    </row>
    <row r="551" ht="15.75" customHeight="1">
      <c r="A551" s="25" t="s">
        <v>1762</v>
      </c>
      <c r="B551" s="25" t="s">
        <v>1169</v>
      </c>
      <c r="C551" s="25" t="s">
        <v>1133</v>
      </c>
      <c r="D551" s="26">
        <v>46068.0</v>
      </c>
      <c r="E551" s="26">
        <v>46098.0</v>
      </c>
      <c r="F551" s="30">
        <v>320.4</v>
      </c>
      <c r="G551" s="26">
        <v>46125.0</v>
      </c>
      <c r="H551" s="30">
        <v>320.4</v>
      </c>
      <c r="I551" s="30">
        <f t="shared" si="1"/>
        <v>0</v>
      </c>
      <c r="J551" s="29">
        <f t="shared" si="2"/>
        <v>60</v>
      </c>
      <c r="K551" s="25" t="str">
        <f t="shared" si="3"/>
        <v>Paid</v>
      </c>
      <c r="L551" s="25" t="str">
        <f t="shared" si="4"/>
        <v>Closed</v>
      </c>
      <c r="M551" s="30" t="str">
        <f t="shared" si="5"/>
        <v>No</v>
      </c>
    </row>
    <row r="552" ht="15.75" customHeight="1">
      <c r="A552" s="53" t="s">
        <v>1763</v>
      </c>
      <c r="B552" s="53" t="s">
        <v>1031</v>
      </c>
      <c r="C552" s="53" t="s">
        <v>984</v>
      </c>
      <c r="D552" s="54">
        <v>46058.0</v>
      </c>
      <c r="E552" s="54">
        <v>46073.0</v>
      </c>
      <c r="F552" s="55">
        <v>199.62</v>
      </c>
      <c r="G552" s="54">
        <v>46075.0</v>
      </c>
      <c r="H552" s="55">
        <v>199.62</v>
      </c>
      <c r="I552" s="55">
        <f t="shared" si="1"/>
        <v>0</v>
      </c>
      <c r="J552" s="56">
        <f t="shared" si="2"/>
        <v>85</v>
      </c>
      <c r="K552" s="53" t="str">
        <f t="shared" si="3"/>
        <v>Paid</v>
      </c>
      <c r="L552" s="53" t="str">
        <f t="shared" si="4"/>
        <v>Closed</v>
      </c>
      <c r="M552" s="55" t="str">
        <f t="shared" si="5"/>
        <v>No</v>
      </c>
    </row>
    <row r="553" ht="15.75" customHeight="1">
      <c r="A553" s="25" t="s">
        <v>1764</v>
      </c>
      <c r="B553" s="25" t="s">
        <v>805</v>
      </c>
      <c r="C553" s="25" t="s">
        <v>708</v>
      </c>
      <c r="D553" s="26">
        <v>46051.0</v>
      </c>
      <c r="E553" s="26">
        <v>46081.0</v>
      </c>
      <c r="F553" s="30">
        <v>616.8</v>
      </c>
      <c r="G553" s="26"/>
      <c r="H553" s="30">
        <v>0.0</v>
      </c>
      <c r="I553" s="30">
        <f t="shared" si="1"/>
        <v>616.8</v>
      </c>
      <c r="J553" s="29">
        <f t="shared" si="2"/>
        <v>77</v>
      </c>
      <c r="K553" s="25" t="str">
        <f t="shared" si="3"/>
        <v>61-90</v>
      </c>
      <c r="L553" s="25" t="str">
        <f t="shared" si="4"/>
        <v>Collections Review</v>
      </c>
      <c r="M553" s="30" t="str">
        <f t="shared" si="5"/>
        <v>Yes</v>
      </c>
    </row>
    <row r="554" ht="15.75" customHeight="1">
      <c r="A554" s="53" t="s">
        <v>1765</v>
      </c>
      <c r="B554" s="53" t="s">
        <v>635</v>
      </c>
      <c r="C554" s="53" t="s">
        <v>566</v>
      </c>
      <c r="D554" s="54">
        <v>46125.0</v>
      </c>
      <c r="E554" s="54">
        <v>46140.0</v>
      </c>
      <c r="F554" s="55">
        <v>328.32</v>
      </c>
      <c r="G554" s="54">
        <v>46134.0</v>
      </c>
      <c r="H554" s="55">
        <v>328.32</v>
      </c>
      <c r="I554" s="55">
        <f t="shared" si="1"/>
        <v>0</v>
      </c>
      <c r="J554" s="56">
        <f t="shared" si="2"/>
        <v>18</v>
      </c>
      <c r="K554" s="53" t="str">
        <f t="shared" si="3"/>
        <v>Paid</v>
      </c>
      <c r="L554" s="53" t="str">
        <f t="shared" si="4"/>
        <v>Closed</v>
      </c>
      <c r="M554" s="55" t="str">
        <f t="shared" si="5"/>
        <v>No</v>
      </c>
    </row>
    <row r="555" ht="15.75" customHeight="1">
      <c r="A555" s="25" t="s">
        <v>1766</v>
      </c>
      <c r="B555" s="25" t="s">
        <v>385</v>
      </c>
      <c r="C555" s="25" t="s">
        <v>312</v>
      </c>
      <c r="D555" s="26">
        <v>46133.0</v>
      </c>
      <c r="E555" s="26">
        <v>46163.0</v>
      </c>
      <c r="F555" s="30">
        <v>610.2</v>
      </c>
      <c r="G555" s="26">
        <v>46191.0</v>
      </c>
      <c r="H555" s="30">
        <v>261.25</v>
      </c>
      <c r="I555" s="30">
        <f t="shared" si="1"/>
        <v>348.95</v>
      </c>
      <c r="J555" s="29">
        <f t="shared" si="2"/>
        <v>0</v>
      </c>
      <c r="K555" s="25" t="str">
        <f t="shared" si="3"/>
        <v>0-30</v>
      </c>
      <c r="L555" s="25" t="str">
        <f t="shared" si="4"/>
        <v>Current</v>
      </c>
      <c r="M555" s="30" t="str">
        <f t="shared" si="5"/>
        <v>No</v>
      </c>
    </row>
    <row r="556" ht="15.75" customHeight="1">
      <c r="A556" s="53" t="s">
        <v>1767</v>
      </c>
      <c r="B556" s="53" t="s">
        <v>1032</v>
      </c>
      <c r="C556" s="53" t="s">
        <v>980</v>
      </c>
      <c r="D556" s="54">
        <v>46115.0</v>
      </c>
      <c r="E556" s="54">
        <v>46130.0</v>
      </c>
      <c r="F556" s="55">
        <v>132.96</v>
      </c>
      <c r="G556" s="54"/>
      <c r="H556" s="55">
        <v>0.0</v>
      </c>
      <c r="I556" s="55">
        <f t="shared" si="1"/>
        <v>132.96</v>
      </c>
      <c r="J556" s="56">
        <f t="shared" si="2"/>
        <v>28</v>
      </c>
      <c r="K556" s="53" t="str">
        <f t="shared" si="3"/>
        <v>0-30</v>
      </c>
      <c r="L556" s="53" t="str">
        <f t="shared" si="4"/>
        <v>Current</v>
      </c>
      <c r="M556" s="55" t="str">
        <f t="shared" si="5"/>
        <v>No</v>
      </c>
    </row>
    <row r="557" ht="15.75" customHeight="1">
      <c r="A557" s="25" t="s">
        <v>1768</v>
      </c>
      <c r="B557" s="25" t="s">
        <v>129</v>
      </c>
      <c r="C557" s="25" t="s">
        <v>104</v>
      </c>
      <c r="D557" s="26">
        <v>46106.0</v>
      </c>
      <c r="E557" s="26">
        <v>46121.0</v>
      </c>
      <c r="F557" s="30">
        <v>237.84</v>
      </c>
      <c r="G557" s="26">
        <v>46162.0</v>
      </c>
      <c r="H557" s="30">
        <v>237.84</v>
      </c>
      <c r="I557" s="30">
        <f t="shared" si="1"/>
        <v>0</v>
      </c>
      <c r="J557" s="29">
        <f t="shared" si="2"/>
        <v>37</v>
      </c>
      <c r="K557" s="25" t="str">
        <f t="shared" si="3"/>
        <v>Paid</v>
      </c>
      <c r="L557" s="25" t="str">
        <f t="shared" si="4"/>
        <v>Closed</v>
      </c>
      <c r="M557" s="30" t="str">
        <f t="shared" si="5"/>
        <v>No</v>
      </c>
    </row>
    <row r="558" ht="15.75" customHeight="1">
      <c r="A558" s="53" t="s">
        <v>1769</v>
      </c>
      <c r="B558" s="53" t="s">
        <v>244</v>
      </c>
      <c r="C558" s="53" t="s">
        <v>166</v>
      </c>
      <c r="D558" s="54">
        <v>46131.0</v>
      </c>
      <c r="E558" s="54">
        <v>46176.0</v>
      </c>
      <c r="F558" s="55">
        <v>694.2</v>
      </c>
      <c r="G558" s="54">
        <v>46169.0</v>
      </c>
      <c r="H558" s="55">
        <v>694.2</v>
      </c>
      <c r="I558" s="55">
        <f t="shared" si="1"/>
        <v>0</v>
      </c>
      <c r="J558" s="56">
        <f t="shared" si="2"/>
        <v>0</v>
      </c>
      <c r="K558" s="53" t="str">
        <f t="shared" si="3"/>
        <v>Paid</v>
      </c>
      <c r="L558" s="53" t="str">
        <f t="shared" si="4"/>
        <v>Closed</v>
      </c>
      <c r="M558" s="55" t="str">
        <f t="shared" si="5"/>
        <v>No</v>
      </c>
    </row>
    <row r="559" ht="15.75" customHeight="1">
      <c r="A559" s="25" t="s">
        <v>1770</v>
      </c>
      <c r="B559" s="25" t="s">
        <v>636</v>
      </c>
      <c r="C559" s="25" t="s">
        <v>542</v>
      </c>
      <c r="D559" s="26">
        <v>46117.0</v>
      </c>
      <c r="E559" s="26">
        <v>46162.0</v>
      </c>
      <c r="F559" s="30">
        <v>569.76</v>
      </c>
      <c r="G559" s="26"/>
      <c r="H559" s="30">
        <v>0.0</v>
      </c>
      <c r="I559" s="30">
        <f t="shared" si="1"/>
        <v>569.76</v>
      </c>
      <c r="J559" s="29">
        <f t="shared" si="2"/>
        <v>0</v>
      </c>
      <c r="K559" s="25" t="str">
        <f t="shared" si="3"/>
        <v>0-30</v>
      </c>
      <c r="L559" s="25" t="str">
        <f t="shared" si="4"/>
        <v>Current</v>
      </c>
      <c r="M559" s="30" t="str">
        <f t="shared" si="5"/>
        <v>No</v>
      </c>
    </row>
    <row r="560" ht="15.75" customHeight="1">
      <c r="A560" s="53" t="s">
        <v>1771</v>
      </c>
      <c r="B560" s="53" t="s">
        <v>637</v>
      </c>
      <c r="C560" s="53" t="s">
        <v>542</v>
      </c>
      <c r="D560" s="54">
        <v>46036.0</v>
      </c>
      <c r="E560" s="54">
        <v>46081.0</v>
      </c>
      <c r="F560" s="55">
        <v>222.72</v>
      </c>
      <c r="G560" s="54">
        <v>46075.0</v>
      </c>
      <c r="H560" s="55">
        <v>222.72</v>
      </c>
      <c r="I560" s="55">
        <f t="shared" si="1"/>
        <v>0</v>
      </c>
      <c r="J560" s="56">
        <f t="shared" si="2"/>
        <v>77</v>
      </c>
      <c r="K560" s="53" t="str">
        <f t="shared" si="3"/>
        <v>Paid</v>
      </c>
      <c r="L560" s="53" t="str">
        <f t="shared" si="4"/>
        <v>Closed</v>
      </c>
      <c r="M560" s="55" t="str">
        <f t="shared" si="5"/>
        <v>No</v>
      </c>
    </row>
    <row r="561" ht="15.75" customHeight="1">
      <c r="A561" s="25" t="s">
        <v>1772</v>
      </c>
      <c r="B561" s="25" t="s">
        <v>130</v>
      </c>
      <c r="C561" s="25" t="s">
        <v>87</v>
      </c>
      <c r="D561" s="26">
        <v>46093.0</v>
      </c>
      <c r="E561" s="26">
        <v>46138.0</v>
      </c>
      <c r="F561" s="30">
        <v>492.0</v>
      </c>
      <c r="G561" s="26"/>
      <c r="H561" s="30">
        <v>0.0</v>
      </c>
      <c r="I561" s="30">
        <f t="shared" si="1"/>
        <v>492</v>
      </c>
      <c r="J561" s="29">
        <f t="shared" si="2"/>
        <v>20</v>
      </c>
      <c r="K561" s="25" t="str">
        <f t="shared" si="3"/>
        <v>0-30</v>
      </c>
      <c r="L561" s="25" t="str">
        <f t="shared" si="4"/>
        <v>Current</v>
      </c>
      <c r="M561" s="30" t="str">
        <f t="shared" si="5"/>
        <v>No</v>
      </c>
    </row>
    <row r="562" ht="15.75" customHeight="1">
      <c r="A562" s="53" t="s">
        <v>1773</v>
      </c>
      <c r="B562" s="53" t="s">
        <v>1108</v>
      </c>
      <c r="C562" s="53" t="s">
        <v>1083</v>
      </c>
      <c r="D562" s="54">
        <v>46128.0</v>
      </c>
      <c r="E562" s="54">
        <v>46158.0</v>
      </c>
      <c r="F562" s="55">
        <v>1270.8</v>
      </c>
      <c r="G562" s="54"/>
      <c r="H562" s="55">
        <v>0.0</v>
      </c>
      <c r="I562" s="55">
        <f t="shared" si="1"/>
        <v>1270.8</v>
      </c>
      <c r="J562" s="56">
        <f t="shared" si="2"/>
        <v>0</v>
      </c>
      <c r="K562" s="53" t="str">
        <f t="shared" si="3"/>
        <v>0-30</v>
      </c>
      <c r="L562" s="53" t="str">
        <f t="shared" si="4"/>
        <v>Current</v>
      </c>
      <c r="M562" s="55" t="str">
        <f t="shared" si="5"/>
        <v>No</v>
      </c>
    </row>
    <row r="563" ht="15.75" customHeight="1">
      <c r="A563" s="25" t="s">
        <v>1774</v>
      </c>
      <c r="B563" s="25" t="s">
        <v>916</v>
      </c>
      <c r="C563" s="25" t="s">
        <v>873</v>
      </c>
      <c r="D563" s="26">
        <v>46039.0</v>
      </c>
      <c r="E563" s="26">
        <v>46054.0</v>
      </c>
      <c r="F563" s="30">
        <v>197.64</v>
      </c>
      <c r="G563" s="26"/>
      <c r="H563" s="30">
        <v>0.0</v>
      </c>
      <c r="I563" s="30">
        <f t="shared" si="1"/>
        <v>197.64</v>
      </c>
      <c r="J563" s="29">
        <f t="shared" si="2"/>
        <v>104</v>
      </c>
      <c r="K563" s="25" t="str">
        <f t="shared" si="3"/>
        <v>90+</v>
      </c>
      <c r="L563" s="25" t="str">
        <f t="shared" si="4"/>
        <v>Escalate</v>
      </c>
      <c r="M563" s="30" t="str">
        <f t="shared" si="5"/>
        <v>Yes</v>
      </c>
    </row>
    <row r="564" ht="15.75" customHeight="1">
      <c r="A564" s="53" t="s">
        <v>1775</v>
      </c>
      <c r="B564" s="53" t="s">
        <v>386</v>
      </c>
      <c r="C564" s="53" t="s">
        <v>305</v>
      </c>
      <c r="D564" s="54">
        <v>46053.0</v>
      </c>
      <c r="E564" s="54">
        <v>46098.0</v>
      </c>
      <c r="F564" s="55">
        <v>1092.0</v>
      </c>
      <c r="G564" s="54">
        <v>46108.0</v>
      </c>
      <c r="H564" s="55">
        <v>1092.0</v>
      </c>
      <c r="I564" s="55">
        <f t="shared" si="1"/>
        <v>0</v>
      </c>
      <c r="J564" s="56">
        <f t="shared" si="2"/>
        <v>60</v>
      </c>
      <c r="K564" s="53" t="str">
        <f t="shared" si="3"/>
        <v>Paid</v>
      </c>
      <c r="L564" s="53" t="str">
        <f t="shared" si="4"/>
        <v>Closed</v>
      </c>
      <c r="M564" s="55" t="str">
        <f t="shared" si="5"/>
        <v>No</v>
      </c>
    </row>
    <row r="565" ht="15.75" customHeight="1">
      <c r="A565" s="25" t="s">
        <v>1776</v>
      </c>
      <c r="B565" s="25" t="s">
        <v>807</v>
      </c>
      <c r="C565" s="25" t="s">
        <v>710</v>
      </c>
      <c r="D565" s="26">
        <v>46038.0</v>
      </c>
      <c r="E565" s="26">
        <v>46053.0</v>
      </c>
      <c r="F565" s="30">
        <v>657.0</v>
      </c>
      <c r="G565" s="26">
        <v>46088.0</v>
      </c>
      <c r="H565" s="30">
        <v>657.0</v>
      </c>
      <c r="I565" s="30">
        <f t="shared" si="1"/>
        <v>0</v>
      </c>
      <c r="J565" s="29">
        <f t="shared" si="2"/>
        <v>105</v>
      </c>
      <c r="K565" s="25" t="str">
        <f t="shared" si="3"/>
        <v>Paid</v>
      </c>
      <c r="L565" s="25" t="str">
        <f t="shared" si="4"/>
        <v>Closed</v>
      </c>
      <c r="M565" s="30" t="str">
        <f t="shared" si="5"/>
        <v>No</v>
      </c>
    </row>
    <row r="566" ht="15.75" customHeight="1">
      <c r="A566" s="53" t="s">
        <v>1777</v>
      </c>
      <c r="B566" s="53" t="s">
        <v>917</v>
      </c>
      <c r="C566" s="53" t="s">
        <v>864</v>
      </c>
      <c r="D566" s="54">
        <v>46065.0</v>
      </c>
      <c r="E566" s="54">
        <v>46095.0</v>
      </c>
      <c r="F566" s="55">
        <v>141.24</v>
      </c>
      <c r="G566" s="54"/>
      <c r="H566" s="55">
        <v>0.0</v>
      </c>
      <c r="I566" s="55">
        <f t="shared" si="1"/>
        <v>141.24</v>
      </c>
      <c r="J566" s="56">
        <f t="shared" si="2"/>
        <v>63</v>
      </c>
      <c r="K566" s="53" t="str">
        <f t="shared" si="3"/>
        <v>61-90</v>
      </c>
      <c r="L566" s="53" t="str">
        <f t="shared" si="4"/>
        <v>Collections Review</v>
      </c>
      <c r="M566" s="55" t="str">
        <f t="shared" si="5"/>
        <v>Yes</v>
      </c>
    </row>
    <row r="567" ht="15.75" customHeight="1">
      <c r="A567" s="25" t="s">
        <v>1778</v>
      </c>
      <c r="B567" s="25" t="s">
        <v>387</v>
      </c>
      <c r="C567" s="25" t="s">
        <v>326</v>
      </c>
      <c r="D567" s="26">
        <v>46049.0</v>
      </c>
      <c r="E567" s="26">
        <v>46079.0</v>
      </c>
      <c r="F567" s="30">
        <v>306.3</v>
      </c>
      <c r="G567" s="26">
        <v>46094.0</v>
      </c>
      <c r="H567" s="30">
        <v>306.3</v>
      </c>
      <c r="I567" s="30">
        <f t="shared" si="1"/>
        <v>0</v>
      </c>
      <c r="J567" s="29">
        <f t="shared" si="2"/>
        <v>79</v>
      </c>
      <c r="K567" s="25" t="str">
        <f t="shared" si="3"/>
        <v>Paid</v>
      </c>
      <c r="L567" s="25" t="str">
        <f t="shared" si="4"/>
        <v>Closed</v>
      </c>
      <c r="M567" s="30" t="str">
        <f t="shared" si="5"/>
        <v>No</v>
      </c>
    </row>
    <row r="568" ht="15.75" customHeight="1">
      <c r="A568" s="53" t="s">
        <v>1779</v>
      </c>
      <c r="B568" s="53" t="s">
        <v>131</v>
      </c>
      <c r="C568" s="53" t="s">
        <v>80</v>
      </c>
      <c r="D568" s="54">
        <v>46054.0</v>
      </c>
      <c r="E568" s="54">
        <v>46069.0</v>
      </c>
      <c r="F568" s="55">
        <v>133.32</v>
      </c>
      <c r="G568" s="54">
        <v>46113.0</v>
      </c>
      <c r="H568" s="55">
        <v>133.32</v>
      </c>
      <c r="I568" s="55">
        <f t="shared" si="1"/>
        <v>0</v>
      </c>
      <c r="J568" s="56">
        <f t="shared" si="2"/>
        <v>89</v>
      </c>
      <c r="K568" s="53" t="str">
        <f t="shared" si="3"/>
        <v>Paid</v>
      </c>
      <c r="L568" s="53" t="str">
        <f t="shared" si="4"/>
        <v>Closed</v>
      </c>
      <c r="M568" s="55" t="str">
        <f t="shared" si="5"/>
        <v>No</v>
      </c>
    </row>
    <row r="569" ht="15.75" customHeight="1">
      <c r="A569" s="25" t="s">
        <v>1780</v>
      </c>
      <c r="B569" s="25" t="s">
        <v>638</v>
      </c>
      <c r="C569" s="25" t="s">
        <v>547</v>
      </c>
      <c r="D569" s="26">
        <v>46048.0</v>
      </c>
      <c r="E569" s="26">
        <v>46063.0</v>
      </c>
      <c r="F569" s="30">
        <v>124.92</v>
      </c>
      <c r="G569" s="26">
        <v>46071.0</v>
      </c>
      <c r="H569" s="30">
        <v>124.92</v>
      </c>
      <c r="I569" s="30">
        <f t="shared" si="1"/>
        <v>0</v>
      </c>
      <c r="J569" s="29">
        <f t="shared" si="2"/>
        <v>95</v>
      </c>
      <c r="K569" s="25" t="str">
        <f t="shared" si="3"/>
        <v>Paid</v>
      </c>
      <c r="L569" s="25" t="str">
        <f t="shared" si="4"/>
        <v>Closed</v>
      </c>
      <c r="M569" s="30" t="str">
        <f t="shared" si="5"/>
        <v>No</v>
      </c>
    </row>
    <row r="570" ht="15.75" customHeight="1">
      <c r="A570" s="53" t="s">
        <v>1781</v>
      </c>
      <c r="B570" s="53" t="s">
        <v>808</v>
      </c>
      <c r="C570" s="53" t="s">
        <v>702</v>
      </c>
      <c r="D570" s="54">
        <v>46098.0</v>
      </c>
      <c r="E570" s="54">
        <v>46128.0</v>
      </c>
      <c r="F570" s="55">
        <v>663.0</v>
      </c>
      <c r="G570" s="54">
        <v>46157.0</v>
      </c>
      <c r="H570" s="55">
        <v>663.0</v>
      </c>
      <c r="I570" s="55">
        <f t="shared" si="1"/>
        <v>0</v>
      </c>
      <c r="J570" s="56">
        <f t="shared" si="2"/>
        <v>30</v>
      </c>
      <c r="K570" s="53" t="str">
        <f t="shared" si="3"/>
        <v>Paid</v>
      </c>
      <c r="L570" s="53" t="str">
        <f t="shared" si="4"/>
        <v>Closed</v>
      </c>
      <c r="M570" s="55" t="str">
        <f t="shared" si="5"/>
        <v>No</v>
      </c>
    </row>
    <row r="571" ht="15.75" customHeight="1">
      <c r="A571" s="25" t="s">
        <v>1782</v>
      </c>
      <c r="B571" s="25" t="s">
        <v>639</v>
      </c>
      <c r="C571" s="25" t="s">
        <v>550</v>
      </c>
      <c r="D571" s="26">
        <v>46105.0</v>
      </c>
      <c r="E571" s="26">
        <v>46120.0</v>
      </c>
      <c r="F571" s="30">
        <v>320.1</v>
      </c>
      <c r="G571" s="26">
        <v>46126.0</v>
      </c>
      <c r="H571" s="30">
        <v>196.64</v>
      </c>
      <c r="I571" s="30">
        <f t="shared" si="1"/>
        <v>123.46</v>
      </c>
      <c r="J571" s="29">
        <f t="shared" si="2"/>
        <v>38</v>
      </c>
      <c r="K571" s="25" t="str">
        <f t="shared" si="3"/>
        <v>31-60</v>
      </c>
      <c r="L571" s="25" t="str">
        <f t="shared" si="4"/>
        <v>Reminder Sent</v>
      </c>
      <c r="M571" s="30" t="str">
        <f t="shared" si="5"/>
        <v>No</v>
      </c>
    </row>
    <row r="572" ht="15.75" customHeight="1">
      <c r="A572" s="53" t="s">
        <v>1783</v>
      </c>
      <c r="B572" s="53" t="s">
        <v>388</v>
      </c>
      <c r="C572" s="53" t="s">
        <v>301</v>
      </c>
      <c r="D572" s="54">
        <v>46138.0</v>
      </c>
      <c r="E572" s="54">
        <v>46153.0</v>
      </c>
      <c r="F572" s="55">
        <v>757.44</v>
      </c>
      <c r="G572" s="54">
        <v>46191.0</v>
      </c>
      <c r="H572" s="55">
        <v>757.44</v>
      </c>
      <c r="I572" s="55">
        <f t="shared" si="1"/>
        <v>0</v>
      </c>
      <c r="J572" s="56">
        <f t="shared" si="2"/>
        <v>5</v>
      </c>
      <c r="K572" s="53" t="str">
        <f t="shared" si="3"/>
        <v>Paid</v>
      </c>
      <c r="L572" s="53" t="str">
        <f t="shared" si="4"/>
        <v>Closed</v>
      </c>
      <c r="M572" s="55" t="str">
        <f t="shared" si="5"/>
        <v>No</v>
      </c>
    </row>
    <row r="573" ht="15.75" customHeight="1">
      <c r="A573" s="25" t="s">
        <v>1784</v>
      </c>
      <c r="B573" s="25" t="s">
        <v>1033</v>
      </c>
      <c r="C573" s="25" t="s">
        <v>957</v>
      </c>
      <c r="D573" s="26">
        <v>46123.0</v>
      </c>
      <c r="E573" s="26">
        <v>46153.0</v>
      </c>
      <c r="F573" s="30">
        <v>614.4</v>
      </c>
      <c r="G573" s="26">
        <v>46147.0</v>
      </c>
      <c r="H573" s="30">
        <v>614.4</v>
      </c>
      <c r="I573" s="30">
        <f t="shared" si="1"/>
        <v>0</v>
      </c>
      <c r="J573" s="29">
        <f t="shared" si="2"/>
        <v>5</v>
      </c>
      <c r="K573" s="25" t="str">
        <f t="shared" si="3"/>
        <v>Paid</v>
      </c>
      <c r="L573" s="25" t="str">
        <f t="shared" si="4"/>
        <v>Closed</v>
      </c>
      <c r="M573" s="30" t="str">
        <f t="shared" si="5"/>
        <v>No</v>
      </c>
    </row>
    <row r="574" ht="15.75" customHeight="1">
      <c r="A574" s="53" t="s">
        <v>1785</v>
      </c>
      <c r="B574" s="53" t="s">
        <v>389</v>
      </c>
      <c r="C574" s="53" t="s">
        <v>303</v>
      </c>
      <c r="D574" s="54">
        <v>46079.0</v>
      </c>
      <c r="E574" s="54">
        <v>46124.0</v>
      </c>
      <c r="F574" s="55">
        <v>1217.88</v>
      </c>
      <c r="G574" s="54">
        <v>46147.0</v>
      </c>
      <c r="H574" s="55">
        <v>1217.88</v>
      </c>
      <c r="I574" s="55">
        <f t="shared" si="1"/>
        <v>0</v>
      </c>
      <c r="J574" s="56">
        <f t="shared" si="2"/>
        <v>34</v>
      </c>
      <c r="K574" s="53" t="str">
        <f t="shared" si="3"/>
        <v>Paid</v>
      </c>
      <c r="L574" s="53" t="str">
        <f t="shared" si="4"/>
        <v>Closed</v>
      </c>
      <c r="M574" s="55" t="str">
        <f t="shared" si="5"/>
        <v>No</v>
      </c>
    </row>
    <row r="575" ht="15.75" customHeight="1">
      <c r="A575" s="25" t="s">
        <v>1786</v>
      </c>
      <c r="B575" s="25" t="s">
        <v>390</v>
      </c>
      <c r="C575" s="25" t="s">
        <v>310</v>
      </c>
      <c r="D575" s="26">
        <v>46092.0</v>
      </c>
      <c r="E575" s="26">
        <v>46137.0</v>
      </c>
      <c r="F575" s="30">
        <v>664.56</v>
      </c>
      <c r="G575" s="26"/>
      <c r="H575" s="30">
        <v>0.0</v>
      </c>
      <c r="I575" s="30">
        <f t="shared" si="1"/>
        <v>664.56</v>
      </c>
      <c r="J575" s="29">
        <f t="shared" si="2"/>
        <v>21</v>
      </c>
      <c r="K575" s="25" t="str">
        <f t="shared" si="3"/>
        <v>0-30</v>
      </c>
      <c r="L575" s="25" t="str">
        <f t="shared" si="4"/>
        <v>Current</v>
      </c>
      <c r="M575" s="30" t="str">
        <f t="shared" si="5"/>
        <v>No</v>
      </c>
    </row>
    <row r="576" ht="15.75" customHeight="1">
      <c r="A576" s="53" t="s">
        <v>1787</v>
      </c>
      <c r="B576" s="53" t="s">
        <v>132</v>
      </c>
      <c r="C576" s="53" t="s">
        <v>114</v>
      </c>
      <c r="D576" s="54">
        <v>46055.0</v>
      </c>
      <c r="E576" s="54">
        <v>46100.0</v>
      </c>
      <c r="F576" s="55">
        <v>121.56</v>
      </c>
      <c r="G576" s="54">
        <v>46127.0</v>
      </c>
      <c r="H576" s="55">
        <v>121.56</v>
      </c>
      <c r="I576" s="55">
        <f t="shared" si="1"/>
        <v>0</v>
      </c>
      <c r="J576" s="56">
        <f t="shared" si="2"/>
        <v>58</v>
      </c>
      <c r="K576" s="53" t="str">
        <f t="shared" si="3"/>
        <v>Paid</v>
      </c>
      <c r="L576" s="53" t="str">
        <f t="shared" si="4"/>
        <v>Closed</v>
      </c>
      <c r="M576" s="55" t="str">
        <f t="shared" si="5"/>
        <v>No</v>
      </c>
    </row>
    <row r="577" ht="15.75" customHeight="1">
      <c r="A577" s="25" t="s">
        <v>1788</v>
      </c>
      <c r="B577" s="25" t="s">
        <v>918</v>
      </c>
      <c r="C577" s="25" t="s">
        <v>855</v>
      </c>
      <c r="D577" s="26">
        <v>46089.0</v>
      </c>
      <c r="E577" s="26">
        <v>46119.0</v>
      </c>
      <c r="F577" s="30">
        <v>50.16</v>
      </c>
      <c r="G577" s="26"/>
      <c r="H577" s="30">
        <v>0.0</v>
      </c>
      <c r="I577" s="30">
        <f t="shared" si="1"/>
        <v>50.16</v>
      </c>
      <c r="J577" s="29">
        <f t="shared" si="2"/>
        <v>39</v>
      </c>
      <c r="K577" s="25" t="str">
        <f t="shared" si="3"/>
        <v>31-60</v>
      </c>
      <c r="L577" s="25" t="str">
        <f t="shared" si="4"/>
        <v>Reminder Sent</v>
      </c>
      <c r="M577" s="30" t="str">
        <f t="shared" si="5"/>
        <v>No</v>
      </c>
    </row>
    <row r="578" ht="15.75" customHeight="1">
      <c r="A578" s="53" t="s">
        <v>1789</v>
      </c>
      <c r="B578" s="53" t="s">
        <v>1034</v>
      </c>
      <c r="C578" s="53" t="s">
        <v>961</v>
      </c>
      <c r="D578" s="54">
        <v>46109.0</v>
      </c>
      <c r="E578" s="54">
        <v>46139.0</v>
      </c>
      <c r="F578" s="55">
        <v>403.92</v>
      </c>
      <c r="G578" s="54">
        <v>46152.0</v>
      </c>
      <c r="H578" s="55">
        <v>403.92</v>
      </c>
      <c r="I578" s="55">
        <f t="shared" si="1"/>
        <v>0</v>
      </c>
      <c r="J578" s="56">
        <f t="shared" si="2"/>
        <v>19</v>
      </c>
      <c r="K578" s="53" t="str">
        <f t="shared" si="3"/>
        <v>Paid</v>
      </c>
      <c r="L578" s="53" t="str">
        <f t="shared" si="4"/>
        <v>Closed</v>
      </c>
      <c r="M578" s="55" t="str">
        <f t="shared" si="5"/>
        <v>No</v>
      </c>
    </row>
    <row r="579" ht="15.75" customHeight="1">
      <c r="A579" s="25" t="s">
        <v>1790</v>
      </c>
      <c r="B579" s="25" t="s">
        <v>640</v>
      </c>
      <c r="C579" s="25" t="s">
        <v>557</v>
      </c>
      <c r="D579" s="26">
        <v>46089.0</v>
      </c>
      <c r="E579" s="26">
        <v>46119.0</v>
      </c>
      <c r="F579" s="30">
        <v>515.52</v>
      </c>
      <c r="G579" s="26"/>
      <c r="H579" s="30">
        <v>0.0</v>
      </c>
      <c r="I579" s="30">
        <f t="shared" si="1"/>
        <v>515.52</v>
      </c>
      <c r="J579" s="29">
        <f t="shared" si="2"/>
        <v>39</v>
      </c>
      <c r="K579" s="25" t="str">
        <f t="shared" si="3"/>
        <v>31-60</v>
      </c>
      <c r="L579" s="25" t="str">
        <f t="shared" si="4"/>
        <v>Reminder Sent</v>
      </c>
      <c r="M579" s="30" t="str">
        <f t="shared" si="5"/>
        <v>No</v>
      </c>
    </row>
    <row r="580" ht="15.75" customHeight="1">
      <c r="A580" s="53" t="s">
        <v>1791</v>
      </c>
      <c r="B580" s="53" t="s">
        <v>919</v>
      </c>
      <c r="C580" s="53" t="s">
        <v>855</v>
      </c>
      <c r="D580" s="54">
        <v>46065.0</v>
      </c>
      <c r="E580" s="54">
        <v>46110.0</v>
      </c>
      <c r="F580" s="55">
        <v>72.18</v>
      </c>
      <c r="G580" s="54">
        <v>46128.0</v>
      </c>
      <c r="H580" s="55">
        <v>31.62</v>
      </c>
      <c r="I580" s="55">
        <f t="shared" si="1"/>
        <v>40.56</v>
      </c>
      <c r="J580" s="56">
        <f t="shared" si="2"/>
        <v>48</v>
      </c>
      <c r="K580" s="53" t="str">
        <f t="shared" si="3"/>
        <v>31-60</v>
      </c>
      <c r="L580" s="53" t="str">
        <f t="shared" si="4"/>
        <v>Reminder Sent</v>
      </c>
      <c r="M580" s="55" t="str">
        <f t="shared" si="5"/>
        <v>No</v>
      </c>
    </row>
    <row r="581" ht="15.75" customHeight="1">
      <c r="A581" s="25" t="s">
        <v>1792</v>
      </c>
      <c r="B581" s="25" t="s">
        <v>920</v>
      </c>
      <c r="C581" s="25" t="s">
        <v>873</v>
      </c>
      <c r="D581" s="26">
        <v>46044.0</v>
      </c>
      <c r="E581" s="26">
        <v>46074.0</v>
      </c>
      <c r="F581" s="30">
        <v>803.52</v>
      </c>
      <c r="G581" s="26">
        <v>46076.0</v>
      </c>
      <c r="H581" s="30">
        <v>803.52</v>
      </c>
      <c r="I581" s="30">
        <f t="shared" si="1"/>
        <v>0</v>
      </c>
      <c r="J581" s="29">
        <f t="shared" si="2"/>
        <v>84</v>
      </c>
      <c r="K581" s="25" t="str">
        <f t="shared" si="3"/>
        <v>Paid</v>
      </c>
      <c r="L581" s="25" t="str">
        <f t="shared" si="4"/>
        <v>Closed</v>
      </c>
      <c r="M581" s="30" t="str">
        <f t="shared" si="5"/>
        <v>No</v>
      </c>
    </row>
    <row r="582" ht="15.75" customHeight="1">
      <c r="A582" s="53" t="s">
        <v>1793</v>
      </c>
      <c r="B582" s="53" t="s">
        <v>245</v>
      </c>
      <c r="C582" s="53" t="s">
        <v>170</v>
      </c>
      <c r="D582" s="54">
        <v>46075.0</v>
      </c>
      <c r="E582" s="54">
        <v>46090.0</v>
      </c>
      <c r="F582" s="55">
        <v>477.6</v>
      </c>
      <c r="G582" s="54">
        <v>46104.0</v>
      </c>
      <c r="H582" s="55">
        <v>477.6</v>
      </c>
      <c r="I582" s="55">
        <f t="shared" si="1"/>
        <v>0</v>
      </c>
      <c r="J582" s="56">
        <f t="shared" si="2"/>
        <v>68</v>
      </c>
      <c r="K582" s="53" t="str">
        <f t="shared" si="3"/>
        <v>Paid</v>
      </c>
      <c r="L582" s="53" t="str">
        <f t="shared" si="4"/>
        <v>Closed</v>
      </c>
      <c r="M582" s="55" t="str">
        <f t="shared" si="5"/>
        <v>No</v>
      </c>
    </row>
    <row r="583" ht="15.75" customHeight="1">
      <c r="A583" s="25" t="s">
        <v>1794</v>
      </c>
      <c r="B583" s="25" t="s">
        <v>642</v>
      </c>
      <c r="C583" s="25" t="s">
        <v>553</v>
      </c>
      <c r="D583" s="26">
        <v>46144.0</v>
      </c>
      <c r="E583" s="26">
        <v>46189.0</v>
      </c>
      <c r="F583" s="30">
        <v>1158.72</v>
      </c>
      <c r="G583" s="26">
        <v>46215.0</v>
      </c>
      <c r="H583" s="30">
        <v>1158.72</v>
      </c>
      <c r="I583" s="30">
        <f t="shared" si="1"/>
        <v>0</v>
      </c>
      <c r="J583" s="29">
        <f t="shared" si="2"/>
        <v>0</v>
      </c>
      <c r="K583" s="25" t="str">
        <f t="shared" si="3"/>
        <v>Paid</v>
      </c>
      <c r="L583" s="25" t="str">
        <f t="shared" si="4"/>
        <v>Closed</v>
      </c>
      <c r="M583" s="30" t="str">
        <f t="shared" si="5"/>
        <v>No</v>
      </c>
    </row>
    <row r="584" ht="15.75" customHeight="1">
      <c r="A584" s="53" t="s">
        <v>1795</v>
      </c>
      <c r="B584" s="53" t="s">
        <v>1035</v>
      </c>
      <c r="C584" s="53" t="s">
        <v>957</v>
      </c>
      <c r="D584" s="54">
        <v>46113.0</v>
      </c>
      <c r="E584" s="54">
        <v>46128.0</v>
      </c>
      <c r="F584" s="55">
        <v>524.64</v>
      </c>
      <c r="G584" s="54">
        <v>46136.0</v>
      </c>
      <c r="H584" s="55">
        <v>524.64</v>
      </c>
      <c r="I584" s="55">
        <f t="shared" si="1"/>
        <v>0</v>
      </c>
      <c r="J584" s="56">
        <f t="shared" si="2"/>
        <v>30</v>
      </c>
      <c r="K584" s="53" t="str">
        <f t="shared" si="3"/>
        <v>Paid</v>
      </c>
      <c r="L584" s="53" t="str">
        <f t="shared" si="4"/>
        <v>Closed</v>
      </c>
      <c r="M584" s="55" t="str">
        <f t="shared" si="5"/>
        <v>No</v>
      </c>
    </row>
    <row r="585" ht="15.75" customHeight="1">
      <c r="A585" s="25" t="s">
        <v>1796</v>
      </c>
      <c r="B585" s="25" t="s">
        <v>1036</v>
      </c>
      <c r="C585" s="25" t="s">
        <v>955</v>
      </c>
      <c r="D585" s="26">
        <v>46121.0</v>
      </c>
      <c r="E585" s="26">
        <v>46151.0</v>
      </c>
      <c r="F585" s="30">
        <v>63.18</v>
      </c>
      <c r="G585" s="26">
        <v>46175.0</v>
      </c>
      <c r="H585" s="30">
        <v>63.18</v>
      </c>
      <c r="I585" s="30">
        <f t="shared" si="1"/>
        <v>0</v>
      </c>
      <c r="J585" s="29">
        <f t="shared" si="2"/>
        <v>7</v>
      </c>
      <c r="K585" s="25" t="str">
        <f t="shared" si="3"/>
        <v>Paid</v>
      </c>
      <c r="L585" s="25" t="str">
        <f t="shared" si="4"/>
        <v>Closed</v>
      </c>
      <c r="M585" s="30" t="str">
        <f t="shared" si="5"/>
        <v>No</v>
      </c>
    </row>
    <row r="586" ht="15.75" customHeight="1">
      <c r="A586" s="53" t="s">
        <v>1797</v>
      </c>
      <c r="B586" s="53" t="s">
        <v>392</v>
      </c>
      <c r="C586" s="53" t="s">
        <v>301</v>
      </c>
      <c r="D586" s="54">
        <v>46072.0</v>
      </c>
      <c r="E586" s="54">
        <v>46102.0</v>
      </c>
      <c r="F586" s="55">
        <v>353.52</v>
      </c>
      <c r="G586" s="54">
        <v>46136.0</v>
      </c>
      <c r="H586" s="55">
        <v>353.52</v>
      </c>
      <c r="I586" s="55">
        <f t="shared" si="1"/>
        <v>0</v>
      </c>
      <c r="J586" s="56">
        <f t="shared" si="2"/>
        <v>56</v>
      </c>
      <c r="K586" s="53" t="str">
        <f t="shared" si="3"/>
        <v>Paid</v>
      </c>
      <c r="L586" s="53" t="str">
        <f t="shared" si="4"/>
        <v>Closed</v>
      </c>
      <c r="M586" s="55" t="str">
        <f t="shared" si="5"/>
        <v>No</v>
      </c>
    </row>
    <row r="587" ht="15.75" customHeight="1">
      <c r="A587" s="25" t="s">
        <v>1798</v>
      </c>
      <c r="B587" s="25" t="s">
        <v>1170</v>
      </c>
      <c r="C587" s="25" t="s">
        <v>1139</v>
      </c>
      <c r="D587" s="26">
        <v>46119.0</v>
      </c>
      <c r="E587" s="26">
        <v>46149.0</v>
      </c>
      <c r="F587" s="30">
        <v>675.6</v>
      </c>
      <c r="G587" s="26"/>
      <c r="H587" s="30">
        <v>0.0</v>
      </c>
      <c r="I587" s="30">
        <f t="shared" si="1"/>
        <v>675.6</v>
      </c>
      <c r="J587" s="29">
        <f t="shared" si="2"/>
        <v>9</v>
      </c>
      <c r="K587" s="25" t="str">
        <f t="shared" si="3"/>
        <v>0-30</v>
      </c>
      <c r="L587" s="25" t="str">
        <f t="shared" si="4"/>
        <v>Current</v>
      </c>
      <c r="M587" s="30" t="str">
        <f t="shared" si="5"/>
        <v>No</v>
      </c>
    </row>
    <row r="588" ht="15.75" customHeight="1">
      <c r="A588" s="53" t="s">
        <v>1799</v>
      </c>
      <c r="B588" s="53" t="s">
        <v>921</v>
      </c>
      <c r="C588" s="53" t="s">
        <v>853</v>
      </c>
      <c r="D588" s="54">
        <v>46140.0</v>
      </c>
      <c r="E588" s="54">
        <v>46155.0</v>
      </c>
      <c r="F588" s="55">
        <v>189.18</v>
      </c>
      <c r="G588" s="54">
        <v>46192.0</v>
      </c>
      <c r="H588" s="55">
        <v>150.09</v>
      </c>
      <c r="I588" s="55">
        <f t="shared" si="1"/>
        <v>39.09</v>
      </c>
      <c r="J588" s="56">
        <f t="shared" si="2"/>
        <v>3</v>
      </c>
      <c r="K588" s="53" t="str">
        <f t="shared" si="3"/>
        <v>0-30</v>
      </c>
      <c r="L588" s="53" t="str">
        <f t="shared" si="4"/>
        <v>Current</v>
      </c>
      <c r="M588" s="55" t="str">
        <f t="shared" si="5"/>
        <v>No</v>
      </c>
    </row>
    <row r="589" ht="15.75" customHeight="1">
      <c r="A589" s="25" t="s">
        <v>1800</v>
      </c>
      <c r="B589" s="25" t="s">
        <v>922</v>
      </c>
      <c r="C589" s="25" t="s">
        <v>857</v>
      </c>
      <c r="D589" s="26">
        <v>46088.0</v>
      </c>
      <c r="E589" s="26">
        <v>46118.0</v>
      </c>
      <c r="F589" s="30">
        <v>868.14</v>
      </c>
      <c r="G589" s="26"/>
      <c r="H589" s="30">
        <v>0.0</v>
      </c>
      <c r="I589" s="30">
        <f t="shared" si="1"/>
        <v>868.14</v>
      </c>
      <c r="J589" s="29">
        <f t="shared" si="2"/>
        <v>40</v>
      </c>
      <c r="K589" s="25" t="str">
        <f t="shared" si="3"/>
        <v>31-60</v>
      </c>
      <c r="L589" s="25" t="str">
        <f t="shared" si="4"/>
        <v>Reminder Sent</v>
      </c>
      <c r="M589" s="30" t="str">
        <f t="shared" si="5"/>
        <v>No</v>
      </c>
    </row>
    <row r="590" ht="15.75" customHeight="1">
      <c r="A590" s="53" t="s">
        <v>1801</v>
      </c>
      <c r="B590" s="53" t="s">
        <v>809</v>
      </c>
      <c r="C590" s="53" t="s">
        <v>698</v>
      </c>
      <c r="D590" s="54">
        <v>46048.0</v>
      </c>
      <c r="E590" s="54">
        <v>46078.0</v>
      </c>
      <c r="F590" s="55">
        <v>605.4</v>
      </c>
      <c r="G590" s="54"/>
      <c r="H590" s="55">
        <v>0.0</v>
      </c>
      <c r="I590" s="55">
        <f t="shared" si="1"/>
        <v>605.4</v>
      </c>
      <c r="J590" s="56">
        <f t="shared" si="2"/>
        <v>80</v>
      </c>
      <c r="K590" s="53" t="str">
        <f t="shared" si="3"/>
        <v>61-90</v>
      </c>
      <c r="L590" s="53" t="str">
        <f t="shared" si="4"/>
        <v>Collections Review</v>
      </c>
      <c r="M590" s="55" t="str">
        <f t="shared" si="5"/>
        <v>Yes</v>
      </c>
    </row>
    <row r="591" ht="15.75" customHeight="1">
      <c r="A591" s="25" t="s">
        <v>1802</v>
      </c>
      <c r="B591" s="25" t="s">
        <v>810</v>
      </c>
      <c r="C591" s="25" t="s">
        <v>714</v>
      </c>
      <c r="D591" s="26">
        <v>46099.0</v>
      </c>
      <c r="E591" s="26">
        <v>46144.0</v>
      </c>
      <c r="F591" s="30">
        <v>198.36</v>
      </c>
      <c r="G591" s="26">
        <v>46140.0</v>
      </c>
      <c r="H591" s="30">
        <v>198.36</v>
      </c>
      <c r="I591" s="30">
        <f t="shared" si="1"/>
        <v>0</v>
      </c>
      <c r="J591" s="29">
        <f t="shared" si="2"/>
        <v>14</v>
      </c>
      <c r="K591" s="25" t="str">
        <f t="shared" si="3"/>
        <v>Paid</v>
      </c>
      <c r="L591" s="25" t="str">
        <f t="shared" si="4"/>
        <v>Closed</v>
      </c>
      <c r="M591" s="30" t="str">
        <f t="shared" si="5"/>
        <v>No</v>
      </c>
    </row>
    <row r="592" ht="15.75" customHeight="1">
      <c r="A592" s="53" t="s">
        <v>1803</v>
      </c>
      <c r="B592" s="53" t="s">
        <v>643</v>
      </c>
      <c r="C592" s="53" t="s">
        <v>561</v>
      </c>
      <c r="D592" s="54">
        <v>46107.0</v>
      </c>
      <c r="E592" s="54">
        <v>46137.0</v>
      </c>
      <c r="F592" s="55">
        <v>265.32</v>
      </c>
      <c r="G592" s="54">
        <v>46171.0</v>
      </c>
      <c r="H592" s="55">
        <v>265.32</v>
      </c>
      <c r="I592" s="55">
        <f t="shared" si="1"/>
        <v>0</v>
      </c>
      <c r="J592" s="56">
        <f t="shared" si="2"/>
        <v>21</v>
      </c>
      <c r="K592" s="53" t="str">
        <f t="shared" si="3"/>
        <v>Paid</v>
      </c>
      <c r="L592" s="53" t="str">
        <f t="shared" si="4"/>
        <v>Closed</v>
      </c>
      <c r="M592" s="55" t="str">
        <f t="shared" si="5"/>
        <v>No</v>
      </c>
    </row>
    <row r="593" ht="15.75" customHeight="1">
      <c r="A593" s="25" t="s">
        <v>1804</v>
      </c>
      <c r="B593" s="25" t="s">
        <v>924</v>
      </c>
      <c r="C593" s="25" t="s">
        <v>857</v>
      </c>
      <c r="D593" s="26">
        <v>46086.0</v>
      </c>
      <c r="E593" s="26">
        <v>46116.0</v>
      </c>
      <c r="F593" s="30">
        <v>418.2</v>
      </c>
      <c r="G593" s="26">
        <v>46141.0</v>
      </c>
      <c r="H593" s="30">
        <v>418.2</v>
      </c>
      <c r="I593" s="30">
        <f t="shared" si="1"/>
        <v>0</v>
      </c>
      <c r="J593" s="29">
        <f t="shared" si="2"/>
        <v>42</v>
      </c>
      <c r="K593" s="25" t="str">
        <f t="shared" si="3"/>
        <v>Paid</v>
      </c>
      <c r="L593" s="25" t="str">
        <f t="shared" si="4"/>
        <v>Closed</v>
      </c>
      <c r="M593" s="30" t="str">
        <f t="shared" si="5"/>
        <v>No</v>
      </c>
    </row>
    <row r="594" ht="15.75" customHeight="1">
      <c r="A594" s="53" t="s">
        <v>1805</v>
      </c>
      <c r="B594" s="53" t="s">
        <v>393</v>
      </c>
      <c r="C594" s="53" t="s">
        <v>291</v>
      </c>
      <c r="D594" s="54">
        <v>46132.0</v>
      </c>
      <c r="E594" s="54">
        <v>46147.0</v>
      </c>
      <c r="F594" s="55">
        <v>0.0</v>
      </c>
      <c r="G594" s="54">
        <v>46167.0</v>
      </c>
      <c r="H594" s="55">
        <v>0.0</v>
      </c>
      <c r="I594" s="55">
        <f t="shared" si="1"/>
        <v>0</v>
      </c>
      <c r="J594" s="56">
        <f t="shared" si="2"/>
        <v>11</v>
      </c>
      <c r="K594" s="53" t="str">
        <f t="shared" si="3"/>
        <v>Paid</v>
      </c>
      <c r="L594" s="53" t="str">
        <f t="shared" si="4"/>
        <v>Closed</v>
      </c>
      <c r="M594" s="55" t="str">
        <f t="shared" si="5"/>
        <v>No</v>
      </c>
    </row>
    <row r="595" ht="15.75" customHeight="1">
      <c r="A595" s="25" t="s">
        <v>1806</v>
      </c>
      <c r="B595" s="25" t="s">
        <v>811</v>
      </c>
      <c r="C595" s="25" t="s">
        <v>706</v>
      </c>
      <c r="D595" s="26">
        <v>46056.0</v>
      </c>
      <c r="E595" s="26">
        <v>46086.0</v>
      </c>
      <c r="F595" s="30">
        <v>1365.6</v>
      </c>
      <c r="G595" s="26">
        <v>46123.0</v>
      </c>
      <c r="H595" s="30">
        <v>1365.6</v>
      </c>
      <c r="I595" s="30">
        <f t="shared" si="1"/>
        <v>0</v>
      </c>
      <c r="J595" s="29">
        <f t="shared" si="2"/>
        <v>72</v>
      </c>
      <c r="K595" s="25" t="str">
        <f t="shared" si="3"/>
        <v>Paid</v>
      </c>
      <c r="L595" s="25" t="str">
        <f t="shared" si="4"/>
        <v>Closed</v>
      </c>
      <c r="M595" s="30" t="str">
        <f t="shared" si="5"/>
        <v>No</v>
      </c>
    </row>
    <row r="596" ht="15.75" customHeight="1">
      <c r="A596" s="53" t="s">
        <v>1807</v>
      </c>
      <c r="B596" s="53" t="s">
        <v>394</v>
      </c>
      <c r="C596" s="53" t="s">
        <v>291</v>
      </c>
      <c r="D596" s="54">
        <v>46057.0</v>
      </c>
      <c r="E596" s="54">
        <v>46072.0</v>
      </c>
      <c r="F596" s="55">
        <v>806.4</v>
      </c>
      <c r="G596" s="54">
        <v>46116.0</v>
      </c>
      <c r="H596" s="55">
        <v>806.4</v>
      </c>
      <c r="I596" s="55">
        <f t="shared" si="1"/>
        <v>0</v>
      </c>
      <c r="J596" s="56">
        <f t="shared" si="2"/>
        <v>86</v>
      </c>
      <c r="K596" s="53" t="str">
        <f t="shared" si="3"/>
        <v>Paid</v>
      </c>
      <c r="L596" s="53" t="str">
        <f t="shared" si="4"/>
        <v>Closed</v>
      </c>
      <c r="M596" s="55" t="str">
        <f t="shared" si="5"/>
        <v>No</v>
      </c>
    </row>
    <row r="597" ht="15.75" customHeight="1">
      <c r="A597" s="25" t="s">
        <v>1808</v>
      </c>
      <c r="B597" s="25" t="s">
        <v>1037</v>
      </c>
      <c r="C597" s="25" t="s">
        <v>988</v>
      </c>
      <c r="D597" s="26">
        <v>46064.0</v>
      </c>
      <c r="E597" s="26">
        <v>46079.0</v>
      </c>
      <c r="F597" s="30">
        <v>94.32</v>
      </c>
      <c r="G597" s="26">
        <v>46109.0</v>
      </c>
      <c r="H597" s="30">
        <v>94.32</v>
      </c>
      <c r="I597" s="30">
        <f t="shared" si="1"/>
        <v>0</v>
      </c>
      <c r="J597" s="29">
        <f t="shared" si="2"/>
        <v>79</v>
      </c>
      <c r="K597" s="25" t="str">
        <f t="shared" si="3"/>
        <v>Paid</v>
      </c>
      <c r="L597" s="25" t="str">
        <f t="shared" si="4"/>
        <v>Closed</v>
      </c>
      <c r="M597" s="30" t="str">
        <f t="shared" si="5"/>
        <v>No</v>
      </c>
    </row>
    <row r="598" ht="15.75" customHeight="1">
      <c r="A598" s="53" t="s">
        <v>1809</v>
      </c>
      <c r="B598" s="53" t="s">
        <v>1109</v>
      </c>
      <c r="C598" s="53" t="s">
        <v>1081</v>
      </c>
      <c r="D598" s="54">
        <v>46129.0</v>
      </c>
      <c r="E598" s="54">
        <v>46144.0</v>
      </c>
      <c r="F598" s="55">
        <v>788.4</v>
      </c>
      <c r="G598" s="54">
        <v>46181.0</v>
      </c>
      <c r="H598" s="55">
        <v>297.64</v>
      </c>
      <c r="I598" s="55">
        <f t="shared" si="1"/>
        <v>490.76</v>
      </c>
      <c r="J598" s="56">
        <f t="shared" si="2"/>
        <v>14</v>
      </c>
      <c r="K598" s="53" t="str">
        <f t="shared" si="3"/>
        <v>0-30</v>
      </c>
      <c r="L598" s="53" t="str">
        <f t="shared" si="4"/>
        <v>Current</v>
      </c>
      <c r="M598" s="55" t="str">
        <f t="shared" si="5"/>
        <v>No</v>
      </c>
    </row>
    <row r="599" ht="15.75" customHeight="1">
      <c r="A599" s="25" t="s">
        <v>1810</v>
      </c>
      <c r="B599" s="25" t="s">
        <v>247</v>
      </c>
      <c r="C599" s="25" t="s">
        <v>226</v>
      </c>
      <c r="D599" s="26">
        <v>46111.0</v>
      </c>
      <c r="E599" s="26">
        <v>46141.0</v>
      </c>
      <c r="F599" s="30">
        <v>147.78</v>
      </c>
      <c r="G599" s="26">
        <v>46175.0</v>
      </c>
      <c r="H599" s="30">
        <v>56.32</v>
      </c>
      <c r="I599" s="30">
        <f t="shared" si="1"/>
        <v>91.46</v>
      </c>
      <c r="J599" s="29">
        <f t="shared" si="2"/>
        <v>17</v>
      </c>
      <c r="K599" s="25" t="str">
        <f t="shared" si="3"/>
        <v>0-30</v>
      </c>
      <c r="L599" s="25" t="str">
        <f t="shared" si="4"/>
        <v>Current</v>
      </c>
      <c r="M599" s="30" t="str">
        <f t="shared" si="5"/>
        <v>No</v>
      </c>
    </row>
    <row r="600" ht="15.75" customHeight="1">
      <c r="A600" s="53" t="s">
        <v>1811</v>
      </c>
      <c r="B600" s="53" t="s">
        <v>925</v>
      </c>
      <c r="C600" s="53" t="s">
        <v>861</v>
      </c>
      <c r="D600" s="54">
        <v>46050.0</v>
      </c>
      <c r="E600" s="54">
        <v>46095.0</v>
      </c>
      <c r="F600" s="55">
        <v>1273.2</v>
      </c>
      <c r="G600" s="54"/>
      <c r="H600" s="55">
        <v>0.0</v>
      </c>
      <c r="I600" s="55">
        <f t="shared" si="1"/>
        <v>1273.2</v>
      </c>
      <c r="J600" s="56">
        <f t="shared" si="2"/>
        <v>63</v>
      </c>
      <c r="K600" s="53" t="str">
        <f t="shared" si="3"/>
        <v>61-90</v>
      </c>
      <c r="L600" s="53" t="str">
        <f t="shared" si="4"/>
        <v>Collections Review</v>
      </c>
      <c r="M600" s="55" t="str">
        <f t="shared" si="5"/>
        <v>Yes</v>
      </c>
    </row>
    <row r="601" ht="15.75" customHeight="1">
      <c r="A601" s="25" t="s">
        <v>1812</v>
      </c>
      <c r="B601" s="25" t="s">
        <v>644</v>
      </c>
      <c r="C601" s="25" t="s">
        <v>575</v>
      </c>
      <c r="D601" s="26">
        <v>46108.0</v>
      </c>
      <c r="E601" s="26">
        <v>46138.0</v>
      </c>
      <c r="F601" s="30">
        <v>189.12</v>
      </c>
      <c r="G601" s="26">
        <v>46174.0</v>
      </c>
      <c r="H601" s="30">
        <v>189.12</v>
      </c>
      <c r="I601" s="30">
        <f t="shared" si="1"/>
        <v>0</v>
      </c>
      <c r="J601" s="29">
        <f t="shared" si="2"/>
        <v>20</v>
      </c>
      <c r="K601" s="25" t="str">
        <f t="shared" si="3"/>
        <v>Paid</v>
      </c>
      <c r="L601" s="25" t="str">
        <f t="shared" si="4"/>
        <v>Closed</v>
      </c>
      <c r="M601" s="30" t="str">
        <f t="shared" si="5"/>
        <v>No</v>
      </c>
    </row>
    <row r="602" ht="15.75" customHeight="1">
      <c r="A602" s="53" t="s">
        <v>1813</v>
      </c>
      <c r="B602" s="53" t="s">
        <v>812</v>
      </c>
      <c r="C602" s="53" t="s">
        <v>717</v>
      </c>
      <c r="D602" s="54">
        <v>46123.0</v>
      </c>
      <c r="E602" s="54">
        <v>46153.0</v>
      </c>
      <c r="F602" s="55">
        <v>1204.8</v>
      </c>
      <c r="G602" s="54"/>
      <c r="H602" s="55">
        <v>0.0</v>
      </c>
      <c r="I602" s="55">
        <f t="shared" si="1"/>
        <v>1204.8</v>
      </c>
      <c r="J602" s="56">
        <f t="shared" si="2"/>
        <v>5</v>
      </c>
      <c r="K602" s="53" t="str">
        <f t="shared" si="3"/>
        <v>0-30</v>
      </c>
      <c r="L602" s="53" t="str">
        <f t="shared" si="4"/>
        <v>Current</v>
      </c>
      <c r="M602" s="55" t="str">
        <f t="shared" si="5"/>
        <v>No</v>
      </c>
    </row>
    <row r="603" ht="15.75" customHeight="1">
      <c r="A603" s="25" t="s">
        <v>1814</v>
      </c>
      <c r="B603" s="25" t="s">
        <v>645</v>
      </c>
      <c r="C603" s="25" t="s">
        <v>575</v>
      </c>
      <c r="D603" s="26">
        <v>46074.0</v>
      </c>
      <c r="E603" s="26">
        <v>46119.0</v>
      </c>
      <c r="F603" s="30">
        <v>262.8</v>
      </c>
      <c r="G603" s="26">
        <v>46115.0</v>
      </c>
      <c r="H603" s="30">
        <v>262.8</v>
      </c>
      <c r="I603" s="30">
        <f t="shared" si="1"/>
        <v>0</v>
      </c>
      <c r="J603" s="29">
        <f t="shared" si="2"/>
        <v>39</v>
      </c>
      <c r="K603" s="25" t="str">
        <f t="shared" si="3"/>
        <v>Paid</v>
      </c>
      <c r="L603" s="25" t="str">
        <f t="shared" si="4"/>
        <v>Closed</v>
      </c>
      <c r="M603" s="30" t="str">
        <f t="shared" si="5"/>
        <v>No</v>
      </c>
    </row>
    <row r="604" ht="15.75" customHeight="1">
      <c r="A604" s="53" t="s">
        <v>1815</v>
      </c>
      <c r="B604" s="53" t="s">
        <v>509</v>
      </c>
      <c r="C604" s="53" t="s">
        <v>469</v>
      </c>
      <c r="D604" s="54">
        <v>46044.0</v>
      </c>
      <c r="E604" s="54">
        <v>46074.0</v>
      </c>
      <c r="F604" s="55">
        <v>181.92</v>
      </c>
      <c r="G604" s="54"/>
      <c r="H604" s="55">
        <v>0.0</v>
      </c>
      <c r="I604" s="55">
        <f t="shared" si="1"/>
        <v>181.92</v>
      </c>
      <c r="J604" s="56">
        <f t="shared" si="2"/>
        <v>84</v>
      </c>
      <c r="K604" s="53" t="str">
        <f t="shared" si="3"/>
        <v>61-90</v>
      </c>
      <c r="L604" s="53" t="str">
        <f t="shared" si="4"/>
        <v>Collections Review</v>
      </c>
      <c r="M604" s="55" t="str">
        <f t="shared" si="5"/>
        <v>Yes</v>
      </c>
    </row>
    <row r="605" ht="15.75" customHeight="1">
      <c r="A605" s="25" t="s">
        <v>1816</v>
      </c>
      <c r="B605" s="25" t="s">
        <v>395</v>
      </c>
      <c r="C605" s="25" t="s">
        <v>314</v>
      </c>
      <c r="D605" s="26">
        <v>46126.0</v>
      </c>
      <c r="E605" s="26">
        <v>46171.0</v>
      </c>
      <c r="F605" s="30">
        <v>479.04</v>
      </c>
      <c r="G605" s="26">
        <v>46184.0</v>
      </c>
      <c r="H605" s="30">
        <v>479.04</v>
      </c>
      <c r="I605" s="30">
        <f t="shared" si="1"/>
        <v>0</v>
      </c>
      <c r="J605" s="29">
        <f t="shared" si="2"/>
        <v>0</v>
      </c>
      <c r="K605" s="25" t="str">
        <f t="shared" si="3"/>
        <v>Paid</v>
      </c>
      <c r="L605" s="25" t="str">
        <f t="shared" si="4"/>
        <v>Closed</v>
      </c>
      <c r="M605" s="30" t="str">
        <f t="shared" si="5"/>
        <v>No</v>
      </c>
    </row>
    <row r="606" ht="15.75" customHeight="1">
      <c r="A606" s="53" t="s">
        <v>1817</v>
      </c>
      <c r="B606" s="53" t="s">
        <v>926</v>
      </c>
      <c r="C606" s="53" t="s">
        <v>857</v>
      </c>
      <c r="D606" s="54">
        <v>46039.0</v>
      </c>
      <c r="E606" s="54">
        <v>46054.0</v>
      </c>
      <c r="F606" s="55">
        <v>861.12</v>
      </c>
      <c r="G606" s="54">
        <v>46052.0</v>
      </c>
      <c r="H606" s="55">
        <v>861.12</v>
      </c>
      <c r="I606" s="55">
        <f t="shared" si="1"/>
        <v>0</v>
      </c>
      <c r="J606" s="56">
        <f t="shared" si="2"/>
        <v>104</v>
      </c>
      <c r="K606" s="53" t="str">
        <f t="shared" si="3"/>
        <v>Paid</v>
      </c>
      <c r="L606" s="53" t="str">
        <f t="shared" si="4"/>
        <v>Closed</v>
      </c>
      <c r="M606" s="55" t="str">
        <f t="shared" si="5"/>
        <v>No</v>
      </c>
    </row>
    <row r="607" ht="15.75" customHeight="1">
      <c r="A607" s="25" t="s">
        <v>1818</v>
      </c>
      <c r="B607" s="25" t="s">
        <v>646</v>
      </c>
      <c r="C607" s="25" t="s">
        <v>553</v>
      </c>
      <c r="D607" s="26">
        <v>46122.0</v>
      </c>
      <c r="E607" s="26">
        <v>46167.0</v>
      </c>
      <c r="F607" s="30">
        <v>131.04</v>
      </c>
      <c r="G607" s="26">
        <v>46159.0</v>
      </c>
      <c r="H607" s="30">
        <v>131.04</v>
      </c>
      <c r="I607" s="30">
        <f t="shared" si="1"/>
        <v>0</v>
      </c>
      <c r="J607" s="29">
        <f t="shared" si="2"/>
        <v>0</v>
      </c>
      <c r="K607" s="25" t="str">
        <f t="shared" si="3"/>
        <v>Paid</v>
      </c>
      <c r="L607" s="25" t="str">
        <f t="shared" si="4"/>
        <v>Closed</v>
      </c>
      <c r="M607" s="30" t="str">
        <f t="shared" si="5"/>
        <v>No</v>
      </c>
    </row>
    <row r="608" ht="15.75" customHeight="1">
      <c r="A608" s="53" t="s">
        <v>1819</v>
      </c>
      <c r="B608" s="53" t="s">
        <v>510</v>
      </c>
      <c r="C608" s="53" t="s">
        <v>448</v>
      </c>
      <c r="D608" s="54">
        <v>46072.0</v>
      </c>
      <c r="E608" s="54">
        <v>46087.0</v>
      </c>
      <c r="F608" s="55">
        <v>329.28</v>
      </c>
      <c r="G608" s="54">
        <v>46086.0</v>
      </c>
      <c r="H608" s="55">
        <v>329.28</v>
      </c>
      <c r="I608" s="55">
        <f t="shared" si="1"/>
        <v>0</v>
      </c>
      <c r="J608" s="56">
        <f t="shared" si="2"/>
        <v>71</v>
      </c>
      <c r="K608" s="53" t="str">
        <f t="shared" si="3"/>
        <v>Paid</v>
      </c>
      <c r="L608" s="53" t="str">
        <f t="shared" si="4"/>
        <v>Closed</v>
      </c>
      <c r="M608" s="55" t="str">
        <f t="shared" si="5"/>
        <v>No</v>
      </c>
    </row>
    <row r="609" ht="15.75" customHeight="1">
      <c r="A609" s="25" t="s">
        <v>1820</v>
      </c>
      <c r="B609" s="25" t="s">
        <v>813</v>
      </c>
      <c r="C609" s="25" t="s">
        <v>702</v>
      </c>
      <c r="D609" s="26">
        <v>46045.0</v>
      </c>
      <c r="E609" s="26">
        <v>46075.0</v>
      </c>
      <c r="F609" s="30">
        <v>930.0</v>
      </c>
      <c r="G609" s="26">
        <v>46081.0</v>
      </c>
      <c r="H609" s="30">
        <v>930.0</v>
      </c>
      <c r="I609" s="30">
        <f t="shared" si="1"/>
        <v>0</v>
      </c>
      <c r="J609" s="29">
        <f t="shared" si="2"/>
        <v>83</v>
      </c>
      <c r="K609" s="25" t="str">
        <f t="shared" si="3"/>
        <v>Paid</v>
      </c>
      <c r="L609" s="25" t="str">
        <f t="shared" si="4"/>
        <v>Closed</v>
      </c>
      <c r="M609" s="30" t="str">
        <f t="shared" si="5"/>
        <v>No</v>
      </c>
    </row>
    <row r="610" ht="15.75" customHeight="1">
      <c r="A610" s="53" t="s">
        <v>1821</v>
      </c>
      <c r="B610" s="53" t="s">
        <v>133</v>
      </c>
      <c r="C610" s="53" t="s">
        <v>73</v>
      </c>
      <c r="D610" s="54">
        <v>46107.0</v>
      </c>
      <c r="E610" s="54">
        <v>46137.0</v>
      </c>
      <c r="F610" s="55">
        <v>402.48</v>
      </c>
      <c r="G610" s="54">
        <v>46131.0</v>
      </c>
      <c r="H610" s="55">
        <v>402.48</v>
      </c>
      <c r="I610" s="55">
        <f t="shared" si="1"/>
        <v>0</v>
      </c>
      <c r="J610" s="56">
        <f t="shared" si="2"/>
        <v>21</v>
      </c>
      <c r="K610" s="53" t="str">
        <f t="shared" si="3"/>
        <v>Paid</v>
      </c>
      <c r="L610" s="53" t="str">
        <f t="shared" si="4"/>
        <v>Closed</v>
      </c>
      <c r="M610" s="55" t="str">
        <f t="shared" si="5"/>
        <v>No</v>
      </c>
    </row>
    <row r="611" ht="15.75" customHeight="1">
      <c r="A611" s="25" t="s">
        <v>1822</v>
      </c>
      <c r="B611" s="25" t="s">
        <v>396</v>
      </c>
      <c r="C611" s="25" t="s">
        <v>291</v>
      </c>
      <c r="D611" s="26">
        <v>46122.0</v>
      </c>
      <c r="E611" s="26">
        <v>46137.0</v>
      </c>
      <c r="F611" s="30">
        <v>650.88</v>
      </c>
      <c r="G611" s="26">
        <v>46132.0</v>
      </c>
      <c r="H611" s="30">
        <v>650.88</v>
      </c>
      <c r="I611" s="30">
        <f t="shared" si="1"/>
        <v>0</v>
      </c>
      <c r="J611" s="29">
        <f t="shared" si="2"/>
        <v>21</v>
      </c>
      <c r="K611" s="25" t="str">
        <f t="shared" si="3"/>
        <v>Paid</v>
      </c>
      <c r="L611" s="25" t="str">
        <f t="shared" si="4"/>
        <v>Closed</v>
      </c>
      <c r="M611" s="30" t="str">
        <f t="shared" si="5"/>
        <v>No</v>
      </c>
    </row>
    <row r="612" ht="15.75" customHeight="1">
      <c r="A612" s="53" t="s">
        <v>1823</v>
      </c>
      <c r="B612" s="53" t="s">
        <v>815</v>
      </c>
      <c r="C612" s="53" t="s">
        <v>702</v>
      </c>
      <c r="D612" s="54">
        <v>46097.0</v>
      </c>
      <c r="E612" s="54">
        <v>46112.0</v>
      </c>
      <c r="F612" s="55">
        <v>278.16</v>
      </c>
      <c r="G612" s="54"/>
      <c r="H612" s="55">
        <v>0.0</v>
      </c>
      <c r="I612" s="55">
        <f t="shared" si="1"/>
        <v>278.16</v>
      </c>
      <c r="J612" s="56">
        <f t="shared" si="2"/>
        <v>46</v>
      </c>
      <c r="K612" s="53" t="str">
        <f t="shared" si="3"/>
        <v>31-60</v>
      </c>
      <c r="L612" s="53" t="str">
        <f t="shared" si="4"/>
        <v>Reminder Sent</v>
      </c>
      <c r="M612" s="55" t="str">
        <f t="shared" si="5"/>
        <v>No</v>
      </c>
    </row>
    <row r="613" ht="15.75" customHeight="1">
      <c r="A613" s="25" t="s">
        <v>1824</v>
      </c>
      <c r="B613" s="25" t="s">
        <v>1038</v>
      </c>
      <c r="C613" s="25" t="s">
        <v>1039</v>
      </c>
      <c r="D613" s="26">
        <v>46060.0</v>
      </c>
      <c r="E613" s="26">
        <v>46090.0</v>
      </c>
      <c r="F613" s="30">
        <v>1398.43</v>
      </c>
      <c r="G613" s="26">
        <v>46094.0</v>
      </c>
      <c r="H613" s="30">
        <v>1398.43</v>
      </c>
      <c r="I613" s="30">
        <f t="shared" si="1"/>
        <v>0</v>
      </c>
      <c r="J613" s="29">
        <f t="shared" si="2"/>
        <v>68</v>
      </c>
      <c r="K613" s="25" t="str">
        <f t="shared" si="3"/>
        <v>Paid</v>
      </c>
      <c r="L613" s="25" t="str">
        <f t="shared" si="4"/>
        <v>Closed</v>
      </c>
      <c r="M613" s="30" t="str">
        <f t="shared" si="5"/>
        <v>No</v>
      </c>
    </row>
    <row r="614" ht="15.75" customHeight="1">
      <c r="A614" s="53" t="s">
        <v>1825</v>
      </c>
      <c r="B614" s="53" t="s">
        <v>1110</v>
      </c>
      <c r="C614" s="53" t="s">
        <v>1077</v>
      </c>
      <c r="D614" s="54">
        <v>46080.0</v>
      </c>
      <c r="E614" s="54">
        <v>46110.0</v>
      </c>
      <c r="F614" s="55">
        <v>648.6</v>
      </c>
      <c r="G614" s="54"/>
      <c r="H614" s="55">
        <v>0.0</v>
      </c>
      <c r="I614" s="55">
        <f t="shared" si="1"/>
        <v>648.6</v>
      </c>
      <c r="J614" s="56">
        <f t="shared" si="2"/>
        <v>48</v>
      </c>
      <c r="K614" s="53" t="str">
        <f t="shared" si="3"/>
        <v>31-60</v>
      </c>
      <c r="L614" s="53" t="str">
        <f t="shared" si="4"/>
        <v>Reminder Sent</v>
      </c>
      <c r="M614" s="55" t="str">
        <f t="shared" si="5"/>
        <v>No</v>
      </c>
    </row>
    <row r="615" ht="15.75" customHeight="1">
      <c r="A615" s="25" t="s">
        <v>1826</v>
      </c>
      <c r="B615" s="25" t="s">
        <v>1171</v>
      </c>
      <c r="C615" s="25" t="s">
        <v>1133</v>
      </c>
      <c r="D615" s="26">
        <v>46150.0</v>
      </c>
      <c r="E615" s="26">
        <v>46180.0</v>
      </c>
      <c r="F615" s="30">
        <v>61.26</v>
      </c>
      <c r="G615" s="26">
        <v>46205.0</v>
      </c>
      <c r="H615" s="30">
        <v>61.26</v>
      </c>
      <c r="I615" s="30">
        <f t="shared" si="1"/>
        <v>0</v>
      </c>
      <c r="J615" s="29">
        <f t="shared" si="2"/>
        <v>0</v>
      </c>
      <c r="K615" s="25" t="str">
        <f t="shared" si="3"/>
        <v>Paid</v>
      </c>
      <c r="L615" s="25" t="str">
        <f t="shared" si="4"/>
        <v>Closed</v>
      </c>
      <c r="M615" s="30" t="str">
        <f t="shared" si="5"/>
        <v>No</v>
      </c>
    </row>
    <row r="616" ht="15.75" customHeight="1">
      <c r="A616" s="53" t="s">
        <v>1827</v>
      </c>
      <c r="B616" s="53" t="s">
        <v>1111</v>
      </c>
      <c r="C616" s="53" t="s">
        <v>1075</v>
      </c>
      <c r="D616" s="54">
        <v>46047.0</v>
      </c>
      <c r="E616" s="54">
        <v>46077.0</v>
      </c>
      <c r="F616" s="55">
        <v>285.3</v>
      </c>
      <c r="G616" s="54">
        <v>46090.0</v>
      </c>
      <c r="H616" s="55">
        <v>285.3</v>
      </c>
      <c r="I616" s="55">
        <f t="shared" si="1"/>
        <v>0</v>
      </c>
      <c r="J616" s="56">
        <f t="shared" si="2"/>
        <v>81</v>
      </c>
      <c r="K616" s="53" t="str">
        <f t="shared" si="3"/>
        <v>Paid</v>
      </c>
      <c r="L616" s="53" t="str">
        <f t="shared" si="4"/>
        <v>Closed</v>
      </c>
      <c r="M616" s="55" t="str">
        <f t="shared" si="5"/>
        <v>No</v>
      </c>
    </row>
    <row r="617" ht="15.75" customHeight="1">
      <c r="A617" s="25" t="s">
        <v>1828</v>
      </c>
      <c r="B617" s="25" t="s">
        <v>397</v>
      </c>
      <c r="C617" s="25" t="s">
        <v>299</v>
      </c>
      <c r="D617" s="26">
        <v>46046.0</v>
      </c>
      <c r="E617" s="26">
        <v>46061.0</v>
      </c>
      <c r="F617" s="30">
        <v>510.72</v>
      </c>
      <c r="G617" s="26">
        <v>46067.0</v>
      </c>
      <c r="H617" s="30">
        <v>510.72</v>
      </c>
      <c r="I617" s="30">
        <f t="shared" si="1"/>
        <v>0</v>
      </c>
      <c r="J617" s="29">
        <f t="shared" si="2"/>
        <v>97</v>
      </c>
      <c r="K617" s="25" t="str">
        <f t="shared" si="3"/>
        <v>Paid</v>
      </c>
      <c r="L617" s="25" t="str">
        <f t="shared" si="4"/>
        <v>Closed</v>
      </c>
      <c r="M617" s="30" t="str">
        <f t="shared" si="5"/>
        <v>No</v>
      </c>
    </row>
    <row r="618" ht="15.75" customHeight="1">
      <c r="A618" s="53" t="s">
        <v>1829</v>
      </c>
      <c r="B618" s="53" t="s">
        <v>511</v>
      </c>
      <c r="C618" s="53" t="s">
        <v>464</v>
      </c>
      <c r="D618" s="54">
        <v>46128.0</v>
      </c>
      <c r="E618" s="54">
        <v>46143.0</v>
      </c>
      <c r="F618" s="55">
        <v>1263.6</v>
      </c>
      <c r="G618" s="54"/>
      <c r="H618" s="55">
        <v>0.0</v>
      </c>
      <c r="I618" s="55">
        <f t="shared" si="1"/>
        <v>1263.6</v>
      </c>
      <c r="J618" s="56">
        <f t="shared" si="2"/>
        <v>15</v>
      </c>
      <c r="K618" s="53" t="str">
        <f t="shared" si="3"/>
        <v>0-30</v>
      </c>
      <c r="L618" s="53" t="str">
        <f t="shared" si="4"/>
        <v>Current</v>
      </c>
      <c r="M618" s="55" t="str">
        <f t="shared" si="5"/>
        <v>No</v>
      </c>
    </row>
    <row r="619" ht="15.75" customHeight="1">
      <c r="A619" s="25" t="s">
        <v>1830</v>
      </c>
      <c r="B619" s="25" t="s">
        <v>398</v>
      </c>
      <c r="C619" s="25" t="s">
        <v>330</v>
      </c>
      <c r="D619" s="26">
        <v>46132.0</v>
      </c>
      <c r="E619" s="26">
        <v>46177.0</v>
      </c>
      <c r="F619" s="30">
        <v>139.8</v>
      </c>
      <c r="G619" s="26">
        <v>46206.0</v>
      </c>
      <c r="H619" s="30">
        <v>139.8</v>
      </c>
      <c r="I619" s="30">
        <f t="shared" si="1"/>
        <v>0</v>
      </c>
      <c r="J619" s="29">
        <f t="shared" si="2"/>
        <v>0</v>
      </c>
      <c r="K619" s="25" t="str">
        <f t="shared" si="3"/>
        <v>Paid</v>
      </c>
      <c r="L619" s="25" t="str">
        <f t="shared" si="4"/>
        <v>Closed</v>
      </c>
      <c r="M619" s="30" t="str">
        <f t="shared" si="5"/>
        <v>No</v>
      </c>
    </row>
    <row r="620" ht="15.75" customHeight="1">
      <c r="A620" s="53" t="s">
        <v>1831</v>
      </c>
      <c r="B620" s="53" t="s">
        <v>648</v>
      </c>
      <c r="C620" s="53" t="s">
        <v>566</v>
      </c>
      <c r="D620" s="54">
        <v>46102.0</v>
      </c>
      <c r="E620" s="54">
        <v>46132.0</v>
      </c>
      <c r="F620" s="55">
        <v>196.56</v>
      </c>
      <c r="G620" s="54">
        <v>46167.0</v>
      </c>
      <c r="H620" s="55">
        <v>196.56</v>
      </c>
      <c r="I620" s="55">
        <f t="shared" si="1"/>
        <v>0</v>
      </c>
      <c r="J620" s="56">
        <f t="shared" si="2"/>
        <v>26</v>
      </c>
      <c r="K620" s="53" t="str">
        <f t="shared" si="3"/>
        <v>Paid</v>
      </c>
      <c r="L620" s="53" t="str">
        <f t="shared" si="4"/>
        <v>Closed</v>
      </c>
      <c r="M620" s="55" t="str">
        <f t="shared" si="5"/>
        <v>No</v>
      </c>
    </row>
    <row r="621" ht="15.75" customHeight="1">
      <c r="A621" s="25" t="s">
        <v>1832</v>
      </c>
      <c r="B621" s="25" t="s">
        <v>816</v>
      </c>
      <c r="C621" s="25" t="s">
        <v>712</v>
      </c>
      <c r="D621" s="26">
        <v>46132.0</v>
      </c>
      <c r="E621" s="26">
        <v>46162.0</v>
      </c>
      <c r="F621" s="30">
        <v>46.74</v>
      </c>
      <c r="G621" s="26"/>
      <c r="H621" s="30">
        <v>0.0</v>
      </c>
      <c r="I621" s="30">
        <f t="shared" si="1"/>
        <v>46.74</v>
      </c>
      <c r="J621" s="29">
        <f t="shared" si="2"/>
        <v>0</v>
      </c>
      <c r="K621" s="25" t="str">
        <f t="shared" si="3"/>
        <v>0-30</v>
      </c>
      <c r="L621" s="25" t="str">
        <f t="shared" si="4"/>
        <v>Current</v>
      </c>
      <c r="M621" s="30" t="str">
        <f t="shared" si="5"/>
        <v>No</v>
      </c>
    </row>
    <row r="622" ht="15.75" customHeight="1">
      <c r="A622" s="53" t="s">
        <v>1833</v>
      </c>
      <c r="B622" s="53" t="s">
        <v>248</v>
      </c>
      <c r="C622" s="53" t="s">
        <v>198</v>
      </c>
      <c r="D622" s="54">
        <v>46144.0</v>
      </c>
      <c r="E622" s="54">
        <v>46174.0</v>
      </c>
      <c r="F622" s="55">
        <v>279.6</v>
      </c>
      <c r="G622" s="54"/>
      <c r="H622" s="55">
        <v>0.0</v>
      </c>
      <c r="I622" s="55">
        <f t="shared" si="1"/>
        <v>279.6</v>
      </c>
      <c r="J622" s="56">
        <f t="shared" si="2"/>
        <v>0</v>
      </c>
      <c r="K622" s="53" t="str">
        <f t="shared" si="3"/>
        <v>0-30</v>
      </c>
      <c r="L622" s="53" t="str">
        <f t="shared" si="4"/>
        <v>Current</v>
      </c>
      <c r="M622" s="55" t="str">
        <f t="shared" si="5"/>
        <v>No</v>
      </c>
    </row>
    <row r="623" ht="15.75" customHeight="1">
      <c r="A623" s="25" t="s">
        <v>1834</v>
      </c>
      <c r="B623" s="25" t="s">
        <v>512</v>
      </c>
      <c r="C623" s="25" t="s">
        <v>464</v>
      </c>
      <c r="D623" s="26">
        <v>46133.0</v>
      </c>
      <c r="E623" s="26">
        <v>46148.0</v>
      </c>
      <c r="F623" s="30">
        <v>424.08</v>
      </c>
      <c r="G623" s="26">
        <v>46141.0</v>
      </c>
      <c r="H623" s="30">
        <v>424.08</v>
      </c>
      <c r="I623" s="30">
        <f t="shared" si="1"/>
        <v>0</v>
      </c>
      <c r="J623" s="29">
        <f t="shared" si="2"/>
        <v>10</v>
      </c>
      <c r="K623" s="25" t="str">
        <f t="shared" si="3"/>
        <v>Paid</v>
      </c>
      <c r="L623" s="25" t="str">
        <f t="shared" si="4"/>
        <v>Closed</v>
      </c>
      <c r="M623" s="30" t="str">
        <f t="shared" si="5"/>
        <v>No</v>
      </c>
    </row>
    <row r="624" ht="15.75" customHeight="1">
      <c r="A624" s="53" t="s">
        <v>1835</v>
      </c>
      <c r="B624" s="53" t="s">
        <v>1112</v>
      </c>
      <c r="C624" s="53" t="s">
        <v>1083</v>
      </c>
      <c r="D624" s="54">
        <v>46041.0</v>
      </c>
      <c r="E624" s="54">
        <v>46056.0</v>
      </c>
      <c r="F624" s="55">
        <v>767.52</v>
      </c>
      <c r="G624" s="54">
        <v>46095.0</v>
      </c>
      <c r="H624" s="55">
        <v>767.52</v>
      </c>
      <c r="I624" s="55">
        <f t="shared" si="1"/>
        <v>0</v>
      </c>
      <c r="J624" s="56">
        <f t="shared" si="2"/>
        <v>102</v>
      </c>
      <c r="K624" s="53" t="str">
        <f t="shared" si="3"/>
        <v>Paid</v>
      </c>
      <c r="L624" s="53" t="str">
        <f t="shared" si="4"/>
        <v>Closed</v>
      </c>
      <c r="M624" s="55" t="str">
        <f t="shared" si="5"/>
        <v>No</v>
      </c>
    </row>
    <row r="625" ht="15.75" customHeight="1">
      <c r="A625" s="25" t="s">
        <v>1836</v>
      </c>
      <c r="B625" s="25" t="s">
        <v>134</v>
      </c>
      <c r="C625" s="25" t="s">
        <v>73</v>
      </c>
      <c r="D625" s="26">
        <v>46079.0</v>
      </c>
      <c r="E625" s="26">
        <v>46109.0</v>
      </c>
      <c r="F625" s="30">
        <v>319.8</v>
      </c>
      <c r="G625" s="26">
        <v>46124.0</v>
      </c>
      <c r="H625" s="30">
        <v>319.8</v>
      </c>
      <c r="I625" s="30">
        <f t="shared" si="1"/>
        <v>0</v>
      </c>
      <c r="J625" s="29">
        <f t="shared" si="2"/>
        <v>49</v>
      </c>
      <c r="K625" s="25" t="str">
        <f t="shared" si="3"/>
        <v>Paid</v>
      </c>
      <c r="L625" s="25" t="str">
        <f t="shared" si="4"/>
        <v>Closed</v>
      </c>
      <c r="M625" s="30" t="str">
        <f t="shared" si="5"/>
        <v>No</v>
      </c>
    </row>
    <row r="626" ht="15.75" customHeight="1">
      <c r="A626" s="53" t="s">
        <v>1837</v>
      </c>
      <c r="B626" s="53" t="s">
        <v>649</v>
      </c>
      <c r="C626" s="53" t="s">
        <v>557</v>
      </c>
      <c r="D626" s="54">
        <v>46055.0</v>
      </c>
      <c r="E626" s="54">
        <v>46070.0</v>
      </c>
      <c r="F626" s="55">
        <v>139.2</v>
      </c>
      <c r="G626" s="54"/>
      <c r="H626" s="55">
        <v>0.0</v>
      </c>
      <c r="I626" s="55">
        <f t="shared" si="1"/>
        <v>139.2</v>
      </c>
      <c r="J626" s="56">
        <f t="shared" si="2"/>
        <v>88</v>
      </c>
      <c r="K626" s="53" t="str">
        <f t="shared" si="3"/>
        <v>61-90</v>
      </c>
      <c r="L626" s="53" t="str">
        <f t="shared" si="4"/>
        <v>Collections Review</v>
      </c>
      <c r="M626" s="55" t="str">
        <f t="shared" si="5"/>
        <v>Yes</v>
      </c>
    </row>
    <row r="627" ht="15.75" customHeight="1">
      <c r="A627" s="25" t="s">
        <v>1838</v>
      </c>
      <c r="B627" s="25" t="s">
        <v>135</v>
      </c>
      <c r="C627" s="25" t="s">
        <v>83</v>
      </c>
      <c r="D627" s="26">
        <v>46082.0</v>
      </c>
      <c r="E627" s="26">
        <v>46112.0</v>
      </c>
      <c r="F627" s="30">
        <v>648.0</v>
      </c>
      <c r="G627" s="26">
        <v>46147.0</v>
      </c>
      <c r="H627" s="30">
        <v>648.0</v>
      </c>
      <c r="I627" s="30">
        <f t="shared" si="1"/>
        <v>0</v>
      </c>
      <c r="J627" s="29">
        <f t="shared" si="2"/>
        <v>46</v>
      </c>
      <c r="K627" s="25" t="str">
        <f t="shared" si="3"/>
        <v>Paid</v>
      </c>
      <c r="L627" s="25" t="str">
        <f t="shared" si="4"/>
        <v>Closed</v>
      </c>
      <c r="M627" s="30" t="str">
        <f t="shared" si="5"/>
        <v>No</v>
      </c>
    </row>
    <row r="628" ht="15.75" customHeight="1">
      <c r="A628" s="53" t="s">
        <v>1839</v>
      </c>
      <c r="B628" s="53" t="s">
        <v>513</v>
      </c>
      <c r="C628" s="53" t="s">
        <v>464</v>
      </c>
      <c r="D628" s="54">
        <v>46042.0</v>
      </c>
      <c r="E628" s="54">
        <v>46087.0</v>
      </c>
      <c r="F628" s="55">
        <v>423.72</v>
      </c>
      <c r="G628" s="54"/>
      <c r="H628" s="55">
        <v>0.0</v>
      </c>
      <c r="I628" s="55">
        <f t="shared" si="1"/>
        <v>423.72</v>
      </c>
      <c r="J628" s="56">
        <f t="shared" si="2"/>
        <v>71</v>
      </c>
      <c r="K628" s="53" t="str">
        <f t="shared" si="3"/>
        <v>61-90</v>
      </c>
      <c r="L628" s="53" t="str">
        <f t="shared" si="4"/>
        <v>Collections Review</v>
      </c>
      <c r="M628" s="55" t="str">
        <f t="shared" si="5"/>
        <v>Yes</v>
      </c>
    </row>
    <row r="629" ht="15.75" customHeight="1">
      <c r="A629" s="25" t="s">
        <v>1840</v>
      </c>
      <c r="B629" s="25" t="s">
        <v>249</v>
      </c>
      <c r="C629" s="25" t="s">
        <v>198</v>
      </c>
      <c r="D629" s="26">
        <v>46061.0</v>
      </c>
      <c r="E629" s="26">
        <v>46091.0</v>
      </c>
      <c r="F629" s="30">
        <v>595.92</v>
      </c>
      <c r="G629" s="26">
        <v>46107.0</v>
      </c>
      <c r="H629" s="30">
        <v>595.92</v>
      </c>
      <c r="I629" s="30">
        <f t="shared" si="1"/>
        <v>0</v>
      </c>
      <c r="J629" s="29">
        <f t="shared" si="2"/>
        <v>67</v>
      </c>
      <c r="K629" s="25" t="str">
        <f t="shared" si="3"/>
        <v>Paid</v>
      </c>
      <c r="L629" s="25" t="str">
        <f t="shared" si="4"/>
        <v>Closed</v>
      </c>
      <c r="M629" s="30" t="str">
        <f t="shared" si="5"/>
        <v>No</v>
      </c>
    </row>
    <row r="630" ht="15.75" customHeight="1">
      <c r="A630" s="53" t="s">
        <v>1841</v>
      </c>
      <c r="B630" s="53" t="s">
        <v>817</v>
      </c>
      <c r="C630" s="53" t="s">
        <v>723</v>
      </c>
      <c r="D630" s="54">
        <v>46040.0</v>
      </c>
      <c r="E630" s="54">
        <v>46070.0</v>
      </c>
      <c r="F630" s="55">
        <v>0.0</v>
      </c>
      <c r="G630" s="54">
        <v>46108.0</v>
      </c>
      <c r="H630" s="55">
        <v>0.0</v>
      </c>
      <c r="I630" s="55">
        <f t="shared" si="1"/>
        <v>0</v>
      </c>
      <c r="J630" s="56">
        <f t="shared" si="2"/>
        <v>88</v>
      </c>
      <c r="K630" s="53" t="str">
        <f t="shared" si="3"/>
        <v>Paid</v>
      </c>
      <c r="L630" s="53" t="str">
        <f t="shared" si="4"/>
        <v>Closed</v>
      </c>
      <c r="M630" s="55" t="str">
        <f t="shared" si="5"/>
        <v>No</v>
      </c>
    </row>
    <row r="631" ht="15.75" customHeight="1">
      <c r="A631" s="25" t="s">
        <v>1842</v>
      </c>
      <c r="B631" s="25" t="s">
        <v>1113</v>
      </c>
      <c r="C631" s="25" t="s">
        <v>1081</v>
      </c>
      <c r="D631" s="26">
        <v>46116.0</v>
      </c>
      <c r="E631" s="26">
        <v>46146.0</v>
      </c>
      <c r="F631" s="30">
        <v>970.56</v>
      </c>
      <c r="G631" s="26">
        <v>46148.0</v>
      </c>
      <c r="H631" s="30">
        <v>970.56</v>
      </c>
      <c r="I631" s="30">
        <f t="shared" si="1"/>
        <v>0</v>
      </c>
      <c r="J631" s="29">
        <f t="shared" si="2"/>
        <v>12</v>
      </c>
      <c r="K631" s="25" t="str">
        <f t="shared" si="3"/>
        <v>Paid</v>
      </c>
      <c r="L631" s="25" t="str">
        <f t="shared" si="4"/>
        <v>Closed</v>
      </c>
      <c r="M631" s="30" t="str">
        <f t="shared" si="5"/>
        <v>No</v>
      </c>
    </row>
    <row r="632" ht="15.75" customHeight="1">
      <c r="A632" s="53" t="s">
        <v>1843</v>
      </c>
      <c r="B632" s="53" t="s">
        <v>1172</v>
      </c>
      <c r="C632" s="53" t="s">
        <v>1154</v>
      </c>
      <c r="D632" s="54">
        <v>46097.0</v>
      </c>
      <c r="E632" s="54">
        <v>46127.0</v>
      </c>
      <c r="F632" s="55">
        <v>514.08</v>
      </c>
      <c r="G632" s="54"/>
      <c r="H632" s="55">
        <v>0.0</v>
      </c>
      <c r="I632" s="55">
        <f t="shared" si="1"/>
        <v>514.08</v>
      </c>
      <c r="J632" s="56">
        <f t="shared" si="2"/>
        <v>31</v>
      </c>
      <c r="K632" s="53" t="str">
        <f t="shared" si="3"/>
        <v>31-60</v>
      </c>
      <c r="L632" s="53" t="str">
        <f t="shared" si="4"/>
        <v>Reminder Sent</v>
      </c>
      <c r="M632" s="55" t="str">
        <f t="shared" si="5"/>
        <v>No</v>
      </c>
    </row>
    <row r="633" ht="15.75" customHeight="1">
      <c r="A633" s="25" t="s">
        <v>1844</v>
      </c>
      <c r="B633" s="25" t="s">
        <v>399</v>
      </c>
      <c r="C633" s="25" t="s">
        <v>303</v>
      </c>
      <c r="D633" s="26">
        <v>46083.0</v>
      </c>
      <c r="E633" s="26">
        <v>46128.0</v>
      </c>
      <c r="F633" s="30">
        <v>621.0</v>
      </c>
      <c r="G633" s="26">
        <v>46151.0</v>
      </c>
      <c r="H633" s="30">
        <v>621.0</v>
      </c>
      <c r="I633" s="30">
        <f t="shared" si="1"/>
        <v>0</v>
      </c>
      <c r="J633" s="29">
        <f t="shared" si="2"/>
        <v>30</v>
      </c>
      <c r="K633" s="25" t="str">
        <f t="shared" si="3"/>
        <v>Paid</v>
      </c>
      <c r="L633" s="25" t="str">
        <f t="shared" si="4"/>
        <v>Closed</v>
      </c>
      <c r="M633" s="30" t="str">
        <f t="shared" si="5"/>
        <v>No</v>
      </c>
    </row>
    <row r="634" ht="15.75" customHeight="1">
      <c r="A634" s="53" t="s">
        <v>1845</v>
      </c>
      <c r="B634" s="53" t="s">
        <v>136</v>
      </c>
      <c r="C634" s="53" t="s">
        <v>83</v>
      </c>
      <c r="D634" s="54">
        <v>46123.0</v>
      </c>
      <c r="E634" s="54">
        <v>46153.0</v>
      </c>
      <c r="F634" s="55">
        <v>529.2</v>
      </c>
      <c r="G634" s="54">
        <v>46152.0</v>
      </c>
      <c r="H634" s="55">
        <v>529.2</v>
      </c>
      <c r="I634" s="55">
        <f t="shared" si="1"/>
        <v>0</v>
      </c>
      <c r="J634" s="56">
        <f t="shared" si="2"/>
        <v>5</v>
      </c>
      <c r="K634" s="53" t="str">
        <f t="shared" si="3"/>
        <v>Paid</v>
      </c>
      <c r="L634" s="53" t="str">
        <f t="shared" si="4"/>
        <v>Closed</v>
      </c>
      <c r="M634" s="55" t="str">
        <f t="shared" si="5"/>
        <v>No</v>
      </c>
    </row>
    <row r="635" ht="15.75" customHeight="1">
      <c r="A635" s="25" t="s">
        <v>1846</v>
      </c>
      <c r="B635" s="25" t="s">
        <v>1173</v>
      </c>
      <c r="C635" s="25" t="s">
        <v>1136</v>
      </c>
      <c r="D635" s="26">
        <v>46110.0</v>
      </c>
      <c r="E635" s="26">
        <v>46155.0</v>
      </c>
      <c r="F635" s="30">
        <v>1251.6</v>
      </c>
      <c r="G635" s="26">
        <v>46180.0</v>
      </c>
      <c r="H635" s="30">
        <v>1251.6</v>
      </c>
      <c r="I635" s="30">
        <f t="shared" si="1"/>
        <v>0</v>
      </c>
      <c r="J635" s="29">
        <f t="shared" si="2"/>
        <v>3</v>
      </c>
      <c r="K635" s="25" t="str">
        <f t="shared" si="3"/>
        <v>Paid</v>
      </c>
      <c r="L635" s="25" t="str">
        <f t="shared" si="4"/>
        <v>Closed</v>
      </c>
      <c r="M635" s="30" t="str">
        <f t="shared" si="5"/>
        <v>No</v>
      </c>
    </row>
    <row r="636" ht="15.75" customHeight="1">
      <c r="A636" s="53" t="s">
        <v>1847</v>
      </c>
      <c r="B636" s="53" t="s">
        <v>1040</v>
      </c>
      <c r="C636" s="53" t="s">
        <v>965</v>
      </c>
      <c r="D636" s="54">
        <v>46127.0</v>
      </c>
      <c r="E636" s="54">
        <v>46157.0</v>
      </c>
      <c r="F636" s="55">
        <v>684.72</v>
      </c>
      <c r="G636" s="54"/>
      <c r="H636" s="55">
        <v>0.0</v>
      </c>
      <c r="I636" s="55">
        <f t="shared" si="1"/>
        <v>684.72</v>
      </c>
      <c r="J636" s="56">
        <f t="shared" si="2"/>
        <v>1</v>
      </c>
      <c r="K636" s="53" t="str">
        <f t="shared" si="3"/>
        <v>0-30</v>
      </c>
      <c r="L636" s="53" t="str">
        <f t="shared" si="4"/>
        <v>Current</v>
      </c>
      <c r="M636" s="55" t="str">
        <f t="shared" si="5"/>
        <v>No</v>
      </c>
    </row>
    <row r="637" ht="15.75" customHeight="1">
      <c r="A637" s="25" t="s">
        <v>1848</v>
      </c>
      <c r="B637" s="25" t="s">
        <v>400</v>
      </c>
      <c r="C637" s="25" t="s">
        <v>297</v>
      </c>
      <c r="D637" s="26">
        <v>46041.0</v>
      </c>
      <c r="E637" s="26">
        <v>46071.0</v>
      </c>
      <c r="F637" s="30">
        <v>1195.2</v>
      </c>
      <c r="G637" s="26">
        <v>46092.0</v>
      </c>
      <c r="H637" s="30">
        <v>1195.2</v>
      </c>
      <c r="I637" s="30">
        <f t="shared" si="1"/>
        <v>0</v>
      </c>
      <c r="J637" s="29">
        <f t="shared" si="2"/>
        <v>87</v>
      </c>
      <c r="K637" s="25" t="str">
        <f t="shared" si="3"/>
        <v>Paid</v>
      </c>
      <c r="L637" s="25" t="str">
        <f t="shared" si="4"/>
        <v>Closed</v>
      </c>
      <c r="M637" s="30" t="str">
        <f t="shared" si="5"/>
        <v>No</v>
      </c>
    </row>
    <row r="638" ht="15.75" customHeight="1">
      <c r="A638" s="53" t="s">
        <v>1849</v>
      </c>
      <c r="B638" s="53" t="s">
        <v>138</v>
      </c>
      <c r="C638" s="53" t="s">
        <v>87</v>
      </c>
      <c r="D638" s="54">
        <v>46076.0</v>
      </c>
      <c r="E638" s="54">
        <v>46121.0</v>
      </c>
      <c r="F638" s="55">
        <v>174.96</v>
      </c>
      <c r="G638" s="54">
        <v>46134.0</v>
      </c>
      <c r="H638" s="55">
        <v>174.96</v>
      </c>
      <c r="I638" s="55">
        <f t="shared" si="1"/>
        <v>0</v>
      </c>
      <c r="J638" s="56">
        <f t="shared" si="2"/>
        <v>37</v>
      </c>
      <c r="K638" s="53" t="str">
        <f t="shared" si="3"/>
        <v>Paid</v>
      </c>
      <c r="L638" s="53" t="str">
        <f t="shared" si="4"/>
        <v>Closed</v>
      </c>
      <c r="M638" s="55" t="str">
        <f t="shared" si="5"/>
        <v>No</v>
      </c>
    </row>
    <row r="639" ht="15.75" customHeight="1">
      <c r="A639" s="25" t="s">
        <v>1850</v>
      </c>
      <c r="B639" s="25" t="s">
        <v>1041</v>
      </c>
      <c r="C639" s="25" t="s">
        <v>980</v>
      </c>
      <c r="D639" s="26">
        <v>46119.0</v>
      </c>
      <c r="E639" s="26">
        <v>46164.0</v>
      </c>
      <c r="F639" s="30">
        <v>549.72</v>
      </c>
      <c r="G639" s="26">
        <v>46204.0</v>
      </c>
      <c r="H639" s="30">
        <v>549.72</v>
      </c>
      <c r="I639" s="30">
        <f t="shared" si="1"/>
        <v>0</v>
      </c>
      <c r="J639" s="29">
        <f t="shared" si="2"/>
        <v>0</v>
      </c>
      <c r="K639" s="25" t="str">
        <f t="shared" si="3"/>
        <v>Paid</v>
      </c>
      <c r="L639" s="25" t="str">
        <f t="shared" si="4"/>
        <v>Closed</v>
      </c>
      <c r="M639" s="30" t="str">
        <f t="shared" si="5"/>
        <v>No</v>
      </c>
    </row>
    <row r="640" ht="15.75" customHeight="1">
      <c r="A640" s="53" t="s">
        <v>1851</v>
      </c>
      <c r="B640" s="53" t="s">
        <v>139</v>
      </c>
      <c r="C640" s="53" t="s">
        <v>83</v>
      </c>
      <c r="D640" s="54">
        <v>46121.0</v>
      </c>
      <c r="E640" s="54">
        <v>46136.0</v>
      </c>
      <c r="F640" s="55">
        <v>1092.96</v>
      </c>
      <c r="G640" s="54">
        <v>46134.0</v>
      </c>
      <c r="H640" s="55">
        <v>1092.96</v>
      </c>
      <c r="I640" s="55">
        <f t="shared" si="1"/>
        <v>0</v>
      </c>
      <c r="J640" s="56">
        <f t="shared" si="2"/>
        <v>22</v>
      </c>
      <c r="K640" s="53" t="str">
        <f t="shared" si="3"/>
        <v>Paid</v>
      </c>
      <c r="L640" s="53" t="str">
        <f t="shared" si="4"/>
        <v>Closed</v>
      </c>
      <c r="M640" s="55" t="str">
        <f t="shared" si="5"/>
        <v>No</v>
      </c>
    </row>
    <row r="641" ht="15.75" customHeight="1">
      <c r="A641" s="25" t="s">
        <v>1852</v>
      </c>
      <c r="B641" s="25" t="s">
        <v>401</v>
      </c>
      <c r="C641" s="25" t="s">
        <v>303</v>
      </c>
      <c r="D641" s="26">
        <v>46093.0</v>
      </c>
      <c r="E641" s="26">
        <v>46123.0</v>
      </c>
      <c r="F641" s="30">
        <v>1330.68</v>
      </c>
      <c r="G641" s="26">
        <v>46143.0</v>
      </c>
      <c r="H641" s="30">
        <v>1330.68</v>
      </c>
      <c r="I641" s="30">
        <f t="shared" si="1"/>
        <v>0</v>
      </c>
      <c r="J641" s="29">
        <f t="shared" si="2"/>
        <v>35</v>
      </c>
      <c r="K641" s="25" t="str">
        <f t="shared" si="3"/>
        <v>Paid</v>
      </c>
      <c r="L641" s="25" t="str">
        <f t="shared" si="4"/>
        <v>Closed</v>
      </c>
      <c r="M641" s="30" t="str">
        <f t="shared" si="5"/>
        <v>No</v>
      </c>
    </row>
    <row r="642" ht="15.75" customHeight="1">
      <c r="A642" s="53" t="s">
        <v>1853</v>
      </c>
      <c r="B642" s="53" t="s">
        <v>650</v>
      </c>
      <c r="C642" s="53" t="s">
        <v>570</v>
      </c>
      <c r="D642" s="54">
        <v>46082.0</v>
      </c>
      <c r="E642" s="54">
        <v>46097.0</v>
      </c>
      <c r="F642" s="55">
        <v>190.56</v>
      </c>
      <c r="G642" s="54">
        <v>46125.0</v>
      </c>
      <c r="H642" s="55">
        <v>190.56</v>
      </c>
      <c r="I642" s="55">
        <f t="shared" si="1"/>
        <v>0</v>
      </c>
      <c r="J642" s="56">
        <f t="shared" si="2"/>
        <v>61</v>
      </c>
      <c r="K642" s="53" t="str">
        <f t="shared" si="3"/>
        <v>Paid</v>
      </c>
      <c r="L642" s="53" t="str">
        <f t="shared" si="4"/>
        <v>Closed</v>
      </c>
      <c r="M642" s="55" t="str">
        <f t="shared" si="5"/>
        <v>No</v>
      </c>
    </row>
    <row r="643" ht="15.75" customHeight="1">
      <c r="A643" s="25" t="s">
        <v>1854</v>
      </c>
      <c r="B643" s="25" t="s">
        <v>819</v>
      </c>
      <c r="C643" s="25" t="s">
        <v>710</v>
      </c>
      <c r="D643" s="26">
        <v>46136.0</v>
      </c>
      <c r="E643" s="26">
        <v>46166.0</v>
      </c>
      <c r="F643" s="30">
        <v>555.12</v>
      </c>
      <c r="G643" s="26">
        <v>46161.0</v>
      </c>
      <c r="H643" s="30">
        <v>555.12</v>
      </c>
      <c r="I643" s="30">
        <f t="shared" si="1"/>
        <v>0</v>
      </c>
      <c r="J643" s="29">
        <f t="shared" si="2"/>
        <v>0</v>
      </c>
      <c r="K643" s="25" t="str">
        <f t="shared" si="3"/>
        <v>Paid</v>
      </c>
      <c r="L643" s="25" t="str">
        <f t="shared" si="4"/>
        <v>Closed</v>
      </c>
      <c r="M643" s="30" t="str">
        <f t="shared" si="5"/>
        <v>No</v>
      </c>
    </row>
    <row r="644" ht="15.75" customHeight="1">
      <c r="A644" s="53" t="s">
        <v>1855</v>
      </c>
      <c r="B644" s="53" t="s">
        <v>1174</v>
      </c>
      <c r="C644" s="53" t="s">
        <v>1154</v>
      </c>
      <c r="D644" s="54">
        <v>46066.0</v>
      </c>
      <c r="E644" s="54">
        <v>46111.0</v>
      </c>
      <c r="F644" s="55">
        <v>42.78</v>
      </c>
      <c r="G644" s="54"/>
      <c r="H644" s="55">
        <v>0.0</v>
      </c>
      <c r="I644" s="55">
        <f t="shared" si="1"/>
        <v>42.78</v>
      </c>
      <c r="J644" s="56">
        <f t="shared" si="2"/>
        <v>47</v>
      </c>
      <c r="K644" s="53" t="str">
        <f t="shared" si="3"/>
        <v>31-60</v>
      </c>
      <c r="L644" s="53" t="str">
        <f t="shared" si="4"/>
        <v>Reminder Sent</v>
      </c>
      <c r="M644" s="55" t="str">
        <f t="shared" si="5"/>
        <v>No</v>
      </c>
    </row>
    <row r="645" ht="15.75" customHeight="1">
      <c r="A645" s="25" t="s">
        <v>1856</v>
      </c>
      <c r="B645" s="25" t="s">
        <v>651</v>
      </c>
      <c r="C645" s="25" t="s">
        <v>553</v>
      </c>
      <c r="D645" s="26">
        <v>46145.0</v>
      </c>
      <c r="E645" s="26">
        <v>46160.0</v>
      </c>
      <c r="F645" s="30">
        <v>137.16</v>
      </c>
      <c r="G645" s="26">
        <v>46193.0</v>
      </c>
      <c r="H645" s="30">
        <v>137.16</v>
      </c>
      <c r="I645" s="30">
        <f t="shared" si="1"/>
        <v>0</v>
      </c>
      <c r="J645" s="29">
        <f t="shared" si="2"/>
        <v>0</v>
      </c>
      <c r="K645" s="25" t="str">
        <f t="shared" si="3"/>
        <v>Paid</v>
      </c>
      <c r="L645" s="25" t="str">
        <f t="shared" si="4"/>
        <v>Closed</v>
      </c>
      <c r="M645" s="30" t="str">
        <f t="shared" si="5"/>
        <v>No</v>
      </c>
    </row>
    <row r="646" ht="15.75" customHeight="1">
      <c r="A646" s="53" t="s">
        <v>1857</v>
      </c>
      <c r="B646" s="53" t="s">
        <v>652</v>
      </c>
      <c r="C646" s="53" t="s">
        <v>588</v>
      </c>
      <c r="D646" s="54">
        <v>46138.0</v>
      </c>
      <c r="E646" s="54">
        <v>46183.0</v>
      </c>
      <c r="F646" s="55">
        <v>404.16</v>
      </c>
      <c r="G646" s="54">
        <v>46176.0</v>
      </c>
      <c r="H646" s="55">
        <v>404.16</v>
      </c>
      <c r="I646" s="55">
        <f t="shared" si="1"/>
        <v>0</v>
      </c>
      <c r="J646" s="56">
        <f t="shared" si="2"/>
        <v>0</v>
      </c>
      <c r="K646" s="53" t="str">
        <f t="shared" si="3"/>
        <v>Paid</v>
      </c>
      <c r="L646" s="53" t="str">
        <f t="shared" si="4"/>
        <v>Closed</v>
      </c>
      <c r="M646" s="55" t="str">
        <f t="shared" si="5"/>
        <v>No</v>
      </c>
    </row>
    <row r="647" ht="15.75" customHeight="1">
      <c r="A647" s="25" t="s">
        <v>1858</v>
      </c>
      <c r="B647" s="25" t="s">
        <v>820</v>
      </c>
      <c r="C647" s="25" t="s">
        <v>706</v>
      </c>
      <c r="D647" s="26">
        <v>46066.0</v>
      </c>
      <c r="E647" s="26">
        <v>46096.0</v>
      </c>
      <c r="F647" s="30">
        <v>1316.4</v>
      </c>
      <c r="G647" s="26">
        <v>46134.0</v>
      </c>
      <c r="H647" s="30">
        <v>1316.4</v>
      </c>
      <c r="I647" s="30">
        <f t="shared" si="1"/>
        <v>0</v>
      </c>
      <c r="J647" s="29">
        <f t="shared" si="2"/>
        <v>62</v>
      </c>
      <c r="K647" s="25" t="str">
        <f t="shared" si="3"/>
        <v>Paid</v>
      </c>
      <c r="L647" s="25" t="str">
        <f t="shared" si="4"/>
        <v>Closed</v>
      </c>
      <c r="M647" s="30" t="str">
        <f t="shared" si="5"/>
        <v>No</v>
      </c>
    </row>
    <row r="648" ht="15.75" customHeight="1">
      <c r="A648" s="53" t="s">
        <v>1859</v>
      </c>
      <c r="B648" s="53" t="s">
        <v>140</v>
      </c>
      <c r="C648" s="53" t="s">
        <v>87</v>
      </c>
      <c r="D648" s="54">
        <v>46094.0</v>
      </c>
      <c r="E648" s="54">
        <v>46139.0</v>
      </c>
      <c r="F648" s="55">
        <v>909.36</v>
      </c>
      <c r="G648" s="54">
        <v>46145.0</v>
      </c>
      <c r="H648" s="55">
        <v>909.36</v>
      </c>
      <c r="I648" s="55">
        <f t="shared" si="1"/>
        <v>0</v>
      </c>
      <c r="J648" s="56">
        <f t="shared" si="2"/>
        <v>19</v>
      </c>
      <c r="K648" s="53" t="str">
        <f t="shared" si="3"/>
        <v>Paid</v>
      </c>
      <c r="L648" s="53" t="str">
        <f t="shared" si="4"/>
        <v>Closed</v>
      </c>
      <c r="M648" s="55" t="str">
        <f t="shared" si="5"/>
        <v>No</v>
      </c>
    </row>
    <row r="649" ht="15.75" customHeight="1">
      <c r="A649" s="25" t="s">
        <v>1860</v>
      </c>
      <c r="B649" s="25" t="s">
        <v>402</v>
      </c>
      <c r="C649" s="25" t="s">
        <v>339</v>
      </c>
      <c r="D649" s="26">
        <v>46110.0</v>
      </c>
      <c r="E649" s="26">
        <v>46140.0</v>
      </c>
      <c r="F649" s="30">
        <v>757.44</v>
      </c>
      <c r="G649" s="26">
        <v>46179.0</v>
      </c>
      <c r="H649" s="30">
        <v>757.44</v>
      </c>
      <c r="I649" s="30">
        <f t="shared" si="1"/>
        <v>0</v>
      </c>
      <c r="J649" s="29">
        <f t="shared" si="2"/>
        <v>18</v>
      </c>
      <c r="K649" s="25" t="str">
        <f t="shared" si="3"/>
        <v>Paid</v>
      </c>
      <c r="L649" s="25" t="str">
        <f t="shared" si="4"/>
        <v>Closed</v>
      </c>
      <c r="M649" s="30" t="str">
        <f t="shared" si="5"/>
        <v>No</v>
      </c>
    </row>
    <row r="650" ht="15.75" customHeight="1">
      <c r="A650" s="53" t="s">
        <v>1861</v>
      </c>
      <c r="B650" s="53" t="s">
        <v>403</v>
      </c>
      <c r="C650" s="53" t="s">
        <v>314</v>
      </c>
      <c r="D650" s="54">
        <v>46075.0</v>
      </c>
      <c r="E650" s="54">
        <v>46105.0</v>
      </c>
      <c r="F650" s="55">
        <v>1013.76</v>
      </c>
      <c r="G650" s="54">
        <v>46131.0</v>
      </c>
      <c r="H650" s="55">
        <v>1013.76</v>
      </c>
      <c r="I650" s="55">
        <f t="shared" si="1"/>
        <v>0</v>
      </c>
      <c r="J650" s="56">
        <f t="shared" si="2"/>
        <v>53</v>
      </c>
      <c r="K650" s="53" t="str">
        <f t="shared" si="3"/>
        <v>Paid</v>
      </c>
      <c r="L650" s="53" t="str">
        <f t="shared" si="4"/>
        <v>Closed</v>
      </c>
      <c r="M650" s="55" t="str">
        <f t="shared" si="5"/>
        <v>No</v>
      </c>
    </row>
    <row r="651" ht="15.75" customHeight="1">
      <c r="A651" s="25" t="s">
        <v>1862</v>
      </c>
      <c r="B651" s="25" t="s">
        <v>928</v>
      </c>
      <c r="C651" s="25" t="s">
        <v>859</v>
      </c>
      <c r="D651" s="26">
        <v>46065.0</v>
      </c>
      <c r="E651" s="26">
        <v>46080.0</v>
      </c>
      <c r="F651" s="30">
        <v>0.0</v>
      </c>
      <c r="G651" s="26">
        <v>46091.0</v>
      </c>
      <c r="H651" s="30">
        <v>0.0</v>
      </c>
      <c r="I651" s="30">
        <f t="shared" si="1"/>
        <v>0</v>
      </c>
      <c r="J651" s="29">
        <f t="shared" si="2"/>
        <v>78</v>
      </c>
      <c r="K651" s="25" t="str">
        <f t="shared" si="3"/>
        <v>Paid</v>
      </c>
      <c r="L651" s="25" t="str">
        <f t="shared" si="4"/>
        <v>Closed</v>
      </c>
      <c r="M651" s="30" t="str">
        <f t="shared" si="5"/>
        <v>No</v>
      </c>
    </row>
    <row r="652" ht="15.75" customHeight="1">
      <c r="A652" s="53" t="s">
        <v>1863</v>
      </c>
      <c r="B652" s="53" t="s">
        <v>653</v>
      </c>
      <c r="C652" s="53" t="s">
        <v>582</v>
      </c>
      <c r="D652" s="54">
        <v>46143.0</v>
      </c>
      <c r="E652" s="54">
        <v>46158.0</v>
      </c>
      <c r="F652" s="55">
        <v>85.32</v>
      </c>
      <c r="G652" s="54"/>
      <c r="H652" s="55">
        <v>0.0</v>
      </c>
      <c r="I652" s="55">
        <f t="shared" si="1"/>
        <v>85.32</v>
      </c>
      <c r="J652" s="56">
        <f t="shared" si="2"/>
        <v>0</v>
      </c>
      <c r="K652" s="53" t="str">
        <f t="shared" si="3"/>
        <v>0-30</v>
      </c>
      <c r="L652" s="53" t="str">
        <f t="shared" si="4"/>
        <v>Current</v>
      </c>
      <c r="M652" s="55" t="str">
        <f t="shared" si="5"/>
        <v>No</v>
      </c>
    </row>
    <row r="653" ht="15.75" customHeight="1">
      <c r="A653" s="25" t="s">
        <v>1864</v>
      </c>
      <c r="B653" s="25" t="s">
        <v>654</v>
      </c>
      <c r="C653" s="25" t="s">
        <v>588</v>
      </c>
      <c r="D653" s="26">
        <v>46150.0</v>
      </c>
      <c r="E653" s="26">
        <v>46180.0</v>
      </c>
      <c r="F653" s="30">
        <v>486.72</v>
      </c>
      <c r="G653" s="26">
        <v>46223.0</v>
      </c>
      <c r="H653" s="30">
        <v>486.72</v>
      </c>
      <c r="I653" s="30">
        <f t="shared" si="1"/>
        <v>0</v>
      </c>
      <c r="J653" s="29">
        <f t="shared" si="2"/>
        <v>0</v>
      </c>
      <c r="K653" s="25" t="str">
        <f t="shared" si="3"/>
        <v>Paid</v>
      </c>
      <c r="L653" s="25" t="str">
        <f t="shared" si="4"/>
        <v>Closed</v>
      </c>
      <c r="M653" s="30" t="str">
        <f t="shared" si="5"/>
        <v>No</v>
      </c>
    </row>
    <row r="654" ht="15.75" customHeight="1">
      <c r="A654" s="53" t="s">
        <v>1865</v>
      </c>
      <c r="B654" s="53" t="s">
        <v>1175</v>
      </c>
      <c r="C654" s="53" t="s">
        <v>1136</v>
      </c>
      <c r="D654" s="54">
        <v>46087.0</v>
      </c>
      <c r="E654" s="54">
        <v>46117.0</v>
      </c>
      <c r="F654" s="55">
        <v>737.28</v>
      </c>
      <c r="G654" s="54">
        <v>46158.0</v>
      </c>
      <c r="H654" s="55">
        <v>737.28</v>
      </c>
      <c r="I654" s="55">
        <f t="shared" si="1"/>
        <v>0</v>
      </c>
      <c r="J654" s="56">
        <f t="shared" si="2"/>
        <v>41</v>
      </c>
      <c r="K654" s="53" t="str">
        <f t="shared" si="3"/>
        <v>Paid</v>
      </c>
      <c r="L654" s="53" t="str">
        <f t="shared" si="4"/>
        <v>Closed</v>
      </c>
      <c r="M654" s="55" t="str">
        <f t="shared" si="5"/>
        <v>No</v>
      </c>
    </row>
    <row r="655" ht="15.75" customHeight="1">
      <c r="A655" s="25" t="s">
        <v>1866</v>
      </c>
      <c r="B655" s="25" t="s">
        <v>1042</v>
      </c>
      <c r="C655" s="25" t="s">
        <v>999</v>
      </c>
      <c r="D655" s="26">
        <v>46074.0</v>
      </c>
      <c r="E655" s="26">
        <v>46104.0</v>
      </c>
      <c r="F655" s="30">
        <v>641.4</v>
      </c>
      <c r="G655" s="26">
        <v>46135.0</v>
      </c>
      <c r="H655" s="30">
        <v>641.4</v>
      </c>
      <c r="I655" s="30">
        <f t="shared" si="1"/>
        <v>0</v>
      </c>
      <c r="J655" s="29">
        <f t="shared" si="2"/>
        <v>54</v>
      </c>
      <c r="K655" s="25" t="str">
        <f t="shared" si="3"/>
        <v>Paid</v>
      </c>
      <c r="L655" s="25" t="str">
        <f t="shared" si="4"/>
        <v>Closed</v>
      </c>
      <c r="M655" s="30" t="str">
        <f t="shared" si="5"/>
        <v>No</v>
      </c>
    </row>
    <row r="656" ht="15.75" customHeight="1">
      <c r="A656" s="53" t="s">
        <v>1867</v>
      </c>
      <c r="B656" s="53" t="s">
        <v>250</v>
      </c>
      <c r="C656" s="53" t="s">
        <v>177</v>
      </c>
      <c r="D656" s="54">
        <v>46115.0</v>
      </c>
      <c r="E656" s="54">
        <v>46145.0</v>
      </c>
      <c r="F656" s="55">
        <v>955.2</v>
      </c>
      <c r="G656" s="54">
        <v>46151.0</v>
      </c>
      <c r="H656" s="55">
        <v>955.2</v>
      </c>
      <c r="I656" s="55">
        <f t="shared" si="1"/>
        <v>0</v>
      </c>
      <c r="J656" s="56">
        <f t="shared" si="2"/>
        <v>13</v>
      </c>
      <c r="K656" s="53" t="str">
        <f t="shared" si="3"/>
        <v>Paid</v>
      </c>
      <c r="L656" s="53" t="str">
        <f t="shared" si="4"/>
        <v>Closed</v>
      </c>
      <c r="M656" s="55" t="str">
        <f t="shared" si="5"/>
        <v>No</v>
      </c>
    </row>
    <row r="657" ht="15.75" customHeight="1">
      <c r="A657" s="25" t="s">
        <v>1868</v>
      </c>
      <c r="B657" s="25" t="s">
        <v>404</v>
      </c>
      <c r="C657" s="25" t="s">
        <v>320</v>
      </c>
      <c r="D657" s="26">
        <v>46138.0</v>
      </c>
      <c r="E657" s="26">
        <v>46153.0</v>
      </c>
      <c r="F657" s="30">
        <v>630.6</v>
      </c>
      <c r="G657" s="26"/>
      <c r="H657" s="30">
        <v>0.0</v>
      </c>
      <c r="I657" s="30">
        <f t="shared" si="1"/>
        <v>630.6</v>
      </c>
      <c r="J657" s="29">
        <f t="shared" si="2"/>
        <v>5</v>
      </c>
      <c r="K657" s="25" t="str">
        <f t="shared" si="3"/>
        <v>0-30</v>
      </c>
      <c r="L657" s="25" t="str">
        <f t="shared" si="4"/>
        <v>Current</v>
      </c>
      <c r="M657" s="30" t="str">
        <f t="shared" si="5"/>
        <v>No</v>
      </c>
    </row>
    <row r="658" ht="15.75" customHeight="1">
      <c r="A658" s="53" t="s">
        <v>1869</v>
      </c>
      <c r="B658" s="53" t="s">
        <v>251</v>
      </c>
      <c r="C658" s="53" t="s">
        <v>226</v>
      </c>
      <c r="D658" s="54">
        <v>46075.0</v>
      </c>
      <c r="E658" s="54">
        <v>46105.0</v>
      </c>
      <c r="F658" s="55">
        <v>276.48</v>
      </c>
      <c r="G658" s="54">
        <v>46129.0</v>
      </c>
      <c r="H658" s="55">
        <v>276.48</v>
      </c>
      <c r="I658" s="55">
        <f t="shared" si="1"/>
        <v>0</v>
      </c>
      <c r="J658" s="56">
        <f t="shared" si="2"/>
        <v>53</v>
      </c>
      <c r="K658" s="53" t="str">
        <f t="shared" si="3"/>
        <v>Paid</v>
      </c>
      <c r="L658" s="53" t="str">
        <f t="shared" si="4"/>
        <v>Closed</v>
      </c>
      <c r="M658" s="55" t="str">
        <f t="shared" si="5"/>
        <v>No</v>
      </c>
    </row>
    <row r="659" ht="15.75" customHeight="1">
      <c r="A659" s="25" t="s">
        <v>1870</v>
      </c>
      <c r="B659" s="25" t="s">
        <v>405</v>
      </c>
      <c r="C659" s="25" t="s">
        <v>297</v>
      </c>
      <c r="D659" s="26">
        <v>46064.0</v>
      </c>
      <c r="E659" s="26">
        <v>46079.0</v>
      </c>
      <c r="F659" s="30">
        <v>134.68</v>
      </c>
      <c r="G659" s="26"/>
      <c r="H659" s="30">
        <v>0.0</v>
      </c>
      <c r="I659" s="30">
        <f t="shared" si="1"/>
        <v>134.68</v>
      </c>
      <c r="J659" s="29">
        <f t="shared" si="2"/>
        <v>79</v>
      </c>
      <c r="K659" s="25" t="str">
        <f t="shared" si="3"/>
        <v>61-90</v>
      </c>
      <c r="L659" s="25" t="str">
        <f t="shared" si="4"/>
        <v>Collections Review</v>
      </c>
      <c r="M659" s="30" t="str">
        <f t="shared" si="5"/>
        <v>Yes</v>
      </c>
    </row>
    <row r="660" ht="15.75" customHeight="1">
      <c r="A660" s="53" t="s">
        <v>1871</v>
      </c>
      <c r="B660" s="53" t="s">
        <v>252</v>
      </c>
      <c r="C660" s="53" t="s">
        <v>170</v>
      </c>
      <c r="D660" s="54">
        <v>46133.0</v>
      </c>
      <c r="E660" s="54">
        <v>46178.0</v>
      </c>
      <c r="F660" s="55">
        <v>67.08</v>
      </c>
      <c r="G660" s="54">
        <v>46206.0</v>
      </c>
      <c r="H660" s="55">
        <v>67.08</v>
      </c>
      <c r="I660" s="55">
        <f t="shared" si="1"/>
        <v>0</v>
      </c>
      <c r="J660" s="56">
        <f t="shared" si="2"/>
        <v>0</v>
      </c>
      <c r="K660" s="53" t="str">
        <f t="shared" si="3"/>
        <v>Paid</v>
      </c>
      <c r="L660" s="53" t="str">
        <f t="shared" si="4"/>
        <v>Closed</v>
      </c>
      <c r="M660" s="55" t="str">
        <f t="shared" si="5"/>
        <v>No</v>
      </c>
    </row>
    <row r="661" ht="15.75" customHeight="1">
      <c r="A661" s="25" t="s">
        <v>1872</v>
      </c>
      <c r="B661" s="25" t="s">
        <v>929</v>
      </c>
      <c r="C661" s="25" t="s">
        <v>853</v>
      </c>
      <c r="D661" s="26">
        <v>46115.0</v>
      </c>
      <c r="E661" s="26">
        <v>46145.0</v>
      </c>
      <c r="F661" s="30">
        <v>72.6</v>
      </c>
      <c r="G661" s="26"/>
      <c r="H661" s="30">
        <v>0.0</v>
      </c>
      <c r="I661" s="30">
        <f t="shared" si="1"/>
        <v>72.6</v>
      </c>
      <c r="J661" s="29">
        <f t="shared" si="2"/>
        <v>13</v>
      </c>
      <c r="K661" s="25" t="str">
        <f t="shared" si="3"/>
        <v>0-30</v>
      </c>
      <c r="L661" s="25" t="str">
        <f t="shared" si="4"/>
        <v>Current</v>
      </c>
      <c r="M661" s="30" t="str">
        <f t="shared" si="5"/>
        <v>No</v>
      </c>
    </row>
    <row r="662" ht="15.75" customHeight="1">
      <c r="A662" s="53" t="s">
        <v>1873</v>
      </c>
      <c r="B662" s="53" t="s">
        <v>930</v>
      </c>
      <c r="C662" s="53" t="s">
        <v>882</v>
      </c>
      <c r="D662" s="54">
        <v>46104.0</v>
      </c>
      <c r="E662" s="54">
        <v>46149.0</v>
      </c>
      <c r="F662" s="55">
        <v>296.1</v>
      </c>
      <c r="G662" s="54"/>
      <c r="H662" s="55">
        <v>0.0</v>
      </c>
      <c r="I662" s="55">
        <f t="shared" si="1"/>
        <v>296.1</v>
      </c>
      <c r="J662" s="56">
        <f t="shared" si="2"/>
        <v>9</v>
      </c>
      <c r="K662" s="53" t="str">
        <f t="shared" si="3"/>
        <v>0-30</v>
      </c>
      <c r="L662" s="53" t="str">
        <f t="shared" si="4"/>
        <v>Current</v>
      </c>
      <c r="M662" s="55" t="str">
        <f t="shared" si="5"/>
        <v>No</v>
      </c>
    </row>
    <row r="663" ht="15.75" customHeight="1">
      <c r="A663" s="25" t="s">
        <v>1874</v>
      </c>
      <c r="B663" s="25" t="s">
        <v>253</v>
      </c>
      <c r="C663" s="25" t="s">
        <v>184</v>
      </c>
      <c r="D663" s="26">
        <v>46141.0</v>
      </c>
      <c r="E663" s="26">
        <v>46156.0</v>
      </c>
      <c r="F663" s="30">
        <v>1020.48</v>
      </c>
      <c r="G663" s="26">
        <v>46201.0</v>
      </c>
      <c r="H663" s="30">
        <v>1020.48</v>
      </c>
      <c r="I663" s="30">
        <f t="shared" si="1"/>
        <v>0</v>
      </c>
      <c r="J663" s="29">
        <f t="shared" si="2"/>
        <v>2</v>
      </c>
      <c r="K663" s="25" t="str">
        <f t="shared" si="3"/>
        <v>Paid</v>
      </c>
      <c r="L663" s="25" t="str">
        <f t="shared" si="4"/>
        <v>Closed</v>
      </c>
      <c r="M663" s="30" t="str">
        <f t="shared" si="5"/>
        <v>No</v>
      </c>
    </row>
    <row r="664" ht="15.75" customHeight="1">
      <c r="A664" s="53" t="s">
        <v>1875</v>
      </c>
      <c r="B664" s="53" t="s">
        <v>1176</v>
      </c>
      <c r="C664" s="53" t="s">
        <v>1129</v>
      </c>
      <c r="D664" s="54">
        <v>46138.0</v>
      </c>
      <c r="E664" s="54">
        <v>46153.0</v>
      </c>
      <c r="F664" s="55">
        <v>295.56</v>
      </c>
      <c r="G664" s="54"/>
      <c r="H664" s="55">
        <v>0.0</v>
      </c>
      <c r="I664" s="55">
        <f t="shared" si="1"/>
        <v>295.56</v>
      </c>
      <c r="J664" s="56">
        <f t="shared" si="2"/>
        <v>5</v>
      </c>
      <c r="K664" s="53" t="str">
        <f t="shared" si="3"/>
        <v>0-30</v>
      </c>
      <c r="L664" s="53" t="str">
        <f t="shared" si="4"/>
        <v>Current</v>
      </c>
      <c r="M664" s="55" t="str">
        <f t="shared" si="5"/>
        <v>No</v>
      </c>
    </row>
    <row r="665" ht="15.75" customHeight="1">
      <c r="A665" s="25" t="s">
        <v>1876</v>
      </c>
      <c r="B665" s="25" t="s">
        <v>514</v>
      </c>
      <c r="C665" s="25" t="s">
        <v>448</v>
      </c>
      <c r="D665" s="26">
        <v>46057.0</v>
      </c>
      <c r="E665" s="26">
        <v>46087.0</v>
      </c>
      <c r="F665" s="30">
        <v>50.64</v>
      </c>
      <c r="G665" s="26"/>
      <c r="H665" s="30">
        <v>0.0</v>
      </c>
      <c r="I665" s="30">
        <f t="shared" si="1"/>
        <v>50.64</v>
      </c>
      <c r="J665" s="29">
        <f t="shared" si="2"/>
        <v>71</v>
      </c>
      <c r="K665" s="25" t="str">
        <f t="shared" si="3"/>
        <v>61-90</v>
      </c>
      <c r="L665" s="25" t="str">
        <f t="shared" si="4"/>
        <v>Collections Review</v>
      </c>
      <c r="M665" s="30" t="str">
        <f t="shared" si="5"/>
        <v>Yes</v>
      </c>
    </row>
    <row r="666" ht="15.75" customHeight="1">
      <c r="A666" s="53" t="s">
        <v>1877</v>
      </c>
      <c r="B666" s="53" t="s">
        <v>655</v>
      </c>
      <c r="C666" s="53" t="s">
        <v>593</v>
      </c>
      <c r="D666" s="54">
        <v>46116.0</v>
      </c>
      <c r="E666" s="54">
        <v>46146.0</v>
      </c>
      <c r="F666" s="55">
        <v>184.32</v>
      </c>
      <c r="G666" s="54"/>
      <c r="H666" s="55">
        <v>0.0</v>
      </c>
      <c r="I666" s="55">
        <f t="shared" si="1"/>
        <v>184.32</v>
      </c>
      <c r="J666" s="56">
        <f t="shared" si="2"/>
        <v>12</v>
      </c>
      <c r="K666" s="53" t="str">
        <f t="shared" si="3"/>
        <v>0-30</v>
      </c>
      <c r="L666" s="53" t="str">
        <f t="shared" si="4"/>
        <v>Current</v>
      </c>
      <c r="M666" s="55" t="str">
        <f t="shared" si="5"/>
        <v>No</v>
      </c>
    </row>
    <row r="667" ht="15.75" customHeight="1">
      <c r="A667" s="25" t="s">
        <v>1878</v>
      </c>
      <c r="B667" s="25" t="s">
        <v>1043</v>
      </c>
      <c r="C667" s="25" t="s">
        <v>953</v>
      </c>
      <c r="D667" s="26">
        <v>46038.0</v>
      </c>
      <c r="E667" s="26">
        <v>46053.0</v>
      </c>
      <c r="F667" s="30">
        <v>763.92</v>
      </c>
      <c r="G667" s="26">
        <v>46089.0</v>
      </c>
      <c r="H667" s="30">
        <v>763.92</v>
      </c>
      <c r="I667" s="30">
        <f t="shared" si="1"/>
        <v>0</v>
      </c>
      <c r="J667" s="29">
        <f t="shared" si="2"/>
        <v>105</v>
      </c>
      <c r="K667" s="25" t="str">
        <f t="shared" si="3"/>
        <v>Paid</v>
      </c>
      <c r="L667" s="25" t="str">
        <f t="shared" si="4"/>
        <v>Closed</v>
      </c>
      <c r="M667" s="30" t="str">
        <f t="shared" si="5"/>
        <v>No</v>
      </c>
    </row>
    <row r="668" ht="15.75" customHeight="1">
      <c r="A668" s="53" t="s">
        <v>1879</v>
      </c>
      <c r="B668" s="53" t="s">
        <v>656</v>
      </c>
      <c r="C668" s="53" t="s">
        <v>542</v>
      </c>
      <c r="D668" s="54">
        <v>46061.0</v>
      </c>
      <c r="E668" s="54">
        <v>46106.0</v>
      </c>
      <c r="F668" s="55">
        <v>658.8</v>
      </c>
      <c r="G668" s="54">
        <v>46146.0</v>
      </c>
      <c r="H668" s="55">
        <v>658.8</v>
      </c>
      <c r="I668" s="55">
        <f t="shared" si="1"/>
        <v>0</v>
      </c>
      <c r="J668" s="56">
        <f t="shared" si="2"/>
        <v>52</v>
      </c>
      <c r="K668" s="53" t="str">
        <f t="shared" si="3"/>
        <v>Paid</v>
      </c>
      <c r="L668" s="53" t="str">
        <f t="shared" si="4"/>
        <v>Closed</v>
      </c>
      <c r="M668" s="55" t="str">
        <f t="shared" si="5"/>
        <v>No</v>
      </c>
    </row>
    <row r="669" ht="15.75" customHeight="1">
      <c r="A669" s="25" t="s">
        <v>1880</v>
      </c>
      <c r="B669" s="25" t="s">
        <v>1177</v>
      </c>
      <c r="C669" s="25" t="s">
        <v>1126</v>
      </c>
      <c r="D669" s="26">
        <v>46082.0</v>
      </c>
      <c r="E669" s="26">
        <v>46112.0</v>
      </c>
      <c r="F669" s="30">
        <v>60.36</v>
      </c>
      <c r="G669" s="26"/>
      <c r="H669" s="30">
        <v>0.0</v>
      </c>
      <c r="I669" s="30">
        <f t="shared" si="1"/>
        <v>60.36</v>
      </c>
      <c r="J669" s="29">
        <f t="shared" si="2"/>
        <v>46</v>
      </c>
      <c r="K669" s="25" t="str">
        <f t="shared" si="3"/>
        <v>31-60</v>
      </c>
      <c r="L669" s="25" t="str">
        <f t="shared" si="4"/>
        <v>Reminder Sent</v>
      </c>
      <c r="M669" s="30" t="str">
        <f t="shared" si="5"/>
        <v>No</v>
      </c>
    </row>
    <row r="670" ht="15.75" customHeight="1">
      <c r="A670" s="53" t="s">
        <v>1881</v>
      </c>
      <c r="B670" s="53" t="s">
        <v>657</v>
      </c>
      <c r="C670" s="53" t="s">
        <v>573</v>
      </c>
      <c r="D670" s="54">
        <v>46106.0</v>
      </c>
      <c r="E670" s="54">
        <v>46121.0</v>
      </c>
      <c r="F670" s="55">
        <v>1297.2</v>
      </c>
      <c r="G670" s="54"/>
      <c r="H670" s="55">
        <v>0.0</v>
      </c>
      <c r="I670" s="55">
        <f t="shared" si="1"/>
        <v>1297.2</v>
      </c>
      <c r="J670" s="56">
        <f t="shared" si="2"/>
        <v>37</v>
      </c>
      <c r="K670" s="53" t="str">
        <f t="shared" si="3"/>
        <v>31-60</v>
      </c>
      <c r="L670" s="53" t="str">
        <f t="shared" si="4"/>
        <v>Reminder Sent</v>
      </c>
      <c r="M670" s="55" t="str">
        <f t="shared" si="5"/>
        <v>No</v>
      </c>
    </row>
    <row r="671" ht="15.75" customHeight="1">
      <c r="A671" s="25" t="s">
        <v>1882</v>
      </c>
      <c r="B671" s="25" t="s">
        <v>515</v>
      </c>
      <c r="C671" s="25" t="s">
        <v>446</v>
      </c>
      <c r="D671" s="26">
        <v>46121.0</v>
      </c>
      <c r="E671" s="26">
        <v>46136.0</v>
      </c>
      <c r="F671" s="30">
        <v>540.48</v>
      </c>
      <c r="G671" s="26">
        <v>46140.0</v>
      </c>
      <c r="H671" s="30">
        <v>540.48</v>
      </c>
      <c r="I671" s="30">
        <f t="shared" si="1"/>
        <v>0</v>
      </c>
      <c r="J671" s="29">
        <f t="shared" si="2"/>
        <v>22</v>
      </c>
      <c r="K671" s="25" t="str">
        <f t="shared" si="3"/>
        <v>Paid</v>
      </c>
      <c r="L671" s="25" t="str">
        <f t="shared" si="4"/>
        <v>Closed</v>
      </c>
      <c r="M671" s="30" t="str">
        <f t="shared" si="5"/>
        <v>No</v>
      </c>
    </row>
    <row r="672" ht="15.75" customHeight="1">
      <c r="A672" s="53" t="s">
        <v>1883</v>
      </c>
      <c r="B672" s="53" t="s">
        <v>66</v>
      </c>
      <c r="C672" s="53"/>
      <c r="D672" s="54">
        <v>46103.0</v>
      </c>
      <c r="E672" s="54">
        <v>46118.0</v>
      </c>
      <c r="F672" s="55">
        <v>1102.08</v>
      </c>
      <c r="G672" s="54">
        <v>46122.0</v>
      </c>
      <c r="H672" s="55">
        <v>1102.08</v>
      </c>
      <c r="I672" s="55">
        <f t="shared" si="1"/>
        <v>0</v>
      </c>
      <c r="J672" s="56">
        <f t="shared" si="2"/>
        <v>40</v>
      </c>
      <c r="K672" s="53" t="str">
        <f t="shared" si="3"/>
        <v>Paid</v>
      </c>
      <c r="L672" s="53" t="str">
        <f t="shared" si="4"/>
        <v>Closed</v>
      </c>
      <c r="M672" s="55" t="str">
        <f t="shared" si="5"/>
        <v>No</v>
      </c>
    </row>
    <row r="673" ht="15.75" customHeight="1">
      <c r="A673" s="25" t="s">
        <v>1884</v>
      </c>
      <c r="B673" s="25" t="s">
        <v>821</v>
      </c>
      <c r="C673" s="25" t="s">
        <v>735</v>
      </c>
      <c r="D673" s="26">
        <v>46087.0</v>
      </c>
      <c r="E673" s="26">
        <v>46102.0</v>
      </c>
      <c r="F673" s="30">
        <v>1286.4</v>
      </c>
      <c r="G673" s="26">
        <v>46117.0</v>
      </c>
      <c r="H673" s="30">
        <v>1286.4</v>
      </c>
      <c r="I673" s="30">
        <f t="shared" si="1"/>
        <v>0</v>
      </c>
      <c r="J673" s="29">
        <f t="shared" si="2"/>
        <v>56</v>
      </c>
      <c r="K673" s="25" t="str">
        <f t="shared" si="3"/>
        <v>Paid</v>
      </c>
      <c r="L673" s="25" t="str">
        <f t="shared" si="4"/>
        <v>Closed</v>
      </c>
      <c r="M673" s="30" t="str">
        <f t="shared" si="5"/>
        <v>No</v>
      </c>
    </row>
    <row r="674" ht="15.75" customHeight="1">
      <c r="A674" s="53" t="s">
        <v>1885</v>
      </c>
      <c r="B674" s="53" t="s">
        <v>141</v>
      </c>
      <c r="C674" s="53" t="s">
        <v>73</v>
      </c>
      <c r="D674" s="54">
        <v>46140.0</v>
      </c>
      <c r="E674" s="54">
        <v>46185.0</v>
      </c>
      <c r="F674" s="55">
        <v>583.8</v>
      </c>
      <c r="G674" s="54">
        <v>46203.0</v>
      </c>
      <c r="H674" s="55">
        <v>583.8</v>
      </c>
      <c r="I674" s="55">
        <f t="shared" si="1"/>
        <v>0</v>
      </c>
      <c r="J674" s="56">
        <f t="shared" si="2"/>
        <v>0</v>
      </c>
      <c r="K674" s="53" t="str">
        <f t="shared" si="3"/>
        <v>Paid</v>
      </c>
      <c r="L674" s="53" t="str">
        <f t="shared" si="4"/>
        <v>Closed</v>
      </c>
      <c r="M674" s="55" t="str">
        <f t="shared" si="5"/>
        <v>No</v>
      </c>
    </row>
    <row r="675" ht="15.75" customHeight="1">
      <c r="A675" s="25" t="s">
        <v>1886</v>
      </c>
      <c r="B675" s="25" t="s">
        <v>406</v>
      </c>
      <c r="C675" s="25" t="s">
        <v>305</v>
      </c>
      <c r="D675" s="26">
        <v>46142.0</v>
      </c>
      <c r="E675" s="26">
        <v>46187.0</v>
      </c>
      <c r="F675" s="30">
        <v>236.1</v>
      </c>
      <c r="G675" s="26">
        <v>46209.0</v>
      </c>
      <c r="H675" s="30">
        <v>236.1</v>
      </c>
      <c r="I675" s="30">
        <f t="shared" si="1"/>
        <v>0</v>
      </c>
      <c r="J675" s="29">
        <f t="shared" si="2"/>
        <v>0</v>
      </c>
      <c r="K675" s="25" t="str">
        <f t="shared" si="3"/>
        <v>Paid</v>
      </c>
      <c r="L675" s="25" t="str">
        <f t="shared" si="4"/>
        <v>Closed</v>
      </c>
      <c r="M675" s="30" t="str">
        <f t="shared" si="5"/>
        <v>No</v>
      </c>
    </row>
    <row r="676" ht="15.75" customHeight="1">
      <c r="A676" s="53" t="s">
        <v>1887</v>
      </c>
      <c r="B676" s="53" t="s">
        <v>407</v>
      </c>
      <c r="C676" s="53" t="s">
        <v>339</v>
      </c>
      <c r="D676" s="54">
        <v>46074.0</v>
      </c>
      <c r="E676" s="54">
        <v>46104.0</v>
      </c>
      <c r="F676" s="55">
        <v>388.32</v>
      </c>
      <c r="G676" s="54"/>
      <c r="H676" s="55">
        <v>0.0</v>
      </c>
      <c r="I676" s="55">
        <f t="shared" si="1"/>
        <v>388.32</v>
      </c>
      <c r="J676" s="56">
        <f t="shared" si="2"/>
        <v>54</v>
      </c>
      <c r="K676" s="53" t="str">
        <f t="shared" si="3"/>
        <v>31-60</v>
      </c>
      <c r="L676" s="53" t="str">
        <f t="shared" si="4"/>
        <v>Reminder Sent</v>
      </c>
      <c r="M676" s="55" t="str">
        <f t="shared" si="5"/>
        <v>No</v>
      </c>
    </row>
    <row r="677" ht="15.75" customHeight="1">
      <c r="A677" s="25" t="s">
        <v>1888</v>
      </c>
      <c r="B677" s="25" t="s">
        <v>822</v>
      </c>
      <c r="C677" s="25" t="s">
        <v>702</v>
      </c>
      <c r="D677" s="26">
        <v>46039.0</v>
      </c>
      <c r="E677" s="26">
        <v>46069.0</v>
      </c>
      <c r="F677" s="30">
        <v>256.56</v>
      </c>
      <c r="G677" s="26">
        <v>46109.0</v>
      </c>
      <c r="H677" s="30">
        <v>256.56</v>
      </c>
      <c r="I677" s="30">
        <f t="shared" si="1"/>
        <v>0</v>
      </c>
      <c r="J677" s="29">
        <f t="shared" si="2"/>
        <v>89</v>
      </c>
      <c r="K677" s="25" t="str">
        <f t="shared" si="3"/>
        <v>Paid</v>
      </c>
      <c r="L677" s="25" t="str">
        <f t="shared" si="4"/>
        <v>Closed</v>
      </c>
      <c r="M677" s="30" t="str">
        <f t="shared" si="5"/>
        <v>No</v>
      </c>
    </row>
    <row r="678" ht="15.75" customHeight="1">
      <c r="A678" s="53" t="s">
        <v>1889</v>
      </c>
      <c r="B678" s="53" t="s">
        <v>1178</v>
      </c>
      <c r="C678" s="53" t="s">
        <v>1133</v>
      </c>
      <c r="D678" s="54">
        <v>46039.0</v>
      </c>
      <c r="E678" s="54">
        <v>46054.0</v>
      </c>
      <c r="F678" s="55">
        <v>436.8</v>
      </c>
      <c r="G678" s="54"/>
      <c r="H678" s="55">
        <v>0.0</v>
      </c>
      <c r="I678" s="55">
        <f t="shared" si="1"/>
        <v>436.8</v>
      </c>
      <c r="J678" s="56">
        <f t="shared" si="2"/>
        <v>104</v>
      </c>
      <c r="K678" s="53" t="str">
        <f t="shared" si="3"/>
        <v>90+</v>
      </c>
      <c r="L678" s="53" t="str">
        <f t="shared" si="4"/>
        <v>Escalate</v>
      </c>
      <c r="M678" s="55" t="str">
        <f t="shared" si="5"/>
        <v>Yes</v>
      </c>
    </row>
    <row r="679" ht="15.75" customHeight="1">
      <c r="A679" s="25" t="s">
        <v>1890</v>
      </c>
      <c r="B679" s="25" t="s">
        <v>1179</v>
      </c>
      <c r="C679" s="25" t="s">
        <v>1154</v>
      </c>
      <c r="D679" s="26">
        <v>46060.0</v>
      </c>
      <c r="E679" s="26">
        <v>46090.0</v>
      </c>
      <c r="F679" s="30">
        <v>766.8</v>
      </c>
      <c r="G679" s="26"/>
      <c r="H679" s="30">
        <v>0.0</v>
      </c>
      <c r="I679" s="30">
        <f t="shared" si="1"/>
        <v>766.8</v>
      </c>
      <c r="J679" s="29">
        <f t="shared" si="2"/>
        <v>68</v>
      </c>
      <c r="K679" s="25" t="str">
        <f t="shared" si="3"/>
        <v>61-90</v>
      </c>
      <c r="L679" s="25" t="str">
        <f t="shared" si="4"/>
        <v>Collections Review</v>
      </c>
      <c r="M679" s="30" t="str">
        <f t="shared" si="5"/>
        <v>Yes</v>
      </c>
    </row>
    <row r="680" ht="15.75" customHeight="1">
      <c r="A680" s="53" t="s">
        <v>1891</v>
      </c>
      <c r="B680" s="53" t="s">
        <v>254</v>
      </c>
      <c r="C680" s="53" t="s">
        <v>181</v>
      </c>
      <c r="D680" s="54">
        <v>46121.0</v>
      </c>
      <c r="E680" s="54">
        <v>46166.0</v>
      </c>
      <c r="F680" s="55">
        <v>96.96</v>
      </c>
      <c r="G680" s="54"/>
      <c r="H680" s="55">
        <v>0.0</v>
      </c>
      <c r="I680" s="55">
        <f t="shared" si="1"/>
        <v>96.96</v>
      </c>
      <c r="J680" s="56">
        <f t="shared" si="2"/>
        <v>0</v>
      </c>
      <c r="K680" s="53" t="str">
        <f t="shared" si="3"/>
        <v>0-30</v>
      </c>
      <c r="L680" s="53" t="str">
        <f t="shared" si="4"/>
        <v>Current</v>
      </c>
      <c r="M680" s="55" t="str">
        <f t="shared" si="5"/>
        <v>No</v>
      </c>
    </row>
    <row r="681" ht="15.75" customHeight="1">
      <c r="A681" s="25" t="s">
        <v>1892</v>
      </c>
      <c r="B681" s="25" t="s">
        <v>516</v>
      </c>
      <c r="C681" s="25" t="s">
        <v>464</v>
      </c>
      <c r="D681" s="26">
        <v>46056.0</v>
      </c>
      <c r="E681" s="26">
        <v>46086.0</v>
      </c>
      <c r="F681" s="30">
        <v>57.72</v>
      </c>
      <c r="G681" s="26">
        <v>46091.0</v>
      </c>
      <c r="H681" s="30">
        <v>57.72</v>
      </c>
      <c r="I681" s="30">
        <f t="shared" si="1"/>
        <v>0</v>
      </c>
      <c r="J681" s="29">
        <f t="shared" si="2"/>
        <v>72</v>
      </c>
      <c r="K681" s="25" t="str">
        <f t="shared" si="3"/>
        <v>Paid</v>
      </c>
      <c r="L681" s="25" t="str">
        <f t="shared" si="4"/>
        <v>Closed</v>
      </c>
      <c r="M681" s="30" t="str">
        <f t="shared" si="5"/>
        <v>No</v>
      </c>
    </row>
    <row r="682" ht="15.75" customHeight="1">
      <c r="A682" s="53" t="s">
        <v>1893</v>
      </c>
      <c r="B682" s="53" t="s">
        <v>1180</v>
      </c>
      <c r="C682" s="53" t="s">
        <v>1154</v>
      </c>
      <c r="D682" s="54">
        <v>46067.0</v>
      </c>
      <c r="E682" s="54">
        <v>46082.0</v>
      </c>
      <c r="F682" s="55">
        <v>0.0</v>
      </c>
      <c r="G682" s="54">
        <v>46097.0</v>
      </c>
      <c r="H682" s="55">
        <v>0.0</v>
      </c>
      <c r="I682" s="55">
        <f t="shared" si="1"/>
        <v>0</v>
      </c>
      <c r="J682" s="56">
        <f t="shared" si="2"/>
        <v>76</v>
      </c>
      <c r="K682" s="53" t="str">
        <f t="shared" si="3"/>
        <v>Paid</v>
      </c>
      <c r="L682" s="53" t="str">
        <f t="shared" si="4"/>
        <v>Closed</v>
      </c>
      <c r="M682" s="55" t="str">
        <f t="shared" si="5"/>
        <v>No</v>
      </c>
    </row>
    <row r="683" ht="15.75" customHeight="1">
      <c r="A683" s="25" t="s">
        <v>1894</v>
      </c>
      <c r="B683" s="25" t="s">
        <v>255</v>
      </c>
      <c r="C683" s="25" t="s">
        <v>177</v>
      </c>
      <c r="D683" s="26">
        <v>46071.0</v>
      </c>
      <c r="E683" s="26">
        <v>46116.0</v>
      </c>
      <c r="F683" s="30">
        <v>69.24</v>
      </c>
      <c r="G683" s="26">
        <v>46109.0</v>
      </c>
      <c r="H683" s="30">
        <v>69.24</v>
      </c>
      <c r="I683" s="30">
        <f t="shared" si="1"/>
        <v>0</v>
      </c>
      <c r="J683" s="29">
        <f t="shared" si="2"/>
        <v>42</v>
      </c>
      <c r="K683" s="25" t="str">
        <f t="shared" si="3"/>
        <v>Paid</v>
      </c>
      <c r="L683" s="25" t="str">
        <f t="shared" si="4"/>
        <v>Closed</v>
      </c>
      <c r="M683" s="30" t="str">
        <f t="shared" si="5"/>
        <v>No</v>
      </c>
    </row>
    <row r="684" ht="15.75" customHeight="1">
      <c r="A684" s="53" t="s">
        <v>1895</v>
      </c>
      <c r="B684" s="53" t="s">
        <v>256</v>
      </c>
      <c r="C684" s="53" t="s">
        <v>181</v>
      </c>
      <c r="D684" s="54">
        <v>46039.0</v>
      </c>
      <c r="E684" s="54">
        <v>46069.0</v>
      </c>
      <c r="F684" s="55">
        <v>69.06</v>
      </c>
      <c r="G684" s="54"/>
      <c r="H684" s="55">
        <v>0.0</v>
      </c>
      <c r="I684" s="55">
        <f t="shared" si="1"/>
        <v>69.06</v>
      </c>
      <c r="J684" s="56">
        <f t="shared" si="2"/>
        <v>89</v>
      </c>
      <c r="K684" s="53" t="str">
        <f t="shared" si="3"/>
        <v>61-90</v>
      </c>
      <c r="L684" s="53" t="str">
        <f t="shared" si="4"/>
        <v>Collections Review</v>
      </c>
      <c r="M684" s="55" t="str">
        <f t="shared" si="5"/>
        <v>Yes</v>
      </c>
    </row>
    <row r="685" ht="15.75" customHeight="1">
      <c r="A685" s="25" t="s">
        <v>1896</v>
      </c>
      <c r="B685" s="25" t="s">
        <v>1115</v>
      </c>
      <c r="C685" s="25" t="s">
        <v>1081</v>
      </c>
      <c r="D685" s="26">
        <v>46064.0</v>
      </c>
      <c r="E685" s="26">
        <v>46109.0</v>
      </c>
      <c r="F685" s="30">
        <v>684.0</v>
      </c>
      <c r="G685" s="26"/>
      <c r="H685" s="30">
        <v>0.0</v>
      </c>
      <c r="I685" s="30">
        <f t="shared" si="1"/>
        <v>684</v>
      </c>
      <c r="J685" s="29">
        <f t="shared" si="2"/>
        <v>49</v>
      </c>
      <c r="K685" s="25" t="str">
        <f t="shared" si="3"/>
        <v>31-60</v>
      </c>
      <c r="L685" s="25" t="str">
        <f t="shared" si="4"/>
        <v>Reminder Sent</v>
      </c>
      <c r="M685" s="30" t="str">
        <f t="shared" si="5"/>
        <v>No</v>
      </c>
    </row>
    <row r="686" ht="15.75" customHeight="1">
      <c r="A686" s="53" t="s">
        <v>1897</v>
      </c>
      <c r="B686" s="53" t="s">
        <v>517</v>
      </c>
      <c r="C686" s="53" t="s">
        <v>448</v>
      </c>
      <c r="D686" s="54">
        <v>46090.0</v>
      </c>
      <c r="E686" s="54">
        <v>46105.0</v>
      </c>
      <c r="F686" s="55">
        <v>251.52</v>
      </c>
      <c r="G686" s="54">
        <v>46119.0</v>
      </c>
      <c r="H686" s="55">
        <v>251.52</v>
      </c>
      <c r="I686" s="55">
        <f t="shared" si="1"/>
        <v>0</v>
      </c>
      <c r="J686" s="56">
        <f t="shared" si="2"/>
        <v>53</v>
      </c>
      <c r="K686" s="53" t="str">
        <f t="shared" si="3"/>
        <v>Paid</v>
      </c>
      <c r="L686" s="53" t="str">
        <f t="shared" si="4"/>
        <v>Closed</v>
      </c>
      <c r="M686" s="55" t="str">
        <f t="shared" si="5"/>
        <v>No</v>
      </c>
    </row>
    <row r="687" ht="15.75" customHeight="1">
      <c r="A687" s="25" t="s">
        <v>1898</v>
      </c>
      <c r="B687" s="25" t="s">
        <v>1044</v>
      </c>
      <c r="C687" s="25" t="s">
        <v>968</v>
      </c>
      <c r="D687" s="26">
        <v>46151.0</v>
      </c>
      <c r="E687" s="26">
        <v>46196.0</v>
      </c>
      <c r="F687" s="30">
        <v>449.83</v>
      </c>
      <c r="G687" s="26"/>
      <c r="H687" s="30">
        <v>0.0</v>
      </c>
      <c r="I687" s="30">
        <f t="shared" si="1"/>
        <v>449.83</v>
      </c>
      <c r="J687" s="29">
        <f t="shared" si="2"/>
        <v>0</v>
      </c>
      <c r="K687" s="25" t="str">
        <f t="shared" si="3"/>
        <v>0-30</v>
      </c>
      <c r="L687" s="25" t="str">
        <f t="shared" si="4"/>
        <v>Current</v>
      </c>
      <c r="M687" s="30" t="str">
        <f t="shared" si="5"/>
        <v>No</v>
      </c>
    </row>
    <row r="688" ht="15.75" customHeight="1">
      <c r="A688" s="53" t="s">
        <v>1899</v>
      </c>
      <c r="B688" s="53" t="s">
        <v>518</v>
      </c>
      <c r="C688" s="53" t="s">
        <v>457</v>
      </c>
      <c r="D688" s="54">
        <v>46093.0</v>
      </c>
      <c r="E688" s="54">
        <v>46123.0</v>
      </c>
      <c r="F688" s="55">
        <v>0.0</v>
      </c>
      <c r="G688" s="54"/>
      <c r="H688" s="55">
        <v>0.0</v>
      </c>
      <c r="I688" s="55">
        <f t="shared" si="1"/>
        <v>0</v>
      </c>
      <c r="J688" s="56">
        <f t="shared" si="2"/>
        <v>35</v>
      </c>
      <c r="K688" s="53" t="str">
        <f t="shared" si="3"/>
        <v>Paid</v>
      </c>
      <c r="L688" s="53" t="str">
        <f t="shared" si="4"/>
        <v>Closed</v>
      </c>
      <c r="M688" s="55" t="str">
        <f t="shared" si="5"/>
        <v>No</v>
      </c>
    </row>
    <row r="689" ht="15.75" customHeight="1">
      <c r="A689" s="25" t="s">
        <v>1900</v>
      </c>
      <c r="B689" s="25" t="s">
        <v>142</v>
      </c>
      <c r="C689" s="25" t="s">
        <v>80</v>
      </c>
      <c r="D689" s="26">
        <v>46131.0</v>
      </c>
      <c r="E689" s="26">
        <v>46176.0</v>
      </c>
      <c r="F689" s="30">
        <v>715.68</v>
      </c>
      <c r="G689" s="26"/>
      <c r="H689" s="30">
        <v>0.0</v>
      </c>
      <c r="I689" s="30">
        <f t="shared" si="1"/>
        <v>715.68</v>
      </c>
      <c r="J689" s="29">
        <f t="shared" si="2"/>
        <v>0</v>
      </c>
      <c r="K689" s="25" t="str">
        <f t="shared" si="3"/>
        <v>0-30</v>
      </c>
      <c r="L689" s="25" t="str">
        <f t="shared" si="4"/>
        <v>Current</v>
      </c>
      <c r="M689" s="30" t="str">
        <f t="shared" si="5"/>
        <v>No</v>
      </c>
    </row>
    <row r="690" ht="15.75" customHeight="1">
      <c r="A690" s="53" t="s">
        <v>1901</v>
      </c>
      <c r="B690" s="53" t="s">
        <v>823</v>
      </c>
      <c r="C690" s="53" t="s">
        <v>729</v>
      </c>
      <c r="D690" s="54">
        <v>46074.0</v>
      </c>
      <c r="E690" s="54">
        <v>46104.0</v>
      </c>
      <c r="F690" s="55">
        <v>1103.04</v>
      </c>
      <c r="G690" s="54">
        <v>46147.0</v>
      </c>
      <c r="H690" s="55">
        <v>1103.04</v>
      </c>
      <c r="I690" s="55">
        <f t="shared" si="1"/>
        <v>0</v>
      </c>
      <c r="J690" s="56">
        <f t="shared" si="2"/>
        <v>54</v>
      </c>
      <c r="K690" s="53" t="str">
        <f t="shared" si="3"/>
        <v>Paid</v>
      </c>
      <c r="L690" s="53" t="str">
        <f t="shared" si="4"/>
        <v>Closed</v>
      </c>
      <c r="M690" s="55" t="str">
        <f t="shared" si="5"/>
        <v>No</v>
      </c>
    </row>
    <row r="691" ht="15.75" customHeight="1">
      <c r="A691" s="25" t="s">
        <v>1902</v>
      </c>
      <c r="B691" s="25" t="s">
        <v>659</v>
      </c>
      <c r="C691" s="25" t="s">
        <v>588</v>
      </c>
      <c r="D691" s="26">
        <v>46062.0</v>
      </c>
      <c r="E691" s="26">
        <v>46092.0</v>
      </c>
      <c r="F691" s="30">
        <v>177.12</v>
      </c>
      <c r="G691" s="26"/>
      <c r="H691" s="30">
        <v>0.0</v>
      </c>
      <c r="I691" s="30">
        <f t="shared" si="1"/>
        <v>177.12</v>
      </c>
      <c r="J691" s="29">
        <f t="shared" si="2"/>
        <v>66</v>
      </c>
      <c r="K691" s="25" t="str">
        <f t="shared" si="3"/>
        <v>61-90</v>
      </c>
      <c r="L691" s="25" t="str">
        <f t="shared" si="4"/>
        <v>Collections Review</v>
      </c>
      <c r="M691" s="30" t="str">
        <f t="shared" si="5"/>
        <v>Yes</v>
      </c>
    </row>
    <row r="692" ht="15.75" customHeight="1">
      <c r="A692" s="53" t="s">
        <v>1903</v>
      </c>
      <c r="B692" s="53" t="s">
        <v>931</v>
      </c>
      <c r="C692" s="53" t="s">
        <v>859</v>
      </c>
      <c r="D692" s="54">
        <v>46032.0</v>
      </c>
      <c r="E692" s="54">
        <v>46047.0</v>
      </c>
      <c r="F692" s="55">
        <v>132.96</v>
      </c>
      <c r="G692" s="54">
        <v>46039.0</v>
      </c>
      <c r="H692" s="55">
        <v>132.96</v>
      </c>
      <c r="I692" s="55">
        <f t="shared" si="1"/>
        <v>0</v>
      </c>
      <c r="J692" s="56">
        <f t="shared" si="2"/>
        <v>111</v>
      </c>
      <c r="K692" s="53" t="str">
        <f t="shared" si="3"/>
        <v>Paid</v>
      </c>
      <c r="L692" s="53" t="str">
        <f t="shared" si="4"/>
        <v>Closed</v>
      </c>
      <c r="M692" s="55" t="str">
        <f t="shared" si="5"/>
        <v>No</v>
      </c>
    </row>
    <row r="693" ht="15.75" customHeight="1">
      <c r="A693" s="25" t="s">
        <v>1904</v>
      </c>
      <c r="B693" s="25" t="s">
        <v>824</v>
      </c>
      <c r="C693" s="25" t="s">
        <v>708</v>
      </c>
      <c r="D693" s="26">
        <v>46071.0</v>
      </c>
      <c r="E693" s="26">
        <v>46101.0</v>
      </c>
      <c r="F693" s="30">
        <v>1016.4</v>
      </c>
      <c r="G693" s="26"/>
      <c r="H693" s="30">
        <v>0.0</v>
      </c>
      <c r="I693" s="30">
        <f t="shared" si="1"/>
        <v>1016.4</v>
      </c>
      <c r="J693" s="29">
        <f t="shared" si="2"/>
        <v>57</v>
      </c>
      <c r="K693" s="25" t="str">
        <f t="shared" si="3"/>
        <v>31-60</v>
      </c>
      <c r="L693" s="25" t="str">
        <f t="shared" si="4"/>
        <v>Reminder Sent</v>
      </c>
      <c r="M693" s="30" t="str">
        <f t="shared" si="5"/>
        <v>No</v>
      </c>
    </row>
    <row r="694" ht="15.75" customHeight="1">
      <c r="A694" s="53" t="s">
        <v>1905</v>
      </c>
      <c r="B694" s="53" t="s">
        <v>1182</v>
      </c>
      <c r="C694" s="53" t="s">
        <v>1133</v>
      </c>
      <c r="D694" s="54">
        <v>46115.0</v>
      </c>
      <c r="E694" s="54">
        <v>46130.0</v>
      </c>
      <c r="F694" s="55">
        <v>257.28</v>
      </c>
      <c r="G694" s="54">
        <v>46140.0</v>
      </c>
      <c r="H694" s="55">
        <v>257.28</v>
      </c>
      <c r="I694" s="55">
        <f t="shared" si="1"/>
        <v>0</v>
      </c>
      <c r="J694" s="56">
        <f t="shared" si="2"/>
        <v>28</v>
      </c>
      <c r="K694" s="53" t="str">
        <f t="shared" si="3"/>
        <v>Paid</v>
      </c>
      <c r="L694" s="53" t="str">
        <f t="shared" si="4"/>
        <v>Closed</v>
      </c>
      <c r="M694" s="55" t="str">
        <f t="shared" si="5"/>
        <v>No</v>
      </c>
    </row>
    <row r="695" ht="15.75" customHeight="1">
      <c r="A695" s="25" t="s">
        <v>1906</v>
      </c>
      <c r="B695" s="25" t="s">
        <v>1045</v>
      </c>
      <c r="C695" s="25" t="s">
        <v>957</v>
      </c>
      <c r="D695" s="26">
        <v>46050.0</v>
      </c>
      <c r="E695" s="26">
        <v>46065.0</v>
      </c>
      <c r="F695" s="30">
        <v>83.52</v>
      </c>
      <c r="G695" s="26">
        <v>46077.0</v>
      </c>
      <c r="H695" s="30">
        <v>83.52</v>
      </c>
      <c r="I695" s="30">
        <f t="shared" si="1"/>
        <v>0</v>
      </c>
      <c r="J695" s="29">
        <f t="shared" si="2"/>
        <v>93</v>
      </c>
      <c r="K695" s="25" t="str">
        <f t="shared" si="3"/>
        <v>Paid</v>
      </c>
      <c r="L695" s="25" t="str">
        <f t="shared" si="4"/>
        <v>Closed</v>
      </c>
      <c r="M695" s="30" t="str">
        <f t="shared" si="5"/>
        <v>No</v>
      </c>
    </row>
    <row r="696" ht="15.75" customHeight="1">
      <c r="A696" s="53" t="s">
        <v>1907</v>
      </c>
      <c r="B696" s="53" t="s">
        <v>932</v>
      </c>
      <c r="C696" s="53" t="s">
        <v>864</v>
      </c>
      <c r="D696" s="54">
        <v>46094.0</v>
      </c>
      <c r="E696" s="54">
        <v>46139.0</v>
      </c>
      <c r="F696" s="55">
        <v>624.0</v>
      </c>
      <c r="G696" s="54"/>
      <c r="H696" s="55">
        <v>0.0</v>
      </c>
      <c r="I696" s="55">
        <f t="shared" si="1"/>
        <v>624</v>
      </c>
      <c r="J696" s="56">
        <f t="shared" si="2"/>
        <v>19</v>
      </c>
      <c r="K696" s="53" t="str">
        <f t="shared" si="3"/>
        <v>0-30</v>
      </c>
      <c r="L696" s="53" t="str">
        <f t="shared" si="4"/>
        <v>Current</v>
      </c>
      <c r="M696" s="55" t="str">
        <f t="shared" si="5"/>
        <v>No</v>
      </c>
    </row>
    <row r="697" ht="15.75" customHeight="1">
      <c r="A697" s="25" t="s">
        <v>1908</v>
      </c>
      <c r="B697" s="25" t="s">
        <v>1183</v>
      </c>
      <c r="C697" s="25" t="s">
        <v>1124</v>
      </c>
      <c r="D697" s="26">
        <v>46026.0</v>
      </c>
      <c r="E697" s="26">
        <v>46056.0</v>
      </c>
      <c r="F697" s="30">
        <v>129.24</v>
      </c>
      <c r="G697" s="26"/>
      <c r="H697" s="30">
        <v>0.0</v>
      </c>
      <c r="I697" s="30">
        <f t="shared" si="1"/>
        <v>129.24</v>
      </c>
      <c r="J697" s="29">
        <f t="shared" si="2"/>
        <v>102</v>
      </c>
      <c r="K697" s="25" t="str">
        <f t="shared" si="3"/>
        <v>90+</v>
      </c>
      <c r="L697" s="25" t="str">
        <f t="shared" si="4"/>
        <v>Escalate</v>
      </c>
      <c r="M697" s="30" t="str">
        <f t="shared" si="5"/>
        <v>Yes</v>
      </c>
    </row>
    <row r="698" ht="15.75" customHeight="1">
      <c r="A698" s="53" t="s">
        <v>1909</v>
      </c>
      <c r="B698" s="53" t="s">
        <v>660</v>
      </c>
      <c r="C698" s="53" t="s">
        <v>544</v>
      </c>
      <c r="D698" s="54">
        <v>46031.0</v>
      </c>
      <c r="E698" s="54">
        <v>46076.0</v>
      </c>
      <c r="F698" s="55">
        <v>646.8</v>
      </c>
      <c r="G698" s="54">
        <v>46109.0</v>
      </c>
      <c r="H698" s="55">
        <v>646.8</v>
      </c>
      <c r="I698" s="55">
        <f t="shared" si="1"/>
        <v>0</v>
      </c>
      <c r="J698" s="56">
        <f t="shared" si="2"/>
        <v>82</v>
      </c>
      <c r="K698" s="53" t="str">
        <f t="shared" si="3"/>
        <v>Paid</v>
      </c>
      <c r="L698" s="53" t="str">
        <f t="shared" si="4"/>
        <v>Closed</v>
      </c>
      <c r="M698" s="55" t="str">
        <f t="shared" si="5"/>
        <v>No</v>
      </c>
    </row>
    <row r="699" ht="15.75" customHeight="1">
      <c r="A699" s="25" t="s">
        <v>1910</v>
      </c>
      <c r="B699" s="25" t="s">
        <v>825</v>
      </c>
      <c r="C699" s="25" t="s">
        <v>700</v>
      </c>
      <c r="D699" s="26">
        <v>46104.0</v>
      </c>
      <c r="E699" s="26">
        <v>46134.0</v>
      </c>
      <c r="F699" s="30">
        <v>390.96</v>
      </c>
      <c r="G699" s="26"/>
      <c r="H699" s="30">
        <v>0.0</v>
      </c>
      <c r="I699" s="30">
        <f t="shared" si="1"/>
        <v>390.96</v>
      </c>
      <c r="J699" s="29">
        <f t="shared" si="2"/>
        <v>24</v>
      </c>
      <c r="K699" s="25" t="str">
        <f t="shared" si="3"/>
        <v>0-30</v>
      </c>
      <c r="L699" s="25" t="str">
        <f t="shared" si="4"/>
        <v>Current</v>
      </c>
      <c r="M699" s="30" t="str">
        <f t="shared" si="5"/>
        <v>No</v>
      </c>
    </row>
    <row r="700" ht="15.75" customHeight="1">
      <c r="A700" s="53" t="s">
        <v>1911</v>
      </c>
      <c r="B700" s="53" t="s">
        <v>1046</v>
      </c>
      <c r="C700" s="53" t="s">
        <v>968</v>
      </c>
      <c r="D700" s="54">
        <v>46082.0</v>
      </c>
      <c r="E700" s="54">
        <v>46112.0</v>
      </c>
      <c r="F700" s="55">
        <v>455.52</v>
      </c>
      <c r="G700" s="54"/>
      <c r="H700" s="55">
        <v>0.0</v>
      </c>
      <c r="I700" s="55">
        <f t="shared" si="1"/>
        <v>455.52</v>
      </c>
      <c r="J700" s="56">
        <f t="shared" si="2"/>
        <v>46</v>
      </c>
      <c r="K700" s="53" t="str">
        <f t="shared" si="3"/>
        <v>31-60</v>
      </c>
      <c r="L700" s="53" t="str">
        <f t="shared" si="4"/>
        <v>Reminder Sent</v>
      </c>
      <c r="M700" s="55" t="str">
        <f t="shared" si="5"/>
        <v>No</v>
      </c>
    </row>
    <row r="701" ht="15.75" customHeight="1">
      <c r="A701" s="25" t="s">
        <v>1912</v>
      </c>
      <c r="B701" s="25" t="s">
        <v>1184</v>
      </c>
      <c r="C701" s="25" t="s">
        <v>1136</v>
      </c>
      <c r="D701" s="26">
        <v>46150.0</v>
      </c>
      <c r="E701" s="26">
        <v>46180.0</v>
      </c>
      <c r="F701" s="30">
        <v>1079.04</v>
      </c>
      <c r="G701" s="26">
        <v>46207.0</v>
      </c>
      <c r="H701" s="30">
        <v>1079.04</v>
      </c>
      <c r="I701" s="30">
        <f t="shared" si="1"/>
        <v>0</v>
      </c>
      <c r="J701" s="29">
        <f t="shared" si="2"/>
        <v>0</v>
      </c>
      <c r="K701" s="25" t="str">
        <f t="shared" si="3"/>
        <v>Paid</v>
      </c>
      <c r="L701" s="25" t="str">
        <f t="shared" si="4"/>
        <v>Closed</v>
      </c>
      <c r="M701" s="30" t="str">
        <f t="shared" si="5"/>
        <v>No</v>
      </c>
    </row>
    <row r="702" ht="15.75" customHeight="1">
      <c r="A702" s="53" t="s">
        <v>1913</v>
      </c>
      <c r="B702" s="53" t="s">
        <v>826</v>
      </c>
      <c r="C702" s="53" t="s">
        <v>729</v>
      </c>
      <c r="D702" s="54">
        <v>46128.0</v>
      </c>
      <c r="E702" s="54">
        <v>46158.0</v>
      </c>
      <c r="F702" s="55">
        <v>667.8</v>
      </c>
      <c r="G702" s="54"/>
      <c r="H702" s="55">
        <v>0.0</v>
      </c>
      <c r="I702" s="55">
        <f t="shared" si="1"/>
        <v>667.8</v>
      </c>
      <c r="J702" s="56">
        <f t="shared" si="2"/>
        <v>0</v>
      </c>
      <c r="K702" s="53" t="str">
        <f t="shared" si="3"/>
        <v>0-30</v>
      </c>
      <c r="L702" s="53" t="str">
        <f t="shared" si="4"/>
        <v>Current</v>
      </c>
      <c r="M702" s="55" t="str">
        <f t="shared" si="5"/>
        <v>No</v>
      </c>
    </row>
    <row r="703" ht="15.75" customHeight="1">
      <c r="A703" s="25" t="s">
        <v>1914</v>
      </c>
      <c r="B703" s="25" t="s">
        <v>1185</v>
      </c>
      <c r="C703" s="25" t="s">
        <v>1131</v>
      </c>
      <c r="D703" s="26">
        <v>46056.0</v>
      </c>
      <c r="E703" s="26">
        <v>46086.0</v>
      </c>
      <c r="F703" s="30">
        <v>229.2</v>
      </c>
      <c r="G703" s="26">
        <v>46105.0</v>
      </c>
      <c r="H703" s="30">
        <v>229.2</v>
      </c>
      <c r="I703" s="30">
        <f t="shared" si="1"/>
        <v>0</v>
      </c>
      <c r="J703" s="29">
        <f t="shared" si="2"/>
        <v>72</v>
      </c>
      <c r="K703" s="25" t="str">
        <f t="shared" si="3"/>
        <v>Paid</v>
      </c>
      <c r="L703" s="25" t="str">
        <f t="shared" si="4"/>
        <v>Closed</v>
      </c>
      <c r="M703" s="30" t="str">
        <f t="shared" si="5"/>
        <v>No</v>
      </c>
    </row>
    <row r="704" ht="15.75" customHeight="1">
      <c r="A704" s="53" t="s">
        <v>1915</v>
      </c>
      <c r="B704" s="53" t="s">
        <v>408</v>
      </c>
      <c r="C704" s="53" t="s">
        <v>303</v>
      </c>
      <c r="D704" s="54">
        <v>46111.0</v>
      </c>
      <c r="E704" s="54">
        <v>46126.0</v>
      </c>
      <c r="F704" s="55">
        <v>238.32</v>
      </c>
      <c r="G704" s="54">
        <v>46139.0</v>
      </c>
      <c r="H704" s="55">
        <v>238.32</v>
      </c>
      <c r="I704" s="55">
        <f t="shared" si="1"/>
        <v>0</v>
      </c>
      <c r="J704" s="56">
        <f t="shared" si="2"/>
        <v>32</v>
      </c>
      <c r="K704" s="53" t="str">
        <f t="shared" si="3"/>
        <v>Paid</v>
      </c>
      <c r="L704" s="53" t="str">
        <f t="shared" si="4"/>
        <v>Closed</v>
      </c>
      <c r="M704" s="55" t="str">
        <f t="shared" si="5"/>
        <v>No</v>
      </c>
    </row>
    <row r="705" ht="15.75" customHeight="1">
      <c r="A705" s="25" t="s">
        <v>1916</v>
      </c>
      <c r="B705" s="25" t="s">
        <v>258</v>
      </c>
      <c r="C705" s="25" t="s">
        <v>181</v>
      </c>
      <c r="D705" s="26">
        <v>46062.0</v>
      </c>
      <c r="E705" s="26">
        <v>46077.0</v>
      </c>
      <c r="F705" s="30">
        <v>139.68</v>
      </c>
      <c r="G705" s="26">
        <v>46102.0</v>
      </c>
      <c r="H705" s="30">
        <v>139.68</v>
      </c>
      <c r="I705" s="30">
        <f t="shared" si="1"/>
        <v>0</v>
      </c>
      <c r="J705" s="29">
        <f t="shared" si="2"/>
        <v>81</v>
      </c>
      <c r="K705" s="25" t="str">
        <f t="shared" si="3"/>
        <v>Paid</v>
      </c>
      <c r="L705" s="25" t="str">
        <f t="shared" si="4"/>
        <v>Closed</v>
      </c>
      <c r="M705" s="30" t="str">
        <f t="shared" si="5"/>
        <v>No</v>
      </c>
    </row>
    <row r="706" ht="15.75" customHeight="1">
      <c r="A706" s="53" t="s">
        <v>1917</v>
      </c>
      <c r="B706" s="53" t="s">
        <v>520</v>
      </c>
      <c r="C706" s="53" t="s">
        <v>464</v>
      </c>
      <c r="D706" s="54">
        <v>46108.0</v>
      </c>
      <c r="E706" s="54">
        <v>46153.0</v>
      </c>
      <c r="F706" s="55">
        <v>138.6</v>
      </c>
      <c r="G706" s="54">
        <v>46178.0</v>
      </c>
      <c r="H706" s="55">
        <v>138.6</v>
      </c>
      <c r="I706" s="55">
        <f t="shared" si="1"/>
        <v>0</v>
      </c>
      <c r="J706" s="56">
        <f t="shared" si="2"/>
        <v>5</v>
      </c>
      <c r="K706" s="53" t="str">
        <f t="shared" si="3"/>
        <v>Paid</v>
      </c>
      <c r="L706" s="53" t="str">
        <f t="shared" si="4"/>
        <v>Closed</v>
      </c>
      <c r="M706" s="55" t="str">
        <f t="shared" si="5"/>
        <v>No</v>
      </c>
    </row>
    <row r="707" ht="15.75" customHeight="1">
      <c r="A707" s="25" t="s">
        <v>1918</v>
      </c>
      <c r="B707" s="25" t="s">
        <v>143</v>
      </c>
      <c r="C707" s="25" t="s">
        <v>73</v>
      </c>
      <c r="D707" s="26">
        <v>46048.0</v>
      </c>
      <c r="E707" s="26">
        <v>46078.0</v>
      </c>
      <c r="F707" s="30">
        <v>1235.41</v>
      </c>
      <c r="G707" s="26">
        <v>46079.0</v>
      </c>
      <c r="H707" s="30">
        <v>1235.41</v>
      </c>
      <c r="I707" s="30">
        <f t="shared" si="1"/>
        <v>0</v>
      </c>
      <c r="J707" s="29">
        <f t="shared" si="2"/>
        <v>80</v>
      </c>
      <c r="K707" s="25" t="str">
        <f t="shared" si="3"/>
        <v>Paid</v>
      </c>
      <c r="L707" s="25" t="str">
        <f t="shared" si="4"/>
        <v>Closed</v>
      </c>
      <c r="M707" s="30" t="str">
        <f t="shared" si="5"/>
        <v>No</v>
      </c>
    </row>
    <row r="708" ht="15.75" customHeight="1">
      <c r="A708" s="53" t="s">
        <v>1919</v>
      </c>
      <c r="B708" s="53" t="s">
        <v>259</v>
      </c>
      <c r="C708" s="53" t="s">
        <v>181</v>
      </c>
      <c r="D708" s="54">
        <v>46063.0</v>
      </c>
      <c r="E708" s="54">
        <v>46108.0</v>
      </c>
      <c r="F708" s="55">
        <v>348.48</v>
      </c>
      <c r="G708" s="54">
        <v>46152.0</v>
      </c>
      <c r="H708" s="55">
        <v>348.48</v>
      </c>
      <c r="I708" s="55">
        <f t="shared" si="1"/>
        <v>0</v>
      </c>
      <c r="J708" s="56">
        <f t="shared" si="2"/>
        <v>50</v>
      </c>
      <c r="K708" s="53" t="str">
        <f t="shared" si="3"/>
        <v>Paid</v>
      </c>
      <c r="L708" s="53" t="str">
        <f t="shared" si="4"/>
        <v>Closed</v>
      </c>
      <c r="M708" s="55" t="str">
        <f t="shared" si="5"/>
        <v>No</v>
      </c>
    </row>
    <row r="709" ht="15.75" customHeight="1">
      <c r="A709" s="25" t="s">
        <v>1920</v>
      </c>
      <c r="B709" s="25" t="s">
        <v>260</v>
      </c>
      <c r="C709" s="25" t="s">
        <v>168</v>
      </c>
      <c r="D709" s="26">
        <v>46048.0</v>
      </c>
      <c r="E709" s="26">
        <v>46063.0</v>
      </c>
      <c r="F709" s="30">
        <v>761.76</v>
      </c>
      <c r="G709" s="26">
        <v>46095.0</v>
      </c>
      <c r="H709" s="30">
        <v>761.76</v>
      </c>
      <c r="I709" s="30">
        <f t="shared" si="1"/>
        <v>0</v>
      </c>
      <c r="J709" s="29">
        <f t="shared" si="2"/>
        <v>95</v>
      </c>
      <c r="K709" s="25" t="str">
        <f t="shared" si="3"/>
        <v>Paid</v>
      </c>
      <c r="L709" s="25" t="str">
        <f t="shared" si="4"/>
        <v>Closed</v>
      </c>
      <c r="M709" s="30" t="str">
        <f t="shared" si="5"/>
        <v>No</v>
      </c>
    </row>
    <row r="710" ht="15.75" customHeight="1">
      <c r="A710" s="53" t="s">
        <v>1921</v>
      </c>
      <c r="B710" s="53" t="s">
        <v>661</v>
      </c>
      <c r="C710" s="53" t="s">
        <v>557</v>
      </c>
      <c r="D710" s="54">
        <v>46127.0</v>
      </c>
      <c r="E710" s="54">
        <v>46157.0</v>
      </c>
      <c r="F710" s="55">
        <v>874.8</v>
      </c>
      <c r="G710" s="54">
        <v>46180.0</v>
      </c>
      <c r="H710" s="55">
        <v>874.8</v>
      </c>
      <c r="I710" s="55">
        <f t="shared" si="1"/>
        <v>0</v>
      </c>
      <c r="J710" s="56">
        <f t="shared" si="2"/>
        <v>1</v>
      </c>
      <c r="K710" s="53" t="str">
        <f t="shared" si="3"/>
        <v>Paid</v>
      </c>
      <c r="L710" s="53" t="str">
        <f t="shared" si="4"/>
        <v>Closed</v>
      </c>
      <c r="M710" s="55" t="str">
        <f t="shared" si="5"/>
        <v>No</v>
      </c>
    </row>
    <row r="711" ht="15.75" customHeight="1">
      <c r="A711" s="25" t="s">
        <v>1922</v>
      </c>
      <c r="B711" s="25" t="s">
        <v>827</v>
      </c>
      <c r="C711" s="25" t="s">
        <v>710</v>
      </c>
      <c r="D711" s="26">
        <v>46070.0</v>
      </c>
      <c r="E711" s="26">
        <v>46100.0</v>
      </c>
      <c r="F711" s="30">
        <v>384.4</v>
      </c>
      <c r="G711" s="26"/>
      <c r="H711" s="30">
        <v>0.0</v>
      </c>
      <c r="I711" s="30">
        <f t="shared" si="1"/>
        <v>384.4</v>
      </c>
      <c r="J711" s="29">
        <f t="shared" si="2"/>
        <v>58</v>
      </c>
      <c r="K711" s="25" t="str">
        <f t="shared" si="3"/>
        <v>31-60</v>
      </c>
      <c r="L711" s="25" t="str">
        <f t="shared" si="4"/>
        <v>Reminder Sent</v>
      </c>
      <c r="M711" s="30" t="str">
        <f t="shared" si="5"/>
        <v>No</v>
      </c>
    </row>
    <row r="712" ht="15.75" customHeight="1">
      <c r="A712" s="53" t="s">
        <v>1923</v>
      </c>
      <c r="B712" s="53" t="s">
        <v>1047</v>
      </c>
      <c r="C712" s="53" t="s">
        <v>968</v>
      </c>
      <c r="D712" s="54">
        <v>46140.0</v>
      </c>
      <c r="E712" s="54">
        <v>46170.0</v>
      </c>
      <c r="F712" s="55">
        <v>952.68</v>
      </c>
      <c r="G712" s="54">
        <v>46165.0</v>
      </c>
      <c r="H712" s="55">
        <v>952.68</v>
      </c>
      <c r="I712" s="55">
        <f t="shared" si="1"/>
        <v>0</v>
      </c>
      <c r="J712" s="56">
        <f t="shared" si="2"/>
        <v>0</v>
      </c>
      <c r="K712" s="53" t="str">
        <f t="shared" si="3"/>
        <v>Paid</v>
      </c>
      <c r="L712" s="53" t="str">
        <f t="shared" si="4"/>
        <v>Closed</v>
      </c>
      <c r="M712" s="55" t="str">
        <f t="shared" si="5"/>
        <v>No</v>
      </c>
    </row>
    <row r="713" ht="15.75" customHeight="1">
      <c r="A713" s="25" t="s">
        <v>1924</v>
      </c>
      <c r="B713" s="25" t="s">
        <v>261</v>
      </c>
      <c r="C713" s="25" t="s">
        <v>179</v>
      </c>
      <c r="D713" s="26">
        <v>46140.0</v>
      </c>
      <c r="E713" s="26">
        <v>46170.0</v>
      </c>
      <c r="F713" s="30">
        <v>227.1</v>
      </c>
      <c r="G713" s="26">
        <v>46187.0</v>
      </c>
      <c r="H713" s="30">
        <v>227.1</v>
      </c>
      <c r="I713" s="30">
        <f t="shared" si="1"/>
        <v>0</v>
      </c>
      <c r="J713" s="29">
        <f t="shared" si="2"/>
        <v>0</v>
      </c>
      <c r="K713" s="25" t="str">
        <f t="shared" si="3"/>
        <v>Paid</v>
      </c>
      <c r="L713" s="25" t="str">
        <f t="shared" si="4"/>
        <v>Closed</v>
      </c>
      <c r="M713" s="30" t="str">
        <f t="shared" si="5"/>
        <v>No</v>
      </c>
    </row>
    <row r="714" ht="15.75" customHeight="1">
      <c r="A714" s="53" t="s">
        <v>1925</v>
      </c>
      <c r="B714" s="53" t="s">
        <v>662</v>
      </c>
      <c r="C714" s="53" t="s">
        <v>566</v>
      </c>
      <c r="D714" s="54">
        <v>46094.0</v>
      </c>
      <c r="E714" s="54">
        <v>46124.0</v>
      </c>
      <c r="F714" s="55">
        <v>1214.4</v>
      </c>
      <c r="G714" s="54">
        <v>46152.0</v>
      </c>
      <c r="H714" s="55">
        <v>1214.4</v>
      </c>
      <c r="I714" s="55">
        <f t="shared" si="1"/>
        <v>0</v>
      </c>
      <c r="J714" s="56">
        <f t="shared" si="2"/>
        <v>34</v>
      </c>
      <c r="K714" s="53" t="str">
        <f t="shared" si="3"/>
        <v>Paid</v>
      </c>
      <c r="L714" s="53" t="str">
        <f t="shared" si="4"/>
        <v>Closed</v>
      </c>
      <c r="M714" s="55" t="str">
        <f t="shared" si="5"/>
        <v>No</v>
      </c>
    </row>
    <row r="715" ht="15.75" customHeight="1">
      <c r="A715" s="25" t="s">
        <v>1926</v>
      </c>
      <c r="B715" s="25" t="s">
        <v>409</v>
      </c>
      <c r="C715" s="25" t="s">
        <v>310</v>
      </c>
      <c r="D715" s="26">
        <v>46127.0</v>
      </c>
      <c r="E715" s="26">
        <v>46172.0</v>
      </c>
      <c r="F715" s="30">
        <v>277.68</v>
      </c>
      <c r="G715" s="26"/>
      <c r="H715" s="30">
        <v>0.0</v>
      </c>
      <c r="I715" s="30">
        <f t="shared" si="1"/>
        <v>277.68</v>
      </c>
      <c r="J715" s="29">
        <f t="shared" si="2"/>
        <v>0</v>
      </c>
      <c r="K715" s="25" t="str">
        <f t="shared" si="3"/>
        <v>0-30</v>
      </c>
      <c r="L715" s="25" t="str">
        <f t="shared" si="4"/>
        <v>Current</v>
      </c>
      <c r="M715" s="30" t="str">
        <f t="shared" si="5"/>
        <v>No</v>
      </c>
    </row>
    <row r="716" ht="15.75" customHeight="1">
      <c r="A716" s="53" t="s">
        <v>1927</v>
      </c>
      <c r="B716" s="53" t="s">
        <v>410</v>
      </c>
      <c r="C716" s="53" t="s">
        <v>305</v>
      </c>
      <c r="D716" s="54">
        <v>46103.0</v>
      </c>
      <c r="E716" s="54">
        <v>46133.0</v>
      </c>
      <c r="F716" s="55">
        <v>212.1</v>
      </c>
      <c r="G716" s="54"/>
      <c r="H716" s="55">
        <v>0.0</v>
      </c>
      <c r="I716" s="55">
        <f t="shared" si="1"/>
        <v>212.1</v>
      </c>
      <c r="J716" s="56">
        <f t="shared" si="2"/>
        <v>25</v>
      </c>
      <c r="K716" s="53" t="str">
        <f t="shared" si="3"/>
        <v>0-30</v>
      </c>
      <c r="L716" s="53" t="str">
        <f t="shared" si="4"/>
        <v>Current</v>
      </c>
      <c r="M716" s="55" t="str">
        <f t="shared" si="5"/>
        <v>No</v>
      </c>
    </row>
    <row r="717" ht="15.75" customHeight="1">
      <c r="A717" s="25" t="s">
        <v>1928</v>
      </c>
      <c r="B717" s="25" t="s">
        <v>663</v>
      </c>
      <c r="C717" s="25" t="s">
        <v>540</v>
      </c>
      <c r="D717" s="26">
        <v>46105.0</v>
      </c>
      <c r="E717" s="26">
        <v>46135.0</v>
      </c>
      <c r="F717" s="30">
        <v>206.1</v>
      </c>
      <c r="G717" s="26">
        <v>46146.0</v>
      </c>
      <c r="H717" s="30">
        <v>206.1</v>
      </c>
      <c r="I717" s="30">
        <f t="shared" si="1"/>
        <v>0</v>
      </c>
      <c r="J717" s="29">
        <f t="shared" si="2"/>
        <v>23</v>
      </c>
      <c r="K717" s="25" t="str">
        <f t="shared" si="3"/>
        <v>Paid</v>
      </c>
      <c r="L717" s="25" t="str">
        <f t="shared" si="4"/>
        <v>Closed</v>
      </c>
      <c r="M717" s="30" t="str">
        <f t="shared" si="5"/>
        <v>No</v>
      </c>
    </row>
    <row r="718" ht="15.75" customHeight="1">
      <c r="A718" s="53" t="s">
        <v>1929</v>
      </c>
      <c r="B718" s="53" t="s">
        <v>411</v>
      </c>
      <c r="C718" s="53" t="s">
        <v>291</v>
      </c>
      <c r="D718" s="54">
        <v>46107.0</v>
      </c>
      <c r="E718" s="54">
        <v>46152.0</v>
      </c>
      <c r="F718" s="55">
        <v>786.24</v>
      </c>
      <c r="G718" s="54">
        <v>46152.0</v>
      </c>
      <c r="H718" s="55">
        <v>786.24</v>
      </c>
      <c r="I718" s="55">
        <f t="shared" si="1"/>
        <v>0</v>
      </c>
      <c r="J718" s="56">
        <f t="shared" si="2"/>
        <v>6</v>
      </c>
      <c r="K718" s="53" t="str">
        <f t="shared" si="3"/>
        <v>Paid</v>
      </c>
      <c r="L718" s="53" t="str">
        <f t="shared" si="4"/>
        <v>Closed</v>
      </c>
      <c r="M718" s="55" t="str">
        <f t="shared" si="5"/>
        <v>No</v>
      </c>
    </row>
    <row r="719" ht="15.75" customHeight="1">
      <c r="A719" s="25" t="s">
        <v>1930</v>
      </c>
      <c r="B719" s="25" t="s">
        <v>664</v>
      </c>
      <c r="C719" s="25" t="s">
        <v>547</v>
      </c>
      <c r="D719" s="26">
        <v>46073.0</v>
      </c>
      <c r="E719" s="26">
        <v>46088.0</v>
      </c>
      <c r="F719" s="30">
        <v>0.0</v>
      </c>
      <c r="G719" s="26"/>
      <c r="H719" s="30">
        <v>0.0</v>
      </c>
      <c r="I719" s="30">
        <f t="shared" si="1"/>
        <v>0</v>
      </c>
      <c r="J719" s="29">
        <f t="shared" si="2"/>
        <v>70</v>
      </c>
      <c r="K719" s="25" t="str">
        <f t="shared" si="3"/>
        <v>Paid</v>
      </c>
      <c r="L719" s="25" t="str">
        <f t="shared" si="4"/>
        <v>Closed</v>
      </c>
      <c r="M719" s="30" t="str">
        <f t="shared" si="5"/>
        <v>No</v>
      </c>
    </row>
    <row r="720" ht="15.75" customHeight="1">
      <c r="A720" s="53" t="s">
        <v>1931</v>
      </c>
      <c r="B720" s="53" t="s">
        <v>666</v>
      </c>
      <c r="C720" s="53" t="s">
        <v>542</v>
      </c>
      <c r="D720" s="54">
        <v>46084.0</v>
      </c>
      <c r="E720" s="54">
        <v>46114.0</v>
      </c>
      <c r="F720" s="55">
        <v>117.12</v>
      </c>
      <c r="G720" s="54">
        <v>46130.0</v>
      </c>
      <c r="H720" s="55">
        <v>117.12</v>
      </c>
      <c r="I720" s="55">
        <f t="shared" si="1"/>
        <v>0</v>
      </c>
      <c r="J720" s="56">
        <f t="shared" si="2"/>
        <v>44</v>
      </c>
      <c r="K720" s="53" t="str">
        <f t="shared" si="3"/>
        <v>Paid</v>
      </c>
      <c r="L720" s="53" t="str">
        <f t="shared" si="4"/>
        <v>Closed</v>
      </c>
      <c r="M720" s="55" t="str">
        <f t="shared" si="5"/>
        <v>No</v>
      </c>
    </row>
    <row r="721" ht="15.75" customHeight="1">
      <c r="A721" s="25" t="s">
        <v>1932</v>
      </c>
      <c r="B721" s="25" t="s">
        <v>933</v>
      </c>
      <c r="C721" s="25" t="s">
        <v>855</v>
      </c>
      <c r="D721" s="26">
        <v>46092.0</v>
      </c>
      <c r="E721" s="26">
        <v>46107.0</v>
      </c>
      <c r="F721" s="30">
        <v>119.76</v>
      </c>
      <c r="G721" s="26">
        <v>46106.0</v>
      </c>
      <c r="H721" s="30">
        <v>119.76</v>
      </c>
      <c r="I721" s="30">
        <f t="shared" si="1"/>
        <v>0</v>
      </c>
      <c r="J721" s="29">
        <f t="shared" si="2"/>
        <v>51</v>
      </c>
      <c r="K721" s="25" t="str">
        <f t="shared" si="3"/>
        <v>Paid</v>
      </c>
      <c r="L721" s="25" t="str">
        <f t="shared" si="4"/>
        <v>Closed</v>
      </c>
      <c r="M721" s="30" t="str">
        <f t="shared" si="5"/>
        <v>No</v>
      </c>
    </row>
    <row r="722" ht="15.75" customHeight="1">
      <c r="A722" s="53" t="s">
        <v>1933</v>
      </c>
      <c r="B722" s="53" t="s">
        <v>144</v>
      </c>
      <c r="C722" s="53" t="s">
        <v>80</v>
      </c>
      <c r="D722" s="54">
        <v>46113.0</v>
      </c>
      <c r="E722" s="54">
        <v>46143.0</v>
      </c>
      <c r="F722" s="55">
        <v>395.52</v>
      </c>
      <c r="G722" s="54">
        <v>46159.0</v>
      </c>
      <c r="H722" s="55">
        <v>395.52</v>
      </c>
      <c r="I722" s="55">
        <f t="shared" si="1"/>
        <v>0</v>
      </c>
      <c r="J722" s="56">
        <f t="shared" si="2"/>
        <v>15</v>
      </c>
      <c r="K722" s="53" t="str">
        <f t="shared" si="3"/>
        <v>Paid</v>
      </c>
      <c r="L722" s="53" t="str">
        <f t="shared" si="4"/>
        <v>Closed</v>
      </c>
      <c r="M722" s="55" t="str">
        <f t="shared" si="5"/>
        <v>No</v>
      </c>
    </row>
    <row r="723" ht="15.75" customHeight="1">
      <c r="A723" s="25" t="s">
        <v>1934</v>
      </c>
      <c r="B723" s="25" t="s">
        <v>412</v>
      </c>
      <c r="C723" s="25" t="s">
        <v>305</v>
      </c>
      <c r="D723" s="26">
        <v>46121.0</v>
      </c>
      <c r="E723" s="26">
        <v>46166.0</v>
      </c>
      <c r="F723" s="30">
        <v>416.4</v>
      </c>
      <c r="G723" s="26">
        <v>46193.0</v>
      </c>
      <c r="H723" s="30">
        <v>416.4</v>
      </c>
      <c r="I723" s="30">
        <f t="shared" si="1"/>
        <v>0</v>
      </c>
      <c r="J723" s="29">
        <f t="shared" si="2"/>
        <v>0</v>
      </c>
      <c r="K723" s="25" t="str">
        <f t="shared" si="3"/>
        <v>Paid</v>
      </c>
      <c r="L723" s="25" t="str">
        <f t="shared" si="4"/>
        <v>Closed</v>
      </c>
      <c r="M723" s="30" t="str">
        <f t="shared" si="5"/>
        <v>No</v>
      </c>
    </row>
    <row r="724" ht="15.75" customHeight="1">
      <c r="A724" s="53" t="s">
        <v>1935</v>
      </c>
      <c r="B724" s="53" t="s">
        <v>262</v>
      </c>
      <c r="C724" s="53" t="s">
        <v>207</v>
      </c>
      <c r="D724" s="54">
        <v>46151.0</v>
      </c>
      <c r="E724" s="54">
        <v>46196.0</v>
      </c>
      <c r="F724" s="55">
        <v>752.56</v>
      </c>
      <c r="G724" s="54">
        <v>46219.0</v>
      </c>
      <c r="H724" s="55">
        <v>752.56</v>
      </c>
      <c r="I724" s="55">
        <f t="shared" si="1"/>
        <v>0</v>
      </c>
      <c r="J724" s="56">
        <f t="shared" si="2"/>
        <v>0</v>
      </c>
      <c r="K724" s="53" t="str">
        <f t="shared" si="3"/>
        <v>Paid</v>
      </c>
      <c r="L724" s="53" t="str">
        <f t="shared" si="4"/>
        <v>Closed</v>
      </c>
      <c r="M724" s="55" t="str">
        <f t="shared" si="5"/>
        <v>No</v>
      </c>
    </row>
    <row r="725" ht="15.75" customHeight="1">
      <c r="A725" s="25" t="s">
        <v>1936</v>
      </c>
      <c r="B725" s="25" t="s">
        <v>413</v>
      </c>
      <c r="C725" s="25" t="s">
        <v>293</v>
      </c>
      <c r="D725" s="26">
        <v>46090.0</v>
      </c>
      <c r="E725" s="26">
        <v>46120.0</v>
      </c>
      <c r="F725" s="30">
        <v>174.6</v>
      </c>
      <c r="G725" s="26">
        <v>46140.0</v>
      </c>
      <c r="H725" s="30">
        <v>174.6</v>
      </c>
      <c r="I725" s="30">
        <f t="shared" si="1"/>
        <v>0</v>
      </c>
      <c r="J725" s="29">
        <f t="shared" si="2"/>
        <v>38</v>
      </c>
      <c r="K725" s="25" t="str">
        <f t="shared" si="3"/>
        <v>Paid</v>
      </c>
      <c r="L725" s="25" t="str">
        <f t="shared" si="4"/>
        <v>Closed</v>
      </c>
      <c r="M725" s="30" t="str">
        <f t="shared" si="5"/>
        <v>No</v>
      </c>
    </row>
    <row r="726" ht="15.75" customHeight="1">
      <c r="A726" s="53" t="s">
        <v>1937</v>
      </c>
      <c r="B726" s="53" t="s">
        <v>667</v>
      </c>
      <c r="C726" s="53" t="s">
        <v>566</v>
      </c>
      <c r="D726" s="54">
        <v>46080.0</v>
      </c>
      <c r="E726" s="54">
        <v>46110.0</v>
      </c>
      <c r="F726" s="55">
        <v>50.58</v>
      </c>
      <c r="G726" s="54">
        <v>46136.0</v>
      </c>
      <c r="H726" s="55">
        <v>50.58</v>
      </c>
      <c r="I726" s="55">
        <f t="shared" si="1"/>
        <v>0</v>
      </c>
      <c r="J726" s="56">
        <f t="shared" si="2"/>
        <v>48</v>
      </c>
      <c r="K726" s="53" t="str">
        <f t="shared" si="3"/>
        <v>Paid</v>
      </c>
      <c r="L726" s="53" t="str">
        <f t="shared" si="4"/>
        <v>Closed</v>
      </c>
      <c r="M726" s="55" t="str">
        <f t="shared" si="5"/>
        <v>No</v>
      </c>
    </row>
    <row r="727" ht="15.75" customHeight="1">
      <c r="A727" s="25" t="s">
        <v>1938</v>
      </c>
      <c r="B727" s="25" t="s">
        <v>1116</v>
      </c>
      <c r="C727" s="25" t="s">
        <v>1083</v>
      </c>
      <c r="D727" s="26">
        <v>46080.0</v>
      </c>
      <c r="E727" s="26">
        <v>46110.0</v>
      </c>
      <c r="F727" s="30">
        <v>0.0</v>
      </c>
      <c r="G727" s="26">
        <v>46141.0</v>
      </c>
      <c r="H727" s="30">
        <v>0.0</v>
      </c>
      <c r="I727" s="30">
        <f t="shared" si="1"/>
        <v>0</v>
      </c>
      <c r="J727" s="29">
        <f t="shared" si="2"/>
        <v>48</v>
      </c>
      <c r="K727" s="25" t="str">
        <f t="shared" si="3"/>
        <v>Paid</v>
      </c>
      <c r="L727" s="25" t="str">
        <f t="shared" si="4"/>
        <v>Closed</v>
      </c>
      <c r="M727" s="30" t="str">
        <f t="shared" si="5"/>
        <v>No</v>
      </c>
    </row>
    <row r="728" ht="15.75" customHeight="1">
      <c r="A728" s="53" t="s">
        <v>1939</v>
      </c>
      <c r="B728" s="53" t="s">
        <v>1048</v>
      </c>
      <c r="C728" s="53" t="s">
        <v>984</v>
      </c>
      <c r="D728" s="54">
        <v>46131.0</v>
      </c>
      <c r="E728" s="54">
        <v>46176.0</v>
      </c>
      <c r="F728" s="55">
        <v>355.2</v>
      </c>
      <c r="G728" s="54">
        <v>46175.0</v>
      </c>
      <c r="H728" s="55">
        <v>355.2</v>
      </c>
      <c r="I728" s="55">
        <f t="shared" si="1"/>
        <v>0</v>
      </c>
      <c r="J728" s="56">
        <f t="shared" si="2"/>
        <v>0</v>
      </c>
      <c r="K728" s="53" t="str">
        <f t="shared" si="3"/>
        <v>Paid</v>
      </c>
      <c r="L728" s="53" t="str">
        <f t="shared" si="4"/>
        <v>Closed</v>
      </c>
      <c r="M728" s="55" t="str">
        <f t="shared" si="5"/>
        <v>No</v>
      </c>
    </row>
    <row r="729" ht="15.75" customHeight="1">
      <c r="A729" s="25" t="s">
        <v>1940</v>
      </c>
      <c r="B729" s="25" t="s">
        <v>146</v>
      </c>
      <c r="C729" s="25" t="s">
        <v>87</v>
      </c>
      <c r="D729" s="26">
        <v>46116.0</v>
      </c>
      <c r="E729" s="26">
        <v>46146.0</v>
      </c>
      <c r="F729" s="30">
        <v>0.0</v>
      </c>
      <c r="G729" s="26"/>
      <c r="H729" s="30">
        <v>0.0</v>
      </c>
      <c r="I729" s="30">
        <f t="shared" si="1"/>
        <v>0</v>
      </c>
      <c r="J729" s="29">
        <f t="shared" si="2"/>
        <v>12</v>
      </c>
      <c r="K729" s="25" t="str">
        <f t="shared" si="3"/>
        <v>Paid</v>
      </c>
      <c r="L729" s="25" t="str">
        <f t="shared" si="4"/>
        <v>Closed</v>
      </c>
      <c r="M729" s="30" t="str">
        <f t="shared" si="5"/>
        <v>No</v>
      </c>
    </row>
    <row r="730" ht="15.75" customHeight="1">
      <c r="A730" s="53" t="s">
        <v>1941</v>
      </c>
      <c r="B730" s="53" t="s">
        <v>414</v>
      </c>
      <c r="C730" s="53" t="s">
        <v>310</v>
      </c>
      <c r="D730" s="54">
        <v>46058.0</v>
      </c>
      <c r="E730" s="54">
        <v>46088.0</v>
      </c>
      <c r="F730" s="55">
        <v>968.81</v>
      </c>
      <c r="G730" s="54"/>
      <c r="H730" s="55">
        <v>0.0</v>
      </c>
      <c r="I730" s="55">
        <f t="shared" si="1"/>
        <v>968.81</v>
      </c>
      <c r="J730" s="56">
        <f t="shared" si="2"/>
        <v>70</v>
      </c>
      <c r="K730" s="53" t="str">
        <f t="shared" si="3"/>
        <v>61-90</v>
      </c>
      <c r="L730" s="53" t="str">
        <f t="shared" si="4"/>
        <v>Collections Review</v>
      </c>
      <c r="M730" s="55" t="str">
        <f t="shared" si="5"/>
        <v>Yes</v>
      </c>
    </row>
    <row r="731" ht="15.75" customHeight="1">
      <c r="A731" s="25" t="s">
        <v>1942</v>
      </c>
      <c r="B731" s="25" t="s">
        <v>934</v>
      </c>
      <c r="C731" s="25" t="s">
        <v>868</v>
      </c>
      <c r="D731" s="26">
        <v>46076.0</v>
      </c>
      <c r="E731" s="26">
        <v>46106.0</v>
      </c>
      <c r="F731" s="30">
        <v>449.28</v>
      </c>
      <c r="G731" s="26"/>
      <c r="H731" s="30">
        <v>0.0</v>
      </c>
      <c r="I731" s="30">
        <f t="shared" si="1"/>
        <v>449.28</v>
      </c>
      <c r="J731" s="29">
        <f t="shared" si="2"/>
        <v>52</v>
      </c>
      <c r="K731" s="25" t="str">
        <f t="shared" si="3"/>
        <v>31-60</v>
      </c>
      <c r="L731" s="25" t="str">
        <f t="shared" si="4"/>
        <v>Reminder Sent</v>
      </c>
      <c r="M731" s="30" t="str">
        <f t="shared" si="5"/>
        <v>No</v>
      </c>
    </row>
    <row r="732" ht="15.75" customHeight="1">
      <c r="A732" s="53" t="s">
        <v>1943</v>
      </c>
      <c r="B732" s="53" t="s">
        <v>829</v>
      </c>
      <c r="C732" s="53" t="s">
        <v>712</v>
      </c>
      <c r="D732" s="54">
        <v>46045.0</v>
      </c>
      <c r="E732" s="54">
        <v>46060.0</v>
      </c>
      <c r="F732" s="55">
        <v>161.52</v>
      </c>
      <c r="G732" s="54">
        <v>46059.0</v>
      </c>
      <c r="H732" s="55">
        <v>161.52</v>
      </c>
      <c r="I732" s="55">
        <f t="shared" si="1"/>
        <v>0</v>
      </c>
      <c r="J732" s="56">
        <f t="shared" si="2"/>
        <v>98</v>
      </c>
      <c r="K732" s="53" t="str">
        <f t="shared" si="3"/>
        <v>Paid</v>
      </c>
      <c r="L732" s="53" t="str">
        <f t="shared" si="4"/>
        <v>Closed</v>
      </c>
      <c r="M732" s="55" t="str">
        <f t="shared" si="5"/>
        <v>No</v>
      </c>
    </row>
    <row r="733" ht="15.75" customHeight="1">
      <c r="A733" s="25" t="s">
        <v>1944</v>
      </c>
      <c r="B733" s="25" t="s">
        <v>668</v>
      </c>
      <c r="C733" s="25" t="s">
        <v>575</v>
      </c>
      <c r="D733" s="26">
        <v>46067.0</v>
      </c>
      <c r="E733" s="26">
        <v>46112.0</v>
      </c>
      <c r="F733" s="30">
        <v>130.42</v>
      </c>
      <c r="G733" s="26">
        <v>46125.0</v>
      </c>
      <c r="H733" s="30">
        <v>130.42</v>
      </c>
      <c r="I733" s="30">
        <f t="shared" si="1"/>
        <v>0</v>
      </c>
      <c r="J733" s="29">
        <f t="shared" si="2"/>
        <v>46</v>
      </c>
      <c r="K733" s="25" t="str">
        <f t="shared" si="3"/>
        <v>Paid</v>
      </c>
      <c r="L733" s="25" t="str">
        <f t="shared" si="4"/>
        <v>Closed</v>
      </c>
      <c r="M733" s="30" t="str">
        <f t="shared" si="5"/>
        <v>No</v>
      </c>
    </row>
    <row r="734" ht="15.75" customHeight="1">
      <c r="A734" s="53" t="s">
        <v>1945</v>
      </c>
      <c r="B734" s="53" t="s">
        <v>415</v>
      </c>
      <c r="C734" s="53" t="s">
        <v>339</v>
      </c>
      <c r="D734" s="54">
        <v>46144.0</v>
      </c>
      <c r="E734" s="54">
        <v>46174.0</v>
      </c>
      <c r="F734" s="55">
        <v>117.48</v>
      </c>
      <c r="G734" s="54">
        <v>46210.0</v>
      </c>
      <c r="H734" s="55">
        <v>117.48</v>
      </c>
      <c r="I734" s="55">
        <f t="shared" si="1"/>
        <v>0</v>
      </c>
      <c r="J734" s="56">
        <f t="shared" si="2"/>
        <v>0</v>
      </c>
      <c r="K734" s="53" t="str">
        <f t="shared" si="3"/>
        <v>Paid</v>
      </c>
      <c r="L734" s="53" t="str">
        <f t="shared" si="4"/>
        <v>Closed</v>
      </c>
      <c r="M734" s="55" t="str">
        <f t="shared" si="5"/>
        <v>No</v>
      </c>
    </row>
    <row r="735" ht="15.75" customHeight="1">
      <c r="A735" s="25" t="s">
        <v>1946</v>
      </c>
      <c r="B735" s="25" t="s">
        <v>1050</v>
      </c>
      <c r="C735" s="25" t="s">
        <v>950</v>
      </c>
      <c r="D735" s="26">
        <v>46059.0</v>
      </c>
      <c r="E735" s="26">
        <v>46074.0</v>
      </c>
      <c r="F735" s="30">
        <v>62.39</v>
      </c>
      <c r="G735" s="26">
        <v>46119.0</v>
      </c>
      <c r="H735" s="30">
        <v>62.39</v>
      </c>
      <c r="I735" s="30">
        <f t="shared" si="1"/>
        <v>0</v>
      </c>
      <c r="J735" s="29">
        <f t="shared" si="2"/>
        <v>84</v>
      </c>
      <c r="K735" s="25" t="str">
        <f t="shared" si="3"/>
        <v>Paid</v>
      </c>
      <c r="L735" s="25" t="str">
        <f t="shared" si="4"/>
        <v>Closed</v>
      </c>
      <c r="M735" s="30" t="str">
        <f t="shared" si="5"/>
        <v>No</v>
      </c>
    </row>
    <row r="736" ht="15.75" customHeight="1">
      <c r="A736" s="53" t="s">
        <v>1947</v>
      </c>
      <c r="B736" s="53" t="s">
        <v>1051</v>
      </c>
      <c r="C736" s="53" t="s">
        <v>953</v>
      </c>
      <c r="D736" s="54">
        <v>46088.0</v>
      </c>
      <c r="E736" s="54">
        <v>46118.0</v>
      </c>
      <c r="F736" s="55">
        <v>137.88</v>
      </c>
      <c r="G736" s="54">
        <v>46160.0</v>
      </c>
      <c r="H736" s="55">
        <v>137.88</v>
      </c>
      <c r="I736" s="55">
        <f t="shared" si="1"/>
        <v>0</v>
      </c>
      <c r="J736" s="56">
        <f t="shared" si="2"/>
        <v>40</v>
      </c>
      <c r="K736" s="53" t="str">
        <f t="shared" si="3"/>
        <v>Paid</v>
      </c>
      <c r="L736" s="53" t="str">
        <f t="shared" si="4"/>
        <v>Closed</v>
      </c>
      <c r="M736" s="55" t="str">
        <f t="shared" si="5"/>
        <v>No</v>
      </c>
    </row>
    <row r="737" ht="15.75" customHeight="1">
      <c r="A737" s="25" t="s">
        <v>1948</v>
      </c>
      <c r="B737" s="25" t="s">
        <v>416</v>
      </c>
      <c r="C737" s="25" t="s">
        <v>310</v>
      </c>
      <c r="D737" s="26">
        <v>46099.0</v>
      </c>
      <c r="E737" s="26">
        <v>46129.0</v>
      </c>
      <c r="F737" s="30">
        <v>563.52</v>
      </c>
      <c r="G737" s="26">
        <v>46158.0</v>
      </c>
      <c r="H737" s="30">
        <v>563.52</v>
      </c>
      <c r="I737" s="30">
        <f t="shared" si="1"/>
        <v>0</v>
      </c>
      <c r="J737" s="29">
        <f t="shared" si="2"/>
        <v>29</v>
      </c>
      <c r="K737" s="25" t="str">
        <f t="shared" si="3"/>
        <v>Paid</v>
      </c>
      <c r="L737" s="25" t="str">
        <f t="shared" si="4"/>
        <v>Closed</v>
      </c>
      <c r="M737" s="30" t="str">
        <f t="shared" si="5"/>
        <v>No</v>
      </c>
    </row>
    <row r="738" ht="15.75" customHeight="1">
      <c r="A738" s="53" t="s">
        <v>1949</v>
      </c>
      <c r="B738" s="53" t="s">
        <v>264</v>
      </c>
      <c r="C738" s="53" t="s">
        <v>184</v>
      </c>
      <c r="D738" s="54">
        <v>46034.0</v>
      </c>
      <c r="E738" s="54">
        <v>46079.0</v>
      </c>
      <c r="F738" s="55">
        <v>70.08</v>
      </c>
      <c r="G738" s="54">
        <v>46083.0</v>
      </c>
      <c r="H738" s="55">
        <v>70.08</v>
      </c>
      <c r="I738" s="55">
        <f t="shared" si="1"/>
        <v>0</v>
      </c>
      <c r="J738" s="56">
        <f t="shared" si="2"/>
        <v>79</v>
      </c>
      <c r="K738" s="53" t="str">
        <f t="shared" si="3"/>
        <v>Paid</v>
      </c>
      <c r="L738" s="53" t="str">
        <f t="shared" si="4"/>
        <v>Closed</v>
      </c>
      <c r="M738" s="55" t="str">
        <f t="shared" si="5"/>
        <v>No</v>
      </c>
    </row>
    <row r="739" ht="15.75" customHeight="1">
      <c r="A739" s="25" t="s">
        <v>1950</v>
      </c>
      <c r="B739" s="25" t="s">
        <v>521</v>
      </c>
      <c r="C739" s="25" t="s">
        <v>446</v>
      </c>
      <c r="D739" s="26">
        <v>46136.0</v>
      </c>
      <c r="E739" s="26">
        <v>46151.0</v>
      </c>
      <c r="F739" s="30">
        <v>533.52</v>
      </c>
      <c r="G739" s="26">
        <v>46160.0</v>
      </c>
      <c r="H739" s="30">
        <v>533.52</v>
      </c>
      <c r="I739" s="30">
        <f t="shared" si="1"/>
        <v>0</v>
      </c>
      <c r="J739" s="29">
        <f t="shared" si="2"/>
        <v>7</v>
      </c>
      <c r="K739" s="25" t="str">
        <f t="shared" si="3"/>
        <v>Paid</v>
      </c>
      <c r="L739" s="25" t="str">
        <f t="shared" si="4"/>
        <v>Closed</v>
      </c>
      <c r="M739" s="30" t="str">
        <f t="shared" si="5"/>
        <v>No</v>
      </c>
    </row>
    <row r="740" ht="15.75" customHeight="1">
      <c r="A740" s="53" t="s">
        <v>1951</v>
      </c>
      <c r="B740" s="53" t="s">
        <v>1117</v>
      </c>
      <c r="C740" s="53" t="s">
        <v>1083</v>
      </c>
      <c r="D740" s="54">
        <v>46122.0</v>
      </c>
      <c r="E740" s="54">
        <v>46152.0</v>
      </c>
      <c r="F740" s="55">
        <v>811.44</v>
      </c>
      <c r="G740" s="54"/>
      <c r="H740" s="55">
        <v>0.0</v>
      </c>
      <c r="I740" s="55">
        <f t="shared" si="1"/>
        <v>811.44</v>
      </c>
      <c r="J740" s="56">
        <f t="shared" si="2"/>
        <v>6</v>
      </c>
      <c r="K740" s="53" t="str">
        <f t="shared" si="3"/>
        <v>0-30</v>
      </c>
      <c r="L740" s="53" t="str">
        <f t="shared" si="4"/>
        <v>Current</v>
      </c>
      <c r="M740" s="55" t="str">
        <f t="shared" si="5"/>
        <v>No</v>
      </c>
    </row>
    <row r="741" ht="15.75" customHeight="1">
      <c r="A741" s="25" t="s">
        <v>1952</v>
      </c>
      <c r="B741" s="25" t="s">
        <v>417</v>
      </c>
      <c r="C741" s="25" t="s">
        <v>295</v>
      </c>
      <c r="D741" s="26">
        <v>46028.0</v>
      </c>
      <c r="E741" s="26">
        <v>46058.0</v>
      </c>
      <c r="F741" s="30">
        <v>0.0</v>
      </c>
      <c r="G741" s="26"/>
      <c r="H741" s="30">
        <v>0.0</v>
      </c>
      <c r="I741" s="30">
        <f t="shared" si="1"/>
        <v>0</v>
      </c>
      <c r="J741" s="29">
        <f t="shared" si="2"/>
        <v>100</v>
      </c>
      <c r="K741" s="25" t="str">
        <f t="shared" si="3"/>
        <v>Paid</v>
      </c>
      <c r="L741" s="25" t="str">
        <f t="shared" si="4"/>
        <v>Closed</v>
      </c>
      <c r="M741" s="30" t="str">
        <f t="shared" si="5"/>
        <v>No</v>
      </c>
    </row>
    <row r="742" ht="15.75" customHeight="1">
      <c r="A742" s="53" t="s">
        <v>1953</v>
      </c>
      <c r="B742" s="53" t="s">
        <v>418</v>
      </c>
      <c r="C742" s="53" t="s">
        <v>314</v>
      </c>
      <c r="D742" s="54">
        <v>46127.0</v>
      </c>
      <c r="E742" s="54">
        <v>46157.0</v>
      </c>
      <c r="F742" s="55">
        <v>362.88</v>
      </c>
      <c r="G742" s="54"/>
      <c r="H742" s="55">
        <v>0.0</v>
      </c>
      <c r="I742" s="55">
        <f t="shared" si="1"/>
        <v>362.88</v>
      </c>
      <c r="J742" s="56">
        <f t="shared" si="2"/>
        <v>1</v>
      </c>
      <c r="K742" s="53" t="str">
        <f t="shared" si="3"/>
        <v>0-30</v>
      </c>
      <c r="L742" s="53" t="str">
        <f t="shared" si="4"/>
        <v>Current</v>
      </c>
      <c r="M742" s="55" t="str">
        <f t="shared" si="5"/>
        <v>No</v>
      </c>
    </row>
    <row r="743" ht="15.75" customHeight="1">
      <c r="A743" s="25" t="s">
        <v>1954</v>
      </c>
      <c r="B743" s="25" t="s">
        <v>830</v>
      </c>
      <c r="C743" s="25" t="s">
        <v>708</v>
      </c>
      <c r="D743" s="26">
        <v>46116.0</v>
      </c>
      <c r="E743" s="26">
        <v>46146.0</v>
      </c>
      <c r="F743" s="30">
        <v>133.92</v>
      </c>
      <c r="G743" s="26">
        <v>46177.0</v>
      </c>
      <c r="H743" s="30">
        <v>133.92</v>
      </c>
      <c r="I743" s="30">
        <f t="shared" si="1"/>
        <v>0</v>
      </c>
      <c r="J743" s="29">
        <f t="shared" si="2"/>
        <v>12</v>
      </c>
      <c r="K743" s="25" t="str">
        <f t="shared" si="3"/>
        <v>Paid</v>
      </c>
      <c r="L743" s="25" t="str">
        <f t="shared" si="4"/>
        <v>Closed</v>
      </c>
      <c r="M743" s="30" t="str">
        <f t="shared" si="5"/>
        <v>No</v>
      </c>
    </row>
    <row r="744" ht="15.75" customHeight="1">
      <c r="A744" s="53" t="s">
        <v>1955</v>
      </c>
      <c r="B744" s="53" t="s">
        <v>669</v>
      </c>
      <c r="C744" s="53" t="s">
        <v>588</v>
      </c>
      <c r="D744" s="54">
        <v>46044.0</v>
      </c>
      <c r="E744" s="54">
        <v>46074.0</v>
      </c>
      <c r="F744" s="55">
        <v>584.4</v>
      </c>
      <c r="G744" s="54">
        <v>46105.0</v>
      </c>
      <c r="H744" s="55">
        <v>584.4</v>
      </c>
      <c r="I744" s="55">
        <f t="shared" si="1"/>
        <v>0</v>
      </c>
      <c r="J744" s="56">
        <f t="shared" si="2"/>
        <v>84</v>
      </c>
      <c r="K744" s="53" t="str">
        <f t="shared" si="3"/>
        <v>Paid</v>
      </c>
      <c r="L744" s="53" t="str">
        <f t="shared" si="4"/>
        <v>Closed</v>
      </c>
      <c r="M744" s="55" t="str">
        <f t="shared" si="5"/>
        <v>No</v>
      </c>
    </row>
    <row r="745" ht="15.75" customHeight="1">
      <c r="A745" s="25" t="s">
        <v>1956</v>
      </c>
      <c r="B745" s="25" t="s">
        <v>670</v>
      </c>
      <c r="C745" s="25" t="s">
        <v>553</v>
      </c>
      <c r="D745" s="26">
        <v>46051.0</v>
      </c>
      <c r="E745" s="26">
        <v>46096.0</v>
      </c>
      <c r="F745" s="30">
        <v>133.92</v>
      </c>
      <c r="G745" s="26"/>
      <c r="H745" s="30">
        <v>0.0</v>
      </c>
      <c r="I745" s="30">
        <f t="shared" si="1"/>
        <v>133.92</v>
      </c>
      <c r="J745" s="29">
        <f t="shared" si="2"/>
        <v>62</v>
      </c>
      <c r="K745" s="25" t="str">
        <f t="shared" si="3"/>
        <v>61-90</v>
      </c>
      <c r="L745" s="25" t="str">
        <f t="shared" si="4"/>
        <v>Collections Review</v>
      </c>
      <c r="M745" s="30" t="str">
        <f t="shared" si="5"/>
        <v>Yes</v>
      </c>
    </row>
    <row r="746" ht="15.75" customHeight="1">
      <c r="A746" s="53" t="s">
        <v>1957</v>
      </c>
      <c r="B746" s="53" t="s">
        <v>1053</v>
      </c>
      <c r="C746" s="53" t="s">
        <v>965</v>
      </c>
      <c r="D746" s="54">
        <v>46071.0</v>
      </c>
      <c r="E746" s="54">
        <v>46086.0</v>
      </c>
      <c r="F746" s="55">
        <v>681.0</v>
      </c>
      <c r="G746" s="54"/>
      <c r="H746" s="55">
        <v>0.0</v>
      </c>
      <c r="I746" s="55">
        <f t="shared" si="1"/>
        <v>681</v>
      </c>
      <c r="J746" s="56">
        <f t="shared" si="2"/>
        <v>72</v>
      </c>
      <c r="K746" s="53" t="str">
        <f t="shared" si="3"/>
        <v>61-90</v>
      </c>
      <c r="L746" s="53" t="str">
        <f t="shared" si="4"/>
        <v>Collections Review</v>
      </c>
      <c r="M746" s="55" t="str">
        <f t="shared" si="5"/>
        <v>Yes</v>
      </c>
    </row>
    <row r="747" ht="15.75" customHeight="1">
      <c r="A747" s="25" t="s">
        <v>1958</v>
      </c>
      <c r="B747" s="25" t="s">
        <v>1187</v>
      </c>
      <c r="C747" s="25" t="s">
        <v>1133</v>
      </c>
      <c r="D747" s="26">
        <v>46102.0</v>
      </c>
      <c r="E747" s="26">
        <v>46132.0</v>
      </c>
      <c r="F747" s="30">
        <v>809.28</v>
      </c>
      <c r="G747" s="26">
        <v>46154.0</v>
      </c>
      <c r="H747" s="30">
        <v>809.28</v>
      </c>
      <c r="I747" s="30">
        <f t="shared" si="1"/>
        <v>0</v>
      </c>
      <c r="J747" s="29">
        <f t="shared" si="2"/>
        <v>26</v>
      </c>
      <c r="K747" s="25" t="str">
        <f t="shared" si="3"/>
        <v>Paid</v>
      </c>
      <c r="L747" s="25" t="str">
        <f t="shared" si="4"/>
        <v>Closed</v>
      </c>
      <c r="M747" s="30" t="str">
        <f t="shared" si="5"/>
        <v>No</v>
      </c>
    </row>
    <row r="748" ht="15.75" customHeight="1">
      <c r="A748" s="53" t="s">
        <v>1959</v>
      </c>
      <c r="B748" s="53" t="s">
        <v>1188</v>
      </c>
      <c r="C748" s="53" t="s">
        <v>1129</v>
      </c>
      <c r="D748" s="54">
        <v>46107.0</v>
      </c>
      <c r="E748" s="54">
        <v>46122.0</v>
      </c>
      <c r="F748" s="55">
        <v>207.72</v>
      </c>
      <c r="G748" s="54"/>
      <c r="H748" s="55">
        <v>0.0</v>
      </c>
      <c r="I748" s="55">
        <f t="shared" si="1"/>
        <v>207.72</v>
      </c>
      <c r="J748" s="56">
        <f t="shared" si="2"/>
        <v>36</v>
      </c>
      <c r="K748" s="53" t="str">
        <f t="shared" si="3"/>
        <v>31-60</v>
      </c>
      <c r="L748" s="53" t="str">
        <f t="shared" si="4"/>
        <v>Reminder Sent</v>
      </c>
      <c r="M748" s="55" t="str">
        <f t="shared" si="5"/>
        <v>No</v>
      </c>
    </row>
    <row r="749" ht="15.75" customHeight="1">
      <c r="A749" s="25" t="s">
        <v>1960</v>
      </c>
      <c r="B749" s="25" t="s">
        <v>1054</v>
      </c>
      <c r="C749" s="25" t="s">
        <v>999</v>
      </c>
      <c r="D749" s="26">
        <v>46141.0</v>
      </c>
      <c r="E749" s="26">
        <v>46171.0</v>
      </c>
      <c r="F749" s="30">
        <v>1112.4</v>
      </c>
      <c r="G749" s="26">
        <v>46199.0</v>
      </c>
      <c r="H749" s="30">
        <v>1112.4</v>
      </c>
      <c r="I749" s="30">
        <f t="shared" si="1"/>
        <v>0</v>
      </c>
      <c r="J749" s="29">
        <f t="shared" si="2"/>
        <v>0</v>
      </c>
      <c r="K749" s="25" t="str">
        <f t="shared" si="3"/>
        <v>Paid</v>
      </c>
      <c r="L749" s="25" t="str">
        <f t="shared" si="4"/>
        <v>Closed</v>
      </c>
      <c r="M749" s="30" t="str">
        <f t="shared" si="5"/>
        <v>No</v>
      </c>
    </row>
    <row r="750" ht="15.75" customHeight="1">
      <c r="A750" s="53" t="s">
        <v>1961</v>
      </c>
      <c r="B750" s="53" t="s">
        <v>1055</v>
      </c>
      <c r="C750" s="53" t="s">
        <v>961</v>
      </c>
      <c r="D750" s="54">
        <v>46154.0</v>
      </c>
      <c r="E750" s="54">
        <v>46184.0</v>
      </c>
      <c r="F750" s="55">
        <v>493.44</v>
      </c>
      <c r="G750" s="54"/>
      <c r="H750" s="55">
        <v>0.0</v>
      </c>
      <c r="I750" s="55">
        <f t="shared" si="1"/>
        <v>493.44</v>
      </c>
      <c r="J750" s="56">
        <f t="shared" si="2"/>
        <v>0</v>
      </c>
      <c r="K750" s="53" t="str">
        <f t="shared" si="3"/>
        <v>0-30</v>
      </c>
      <c r="L750" s="53" t="str">
        <f t="shared" si="4"/>
        <v>Current</v>
      </c>
      <c r="M750" s="55" t="str">
        <f t="shared" si="5"/>
        <v>No</v>
      </c>
    </row>
    <row r="751" ht="15.75" customHeight="1">
      <c r="A751" s="25" t="s">
        <v>1962</v>
      </c>
      <c r="B751" s="25" t="s">
        <v>1056</v>
      </c>
      <c r="C751" s="25" t="s">
        <v>999</v>
      </c>
      <c r="D751" s="26">
        <v>46122.0</v>
      </c>
      <c r="E751" s="26">
        <v>46137.0</v>
      </c>
      <c r="F751" s="30">
        <v>768.96</v>
      </c>
      <c r="G751" s="26">
        <v>46142.0</v>
      </c>
      <c r="H751" s="30">
        <v>768.96</v>
      </c>
      <c r="I751" s="30">
        <f t="shared" si="1"/>
        <v>0</v>
      </c>
      <c r="J751" s="29">
        <f t="shared" si="2"/>
        <v>21</v>
      </c>
      <c r="K751" s="25" t="str">
        <f t="shared" si="3"/>
        <v>Paid</v>
      </c>
      <c r="L751" s="25" t="str">
        <f t="shared" si="4"/>
        <v>Closed</v>
      </c>
      <c r="M751" s="30" t="str">
        <f t="shared" si="5"/>
        <v>No</v>
      </c>
    </row>
    <row r="752" ht="15.75" customHeight="1">
      <c r="A752" s="53" t="s">
        <v>1963</v>
      </c>
      <c r="B752" s="53" t="s">
        <v>419</v>
      </c>
      <c r="C752" s="53" t="s">
        <v>320</v>
      </c>
      <c r="D752" s="54">
        <v>46074.0</v>
      </c>
      <c r="E752" s="54">
        <v>46089.0</v>
      </c>
      <c r="F752" s="55">
        <v>67.5</v>
      </c>
      <c r="G752" s="54">
        <v>46121.0</v>
      </c>
      <c r="H752" s="55">
        <v>67.5</v>
      </c>
      <c r="I752" s="55">
        <f t="shared" si="1"/>
        <v>0</v>
      </c>
      <c r="J752" s="56">
        <f t="shared" si="2"/>
        <v>69</v>
      </c>
      <c r="K752" s="53" t="str">
        <f t="shared" si="3"/>
        <v>Paid</v>
      </c>
      <c r="L752" s="53" t="str">
        <f t="shared" si="4"/>
        <v>Closed</v>
      </c>
      <c r="M752" s="55" t="str">
        <f t="shared" si="5"/>
        <v>No</v>
      </c>
    </row>
    <row r="753" ht="15.75" customHeight="1">
      <c r="A753" s="25" t="s">
        <v>1964</v>
      </c>
      <c r="B753" s="25" t="s">
        <v>831</v>
      </c>
      <c r="C753" s="25" t="s">
        <v>698</v>
      </c>
      <c r="D753" s="26">
        <v>46036.0</v>
      </c>
      <c r="E753" s="26">
        <v>46066.0</v>
      </c>
      <c r="F753" s="30">
        <v>242.4</v>
      </c>
      <c r="G753" s="26">
        <v>46067.0</v>
      </c>
      <c r="H753" s="30">
        <v>217.83</v>
      </c>
      <c r="I753" s="30">
        <f t="shared" si="1"/>
        <v>24.57</v>
      </c>
      <c r="J753" s="29">
        <f t="shared" si="2"/>
        <v>92</v>
      </c>
      <c r="K753" s="25" t="str">
        <f t="shared" si="3"/>
        <v>90+</v>
      </c>
      <c r="L753" s="25" t="str">
        <f t="shared" si="4"/>
        <v>Escalate</v>
      </c>
      <c r="M753" s="30" t="str">
        <f t="shared" si="5"/>
        <v>Yes</v>
      </c>
    </row>
    <row r="754" ht="15.75" customHeight="1">
      <c r="A754" s="53" t="s">
        <v>1965</v>
      </c>
      <c r="B754" s="53" t="s">
        <v>671</v>
      </c>
      <c r="C754" s="53" t="s">
        <v>540</v>
      </c>
      <c r="D754" s="54">
        <v>46138.0</v>
      </c>
      <c r="E754" s="54">
        <v>46183.0</v>
      </c>
      <c r="F754" s="55">
        <v>1010.4</v>
      </c>
      <c r="G754" s="54"/>
      <c r="H754" s="55">
        <v>0.0</v>
      </c>
      <c r="I754" s="55">
        <f t="shared" si="1"/>
        <v>1010.4</v>
      </c>
      <c r="J754" s="56">
        <f t="shared" si="2"/>
        <v>0</v>
      </c>
      <c r="K754" s="53" t="str">
        <f t="shared" si="3"/>
        <v>0-30</v>
      </c>
      <c r="L754" s="53" t="str">
        <f t="shared" si="4"/>
        <v>Current</v>
      </c>
      <c r="M754" s="55" t="str">
        <f t="shared" si="5"/>
        <v>No</v>
      </c>
    </row>
    <row r="755" ht="15.75" customHeight="1">
      <c r="A755" s="25" t="s">
        <v>1966</v>
      </c>
      <c r="B755" s="25" t="s">
        <v>1189</v>
      </c>
      <c r="C755" s="25" t="s">
        <v>1124</v>
      </c>
      <c r="D755" s="26">
        <v>46101.0</v>
      </c>
      <c r="E755" s="26">
        <v>46131.0</v>
      </c>
      <c r="F755" s="30">
        <v>342.9</v>
      </c>
      <c r="G755" s="26"/>
      <c r="H755" s="30">
        <v>0.0</v>
      </c>
      <c r="I755" s="30">
        <f t="shared" si="1"/>
        <v>342.9</v>
      </c>
      <c r="J755" s="29">
        <f t="shared" si="2"/>
        <v>27</v>
      </c>
      <c r="K755" s="25" t="str">
        <f t="shared" si="3"/>
        <v>0-30</v>
      </c>
      <c r="L755" s="25" t="str">
        <f t="shared" si="4"/>
        <v>Current</v>
      </c>
      <c r="M755" s="30" t="str">
        <f t="shared" si="5"/>
        <v>No</v>
      </c>
    </row>
    <row r="756" ht="15.75" customHeight="1">
      <c r="A756" s="53" t="s">
        <v>1967</v>
      </c>
      <c r="B756" s="53" t="s">
        <v>832</v>
      </c>
      <c r="C756" s="53" t="s">
        <v>712</v>
      </c>
      <c r="D756" s="54">
        <v>46120.0</v>
      </c>
      <c r="E756" s="54">
        <v>46150.0</v>
      </c>
      <c r="F756" s="55">
        <v>352.32</v>
      </c>
      <c r="G756" s="54"/>
      <c r="H756" s="55">
        <v>0.0</v>
      </c>
      <c r="I756" s="55">
        <f t="shared" si="1"/>
        <v>352.32</v>
      </c>
      <c r="J756" s="56">
        <f t="shared" si="2"/>
        <v>8</v>
      </c>
      <c r="K756" s="53" t="str">
        <f t="shared" si="3"/>
        <v>0-30</v>
      </c>
      <c r="L756" s="53" t="str">
        <f t="shared" si="4"/>
        <v>Current</v>
      </c>
      <c r="M756" s="55" t="str">
        <f t="shared" si="5"/>
        <v>No</v>
      </c>
    </row>
    <row r="757" ht="15.75" customHeight="1">
      <c r="A757" s="25" t="s">
        <v>1968</v>
      </c>
      <c r="B757" s="25" t="s">
        <v>266</v>
      </c>
      <c r="C757" s="25" t="s">
        <v>170</v>
      </c>
      <c r="D757" s="26">
        <v>46114.0</v>
      </c>
      <c r="E757" s="26">
        <v>46144.0</v>
      </c>
      <c r="F757" s="30">
        <v>90.0</v>
      </c>
      <c r="G757" s="26">
        <v>46143.0</v>
      </c>
      <c r="H757" s="30">
        <v>90.0</v>
      </c>
      <c r="I757" s="30">
        <f t="shared" si="1"/>
        <v>0</v>
      </c>
      <c r="J757" s="29">
        <f t="shared" si="2"/>
        <v>14</v>
      </c>
      <c r="K757" s="25" t="str">
        <f t="shared" si="3"/>
        <v>Paid</v>
      </c>
      <c r="L757" s="25" t="str">
        <f t="shared" si="4"/>
        <v>Closed</v>
      </c>
      <c r="M757" s="30" t="str">
        <f t="shared" si="5"/>
        <v>No</v>
      </c>
    </row>
    <row r="758" ht="15.75" customHeight="1">
      <c r="A758" s="53" t="s">
        <v>1969</v>
      </c>
      <c r="B758" s="53" t="s">
        <v>522</v>
      </c>
      <c r="C758" s="53" t="s">
        <v>464</v>
      </c>
      <c r="D758" s="54">
        <v>46030.0</v>
      </c>
      <c r="E758" s="54">
        <v>46075.0</v>
      </c>
      <c r="F758" s="55">
        <v>1076.16</v>
      </c>
      <c r="G758" s="54"/>
      <c r="H758" s="55">
        <v>0.0</v>
      </c>
      <c r="I758" s="55">
        <f t="shared" si="1"/>
        <v>1076.16</v>
      </c>
      <c r="J758" s="56">
        <f t="shared" si="2"/>
        <v>83</v>
      </c>
      <c r="K758" s="53" t="str">
        <f t="shared" si="3"/>
        <v>61-90</v>
      </c>
      <c r="L758" s="53" t="str">
        <f t="shared" si="4"/>
        <v>Collections Review</v>
      </c>
      <c r="M758" s="55" t="str">
        <f t="shared" si="5"/>
        <v>Yes</v>
      </c>
    </row>
    <row r="759" ht="15.75" customHeight="1">
      <c r="A759" s="25" t="s">
        <v>1970</v>
      </c>
      <c r="B759" s="25" t="s">
        <v>833</v>
      </c>
      <c r="C759" s="25" t="s">
        <v>720</v>
      </c>
      <c r="D759" s="26">
        <v>46089.0</v>
      </c>
      <c r="E759" s="26">
        <v>46104.0</v>
      </c>
      <c r="F759" s="30">
        <v>1020.48</v>
      </c>
      <c r="G759" s="26"/>
      <c r="H759" s="30">
        <v>0.0</v>
      </c>
      <c r="I759" s="30">
        <f t="shared" si="1"/>
        <v>1020.48</v>
      </c>
      <c r="J759" s="29">
        <f t="shared" si="2"/>
        <v>54</v>
      </c>
      <c r="K759" s="25" t="str">
        <f t="shared" si="3"/>
        <v>31-60</v>
      </c>
      <c r="L759" s="25" t="str">
        <f t="shared" si="4"/>
        <v>Reminder Sent</v>
      </c>
      <c r="M759" s="30" t="str">
        <f t="shared" si="5"/>
        <v>No</v>
      </c>
    </row>
    <row r="760" ht="15.75" customHeight="1">
      <c r="A760" s="53" t="s">
        <v>1971</v>
      </c>
      <c r="B760" s="53" t="s">
        <v>673</v>
      </c>
      <c r="C760" s="53" t="s">
        <v>559</v>
      </c>
      <c r="D760" s="54">
        <v>46065.0</v>
      </c>
      <c r="E760" s="54">
        <v>46095.0</v>
      </c>
      <c r="F760" s="55">
        <v>1085.76</v>
      </c>
      <c r="G760" s="54">
        <v>46114.0</v>
      </c>
      <c r="H760" s="55">
        <v>1085.76</v>
      </c>
      <c r="I760" s="55">
        <f t="shared" si="1"/>
        <v>0</v>
      </c>
      <c r="J760" s="56">
        <f t="shared" si="2"/>
        <v>63</v>
      </c>
      <c r="K760" s="53" t="str">
        <f t="shared" si="3"/>
        <v>Paid</v>
      </c>
      <c r="L760" s="53" t="str">
        <f t="shared" si="4"/>
        <v>Closed</v>
      </c>
      <c r="M760" s="55" t="str">
        <f t="shared" si="5"/>
        <v>No</v>
      </c>
    </row>
    <row r="761" ht="15.75" customHeight="1">
      <c r="A761" s="25" t="s">
        <v>1972</v>
      </c>
      <c r="B761" s="25" t="s">
        <v>420</v>
      </c>
      <c r="C761" s="25" t="s">
        <v>330</v>
      </c>
      <c r="D761" s="26">
        <v>46107.0</v>
      </c>
      <c r="E761" s="26">
        <v>46122.0</v>
      </c>
      <c r="F761" s="30">
        <v>932.4</v>
      </c>
      <c r="G761" s="26">
        <v>46133.0</v>
      </c>
      <c r="H761" s="30">
        <v>932.4</v>
      </c>
      <c r="I761" s="30">
        <f t="shared" si="1"/>
        <v>0</v>
      </c>
      <c r="J761" s="29">
        <f t="shared" si="2"/>
        <v>36</v>
      </c>
      <c r="K761" s="25" t="str">
        <f t="shared" si="3"/>
        <v>Paid</v>
      </c>
      <c r="L761" s="25" t="str">
        <f t="shared" si="4"/>
        <v>Closed</v>
      </c>
      <c r="M761" s="30" t="str">
        <f t="shared" si="5"/>
        <v>No</v>
      </c>
    </row>
    <row r="762" ht="15.75" customHeight="1">
      <c r="A762" s="53" t="s">
        <v>1973</v>
      </c>
      <c r="B762" s="53" t="s">
        <v>674</v>
      </c>
      <c r="C762" s="53" t="s">
        <v>593</v>
      </c>
      <c r="D762" s="54">
        <v>46108.0</v>
      </c>
      <c r="E762" s="54">
        <v>46153.0</v>
      </c>
      <c r="F762" s="55">
        <v>259.92</v>
      </c>
      <c r="G762" s="54">
        <v>46197.0</v>
      </c>
      <c r="H762" s="55">
        <v>259.92</v>
      </c>
      <c r="I762" s="55">
        <f t="shared" si="1"/>
        <v>0</v>
      </c>
      <c r="J762" s="56">
        <f t="shared" si="2"/>
        <v>5</v>
      </c>
      <c r="K762" s="53" t="str">
        <f t="shared" si="3"/>
        <v>Paid</v>
      </c>
      <c r="L762" s="53" t="str">
        <f t="shared" si="4"/>
        <v>Closed</v>
      </c>
      <c r="M762" s="55" t="str">
        <f t="shared" si="5"/>
        <v>No</v>
      </c>
    </row>
    <row r="763" ht="15.75" customHeight="1">
      <c r="A763" s="25" t="s">
        <v>1974</v>
      </c>
      <c r="B763" s="25" t="s">
        <v>147</v>
      </c>
      <c r="C763" s="25" t="s">
        <v>80</v>
      </c>
      <c r="D763" s="26">
        <v>46078.0</v>
      </c>
      <c r="E763" s="26">
        <v>46123.0</v>
      </c>
      <c r="F763" s="30">
        <v>535.68</v>
      </c>
      <c r="G763" s="26"/>
      <c r="H763" s="30">
        <v>0.0</v>
      </c>
      <c r="I763" s="30">
        <f t="shared" si="1"/>
        <v>535.68</v>
      </c>
      <c r="J763" s="29">
        <f t="shared" si="2"/>
        <v>35</v>
      </c>
      <c r="K763" s="25" t="str">
        <f t="shared" si="3"/>
        <v>31-60</v>
      </c>
      <c r="L763" s="25" t="str">
        <f t="shared" si="4"/>
        <v>Reminder Sent</v>
      </c>
      <c r="M763" s="30" t="str">
        <f t="shared" si="5"/>
        <v>No</v>
      </c>
    </row>
    <row r="764" ht="15.75" customHeight="1">
      <c r="A764" s="53" t="s">
        <v>1975</v>
      </c>
      <c r="B764" s="53" t="s">
        <v>834</v>
      </c>
      <c r="C764" s="53" t="s">
        <v>702</v>
      </c>
      <c r="D764" s="54">
        <v>46121.0</v>
      </c>
      <c r="E764" s="54">
        <v>46151.0</v>
      </c>
      <c r="F764" s="55">
        <v>256.32</v>
      </c>
      <c r="G764" s="54">
        <v>46165.0</v>
      </c>
      <c r="H764" s="55">
        <v>256.32</v>
      </c>
      <c r="I764" s="55">
        <f t="shared" si="1"/>
        <v>0</v>
      </c>
      <c r="J764" s="56">
        <f t="shared" si="2"/>
        <v>7</v>
      </c>
      <c r="K764" s="53" t="str">
        <f t="shared" si="3"/>
        <v>Paid</v>
      </c>
      <c r="L764" s="53" t="str">
        <f t="shared" si="4"/>
        <v>Closed</v>
      </c>
      <c r="M764" s="55" t="str">
        <f t="shared" si="5"/>
        <v>No</v>
      </c>
    </row>
    <row r="765" ht="15.75" customHeight="1">
      <c r="A765" s="25" t="s">
        <v>1976</v>
      </c>
      <c r="B765" s="25" t="s">
        <v>935</v>
      </c>
      <c r="C765" s="25" t="s">
        <v>882</v>
      </c>
      <c r="D765" s="26">
        <v>46131.0</v>
      </c>
      <c r="E765" s="26">
        <v>46161.0</v>
      </c>
      <c r="F765" s="30">
        <v>188.28</v>
      </c>
      <c r="G765" s="26"/>
      <c r="H765" s="30">
        <v>0.0</v>
      </c>
      <c r="I765" s="30">
        <f t="shared" si="1"/>
        <v>188.28</v>
      </c>
      <c r="J765" s="29">
        <f t="shared" si="2"/>
        <v>0</v>
      </c>
      <c r="K765" s="25" t="str">
        <f t="shared" si="3"/>
        <v>0-30</v>
      </c>
      <c r="L765" s="25" t="str">
        <f t="shared" si="4"/>
        <v>Current</v>
      </c>
      <c r="M765" s="30" t="str">
        <f t="shared" si="5"/>
        <v>No</v>
      </c>
    </row>
    <row r="766" ht="15.75" customHeight="1">
      <c r="A766" s="53" t="s">
        <v>1977</v>
      </c>
      <c r="B766" s="53" t="s">
        <v>267</v>
      </c>
      <c r="C766" s="53" t="s">
        <v>168</v>
      </c>
      <c r="D766" s="54">
        <v>46145.0</v>
      </c>
      <c r="E766" s="54">
        <v>46190.0</v>
      </c>
      <c r="F766" s="55">
        <v>253.44</v>
      </c>
      <c r="G766" s="54"/>
      <c r="H766" s="55">
        <v>0.0</v>
      </c>
      <c r="I766" s="55">
        <f t="shared" si="1"/>
        <v>253.44</v>
      </c>
      <c r="J766" s="56">
        <f t="shared" si="2"/>
        <v>0</v>
      </c>
      <c r="K766" s="53" t="str">
        <f t="shared" si="3"/>
        <v>0-30</v>
      </c>
      <c r="L766" s="53" t="str">
        <f t="shared" si="4"/>
        <v>Current</v>
      </c>
      <c r="M766" s="55" t="str">
        <f t="shared" si="5"/>
        <v>No</v>
      </c>
    </row>
    <row r="767" ht="15.75" customHeight="1">
      <c r="A767" s="25" t="s">
        <v>1978</v>
      </c>
      <c r="B767" s="25" t="s">
        <v>1190</v>
      </c>
      <c r="C767" s="25" t="s">
        <v>1129</v>
      </c>
      <c r="D767" s="26">
        <v>46136.0</v>
      </c>
      <c r="E767" s="26">
        <v>46151.0</v>
      </c>
      <c r="F767" s="30">
        <v>717.84</v>
      </c>
      <c r="G767" s="26">
        <v>46168.0</v>
      </c>
      <c r="H767" s="30">
        <v>717.84</v>
      </c>
      <c r="I767" s="30">
        <f t="shared" si="1"/>
        <v>0</v>
      </c>
      <c r="J767" s="29">
        <f t="shared" si="2"/>
        <v>7</v>
      </c>
      <c r="K767" s="25" t="str">
        <f t="shared" si="3"/>
        <v>Paid</v>
      </c>
      <c r="L767" s="25" t="str">
        <f t="shared" si="4"/>
        <v>Closed</v>
      </c>
      <c r="M767" s="30" t="str">
        <f t="shared" si="5"/>
        <v>No</v>
      </c>
    </row>
    <row r="768" ht="15.75" customHeight="1">
      <c r="A768" s="53" t="s">
        <v>1979</v>
      </c>
      <c r="B768" s="53" t="s">
        <v>1191</v>
      </c>
      <c r="C768" s="53" t="s">
        <v>1126</v>
      </c>
      <c r="D768" s="54">
        <v>46082.0</v>
      </c>
      <c r="E768" s="54">
        <v>46097.0</v>
      </c>
      <c r="F768" s="55">
        <v>1300.8</v>
      </c>
      <c r="G768" s="54"/>
      <c r="H768" s="55">
        <v>0.0</v>
      </c>
      <c r="I768" s="55">
        <f t="shared" si="1"/>
        <v>1300.8</v>
      </c>
      <c r="J768" s="56">
        <f t="shared" si="2"/>
        <v>61</v>
      </c>
      <c r="K768" s="53" t="str">
        <f t="shared" si="3"/>
        <v>61-90</v>
      </c>
      <c r="L768" s="53" t="str">
        <f t="shared" si="4"/>
        <v>Collections Review</v>
      </c>
      <c r="M768" s="55" t="str">
        <f t="shared" si="5"/>
        <v>Yes</v>
      </c>
    </row>
    <row r="769" ht="15.75" customHeight="1">
      <c r="A769" s="25" t="s">
        <v>1980</v>
      </c>
      <c r="B769" s="25" t="s">
        <v>421</v>
      </c>
      <c r="C769" s="25" t="s">
        <v>291</v>
      </c>
      <c r="D769" s="26">
        <v>46156.0</v>
      </c>
      <c r="E769" s="26">
        <v>46186.0</v>
      </c>
      <c r="F769" s="30">
        <v>989.52</v>
      </c>
      <c r="G769" s="26">
        <v>46224.0</v>
      </c>
      <c r="H769" s="30">
        <v>989.52</v>
      </c>
      <c r="I769" s="30">
        <f t="shared" si="1"/>
        <v>0</v>
      </c>
      <c r="J769" s="29">
        <f t="shared" si="2"/>
        <v>0</v>
      </c>
      <c r="K769" s="25" t="str">
        <f t="shared" si="3"/>
        <v>Paid</v>
      </c>
      <c r="L769" s="25" t="str">
        <f t="shared" si="4"/>
        <v>Closed</v>
      </c>
      <c r="M769" s="30" t="str">
        <f t="shared" si="5"/>
        <v>No</v>
      </c>
    </row>
    <row r="770" ht="15.75" customHeight="1">
      <c r="A770" s="53" t="s">
        <v>1981</v>
      </c>
      <c r="B770" s="53" t="s">
        <v>422</v>
      </c>
      <c r="C770" s="53" t="s">
        <v>305</v>
      </c>
      <c r="D770" s="54">
        <v>46052.0</v>
      </c>
      <c r="E770" s="54">
        <v>46067.0</v>
      </c>
      <c r="F770" s="55">
        <v>720.0</v>
      </c>
      <c r="G770" s="54"/>
      <c r="H770" s="55">
        <v>0.0</v>
      </c>
      <c r="I770" s="55">
        <f t="shared" si="1"/>
        <v>720</v>
      </c>
      <c r="J770" s="56">
        <f t="shared" si="2"/>
        <v>91</v>
      </c>
      <c r="K770" s="53" t="str">
        <f t="shared" si="3"/>
        <v>90+</v>
      </c>
      <c r="L770" s="53" t="str">
        <f t="shared" si="4"/>
        <v>Escalate</v>
      </c>
      <c r="M770" s="55" t="str">
        <f t="shared" si="5"/>
        <v>Yes</v>
      </c>
    </row>
    <row r="771" ht="15.75" customHeight="1">
      <c r="A771" s="25" t="s">
        <v>1982</v>
      </c>
      <c r="B771" s="25" t="s">
        <v>1192</v>
      </c>
      <c r="C771" s="25" t="s">
        <v>1136</v>
      </c>
      <c r="D771" s="26">
        <v>46140.0</v>
      </c>
      <c r="E771" s="26">
        <v>46170.0</v>
      </c>
      <c r="F771" s="30">
        <v>707.76</v>
      </c>
      <c r="G771" s="26">
        <v>46201.0</v>
      </c>
      <c r="H771" s="30">
        <v>707.76</v>
      </c>
      <c r="I771" s="30">
        <f t="shared" si="1"/>
        <v>0</v>
      </c>
      <c r="J771" s="29">
        <f t="shared" si="2"/>
        <v>0</v>
      </c>
      <c r="K771" s="25" t="str">
        <f t="shared" si="3"/>
        <v>Paid</v>
      </c>
      <c r="L771" s="25" t="str">
        <f t="shared" si="4"/>
        <v>Closed</v>
      </c>
      <c r="M771" s="30" t="str">
        <f t="shared" si="5"/>
        <v>No</v>
      </c>
    </row>
    <row r="772" ht="15.75" customHeight="1">
      <c r="A772" s="53" t="s">
        <v>1983</v>
      </c>
      <c r="B772" s="53" t="s">
        <v>148</v>
      </c>
      <c r="C772" s="53" t="s">
        <v>80</v>
      </c>
      <c r="D772" s="54">
        <v>46054.0</v>
      </c>
      <c r="E772" s="54">
        <v>46084.0</v>
      </c>
      <c r="F772" s="55">
        <v>97.06</v>
      </c>
      <c r="G772" s="54">
        <v>46083.0</v>
      </c>
      <c r="H772" s="55">
        <v>97.06</v>
      </c>
      <c r="I772" s="55">
        <f t="shared" si="1"/>
        <v>0</v>
      </c>
      <c r="J772" s="56">
        <f t="shared" si="2"/>
        <v>74</v>
      </c>
      <c r="K772" s="53" t="str">
        <f t="shared" si="3"/>
        <v>Paid</v>
      </c>
      <c r="L772" s="53" t="str">
        <f t="shared" si="4"/>
        <v>Closed</v>
      </c>
      <c r="M772" s="55" t="str">
        <f t="shared" si="5"/>
        <v>No</v>
      </c>
    </row>
    <row r="773" ht="15.75" customHeight="1">
      <c r="A773" s="25" t="s">
        <v>1984</v>
      </c>
      <c r="B773" s="25" t="s">
        <v>1057</v>
      </c>
      <c r="C773" s="25" t="s">
        <v>968</v>
      </c>
      <c r="D773" s="26">
        <v>46078.0</v>
      </c>
      <c r="E773" s="26">
        <v>46108.0</v>
      </c>
      <c r="F773" s="30">
        <v>465.25</v>
      </c>
      <c r="G773" s="26"/>
      <c r="H773" s="30">
        <v>0.0</v>
      </c>
      <c r="I773" s="30">
        <f t="shared" si="1"/>
        <v>465.25</v>
      </c>
      <c r="J773" s="29">
        <f t="shared" si="2"/>
        <v>50</v>
      </c>
      <c r="K773" s="25" t="str">
        <f t="shared" si="3"/>
        <v>31-60</v>
      </c>
      <c r="L773" s="25" t="str">
        <f t="shared" si="4"/>
        <v>Reminder Sent</v>
      </c>
      <c r="M773" s="30" t="str">
        <f t="shared" si="5"/>
        <v>No</v>
      </c>
    </row>
    <row r="774" ht="15.75" customHeight="1">
      <c r="A774" s="53" t="s">
        <v>1985</v>
      </c>
      <c r="B774" s="53" t="s">
        <v>149</v>
      </c>
      <c r="C774" s="53" t="s">
        <v>73</v>
      </c>
      <c r="D774" s="54">
        <v>46058.0</v>
      </c>
      <c r="E774" s="54">
        <v>46088.0</v>
      </c>
      <c r="F774" s="55">
        <v>793.8</v>
      </c>
      <c r="G774" s="54">
        <v>46085.0</v>
      </c>
      <c r="H774" s="55">
        <v>793.8</v>
      </c>
      <c r="I774" s="55">
        <f t="shared" si="1"/>
        <v>0</v>
      </c>
      <c r="J774" s="56">
        <f t="shared" si="2"/>
        <v>70</v>
      </c>
      <c r="K774" s="53" t="str">
        <f t="shared" si="3"/>
        <v>Paid</v>
      </c>
      <c r="L774" s="53" t="str">
        <f t="shared" si="4"/>
        <v>Closed</v>
      </c>
      <c r="M774" s="55" t="str">
        <f t="shared" si="5"/>
        <v>No</v>
      </c>
    </row>
    <row r="775" ht="15.75" customHeight="1">
      <c r="A775" s="25" t="s">
        <v>1986</v>
      </c>
      <c r="B775" s="25" t="s">
        <v>523</v>
      </c>
      <c r="C775" s="25" t="s">
        <v>469</v>
      </c>
      <c r="D775" s="26">
        <v>46080.0</v>
      </c>
      <c r="E775" s="26">
        <v>46110.0</v>
      </c>
      <c r="F775" s="30">
        <v>61.98</v>
      </c>
      <c r="G775" s="26">
        <v>46148.0</v>
      </c>
      <c r="H775" s="30">
        <v>61.98</v>
      </c>
      <c r="I775" s="30">
        <f t="shared" si="1"/>
        <v>0</v>
      </c>
      <c r="J775" s="29">
        <f t="shared" si="2"/>
        <v>48</v>
      </c>
      <c r="K775" s="25" t="str">
        <f t="shared" si="3"/>
        <v>Paid</v>
      </c>
      <c r="L775" s="25" t="str">
        <f t="shared" si="4"/>
        <v>Closed</v>
      </c>
      <c r="M775" s="30" t="str">
        <f t="shared" si="5"/>
        <v>No</v>
      </c>
    </row>
    <row r="776" ht="15.75" customHeight="1">
      <c r="A776" s="53" t="s">
        <v>1987</v>
      </c>
      <c r="B776" s="53" t="s">
        <v>268</v>
      </c>
      <c r="C776" s="53" t="s">
        <v>226</v>
      </c>
      <c r="D776" s="54">
        <v>46074.0</v>
      </c>
      <c r="E776" s="54">
        <v>46119.0</v>
      </c>
      <c r="F776" s="55">
        <v>662.4</v>
      </c>
      <c r="G776" s="54">
        <v>46145.0</v>
      </c>
      <c r="H776" s="55">
        <v>662.4</v>
      </c>
      <c r="I776" s="55">
        <f t="shared" si="1"/>
        <v>0</v>
      </c>
      <c r="J776" s="56">
        <f t="shared" si="2"/>
        <v>39</v>
      </c>
      <c r="K776" s="53" t="str">
        <f t="shared" si="3"/>
        <v>Paid</v>
      </c>
      <c r="L776" s="53" t="str">
        <f t="shared" si="4"/>
        <v>Closed</v>
      </c>
      <c r="M776" s="55" t="str">
        <f t="shared" si="5"/>
        <v>No</v>
      </c>
    </row>
    <row r="777" ht="15.75" customHeight="1">
      <c r="A777" s="25" t="s">
        <v>1988</v>
      </c>
      <c r="B777" s="25" t="s">
        <v>150</v>
      </c>
      <c r="C777" s="25" t="s">
        <v>77</v>
      </c>
      <c r="D777" s="26">
        <v>46081.0</v>
      </c>
      <c r="E777" s="26">
        <v>46111.0</v>
      </c>
      <c r="F777" s="30">
        <v>410.4</v>
      </c>
      <c r="G777" s="26">
        <v>46123.0</v>
      </c>
      <c r="H777" s="30">
        <v>410.4</v>
      </c>
      <c r="I777" s="30">
        <f t="shared" si="1"/>
        <v>0</v>
      </c>
      <c r="J777" s="29">
        <f t="shared" si="2"/>
        <v>47</v>
      </c>
      <c r="K777" s="25" t="str">
        <f t="shared" si="3"/>
        <v>Paid</v>
      </c>
      <c r="L777" s="25" t="str">
        <f t="shared" si="4"/>
        <v>Closed</v>
      </c>
      <c r="M777" s="30" t="str">
        <f t="shared" si="5"/>
        <v>No</v>
      </c>
    </row>
    <row r="778" ht="15.75" customHeight="1">
      <c r="A778" s="53" t="s">
        <v>1989</v>
      </c>
      <c r="B778" s="53" t="s">
        <v>524</v>
      </c>
      <c r="C778" s="53" t="s">
        <v>457</v>
      </c>
      <c r="D778" s="54">
        <v>46146.0</v>
      </c>
      <c r="E778" s="54">
        <v>46191.0</v>
      </c>
      <c r="F778" s="55">
        <v>120.84</v>
      </c>
      <c r="G778" s="54">
        <v>46214.0</v>
      </c>
      <c r="H778" s="55">
        <v>120.84</v>
      </c>
      <c r="I778" s="55">
        <f t="shared" si="1"/>
        <v>0</v>
      </c>
      <c r="J778" s="56">
        <f t="shared" si="2"/>
        <v>0</v>
      </c>
      <c r="K778" s="53" t="str">
        <f t="shared" si="3"/>
        <v>Paid</v>
      </c>
      <c r="L778" s="53" t="str">
        <f t="shared" si="4"/>
        <v>Closed</v>
      </c>
      <c r="M778" s="55" t="str">
        <f t="shared" si="5"/>
        <v>No</v>
      </c>
    </row>
    <row r="779" ht="15.75" customHeight="1">
      <c r="A779" s="25" t="s">
        <v>1990</v>
      </c>
      <c r="B779" s="25" t="s">
        <v>835</v>
      </c>
      <c r="C779" s="25" t="s">
        <v>712</v>
      </c>
      <c r="D779" s="26">
        <v>46041.0</v>
      </c>
      <c r="E779" s="26">
        <v>46071.0</v>
      </c>
      <c r="F779" s="30">
        <v>409.92</v>
      </c>
      <c r="G779" s="26">
        <v>46106.0</v>
      </c>
      <c r="H779" s="30">
        <v>409.92</v>
      </c>
      <c r="I779" s="30">
        <f t="shared" si="1"/>
        <v>0</v>
      </c>
      <c r="J779" s="29">
        <f t="shared" si="2"/>
        <v>87</v>
      </c>
      <c r="K779" s="25" t="str">
        <f t="shared" si="3"/>
        <v>Paid</v>
      </c>
      <c r="L779" s="25" t="str">
        <f t="shared" si="4"/>
        <v>Closed</v>
      </c>
      <c r="M779" s="30" t="str">
        <f t="shared" si="5"/>
        <v>No</v>
      </c>
    </row>
    <row r="780" ht="15.75" customHeight="1">
      <c r="A780" s="53" t="s">
        <v>1991</v>
      </c>
      <c r="B780" s="53" t="s">
        <v>269</v>
      </c>
      <c r="C780" s="53" t="s">
        <v>181</v>
      </c>
      <c r="D780" s="54">
        <v>46049.0</v>
      </c>
      <c r="E780" s="54">
        <v>46064.0</v>
      </c>
      <c r="F780" s="55">
        <v>1187.52</v>
      </c>
      <c r="G780" s="54">
        <v>46105.0</v>
      </c>
      <c r="H780" s="55">
        <v>1187.52</v>
      </c>
      <c r="I780" s="55">
        <f t="shared" si="1"/>
        <v>0</v>
      </c>
      <c r="J780" s="56">
        <f t="shared" si="2"/>
        <v>94</v>
      </c>
      <c r="K780" s="53" t="str">
        <f t="shared" si="3"/>
        <v>Paid</v>
      </c>
      <c r="L780" s="53" t="str">
        <f t="shared" si="4"/>
        <v>Closed</v>
      </c>
      <c r="M780" s="55" t="str">
        <f t="shared" si="5"/>
        <v>No</v>
      </c>
    </row>
    <row r="781" ht="15.75" customHeight="1">
      <c r="A781" s="25" t="s">
        <v>1992</v>
      </c>
      <c r="B781" s="25" t="s">
        <v>675</v>
      </c>
      <c r="C781" s="25" t="s">
        <v>570</v>
      </c>
      <c r="D781" s="26">
        <v>46130.0</v>
      </c>
      <c r="E781" s="26">
        <v>46160.0</v>
      </c>
      <c r="F781" s="30">
        <v>488.04</v>
      </c>
      <c r="G781" s="26"/>
      <c r="H781" s="30">
        <v>0.0</v>
      </c>
      <c r="I781" s="30">
        <f t="shared" si="1"/>
        <v>488.04</v>
      </c>
      <c r="J781" s="29">
        <f t="shared" si="2"/>
        <v>0</v>
      </c>
      <c r="K781" s="25" t="str">
        <f t="shared" si="3"/>
        <v>0-30</v>
      </c>
      <c r="L781" s="25" t="str">
        <f t="shared" si="4"/>
        <v>Current</v>
      </c>
      <c r="M781" s="30" t="str">
        <f t="shared" si="5"/>
        <v>No</v>
      </c>
    </row>
    <row r="782" ht="15.75" customHeight="1">
      <c r="A782" s="53" t="s">
        <v>1993</v>
      </c>
      <c r="B782" s="53" t="s">
        <v>270</v>
      </c>
      <c r="C782" s="53" t="s">
        <v>184</v>
      </c>
      <c r="D782" s="54">
        <v>46130.0</v>
      </c>
      <c r="E782" s="54">
        <v>46145.0</v>
      </c>
      <c r="F782" s="55">
        <v>0.0</v>
      </c>
      <c r="G782" s="54"/>
      <c r="H782" s="55">
        <v>0.0</v>
      </c>
      <c r="I782" s="55">
        <f t="shared" si="1"/>
        <v>0</v>
      </c>
      <c r="J782" s="56">
        <f t="shared" si="2"/>
        <v>13</v>
      </c>
      <c r="K782" s="53" t="str">
        <f t="shared" si="3"/>
        <v>Paid</v>
      </c>
      <c r="L782" s="53" t="str">
        <f t="shared" si="4"/>
        <v>Closed</v>
      </c>
      <c r="M782" s="55" t="str">
        <f t="shared" si="5"/>
        <v>No</v>
      </c>
    </row>
    <row r="783" ht="15.75" customHeight="1">
      <c r="A783" s="25" t="s">
        <v>1994</v>
      </c>
      <c r="B783" s="25" t="s">
        <v>423</v>
      </c>
      <c r="C783" s="25" t="s">
        <v>310</v>
      </c>
      <c r="D783" s="26">
        <v>46129.0</v>
      </c>
      <c r="E783" s="26">
        <v>46159.0</v>
      </c>
      <c r="F783" s="30">
        <v>454.2</v>
      </c>
      <c r="G783" s="26">
        <v>46197.0</v>
      </c>
      <c r="H783" s="30">
        <v>454.2</v>
      </c>
      <c r="I783" s="30">
        <f t="shared" si="1"/>
        <v>0</v>
      </c>
      <c r="J783" s="29">
        <f t="shared" si="2"/>
        <v>0</v>
      </c>
      <c r="K783" s="25" t="str">
        <f t="shared" si="3"/>
        <v>Paid</v>
      </c>
      <c r="L783" s="25" t="str">
        <f t="shared" si="4"/>
        <v>Closed</v>
      </c>
      <c r="M783" s="30" t="str">
        <f t="shared" si="5"/>
        <v>No</v>
      </c>
    </row>
    <row r="784" ht="15.75" customHeight="1">
      <c r="A784" s="53" t="s">
        <v>1995</v>
      </c>
      <c r="B784" s="53" t="s">
        <v>836</v>
      </c>
      <c r="C784" s="53" t="s">
        <v>714</v>
      </c>
      <c r="D784" s="54">
        <v>46051.0</v>
      </c>
      <c r="E784" s="54">
        <v>46066.0</v>
      </c>
      <c r="F784" s="55">
        <v>638.4</v>
      </c>
      <c r="G784" s="54"/>
      <c r="H784" s="55">
        <v>0.0</v>
      </c>
      <c r="I784" s="55">
        <f t="shared" si="1"/>
        <v>638.4</v>
      </c>
      <c r="J784" s="56">
        <f t="shared" si="2"/>
        <v>92</v>
      </c>
      <c r="K784" s="53" t="str">
        <f t="shared" si="3"/>
        <v>90+</v>
      </c>
      <c r="L784" s="53" t="str">
        <f t="shared" si="4"/>
        <v>Escalate</v>
      </c>
      <c r="M784" s="55" t="str">
        <f t="shared" si="5"/>
        <v>Yes</v>
      </c>
    </row>
    <row r="785" ht="15.75" customHeight="1">
      <c r="A785" s="25" t="s">
        <v>1996</v>
      </c>
      <c r="B785" s="25" t="s">
        <v>936</v>
      </c>
      <c r="C785" s="25" t="s">
        <v>864</v>
      </c>
      <c r="D785" s="26">
        <v>46097.0</v>
      </c>
      <c r="E785" s="26">
        <v>46127.0</v>
      </c>
      <c r="F785" s="30">
        <v>1280.4</v>
      </c>
      <c r="G785" s="26">
        <v>46131.0</v>
      </c>
      <c r="H785" s="30">
        <v>1280.4</v>
      </c>
      <c r="I785" s="30">
        <f t="shared" si="1"/>
        <v>0</v>
      </c>
      <c r="J785" s="29">
        <f t="shared" si="2"/>
        <v>31</v>
      </c>
      <c r="K785" s="25" t="str">
        <f t="shared" si="3"/>
        <v>Paid</v>
      </c>
      <c r="L785" s="25" t="str">
        <f t="shared" si="4"/>
        <v>Closed</v>
      </c>
      <c r="M785" s="30" t="str">
        <f t="shared" si="5"/>
        <v>No</v>
      </c>
    </row>
    <row r="786" ht="15.75" customHeight="1">
      <c r="A786" s="53" t="s">
        <v>1997</v>
      </c>
      <c r="B786" s="53" t="s">
        <v>676</v>
      </c>
      <c r="C786" s="53" t="s">
        <v>570</v>
      </c>
      <c r="D786" s="54">
        <v>46107.0</v>
      </c>
      <c r="E786" s="54">
        <v>46152.0</v>
      </c>
      <c r="F786" s="55">
        <v>63.84</v>
      </c>
      <c r="G786" s="54"/>
      <c r="H786" s="55">
        <v>0.0</v>
      </c>
      <c r="I786" s="55">
        <f t="shared" si="1"/>
        <v>63.84</v>
      </c>
      <c r="J786" s="56">
        <f t="shared" si="2"/>
        <v>6</v>
      </c>
      <c r="K786" s="53" t="str">
        <f t="shared" si="3"/>
        <v>0-30</v>
      </c>
      <c r="L786" s="53" t="str">
        <f t="shared" si="4"/>
        <v>Current</v>
      </c>
      <c r="M786" s="55" t="str">
        <f t="shared" si="5"/>
        <v>No</v>
      </c>
    </row>
    <row r="787" ht="15.75" customHeight="1">
      <c r="A787" s="25" t="s">
        <v>1998</v>
      </c>
      <c r="B787" s="25" t="s">
        <v>271</v>
      </c>
      <c r="C787" s="25" t="s">
        <v>195</v>
      </c>
      <c r="D787" s="26">
        <v>46108.0</v>
      </c>
      <c r="E787" s="26">
        <v>46138.0</v>
      </c>
      <c r="F787" s="30">
        <v>407.52</v>
      </c>
      <c r="G787" s="26"/>
      <c r="H787" s="30">
        <v>0.0</v>
      </c>
      <c r="I787" s="30">
        <f t="shared" si="1"/>
        <v>407.52</v>
      </c>
      <c r="J787" s="29">
        <f t="shared" si="2"/>
        <v>20</v>
      </c>
      <c r="K787" s="25" t="str">
        <f t="shared" si="3"/>
        <v>0-30</v>
      </c>
      <c r="L787" s="25" t="str">
        <f t="shared" si="4"/>
        <v>Current</v>
      </c>
      <c r="M787" s="30" t="str">
        <f t="shared" si="5"/>
        <v>No</v>
      </c>
    </row>
    <row r="788" ht="15.75" customHeight="1">
      <c r="A788" s="53" t="s">
        <v>1999</v>
      </c>
      <c r="B788" s="53" t="s">
        <v>424</v>
      </c>
      <c r="C788" s="53" t="s">
        <v>326</v>
      </c>
      <c r="D788" s="54">
        <v>46081.0</v>
      </c>
      <c r="E788" s="54">
        <v>46126.0</v>
      </c>
      <c r="F788" s="55">
        <v>1003.2</v>
      </c>
      <c r="G788" s="54"/>
      <c r="H788" s="55">
        <v>0.0</v>
      </c>
      <c r="I788" s="55">
        <f t="shared" si="1"/>
        <v>1003.2</v>
      </c>
      <c r="J788" s="56">
        <f t="shared" si="2"/>
        <v>32</v>
      </c>
      <c r="K788" s="53" t="str">
        <f t="shared" si="3"/>
        <v>31-60</v>
      </c>
      <c r="L788" s="53" t="str">
        <f t="shared" si="4"/>
        <v>Reminder Sent</v>
      </c>
      <c r="M788" s="55" t="str">
        <f t="shared" si="5"/>
        <v>No</v>
      </c>
    </row>
    <row r="789" ht="15.75" customHeight="1">
      <c r="A789" s="25" t="s">
        <v>2000</v>
      </c>
      <c r="B789" s="25" t="s">
        <v>151</v>
      </c>
      <c r="C789" s="25" t="s">
        <v>70</v>
      </c>
      <c r="D789" s="26">
        <v>46031.0</v>
      </c>
      <c r="E789" s="26">
        <v>46061.0</v>
      </c>
      <c r="F789" s="30">
        <v>126.9</v>
      </c>
      <c r="G789" s="26">
        <v>46076.0</v>
      </c>
      <c r="H789" s="30">
        <v>126.9</v>
      </c>
      <c r="I789" s="30">
        <f t="shared" si="1"/>
        <v>0</v>
      </c>
      <c r="J789" s="29">
        <f t="shared" si="2"/>
        <v>97</v>
      </c>
      <c r="K789" s="25" t="str">
        <f t="shared" si="3"/>
        <v>Paid</v>
      </c>
      <c r="L789" s="25" t="str">
        <f t="shared" si="4"/>
        <v>Closed</v>
      </c>
      <c r="M789" s="30" t="str">
        <f t="shared" si="5"/>
        <v>No</v>
      </c>
    </row>
    <row r="790" ht="15.75" customHeight="1">
      <c r="A790" s="53" t="s">
        <v>2001</v>
      </c>
      <c r="B790" s="53" t="s">
        <v>837</v>
      </c>
      <c r="C790" s="53" t="s">
        <v>710</v>
      </c>
      <c r="D790" s="54">
        <v>46042.0</v>
      </c>
      <c r="E790" s="54">
        <v>46057.0</v>
      </c>
      <c r="F790" s="55">
        <v>415.44</v>
      </c>
      <c r="G790" s="54">
        <v>46078.0</v>
      </c>
      <c r="H790" s="55">
        <v>415.44</v>
      </c>
      <c r="I790" s="55">
        <f t="shared" si="1"/>
        <v>0</v>
      </c>
      <c r="J790" s="56">
        <f t="shared" si="2"/>
        <v>101</v>
      </c>
      <c r="K790" s="53" t="str">
        <f t="shared" si="3"/>
        <v>Paid</v>
      </c>
      <c r="L790" s="53" t="str">
        <f t="shared" si="4"/>
        <v>Closed</v>
      </c>
      <c r="M790" s="55" t="str">
        <f t="shared" si="5"/>
        <v>No</v>
      </c>
    </row>
    <row r="791" ht="15.75" customHeight="1">
      <c r="A791" s="25" t="s">
        <v>2002</v>
      </c>
      <c r="B791" s="25" t="s">
        <v>425</v>
      </c>
      <c r="C791" s="25" t="s">
        <v>305</v>
      </c>
      <c r="D791" s="26">
        <v>46080.0</v>
      </c>
      <c r="E791" s="26">
        <v>46095.0</v>
      </c>
      <c r="F791" s="30">
        <v>456.0</v>
      </c>
      <c r="G791" s="26"/>
      <c r="H791" s="30">
        <v>0.0</v>
      </c>
      <c r="I791" s="30">
        <f t="shared" si="1"/>
        <v>456</v>
      </c>
      <c r="J791" s="29">
        <f t="shared" si="2"/>
        <v>63</v>
      </c>
      <c r="K791" s="25" t="str">
        <f t="shared" si="3"/>
        <v>61-90</v>
      </c>
      <c r="L791" s="25" t="str">
        <f t="shared" si="4"/>
        <v>Collections Review</v>
      </c>
      <c r="M791" s="30" t="str">
        <f t="shared" si="5"/>
        <v>Yes</v>
      </c>
    </row>
    <row r="792" ht="15.75" customHeight="1">
      <c r="A792" s="53" t="s">
        <v>2003</v>
      </c>
      <c r="B792" s="53" t="s">
        <v>426</v>
      </c>
      <c r="C792" s="53" t="s">
        <v>303</v>
      </c>
      <c r="D792" s="54">
        <v>46052.0</v>
      </c>
      <c r="E792" s="54">
        <v>46067.0</v>
      </c>
      <c r="F792" s="55">
        <v>730.56</v>
      </c>
      <c r="G792" s="54"/>
      <c r="H792" s="55">
        <v>0.0</v>
      </c>
      <c r="I792" s="55">
        <f t="shared" si="1"/>
        <v>730.56</v>
      </c>
      <c r="J792" s="56">
        <f t="shared" si="2"/>
        <v>91</v>
      </c>
      <c r="K792" s="53" t="str">
        <f t="shared" si="3"/>
        <v>90+</v>
      </c>
      <c r="L792" s="53" t="str">
        <f t="shared" si="4"/>
        <v>Escalate</v>
      </c>
      <c r="M792" s="55" t="str">
        <f t="shared" si="5"/>
        <v>Yes</v>
      </c>
    </row>
    <row r="793" ht="15.75" customHeight="1">
      <c r="A793" s="25" t="s">
        <v>2004</v>
      </c>
      <c r="B793" s="25" t="s">
        <v>677</v>
      </c>
      <c r="C793" s="25" t="s">
        <v>566</v>
      </c>
      <c r="D793" s="26">
        <v>46035.0</v>
      </c>
      <c r="E793" s="26">
        <v>46080.0</v>
      </c>
      <c r="F793" s="30">
        <v>563.52</v>
      </c>
      <c r="G793" s="26">
        <v>46110.0</v>
      </c>
      <c r="H793" s="30">
        <v>563.52</v>
      </c>
      <c r="I793" s="30">
        <f t="shared" si="1"/>
        <v>0</v>
      </c>
      <c r="J793" s="29">
        <f t="shared" si="2"/>
        <v>78</v>
      </c>
      <c r="K793" s="25" t="str">
        <f t="shared" si="3"/>
        <v>Paid</v>
      </c>
      <c r="L793" s="25" t="str">
        <f t="shared" si="4"/>
        <v>Closed</v>
      </c>
      <c r="M793" s="30" t="str">
        <f t="shared" si="5"/>
        <v>No</v>
      </c>
    </row>
    <row r="794" ht="15.75" customHeight="1">
      <c r="A794" s="53" t="s">
        <v>2005</v>
      </c>
      <c r="B794" s="53" t="s">
        <v>427</v>
      </c>
      <c r="C794" s="53" t="s">
        <v>312</v>
      </c>
      <c r="D794" s="54">
        <v>46130.0</v>
      </c>
      <c r="E794" s="54">
        <v>46160.0</v>
      </c>
      <c r="F794" s="55">
        <v>120.6</v>
      </c>
      <c r="G794" s="54">
        <v>46192.0</v>
      </c>
      <c r="H794" s="55">
        <v>120.6</v>
      </c>
      <c r="I794" s="55">
        <f t="shared" si="1"/>
        <v>0</v>
      </c>
      <c r="J794" s="56">
        <f t="shared" si="2"/>
        <v>0</v>
      </c>
      <c r="K794" s="53" t="str">
        <f t="shared" si="3"/>
        <v>Paid</v>
      </c>
      <c r="L794" s="53" t="str">
        <f t="shared" si="4"/>
        <v>Closed</v>
      </c>
      <c r="M794" s="55" t="str">
        <f t="shared" si="5"/>
        <v>No</v>
      </c>
    </row>
    <row r="795" ht="15.75" customHeight="1">
      <c r="A795" s="25" t="s">
        <v>2006</v>
      </c>
      <c r="B795" s="25" t="s">
        <v>838</v>
      </c>
      <c r="C795" s="25" t="s">
        <v>717</v>
      </c>
      <c r="D795" s="26">
        <v>46077.0</v>
      </c>
      <c r="E795" s="26">
        <v>46122.0</v>
      </c>
      <c r="F795" s="30">
        <v>241.44</v>
      </c>
      <c r="G795" s="26">
        <v>46137.0</v>
      </c>
      <c r="H795" s="30">
        <v>241.44</v>
      </c>
      <c r="I795" s="30">
        <f t="shared" si="1"/>
        <v>0</v>
      </c>
      <c r="J795" s="29">
        <f t="shared" si="2"/>
        <v>36</v>
      </c>
      <c r="K795" s="25" t="str">
        <f t="shared" si="3"/>
        <v>Paid</v>
      </c>
      <c r="L795" s="25" t="str">
        <f t="shared" si="4"/>
        <v>Closed</v>
      </c>
      <c r="M795" s="30" t="str">
        <f t="shared" si="5"/>
        <v>No</v>
      </c>
    </row>
    <row r="796" ht="15.75" customHeight="1">
      <c r="A796" s="53" t="s">
        <v>2007</v>
      </c>
      <c r="B796" s="53" t="s">
        <v>1058</v>
      </c>
      <c r="C796" s="53" t="s">
        <v>953</v>
      </c>
      <c r="D796" s="54">
        <v>46085.0</v>
      </c>
      <c r="E796" s="54">
        <v>46115.0</v>
      </c>
      <c r="F796" s="55">
        <v>61.14</v>
      </c>
      <c r="G796" s="54">
        <v>46152.0</v>
      </c>
      <c r="H796" s="55">
        <v>61.14</v>
      </c>
      <c r="I796" s="55">
        <f t="shared" si="1"/>
        <v>0</v>
      </c>
      <c r="J796" s="56">
        <f t="shared" si="2"/>
        <v>43</v>
      </c>
      <c r="K796" s="53" t="str">
        <f t="shared" si="3"/>
        <v>Paid</v>
      </c>
      <c r="L796" s="53" t="str">
        <f t="shared" si="4"/>
        <v>Closed</v>
      </c>
      <c r="M796" s="55" t="str">
        <f t="shared" si="5"/>
        <v>No</v>
      </c>
    </row>
    <row r="797" ht="15.75" customHeight="1">
      <c r="A797" s="25" t="s">
        <v>2008</v>
      </c>
      <c r="B797" s="25" t="s">
        <v>839</v>
      </c>
      <c r="C797" s="25" t="s">
        <v>714</v>
      </c>
      <c r="D797" s="26">
        <v>46152.0</v>
      </c>
      <c r="E797" s="26">
        <v>46197.0</v>
      </c>
      <c r="F797" s="30">
        <v>604.2</v>
      </c>
      <c r="G797" s="26">
        <v>46190.0</v>
      </c>
      <c r="H797" s="30">
        <v>604.2</v>
      </c>
      <c r="I797" s="30">
        <f t="shared" si="1"/>
        <v>0</v>
      </c>
      <c r="J797" s="29">
        <f t="shared" si="2"/>
        <v>0</v>
      </c>
      <c r="K797" s="25" t="str">
        <f t="shared" si="3"/>
        <v>Paid</v>
      </c>
      <c r="L797" s="25" t="str">
        <f t="shared" si="4"/>
        <v>Closed</v>
      </c>
      <c r="M797" s="30" t="str">
        <f t="shared" si="5"/>
        <v>No</v>
      </c>
    </row>
    <row r="798" ht="15.75" customHeight="1">
      <c r="A798" s="53" t="s">
        <v>2009</v>
      </c>
      <c r="B798" s="53" t="s">
        <v>272</v>
      </c>
      <c r="C798" s="53" t="s">
        <v>181</v>
      </c>
      <c r="D798" s="54">
        <v>46077.0</v>
      </c>
      <c r="E798" s="54">
        <v>46107.0</v>
      </c>
      <c r="F798" s="55">
        <v>588.0</v>
      </c>
      <c r="G798" s="54"/>
      <c r="H798" s="55">
        <v>0.0</v>
      </c>
      <c r="I798" s="55">
        <f t="shared" si="1"/>
        <v>588</v>
      </c>
      <c r="J798" s="56">
        <f t="shared" si="2"/>
        <v>51</v>
      </c>
      <c r="K798" s="53" t="str">
        <f t="shared" si="3"/>
        <v>31-60</v>
      </c>
      <c r="L798" s="53" t="str">
        <f t="shared" si="4"/>
        <v>Reminder Sent</v>
      </c>
      <c r="M798" s="55" t="str">
        <f t="shared" si="5"/>
        <v>No</v>
      </c>
    </row>
    <row r="799" ht="15.75" customHeight="1">
      <c r="A799" s="25" t="s">
        <v>2010</v>
      </c>
      <c r="B799" s="25" t="s">
        <v>152</v>
      </c>
      <c r="C799" s="25" t="s">
        <v>114</v>
      </c>
      <c r="D799" s="26">
        <v>46084.0</v>
      </c>
      <c r="E799" s="26">
        <v>46129.0</v>
      </c>
      <c r="F799" s="30">
        <v>434.52</v>
      </c>
      <c r="G799" s="26">
        <v>46170.0</v>
      </c>
      <c r="H799" s="30">
        <v>434.52</v>
      </c>
      <c r="I799" s="30">
        <f t="shared" si="1"/>
        <v>0</v>
      </c>
      <c r="J799" s="29">
        <f t="shared" si="2"/>
        <v>29</v>
      </c>
      <c r="K799" s="25" t="str">
        <f t="shared" si="3"/>
        <v>Paid</v>
      </c>
      <c r="L799" s="25" t="str">
        <f t="shared" si="4"/>
        <v>Closed</v>
      </c>
      <c r="M799" s="30" t="str">
        <f t="shared" si="5"/>
        <v>No</v>
      </c>
    </row>
    <row r="800" ht="15.75" customHeight="1">
      <c r="A800" s="53" t="s">
        <v>2011</v>
      </c>
      <c r="B800" s="53" t="s">
        <v>840</v>
      </c>
      <c r="C800" s="53" t="s">
        <v>723</v>
      </c>
      <c r="D800" s="54">
        <v>46120.0</v>
      </c>
      <c r="E800" s="54">
        <v>46150.0</v>
      </c>
      <c r="F800" s="55">
        <v>620.81</v>
      </c>
      <c r="G800" s="54">
        <v>46151.0</v>
      </c>
      <c r="H800" s="55">
        <v>620.81</v>
      </c>
      <c r="I800" s="55">
        <f t="shared" si="1"/>
        <v>0</v>
      </c>
      <c r="J800" s="56">
        <f t="shared" si="2"/>
        <v>8</v>
      </c>
      <c r="K800" s="53" t="str">
        <f t="shared" si="3"/>
        <v>Paid</v>
      </c>
      <c r="L800" s="53" t="str">
        <f t="shared" si="4"/>
        <v>Closed</v>
      </c>
      <c r="M800" s="55" t="str">
        <f t="shared" si="5"/>
        <v>No</v>
      </c>
    </row>
    <row r="801" ht="15.75" customHeight="1">
      <c r="A801" s="25" t="s">
        <v>2012</v>
      </c>
      <c r="B801" s="25" t="s">
        <v>937</v>
      </c>
      <c r="C801" s="25" t="s">
        <v>855</v>
      </c>
      <c r="D801" s="26">
        <v>46138.0</v>
      </c>
      <c r="E801" s="26">
        <v>46168.0</v>
      </c>
      <c r="F801" s="30">
        <v>189.18</v>
      </c>
      <c r="G801" s="26"/>
      <c r="H801" s="30">
        <v>0.0</v>
      </c>
      <c r="I801" s="30">
        <f t="shared" si="1"/>
        <v>189.18</v>
      </c>
      <c r="J801" s="29">
        <f t="shared" si="2"/>
        <v>0</v>
      </c>
      <c r="K801" s="25" t="str">
        <f t="shared" si="3"/>
        <v>0-30</v>
      </c>
      <c r="L801" s="25" t="str">
        <f t="shared" si="4"/>
        <v>Current</v>
      </c>
      <c r="M801" s="30" t="str">
        <f t="shared" si="5"/>
        <v>No</v>
      </c>
    </row>
    <row r="802" ht="15.75" customHeight="1">
      <c r="A802" s="53" t="s">
        <v>2013</v>
      </c>
      <c r="B802" s="53" t="s">
        <v>525</v>
      </c>
      <c r="C802" s="53" t="s">
        <v>459</v>
      </c>
      <c r="D802" s="54">
        <v>46122.0</v>
      </c>
      <c r="E802" s="54">
        <v>46152.0</v>
      </c>
      <c r="F802" s="55">
        <v>68.34</v>
      </c>
      <c r="G802" s="54">
        <v>46197.0</v>
      </c>
      <c r="H802" s="55">
        <v>68.34</v>
      </c>
      <c r="I802" s="55">
        <f t="shared" si="1"/>
        <v>0</v>
      </c>
      <c r="J802" s="56">
        <f t="shared" si="2"/>
        <v>6</v>
      </c>
      <c r="K802" s="53" t="str">
        <f t="shared" si="3"/>
        <v>Paid</v>
      </c>
      <c r="L802" s="53" t="str">
        <f t="shared" si="4"/>
        <v>Closed</v>
      </c>
      <c r="M802" s="55" t="str">
        <f t="shared" si="5"/>
        <v>No</v>
      </c>
    </row>
    <row r="803" ht="15.75" customHeight="1">
      <c r="A803" s="25" t="s">
        <v>2014</v>
      </c>
      <c r="B803" s="25" t="s">
        <v>428</v>
      </c>
      <c r="C803" s="25" t="s">
        <v>320</v>
      </c>
      <c r="D803" s="26">
        <v>46086.0</v>
      </c>
      <c r="E803" s="26">
        <v>46101.0</v>
      </c>
      <c r="F803" s="30">
        <v>65.64</v>
      </c>
      <c r="G803" s="26"/>
      <c r="H803" s="30">
        <v>0.0</v>
      </c>
      <c r="I803" s="30">
        <f t="shared" si="1"/>
        <v>65.64</v>
      </c>
      <c r="J803" s="29">
        <f t="shared" si="2"/>
        <v>57</v>
      </c>
      <c r="K803" s="25" t="str">
        <f t="shared" si="3"/>
        <v>31-60</v>
      </c>
      <c r="L803" s="25" t="str">
        <f t="shared" si="4"/>
        <v>Reminder Sent</v>
      </c>
      <c r="M803" s="30" t="str">
        <f t="shared" si="5"/>
        <v>No</v>
      </c>
    </row>
    <row r="804" ht="15.75" customHeight="1">
      <c r="A804" s="53" t="s">
        <v>2015</v>
      </c>
      <c r="B804" s="53" t="s">
        <v>1193</v>
      </c>
      <c r="C804" s="53" t="s">
        <v>1124</v>
      </c>
      <c r="D804" s="54">
        <v>46037.0</v>
      </c>
      <c r="E804" s="54">
        <v>46067.0</v>
      </c>
      <c r="F804" s="55">
        <v>50.16</v>
      </c>
      <c r="G804" s="54">
        <v>46110.0</v>
      </c>
      <c r="H804" s="55">
        <v>50.16</v>
      </c>
      <c r="I804" s="55">
        <f t="shared" si="1"/>
        <v>0</v>
      </c>
      <c r="J804" s="56">
        <f t="shared" si="2"/>
        <v>91</v>
      </c>
      <c r="K804" s="53" t="str">
        <f t="shared" si="3"/>
        <v>Paid</v>
      </c>
      <c r="L804" s="53" t="str">
        <f t="shared" si="4"/>
        <v>Closed</v>
      </c>
      <c r="M804" s="55" t="str">
        <f t="shared" si="5"/>
        <v>No</v>
      </c>
    </row>
    <row r="805" ht="15.75" customHeight="1">
      <c r="A805" s="25" t="s">
        <v>2016</v>
      </c>
      <c r="B805" s="25" t="s">
        <v>841</v>
      </c>
      <c r="C805" s="25" t="s">
        <v>700</v>
      </c>
      <c r="D805" s="26">
        <v>46029.0</v>
      </c>
      <c r="E805" s="26">
        <v>46059.0</v>
      </c>
      <c r="F805" s="30">
        <v>62.4</v>
      </c>
      <c r="G805" s="26"/>
      <c r="H805" s="30">
        <v>0.0</v>
      </c>
      <c r="I805" s="30">
        <f t="shared" si="1"/>
        <v>62.4</v>
      </c>
      <c r="J805" s="29">
        <f t="shared" si="2"/>
        <v>99</v>
      </c>
      <c r="K805" s="25" t="str">
        <f t="shared" si="3"/>
        <v>90+</v>
      </c>
      <c r="L805" s="25" t="str">
        <f t="shared" si="4"/>
        <v>Escalate</v>
      </c>
      <c r="M805" s="30" t="str">
        <f t="shared" si="5"/>
        <v>Yes</v>
      </c>
    </row>
    <row r="806" ht="15.75" customHeight="1">
      <c r="A806" s="53" t="s">
        <v>2017</v>
      </c>
      <c r="B806" s="53" t="s">
        <v>429</v>
      </c>
      <c r="C806" s="53" t="s">
        <v>299</v>
      </c>
      <c r="D806" s="54">
        <v>46078.0</v>
      </c>
      <c r="E806" s="54">
        <v>46093.0</v>
      </c>
      <c r="F806" s="55">
        <v>402.0</v>
      </c>
      <c r="G806" s="54">
        <v>46137.0</v>
      </c>
      <c r="H806" s="55">
        <v>227.54</v>
      </c>
      <c r="I806" s="55">
        <f t="shared" si="1"/>
        <v>174.46</v>
      </c>
      <c r="J806" s="56">
        <f t="shared" si="2"/>
        <v>65</v>
      </c>
      <c r="K806" s="53" t="str">
        <f t="shared" si="3"/>
        <v>61-90</v>
      </c>
      <c r="L806" s="53" t="str">
        <f t="shared" si="4"/>
        <v>Collections Review</v>
      </c>
      <c r="M806" s="55" t="str">
        <f t="shared" si="5"/>
        <v>Yes</v>
      </c>
    </row>
    <row r="807" ht="15.75" customHeight="1">
      <c r="A807" s="25" t="s">
        <v>2018</v>
      </c>
      <c r="B807" s="25" t="s">
        <v>430</v>
      </c>
      <c r="C807" s="25" t="s">
        <v>330</v>
      </c>
      <c r="D807" s="26">
        <v>46064.0</v>
      </c>
      <c r="E807" s="26">
        <v>46079.0</v>
      </c>
      <c r="F807" s="30">
        <v>609.0</v>
      </c>
      <c r="G807" s="26"/>
      <c r="H807" s="30">
        <v>0.0</v>
      </c>
      <c r="I807" s="30">
        <f t="shared" si="1"/>
        <v>609</v>
      </c>
      <c r="J807" s="29">
        <f t="shared" si="2"/>
        <v>79</v>
      </c>
      <c r="K807" s="25" t="str">
        <f t="shared" si="3"/>
        <v>61-90</v>
      </c>
      <c r="L807" s="25" t="str">
        <f t="shared" si="4"/>
        <v>Collections Review</v>
      </c>
      <c r="M807" s="30" t="str">
        <f t="shared" si="5"/>
        <v>Yes</v>
      </c>
    </row>
    <row r="808" ht="15.75" customHeight="1">
      <c r="A808" s="53" t="s">
        <v>2019</v>
      </c>
      <c r="B808" s="53" t="s">
        <v>527</v>
      </c>
      <c r="C808" s="53" t="s">
        <v>446</v>
      </c>
      <c r="D808" s="54">
        <v>46068.0</v>
      </c>
      <c r="E808" s="54">
        <v>46083.0</v>
      </c>
      <c r="F808" s="55">
        <v>1032.0</v>
      </c>
      <c r="G808" s="54">
        <v>46122.0</v>
      </c>
      <c r="H808" s="55">
        <v>1032.0</v>
      </c>
      <c r="I808" s="55">
        <f t="shared" si="1"/>
        <v>0</v>
      </c>
      <c r="J808" s="56">
        <f t="shared" si="2"/>
        <v>75</v>
      </c>
      <c r="K808" s="53" t="str">
        <f t="shared" si="3"/>
        <v>Paid</v>
      </c>
      <c r="L808" s="53" t="str">
        <f t="shared" si="4"/>
        <v>Closed</v>
      </c>
      <c r="M808" s="55" t="str">
        <f t="shared" si="5"/>
        <v>No</v>
      </c>
    </row>
    <row r="809" ht="15.75" customHeight="1">
      <c r="A809" s="25" t="s">
        <v>2020</v>
      </c>
      <c r="B809" s="25" t="s">
        <v>431</v>
      </c>
      <c r="C809" s="25" t="s">
        <v>295</v>
      </c>
      <c r="D809" s="26">
        <v>46109.0</v>
      </c>
      <c r="E809" s="26">
        <v>46124.0</v>
      </c>
      <c r="F809" s="30">
        <v>521.76</v>
      </c>
      <c r="G809" s="26"/>
      <c r="H809" s="30">
        <v>0.0</v>
      </c>
      <c r="I809" s="30">
        <f t="shared" si="1"/>
        <v>521.76</v>
      </c>
      <c r="J809" s="29">
        <f t="shared" si="2"/>
        <v>34</v>
      </c>
      <c r="K809" s="25" t="str">
        <f t="shared" si="3"/>
        <v>31-60</v>
      </c>
      <c r="L809" s="25" t="str">
        <f t="shared" si="4"/>
        <v>Reminder Sent</v>
      </c>
      <c r="M809" s="30" t="str">
        <f t="shared" si="5"/>
        <v>No</v>
      </c>
    </row>
    <row r="810" ht="15.75" customHeight="1">
      <c r="A810" s="53" t="s">
        <v>2021</v>
      </c>
      <c r="B810" s="53" t="s">
        <v>842</v>
      </c>
      <c r="C810" s="53" t="s">
        <v>698</v>
      </c>
      <c r="D810" s="54">
        <v>46136.0</v>
      </c>
      <c r="E810" s="54">
        <v>46181.0</v>
      </c>
      <c r="F810" s="55">
        <v>1255.2</v>
      </c>
      <c r="G810" s="54">
        <v>46218.0</v>
      </c>
      <c r="H810" s="55">
        <v>1255.2</v>
      </c>
      <c r="I810" s="55">
        <f t="shared" si="1"/>
        <v>0</v>
      </c>
      <c r="J810" s="56">
        <f t="shared" si="2"/>
        <v>0</v>
      </c>
      <c r="K810" s="53" t="str">
        <f t="shared" si="3"/>
        <v>Paid</v>
      </c>
      <c r="L810" s="53" t="str">
        <f t="shared" si="4"/>
        <v>Closed</v>
      </c>
      <c r="M810" s="55" t="str">
        <f t="shared" si="5"/>
        <v>No</v>
      </c>
    </row>
    <row r="811" ht="15.75" customHeight="1">
      <c r="A811" s="25" t="s">
        <v>2022</v>
      </c>
      <c r="B811" s="25" t="s">
        <v>938</v>
      </c>
      <c r="C811" s="25" t="s">
        <v>864</v>
      </c>
      <c r="D811" s="26">
        <v>46095.0</v>
      </c>
      <c r="E811" s="26">
        <v>46110.0</v>
      </c>
      <c r="F811" s="30">
        <v>872.82</v>
      </c>
      <c r="G811" s="26"/>
      <c r="H811" s="30">
        <v>0.0</v>
      </c>
      <c r="I811" s="30">
        <f t="shared" si="1"/>
        <v>872.82</v>
      </c>
      <c r="J811" s="29">
        <f t="shared" si="2"/>
        <v>48</v>
      </c>
      <c r="K811" s="25" t="str">
        <f t="shared" si="3"/>
        <v>31-60</v>
      </c>
      <c r="L811" s="25" t="str">
        <f t="shared" si="4"/>
        <v>Reminder Sent</v>
      </c>
      <c r="M811" s="30" t="str">
        <f t="shared" si="5"/>
        <v>No</v>
      </c>
    </row>
    <row r="812" ht="15.75" customHeight="1">
      <c r="A812" s="53" t="s">
        <v>2023</v>
      </c>
      <c r="B812" s="53" t="s">
        <v>273</v>
      </c>
      <c r="C812" s="53" t="s">
        <v>226</v>
      </c>
      <c r="D812" s="54">
        <v>46112.0</v>
      </c>
      <c r="E812" s="54">
        <v>46127.0</v>
      </c>
      <c r="F812" s="55">
        <v>117.6</v>
      </c>
      <c r="G812" s="54">
        <v>46134.0</v>
      </c>
      <c r="H812" s="55">
        <v>76.01</v>
      </c>
      <c r="I812" s="55">
        <f t="shared" si="1"/>
        <v>41.59</v>
      </c>
      <c r="J812" s="56">
        <f t="shared" si="2"/>
        <v>31</v>
      </c>
      <c r="K812" s="53" t="str">
        <f t="shared" si="3"/>
        <v>31-60</v>
      </c>
      <c r="L812" s="53" t="str">
        <f t="shared" si="4"/>
        <v>Reminder Sent</v>
      </c>
      <c r="M812" s="55" t="str">
        <f t="shared" si="5"/>
        <v>No</v>
      </c>
    </row>
    <row r="813" ht="15.75" customHeight="1">
      <c r="A813" s="25" t="s">
        <v>2024</v>
      </c>
      <c r="B813" s="25" t="s">
        <v>843</v>
      </c>
      <c r="C813" s="25" t="s">
        <v>741</v>
      </c>
      <c r="D813" s="26">
        <v>46091.0</v>
      </c>
      <c r="E813" s="26">
        <v>46121.0</v>
      </c>
      <c r="F813" s="30">
        <v>258.48</v>
      </c>
      <c r="G813" s="26"/>
      <c r="H813" s="30">
        <v>0.0</v>
      </c>
      <c r="I813" s="30">
        <f t="shared" si="1"/>
        <v>258.48</v>
      </c>
      <c r="J813" s="29">
        <f t="shared" si="2"/>
        <v>37</v>
      </c>
      <c r="K813" s="25" t="str">
        <f t="shared" si="3"/>
        <v>31-60</v>
      </c>
      <c r="L813" s="25" t="str">
        <f t="shared" si="4"/>
        <v>Reminder Sent</v>
      </c>
      <c r="M813" s="30" t="str">
        <f t="shared" si="5"/>
        <v>No</v>
      </c>
    </row>
    <row r="814" ht="15.75" customHeight="1">
      <c r="A814" s="53" t="s">
        <v>2025</v>
      </c>
      <c r="B814" s="53" t="s">
        <v>1059</v>
      </c>
      <c r="C814" s="53" t="s">
        <v>968</v>
      </c>
      <c r="D814" s="54">
        <v>46127.0</v>
      </c>
      <c r="E814" s="54">
        <v>46172.0</v>
      </c>
      <c r="F814" s="55">
        <v>0.0</v>
      </c>
      <c r="G814" s="54"/>
      <c r="H814" s="55">
        <v>0.0</v>
      </c>
      <c r="I814" s="55">
        <f t="shared" si="1"/>
        <v>0</v>
      </c>
      <c r="J814" s="56">
        <f t="shared" si="2"/>
        <v>0</v>
      </c>
      <c r="K814" s="53" t="str">
        <f t="shared" si="3"/>
        <v>Paid</v>
      </c>
      <c r="L814" s="53" t="str">
        <f t="shared" si="4"/>
        <v>Closed</v>
      </c>
      <c r="M814" s="55" t="str">
        <f t="shared" si="5"/>
        <v>No</v>
      </c>
    </row>
    <row r="815" ht="15.75" customHeight="1">
      <c r="A815" s="25" t="s">
        <v>2026</v>
      </c>
      <c r="B815" s="25" t="s">
        <v>1060</v>
      </c>
      <c r="C815" s="25" t="s">
        <v>984</v>
      </c>
      <c r="D815" s="26">
        <v>46137.0</v>
      </c>
      <c r="E815" s="26">
        <v>46152.0</v>
      </c>
      <c r="F815" s="30">
        <v>1340.4</v>
      </c>
      <c r="G815" s="26"/>
      <c r="H815" s="30">
        <v>0.0</v>
      </c>
      <c r="I815" s="30">
        <f t="shared" si="1"/>
        <v>1340.4</v>
      </c>
      <c r="J815" s="29">
        <f t="shared" si="2"/>
        <v>6</v>
      </c>
      <c r="K815" s="25" t="str">
        <f t="shared" si="3"/>
        <v>0-30</v>
      </c>
      <c r="L815" s="25" t="str">
        <f t="shared" si="4"/>
        <v>Current</v>
      </c>
      <c r="M815" s="30" t="str">
        <f t="shared" si="5"/>
        <v>No</v>
      </c>
    </row>
    <row r="816" ht="15.75" customHeight="1">
      <c r="A816" s="53" t="s">
        <v>2027</v>
      </c>
      <c r="B816" s="53" t="s">
        <v>678</v>
      </c>
      <c r="C816" s="53" t="s">
        <v>547</v>
      </c>
      <c r="D816" s="54">
        <v>46142.0</v>
      </c>
      <c r="E816" s="54">
        <v>46157.0</v>
      </c>
      <c r="F816" s="55">
        <v>603.0</v>
      </c>
      <c r="G816" s="54">
        <v>46165.0</v>
      </c>
      <c r="H816" s="55">
        <v>603.0</v>
      </c>
      <c r="I816" s="55">
        <f t="shared" si="1"/>
        <v>0</v>
      </c>
      <c r="J816" s="56">
        <f t="shared" si="2"/>
        <v>1</v>
      </c>
      <c r="K816" s="53" t="str">
        <f t="shared" si="3"/>
        <v>Paid</v>
      </c>
      <c r="L816" s="53" t="str">
        <f t="shared" si="4"/>
        <v>Closed</v>
      </c>
      <c r="M816" s="55" t="str">
        <f t="shared" si="5"/>
        <v>No</v>
      </c>
    </row>
    <row r="817" ht="15.75" customHeight="1">
      <c r="A817" s="25" t="s">
        <v>2028</v>
      </c>
      <c r="B817" s="25" t="s">
        <v>1194</v>
      </c>
      <c r="C817" s="25" t="s">
        <v>1129</v>
      </c>
      <c r="D817" s="26">
        <v>46097.0</v>
      </c>
      <c r="E817" s="26">
        <v>46142.0</v>
      </c>
      <c r="F817" s="30">
        <v>176.16</v>
      </c>
      <c r="G817" s="26">
        <v>46144.0</v>
      </c>
      <c r="H817" s="30">
        <v>176.16</v>
      </c>
      <c r="I817" s="30">
        <f t="shared" si="1"/>
        <v>0</v>
      </c>
      <c r="J817" s="29">
        <f t="shared" si="2"/>
        <v>16</v>
      </c>
      <c r="K817" s="25" t="str">
        <f t="shared" si="3"/>
        <v>Paid</v>
      </c>
      <c r="L817" s="25" t="str">
        <f t="shared" si="4"/>
        <v>Closed</v>
      </c>
      <c r="M817" s="30" t="str">
        <f t="shared" si="5"/>
        <v>No</v>
      </c>
    </row>
    <row r="818" ht="15.75" customHeight="1">
      <c r="A818" s="53" t="s">
        <v>2029</v>
      </c>
      <c r="B818" s="53" t="s">
        <v>274</v>
      </c>
      <c r="C818" s="53" t="s">
        <v>170</v>
      </c>
      <c r="D818" s="54">
        <v>46104.0</v>
      </c>
      <c r="E818" s="54">
        <v>46149.0</v>
      </c>
      <c r="F818" s="55">
        <v>247.92</v>
      </c>
      <c r="G818" s="54"/>
      <c r="H818" s="55">
        <v>0.0</v>
      </c>
      <c r="I818" s="55">
        <f t="shared" si="1"/>
        <v>247.92</v>
      </c>
      <c r="J818" s="56">
        <f t="shared" si="2"/>
        <v>9</v>
      </c>
      <c r="K818" s="53" t="str">
        <f t="shared" si="3"/>
        <v>0-30</v>
      </c>
      <c r="L818" s="53" t="str">
        <f t="shared" si="4"/>
        <v>Current</v>
      </c>
      <c r="M818" s="55" t="str">
        <f t="shared" si="5"/>
        <v>No</v>
      </c>
    </row>
    <row r="819" ht="15.75" customHeight="1">
      <c r="A819" s="25" t="s">
        <v>2030</v>
      </c>
      <c r="B819" s="25" t="s">
        <v>275</v>
      </c>
      <c r="C819" s="25" t="s">
        <v>174</v>
      </c>
      <c r="D819" s="26">
        <v>46083.0</v>
      </c>
      <c r="E819" s="26">
        <v>46098.0</v>
      </c>
      <c r="F819" s="30">
        <v>529.2</v>
      </c>
      <c r="G819" s="26">
        <v>46110.0</v>
      </c>
      <c r="H819" s="30">
        <v>529.2</v>
      </c>
      <c r="I819" s="30">
        <f t="shared" si="1"/>
        <v>0</v>
      </c>
      <c r="J819" s="29">
        <f t="shared" si="2"/>
        <v>60</v>
      </c>
      <c r="K819" s="25" t="str">
        <f t="shared" si="3"/>
        <v>Paid</v>
      </c>
      <c r="L819" s="25" t="str">
        <f t="shared" si="4"/>
        <v>Closed</v>
      </c>
      <c r="M819" s="30" t="str">
        <f t="shared" si="5"/>
        <v>No</v>
      </c>
    </row>
    <row r="820" ht="15.75" customHeight="1">
      <c r="A820" s="53" t="s">
        <v>2031</v>
      </c>
      <c r="B820" s="53" t="s">
        <v>1061</v>
      </c>
      <c r="C820" s="53" t="s">
        <v>957</v>
      </c>
      <c r="D820" s="54">
        <v>46031.0</v>
      </c>
      <c r="E820" s="54">
        <v>46076.0</v>
      </c>
      <c r="F820" s="55">
        <v>177.36</v>
      </c>
      <c r="G820" s="54">
        <v>46096.0</v>
      </c>
      <c r="H820" s="55">
        <v>177.36</v>
      </c>
      <c r="I820" s="55">
        <f t="shared" si="1"/>
        <v>0</v>
      </c>
      <c r="J820" s="56">
        <f t="shared" si="2"/>
        <v>82</v>
      </c>
      <c r="K820" s="53" t="str">
        <f t="shared" si="3"/>
        <v>Paid</v>
      </c>
      <c r="L820" s="53" t="str">
        <f t="shared" si="4"/>
        <v>Closed</v>
      </c>
      <c r="M820" s="55" t="str">
        <f t="shared" si="5"/>
        <v>No</v>
      </c>
    </row>
    <row r="821" ht="15.75" customHeight="1">
      <c r="A821" s="25" t="s">
        <v>2032</v>
      </c>
      <c r="B821" s="25" t="s">
        <v>153</v>
      </c>
      <c r="C821" s="25" t="s">
        <v>104</v>
      </c>
      <c r="D821" s="26">
        <v>46067.0</v>
      </c>
      <c r="E821" s="26">
        <v>46097.0</v>
      </c>
      <c r="F821" s="30">
        <v>512.16</v>
      </c>
      <c r="G821" s="26">
        <v>46135.0</v>
      </c>
      <c r="H821" s="30">
        <v>512.16</v>
      </c>
      <c r="I821" s="30">
        <f t="shared" si="1"/>
        <v>0</v>
      </c>
      <c r="J821" s="29">
        <f t="shared" si="2"/>
        <v>61</v>
      </c>
      <c r="K821" s="25" t="str">
        <f t="shared" si="3"/>
        <v>Paid</v>
      </c>
      <c r="L821" s="25" t="str">
        <f t="shared" si="4"/>
        <v>Closed</v>
      </c>
      <c r="M821" s="30" t="str">
        <f t="shared" si="5"/>
        <v>No</v>
      </c>
    </row>
    <row r="822" ht="15.75" customHeight="1">
      <c r="A822" s="53" t="s">
        <v>2033</v>
      </c>
      <c r="B822" s="53" t="s">
        <v>939</v>
      </c>
      <c r="C822" s="53" t="s">
        <v>866</v>
      </c>
      <c r="D822" s="54">
        <v>46053.0</v>
      </c>
      <c r="E822" s="54">
        <v>46083.0</v>
      </c>
      <c r="F822" s="55">
        <v>146.16</v>
      </c>
      <c r="G822" s="54">
        <v>46116.0</v>
      </c>
      <c r="H822" s="55">
        <v>146.16</v>
      </c>
      <c r="I822" s="55">
        <f t="shared" si="1"/>
        <v>0</v>
      </c>
      <c r="J822" s="56">
        <f t="shared" si="2"/>
        <v>75</v>
      </c>
      <c r="K822" s="53" t="str">
        <f t="shared" si="3"/>
        <v>Paid</v>
      </c>
      <c r="L822" s="53" t="str">
        <f t="shared" si="4"/>
        <v>Closed</v>
      </c>
      <c r="M822" s="55" t="str">
        <f t="shared" si="5"/>
        <v>No</v>
      </c>
    </row>
    <row r="823" ht="15.75" customHeight="1">
      <c r="A823" s="25" t="s">
        <v>2034</v>
      </c>
      <c r="B823" s="25" t="s">
        <v>940</v>
      </c>
      <c r="C823" s="25" t="s">
        <v>859</v>
      </c>
      <c r="D823" s="26">
        <v>46076.0</v>
      </c>
      <c r="E823" s="26">
        <v>46106.0</v>
      </c>
      <c r="F823" s="30">
        <v>606.0</v>
      </c>
      <c r="G823" s="26">
        <v>46134.0</v>
      </c>
      <c r="H823" s="30">
        <v>606.0</v>
      </c>
      <c r="I823" s="30">
        <f t="shared" si="1"/>
        <v>0</v>
      </c>
      <c r="J823" s="29">
        <f t="shared" si="2"/>
        <v>52</v>
      </c>
      <c r="K823" s="25" t="str">
        <f t="shared" si="3"/>
        <v>Paid</v>
      </c>
      <c r="L823" s="25" t="str">
        <f t="shared" si="4"/>
        <v>Closed</v>
      </c>
      <c r="M823" s="30" t="str">
        <f t="shared" si="5"/>
        <v>No</v>
      </c>
    </row>
    <row r="824" ht="15.75" customHeight="1">
      <c r="A824" s="53" t="s">
        <v>2035</v>
      </c>
      <c r="B824" s="53" t="s">
        <v>941</v>
      </c>
      <c r="C824" s="53" t="s">
        <v>868</v>
      </c>
      <c r="D824" s="54">
        <v>46046.0</v>
      </c>
      <c r="E824" s="54">
        <v>46076.0</v>
      </c>
      <c r="F824" s="55">
        <v>195.84</v>
      </c>
      <c r="G824" s="54">
        <v>46096.0</v>
      </c>
      <c r="H824" s="55">
        <v>195.84</v>
      </c>
      <c r="I824" s="55">
        <f t="shared" si="1"/>
        <v>0</v>
      </c>
      <c r="J824" s="56">
        <f t="shared" si="2"/>
        <v>82</v>
      </c>
      <c r="K824" s="53" t="str">
        <f t="shared" si="3"/>
        <v>Paid</v>
      </c>
      <c r="L824" s="53" t="str">
        <f t="shared" si="4"/>
        <v>Closed</v>
      </c>
      <c r="M824" s="55" t="str">
        <f t="shared" si="5"/>
        <v>No</v>
      </c>
    </row>
    <row r="825" ht="15.75" customHeight="1">
      <c r="A825" s="25" t="s">
        <v>2036</v>
      </c>
      <c r="B825" s="25" t="s">
        <v>844</v>
      </c>
      <c r="C825" s="25" t="s">
        <v>698</v>
      </c>
      <c r="D825" s="26">
        <v>46121.0</v>
      </c>
      <c r="E825" s="26">
        <v>46136.0</v>
      </c>
      <c r="F825" s="30">
        <v>64.92</v>
      </c>
      <c r="G825" s="26">
        <v>46147.0</v>
      </c>
      <c r="H825" s="30">
        <v>64.92</v>
      </c>
      <c r="I825" s="30">
        <f t="shared" si="1"/>
        <v>0</v>
      </c>
      <c r="J825" s="29">
        <f t="shared" si="2"/>
        <v>22</v>
      </c>
      <c r="K825" s="25" t="str">
        <f t="shared" si="3"/>
        <v>Paid</v>
      </c>
      <c r="L825" s="25" t="str">
        <f t="shared" si="4"/>
        <v>Closed</v>
      </c>
      <c r="M825" s="30" t="str">
        <f t="shared" si="5"/>
        <v>No</v>
      </c>
    </row>
    <row r="826" ht="15.75" customHeight="1">
      <c r="A826" s="53" t="s">
        <v>2037</v>
      </c>
      <c r="B826" s="53" t="s">
        <v>1062</v>
      </c>
      <c r="C826" s="53" t="s">
        <v>965</v>
      </c>
      <c r="D826" s="54">
        <v>46122.0</v>
      </c>
      <c r="E826" s="54">
        <v>46137.0</v>
      </c>
      <c r="F826" s="55">
        <v>1234.8</v>
      </c>
      <c r="G826" s="54">
        <v>46177.0</v>
      </c>
      <c r="H826" s="55">
        <v>987.87</v>
      </c>
      <c r="I826" s="55">
        <f t="shared" si="1"/>
        <v>246.93</v>
      </c>
      <c r="J826" s="56">
        <f t="shared" si="2"/>
        <v>21</v>
      </c>
      <c r="K826" s="53" t="str">
        <f t="shared" si="3"/>
        <v>0-30</v>
      </c>
      <c r="L826" s="53" t="str">
        <f t="shared" si="4"/>
        <v>Current</v>
      </c>
      <c r="M826" s="55" t="str">
        <f t="shared" si="5"/>
        <v>No</v>
      </c>
    </row>
    <row r="827" ht="15.75" customHeight="1">
      <c r="A827" s="25" t="s">
        <v>2038</v>
      </c>
      <c r="B827" s="25" t="s">
        <v>1195</v>
      </c>
      <c r="C827" s="25" t="s">
        <v>1154</v>
      </c>
      <c r="D827" s="26">
        <v>46037.0</v>
      </c>
      <c r="E827" s="26">
        <v>46067.0</v>
      </c>
      <c r="F827" s="30">
        <v>135.96</v>
      </c>
      <c r="G827" s="26"/>
      <c r="H827" s="30">
        <v>0.0</v>
      </c>
      <c r="I827" s="30">
        <f t="shared" si="1"/>
        <v>135.96</v>
      </c>
      <c r="J827" s="29">
        <f t="shared" si="2"/>
        <v>91</v>
      </c>
      <c r="K827" s="25" t="str">
        <f t="shared" si="3"/>
        <v>90+</v>
      </c>
      <c r="L827" s="25" t="str">
        <f t="shared" si="4"/>
        <v>Escalate</v>
      </c>
      <c r="M827" s="30" t="str">
        <f t="shared" si="5"/>
        <v>Yes</v>
      </c>
    </row>
    <row r="828" ht="15.75" customHeight="1">
      <c r="A828" s="53" t="s">
        <v>2039</v>
      </c>
      <c r="B828" s="53" t="s">
        <v>276</v>
      </c>
      <c r="C828" s="53" t="s">
        <v>174</v>
      </c>
      <c r="D828" s="54">
        <v>46153.0</v>
      </c>
      <c r="E828" s="54">
        <v>46198.0</v>
      </c>
      <c r="F828" s="55">
        <v>48.36</v>
      </c>
      <c r="G828" s="54"/>
      <c r="H828" s="55">
        <v>0.0</v>
      </c>
      <c r="I828" s="55">
        <f t="shared" si="1"/>
        <v>48.36</v>
      </c>
      <c r="J828" s="56">
        <f t="shared" si="2"/>
        <v>0</v>
      </c>
      <c r="K828" s="53" t="str">
        <f t="shared" si="3"/>
        <v>0-30</v>
      </c>
      <c r="L828" s="53" t="str">
        <f t="shared" si="4"/>
        <v>Current</v>
      </c>
      <c r="M828" s="55" t="str">
        <f t="shared" si="5"/>
        <v>No</v>
      </c>
    </row>
    <row r="829" ht="15.75" customHeight="1">
      <c r="A829" s="25" t="s">
        <v>2040</v>
      </c>
      <c r="B829" s="25" t="s">
        <v>278</v>
      </c>
      <c r="C829" s="25" t="s">
        <v>177</v>
      </c>
      <c r="D829" s="26">
        <v>46134.0</v>
      </c>
      <c r="E829" s="26">
        <v>46164.0</v>
      </c>
      <c r="F829" s="30">
        <v>0.0</v>
      </c>
      <c r="G829" s="26"/>
      <c r="H829" s="30">
        <v>0.0</v>
      </c>
      <c r="I829" s="30">
        <f t="shared" si="1"/>
        <v>0</v>
      </c>
      <c r="J829" s="29">
        <f t="shared" si="2"/>
        <v>0</v>
      </c>
      <c r="K829" s="25" t="str">
        <f t="shared" si="3"/>
        <v>Paid</v>
      </c>
      <c r="L829" s="25" t="str">
        <f t="shared" si="4"/>
        <v>Closed</v>
      </c>
      <c r="M829" s="30" t="str">
        <f t="shared" si="5"/>
        <v>No</v>
      </c>
    </row>
    <row r="830" ht="15.75" customHeight="1">
      <c r="A830" s="53" t="s">
        <v>2041</v>
      </c>
      <c r="B830" s="53" t="s">
        <v>155</v>
      </c>
      <c r="C830" s="53" t="s">
        <v>83</v>
      </c>
      <c r="D830" s="54">
        <v>46042.0</v>
      </c>
      <c r="E830" s="54">
        <v>46072.0</v>
      </c>
      <c r="F830" s="55">
        <v>126.6</v>
      </c>
      <c r="G830" s="54"/>
      <c r="H830" s="55">
        <v>0.0</v>
      </c>
      <c r="I830" s="55">
        <f t="shared" si="1"/>
        <v>126.6</v>
      </c>
      <c r="J830" s="56">
        <f t="shared" si="2"/>
        <v>86</v>
      </c>
      <c r="K830" s="53" t="str">
        <f t="shared" si="3"/>
        <v>61-90</v>
      </c>
      <c r="L830" s="53" t="str">
        <f t="shared" si="4"/>
        <v>Collections Review</v>
      </c>
      <c r="M830" s="55" t="str">
        <f t="shared" si="5"/>
        <v>Yes</v>
      </c>
    </row>
    <row r="831" ht="15.75" customHeight="1">
      <c r="A831" s="25" t="s">
        <v>2042</v>
      </c>
      <c r="B831" s="25" t="s">
        <v>432</v>
      </c>
      <c r="C831" s="25" t="s">
        <v>291</v>
      </c>
      <c r="D831" s="26">
        <v>46118.0</v>
      </c>
      <c r="E831" s="26">
        <v>46148.0</v>
      </c>
      <c r="F831" s="30">
        <v>181.8</v>
      </c>
      <c r="G831" s="26"/>
      <c r="H831" s="30">
        <v>0.0</v>
      </c>
      <c r="I831" s="30">
        <f t="shared" si="1"/>
        <v>181.8</v>
      </c>
      <c r="J831" s="29">
        <f t="shared" si="2"/>
        <v>10</v>
      </c>
      <c r="K831" s="25" t="str">
        <f t="shared" si="3"/>
        <v>0-30</v>
      </c>
      <c r="L831" s="25" t="str">
        <f t="shared" si="4"/>
        <v>Current</v>
      </c>
      <c r="M831" s="30" t="str">
        <f t="shared" si="5"/>
        <v>No</v>
      </c>
    </row>
    <row r="832" ht="15.75" customHeight="1">
      <c r="A832" s="53" t="s">
        <v>2043</v>
      </c>
      <c r="B832" s="53" t="s">
        <v>679</v>
      </c>
      <c r="C832" s="53" t="s">
        <v>593</v>
      </c>
      <c r="D832" s="54">
        <v>46128.0</v>
      </c>
      <c r="E832" s="54">
        <v>46143.0</v>
      </c>
      <c r="F832" s="55">
        <v>200.7</v>
      </c>
      <c r="G832" s="54"/>
      <c r="H832" s="55">
        <v>0.0</v>
      </c>
      <c r="I832" s="55">
        <f t="shared" si="1"/>
        <v>200.7</v>
      </c>
      <c r="J832" s="56">
        <f t="shared" si="2"/>
        <v>15</v>
      </c>
      <c r="K832" s="53" t="str">
        <f t="shared" si="3"/>
        <v>0-30</v>
      </c>
      <c r="L832" s="53" t="str">
        <f t="shared" si="4"/>
        <v>Current</v>
      </c>
      <c r="M832" s="55" t="str">
        <f t="shared" si="5"/>
        <v>No</v>
      </c>
    </row>
    <row r="833" ht="15.75" customHeight="1">
      <c r="A833" s="25" t="s">
        <v>2044</v>
      </c>
      <c r="B833" s="25" t="s">
        <v>528</v>
      </c>
      <c r="C833" s="25" t="s">
        <v>464</v>
      </c>
      <c r="D833" s="26">
        <v>46042.0</v>
      </c>
      <c r="E833" s="26">
        <v>46072.0</v>
      </c>
      <c r="F833" s="30">
        <v>295.8</v>
      </c>
      <c r="G833" s="26">
        <v>46105.0</v>
      </c>
      <c r="H833" s="30">
        <v>295.8</v>
      </c>
      <c r="I833" s="30">
        <f t="shared" si="1"/>
        <v>0</v>
      </c>
      <c r="J833" s="29">
        <f t="shared" si="2"/>
        <v>86</v>
      </c>
      <c r="K833" s="25" t="str">
        <f t="shared" si="3"/>
        <v>Paid</v>
      </c>
      <c r="L833" s="25" t="str">
        <f t="shared" si="4"/>
        <v>Closed</v>
      </c>
      <c r="M833" s="30" t="str">
        <f t="shared" si="5"/>
        <v>No</v>
      </c>
    </row>
    <row r="834" ht="15.75" customHeight="1">
      <c r="A834" s="53" t="s">
        <v>2045</v>
      </c>
      <c r="B834" s="53" t="s">
        <v>1196</v>
      </c>
      <c r="C834" s="53" t="s">
        <v>1126</v>
      </c>
      <c r="D834" s="54">
        <v>46025.0</v>
      </c>
      <c r="E834" s="54">
        <v>46055.0</v>
      </c>
      <c r="F834" s="55">
        <v>61.5</v>
      </c>
      <c r="G834" s="54"/>
      <c r="H834" s="55">
        <v>0.0</v>
      </c>
      <c r="I834" s="55">
        <f t="shared" si="1"/>
        <v>61.5</v>
      </c>
      <c r="J834" s="56">
        <f t="shared" si="2"/>
        <v>103</v>
      </c>
      <c r="K834" s="53" t="str">
        <f t="shared" si="3"/>
        <v>90+</v>
      </c>
      <c r="L834" s="53" t="str">
        <f t="shared" si="4"/>
        <v>Escalate</v>
      </c>
      <c r="M834" s="55" t="str">
        <f t="shared" si="5"/>
        <v>Yes</v>
      </c>
    </row>
    <row r="835" ht="15.75" customHeight="1">
      <c r="A835" s="25" t="s">
        <v>2046</v>
      </c>
      <c r="B835" s="25" t="s">
        <v>680</v>
      </c>
      <c r="C835" s="25" t="s">
        <v>547</v>
      </c>
      <c r="D835" s="26">
        <v>46114.0</v>
      </c>
      <c r="E835" s="26">
        <v>46144.0</v>
      </c>
      <c r="F835" s="30">
        <v>849.6</v>
      </c>
      <c r="G835" s="26">
        <v>46151.0</v>
      </c>
      <c r="H835" s="30">
        <v>849.6</v>
      </c>
      <c r="I835" s="30">
        <f t="shared" si="1"/>
        <v>0</v>
      </c>
      <c r="J835" s="29">
        <f t="shared" si="2"/>
        <v>14</v>
      </c>
      <c r="K835" s="25" t="str">
        <f t="shared" si="3"/>
        <v>Paid</v>
      </c>
      <c r="L835" s="25" t="str">
        <f t="shared" si="4"/>
        <v>Closed</v>
      </c>
      <c r="M835" s="30" t="str">
        <f t="shared" si="5"/>
        <v>No</v>
      </c>
    </row>
    <row r="836" ht="15.75" customHeight="1">
      <c r="A836" s="53" t="s">
        <v>2047</v>
      </c>
      <c r="B836" s="53" t="s">
        <v>279</v>
      </c>
      <c r="C836" s="53" t="s">
        <v>166</v>
      </c>
      <c r="D836" s="54">
        <v>46111.0</v>
      </c>
      <c r="E836" s="54">
        <v>46141.0</v>
      </c>
      <c r="F836" s="55">
        <v>415.8</v>
      </c>
      <c r="G836" s="54">
        <v>46140.0</v>
      </c>
      <c r="H836" s="55">
        <v>415.8</v>
      </c>
      <c r="I836" s="55">
        <f t="shared" si="1"/>
        <v>0</v>
      </c>
      <c r="J836" s="56">
        <f t="shared" si="2"/>
        <v>17</v>
      </c>
      <c r="K836" s="53" t="str">
        <f t="shared" si="3"/>
        <v>Paid</v>
      </c>
      <c r="L836" s="53" t="str">
        <f t="shared" si="4"/>
        <v>Closed</v>
      </c>
      <c r="M836" s="55" t="str">
        <f t="shared" si="5"/>
        <v>No</v>
      </c>
    </row>
    <row r="837" ht="15.75" customHeight="1">
      <c r="A837" s="25" t="s">
        <v>2048</v>
      </c>
      <c r="B837" s="25" t="s">
        <v>845</v>
      </c>
      <c r="C837" s="25" t="s">
        <v>720</v>
      </c>
      <c r="D837" s="26">
        <v>46128.0</v>
      </c>
      <c r="E837" s="26">
        <v>46173.0</v>
      </c>
      <c r="F837" s="30">
        <v>113.52</v>
      </c>
      <c r="G837" s="26">
        <v>46176.0</v>
      </c>
      <c r="H837" s="30">
        <v>113.52</v>
      </c>
      <c r="I837" s="30">
        <f t="shared" si="1"/>
        <v>0</v>
      </c>
      <c r="J837" s="29">
        <f t="shared" si="2"/>
        <v>0</v>
      </c>
      <c r="K837" s="25" t="str">
        <f t="shared" si="3"/>
        <v>Paid</v>
      </c>
      <c r="L837" s="25" t="str">
        <f t="shared" si="4"/>
        <v>Closed</v>
      </c>
      <c r="M837" s="30" t="str">
        <f t="shared" si="5"/>
        <v>No</v>
      </c>
    </row>
    <row r="838" ht="15.75" customHeight="1">
      <c r="A838" s="53" t="s">
        <v>2049</v>
      </c>
      <c r="B838" s="53" t="s">
        <v>942</v>
      </c>
      <c r="C838" s="53" t="s">
        <v>857</v>
      </c>
      <c r="D838" s="54">
        <v>46124.0</v>
      </c>
      <c r="E838" s="54">
        <v>46139.0</v>
      </c>
      <c r="F838" s="55">
        <v>262.8</v>
      </c>
      <c r="G838" s="54">
        <v>46160.0</v>
      </c>
      <c r="H838" s="55">
        <v>262.8</v>
      </c>
      <c r="I838" s="55">
        <f t="shared" si="1"/>
        <v>0</v>
      </c>
      <c r="J838" s="56">
        <f t="shared" si="2"/>
        <v>19</v>
      </c>
      <c r="K838" s="53" t="str">
        <f t="shared" si="3"/>
        <v>Paid</v>
      </c>
      <c r="L838" s="53" t="str">
        <f t="shared" si="4"/>
        <v>Closed</v>
      </c>
      <c r="M838" s="55" t="str">
        <f t="shared" si="5"/>
        <v>No</v>
      </c>
    </row>
    <row r="839" ht="15.75" customHeight="1">
      <c r="A839" s="25" t="s">
        <v>2050</v>
      </c>
      <c r="B839" s="25" t="s">
        <v>681</v>
      </c>
      <c r="C839" s="25" t="s">
        <v>547</v>
      </c>
      <c r="D839" s="26">
        <v>46032.0</v>
      </c>
      <c r="E839" s="26">
        <v>46077.0</v>
      </c>
      <c r="F839" s="30">
        <v>1225.2</v>
      </c>
      <c r="G839" s="26">
        <v>46119.0</v>
      </c>
      <c r="H839" s="30">
        <v>1225.2</v>
      </c>
      <c r="I839" s="30">
        <f t="shared" si="1"/>
        <v>0</v>
      </c>
      <c r="J839" s="29">
        <f t="shared" si="2"/>
        <v>81</v>
      </c>
      <c r="K839" s="25" t="str">
        <f t="shared" si="3"/>
        <v>Paid</v>
      </c>
      <c r="L839" s="25" t="str">
        <f t="shared" si="4"/>
        <v>Closed</v>
      </c>
      <c r="M839" s="30" t="str">
        <f t="shared" si="5"/>
        <v>No</v>
      </c>
    </row>
    <row r="840" ht="15.75" customHeight="1">
      <c r="A840" s="53" t="s">
        <v>2051</v>
      </c>
      <c r="B840" s="53" t="s">
        <v>943</v>
      </c>
      <c r="C840" s="53" t="s">
        <v>861</v>
      </c>
      <c r="D840" s="54">
        <v>46129.0</v>
      </c>
      <c r="E840" s="54">
        <v>46144.0</v>
      </c>
      <c r="F840" s="55">
        <v>494.88</v>
      </c>
      <c r="G840" s="54">
        <v>46186.0</v>
      </c>
      <c r="H840" s="55">
        <v>494.88</v>
      </c>
      <c r="I840" s="55">
        <f t="shared" si="1"/>
        <v>0</v>
      </c>
      <c r="J840" s="56">
        <f t="shared" si="2"/>
        <v>14</v>
      </c>
      <c r="K840" s="53" t="str">
        <f t="shared" si="3"/>
        <v>Paid</v>
      </c>
      <c r="L840" s="53" t="str">
        <f t="shared" si="4"/>
        <v>Closed</v>
      </c>
      <c r="M840" s="55" t="str">
        <f t="shared" si="5"/>
        <v>No</v>
      </c>
    </row>
    <row r="841" ht="15.75" customHeight="1">
      <c r="A841" s="25" t="s">
        <v>2052</v>
      </c>
      <c r="B841" s="25" t="s">
        <v>944</v>
      </c>
      <c r="C841" s="25" t="s">
        <v>866</v>
      </c>
      <c r="D841" s="26">
        <v>46035.0</v>
      </c>
      <c r="E841" s="26">
        <v>46080.0</v>
      </c>
      <c r="F841" s="30">
        <v>135.0</v>
      </c>
      <c r="G841" s="26"/>
      <c r="H841" s="30">
        <v>0.0</v>
      </c>
      <c r="I841" s="30">
        <f t="shared" si="1"/>
        <v>135</v>
      </c>
      <c r="J841" s="29">
        <f t="shared" si="2"/>
        <v>78</v>
      </c>
      <c r="K841" s="25" t="str">
        <f t="shared" si="3"/>
        <v>61-90</v>
      </c>
      <c r="L841" s="25" t="str">
        <f t="shared" si="4"/>
        <v>Collections Review</v>
      </c>
      <c r="M841" s="30" t="str">
        <f t="shared" si="5"/>
        <v>Yes</v>
      </c>
    </row>
    <row r="842" ht="15.75" customHeight="1">
      <c r="A842" s="53" t="s">
        <v>2053</v>
      </c>
      <c r="B842" s="53" t="s">
        <v>433</v>
      </c>
      <c r="C842" s="53" t="s">
        <v>314</v>
      </c>
      <c r="D842" s="54">
        <v>46038.0</v>
      </c>
      <c r="E842" s="54">
        <v>46068.0</v>
      </c>
      <c r="F842" s="55">
        <v>712.2</v>
      </c>
      <c r="G842" s="54"/>
      <c r="H842" s="55">
        <v>0.0</v>
      </c>
      <c r="I842" s="55">
        <f t="shared" si="1"/>
        <v>712.2</v>
      </c>
      <c r="J842" s="56">
        <f t="shared" si="2"/>
        <v>90</v>
      </c>
      <c r="K842" s="53" t="str">
        <f t="shared" si="3"/>
        <v>61-90</v>
      </c>
      <c r="L842" s="53" t="str">
        <f t="shared" si="4"/>
        <v>Collections Review</v>
      </c>
      <c r="M842" s="55" t="str">
        <f t="shared" si="5"/>
        <v>Yes</v>
      </c>
    </row>
    <row r="843" ht="15.75" customHeight="1">
      <c r="A843" s="25" t="s">
        <v>2054</v>
      </c>
      <c r="B843" s="25" t="s">
        <v>682</v>
      </c>
      <c r="C843" s="25" t="s">
        <v>540</v>
      </c>
      <c r="D843" s="26">
        <v>46145.0</v>
      </c>
      <c r="E843" s="26">
        <v>46190.0</v>
      </c>
      <c r="F843" s="30">
        <v>418.32</v>
      </c>
      <c r="G843" s="26">
        <v>46230.0</v>
      </c>
      <c r="H843" s="30">
        <v>418.32</v>
      </c>
      <c r="I843" s="30">
        <f t="shared" si="1"/>
        <v>0</v>
      </c>
      <c r="J843" s="29">
        <f t="shared" si="2"/>
        <v>0</v>
      </c>
      <c r="K843" s="25" t="str">
        <f t="shared" si="3"/>
        <v>Paid</v>
      </c>
      <c r="L843" s="25" t="str">
        <f t="shared" si="4"/>
        <v>Closed</v>
      </c>
      <c r="M843" s="30" t="str">
        <f t="shared" si="5"/>
        <v>No</v>
      </c>
    </row>
    <row r="844" ht="15.75" customHeight="1">
      <c r="A844" s="53" t="s">
        <v>2055</v>
      </c>
      <c r="B844" s="53" t="s">
        <v>1063</v>
      </c>
      <c r="C844" s="53" t="s">
        <v>984</v>
      </c>
      <c r="D844" s="54">
        <v>46122.0</v>
      </c>
      <c r="E844" s="54">
        <v>46137.0</v>
      </c>
      <c r="F844" s="55">
        <v>209.88</v>
      </c>
      <c r="G844" s="54">
        <v>46178.0</v>
      </c>
      <c r="H844" s="55">
        <v>209.88</v>
      </c>
      <c r="I844" s="55">
        <f t="shared" si="1"/>
        <v>0</v>
      </c>
      <c r="J844" s="56">
        <f t="shared" si="2"/>
        <v>21</v>
      </c>
      <c r="K844" s="53" t="str">
        <f t="shared" si="3"/>
        <v>Paid</v>
      </c>
      <c r="L844" s="53" t="str">
        <f t="shared" si="4"/>
        <v>Closed</v>
      </c>
      <c r="M844" s="55" t="str">
        <f t="shared" si="5"/>
        <v>No</v>
      </c>
    </row>
    <row r="845" ht="15.75" customHeight="1">
      <c r="A845" s="25" t="s">
        <v>2056</v>
      </c>
      <c r="B845" s="25" t="s">
        <v>280</v>
      </c>
      <c r="C845" s="25" t="s">
        <v>181</v>
      </c>
      <c r="D845" s="26">
        <v>46038.0</v>
      </c>
      <c r="E845" s="26">
        <v>46068.0</v>
      </c>
      <c r="F845" s="30">
        <v>766.02</v>
      </c>
      <c r="G845" s="26"/>
      <c r="H845" s="30">
        <v>0.0</v>
      </c>
      <c r="I845" s="30">
        <f t="shared" si="1"/>
        <v>766.02</v>
      </c>
      <c r="J845" s="29">
        <f t="shared" si="2"/>
        <v>90</v>
      </c>
      <c r="K845" s="25" t="str">
        <f t="shared" si="3"/>
        <v>61-90</v>
      </c>
      <c r="L845" s="25" t="str">
        <f t="shared" si="4"/>
        <v>Collections Review</v>
      </c>
      <c r="M845" s="30" t="str">
        <f t="shared" si="5"/>
        <v>Yes</v>
      </c>
    </row>
    <row r="846" ht="15.75" customHeight="1">
      <c r="A846" s="53" t="s">
        <v>2057</v>
      </c>
      <c r="B846" s="53" t="s">
        <v>683</v>
      </c>
      <c r="C846" s="53" t="s">
        <v>557</v>
      </c>
      <c r="D846" s="54">
        <v>46135.0</v>
      </c>
      <c r="E846" s="54">
        <v>46150.0</v>
      </c>
      <c r="F846" s="55">
        <v>121.92</v>
      </c>
      <c r="G846" s="54">
        <v>46159.0</v>
      </c>
      <c r="H846" s="55">
        <v>121.92</v>
      </c>
      <c r="I846" s="55">
        <f t="shared" si="1"/>
        <v>0</v>
      </c>
      <c r="J846" s="56">
        <f t="shared" si="2"/>
        <v>8</v>
      </c>
      <c r="K846" s="53" t="str">
        <f t="shared" si="3"/>
        <v>Paid</v>
      </c>
      <c r="L846" s="53" t="str">
        <f t="shared" si="4"/>
        <v>Closed</v>
      </c>
      <c r="M846" s="55" t="str">
        <f t="shared" si="5"/>
        <v>No</v>
      </c>
    </row>
    <row r="847" ht="15.75" customHeight="1">
      <c r="A847" s="25" t="s">
        <v>2058</v>
      </c>
      <c r="B847" s="25" t="s">
        <v>684</v>
      </c>
      <c r="C847" s="25" t="s">
        <v>542</v>
      </c>
      <c r="D847" s="26">
        <v>46097.0</v>
      </c>
      <c r="E847" s="26">
        <v>46127.0</v>
      </c>
      <c r="F847" s="30">
        <v>358.2</v>
      </c>
      <c r="G847" s="26">
        <v>46153.0</v>
      </c>
      <c r="H847" s="30">
        <v>358.2</v>
      </c>
      <c r="I847" s="30">
        <f t="shared" si="1"/>
        <v>0</v>
      </c>
      <c r="J847" s="29">
        <f t="shared" si="2"/>
        <v>31</v>
      </c>
      <c r="K847" s="25" t="str">
        <f t="shared" si="3"/>
        <v>Paid</v>
      </c>
      <c r="L847" s="25" t="str">
        <f t="shared" si="4"/>
        <v>Closed</v>
      </c>
      <c r="M847" s="30" t="str">
        <f t="shared" si="5"/>
        <v>No</v>
      </c>
    </row>
    <row r="848" ht="15.75" customHeight="1">
      <c r="A848" s="53" t="s">
        <v>2059</v>
      </c>
      <c r="B848" s="53" t="s">
        <v>685</v>
      </c>
      <c r="C848" s="53" t="s">
        <v>542</v>
      </c>
      <c r="D848" s="54">
        <v>46091.0</v>
      </c>
      <c r="E848" s="54">
        <v>46121.0</v>
      </c>
      <c r="F848" s="55">
        <v>407.88</v>
      </c>
      <c r="G848" s="54">
        <v>46148.0</v>
      </c>
      <c r="H848" s="55">
        <v>407.88</v>
      </c>
      <c r="I848" s="55">
        <f t="shared" si="1"/>
        <v>0</v>
      </c>
      <c r="J848" s="56">
        <f t="shared" si="2"/>
        <v>37</v>
      </c>
      <c r="K848" s="53" t="str">
        <f t="shared" si="3"/>
        <v>Paid</v>
      </c>
      <c r="L848" s="53" t="str">
        <f t="shared" si="4"/>
        <v>Closed</v>
      </c>
      <c r="M848" s="55" t="str">
        <f t="shared" si="5"/>
        <v>No</v>
      </c>
    </row>
    <row r="849" ht="15.75" customHeight="1">
      <c r="A849" s="25" t="s">
        <v>2060</v>
      </c>
      <c r="B849" s="25" t="s">
        <v>529</v>
      </c>
      <c r="C849" s="25" t="s">
        <v>452</v>
      </c>
      <c r="D849" s="26">
        <v>46085.0</v>
      </c>
      <c r="E849" s="26">
        <v>46130.0</v>
      </c>
      <c r="F849" s="30">
        <v>64.98</v>
      </c>
      <c r="G849" s="26"/>
      <c r="H849" s="30">
        <v>0.0</v>
      </c>
      <c r="I849" s="30">
        <f t="shared" si="1"/>
        <v>64.98</v>
      </c>
      <c r="J849" s="29">
        <f t="shared" si="2"/>
        <v>28</v>
      </c>
      <c r="K849" s="25" t="str">
        <f t="shared" si="3"/>
        <v>0-30</v>
      </c>
      <c r="L849" s="25" t="str">
        <f t="shared" si="4"/>
        <v>Current</v>
      </c>
      <c r="M849" s="30" t="str">
        <f t="shared" si="5"/>
        <v>No</v>
      </c>
    </row>
    <row r="850" ht="15.75" customHeight="1">
      <c r="A850" s="53" t="s">
        <v>2061</v>
      </c>
      <c r="B850" s="53" t="s">
        <v>1064</v>
      </c>
      <c r="C850" s="53" t="s">
        <v>961</v>
      </c>
      <c r="D850" s="54">
        <v>46113.0</v>
      </c>
      <c r="E850" s="54">
        <v>46143.0</v>
      </c>
      <c r="F850" s="55">
        <v>285.6</v>
      </c>
      <c r="G850" s="54"/>
      <c r="H850" s="55">
        <v>0.0</v>
      </c>
      <c r="I850" s="55">
        <f t="shared" si="1"/>
        <v>285.6</v>
      </c>
      <c r="J850" s="56">
        <f t="shared" si="2"/>
        <v>15</v>
      </c>
      <c r="K850" s="53" t="str">
        <f t="shared" si="3"/>
        <v>0-30</v>
      </c>
      <c r="L850" s="53" t="str">
        <f t="shared" si="4"/>
        <v>Current</v>
      </c>
      <c r="M850" s="55" t="str">
        <f t="shared" si="5"/>
        <v>No</v>
      </c>
    </row>
    <row r="851" ht="15.75" customHeight="1">
      <c r="A851" s="25" t="s">
        <v>2062</v>
      </c>
      <c r="B851" s="25" t="s">
        <v>846</v>
      </c>
      <c r="C851" s="25" t="s">
        <v>698</v>
      </c>
      <c r="D851" s="26">
        <v>46063.0</v>
      </c>
      <c r="E851" s="26">
        <v>46093.0</v>
      </c>
      <c r="F851" s="30">
        <v>1027.2</v>
      </c>
      <c r="G851" s="26">
        <v>46132.0</v>
      </c>
      <c r="H851" s="30">
        <v>1027.2</v>
      </c>
      <c r="I851" s="30">
        <f t="shared" si="1"/>
        <v>0</v>
      </c>
      <c r="J851" s="29">
        <f t="shared" si="2"/>
        <v>65</v>
      </c>
      <c r="K851" s="25" t="str">
        <f t="shared" si="3"/>
        <v>Paid</v>
      </c>
      <c r="L851" s="25" t="str">
        <f t="shared" si="4"/>
        <v>Closed</v>
      </c>
      <c r="M851" s="30" t="str">
        <f t="shared" si="5"/>
        <v>No</v>
      </c>
    </row>
    <row r="852" ht="15.75" customHeight="1">
      <c r="A852" s="53" t="s">
        <v>2063</v>
      </c>
      <c r="B852" s="53" t="s">
        <v>1118</v>
      </c>
      <c r="C852" s="53" t="s">
        <v>1081</v>
      </c>
      <c r="D852" s="54">
        <v>46142.0</v>
      </c>
      <c r="E852" s="54">
        <v>46187.0</v>
      </c>
      <c r="F852" s="55">
        <v>255.84</v>
      </c>
      <c r="G852" s="54">
        <v>46197.0</v>
      </c>
      <c r="H852" s="55">
        <v>255.84</v>
      </c>
      <c r="I852" s="55">
        <f t="shared" si="1"/>
        <v>0</v>
      </c>
      <c r="J852" s="56">
        <f t="shared" si="2"/>
        <v>0</v>
      </c>
      <c r="K852" s="53" t="str">
        <f t="shared" si="3"/>
        <v>Paid</v>
      </c>
      <c r="L852" s="53" t="str">
        <f t="shared" si="4"/>
        <v>Closed</v>
      </c>
      <c r="M852" s="55" t="str">
        <f t="shared" si="5"/>
        <v>No</v>
      </c>
    </row>
    <row r="853" ht="15.75" customHeight="1">
      <c r="A853" s="25" t="s">
        <v>2064</v>
      </c>
      <c r="B853" s="25" t="s">
        <v>686</v>
      </c>
      <c r="C853" s="25" t="s">
        <v>570</v>
      </c>
      <c r="D853" s="26">
        <v>46032.0</v>
      </c>
      <c r="E853" s="26">
        <v>46077.0</v>
      </c>
      <c r="F853" s="30">
        <v>757.44</v>
      </c>
      <c r="G853" s="26">
        <v>46119.0</v>
      </c>
      <c r="H853" s="30">
        <v>757.44</v>
      </c>
      <c r="I853" s="30">
        <f t="shared" si="1"/>
        <v>0</v>
      </c>
      <c r="J853" s="29">
        <f t="shared" si="2"/>
        <v>81</v>
      </c>
      <c r="K853" s="25" t="str">
        <f t="shared" si="3"/>
        <v>Paid</v>
      </c>
      <c r="L853" s="25" t="str">
        <f t="shared" si="4"/>
        <v>Closed</v>
      </c>
      <c r="M853" s="30" t="str">
        <f t="shared" si="5"/>
        <v>No</v>
      </c>
    </row>
    <row r="854" ht="15.75" customHeight="1">
      <c r="A854" s="53" t="s">
        <v>2065</v>
      </c>
      <c r="B854" s="53" t="s">
        <v>945</v>
      </c>
      <c r="C854" s="53" t="s">
        <v>857</v>
      </c>
      <c r="D854" s="54">
        <v>46069.0</v>
      </c>
      <c r="E854" s="54">
        <v>46099.0</v>
      </c>
      <c r="F854" s="55">
        <v>274.56</v>
      </c>
      <c r="G854" s="54">
        <v>46101.0</v>
      </c>
      <c r="H854" s="55">
        <v>274.56</v>
      </c>
      <c r="I854" s="55">
        <f t="shared" si="1"/>
        <v>0</v>
      </c>
      <c r="J854" s="56">
        <f t="shared" si="2"/>
        <v>59</v>
      </c>
      <c r="K854" s="53" t="str">
        <f t="shared" si="3"/>
        <v>Paid</v>
      </c>
      <c r="L854" s="53" t="str">
        <f t="shared" si="4"/>
        <v>Closed</v>
      </c>
      <c r="M854" s="55" t="str">
        <f t="shared" si="5"/>
        <v>No</v>
      </c>
    </row>
    <row r="855" ht="15.75" customHeight="1">
      <c r="A855" s="25" t="s">
        <v>2066</v>
      </c>
      <c r="B855" s="25" t="s">
        <v>687</v>
      </c>
      <c r="C855" s="25" t="s">
        <v>588</v>
      </c>
      <c r="D855" s="26">
        <v>46141.0</v>
      </c>
      <c r="E855" s="26">
        <v>46156.0</v>
      </c>
      <c r="F855" s="30">
        <v>312.3</v>
      </c>
      <c r="G855" s="26">
        <v>46179.0</v>
      </c>
      <c r="H855" s="30">
        <v>312.3</v>
      </c>
      <c r="I855" s="30">
        <f t="shared" si="1"/>
        <v>0</v>
      </c>
      <c r="J855" s="29">
        <f t="shared" si="2"/>
        <v>2</v>
      </c>
      <c r="K855" s="25" t="str">
        <f t="shared" si="3"/>
        <v>Paid</v>
      </c>
      <c r="L855" s="25" t="str">
        <f t="shared" si="4"/>
        <v>Closed</v>
      </c>
      <c r="M855" s="30" t="str">
        <f t="shared" si="5"/>
        <v>No</v>
      </c>
    </row>
    <row r="856" ht="15.75" customHeight="1">
      <c r="A856" s="53" t="s">
        <v>2067</v>
      </c>
      <c r="B856" s="53" t="s">
        <v>530</v>
      </c>
      <c r="C856" s="53" t="s">
        <v>446</v>
      </c>
      <c r="D856" s="54">
        <v>46127.0</v>
      </c>
      <c r="E856" s="54">
        <v>46172.0</v>
      </c>
      <c r="F856" s="55">
        <v>1108.8</v>
      </c>
      <c r="G856" s="54"/>
      <c r="H856" s="55">
        <v>0.0</v>
      </c>
      <c r="I856" s="55">
        <f t="shared" si="1"/>
        <v>1108.8</v>
      </c>
      <c r="J856" s="56">
        <f t="shared" si="2"/>
        <v>0</v>
      </c>
      <c r="K856" s="53" t="str">
        <f t="shared" si="3"/>
        <v>0-30</v>
      </c>
      <c r="L856" s="53" t="str">
        <f t="shared" si="4"/>
        <v>Current</v>
      </c>
      <c r="M856" s="55" t="str">
        <f t="shared" si="5"/>
        <v>No</v>
      </c>
    </row>
    <row r="857" ht="15.75" customHeight="1">
      <c r="A857" s="25" t="s">
        <v>2068</v>
      </c>
      <c r="B857" s="25" t="s">
        <v>434</v>
      </c>
      <c r="C857" s="25" t="s">
        <v>295</v>
      </c>
      <c r="D857" s="26">
        <v>46120.0</v>
      </c>
      <c r="E857" s="26">
        <v>46150.0</v>
      </c>
      <c r="F857" s="30">
        <v>544.32</v>
      </c>
      <c r="G857" s="26"/>
      <c r="H857" s="30">
        <v>0.0</v>
      </c>
      <c r="I857" s="30">
        <f t="shared" si="1"/>
        <v>544.32</v>
      </c>
      <c r="J857" s="29">
        <f t="shared" si="2"/>
        <v>8</v>
      </c>
      <c r="K857" s="25" t="str">
        <f t="shared" si="3"/>
        <v>0-30</v>
      </c>
      <c r="L857" s="25" t="str">
        <f t="shared" si="4"/>
        <v>Current</v>
      </c>
      <c r="M857" s="30" t="str">
        <f t="shared" si="5"/>
        <v>No</v>
      </c>
    </row>
    <row r="858" ht="15.75" customHeight="1">
      <c r="A858" s="53" t="s">
        <v>2069</v>
      </c>
      <c r="B858" s="53" t="s">
        <v>282</v>
      </c>
      <c r="C858" s="53" t="s">
        <v>184</v>
      </c>
      <c r="D858" s="54">
        <v>46066.0</v>
      </c>
      <c r="E858" s="54">
        <v>46081.0</v>
      </c>
      <c r="F858" s="55">
        <v>1329.6</v>
      </c>
      <c r="G858" s="54"/>
      <c r="H858" s="55">
        <v>0.0</v>
      </c>
      <c r="I858" s="55">
        <f t="shared" si="1"/>
        <v>1329.6</v>
      </c>
      <c r="J858" s="56">
        <f t="shared" si="2"/>
        <v>77</v>
      </c>
      <c r="K858" s="53" t="str">
        <f t="shared" si="3"/>
        <v>61-90</v>
      </c>
      <c r="L858" s="53" t="str">
        <f t="shared" si="4"/>
        <v>Collections Review</v>
      </c>
      <c r="M858" s="55" t="str">
        <f t="shared" si="5"/>
        <v>Yes</v>
      </c>
    </row>
    <row r="859" ht="15.75" customHeight="1">
      <c r="A859" s="25" t="s">
        <v>2070</v>
      </c>
      <c r="B859" s="25" t="s">
        <v>283</v>
      </c>
      <c r="C859" s="25" t="s">
        <v>195</v>
      </c>
      <c r="D859" s="26">
        <v>46060.0</v>
      </c>
      <c r="E859" s="26">
        <v>46105.0</v>
      </c>
      <c r="F859" s="30">
        <v>45.78</v>
      </c>
      <c r="G859" s="26"/>
      <c r="H859" s="30">
        <v>0.0</v>
      </c>
      <c r="I859" s="30">
        <f t="shared" si="1"/>
        <v>45.78</v>
      </c>
      <c r="J859" s="29">
        <f t="shared" si="2"/>
        <v>53</v>
      </c>
      <c r="K859" s="25" t="str">
        <f t="shared" si="3"/>
        <v>31-60</v>
      </c>
      <c r="L859" s="25" t="str">
        <f t="shared" si="4"/>
        <v>Reminder Sent</v>
      </c>
      <c r="M859" s="30" t="str">
        <f t="shared" si="5"/>
        <v>No</v>
      </c>
    </row>
    <row r="860" ht="15.75" customHeight="1">
      <c r="A860" s="53" t="s">
        <v>2071</v>
      </c>
      <c r="B860" s="53" t="s">
        <v>1198</v>
      </c>
      <c r="C860" s="53" t="s">
        <v>1131</v>
      </c>
      <c r="D860" s="54">
        <v>46063.0</v>
      </c>
      <c r="E860" s="54">
        <v>46093.0</v>
      </c>
      <c r="F860" s="55">
        <v>954.24</v>
      </c>
      <c r="G860" s="54">
        <v>46119.0</v>
      </c>
      <c r="H860" s="55">
        <v>954.24</v>
      </c>
      <c r="I860" s="55">
        <f t="shared" si="1"/>
        <v>0</v>
      </c>
      <c r="J860" s="56">
        <f t="shared" si="2"/>
        <v>65</v>
      </c>
      <c r="K860" s="53" t="str">
        <f t="shared" si="3"/>
        <v>Paid</v>
      </c>
      <c r="L860" s="53" t="str">
        <f t="shared" si="4"/>
        <v>Closed</v>
      </c>
      <c r="M860" s="55" t="str">
        <f t="shared" si="5"/>
        <v>No</v>
      </c>
    </row>
    <row r="861" ht="15.75" customHeight="1">
      <c r="A861" s="25" t="s">
        <v>2072</v>
      </c>
      <c r="B861" s="25" t="s">
        <v>847</v>
      </c>
      <c r="C861" s="25" t="s">
        <v>700</v>
      </c>
      <c r="D861" s="26">
        <v>46108.0</v>
      </c>
      <c r="E861" s="26">
        <v>46138.0</v>
      </c>
      <c r="F861" s="30">
        <v>613.44</v>
      </c>
      <c r="G861" s="26"/>
      <c r="H861" s="30">
        <v>0.0</v>
      </c>
      <c r="I861" s="30">
        <f t="shared" si="1"/>
        <v>613.44</v>
      </c>
      <c r="J861" s="29">
        <f t="shared" si="2"/>
        <v>20</v>
      </c>
      <c r="K861" s="25" t="str">
        <f t="shared" si="3"/>
        <v>0-30</v>
      </c>
      <c r="L861" s="25" t="str">
        <f t="shared" si="4"/>
        <v>Current</v>
      </c>
      <c r="M861" s="30" t="str">
        <f t="shared" si="5"/>
        <v>No</v>
      </c>
    </row>
    <row r="862" ht="15.75" customHeight="1">
      <c r="A862" s="53" t="s">
        <v>2073</v>
      </c>
      <c r="B862" s="53" t="s">
        <v>284</v>
      </c>
      <c r="C862" s="53" t="s">
        <v>184</v>
      </c>
      <c r="D862" s="54">
        <v>46129.0</v>
      </c>
      <c r="E862" s="54">
        <v>46159.0</v>
      </c>
      <c r="F862" s="55">
        <v>282.0</v>
      </c>
      <c r="G862" s="54">
        <v>46172.0</v>
      </c>
      <c r="H862" s="55">
        <v>282.0</v>
      </c>
      <c r="I862" s="55">
        <f t="shared" si="1"/>
        <v>0</v>
      </c>
      <c r="J862" s="56">
        <f t="shared" si="2"/>
        <v>0</v>
      </c>
      <c r="K862" s="53" t="str">
        <f t="shared" si="3"/>
        <v>Paid</v>
      </c>
      <c r="L862" s="53" t="str">
        <f t="shared" si="4"/>
        <v>Closed</v>
      </c>
      <c r="M862" s="55" t="str">
        <f t="shared" si="5"/>
        <v>No</v>
      </c>
    </row>
    <row r="863" ht="15.75" customHeight="1">
      <c r="A863" s="25" t="s">
        <v>2074</v>
      </c>
      <c r="B863" s="25" t="s">
        <v>531</v>
      </c>
      <c r="C863" s="25" t="s">
        <v>469</v>
      </c>
      <c r="D863" s="26">
        <v>46045.0</v>
      </c>
      <c r="E863" s="26">
        <v>46075.0</v>
      </c>
      <c r="F863" s="30">
        <v>58.32</v>
      </c>
      <c r="G863" s="26"/>
      <c r="H863" s="30">
        <v>0.0</v>
      </c>
      <c r="I863" s="30">
        <f t="shared" si="1"/>
        <v>58.32</v>
      </c>
      <c r="J863" s="29">
        <f t="shared" si="2"/>
        <v>83</v>
      </c>
      <c r="K863" s="25" t="str">
        <f t="shared" si="3"/>
        <v>61-90</v>
      </c>
      <c r="L863" s="25" t="str">
        <f t="shared" si="4"/>
        <v>Collections Review</v>
      </c>
      <c r="M863" s="30" t="str">
        <f t="shared" si="5"/>
        <v>Yes</v>
      </c>
    </row>
    <row r="864" ht="15.75" customHeight="1">
      <c r="A864" s="53" t="s">
        <v>2075</v>
      </c>
      <c r="B864" s="53" t="s">
        <v>285</v>
      </c>
      <c r="C864" s="53" t="s">
        <v>174</v>
      </c>
      <c r="D864" s="54">
        <v>46092.0</v>
      </c>
      <c r="E864" s="54">
        <v>46137.0</v>
      </c>
      <c r="F864" s="55">
        <v>313.8</v>
      </c>
      <c r="G864" s="54">
        <v>46178.0</v>
      </c>
      <c r="H864" s="55">
        <v>313.8</v>
      </c>
      <c r="I864" s="55">
        <f t="shared" si="1"/>
        <v>0</v>
      </c>
      <c r="J864" s="56">
        <f t="shared" si="2"/>
        <v>21</v>
      </c>
      <c r="K864" s="53" t="str">
        <f t="shared" si="3"/>
        <v>Paid</v>
      </c>
      <c r="L864" s="53" t="str">
        <f t="shared" si="4"/>
        <v>Closed</v>
      </c>
      <c r="M864" s="55" t="str">
        <f t="shared" si="5"/>
        <v>No</v>
      </c>
    </row>
    <row r="865" ht="15.75" customHeight="1">
      <c r="A865" s="25" t="s">
        <v>2076</v>
      </c>
      <c r="B865" s="25" t="s">
        <v>1119</v>
      </c>
      <c r="C865" s="25" t="s">
        <v>1077</v>
      </c>
      <c r="D865" s="26">
        <v>46120.0</v>
      </c>
      <c r="E865" s="26">
        <v>46135.0</v>
      </c>
      <c r="F865" s="30">
        <v>783.36</v>
      </c>
      <c r="G865" s="26">
        <v>46162.0</v>
      </c>
      <c r="H865" s="30">
        <v>586.24</v>
      </c>
      <c r="I865" s="30">
        <f t="shared" si="1"/>
        <v>197.12</v>
      </c>
      <c r="J865" s="29">
        <f t="shared" si="2"/>
        <v>23</v>
      </c>
      <c r="K865" s="25" t="str">
        <f t="shared" si="3"/>
        <v>0-30</v>
      </c>
      <c r="L865" s="25" t="str">
        <f t="shared" si="4"/>
        <v>Current</v>
      </c>
      <c r="M865" s="30" t="str">
        <f t="shared" si="5"/>
        <v>No</v>
      </c>
    </row>
    <row r="866" ht="15.75" customHeight="1">
      <c r="A866" s="53" t="s">
        <v>2077</v>
      </c>
      <c r="B866" s="53" t="s">
        <v>158</v>
      </c>
      <c r="C866" s="53" t="s">
        <v>70</v>
      </c>
      <c r="D866" s="54">
        <v>46101.0</v>
      </c>
      <c r="E866" s="54">
        <v>46116.0</v>
      </c>
      <c r="F866" s="55">
        <v>0.0</v>
      </c>
      <c r="G866" s="54"/>
      <c r="H866" s="55">
        <v>0.0</v>
      </c>
      <c r="I866" s="55">
        <f t="shared" si="1"/>
        <v>0</v>
      </c>
      <c r="J866" s="56">
        <f t="shared" si="2"/>
        <v>42</v>
      </c>
      <c r="K866" s="53" t="str">
        <f t="shared" si="3"/>
        <v>Paid</v>
      </c>
      <c r="L866" s="53" t="str">
        <f t="shared" si="4"/>
        <v>Closed</v>
      </c>
      <c r="M866" s="55" t="str">
        <f t="shared" si="5"/>
        <v>No</v>
      </c>
    </row>
    <row r="867" ht="15.75" customHeight="1">
      <c r="A867" s="25" t="s">
        <v>2078</v>
      </c>
      <c r="B867" s="25" t="s">
        <v>532</v>
      </c>
      <c r="C867" s="25" t="s">
        <v>448</v>
      </c>
      <c r="D867" s="26">
        <v>46048.0</v>
      </c>
      <c r="E867" s="26">
        <v>46063.0</v>
      </c>
      <c r="F867" s="30">
        <v>994.56</v>
      </c>
      <c r="G867" s="26">
        <v>46087.0</v>
      </c>
      <c r="H867" s="30">
        <v>994.56</v>
      </c>
      <c r="I867" s="30">
        <f t="shared" si="1"/>
        <v>0</v>
      </c>
      <c r="J867" s="29">
        <f t="shared" si="2"/>
        <v>95</v>
      </c>
      <c r="K867" s="25" t="str">
        <f t="shared" si="3"/>
        <v>Paid</v>
      </c>
      <c r="L867" s="25" t="str">
        <f t="shared" si="4"/>
        <v>Closed</v>
      </c>
      <c r="M867" s="30" t="str">
        <f t="shared" si="5"/>
        <v>No</v>
      </c>
    </row>
    <row r="868" ht="15.75" customHeight="1">
      <c r="A868" s="53" t="s">
        <v>2079</v>
      </c>
      <c r="B868" s="53" t="s">
        <v>435</v>
      </c>
      <c r="C868" s="53" t="s">
        <v>339</v>
      </c>
      <c r="D868" s="54">
        <v>46118.0</v>
      </c>
      <c r="E868" s="54">
        <v>46163.0</v>
      </c>
      <c r="F868" s="55">
        <v>189.72</v>
      </c>
      <c r="G868" s="54">
        <v>46192.0</v>
      </c>
      <c r="H868" s="55">
        <v>189.72</v>
      </c>
      <c r="I868" s="55">
        <f t="shared" si="1"/>
        <v>0</v>
      </c>
      <c r="J868" s="56">
        <f t="shared" si="2"/>
        <v>0</v>
      </c>
      <c r="K868" s="53" t="str">
        <f t="shared" si="3"/>
        <v>Paid</v>
      </c>
      <c r="L868" s="53" t="str">
        <f t="shared" si="4"/>
        <v>Closed</v>
      </c>
      <c r="M868" s="55" t="str">
        <f t="shared" si="5"/>
        <v>No</v>
      </c>
    </row>
    <row r="869" ht="15.75" customHeight="1">
      <c r="A869" s="25" t="s">
        <v>2080</v>
      </c>
      <c r="B869" s="25" t="s">
        <v>436</v>
      </c>
      <c r="C869" s="25" t="s">
        <v>299</v>
      </c>
      <c r="D869" s="26">
        <v>46110.0</v>
      </c>
      <c r="E869" s="26">
        <v>46155.0</v>
      </c>
      <c r="F869" s="30">
        <v>507.78</v>
      </c>
      <c r="G869" s="26">
        <v>46153.0</v>
      </c>
      <c r="H869" s="30">
        <v>507.78</v>
      </c>
      <c r="I869" s="30">
        <f t="shared" si="1"/>
        <v>0</v>
      </c>
      <c r="J869" s="29">
        <f t="shared" si="2"/>
        <v>3</v>
      </c>
      <c r="K869" s="25" t="str">
        <f t="shared" si="3"/>
        <v>Paid</v>
      </c>
      <c r="L869" s="25" t="str">
        <f t="shared" si="4"/>
        <v>Closed</v>
      </c>
      <c r="M869" s="30" t="str">
        <f t="shared" si="5"/>
        <v>No</v>
      </c>
    </row>
    <row r="870" ht="15.75" customHeight="1">
      <c r="A870" s="53" t="s">
        <v>2081</v>
      </c>
      <c r="B870" s="53" t="s">
        <v>688</v>
      </c>
      <c r="C870" s="53" t="s">
        <v>559</v>
      </c>
      <c r="D870" s="54">
        <v>46046.0</v>
      </c>
      <c r="E870" s="54">
        <v>46061.0</v>
      </c>
      <c r="F870" s="55">
        <v>382.16</v>
      </c>
      <c r="G870" s="54">
        <v>46061.0</v>
      </c>
      <c r="H870" s="55">
        <v>382.16</v>
      </c>
      <c r="I870" s="55">
        <f t="shared" si="1"/>
        <v>0</v>
      </c>
      <c r="J870" s="56">
        <f t="shared" si="2"/>
        <v>97</v>
      </c>
      <c r="K870" s="53" t="str">
        <f t="shared" si="3"/>
        <v>Paid</v>
      </c>
      <c r="L870" s="53" t="str">
        <f t="shared" si="4"/>
        <v>Closed</v>
      </c>
      <c r="M870" s="55" t="str">
        <f t="shared" si="5"/>
        <v>No</v>
      </c>
    </row>
    <row r="871" ht="15.75" customHeight="1">
      <c r="A871" s="25" t="s">
        <v>2082</v>
      </c>
      <c r="B871" s="25" t="s">
        <v>533</v>
      </c>
      <c r="C871" s="25" t="s">
        <v>457</v>
      </c>
      <c r="D871" s="26">
        <v>46043.0</v>
      </c>
      <c r="E871" s="26">
        <v>46058.0</v>
      </c>
      <c r="F871" s="30">
        <v>746.64</v>
      </c>
      <c r="G871" s="26">
        <v>46093.0</v>
      </c>
      <c r="H871" s="30">
        <v>375.18</v>
      </c>
      <c r="I871" s="30">
        <f t="shared" si="1"/>
        <v>371.46</v>
      </c>
      <c r="J871" s="29">
        <f t="shared" si="2"/>
        <v>100</v>
      </c>
      <c r="K871" s="25" t="str">
        <f t="shared" si="3"/>
        <v>90+</v>
      </c>
      <c r="L871" s="25" t="str">
        <f t="shared" si="4"/>
        <v>Escalate</v>
      </c>
      <c r="M871" s="30" t="str">
        <f t="shared" si="5"/>
        <v>Yes</v>
      </c>
    </row>
    <row r="872" ht="15.75" customHeight="1">
      <c r="A872" s="53" t="s">
        <v>2083</v>
      </c>
      <c r="B872" s="53" t="s">
        <v>1065</v>
      </c>
      <c r="C872" s="53" t="s">
        <v>980</v>
      </c>
      <c r="D872" s="54">
        <v>46145.0</v>
      </c>
      <c r="E872" s="54">
        <v>46175.0</v>
      </c>
      <c r="F872" s="55">
        <v>234.96</v>
      </c>
      <c r="G872" s="54">
        <v>46188.0</v>
      </c>
      <c r="H872" s="55">
        <v>234.96</v>
      </c>
      <c r="I872" s="55">
        <f t="shared" si="1"/>
        <v>0</v>
      </c>
      <c r="J872" s="56">
        <f t="shared" si="2"/>
        <v>0</v>
      </c>
      <c r="K872" s="53" t="str">
        <f t="shared" si="3"/>
        <v>Paid</v>
      </c>
      <c r="L872" s="53" t="str">
        <f t="shared" si="4"/>
        <v>Closed</v>
      </c>
      <c r="M872" s="55" t="str">
        <f t="shared" si="5"/>
        <v>No</v>
      </c>
    </row>
    <row r="873" ht="15.75" customHeight="1">
      <c r="A873" s="25" t="s">
        <v>2084</v>
      </c>
      <c r="B873" s="25" t="s">
        <v>946</v>
      </c>
      <c r="C873" s="25" t="s">
        <v>873</v>
      </c>
      <c r="D873" s="26">
        <v>46046.0</v>
      </c>
      <c r="E873" s="26">
        <v>46076.0</v>
      </c>
      <c r="F873" s="30">
        <v>809.28</v>
      </c>
      <c r="G873" s="26"/>
      <c r="H873" s="30">
        <v>0.0</v>
      </c>
      <c r="I873" s="30">
        <f t="shared" si="1"/>
        <v>809.28</v>
      </c>
      <c r="J873" s="29">
        <f t="shared" si="2"/>
        <v>82</v>
      </c>
      <c r="K873" s="25" t="str">
        <f t="shared" si="3"/>
        <v>61-90</v>
      </c>
      <c r="L873" s="25" t="str">
        <f t="shared" si="4"/>
        <v>Collections Review</v>
      </c>
      <c r="M873" s="30" t="str">
        <f t="shared" si="5"/>
        <v>Yes</v>
      </c>
    </row>
    <row r="874" ht="15.75" customHeight="1">
      <c r="A874" s="53" t="s">
        <v>2085</v>
      </c>
      <c r="B874" s="53" t="s">
        <v>437</v>
      </c>
      <c r="C874" s="53" t="s">
        <v>312</v>
      </c>
      <c r="D874" s="54">
        <v>46102.0</v>
      </c>
      <c r="E874" s="54">
        <v>46132.0</v>
      </c>
      <c r="F874" s="55">
        <v>337.2</v>
      </c>
      <c r="G874" s="54">
        <v>46160.0</v>
      </c>
      <c r="H874" s="55">
        <v>337.2</v>
      </c>
      <c r="I874" s="55">
        <f t="shared" si="1"/>
        <v>0</v>
      </c>
      <c r="J874" s="56">
        <f t="shared" si="2"/>
        <v>26</v>
      </c>
      <c r="K874" s="53" t="str">
        <f t="shared" si="3"/>
        <v>Paid</v>
      </c>
      <c r="L874" s="53" t="str">
        <f t="shared" si="4"/>
        <v>Closed</v>
      </c>
      <c r="M874" s="55" t="str">
        <f t="shared" si="5"/>
        <v>No</v>
      </c>
    </row>
    <row r="875" ht="15.75" customHeight="1">
      <c r="A875" s="25" t="s">
        <v>2086</v>
      </c>
      <c r="B875" s="25" t="s">
        <v>1199</v>
      </c>
      <c r="C875" s="25" t="s">
        <v>1126</v>
      </c>
      <c r="D875" s="26">
        <v>46094.0</v>
      </c>
      <c r="E875" s="26">
        <v>46124.0</v>
      </c>
      <c r="F875" s="30">
        <v>346.56</v>
      </c>
      <c r="G875" s="26">
        <v>46129.0</v>
      </c>
      <c r="H875" s="30">
        <v>346.56</v>
      </c>
      <c r="I875" s="30">
        <f t="shared" si="1"/>
        <v>0</v>
      </c>
      <c r="J875" s="29">
        <f t="shared" si="2"/>
        <v>34</v>
      </c>
      <c r="K875" s="25" t="str">
        <f t="shared" si="3"/>
        <v>Paid</v>
      </c>
      <c r="L875" s="25" t="str">
        <f t="shared" si="4"/>
        <v>Closed</v>
      </c>
      <c r="M875" s="30" t="str">
        <f t="shared" si="5"/>
        <v>No</v>
      </c>
    </row>
    <row r="876" ht="15.75" customHeight="1">
      <c r="A876" s="53" t="s">
        <v>2087</v>
      </c>
      <c r="B876" s="53" t="s">
        <v>689</v>
      </c>
      <c r="C876" s="53" t="s">
        <v>566</v>
      </c>
      <c r="D876" s="54">
        <v>46104.0</v>
      </c>
      <c r="E876" s="54">
        <v>46119.0</v>
      </c>
      <c r="F876" s="55">
        <v>69.9</v>
      </c>
      <c r="G876" s="54"/>
      <c r="H876" s="55">
        <v>0.0</v>
      </c>
      <c r="I876" s="55">
        <f t="shared" si="1"/>
        <v>69.9</v>
      </c>
      <c r="J876" s="56">
        <f t="shared" si="2"/>
        <v>39</v>
      </c>
      <c r="K876" s="53" t="str">
        <f t="shared" si="3"/>
        <v>31-60</v>
      </c>
      <c r="L876" s="53" t="str">
        <f t="shared" si="4"/>
        <v>Reminder Sent</v>
      </c>
      <c r="M876" s="55" t="str">
        <f t="shared" si="5"/>
        <v>No</v>
      </c>
    </row>
    <row r="877" ht="15.75" customHeight="1">
      <c r="A877" s="25" t="s">
        <v>2088</v>
      </c>
      <c r="B877" s="25" t="s">
        <v>1066</v>
      </c>
      <c r="C877" s="25" t="s">
        <v>961</v>
      </c>
      <c r="D877" s="26">
        <v>46082.0</v>
      </c>
      <c r="E877" s="26">
        <v>46127.0</v>
      </c>
      <c r="F877" s="30">
        <v>645.0</v>
      </c>
      <c r="G877" s="26">
        <v>46120.0</v>
      </c>
      <c r="H877" s="30">
        <v>645.0</v>
      </c>
      <c r="I877" s="30">
        <f t="shared" si="1"/>
        <v>0</v>
      </c>
      <c r="J877" s="29">
        <f t="shared" si="2"/>
        <v>31</v>
      </c>
      <c r="K877" s="25" t="str">
        <f t="shared" si="3"/>
        <v>Paid</v>
      </c>
      <c r="L877" s="25" t="str">
        <f t="shared" si="4"/>
        <v>Closed</v>
      </c>
      <c r="M877" s="30" t="str">
        <f t="shared" si="5"/>
        <v>No</v>
      </c>
    </row>
    <row r="878" ht="15.75" customHeight="1">
      <c r="A878" s="53" t="s">
        <v>2089</v>
      </c>
      <c r="B878" s="53" t="s">
        <v>159</v>
      </c>
      <c r="C878" s="53" t="s">
        <v>87</v>
      </c>
      <c r="D878" s="54">
        <v>46127.0</v>
      </c>
      <c r="E878" s="54">
        <v>46172.0</v>
      </c>
      <c r="F878" s="55">
        <v>132.48</v>
      </c>
      <c r="G878" s="54"/>
      <c r="H878" s="55">
        <v>0.0</v>
      </c>
      <c r="I878" s="55">
        <f t="shared" si="1"/>
        <v>132.48</v>
      </c>
      <c r="J878" s="56">
        <f t="shared" si="2"/>
        <v>0</v>
      </c>
      <c r="K878" s="53" t="str">
        <f t="shared" si="3"/>
        <v>0-30</v>
      </c>
      <c r="L878" s="53" t="str">
        <f t="shared" si="4"/>
        <v>Current</v>
      </c>
      <c r="M878" s="55" t="str">
        <f t="shared" si="5"/>
        <v>No</v>
      </c>
    </row>
    <row r="879" ht="15.75" customHeight="1">
      <c r="A879" s="25" t="s">
        <v>2090</v>
      </c>
      <c r="B879" s="25" t="s">
        <v>160</v>
      </c>
      <c r="C879" s="25" t="s">
        <v>114</v>
      </c>
      <c r="D879" s="26">
        <v>46106.0</v>
      </c>
      <c r="E879" s="26">
        <v>46136.0</v>
      </c>
      <c r="F879" s="30">
        <v>72.12</v>
      </c>
      <c r="G879" s="26">
        <v>46168.0</v>
      </c>
      <c r="H879" s="30">
        <v>72.12</v>
      </c>
      <c r="I879" s="30">
        <f t="shared" si="1"/>
        <v>0</v>
      </c>
      <c r="J879" s="29">
        <f t="shared" si="2"/>
        <v>22</v>
      </c>
      <c r="K879" s="25" t="str">
        <f t="shared" si="3"/>
        <v>Paid</v>
      </c>
      <c r="L879" s="25" t="str">
        <f t="shared" si="4"/>
        <v>Closed</v>
      </c>
      <c r="M879" s="30" t="str">
        <f t="shared" si="5"/>
        <v>No</v>
      </c>
    </row>
    <row r="880" ht="15.75" customHeight="1">
      <c r="A880" s="53" t="s">
        <v>2091</v>
      </c>
      <c r="B880" s="53" t="s">
        <v>169</v>
      </c>
      <c r="C880" s="53" t="s">
        <v>1126</v>
      </c>
      <c r="D880" s="54">
        <v>46114.0</v>
      </c>
      <c r="E880" s="54">
        <v>46144.0</v>
      </c>
      <c r="F880" s="55">
        <v>652.8</v>
      </c>
      <c r="G880" s="54"/>
      <c r="H880" s="55">
        <v>0.0</v>
      </c>
      <c r="I880" s="55">
        <f t="shared" si="1"/>
        <v>652.8</v>
      </c>
      <c r="J880" s="56">
        <f t="shared" si="2"/>
        <v>14</v>
      </c>
      <c r="K880" s="53" t="str">
        <f t="shared" si="3"/>
        <v>0-30</v>
      </c>
      <c r="L880" s="53" t="str">
        <f t="shared" si="4"/>
        <v>Current</v>
      </c>
      <c r="M880" s="55" t="str">
        <f t="shared" si="5"/>
        <v>No</v>
      </c>
    </row>
    <row r="881" ht="15.75" customHeight="1">
      <c r="A881" s="25" t="s">
        <v>2092</v>
      </c>
      <c r="B881" s="25" t="s">
        <v>690</v>
      </c>
      <c r="C881" s="25" t="s">
        <v>573</v>
      </c>
      <c r="D881" s="26">
        <v>46118.0</v>
      </c>
      <c r="E881" s="26">
        <v>46148.0</v>
      </c>
      <c r="F881" s="30">
        <v>712.32</v>
      </c>
      <c r="G881" s="26"/>
      <c r="H881" s="30">
        <v>0.0</v>
      </c>
      <c r="I881" s="30">
        <f t="shared" si="1"/>
        <v>712.32</v>
      </c>
      <c r="J881" s="29">
        <f t="shared" si="2"/>
        <v>10</v>
      </c>
      <c r="K881" s="25" t="str">
        <f t="shared" si="3"/>
        <v>0-30</v>
      </c>
      <c r="L881" s="25" t="str">
        <f t="shared" si="4"/>
        <v>Current</v>
      </c>
      <c r="M881" s="30" t="str">
        <f t="shared" si="5"/>
        <v>No</v>
      </c>
    </row>
    <row r="882" ht="15.75" customHeight="1">
      <c r="A882" s="53" t="s">
        <v>2093</v>
      </c>
      <c r="B882" s="53" t="s">
        <v>1067</v>
      </c>
      <c r="C882" s="53" t="s">
        <v>965</v>
      </c>
      <c r="D882" s="54">
        <v>46094.0</v>
      </c>
      <c r="E882" s="54">
        <v>46124.0</v>
      </c>
      <c r="F882" s="55">
        <v>60.54</v>
      </c>
      <c r="G882" s="54">
        <v>46143.0</v>
      </c>
      <c r="H882" s="55">
        <v>60.54</v>
      </c>
      <c r="I882" s="55">
        <f t="shared" si="1"/>
        <v>0</v>
      </c>
      <c r="J882" s="56">
        <f t="shared" si="2"/>
        <v>34</v>
      </c>
      <c r="K882" s="53" t="str">
        <f t="shared" si="3"/>
        <v>Paid</v>
      </c>
      <c r="L882" s="53" t="str">
        <f t="shared" si="4"/>
        <v>Closed</v>
      </c>
      <c r="M882" s="55" t="str">
        <f t="shared" si="5"/>
        <v>No</v>
      </c>
    </row>
    <row r="883" ht="15.75" customHeight="1">
      <c r="A883" s="25" t="s">
        <v>2094</v>
      </c>
      <c r="B883" s="25" t="s">
        <v>534</v>
      </c>
      <c r="C883" s="25" t="s">
        <v>448</v>
      </c>
      <c r="D883" s="26">
        <v>46140.0</v>
      </c>
      <c r="E883" s="26">
        <v>46155.0</v>
      </c>
      <c r="F883" s="30">
        <v>83.4</v>
      </c>
      <c r="G883" s="26">
        <v>46175.0</v>
      </c>
      <c r="H883" s="30">
        <v>83.4</v>
      </c>
      <c r="I883" s="30">
        <f t="shared" si="1"/>
        <v>0</v>
      </c>
      <c r="J883" s="29">
        <f t="shared" si="2"/>
        <v>3</v>
      </c>
      <c r="K883" s="25" t="str">
        <f t="shared" si="3"/>
        <v>Paid</v>
      </c>
      <c r="L883" s="25" t="str">
        <f t="shared" si="4"/>
        <v>Closed</v>
      </c>
      <c r="M883" s="30" t="str">
        <f t="shared" si="5"/>
        <v>No</v>
      </c>
    </row>
    <row r="884" ht="15.75" customHeight="1">
      <c r="A884" s="53" t="s">
        <v>2095</v>
      </c>
      <c r="B884" s="53" t="s">
        <v>535</v>
      </c>
      <c r="C884" s="53" t="s">
        <v>446</v>
      </c>
      <c r="D884" s="54">
        <v>46155.0</v>
      </c>
      <c r="E884" s="54">
        <v>46185.0</v>
      </c>
      <c r="F884" s="55">
        <v>1323.6</v>
      </c>
      <c r="G884" s="54">
        <v>46177.0</v>
      </c>
      <c r="H884" s="55">
        <v>472.71</v>
      </c>
      <c r="I884" s="55">
        <f t="shared" si="1"/>
        <v>850.89</v>
      </c>
      <c r="J884" s="56">
        <f t="shared" si="2"/>
        <v>0</v>
      </c>
      <c r="K884" s="53" t="str">
        <f t="shared" si="3"/>
        <v>0-30</v>
      </c>
      <c r="L884" s="53" t="str">
        <f t="shared" si="4"/>
        <v>Current</v>
      </c>
      <c r="M884" s="55" t="str">
        <f t="shared" si="5"/>
        <v>No</v>
      </c>
    </row>
    <row r="885" ht="15.75" customHeight="1">
      <c r="A885" s="25" t="s">
        <v>2096</v>
      </c>
      <c r="B885" s="25" t="s">
        <v>691</v>
      </c>
      <c r="C885" s="25" t="s">
        <v>547</v>
      </c>
      <c r="D885" s="26">
        <v>46083.0</v>
      </c>
      <c r="E885" s="26">
        <v>46128.0</v>
      </c>
      <c r="F885" s="30">
        <v>257.04</v>
      </c>
      <c r="G885" s="26">
        <v>46141.0</v>
      </c>
      <c r="H885" s="30">
        <v>257.04</v>
      </c>
      <c r="I885" s="30">
        <f t="shared" si="1"/>
        <v>0</v>
      </c>
      <c r="J885" s="29">
        <f t="shared" si="2"/>
        <v>30</v>
      </c>
      <c r="K885" s="25" t="str">
        <f t="shared" si="3"/>
        <v>Paid</v>
      </c>
      <c r="L885" s="25" t="str">
        <f t="shared" si="4"/>
        <v>Closed</v>
      </c>
      <c r="M885" s="30" t="str">
        <f t="shared" si="5"/>
        <v>No</v>
      </c>
    </row>
    <row r="886" ht="15.75" customHeight="1">
      <c r="A886" s="53" t="s">
        <v>2097</v>
      </c>
      <c r="B886" s="53" t="s">
        <v>161</v>
      </c>
      <c r="C886" s="53" t="s">
        <v>83</v>
      </c>
      <c r="D886" s="54">
        <v>46038.0</v>
      </c>
      <c r="E886" s="54">
        <v>46083.0</v>
      </c>
      <c r="F886" s="55">
        <v>181.26</v>
      </c>
      <c r="G886" s="54">
        <v>46088.0</v>
      </c>
      <c r="H886" s="55">
        <v>181.26</v>
      </c>
      <c r="I886" s="55">
        <f t="shared" si="1"/>
        <v>0</v>
      </c>
      <c r="J886" s="56">
        <f t="shared" si="2"/>
        <v>75</v>
      </c>
      <c r="K886" s="53" t="str">
        <f t="shared" si="3"/>
        <v>Paid</v>
      </c>
      <c r="L886" s="53" t="str">
        <f t="shared" si="4"/>
        <v>Closed</v>
      </c>
      <c r="M886" s="55" t="str">
        <f t="shared" si="5"/>
        <v>No</v>
      </c>
    </row>
    <row r="887" ht="15.75" customHeight="1">
      <c r="A887" s="25" t="s">
        <v>2098</v>
      </c>
      <c r="B887" s="25" t="s">
        <v>692</v>
      </c>
      <c r="C887" s="25" t="s">
        <v>570</v>
      </c>
      <c r="D887" s="26">
        <v>46089.0</v>
      </c>
      <c r="E887" s="26">
        <v>46104.0</v>
      </c>
      <c r="F887" s="30">
        <v>802.8</v>
      </c>
      <c r="G887" s="26"/>
      <c r="H887" s="30">
        <v>0.0</v>
      </c>
      <c r="I887" s="30">
        <f t="shared" si="1"/>
        <v>802.8</v>
      </c>
      <c r="J887" s="29">
        <f t="shared" si="2"/>
        <v>54</v>
      </c>
      <c r="K887" s="25" t="str">
        <f t="shared" si="3"/>
        <v>31-60</v>
      </c>
      <c r="L887" s="25" t="str">
        <f t="shared" si="4"/>
        <v>Reminder Sent</v>
      </c>
      <c r="M887" s="30" t="str">
        <f t="shared" si="5"/>
        <v>No</v>
      </c>
    </row>
    <row r="888" ht="15.75" customHeight="1">
      <c r="A888" s="53" t="s">
        <v>2099</v>
      </c>
      <c r="B888" s="53" t="s">
        <v>438</v>
      </c>
      <c r="C888" s="53" t="s">
        <v>303</v>
      </c>
      <c r="D888" s="54">
        <v>46074.0</v>
      </c>
      <c r="E888" s="54">
        <v>46119.0</v>
      </c>
      <c r="F888" s="55">
        <v>221.28</v>
      </c>
      <c r="G888" s="54">
        <v>46140.0</v>
      </c>
      <c r="H888" s="55">
        <v>221.28</v>
      </c>
      <c r="I888" s="55">
        <f t="shared" si="1"/>
        <v>0</v>
      </c>
      <c r="J888" s="56">
        <f t="shared" si="2"/>
        <v>39</v>
      </c>
      <c r="K888" s="53" t="str">
        <f t="shared" si="3"/>
        <v>Paid</v>
      </c>
      <c r="L888" s="53" t="str">
        <f t="shared" si="4"/>
        <v>Closed</v>
      </c>
      <c r="M888" s="55" t="str">
        <f t="shared" si="5"/>
        <v>No</v>
      </c>
    </row>
    <row r="889" ht="15.75" customHeight="1">
      <c r="A889" s="25" t="s">
        <v>2100</v>
      </c>
      <c r="B889" s="25" t="s">
        <v>1068</v>
      </c>
      <c r="C889" s="25" t="s">
        <v>988</v>
      </c>
      <c r="D889" s="26">
        <v>46094.0</v>
      </c>
      <c r="E889" s="26">
        <v>46124.0</v>
      </c>
      <c r="F889" s="30">
        <v>284.1</v>
      </c>
      <c r="G889" s="26">
        <v>46157.0</v>
      </c>
      <c r="H889" s="30">
        <v>284.1</v>
      </c>
      <c r="I889" s="30">
        <f t="shared" si="1"/>
        <v>0</v>
      </c>
      <c r="J889" s="29">
        <f t="shared" si="2"/>
        <v>34</v>
      </c>
      <c r="K889" s="25" t="str">
        <f t="shared" si="3"/>
        <v>Paid</v>
      </c>
      <c r="L889" s="25" t="str">
        <f t="shared" si="4"/>
        <v>Closed</v>
      </c>
      <c r="M889" s="30" t="str">
        <f t="shared" si="5"/>
        <v>No</v>
      </c>
    </row>
    <row r="890" ht="15.75" customHeight="1">
      <c r="A890" s="53" t="s">
        <v>2101</v>
      </c>
      <c r="B890" s="53" t="s">
        <v>1069</v>
      </c>
      <c r="C890" s="53" t="s">
        <v>955</v>
      </c>
      <c r="D890" s="54">
        <v>46098.0</v>
      </c>
      <c r="E890" s="54">
        <v>46128.0</v>
      </c>
      <c r="F890" s="55">
        <v>478.08</v>
      </c>
      <c r="G890" s="54"/>
      <c r="H890" s="55">
        <v>0.0</v>
      </c>
      <c r="I890" s="55">
        <f t="shared" si="1"/>
        <v>478.08</v>
      </c>
      <c r="J890" s="56">
        <f t="shared" si="2"/>
        <v>30</v>
      </c>
      <c r="K890" s="53" t="str">
        <f t="shared" si="3"/>
        <v>0-30</v>
      </c>
      <c r="L890" s="53" t="str">
        <f t="shared" si="4"/>
        <v>Current</v>
      </c>
      <c r="M890" s="55" t="str">
        <f t="shared" si="5"/>
        <v>No</v>
      </c>
    </row>
    <row r="891" ht="15.75" customHeight="1">
      <c r="A891" s="25" t="s">
        <v>2102</v>
      </c>
      <c r="B891" s="25" t="s">
        <v>286</v>
      </c>
      <c r="C891" s="25" t="s">
        <v>181</v>
      </c>
      <c r="D891" s="26">
        <v>46041.0</v>
      </c>
      <c r="E891" s="26">
        <v>46086.0</v>
      </c>
      <c r="F891" s="30">
        <v>318.0</v>
      </c>
      <c r="G891" s="26">
        <v>46105.0</v>
      </c>
      <c r="H891" s="30">
        <v>318.0</v>
      </c>
      <c r="I891" s="30">
        <f t="shared" si="1"/>
        <v>0</v>
      </c>
      <c r="J891" s="29">
        <f t="shared" si="2"/>
        <v>72</v>
      </c>
      <c r="K891" s="25" t="str">
        <f t="shared" si="3"/>
        <v>Paid</v>
      </c>
      <c r="L891" s="25" t="str">
        <f t="shared" si="4"/>
        <v>Closed</v>
      </c>
      <c r="M891" s="30" t="str">
        <f t="shared" si="5"/>
        <v>No</v>
      </c>
    </row>
    <row r="892" ht="15.75" customHeight="1">
      <c r="A892" s="53" t="s">
        <v>2103</v>
      </c>
      <c r="B892" s="53" t="s">
        <v>1120</v>
      </c>
      <c r="C892" s="53" t="s">
        <v>1075</v>
      </c>
      <c r="D892" s="54">
        <v>46059.0</v>
      </c>
      <c r="E892" s="54">
        <v>46104.0</v>
      </c>
      <c r="F892" s="55">
        <v>725.76</v>
      </c>
      <c r="G892" s="54">
        <v>46135.0</v>
      </c>
      <c r="H892" s="55">
        <v>725.76</v>
      </c>
      <c r="I892" s="55">
        <f t="shared" si="1"/>
        <v>0</v>
      </c>
      <c r="J892" s="56">
        <f t="shared" si="2"/>
        <v>54</v>
      </c>
      <c r="K892" s="53" t="str">
        <f t="shared" si="3"/>
        <v>Paid</v>
      </c>
      <c r="L892" s="53" t="str">
        <f t="shared" si="4"/>
        <v>Closed</v>
      </c>
      <c r="M892" s="55" t="str">
        <f t="shared" si="5"/>
        <v>No</v>
      </c>
    </row>
    <row r="893" ht="15.75" customHeight="1">
      <c r="A893" s="25" t="s">
        <v>2104</v>
      </c>
      <c r="B893" s="25" t="s">
        <v>1070</v>
      </c>
      <c r="C893" s="25" t="s">
        <v>1039</v>
      </c>
      <c r="D893" s="26">
        <v>46050.0</v>
      </c>
      <c r="E893" s="26">
        <v>46080.0</v>
      </c>
      <c r="F893" s="30">
        <v>131.97</v>
      </c>
      <c r="G893" s="26">
        <v>46105.0</v>
      </c>
      <c r="H893" s="30">
        <v>131.97</v>
      </c>
      <c r="I893" s="30">
        <f t="shared" si="1"/>
        <v>0</v>
      </c>
      <c r="J893" s="29">
        <f t="shared" si="2"/>
        <v>78</v>
      </c>
      <c r="K893" s="25" t="str">
        <f t="shared" si="3"/>
        <v>Paid</v>
      </c>
      <c r="L893" s="25" t="str">
        <f t="shared" si="4"/>
        <v>Closed</v>
      </c>
      <c r="M893" s="30" t="str">
        <f t="shared" si="5"/>
        <v>No</v>
      </c>
    </row>
    <row r="894" ht="15.75" customHeight="1">
      <c r="A894" s="53" t="s">
        <v>2105</v>
      </c>
      <c r="B894" s="53" t="s">
        <v>475</v>
      </c>
      <c r="C894" s="53" t="s">
        <v>1083</v>
      </c>
      <c r="D894" s="54">
        <v>46088.0</v>
      </c>
      <c r="E894" s="54">
        <v>46118.0</v>
      </c>
      <c r="F894" s="55">
        <v>181.8</v>
      </c>
      <c r="G894" s="54"/>
      <c r="H894" s="55">
        <v>0.0</v>
      </c>
      <c r="I894" s="55">
        <f t="shared" si="1"/>
        <v>181.8</v>
      </c>
      <c r="J894" s="56">
        <f t="shared" si="2"/>
        <v>40</v>
      </c>
      <c r="K894" s="53" t="str">
        <f t="shared" si="3"/>
        <v>31-60</v>
      </c>
      <c r="L894" s="53" t="str">
        <f t="shared" si="4"/>
        <v>Reminder Sent</v>
      </c>
      <c r="M894" s="55" t="str">
        <f t="shared" si="5"/>
        <v>No</v>
      </c>
    </row>
    <row r="895" ht="15.75" customHeight="1">
      <c r="A895" s="25" t="s">
        <v>2106</v>
      </c>
      <c r="B895" s="25" t="s">
        <v>848</v>
      </c>
      <c r="C895" s="25" t="s">
        <v>714</v>
      </c>
      <c r="D895" s="26">
        <v>46058.0</v>
      </c>
      <c r="E895" s="26">
        <v>46088.0</v>
      </c>
      <c r="F895" s="30">
        <v>593.19</v>
      </c>
      <c r="G895" s="26">
        <v>46110.0</v>
      </c>
      <c r="H895" s="30">
        <v>593.19</v>
      </c>
      <c r="I895" s="30">
        <f t="shared" si="1"/>
        <v>0</v>
      </c>
      <c r="J895" s="29">
        <f t="shared" si="2"/>
        <v>70</v>
      </c>
      <c r="K895" s="25" t="str">
        <f t="shared" si="3"/>
        <v>Paid</v>
      </c>
      <c r="L895" s="25" t="str">
        <f t="shared" si="4"/>
        <v>Closed</v>
      </c>
      <c r="M895" s="30" t="str">
        <f t="shared" si="5"/>
        <v>No</v>
      </c>
    </row>
    <row r="896" ht="15.75" customHeight="1">
      <c r="A896" s="53" t="s">
        <v>2107</v>
      </c>
      <c r="B896" s="53" t="s">
        <v>1071</v>
      </c>
      <c r="C896" s="53" t="s">
        <v>963</v>
      </c>
      <c r="D896" s="54">
        <v>46060.0</v>
      </c>
      <c r="E896" s="54">
        <v>46090.0</v>
      </c>
      <c r="F896" s="55">
        <v>60.42</v>
      </c>
      <c r="G896" s="54">
        <v>46104.0</v>
      </c>
      <c r="H896" s="55">
        <v>60.42</v>
      </c>
      <c r="I896" s="55">
        <f t="shared" si="1"/>
        <v>0</v>
      </c>
      <c r="J896" s="56">
        <f t="shared" si="2"/>
        <v>68</v>
      </c>
      <c r="K896" s="53" t="str">
        <f t="shared" si="3"/>
        <v>Paid</v>
      </c>
      <c r="L896" s="53" t="str">
        <f t="shared" si="4"/>
        <v>Closed</v>
      </c>
      <c r="M896" s="55" t="str">
        <f t="shared" si="5"/>
        <v>No</v>
      </c>
    </row>
    <row r="897" ht="15.75" customHeight="1">
      <c r="A897" s="25" t="s">
        <v>2108</v>
      </c>
      <c r="B897" s="25" t="s">
        <v>287</v>
      </c>
      <c r="C897" s="25" t="s">
        <v>195</v>
      </c>
      <c r="D897" s="26">
        <v>46045.0</v>
      </c>
      <c r="E897" s="26">
        <v>46075.0</v>
      </c>
      <c r="F897" s="30">
        <v>253.2</v>
      </c>
      <c r="G897" s="26">
        <v>46067.0</v>
      </c>
      <c r="H897" s="30">
        <v>253.2</v>
      </c>
      <c r="I897" s="30">
        <f t="shared" si="1"/>
        <v>0</v>
      </c>
      <c r="J897" s="29">
        <f t="shared" si="2"/>
        <v>83</v>
      </c>
      <c r="K897" s="25" t="str">
        <f t="shared" si="3"/>
        <v>Paid</v>
      </c>
      <c r="L897" s="25" t="str">
        <f t="shared" si="4"/>
        <v>Closed</v>
      </c>
      <c r="M897" s="30" t="str">
        <f t="shared" si="5"/>
        <v>No</v>
      </c>
    </row>
    <row r="898" ht="15.75" customHeight="1">
      <c r="A898" s="53" t="s">
        <v>2109</v>
      </c>
      <c r="B898" s="53" t="s">
        <v>288</v>
      </c>
      <c r="C898" s="53" t="s">
        <v>181</v>
      </c>
      <c r="D898" s="54">
        <v>46071.0</v>
      </c>
      <c r="E898" s="54">
        <v>46116.0</v>
      </c>
      <c r="F898" s="55">
        <v>129.0</v>
      </c>
      <c r="G898" s="54">
        <v>46153.0</v>
      </c>
      <c r="H898" s="55">
        <v>129.0</v>
      </c>
      <c r="I898" s="55">
        <f t="shared" si="1"/>
        <v>0</v>
      </c>
      <c r="J898" s="56">
        <f t="shared" si="2"/>
        <v>42</v>
      </c>
      <c r="K898" s="53" t="str">
        <f t="shared" si="3"/>
        <v>Paid</v>
      </c>
      <c r="L898" s="53" t="str">
        <f t="shared" si="4"/>
        <v>Closed</v>
      </c>
      <c r="M898" s="55" t="str">
        <f t="shared" si="5"/>
        <v>No</v>
      </c>
    </row>
    <row r="899" ht="15.75" customHeight="1">
      <c r="A899" s="25" t="s">
        <v>2110</v>
      </c>
      <c r="B899" s="25" t="s">
        <v>643</v>
      </c>
      <c r="C899" s="25" t="s">
        <v>950</v>
      </c>
      <c r="D899" s="26">
        <v>46138.0</v>
      </c>
      <c r="E899" s="26">
        <v>46168.0</v>
      </c>
      <c r="F899" s="30">
        <v>975.36</v>
      </c>
      <c r="G899" s="26">
        <v>46179.0</v>
      </c>
      <c r="H899" s="30">
        <v>975.36</v>
      </c>
      <c r="I899" s="30">
        <f t="shared" si="1"/>
        <v>0</v>
      </c>
      <c r="J899" s="29">
        <f t="shared" si="2"/>
        <v>0</v>
      </c>
      <c r="K899" s="25" t="str">
        <f t="shared" si="3"/>
        <v>Paid</v>
      </c>
      <c r="L899" s="25" t="str">
        <f t="shared" si="4"/>
        <v>Closed</v>
      </c>
      <c r="M899" s="30" t="str">
        <f t="shared" si="5"/>
        <v>No</v>
      </c>
    </row>
    <row r="900" ht="15.75" customHeight="1">
      <c r="A900" s="53" t="s">
        <v>2111</v>
      </c>
      <c r="B900" s="53" t="s">
        <v>849</v>
      </c>
      <c r="C900" s="53" t="s">
        <v>712</v>
      </c>
      <c r="D900" s="54">
        <v>46154.0</v>
      </c>
      <c r="E900" s="54">
        <v>46184.0</v>
      </c>
      <c r="F900" s="55">
        <v>443.52</v>
      </c>
      <c r="G900" s="54">
        <v>46181.0</v>
      </c>
      <c r="H900" s="55">
        <v>443.52</v>
      </c>
      <c r="I900" s="55">
        <f t="shared" si="1"/>
        <v>0</v>
      </c>
      <c r="J900" s="56">
        <f t="shared" si="2"/>
        <v>0</v>
      </c>
      <c r="K900" s="53" t="str">
        <f t="shared" si="3"/>
        <v>Paid</v>
      </c>
      <c r="L900" s="53" t="str">
        <f t="shared" si="4"/>
        <v>Closed</v>
      </c>
      <c r="M900" s="55" t="str">
        <f t="shared" si="5"/>
        <v>No</v>
      </c>
    </row>
    <row r="901" ht="15.75" customHeight="1">
      <c r="A901" s="25" t="s">
        <v>2112</v>
      </c>
      <c r="B901" s="25" t="s">
        <v>693</v>
      </c>
      <c r="C901" s="25" t="s">
        <v>542</v>
      </c>
      <c r="D901" s="26">
        <v>46095.0</v>
      </c>
      <c r="E901" s="26">
        <v>46140.0</v>
      </c>
      <c r="F901" s="30">
        <v>847.44</v>
      </c>
      <c r="G901" s="26"/>
      <c r="H901" s="30">
        <v>0.0</v>
      </c>
      <c r="I901" s="30">
        <f t="shared" si="1"/>
        <v>847.44</v>
      </c>
      <c r="J901" s="29">
        <f t="shared" si="2"/>
        <v>18</v>
      </c>
      <c r="K901" s="25" t="str">
        <f t="shared" si="3"/>
        <v>0-30</v>
      </c>
      <c r="L901" s="25" t="str">
        <f t="shared" si="4"/>
        <v>Current</v>
      </c>
      <c r="M901" s="30" t="str">
        <f t="shared" si="5"/>
        <v>No</v>
      </c>
    </row>
    <row r="902" ht="15.75" customHeight="1">
      <c r="A902" s="53" t="s">
        <v>2113</v>
      </c>
      <c r="B902" s="53" t="s">
        <v>850</v>
      </c>
      <c r="C902" s="53" t="s">
        <v>729</v>
      </c>
      <c r="D902" s="54">
        <v>46154.0</v>
      </c>
      <c r="E902" s="54">
        <v>46184.0</v>
      </c>
      <c r="F902" s="55">
        <v>42.0</v>
      </c>
      <c r="G902" s="54">
        <v>46223.0</v>
      </c>
      <c r="H902" s="55">
        <v>42.0</v>
      </c>
      <c r="I902" s="55">
        <f t="shared" si="1"/>
        <v>0</v>
      </c>
      <c r="J902" s="56">
        <f t="shared" si="2"/>
        <v>0</v>
      </c>
      <c r="K902" s="53" t="str">
        <f t="shared" si="3"/>
        <v>Paid</v>
      </c>
      <c r="L902" s="53" t="str">
        <f t="shared" si="4"/>
        <v>Closed</v>
      </c>
      <c r="M902" s="55" t="str">
        <f t="shared" si="5"/>
        <v>No</v>
      </c>
    </row>
    <row r="903" ht="15.75" customHeight="1">
      <c r="A903" s="25" t="s">
        <v>2114</v>
      </c>
      <c r="B903" s="25" t="s">
        <v>1072</v>
      </c>
      <c r="C903" s="25" t="s">
        <v>957</v>
      </c>
      <c r="D903" s="26">
        <v>46127.0</v>
      </c>
      <c r="E903" s="26">
        <v>46172.0</v>
      </c>
      <c r="F903" s="30">
        <v>765.36</v>
      </c>
      <c r="G903" s="26">
        <v>46197.0</v>
      </c>
      <c r="H903" s="30">
        <v>765.36</v>
      </c>
      <c r="I903" s="30">
        <f t="shared" si="1"/>
        <v>0</v>
      </c>
      <c r="J903" s="29">
        <f t="shared" si="2"/>
        <v>0</v>
      </c>
      <c r="K903" s="25" t="str">
        <f t="shared" si="3"/>
        <v>Paid</v>
      </c>
      <c r="L903" s="25" t="str">
        <f t="shared" si="4"/>
        <v>Closed</v>
      </c>
      <c r="M903" s="30" t="str">
        <f t="shared" si="5"/>
        <v>No</v>
      </c>
    </row>
    <row r="904" ht="15.75" customHeight="1">
      <c r="A904" s="53" t="s">
        <v>2115</v>
      </c>
      <c r="B904" s="53" t="s">
        <v>289</v>
      </c>
      <c r="C904" s="53" t="s">
        <v>164</v>
      </c>
      <c r="D904" s="54">
        <v>46082.0</v>
      </c>
      <c r="E904" s="54">
        <v>46097.0</v>
      </c>
      <c r="F904" s="55">
        <v>234.5</v>
      </c>
      <c r="G904" s="54">
        <v>46137.0</v>
      </c>
      <c r="H904" s="55">
        <v>234.5</v>
      </c>
      <c r="I904" s="55">
        <f t="shared" si="1"/>
        <v>0</v>
      </c>
      <c r="J904" s="56">
        <f t="shared" si="2"/>
        <v>61</v>
      </c>
      <c r="K904" s="53" t="str">
        <f t="shared" si="3"/>
        <v>Paid</v>
      </c>
      <c r="L904" s="53" t="str">
        <f t="shared" si="4"/>
        <v>Closed</v>
      </c>
      <c r="M904" s="55" t="str">
        <f t="shared" si="5"/>
        <v>No</v>
      </c>
    </row>
    <row r="905" ht="15.75" customHeight="1">
      <c r="A905" s="25" t="s">
        <v>2116</v>
      </c>
      <c r="B905" s="25" t="s">
        <v>1073</v>
      </c>
      <c r="C905" s="25" t="s">
        <v>961</v>
      </c>
      <c r="D905" s="26">
        <v>46126.0</v>
      </c>
      <c r="E905" s="26">
        <v>46141.0</v>
      </c>
      <c r="F905" s="30">
        <v>43.26</v>
      </c>
      <c r="G905" s="26"/>
      <c r="H905" s="30">
        <v>0.0</v>
      </c>
      <c r="I905" s="30">
        <f t="shared" si="1"/>
        <v>43.26</v>
      </c>
      <c r="J905" s="29">
        <f t="shared" si="2"/>
        <v>17</v>
      </c>
      <c r="K905" s="25" t="str">
        <f t="shared" si="3"/>
        <v>0-30</v>
      </c>
      <c r="L905" s="25" t="str">
        <f t="shared" si="4"/>
        <v>Current</v>
      </c>
      <c r="M905" s="30" t="str">
        <f t="shared" si="5"/>
        <v>No</v>
      </c>
    </row>
    <row r="906" ht="15.75" customHeight="1">
      <c r="A906" s="53" t="s">
        <v>2117</v>
      </c>
      <c r="B906" s="53" t="s">
        <v>439</v>
      </c>
      <c r="C906" s="53" t="s">
        <v>320</v>
      </c>
      <c r="D906" s="54">
        <v>46070.0</v>
      </c>
      <c r="E906" s="54">
        <v>46100.0</v>
      </c>
      <c r="F906" s="55">
        <v>350.1</v>
      </c>
      <c r="G906" s="54"/>
      <c r="H906" s="55">
        <v>0.0</v>
      </c>
      <c r="I906" s="55">
        <f t="shared" si="1"/>
        <v>350.1</v>
      </c>
      <c r="J906" s="56">
        <f t="shared" si="2"/>
        <v>58</v>
      </c>
      <c r="K906" s="53" t="str">
        <f t="shared" si="3"/>
        <v>31-60</v>
      </c>
      <c r="L906" s="53" t="str">
        <f t="shared" si="4"/>
        <v>Reminder Sent</v>
      </c>
      <c r="M906" s="55" t="str">
        <f t="shared" si="5"/>
        <v>No</v>
      </c>
    </row>
    <row r="907" ht="15.75" customHeight="1">
      <c r="A907" s="25" t="s">
        <v>2118</v>
      </c>
      <c r="B907" s="25" t="s">
        <v>440</v>
      </c>
      <c r="C907" s="25" t="s">
        <v>314</v>
      </c>
      <c r="D907" s="26">
        <v>46072.0</v>
      </c>
      <c r="E907" s="26">
        <v>46102.0</v>
      </c>
      <c r="F907" s="30">
        <v>47.7</v>
      </c>
      <c r="G907" s="26">
        <v>46113.0</v>
      </c>
      <c r="H907" s="30">
        <v>47.7</v>
      </c>
      <c r="I907" s="30">
        <f t="shared" si="1"/>
        <v>0</v>
      </c>
      <c r="J907" s="29">
        <f t="shared" si="2"/>
        <v>56</v>
      </c>
      <c r="K907" s="25" t="str">
        <f t="shared" si="3"/>
        <v>Paid</v>
      </c>
      <c r="L907" s="25" t="str">
        <f t="shared" si="4"/>
        <v>Closed</v>
      </c>
      <c r="M907" s="30" t="str">
        <f t="shared" si="5"/>
        <v>No</v>
      </c>
    </row>
    <row r="908" ht="15.75" customHeight="1">
      <c r="A908" s="53" t="s">
        <v>2119</v>
      </c>
      <c r="B908" s="53" t="s">
        <v>441</v>
      </c>
      <c r="C908" s="53" t="s">
        <v>320</v>
      </c>
      <c r="D908" s="54">
        <v>46037.0</v>
      </c>
      <c r="E908" s="54">
        <v>46067.0</v>
      </c>
      <c r="F908" s="55">
        <v>405.12</v>
      </c>
      <c r="G908" s="54">
        <v>46106.0</v>
      </c>
      <c r="H908" s="55">
        <v>405.12</v>
      </c>
      <c r="I908" s="55">
        <f t="shared" si="1"/>
        <v>0</v>
      </c>
      <c r="J908" s="56">
        <f t="shared" si="2"/>
        <v>91</v>
      </c>
      <c r="K908" s="53" t="str">
        <f t="shared" si="3"/>
        <v>Paid</v>
      </c>
      <c r="L908" s="53" t="str">
        <f t="shared" si="4"/>
        <v>Closed</v>
      </c>
      <c r="M908" s="55" t="str">
        <f t="shared" si="5"/>
        <v>No</v>
      </c>
    </row>
    <row r="909" ht="15.75" customHeight="1">
      <c r="A909" s="25" t="s">
        <v>2120</v>
      </c>
      <c r="B909" s="25" t="s">
        <v>536</v>
      </c>
      <c r="C909" s="25" t="s">
        <v>452</v>
      </c>
      <c r="D909" s="26">
        <v>46071.0</v>
      </c>
      <c r="E909" s="26">
        <v>46086.0</v>
      </c>
      <c r="F909" s="30">
        <v>1094.01</v>
      </c>
      <c r="G909" s="26">
        <v>46098.0</v>
      </c>
      <c r="H909" s="30">
        <v>1094.01</v>
      </c>
      <c r="I909" s="30">
        <f t="shared" si="1"/>
        <v>0</v>
      </c>
      <c r="J909" s="29">
        <f t="shared" si="2"/>
        <v>72</v>
      </c>
      <c r="K909" s="25" t="str">
        <f t="shared" si="3"/>
        <v>Paid</v>
      </c>
      <c r="L909" s="25" t="str">
        <f t="shared" si="4"/>
        <v>Closed</v>
      </c>
      <c r="M909" s="30" t="str">
        <f t="shared" si="5"/>
        <v>No</v>
      </c>
    </row>
    <row r="910" ht="15.75" customHeight="1">
      <c r="A910" s="53" t="s">
        <v>2121</v>
      </c>
      <c r="B910" s="53" t="s">
        <v>694</v>
      </c>
      <c r="C910" s="53" t="s">
        <v>566</v>
      </c>
      <c r="D910" s="54">
        <v>46037.0</v>
      </c>
      <c r="E910" s="54">
        <v>46052.0</v>
      </c>
      <c r="F910" s="55">
        <v>421.8</v>
      </c>
      <c r="G910" s="54"/>
      <c r="H910" s="55">
        <v>0.0</v>
      </c>
      <c r="I910" s="55">
        <f t="shared" si="1"/>
        <v>421.8</v>
      </c>
      <c r="J910" s="56">
        <f t="shared" si="2"/>
        <v>106</v>
      </c>
      <c r="K910" s="53" t="str">
        <f t="shared" si="3"/>
        <v>90+</v>
      </c>
      <c r="L910" s="53" t="str">
        <f t="shared" si="4"/>
        <v>Escalate</v>
      </c>
      <c r="M910" s="55" t="str">
        <f t="shared" si="5"/>
        <v>Yes</v>
      </c>
    </row>
    <row r="911" ht="15.75" customHeight="1">
      <c r="A911" s="25" t="s">
        <v>2122</v>
      </c>
      <c r="B911" s="25" t="s">
        <v>472</v>
      </c>
      <c r="C911" s="25" t="s">
        <v>706</v>
      </c>
      <c r="D911" s="26">
        <v>46073.0</v>
      </c>
      <c r="E911" s="26">
        <v>46103.0</v>
      </c>
      <c r="F911" s="30">
        <v>497.76</v>
      </c>
      <c r="G911" s="26"/>
      <c r="H911" s="30">
        <v>0.0</v>
      </c>
      <c r="I911" s="30">
        <f t="shared" si="1"/>
        <v>497.76</v>
      </c>
      <c r="J911" s="29">
        <f t="shared" si="2"/>
        <v>55</v>
      </c>
      <c r="K911" s="25" t="str">
        <f t="shared" si="3"/>
        <v>31-60</v>
      </c>
      <c r="L911" s="25" t="str">
        <f t="shared" si="4"/>
        <v>Reminder Sent</v>
      </c>
      <c r="M911" s="30" t="str">
        <f t="shared" si="5"/>
        <v>No</v>
      </c>
    </row>
    <row r="912" ht="15.75" customHeight="1">
      <c r="A912" s="53" t="s">
        <v>2123</v>
      </c>
      <c r="B912" s="53" t="s">
        <v>947</v>
      </c>
      <c r="C912" s="53" t="s">
        <v>882</v>
      </c>
      <c r="D912" s="54">
        <v>46117.0</v>
      </c>
      <c r="E912" s="54">
        <v>46147.0</v>
      </c>
      <c r="F912" s="55">
        <v>0.0</v>
      </c>
      <c r="G912" s="54"/>
      <c r="H912" s="55">
        <v>0.0</v>
      </c>
      <c r="I912" s="55">
        <f t="shared" si="1"/>
        <v>0</v>
      </c>
      <c r="J912" s="56">
        <f t="shared" si="2"/>
        <v>11</v>
      </c>
      <c r="K912" s="53" t="str">
        <f t="shared" si="3"/>
        <v>Paid</v>
      </c>
      <c r="L912" s="53" t="str">
        <f t="shared" si="4"/>
        <v>Closed</v>
      </c>
      <c r="M912" s="55" t="str">
        <f t="shared" si="5"/>
        <v>No</v>
      </c>
    </row>
    <row r="913" ht="15.75" customHeight="1">
      <c r="A913" s="25" t="s">
        <v>2124</v>
      </c>
      <c r="B913" s="25" t="s">
        <v>537</v>
      </c>
      <c r="C913" s="25" t="s">
        <v>466</v>
      </c>
      <c r="D913" s="26">
        <v>46055.0</v>
      </c>
      <c r="E913" s="26">
        <v>46100.0</v>
      </c>
      <c r="F913" s="30">
        <v>285.6</v>
      </c>
      <c r="G913" s="26"/>
      <c r="H913" s="30">
        <v>0.0</v>
      </c>
      <c r="I913" s="30">
        <f t="shared" si="1"/>
        <v>285.6</v>
      </c>
      <c r="J913" s="29">
        <f t="shared" si="2"/>
        <v>58</v>
      </c>
      <c r="K913" s="25" t="str">
        <f t="shared" si="3"/>
        <v>31-60</v>
      </c>
      <c r="L913" s="25" t="str">
        <f t="shared" si="4"/>
        <v>Reminder Sent</v>
      </c>
      <c r="M913" s="30" t="str">
        <f t="shared" si="5"/>
        <v>No</v>
      </c>
    </row>
    <row r="914" ht="15.75" customHeight="1">
      <c r="A914" s="53" t="s">
        <v>2125</v>
      </c>
      <c r="B914" s="53" t="s">
        <v>695</v>
      </c>
      <c r="C914" s="53" t="s">
        <v>573</v>
      </c>
      <c r="D914" s="54">
        <v>46104.0</v>
      </c>
      <c r="E914" s="54">
        <v>46119.0</v>
      </c>
      <c r="F914" s="55">
        <v>1270.8</v>
      </c>
      <c r="G914" s="54">
        <v>46161.0</v>
      </c>
      <c r="H914" s="55">
        <v>1270.8</v>
      </c>
      <c r="I914" s="55">
        <f t="shared" si="1"/>
        <v>0</v>
      </c>
      <c r="J914" s="56">
        <f t="shared" si="2"/>
        <v>39</v>
      </c>
      <c r="K914" s="53" t="str">
        <f t="shared" si="3"/>
        <v>Paid</v>
      </c>
      <c r="L914" s="53" t="str">
        <f t="shared" si="4"/>
        <v>Closed</v>
      </c>
      <c r="M914" s="55" t="str">
        <f t="shared" si="5"/>
        <v>No</v>
      </c>
    </row>
    <row r="915" ht="15.75" customHeight="1">
      <c r="A915" s="25" t="s">
        <v>2126</v>
      </c>
      <c r="B915" s="25" t="s">
        <v>867</v>
      </c>
      <c r="C915" s="25" t="s">
        <v>950</v>
      </c>
      <c r="D915" s="26">
        <v>46097.0</v>
      </c>
      <c r="E915" s="26">
        <v>46127.0</v>
      </c>
      <c r="F915" s="30">
        <v>237.36</v>
      </c>
      <c r="G915" s="26">
        <v>46149.0</v>
      </c>
      <c r="H915" s="30">
        <v>237.36</v>
      </c>
      <c r="I915" s="30">
        <f t="shared" si="1"/>
        <v>0</v>
      </c>
      <c r="J915" s="29">
        <f t="shared" si="2"/>
        <v>31</v>
      </c>
      <c r="K915" s="25" t="str">
        <f t="shared" si="3"/>
        <v>Paid</v>
      </c>
      <c r="L915" s="25" t="str">
        <f t="shared" si="4"/>
        <v>Closed</v>
      </c>
      <c r="M915" s="30" t="str">
        <f t="shared" si="5"/>
        <v>No</v>
      </c>
    </row>
    <row r="916" ht="15.75" customHeight="1">
      <c r="A916" s="53" t="s">
        <v>2127</v>
      </c>
      <c r="B916" s="53" t="s">
        <v>571</v>
      </c>
      <c r="C916" s="53" t="s">
        <v>873</v>
      </c>
      <c r="D916" s="54">
        <v>46143.0</v>
      </c>
      <c r="E916" s="54">
        <v>46188.0</v>
      </c>
      <c r="F916" s="55">
        <v>195.12</v>
      </c>
      <c r="G916" s="54">
        <v>46202.0</v>
      </c>
      <c r="H916" s="55">
        <v>195.12</v>
      </c>
      <c r="I916" s="55">
        <f t="shared" si="1"/>
        <v>0</v>
      </c>
      <c r="J916" s="56">
        <f t="shared" si="2"/>
        <v>0</v>
      </c>
      <c r="K916" s="53" t="str">
        <f t="shared" si="3"/>
        <v>Paid</v>
      </c>
      <c r="L916" s="53" t="str">
        <f t="shared" si="4"/>
        <v>Closed</v>
      </c>
      <c r="M916" s="55" t="str">
        <f t="shared" si="5"/>
        <v>No</v>
      </c>
    </row>
    <row r="917" ht="15.75" customHeight="1">
      <c r="A917" s="25" t="s">
        <v>2128</v>
      </c>
      <c r="B917" s="25" t="s">
        <v>696</v>
      </c>
      <c r="C917" s="25" t="s">
        <v>570</v>
      </c>
      <c r="D917" s="26">
        <v>46130.0</v>
      </c>
      <c r="E917" s="26">
        <v>46160.0</v>
      </c>
      <c r="F917" s="30">
        <v>88.8</v>
      </c>
      <c r="G917" s="26"/>
      <c r="H917" s="30">
        <v>0.0</v>
      </c>
      <c r="I917" s="30">
        <f t="shared" si="1"/>
        <v>88.8</v>
      </c>
      <c r="J917" s="29">
        <f t="shared" si="2"/>
        <v>0</v>
      </c>
      <c r="K917" s="25" t="str">
        <f t="shared" si="3"/>
        <v>0-30</v>
      </c>
      <c r="L917" s="25" t="str">
        <f t="shared" si="4"/>
        <v>Current</v>
      </c>
      <c r="M917" s="30" t="str">
        <f t="shared" si="5"/>
        <v>No</v>
      </c>
    </row>
    <row r="918" ht="15.75" customHeight="1">
      <c r="A918" s="53" t="s">
        <v>2129</v>
      </c>
      <c r="B918" s="53" t="s">
        <v>538</v>
      </c>
      <c r="C918" s="53" t="s">
        <v>457</v>
      </c>
      <c r="D918" s="54">
        <v>46141.0</v>
      </c>
      <c r="E918" s="54">
        <v>46186.0</v>
      </c>
      <c r="F918" s="55">
        <v>190.08</v>
      </c>
      <c r="G918" s="54">
        <v>46180.0</v>
      </c>
      <c r="H918" s="55">
        <v>190.08</v>
      </c>
      <c r="I918" s="55">
        <f t="shared" si="1"/>
        <v>0</v>
      </c>
      <c r="J918" s="56">
        <f t="shared" si="2"/>
        <v>0</v>
      </c>
      <c r="K918" s="53" t="str">
        <f t="shared" si="3"/>
        <v>Paid</v>
      </c>
      <c r="L918" s="53" t="str">
        <f t="shared" si="4"/>
        <v>Closed</v>
      </c>
      <c r="M918" s="55" t="str">
        <f t="shared" si="5"/>
        <v>No</v>
      </c>
    </row>
    <row r="919" ht="15.75" customHeight="1">
      <c r="A919" s="25" t="s">
        <v>2130</v>
      </c>
      <c r="B919" s="25" t="s">
        <v>1201</v>
      </c>
      <c r="C919" s="25" t="s">
        <v>1131</v>
      </c>
      <c r="D919" s="26">
        <v>46050.0</v>
      </c>
      <c r="E919" s="26">
        <v>46065.0</v>
      </c>
      <c r="F919" s="30">
        <v>306.6</v>
      </c>
      <c r="G919" s="26">
        <v>46071.0</v>
      </c>
      <c r="H919" s="30">
        <v>306.6</v>
      </c>
      <c r="I919" s="30">
        <f t="shared" si="1"/>
        <v>0</v>
      </c>
      <c r="J919" s="29">
        <f t="shared" si="2"/>
        <v>93</v>
      </c>
      <c r="K919" s="25" t="str">
        <f t="shared" si="3"/>
        <v>Paid</v>
      </c>
      <c r="L919" s="25" t="str">
        <f t="shared" si="4"/>
        <v>Closed</v>
      </c>
      <c r="M919" s="30" t="str">
        <f t="shared" si="5"/>
        <v>No</v>
      </c>
    </row>
    <row r="920" ht="15.75" customHeight="1">
      <c r="A920" s="53" t="s">
        <v>2131</v>
      </c>
      <c r="B920" s="53" t="s">
        <v>442</v>
      </c>
      <c r="C920" s="53" t="s">
        <v>320</v>
      </c>
      <c r="D920" s="54">
        <v>46096.0</v>
      </c>
      <c r="E920" s="54">
        <v>46111.0</v>
      </c>
      <c r="F920" s="55">
        <v>169.73</v>
      </c>
      <c r="G920" s="54">
        <v>46120.0</v>
      </c>
      <c r="H920" s="55">
        <v>169.73</v>
      </c>
      <c r="I920" s="55">
        <f t="shared" si="1"/>
        <v>0</v>
      </c>
      <c r="J920" s="56">
        <f t="shared" si="2"/>
        <v>47</v>
      </c>
      <c r="K920" s="53" t="str">
        <f t="shared" si="3"/>
        <v>Paid</v>
      </c>
      <c r="L920" s="53" t="str">
        <f t="shared" si="4"/>
        <v>Closed</v>
      </c>
      <c r="M920" s="55" t="str">
        <f t="shared" si="5"/>
        <v>No</v>
      </c>
    </row>
    <row r="921" ht="15.75" customHeight="1">
      <c r="A921" s="25" t="s">
        <v>2132</v>
      </c>
      <c r="B921" s="25" t="s">
        <v>2133</v>
      </c>
      <c r="C921" s="25" t="s">
        <v>1133</v>
      </c>
      <c r="D921" s="26">
        <v>46107.0</v>
      </c>
      <c r="E921" s="26">
        <v>46137.0</v>
      </c>
      <c r="F921" s="30">
        <v>240.0</v>
      </c>
      <c r="G921" s="26">
        <v>46141.0</v>
      </c>
      <c r="H921" s="30">
        <v>240.0</v>
      </c>
      <c r="I921" s="30">
        <f t="shared" si="1"/>
        <v>0</v>
      </c>
      <c r="J921" s="29">
        <f t="shared" si="2"/>
        <v>21</v>
      </c>
      <c r="K921" s="25" t="str">
        <f t="shared" si="3"/>
        <v>Paid</v>
      </c>
      <c r="L921" s="25" t="str">
        <f t="shared" si="4"/>
        <v>Closed</v>
      </c>
      <c r="M921" s="30" t="str">
        <f t="shared" si="5"/>
        <v>No</v>
      </c>
    </row>
    <row r="922" ht="15.75" customHeight="1">
      <c r="A922" s="53" t="s">
        <v>2134</v>
      </c>
      <c r="B922" s="53" t="s">
        <v>2135</v>
      </c>
      <c r="C922" s="53" t="s">
        <v>330</v>
      </c>
      <c r="D922" s="54">
        <v>46136.0</v>
      </c>
      <c r="E922" s="54">
        <v>46151.0</v>
      </c>
      <c r="F922" s="55">
        <v>180.0</v>
      </c>
      <c r="G922" s="54"/>
      <c r="H922" s="55">
        <v>0.0</v>
      </c>
      <c r="I922" s="55">
        <f t="shared" si="1"/>
        <v>180</v>
      </c>
      <c r="J922" s="56">
        <f t="shared" si="2"/>
        <v>7</v>
      </c>
      <c r="K922" s="53" t="str">
        <f t="shared" si="3"/>
        <v>0-30</v>
      </c>
      <c r="L922" s="53" t="str">
        <f t="shared" si="4"/>
        <v>Current</v>
      </c>
      <c r="M922" s="55" t="str">
        <f t="shared" si="5"/>
        <v>No</v>
      </c>
    </row>
    <row r="923" ht="15.75" customHeight="1">
      <c r="A923" s="25" t="s">
        <v>2136</v>
      </c>
      <c r="B923" s="25" t="s">
        <v>2137</v>
      </c>
      <c r="C923" s="25" t="s">
        <v>733</v>
      </c>
      <c r="D923" s="26">
        <v>46143.0</v>
      </c>
      <c r="E923" s="26">
        <v>46173.0</v>
      </c>
      <c r="F923" s="30">
        <v>123.0</v>
      </c>
      <c r="G923" s="26">
        <v>46166.0</v>
      </c>
      <c r="H923" s="30">
        <v>54.74</v>
      </c>
      <c r="I923" s="30">
        <f t="shared" si="1"/>
        <v>68.26</v>
      </c>
      <c r="J923" s="29">
        <f t="shared" si="2"/>
        <v>0</v>
      </c>
      <c r="K923" s="25" t="str">
        <f t="shared" si="3"/>
        <v>0-30</v>
      </c>
      <c r="L923" s="25" t="str">
        <f t="shared" si="4"/>
        <v>Current</v>
      </c>
      <c r="M923" s="30" t="str">
        <f t="shared" si="5"/>
        <v>No</v>
      </c>
    </row>
    <row r="924" ht="15.75" customHeight="1">
      <c r="A924" s="53" t="s">
        <v>2138</v>
      </c>
      <c r="B924" s="53" t="s">
        <v>2139</v>
      </c>
      <c r="C924" s="53" t="s">
        <v>177</v>
      </c>
      <c r="D924" s="54">
        <v>46057.0</v>
      </c>
      <c r="E924" s="54">
        <v>46102.0</v>
      </c>
      <c r="F924" s="55">
        <v>90.0</v>
      </c>
      <c r="G924" s="54">
        <v>46127.0</v>
      </c>
      <c r="H924" s="55">
        <v>90.0</v>
      </c>
      <c r="I924" s="55">
        <f t="shared" si="1"/>
        <v>0</v>
      </c>
      <c r="J924" s="56">
        <f t="shared" si="2"/>
        <v>56</v>
      </c>
      <c r="K924" s="53" t="str">
        <f t="shared" si="3"/>
        <v>Paid</v>
      </c>
      <c r="L924" s="53" t="str">
        <f t="shared" si="4"/>
        <v>Closed</v>
      </c>
      <c r="M924" s="55" t="str">
        <f t="shared" si="5"/>
        <v>No</v>
      </c>
    </row>
    <row r="925" ht="15.75" customHeight="1">
      <c r="A925" s="25" t="s">
        <v>2140</v>
      </c>
      <c r="B925" s="25" t="s">
        <v>2141</v>
      </c>
      <c r="C925" s="25" t="s">
        <v>1131</v>
      </c>
      <c r="D925" s="26">
        <v>46060.0</v>
      </c>
      <c r="E925" s="26">
        <v>46075.0</v>
      </c>
      <c r="F925" s="30">
        <v>270.0</v>
      </c>
      <c r="G925" s="26">
        <v>46118.0</v>
      </c>
      <c r="H925" s="30">
        <v>270.0</v>
      </c>
      <c r="I925" s="30">
        <f t="shared" si="1"/>
        <v>0</v>
      </c>
      <c r="J925" s="29">
        <f t="shared" si="2"/>
        <v>83</v>
      </c>
      <c r="K925" s="25" t="str">
        <f t="shared" si="3"/>
        <v>Paid</v>
      </c>
      <c r="L925" s="25" t="str">
        <f t="shared" si="4"/>
        <v>Closed</v>
      </c>
      <c r="M925" s="30" t="str">
        <f t="shared" si="5"/>
        <v>No</v>
      </c>
    </row>
    <row r="926" ht="15.75" customHeight="1">
      <c r="A926" s="53" t="s">
        <v>2142</v>
      </c>
      <c r="B926" s="53" t="s">
        <v>2143</v>
      </c>
      <c r="C926" s="53" t="s">
        <v>1129</v>
      </c>
      <c r="D926" s="54">
        <v>46103.0</v>
      </c>
      <c r="E926" s="54">
        <v>46148.0</v>
      </c>
      <c r="F926" s="55">
        <v>387.0</v>
      </c>
      <c r="G926" s="54"/>
      <c r="H926" s="55">
        <v>0.0</v>
      </c>
      <c r="I926" s="55">
        <f t="shared" si="1"/>
        <v>387</v>
      </c>
      <c r="J926" s="56">
        <f t="shared" si="2"/>
        <v>10</v>
      </c>
      <c r="K926" s="53" t="str">
        <f t="shared" si="3"/>
        <v>0-30</v>
      </c>
      <c r="L926" s="53" t="str">
        <f t="shared" si="4"/>
        <v>Current</v>
      </c>
      <c r="M926" s="55" t="str">
        <f t="shared" si="5"/>
        <v>No</v>
      </c>
    </row>
    <row r="927" ht="15.75" customHeight="1">
      <c r="A927" s="25" t="s">
        <v>2144</v>
      </c>
      <c r="B927" s="25" t="s">
        <v>2145</v>
      </c>
      <c r="C927" s="25" t="s">
        <v>557</v>
      </c>
      <c r="D927" s="26">
        <v>46051.0</v>
      </c>
      <c r="E927" s="26">
        <v>46066.0</v>
      </c>
      <c r="F927" s="30">
        <v>43.5</v>
      </c>
      <c r="G927" s="26"/>
      <c r="H927" s="30">
        <v>0.0</v>
      </c>
      <c r="I927" s="30">
        <f t="shared" si="1"/>
        <v>43.5</v>
      </c>
      <c r="J927" s="29">
        <f t="shared" si="2"/>
        <v>92</v>
      </c>
      <c r="K927" s="25" t="str">
        <f t="shared" si="3"/>
        <v>90+</v>
      </c>
      <c r="L927" s="25" t="str">
        <f t="shared" si="4"/>
        <v>Escalate</v>
      </c>
      <c r="M927" s="30" t="str">
        <f t="shared" si="5"/>
        <v>Yes</v>
      </c>
    </row>
    <row r="928" ht="15.75" customHeight="1">
      <c r="A928" s="53" t="s">
        <v>2146</v>
      </c>
      <c r="B928" s="53" t="s">
        <v>2147</v>
      </c>
      <c r="C928" s="53" t="s">
        <v>557</v>
      </c>
      <c r="D928" s="54">
        <v>46143.0</v>
      </c>
      <c r="E928" s="54">
        <v>46173.0</v>
      </c>
      <c r="F928" s="55">
        <v>123.0</v>
      </c>
      <c r="G928" s="54">
        <v>46171.0</v>
      </c>
      <c r="H928" s="55">
        <v>123.0</v>
      </c>
      <c r="I928" s="55">
        <f t="shared" si="1"/>
        <v>0</v>
      </c>
      <c r="J928" s="56">
        <f t="shared" si="2"/>
        <v>0</v>
      </c>
      <c r="K928" s="53" t="str">
        <f t="shared" si="3"/>
        <v>Paid</v>
      </c>
      <c r="L928" s="53" t="str">
        <f t="shared" si="4"/>
        <v>Closed</v>
      </c>
      <c r="M928" s="55" t="str">
        <f t="shared" si="5"/>
        <v>No</v>
      </c>
    </row>
    <row r="929" ht="15.75" customHeight="1">
      <c r="A929" s="25" t="s">
        <v>2148</v>
      </c>
      <c r="B929" s="25" t="s">
        <v>2149</v>
      </c>
      <c r="C929" s="25" t="s">
        <v>1131</v>
      </c>
      <c r="D929" s="26">
        <v>46105.0</v>
      </c>
      <c r="E929" s="26">
        <v>46135.0</v>
      </c>
      <c r="F929" s="30">
        <v>66.0</v>
      </c>
      <c r="G929" s="26"/>
      <c r="H929" s="30">
        <v>0.0</v>
      </c>
      <c r="I929" s="30">
        <f t="shared" si="1"/>
        <v>66</v>
      </c>
      <c r="J929" s="29">
        <f t="shared" si="2"/>
        <v>23</v>
      </c>
      <c r="K929" s="25" t="str">
        <f t="shared" si="3"/>
        <v>0-30</v>
      </c>
      <c r="L929" s="25" t="str">
        <f t="shared" si="4"/>
        <v>Current</v>
      </c>
      <c r="M929" s="30" t="str">
        <f t="shared" si="5"/>
        <v>No</v>
      </c>
    </row>
    <row r="930" ht="15.75" customHeight="1">
      <c r="A930" s="53" t="s">
        <v>2150</v>
      </c>
      <c r="B930" s="53" t="s">
        <v>2151</v>
      </c>
      <c r="C930" s="53" t="s">
        <v>573</v>
      </c>
      <c r="D930" s="54">
        <v>46140.0</v>
      </c>
      <c r="E930" s="54">
        <v>46155.0</v>
      </c>
      <c r="F930" s="55">
        <v>387.0</v>
      </c>
      <c r="G930" s="54">
        <v>46150.0</v>
      </c>
      <c r="H930" s="55">
        <v>387.0</v>
      </c>
      <c r="I930" s="55">
        <f t="shared" si="1"/>
        <v>0</v>
      </c>
      <c r="J930" s="56">
        <f t="shared" si="2"/>
        <v>3</v>
      </c>
      <c r="K930" s="53" t="str">
        <f t="shared" si="3"/>
        <v>Paid</v>
      </c>
      <c r="L930" s="53" t="str">
        <f t="shared" si="4"/>
        <v>Closed</v>
      </c>
      <c r="M930" s="55" t="str">
        <f t="shared" si="5"/>
        <v>No</v>
      </c>
    </row>
    <row r="931" ht="15.75" customHeight="1">
      <c r="A931" s="25" t="s">
        <v>2152</v>
      </c>
      <c r="B931" s="25" t="s">
        <v>2153</v>
      </c>
      <c r="C931" s="25" t="s">
        <v>452</v>
      </c>
      <c r="D931" s="26">
        <v>46085.0</v>
      </c>
      <c r="E931" s="26">
        <v>46115.0</v>
      </c>
      <c r="F931" s="30">
        <v>252.0</v>
      </c>
      <c r="G931" s="26">
        <v>46126.0</v>
      </c>
      <c r="H931" s="30">
        <v>252.0</v>
      </c>
      <c r="I931" s="30">
        <f t="shared" si="1"/>
        <v>0</v>
      </c>
      <c r="J931" s="29">
        <f t="shared" si="2"/>
        <v>43</v>
      </c>
      <c r="K931" s="25" t="str">
        <f t="shared" si="3"/>
        <v>Paid</v>
      </c>
      <c r="L931" s="25" t="str">
        <f t="shared" si="4"/>
        <v>Closed</v>
      </c>
      <c r="M931" s="30" t="str">
        <f t="shared" si="5"/>
        <v>No</v>
      </c>
    </row>
    <row r="932" ht="15.75" customHeight="1">
      <c r="A932" s="53" t="s">
        <v>2154</v>
      </c>
      <c r="B932" s="53" t="s">
        <v>2155</v>
      </c>
      <c r="C932" s="53" t="s">
        <v>226</v>
      </c>
      <c r="D932" s="54">
        <v>46038.0</v>
      </c>
      <c r="E932" s="54">
        <v>46083.0</v>
      </c>
      <c r="F932" s="55">
        <v>378.0</v>
      </c>
      <c r="G932" s="54">
        <v>46093.0</v>
      </c>
      <c r="H932" s="55">
        <v>378.0</v>
      </c>
      <c r="I932" s="55">
        <f t="shared" si="1"/>
        <v>0</v>
      </c>
      <c r="J932" s="56">
        <f t="shared" si="2"/>
        <v>75</v>
      </c>
      <c r="K932" s="53" t="str">
        <f t="shared" si="3"/>
        <v>Paid</v>
      </c>
      <c r="L932" s="53" t="str">
        <f t="shared" si="4"/>
        <v>Closed</v>
      </c>
      <c r="M932" s="55" t="str">
        <f t="shared" si="5"/>
        <v>No</v>
      </c>
    </row>
    <row r="933" ht="15.75" customHeight="1">
      <c r="A933" s="25" t="s">
        <v>2156</v>
      </c>
      <c r="B933" s="25" t="s">
        <v>2157</v>
      </c>
      <c r="C933" s="25" t="s">
        <v>704</v>
      </c>
      <c r="D933" s="26">
        <v>46036.0</v>
      </c>
      <c r="E933" s="26">
        <v>46051.0</v>
      </c>
      <c r="F933" s="30">
        <v>378.0</v>
      </c>
      <c r="G933" s="26">
        <v>46066.0</v>
      </c>
      <c r="H933" s="30">
        <v>378.0</v>
      </c>
      <c r="I933" s="30">
        <f t="shared" si="1"/>
        <v>0</v>
      </c>
      <c r="J933" s="29">
        <f t="shared" si="2"/>
        <v>107</v>
      </c>
      <c r="K933" s="25" t="str">
        <f t="shared" si="3"/>
        <v>Paid</v>
      </c>
      <c r="L933" s="25" t="str">
        <f t="shared" si="4"/>
        <v>Closed</v>
      </c>
      <c r="M933" s="30" t="str">
        <f t="shared" si="5"/>
        <v>No</v>
      </c>
    </row>
    <row r="934" ht="15.75" customHeight="1">
      <c r="A934" s="53" t="s">
        <v>2158</v>
      </c>
      <c r="B934" s="53" t="s">
        <v>2159</v>
      </c>
      <c r="C934" s="53" t="s">
        <v>984</v>
      </c>
      <c r="D934" s="54">
        <v>46083.0</v>
      </c>
      <c r="E934" s="54">
        <v>46128.0</v>
      </c>
      <c r="F934" s="55">
        <v>246.0</v>
      </c>
      <c r="G934" s="54">
        <v>46138.0</v>
      </c>
      <c r="H934" s="55">
        <v>246.0</v>
      </c>
      <c r="I934" s="55">
        <f t="shared" si="1"/>
        <v>0</v>
      </c>
      <c r="J934" s="56">
        <f t="shared" si="2"/>
        <v>30</v>
      </c>
      <c r="K934" s="53" t="str">
        <f t="shared" si="3"/>
        <v>Paid</v>
      </c>
      <c r="L934" s="53" t="str">
        <f t="shared" si="4"/>
        <v>Closed</v>
      </c>
      <c r="M934" s="55" t="str">
        <f t="shared" si="5"/>
        <v>No</v>
      </c>
    </row>
    <row r="935" ht="15.75" customHeight="1">
      <c r="A935" s="25" t="s">
        <v>2160</v>
      </c>
      <c r="B935" s="25" t="s">
        <v>2161</v>
      </c>
      <c r="C935" s="25" t="s">
        <v>70</v>
      </c>
      <c r="D935" s="26">
        <v>46128.0</v>
      </c>
      <c r="E935" s="26">
        <v>46173.0</v>
      </c>
      <c r="F935" s="30">
        <v>138.0</v>
      </c>
      <c r="G935" s="26">
        <v>46201.0</v>
      </c>
      <c r="H935" s="30">
        <v>138.0</v>
      </c>
      <c r="I935" s="30">
        <f t="shared" si="1"/>
        <v>0</v>
      </c>
      <c r="J935" s="29">
        <f t="shared" si="2"/>
        <v>0</v>
      </c>
      <c r="K935" s="25" t="str">
        <f t="shared" si="3"/>
        <v>Paid</v>
      </c>
      <c r="L935" s="25" t="str">
        <f t="shared" si="4"/>
        <v>Closed</v>
      </c>
      <c r="M935" s="30" t="str">
        <f t="shared" si="5"/>
        <v>No</v>
      </c>
    </row>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935"/>
  <conditionalFormatting sqref="M2:M935">
    <cfRule type="expression" dxfId="1" priority="1">
      <formula>M2="Yes"</formula>
    </cfRule>
  </conditionalFormatting>
  <conditionalFormatting sqref="K2:K935">
    <cfRule type="expression" dxfId="1" priority="2">
      <formula>K2="90+"</formula>
    </cfRule>
  </conditionalFormatting>
  <conditionalFormatting sqref="K2:K935">
    <cfRule type="expression" dxfId="2" priority="3">
      <formula>K2="61-90"</formula>
    </cfRule>
  </conditionalFormatting>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21.0"/>
    <col customWidth="1" min="3" max="3" width="13.0"/>
    <col customWidth="1" min="4" max="4" width="32.0"/>
    <col customWidth="1" min="5" max="5" width="10.0"/>
    <col customWidth="1" min="6" max="7" width="25.0"/>
    <col customWidth="1" min="8" max="8" width="19.0"/>
    <col customWidth="1" min="9" max="9" width="21.0"/>
    <col customWidth="1" min="10" max="10" width="22.0"/>
    <col customWidth="1" min="11" max="11" width="32.0"/>
    <col customWidth="1" min="12" max="12" width="17.86"/>
    <col customWidth="1" min="13" max="26" width="8.71"/>
  </cols>
  <sheetData>
    <row r="1">
      <c r="A1" s="57" t="s">
        <v>43</v>
      </c>
      <c r="B1" s="57" t="s">
        <v>44</v>
      </c>
      <c r="C1" s="57" t="s">
        <v>45</v>
      </c>
      <c r="D1" s="57" t="s">
        <v>47</v>
      </c>
      <c r="E1" s="57" t="s">
        <v>50</v>
      </c>
      <c r="F1" s="57" t="s">
        <v>3837</v>
      </c>
      <c r="G1" s="57" t="s">
        <v>3838</v>
      </c>
      <c r="H1" s="57" t="s">
        <v>3839</v>
      </c>
      <c r="I1" s="57" t="s">
        <v>3840</v>
      </c>
      <c r="J1" s="57" t="s">
        <v>3841</v>
      </c>
      <c r="K1" s="57" t="s">
        <v>3842</v>
      </c>
      <c r="L1" s="57" t="s">
        <v>3843</v>
      </c>
    </row>
    <row r="2">
      <c r="A2" s="58" t="s">
        <v>62</v>
      </c>
      <c r="B2" s="59">
        <v>46038.0</v>
      </c>
      <c r="C2" s="58"/>
      <c r="D2" s="58" t="str">
        <f>IFERROR(VLOOKUP(C2,customer_lookup!$A:$E,3,FALSE),"")</f>
        <v/>
      </c>
      <c r="E2" s="58" t="s">
        <v>64</v>
      </c>
      <c r="F2" s="58" t="s">
        <v>3844</v>
      </c>
      <c r="G2" s="59">
        <v>46134.0</v>
      </c>
      <c r="H2" s="58" t="s">
        <v>3845</v>
      </c>
      <c r="I2" s="58" t="s">
        <v>97</v>
      </c>
      <c r="J2" s="58" t="s">
        <v>2246</v>
      </c>
      <c r="K2" s="58" t="s">
        <v>3846</v>
      </c>
      <c r="L2" s="58" t="s">
        <v>3847</v>
      </c>
    </row>
    <row r="3">
      <c r="A3" s="25" t="s">
        <v>66</v>
      </c>
      <c r="B3" s="26">
        <v>46100.0</v>
      </c>
      <c r="C3" s="25"/>
      <c r="D3" s="25" t="str">
        <f>IFERROR(VLOOKUP(C3,customer_lookup!$A:$E,3,FALSE),"")</f>
        <v/>
      </c>
      <c r="E3" s="25" t="s">
        <v>68</v>
      </c>
      <c r="F3" s="25" t="s">
        <v>3844</v>
      </c>
      <c r="G3" s="26">
        <v>46223.0</v>
      </c>
      <c r="H3" s="25"/>
      <c r="I3" s="25" t="s">
        <v>97</v>
      </c>
      <c r="J3" s="25" t="s">
        <v>2247</v>
      </c>
      <c r="K3" s="25" t="s">
        <v>3848</v>
      </c>
      <c r="L3" s="25" t="s">
        <v>3847</v>
      </c>
    </row>
    <row r="4">
      <c r="A4" s="58" t="s">
        <v>697</v>
      </c>
      <c r="B4" s="59">
        <v>46113.0</v>
      </c>
      <c r="C4" s="58" t="s">
        <v>698</v>
      </c>
      <c r="D4" s="58" t="s">
        <v>3849</v>
      </c>
      <c r="E4" s="58" t="s">
        <v>85</v>
      </c>
      <c r="F4" s="58" t="s">
        <v>3844</v>
      </c>
      <c r="G4" s="59">
        <v>46194.0</v>
      </c>
      <c r="H4" s="58" t="s">
        <v>3850</v>
      </c>
      <c r="I4" s="58" t="s">
        <v>97</v>
      </c>
      <c r="J4" s="58" t="s">
        <v>2246</v>
      </c>
      <c r="K4" s="58" t="s">
        <v>3846</v>
      </c>
      <c r="L4" s="58" t="s">
        <v>3851</v>
      </c>
    </row>
    <row r="5">
      <c r="A5" s="25" t="s">
        <v>954</v>
      </c>
      <c r="B5" s="26">
        <v>46054.0</v>
      </c>
      <c r="C5" s="25" t="s">
        <v>955</v>
      </c>
      <c r="D5" s="25" t="s">
        <v>3849</v>
      </c>
      <c r="E5" s="25" t="s">
        <v>74</v>
      </c>
      <c r="F5" s="25" t="s">
        <v>3844</v>
      </c>
      <c r="G5" s="26">
        <v>46107.0</v>
      </c>
      <c r="H5" s="25" t="s">
        <v>3852</v>
      </c>
      <c r="I5" s="25" t="s">
        <v>3853</v>
      </c>
      <c r="J5" s="25" t="s">
        <v>2247</v>
      </c>
      <c r="K5" s="25" t="s">
        <v>3854</v>
      </c>
      <c r="L5" s="25" t="s">
        <v>3855</v>
      </c>
    </row>
    <row r="6">
      <c r="A6" s="58" t="s">
        <v>294</v>
      </c>
      <c r="B6" s="59">
        <v>46140.0</v>
      </c>
      <c r="C6" s="58" t="s">
        <v>295</v>
      </c>
      <c r="D6" s="58" t="s">
        <v>3849</v>
      </c>
      <c r="E6" s="58" t="s">
        <v>64</v>
      </c>
      <c r="F6" s="58" t="s">
        <v>3844</v>
      </c>
      <c r="G6" s="59">
        <v>46147.0</v>
      </c>
      <c r="H6" s="58" t="s">
        <v>3856</v>
      </c>
      <c r="I6" s="58" t="s">
        <v>97</v>
      </c>
      <c r="J6" s="58" t="s">
        <v>2246</v>
      </c>
      <c r="K6" s="58" t="s">
        <v>3846</v>
      </c>
      <c r="L6" s="58" t="s">
        <v>3855</v>
      </c>
    </row>
    <row r="7">
      <c r="A7" s="25" t="s">
        <v>296</v>
      </c>
      <c r="B7" s="26">
        <v>46064.0</v>
      </c>
      <c r="C7" s="25" t="s">
        <v>297</v>
      </c>
      <c r="D7" s="25" t="s">
        <v>3849</v>
      </c>
      <c r="E7" s="25" t="s">
        <v>92</v>
      </c>
      <c r="F7" s="25" t="s">
        <v>3857</v>
      </c>
      <c r="G7" s="26">
        <v>46079.0</v>
      </c>
      <c r="H7" s="25" t="s">
        <v>3858</v>
      </c>
      <c r="I7" s="25" t="s">
        <v>97</v>
      </c>
      <c r="J7" s="25" t="s">
        <v>2246</v>
      </c>
      <c r="K7" s="25" t="s">
        <v>3846</v>
      </c>
      <c r="L7" s="25" t="s">
        <v>3847</v>
      </c>
    </row>
    <row r="8">
      <c r="A8" s="58" t="s">
        <v>304</v>
      </c>
      <c r="B8" s="59">
        <v>46139.0</v>
      </c>
      <c r="C8" s="58" t="s">
        <v>305</v>
      </c>
      <c r="D8" s="58" t="s">
        <v>3849</v>
      </c>
      <c r="E8" s="58" t="s">
        <v>110</v>
      </c>
      <c r="F8" s="58" t="s">
        <v>3857</v>
      </c>
      <c r="G8" s="59">
        <v>46150.0</v>
      </c>
      <c r="H8" s="58" t="s">
        <v>3859</v>
      </c>
      <c r="I8" s="58" t="s">
        <v>97</v>
      </c>
      <c r="J8" s="58" t="s">
        <v>2246</v>
      </c>
      <c r="K8" s="58" t="s">
        <v>3846</v>
      </c>
      <c r="L8" s="58" t="s">
        <v>3847</v>
      </c>
    </row>
    <row r="9">
      <c r="A9" s="25" t="s">
        <v>1078</v>
      </c>
      <c r="B9" s="26">
        <v>46129.0</v>
      </c>
      <c r="C9" s="25" t="s">
        <v>1079</v>
      </c>
      <c r="D9" s="25" t="s">
        <v>3849</v>
      </c>
      <c r="E9" s="25" t="s">
        <v>115</v>
      </c>
      <c r="F9" s="25" t="s">
        <v>3844</v>
      </c>
      <c r="G9" s="26">
        <v>46248.0</v>
      </c>
      <c r="H9" s="25" t="s">
        <v>3860</v>
      </c>
      <c r="I9" s="25" t="s">
        <v>97</v>
      </c>
      <c r="J9" s="25" t="s">
        <v>2246</v>
      </c>
      <c r="K9" s="25" t="s">
        <v>3846</v>
      </c>
      <c r="L9" s="25" t="s">
        <v>3851</v>
      </c>
    </row>
    <row r="10">
      <c r="A10" s="58" t="s">
        <v>307</v>
      </c>
      <c r="B10" s="59">
        <v>46049.0</v>
      </c>
      <c r="C10" s="58" t="s">
        <v>305</v>
      </c>
      <c r="D10" s="58" t="s">
        <v>3849</v>
      </c>
      <c r="E10" s="58" t="s">
        <v>64</v>
      </c>
      <c r="F10" s="58" t="s">
        <v>3844</v>
      </c>
      <c r="G10" s="59">
        <v>46084.0</v>
      </c>
      <c r="H10" s="58" t="s">
        <v>3861</v>
      </c>
      <c r="I10" s="58" t="s">
        <v>97</v>
      </c>
      <c r="J10" s="58" t="s">
        <v>2246</v>
      </c>
      <c r="K10" s="58" t="s">
        <v>3846</v>
      </c>
      <c r="L10" s="58" t="s">
        <v>3851</v>
      </c>
    </row>
    <row r="11">
      <c r="A11" s="25" t="s">
        <v>451</v>
      </c>
      <c r="B11" s="26">
        <v>46028.0</v>
      </c>
      <c r="C11" s="25" t="s">
        <v>452</v>
      </c>
      <c r="D11" s="25" t="s">
        <v>3849</v>
      </c>
      <c r="E11" s="25" t="s">
        <v>71</v>
      </c>
      <c r="F11" s="25" t="s">
        <v>3844</v>
      </c>
      <c r="G11" s="26">
        <v>46124.0</v>
      </c>
      <c r="H11" s="25" t="s">
        <v>3862</v>
      </c>
      <c r="I11" s="25" t="s">
        <v>97</v>
      </c>
      <c r="J11" s="25" t="s">
        <v>2246</v>
      </c>
      <c r="K11" s="25" t="s">
        <v>3846</v>
      </c>
      <c r="L11" s="25" t="s">
        <v>3851</v>
      </c>
    </row>
    <row r="12">
      <c r="A12" s="58" t="s">
        <v>308</v>
      </c>
      <c r="B12" s="59">
        <v>46128.0</v>
      </c>
      <c r="C12" s="58" t="s">
        <v>297</v>
      </c>
      <c r="D12" s="58" t="s">
        <v>3849</v>
      </c>
      <c r="E12" s="58" t="s">
        <v>92</v>
      </c>
      <c r="F12" s="58" t="s">
        <v>3844</v>
      </c>
      <c r="G12" s="59">
        <v>46134.0</v>
      </c>
      <c r="H12" s="58" t="s">
        <v>3863</v>
      </c>
      <c r="I12" s="58" t="s">
        <v>97</v>
      </c>
      <c r="J12" s="58" t="s">
        <v>2246</v>
      </c>
      <c r="K12" s="58" t="s">
        <v>3846</v>
      </c>
      <c r="L12" s="58" t="s">
        <v>3855</v>
      </c>
    </row>
    <row r="13">
      <c r="A13" s="25" t="s">
        <v>1088</v>
      </c>
      <c r="B13" s="26">
        <v>46093.0</v>
      </c>
      <c r="C13" s="25" t="s">
        <v>1079</v>
      </c>
      <c r="D13" s="25" t="s">
        <v>3849</v>
      </c>
      <c r="E13" s="25" t="s">
        <v>190</v>
      </c>
      <c r="F13" s="25" t="s">
        <v>3844</v>
      </c>
      <c r="G13" s="26">
        <v>46215.0</v>
      </c>
      <c r="H13" s="25" t="s">
        <v>3864</v>
      </c>
      <c r="I13" s="25" t="s">
        <v>97</v>
      </c>
      <c r="J13" s="25" t="s">
        <v>2246</v>
      </c>
      <c r="K13" s="25" t="s">
        <v>3846</v>
      </c>
      <c r="L13" s="25" t="s">
        <v>3855</v>
      </c>
    </row>
    <row r="14">
      <c r="A14" s="58" t="s">
        <v>309</v>
      </c>
      <c r="B14" s="59">
        <v>46067.0</v>
      </c>
      <c r="C14" s="58" t="s">
        <v>310</v>
      </c>
      <c r="D14" s="58" t="s">
        <v>3849</v>
      </c>
      <c r="E14" s="58" t="s">
        <v>110</v>
      </c>
      <c r="F14" s="58" t="s">
        <v>3857</v>
      </c>
      <c r="G14" s="59">
        <v>46107.0</v>
      </c>
      <c r="H14" s="58" t="s">
        <v>3865</v>
      </c>
      <c r="I14" s="58" t="s">
        <v>97</v>
      </c>
      <c r="J14" s="58" t="s">
        <v>2246</v>
      </c>
      <c r="K14" s="58" t="s">
        <v>3846</v>
      </c>
      <c r="L14" s="58" t="s">
        <v>3847</v>
      </c>
    </row>
    <row r="15">
      <c r="A15" s="25" t="s">
        <v>1091</v>
      </c>
      <c r="B15" s="26">
        <v>46129.0</v>
      </c>
      <c r="C15" s="25" t="s">
        <v>1079</v>
      </c>
      <c r="D15" s="25" t="s">
        <v>3849</v>
      </c>
      <c r="E15" s="25" t="s">
        <v>95</v>
      </c>
      <c r="F15" s="25" t="s">
        <v>3844</v>
      </c>
      <c r="G15" s="26">
        <v>46289.0</v>
      </c>
      <c r="H15" s="25" t="s">
        <v>3866</v>
      </c>
      <c r="I15" s="25" t="s">
        <v>97</v>
      </c>
      <c r="J15" s="25" t="s">
        <v>2246</v>
      </c>
      <c r="K15" s="25" t="s">
        <v>3846</v>
      </c>
      <c r="L15" s="25" t="s">
        <v>3851</v>
      </c>
    </row>
    <row r="16">
      <c r="A16" s="58" t="s">
        <v>732</v>
      </c>
      <c r="B16" s="59">
        <v>46073.0</v>
      </c>
      <c r="C16" s="58" t="s">
        <v>733</v>
      </c>
      <c r="D16" s="58" t="s">
        <v>3849</v>
      </c>
      <c r="E16" s="58" t="s">
        <v>154</v>
      </c>
      <c r="F16" s="58" t="s">
        <v>3844</v>
      </c>
      <c r="G16" s="59">
        <v>46185.0</v>
      </c>
      <c r="H16" s="58" t="s">
        <v>3867</v>
      </c>
      <c r="I16" s="58" t="s">
        <v>97</v>
      </c>
      <c r="J16" s="58" t="s">
        <v>2246</v>
      </c>
      <c r="K16" s="58" t="s">
        <v>3846</v>
      </c>
      <c r="L16" s="58" t="s">
        <v>3855</v>
      </c>
    </row>
    <row r="17">
      <c r="A17" s="25" t="s">
        <v>316</v>
      </c>
      <c r="B17" s="26">
        <v>46114.0</v>
      </c>
      <c r="C17" s="25" t="s">
        <v>297</v>
      </c>
      <c r="D17" s="25" t="s">
        <v>3849</v>
      </c>
      <c r="E17" s="25" t="s">
        <v>92</v>
      </c>
      <c r="F17" s="25" t="s">
        <v>3844</v>
      </c>
      <c r="G17" s="26">
        <v>46274.0</v>
      </c>
      <c r="H17" s="25" t="s">
        <v>3868</v>
      </c>
      <c r="I17" s="25" t="s">
        <v>97</v>
      </c>
      <c r="J17" s="25" t="s">
        <v>2246</v>
      </c>
      <c r="K17" s="25" t="s">
        <v>3846</v>
      </c>
      <c r="L17" s="25" t="s">
        <v>3851</v>
      </c>
    </row>
    <row r="18">
      <c r="A18" s="58" t="s">
        <v>1092</v>
      </c>
      <c r="B18" s="59">
        <v>46057.0</v>
      </c>
      <c r="C18" s="58" t="s">
        <v>1079</v>
      </c>
      <c r="D18" s="58" t="s">
        <v>3849</v>
      </c>
      <c r="E18" s="58" t="s">
        <v>74</v>
      </c>
      <c r="F18" s="58" t="s">
        <v>3844</v>
      </c>
      <c r="G18" s="59">
        <v>46154.0</v>
      </c>
      <c r="H18" s="58" t="s">
        <v>3869</v>
      </c>
      <c r="I18" s="58" t="s">
        <v>3853</v>
      </c>
      <c r="J18" s="58" t="s">
        <v>2247</v>
      </c>
      <c r="K18" s="58" t="s">
        <v>3854</v>
      </c>
      <c r="L18" s="58" t="s">
        <v>3847</v>
      </c>
    </row>
    <row r="19">
      <c r="A19" s="25" t="s">
        <v>323</v>
      </c>
      <c r="B19" s="26">
        <v>46058.0</v>
      </c>
      <c r="C19" s="25" t="s">
        <v>297</v>
      </c>
      <c r="D19" s="25" t="s">
        <v>3849</v>
      </c>
      <c r="E19" s="25" t="s">
        <v>102</v>
      </c>
      <c r="F19" s="25" t="s">
        <v>3844</v>
      </c>
      <c r="G19" s="26">
        <v>46061.0</v>
      </c>
      <c r="H19" s="25" t="s">
        <v>3870</v>
      </c>
      <c r="I19" s="25" t="s">
        <v>3853</v>
      </c>
      <c r="J19" s="25" t="s">
        <v>2247</v>
      </c>
      <c r="K19" s="25" t="s">
        <v>3854</v>
      </c>
      <c r="L19" s="25" t="s">
        <v>3847</v>
      </c>
    </row>
    <row r="20">
      <c r="A20" s="58" t="s">
        <v>475</v>
      </c>
      <c r="B20" s="59">
        <v>46025.0</v>
      </c>
      <c r="C20" s="58" t="s">
        <v>452</v>
      </c>
      <c r="D20" s="58" t="s">
        <v>3849</v>
      </c>
      <c r="E20" s="58" t="s">
        <v>85</v>
      </c>
      <c r="F20" s="58" t="s">
        <v>3857</v>
      </c>
      <c r="G20" s="59">
        <v>46075.0</v>
      </c>
      <c r="H20" s="58" t="s">
        <v>3871</v>
      </c>
      <c r="I20" s="58" t="s">
        <v>97</v>
      </c>
      <c r="J20" s="58" t="s">
        <v>2246</v>
      </c>
      <c r="K20" s="58" t="s">
        <v>3846</v>
      </c>
      <c r="L20" s="58" t="s">
        <v>3851</v>
      </c>
    </row>
    <row r="21" ht="15.75" customHeight="1">
      <c r="A21" s="25" t="s">
        <v>748</v>
      </c>
      <c r="B21" s="26">
        <v>46084.0</v>
      </c>
      <c r="C21" s="25" t="s">
        <v>698</v>
      </c>
      <c r="D21" s="25" t="s">
        <v>3849</v>
      </c>
      <c r="E21" s="25" t="s">
        <v>162</v>
      </c>
      <c r="F21" s="25" t="s">
        <v>3857</v>
      </c>
      <c r="G21" s="26">
        <v>46094.0</v>
      </c>
      <c r="H21" s="25" t="s">
        <v>3872</v>
      </c>
      <c r="I21" s="25" t="s">
        <v>97</v>
      </c>
      <c r="J21" s="25" t="s">
        <v>2246</v>
      </c>
      <c r="K21" s="25" t="s">
        <v>3846</v>
      </c>
      <c r="L21" s="25" t="s">
        <v>3851</v>
      </c>
    </row>
    <row r="22" ht="15.75" customHeight="1">
      <c r="A22" s="58" t="s">
        <v>751</v>
      </c>
      <c r="B22" s="59">
        <v>46088.0</v>
      </c>
      <c r="C22" s="58" t="s">
        <v>698</v>
      </c>
      <c r="D22" s="58" t="s">
        <v>3849</v>
      </c>
      <c r="E22" s="58" t="s">
        <v>85</v>
      </c>
      <c r="F22" s="58" t="s">
        <v>3844</v>
      </c>
      <c r="G22" s="59">
        <v>46076.0</v>
      </c>
      <c r="H22" s="58" t="s">
        <v>3873</v>
      </c>
      <c r="I22" s="58" t="s">
        <v>97</v>
      </c>
      <c r="J22" s="58" t="s">
        <v>2246</v>
      </c>
      <c r="K22" s="58" t="s">
        <v>3846</v>
      </c>
      <c r="L22" s="58" t="s">
        <v>3855</v>
      </c>
    </row>
    <row r="23" ht="15.75" customHeight="1">
      <c r="A23" s="25" t="s">
        <v>333</v>
      </c>
      <c r="B23" s="26">
        <v>46043.0</v>
      </c>
      <c r="C23" s="25" t="s">
        <v>305</v>
      </c>
      <c r="D23" s="25" t="s">
        <v>3849</v>
      </c>
      <c r="E23" s="25" t="s">
        <v>102</v>
      </c>
      <c r="F23" s="25" t="s">
        <v>3844</v>
      </c>
      <c r="G23" s="26">
        <v>46160.0</v>
      </c>
      <c r="H23" s="25"/>
      <c r="I23" s="25" t="s">
        <v>3853</v>
      </c>
      <c r="J23" s="25" t="s">
        <v>2247</v>
      </c>
      <c r="K23" s="25" t="s">
        <v>3874</v>
      </c>
      <c r="L23" s="25" t="s">
        <v>3851</v>
      </c>
    </row>
    <row r="24" ht="15.75" customHeight="1">
      <c r="A24" s="58" t="s">
        <v>334</v>
      </c>
      <c r="B24" s="59">
        <v>46090.0</v>
      </c>
      <c r="C24" s="58" t="s">
        <v>295</v>
      </c>
      <c r="D24" s="58" t="s">
        <v>3849</v>
      </c>
      <c r="E24" s="58" t="s">
        <v>110</v>
      </c>
      <c r="F24" s="58" t="s">
        <v>3844</v>
      </c>
      <c r="G24" s="59">
        <v>46174.0</v>
      </c>
      <c r="H24" s="58" t="s">
        <v>3875</v>
      </c>
      <c r="I24" s="58" t="s">
        <v>97</v>
      </c>
      <c r="J24" s="58" t="s">
        <v>2246</v>
      </c>
      <c r="K24" s="58" t="s">
        <v>3846</v>
      </c>
      <c r="L24" s="58" t="s">
        <v>3851</v>
      </c>
    </row>
    <row r="25" ht="15.75" customHeight="1">
      <c r="A25" s="25" t="s">
        <v>991</v>
      </c>
      <c r="B25" s="26">
        <v>46065.0</v>
      </c>
      <c r="C25" s="25" t="s">
        <v>955</v>
      </c>
      <c r="D25" s="25" t="s">
        <v>3849</v>
      </c>
      <c r="E25" s="25" t="s">
        <v>156</v>
      </c>
      <c r="F25" s="25" t="s">
        <v>3844</v>
      </c>
      <c r="G25" s="26">
        <v>46152.0</v>
      </c>
      <c r="H25" s="25" t="s">
        <v>3876</v>
      </c>
      <c r="I25" s="25" t="s">
        <v>97</v>
      </c>
      <c r="J25" s="25" t="s">
        <v>2246</v>
      </c>
      <c r="K25" s="25" t="s">
        <v>3846</v>
      </c>
      <c r="L25" s="25" t="s">
        <v>3847</v>
      </c>
    </row>
    <row r="26" ht="15.75" customHeight="1">
      <c r="A26" s="58" t="s">
        <v>206</v>
      </c>
      <c r="B26" s="59">
        <v>46030.0</v>
      </c>
      <c r="C26" s="58" t="s">
        <v>207</v>
      </c>
      <c r="D26" s="58" t="s">
        <v>3849</v>
      </c>
      <c r="E26" s="58" t="s">
        <v>110</v>
      </c>
      <c r="F26" s="58" t="s">
        <v>3844</v>
      </c>
      <c r="G26" s="59">
        <v>46143.0</v>
      </c>
      <c r="H26" s="58" t="s">
        <v>3877</v>
      </c>
      <c r="I26" s="58" t="s">
        <v>97</v>
      </c>
      <c r="J26" s="58" t="s">
        <v>2246</v>
      </c>
      <c r="K26" s="58" t="s">
        <v>3846</v>
      </c>
      <c r="L26" s="58" t="s">
        <v>3851</v>
      </c>
    </row>
    <row r="27" ht="15.75" customHeight="1">
      <c r="A27" s="25" t="s">
        <v>337</v>
      </c>
      <c r="B27" s="26">
        <v>46114.0</v>
      </c>
      <c r="C27" s="25" t="s">
        <v>305</v>
      </c>
      <c r="D27" s="25" t="s">
        <v>3849</v>
      </c>
      <c r="E27" s="25" t="s">
        <v>92</v>
      </c>
      <c r="F27" s="25" t="s">
        <v>3844</v>
      </c>
      <c r="G27" s="26">
        <v>46253.0</v>
      </c>
      <c r="H27" s="25"/>
      <c r="I27" s="25" t="s">
        <v>97</v>
      </c>
      <c r="J27" s="25" t="s">
        <v>2247</v>
      </c>
      <c r="K27" s="25" t="s">
        <v>3848</v>
      </c>
      <c r="L27" s="25" t="s">
        <v>3851</v>
      </c>
    </row>
    <row r="28" ht="15.75" customHeight="1">
      <c r="A28" s="58" t="s">
        <v>1099</v>
      </c>
      <c r="B28" s="59">
        <v>46104.0</v>
      </c>
      <c r="C28" s="58" t="s">
        <v>1079</v>
      </c>
      <c r="D28" s="58" t="s">
        <v>3849</v>
      </c>
      <c r="E28" s="58" t="s">
        <v>106</v>
      </c>
      <c r="F28" s="58" t="s">
        <v>3844</v>
      </c>
      <c r="G28" s="59">
        <v>46170.0</v>
      </c>
      <c r="H28" s="58" t="s">
        <v>3878</v>
      </c>
      <c r="I28" s="58" t="s">
        <v>97</v>
      </c>
      <c r="J28" s="58" t="s">
        <v>2246</v>
      </c>
      <c r="K28" s="58" t="s">
        <v>3846</v>
      </c>
      <c r="L28" s="58" t="s">
        <v>3855</v>
      </c>
    </row>
    <row r="29" ht="15.75" customHeight="1">
      <c r="A29" s="25" t="s">
        <v>342</v>
      </c>
      <c r="B29" s="26">
        <v>46039.0</v>
      </c>
      <c r="C29" s="25" t="s">
        <v>310</v>
      </c>
      <c r="D29" s="25" t="s">
        <v>3849</v>
      </c>
      <c r="E29" s="25" t="s">
        <v>110</v>
      </c>
      <c r="F29" s="25" t="s">
        <v>3879</v>
      </c>
      <c r="G29" s="26">
        <v>46193.0</v>
      </c>
      <c r="H29" s="25" t="s">
        <v>3880</v>
      </c>
      <c r="I29" s="25" t="s">
        <v>97</v>
      </c>
      <c r="J29" s="25" t="s">
        <v>2247</v>
      </c>
      <c r="K29" s="25" t="s">
        <v>3881</v>
      </c>
      <c r="L29" s="25" t="s">
        <v>3847</v>
      </c>
    </row>
    <row r="30" ht="15.75" customHeight="1">
      <c r="A30" s="58" t="s">
        <v>767</v>
      </c>
      <c r="B30" s="59">
        <v>46062.0</v>
      </c>
      <c r="C30" s="58" t="s">
        <v>698</v>
      </c>
      <c r="D30" s="58" t="s">
        <v>3849</v>
      </c>
      <c r="E30" s="58" t="s">
        <v>68</v>
      </c>
      <c r="F30" s="58" t="s">
        <v>3879</v>
      </c>
      <c r="G30" s="59">
        <v>46182.0</v>
      </c>
      <c r="H30" s="58" t="s">
        <v>3882</v>
      </c>
      <c r="I30" s="58" t="s">
        <v>97</v>
      </c>
      <c r="J30" s="58" t="s">
        <v>2247</v>
      </c>
      <c r="K30" s="58" t="s">
        <v>3881</v>
      </c>
      <c r="L30" s="58" t="s">
        <v>3847</v>
      </c>
    </row>
    <row r="31" ht="15.75" customHeight="1">
      <c r="A31" s="25" t="s">
        <v>490</v>
      </c>
      <c r="B31" s="26">
        <v>46066.0</v>
      </c>
      <c r="C31" s="25" t="s">
        <v>452</v>
      </c>
      <c r="D31" s="25" t="s">
        <v>3849</v>
      </c>
      <c r="E31" s="25" t="s">
        <v>156</v>
      </c>
      <c r="F31" s="25" t="s">
        <v>3844</v>
      </c>
      <c r="G31" s="26">
        <v>46177.0</v>
      </c>
      <c r="H31" s="25" t="s">
        <v>3883</v>
      </c>
      <c r="I31" s="25" t="s">
        <v>97</v>
      </c>
      <c r="J31" s="25" t="s">
        <v>2246</v>
      </c>
      <c r="K31" s="25" t="s">
        <v>3846</v>
      </c>
      <c r="L31" s="25" t="s">
        <v>3855</v>
      </c>
    </row>
    <row r="32" ht="15.75" customHeight="1">
      <c r="A32" s="58" t="s">
        <v>774</v>
      </c>
      <c r="B32" s="59">
        <v>46058.0</v>
      </c>
      <c r="C32" s="58" t="s">
        <v>698</v>
      </c>
      <c r="D32" s="58" t="s">
        <v>3849</v>
      </c>
      <c r="E32" s="58" t="s">
        <v>123</v>
      </c>
      <c r="F32" s="58" t="s">
        <v>3844</v>
      </c>
      <c r="G32" s="59">
        <v>46074.0</v>
      </c>
      <c r="H32" s="58" t="s">
        <v>3884</v>
      </c>
      <c r="I32" s="58" t="s">
        <v>97</v>
      </c>
      <c r="J32" s="58" t="s">
        <v>2246</v>
      </c>
      <c r="K32" s="58" t="s">
        <v>3846</v>
      </c>
      <c r="L32" s="58" t="s">
        <v>3847</v>
      </c>
    </row>
    <row r="33" ht="15.75" customHeight="1">
      <c r="A33" s="25" t="s">
        <v>491</v>
      </c>
      <c r="B33" s="26">
        <v>46089.0</v>
      </c>
      <c r="C33" s="25" t="s">
        <v>452</v>
      </c>
      <c r="D33" s="25" t="s">
        <v>3849</v>
      </c>
      <c r="E33" s="25" t="s">
        <v>154</v>
      </c>
      <c r="F33" s="25" t="s">
        <v>3844</v>
      </c>
      <c r="G33" s="26">
        <v>46156.0</v>
      </c>
      <c r="H33" s="25" t="s">
        <v>3885</v>
      </c>
      <c r="I33" s="25" t="s">
        <v>97</v>
      </c>
      <c r="J33" s="25" t="s">
        <v>2246</v>
      </c>
      <c r="K33" s="25" t="s">
        <v>3846</v>
      </c>
      <c r="L33" s="25" t="s">
        <v>3847</v>
      </c>
    </row>
    <row r="34" ht="15.75" customHeight="1">
      <c r="A34" s="58" t="s">
        <v>220</v>
      </c>
      <c r="B34" s="59">
        <v>46032.0</v>
      </c>
      <c r="C34" s="58" t="s">
        <v>207</v>
      </c>
      <c r="D34" s="58" t="s">
        <v>3849</v>
      </c>
      <c r="E34" s="58" t="s">
        <v>110</v>
      </c>
      <c r="F34" s="58" t="s">
        <v>3844</v>
      </c>
      <c r="G34" s="59">
        <v>46028.0</v>
      </c>
      <c r="H34" s="58" t="s">
        <v>3886</v>
      </c>
      <c r="I34" s="58" t="s">
        <v>97</v>
      </c>
      <c r="J34" s="58" t="s">
        <v>2246</v>
      </c>
      <c r="K34" s="58" t="s">
        <v>3846</v>
      </c>
      <c r="L34" s="58" t="s">
        <v>3851</v>
      </c>
    </row>
    <row r="35" ht="15.75" customHeight="1">
      <c r="A35" s="25" t="s">
        <v>355</v>
      </c>
      <c r="B35" s="26">
        <v>46025.0</v>
      </c>
      <c r="C35" s="25" t="s">
        <v>305</v>
      </c>
      <c r="D35" s="25" t="s">
        <v>3849</v>
      </c>
      <c r="E35" s="25" t="s">
        <v>78</v>
      </c>
      <c r="F35" s="25" t="s">
        <v>3844</v>
      </c>
      <c r="G35" s="26">
        <v>46153.0</v>
      </c>
      <c r="H35" s="25" t="s">
        <v>3887</v>
      </c>
      <c r="I35" s="25" t="s">
        <v>97</v>
      </c>
      <c r="J35" s="25" t="s">
        <v>2246</v>
      </c>
      <c r="K35" s="25" t="s">
        <v>3846</v>
      </c>
      <c r="L35" s="25" t="s">
        <v>3847</v>
      </c>
    </row>
    <row r="36" ht="15.75" customHeight="1">
      <c r="A36" s="58" t="s">
        <v>356</v>
      </c>
      <c r="B36" s="59">
        <v>46047.0</v>
      </c>
      <c r="C36" s="58" t="s">
        <v>297</v>
      </c>
      <c r="D36" s="58" t="s">
        <v>3849</v>
      </c>
      <c r="E36" s="58" t="s">
        <v>115</v>
      </c>
      <c r="F36" s="58" t="s">
        <v>3857</v>
      </c>
      <c r="G36" s="59">
        <v>46050.0</v>
      </c>
      <c r="H36" s="58" t="s">
        <v>3888</v>
      </c>
      <c r="I36" s="58" t="s">
        <v>97</v>
      </c>
      <c r="J36" s="58" t="s">
        <v>2246</v>
      </c>
      <c r="K36" s="58" t="s">
        <v>3846</v>
      </c>
      <c r="L36" s="58" t="s">
        <v>3851</v>
      </c>
    </row>
    <row r="37" ht="15.75" customHeight="1">
      <c r="A37" s="25" t="s">
        <v>498</v>
      </c>
      <c r="B37" s="26">
        <v>46033.0</v>
      </c>
      <c r="C37" s="25" t="s">
        <v>452</v>
      </c>
      <c r="D37" s="25" t="s">
        <v>3849</v>
      </c>
      <c r="E37" s="25" t="s">
        <v>68</v>
      </c>
      <c r="F37" s="25" t="s">
        <v>3844</v>
      </c>
      <c r="G37" s="26">
        <v>46178.0</v>
      </c>
      <c r="H37" s="25" t="s">
        <v>3889</v>
      </c>
      <c r="I37" s="25" t="s">
        <v>97</v>
      </c>
      <c r="J37" s="25" t="s">
        <v>2246</v>
      </c>
      <c r="K37" s="25" t="s">
        <v>3846</v>
      </c>
      <c r="L37" s="25" t="s">
        <v>3851</v>
      </c>
    </row>
    <row r="38" ht="15.75" customHeight="1">
      <c r="A38" s="58" t="s">
        <v>358</v>
      </c>
      <c r="B38" s="59">
        <v>46122.0</v>
      </c>
      <c r="C38" s="58" t="s">
        <v>295</v>
      </c>
      <c r="D38" s="58" t="s">
        <v>3849</v>
      </c>
      <c r="E38" s="58" t="s">
        <v>95</v>
      </c>
      <c r="F38" s="58" t="s">
        <v>3844</v>
      </c>
      <c r="G38" s="59">
        <v>46159.0</v>
      </c>
      <c r="H38" s="58" t="s">
        <v>3890</v>
      </c>
      <c r="I38" s="58" t="s">
        <v>97</v>
      </c>
      <c r="J38" s="58" t="s">
        <v>2246</v>
      </c>
      <c r="K38" s="58" t="s">
        <v>3846</v>
      </c>
      <c r="L38" s="58" t="s">
        <v>3855</v>
      </c>
    </row>
    <row r="39" ht="15.75" customHeight="1">
      <c r="A39" s="25" t="s">
        <v>359</v>
      </c>
      <c r="B39" s="26">
        <v>46089.0</v>
      </c>
      <c r="C39" s="25" t="s">
        <v>295</v>
      </c>
      <c r="D39" s="25" t="s">
        <v>3849</v>
      </c>
      <c r="E39" s="25" t="s">
        <v>190</v>
      </c>
      <c r="F39" s="25" t="s">
        <v>3844</v>
      </c>
      <c r="G39" s="26">
        <v>46228.0</v>
      </c>
      <c r="H39" s="25" t="s">
        <v>3891</v>
      </c>
      <c r="I39" s="25" t="s">
        <v>97</v>
      </c>
      <c r="J39" s="25" t="s">
        <v>2246</v>
      </c>
      <c r="K39" s="25" t="s">
        <v>3846</v>
      </c>
      <c r="L39" s="25" t="s">
        <v>3847</v>
      </c>
    </row>
    <row r="40" ht="15.75" customHeight="1">
      <c r="A40" s="58" t="s">
        <v>362</v>
      </c>
      <c r="B40" s="59">
        <v>46090.0</v>
      </c>
      <c r="C40" s="58" t="s">
        <v>305</v>
      </c>
      <c r="D40" s="58" t="s">
        <v>3849</v>
      </c>
      <c r="E40" s="58" t="s">
        <v>95</v>
      </c>
      <c r="F40" s="58" t="s">
        <v>3844</v>
      </c>
      <c r="G40" s="59">
        <v>46087.0</v>
      </c>
      <c r="H40" s="58" t="s">
        <v>3892</v>
      </c>
      <c r="I40" s="58" t="s">
        <v>97</v>
      </c>
      <c r="J40" s="58" t="s">
        <v>2246</v>
      </c>
      <c r="K40" s="58" t="s">
        <v>3846</v>
      </c>
      <c r="L40" s="58" t="s">
        <v>3851</v>
      </c>
    </row>
    <row r="41" ht="15.75" customHeight="1">
      <c r="A41" s="25" t="s">
        <v>782</v>
      </c>
      <c r="B41" s="26">
        <v>46113.0</v>
      </c>
      <c r="C41" s="25" t="s">
        <v>733</v>
      </c>
      <c r="D41" s="25" t="s">
        <v>3849</v>
      </c>
      <c r="E41" s="25" t="s">
        <v>102</v>
      </c>
      <c r="F41" s="25" t="s">
        <v>3857</v>
      </c>
      <c r="G41" s="26">
        <v>46158.0</v>
      </c>
      <c r="H41" s="25" t="s">
        <v>3893</v>
      </c>
      <c r="I41" s="25" t="s">
        <v>3853</v>
      </c>
      <c r="J41" s="25" t="s">
        <v>2247</v>
      </c>
      <c r="K41" s="25" t="s">
        <v>3854</v>
      </c>
      <c r="L41" s="25" t="s">
        <v>3855</v>
      </c>
    </row>
    <row r="42" ht="15.75" customHeight="1">
      <c r="A42" s="58" t="s">
        <v>366</v>
      </c>
      <c r="B42" s="59">
        <v>46116.0</v>
      </c>
      <c r="C42" s="58" t="s">
        <v>305</v>
      </c>
      <c r="D42" s="58" t="s">
        <v>3849</v>
      </c>
      <c r="E42" s="58" t="s">
        <v>74</v>
      </c>
      <c r="F42" s="58" t="s">
        <v>3844</v>
      </c>
      <c r="G42" s="59">
        <v>46140.0</v>
      </c>
      <c r="H42" s="58" t="s">
        <v>3894</v>
      </c>
      <c r="I42" s="58" t="s">
        <v>3853</v>
      </c>
      <c r="J42" s="58" t="s">
        <v>2247</v>
      </c>
      <c r="K42" s="58" t="s">
        <v>3854</v>
      </c>
      <c r="L42" s="58" t="s">
        <v>3851</v>
      </c>
    </row>
    <row r="43" ht="15.75" customHeight="1">
      <c r="A43" s="25" t="s">
        <v>785</v>
      </c>
      <c r="B43" s="26">
        <v>46042.0</v>
      </c>
      <c r="C43" s="25" t="s">
        <v>698</v>
      </c>
      <c r="D43" s="25" t="s">
        <v>3849</v>
      </c>
      <c r="E43" s="25" t="s">
        <v>71</v>
      </c>
      <c r="F43" s="25" t="s">
        <v>3844</v>
      </c>
      <c r="G43" s="26">
        <v>46140.0</v>
      </c>
      <c r="H43" s="25" t="s">
        <v>3895</v>
      </c>
      <c r="I43" s="25" t="s">
        <v>97</v>
      </c>
      <c r="J43" s="25" t="s">
        <v>2246</v>
      </c>
      <c r="K43" s="25" t="s">
        <v>3846</v>
      </c>
      <c r="L43" s="25" t="s">
        <v>3847</v>
      </c>
    </row>
    <row r="44" ht="15.75" customHeight="1">
      <c r="A44" s="58" t="s">
        <v>234</v>
      </c>
      <c r="B44" s="59">
        <v>46099.0</v>
      </c>
      <c r="C44" s="58" t="s">
        <v>207</v>
      </c>
      <c r="D44" s="58" t="s">
        <v>3849</v>
      </c>
      <c r="E44" s="58" t="s">
        <v>102</v>
      </c>
      <c r="F44" s="58" t="s">
        <v>3844</v>
      </c>
      <c r="G44" s="59">
        <v>46132.0</v>
      </c>
      <c r="H44" s="58" t="s">
        <v>3896</v>
      </c>
      <c r="I44" s="58" t="s">
        <v>3853</v>
      </c>
      <c r="J44" s="58" t="s">
        <v>2247</v>
      </c>
      <c r="K44" s="58" t="s">
        <v>3854</v>
      </c>
      <c r="L44" s="58" t="s">
        <v>3847</v>
      </c>
    </row>
    <row r="45" ht="15.75" customHeight="1">
      <c r="A45" s="25" t="s">
        <v>787</v>
      </c>
      <c r="B45" s="26">
        <v>46121.0</v>
      </c>
      <c r="C45" s="25" t="s">
        <v>733</v>
      </c>
      <c r="D45" s="25" t="s">
        <v>3849</v>
      </c>
      <c r="E45" s="25" t="s">
        <v>156</v>
      </c>
      <c r="F45" s="25" t="s">
        <v>3844</v>
      </c>
      <c r="G45" s="26">
        <v>46275.0</v>
      </c>
      <c r="H45" s="25" t="s">
        <v>3897</v>
      </c>
      <c r="I45" s="25" t="s">
        <v>97</v>
      </c>
      <c r="J45" s="25" t="s">
        <v>2246</v>
      </c>
      <c r="K45" s="25" t="s">
        <v>3846</v>
      </c>
      <c r="L45" s="25" t="s">
        <v>3851</v>
      </c>
    </row>
    <row r="46" ht="15.75" customHeight="1">
      <c r="A46" s="58" t="s">
        <v>790</v>
      </c>
      <c r="B46" s="59">
        <v>46095.0</v>
      </c>
      <c r="C46" s="58" t="s">
        <v>733</v>
      </c>
      <c r="D46" s="58" t="s">
        <v>3849</v>
      </c>
      <c r="E46" s="58" t="s">
        <v>81</v>
      </c>
      <c r="F46" s="58" t="s">
        <v>3844</v>
      </c>
      <c r="G46" s="59">
        <v>46231.0</v>
      </c>
      <c r="H46" s="58" t="s">
        <v>3898</v>
      </c>
      <c r="I46" s="58" t="s">
        <v>97</v>
      </c>
      <c r="J46" s="58" t="s">
        <v>2246</v>
      </c>
      <c r="K46" s="58" t="s">
        <v>3846</v>
      </c>
      <c r="L46" s="58" t="s">
        <v>3855</v>
      </c>
    </row>
    <row r="47" ht="15.75" customHeight="1">
      <c r="A47" s="25" t="s">
        <v>372</v>
      </c>
      <c r="B47" s="26">
        <v>46061.0</v>
      </c>
      <c r="C47" s="25" t="s">
        <v>297</v>
      </c>
      <c r="D47" s="25" t="s">
        <v>3849</v>
      </c>
      <c r="E47" s="25" t="s">
        <v>108</v>
      </c>
      <c r="F47" s="25" t="s">
        <v>3844</v>
      </c>
      <c r="G47" s="26">
        <v>46122.0</v>
      </c>
      <c r="H47" s="25" t="s">
        <v>3899</v>
      </c>
      <c r="I47" s="25" t="s">
        <v>97</v>
      </c>
      <c r="J47" s="25" t="s">
        <v>2246</v>
      </c>
      <c r="K47" s="25" t="s">
        <v>3846</v>
      </c>
      <c r="L47" s="25" t="s">
        <v>3855</v>
      </c>
    </row>
    <row r="48" ht="15.75" customHeight="1">
      <c r="A48" s="58" t="s">
        <v>373</v>
      </c>
      <c r="B48" s="59">
        <v>46026.0</v>
      </c>
      <c r="C48" s="58" t="s">
        <v>305</v>
      </c>
      <c r="D48" s="58" t="s">
        <v>3849</v>
      </c>
      <c r="E48" s="58" t="s">
        <v>154</v>
      </c>
      <c r="F48" s="58" t="s">
        <v>3844</v>
      </c>
      <c r="G48" s="59">
        <v>46011.0</v>
      </c>
      <c r="H48" s="58" t="s">
        <v>3900</v>
      </c>
      <c r="I48" s="58" t="s">
        <v>97</v>
      </c>
      <c r="J48" s="58" t="s">
        <v>2246</v>
      </c>
      <c r="K48" s="58" t="s">
        <v>3846</v>
      </c>
      <c r="L48" s="58" t="s">
        <v>3847</v>
      </c>
    </row>
    <row r="49" ht="15.75" customHeight="1">
      <c r="A49" s="25" t="s">
        <v>1022</v>
      </c>
      <c r="B49" s="26">
        <v>46034.0</v>
      </c>
      <c r="C49" s="25" t="s">
        <v>955</v>
      </c>
      <c r="D49" s="25" t="s">
        <v>3849</v>
      </c>
      <c r="E49" s="25" t="s">
        <v>74</v>
      </c>
      <c r="F49" s="25" t="s">
        <v>3844</v>
      </c>
      <c r="G49" s="26">
        <v>46097.0</v>
      </c>
      <c r="H49" s="25" t="s">
        <v>3901</v>
      </c>
      <c r="I49" s="25" t="s">
        <v>3853</v>
      </c>
      <c r="J49" s="25" t="s">
        <v>2247</v>
      </c>
      <c r="K49" s="25" t="s">
        <v>3854</v>
      </c>
      <c r="L49" s="25" t="s">
        <v>3851</v>
      </c>
    </row>
    <row r="50" ht="15.75" customHeight="1">
      <c r="A50" s="58" t="s">
        <v>381</v>
      </c>
      <c r="B50" s="59">
        <v>46122.0</v>
      </c>
      <c r="C50" s="58" t="s">
        <v>310</v>
      </c>
      <c r="D50" s="58" t="s">
        <v>3849</v>
      </c>
      <c r="E50" s="58" t="s">
        <v>95</v>
      </c>
      <c r="F50" s="58" t="s">
        <v>3844</v>
      </c>
      <c r="G50" s="59">
        <v>46232.0</v>
      </c>
      <c r="H50" s="58" t="s">
        <v>3902</v>
      </c>
      <c r="I50" s="58" t="s">
        <v>97</v>
      </c>
      <c r="J50" s="58" t="s">
        <v>2246</v>
      </c>
      <c r="K50" s="58" t="s">
        <v>3846</v>
      </c>
      <c r="L50" s="58" t="s">
        <v>3851</v>
      </c>
    </row>
    <row r="51" ht="15.75" customHeight="1">
      <c r="A51" s="25" t="s">
        <v>796</v>
      </c>
      <c r="B51" s="26">
        <v>46101.0</v>
      </c>
      <c r="C51" s="25" t="s">
        <v>698</v>
      </c>
      <c r="D51" s="25" t="s">
        <v>3849</v>
      </c>
      <c r="E51" s="25" t="s">
        <v>74</v>
      </c>
      <c r="F51" s="25" t="s">
        <v>3844</v>
      </c>
      <c r="G51" s="26">
        <v>46247.0</v>
      </c>
      <c r="H51" s="25" t="s">
        <v>3903</v>
      </c>
      <c r="I51" s="25" t="s">
        <v>3853</v>
      </c>
      <c r="J51" s="25" t="s">
        <v>2247</v>
      </c>
      <c r="K51" s="25" t="s">
        <v>3854</v>
      </c>
      <c r="L51" s="25" t="s">
        <v>3847</v>
      </c>
    </row>
    <row r="52" ht="15.75" customHeight="1">
      <c r="A52" s="58" t="s">
        <v>382</v>
      </c>
      <c r="B52" s="59">
        <v>46058.0</v>
      </c>
      <c r="C52" s="58" t="s">
        <v>305</v>
      </c>
      <c r="D52" s="58" t="s">
        <v>3849</v>
      </c>
      <c r="E52" s="58" t="s">
        <v>71</v>
      </c>
      <c r="F52" s="58" t="s">
        <v>3844</v>
      </c>
      <c r="G52" s="59">
        <v>46111.0</v>
      </c>
      <c r="H52" s="58" t="s">
        <v>3904</v>
      </c>
      <c r="I52" s="58" t="s">
        <v>97</v>
      </c>
      <c r="J52" s="58" t="s">
        <v>2246</v>
      </c>
      <c r="K52" s="58" t="s">
        <v>3846</v>
      </c>
      <c r="L52" s="58" t="s">
        <v>3847</v>
      </c>
    </row>
    <row r="53" ht="15.75" customHeight="1">
      <c r="A53" s="25" t="s">
        <v>243</v>
      </c>
      <c r="B53" s="26">
        <v>46102.0</v>
      </c>
      <c r="C53" s="25" t="s">
        <v>207</v>
      </c>
      <c r="D53" s="25" t="s">
        <v>3849</v>
      </c>
      <c r="E53" s="25" t="s">
        <v>156</v>
      </c>
      <c r="F53" s="25" t="s">
        <v>3857</v>
      </c>
      <c r="G53" s="26">
        <v>46121.0</v>
      </c>
      <c r="H53" s="25" t="s">
        <v>3905</v>
      </c>
      <c r="I53" s="25" t="s">
        <v>3906</v>
      </c>
      <c r="J53" s="25" t="s">
        <v>2247</v>
      </c>
      <c r="K53" s="25" t="s">
        <v>3854</v>
      </c>
      <c r="L53" s="25" t="s">
        <v>3855</v>
      </c>
    </row>
    <row r="54" ht="15.75" customHeight="1">
      <c r="A54" s="58" t="s">
        <v>386</v>
      </c>
      <c r="B54" s="59">
        <v>46045.0</v>
      </c>
      <c r="C54" s="58" t="s">
        <v>305</v>
      </c>
      <c r="D54" s="58" t="s">
        <v>3849</v>
      </c>
      <c r="E54" s="58" t="s">
        <v>156</v>
      </c>
      <c r="F54" s="58" t="s">
        <v>3857</v>
      </c>
      <c r="G54" s="59">
        <v>46109.0</v>
      </c>
      <c r="H54" s="58" t="s">
        <v>3907</v>
      </c>
      <c r="I54" s="58" t="s">
        <v>97</v>
      </c>
      <c r="J54" s="58" t="s">
        <v>2246</v>
      </c>
      <c r="K54" s="58" t="s">
        <v>3846</v>
      </c>
      <c r="L54" s="58" t="s">
        <v>3847</v>
      </c>
    </row>
    <row r="55" ht="15.75" customHeight="1">
      <c r="A55" s="25" t="s">
        <v>390</v>
      </c>
      <c r="B55" s="26">
        <v>46085.0</v>
      </c>
      <c r="C55" s="25" t="s">
        <v>310</v>
      </c>
      <c r="D55" s="25" t="s">
        <v>3849</v>
      </c>
      <c r="E55" s="25" t="s">
        <v>156</v>
      </c>
      <c r="F55" s="25" t="s">
        <v>3844</v>
      </c>
      <c r="G55" s="26">
        <v>46165.0</v>
      </c>
      <c r="H55" s="25" t="s">
        <v>3908</v>
      </c>
      <c r="I55" s="25" t="s">
        <v>97</v>
      </c>
      <c r="J55" s="25" t="s">
        <v>2246</v>
      </c>
      <c r="K55" s="25" t="s">
        <v>3846</v>
      </c>
      <c r="L55" s="25" t="s">
        <v>3851</v>
      </c>
    </row>
    <row r="56" ht="15.75" customHeight="1">
      <c r="A56" s="58" t="s">
        <v>246</v>
      </c>
      <c r="B56" s="59">
        <v>46077.0</v>
      </c>
      <c r="C56" s="58" t="s">
        <v>207</v>
      </c>
      <c r="D56" s="58" t="s">
        <v>3849</v>
      </c>
      <c r="E56" s="58" t="s">
        <v>102</v>
      </c>
      <c r="F56" s="58" t="s">
        <v>3844</v>
      </c>
      <c r="G56" s="59">
        <v>46152.0</v>
      </c>
      <c r="H56" s="58" t="s">
        <v>3909</v>
      </c>
      <c r="I56" s="58" t="s">
        <v>3853</v>
      </c>
      <c r="J56" s="58" t="s">
        <v>2247</v>
      </c>
      <c r="K56" s="58" t="s">
        <v>3854</v>
      </c>
      <c r="L56" s="58" t="s">
        <v>3851</v>
      </c>
    </row>
    <row r="57" ht="15.75" customHeight="1">
      <c r="A57" s="25" t="s">
        <v>1036</v>
      </c>
      <c r="B57" s="26">
        <v>46117.0</v>
      </c>
      <c r="C57" s="25" t="s">
        <v>955</v>
      </c>
      <c r="D57" s="25" t="s">
        <v>3849</v>
      </c>
      <c r="E57" s="25" t="s">
        <v>92</v>
      </c>
      <c r="F57" s="25" t="s">
        <v>3844</v>
      </c>
      <c r="G57" s="26">
        <v>46261.0</v>
      </c>
      <c r="H57" s="25" t="s">
        <v>3910</v>
      </c>
      <c r="I57" s="25" t="s">
        <v>97</v>
      </c>
      <c r="J57" s="25" t="s">
        <v>2246</v>
      </c>
      <c r="K57" s="25" t="s">
        <v>3846</v>
      </c>
      <c r="L57" s="25" t="s">
        <v>3855</v>
      </c>
    </row>
    <row r="58" ht="15.75" customHeight="1">
      <c r="A58" s="58" t="s">
        <v>809</v>
      </c>
      <c r="B58" s="59">
        <v>46047.0</v>
      </c>
      <c r="C58" s="58" t="s">
        <v>698</v>
      </c>
      <c r="D58" s="58" t="s">
        <v>3849</v>
      </c>
      <c r="E58" s="58" t="s">
        <v>110</v>
      </c>
      <c r="F58" s="58" t="s">
        <v>3844</v>
      </c>
      <c r="G58" s="59">
        <v>46169.0</v>
      </c>
      <c r="H58" s="58" t="s">
        <v>3911</v>
      </c>
      <c r="I58" s="58" t="s">
        <v>97</v>
      </c>
      <c r="J58" s="58" t="s">
        <v>2246</v>
      </c>
      <c r="K58" s="58" t="s">
        <v>3846</v>
      </c>
      <c r="L58" s="58" t="s">
        <v>3851</v>
      </c>
    </row>
    <row r="59" ht="15.75" customHeight="1">
      <c r="A59" s="25" t="s">
        <v>400</v>
      </c>
      <c r="B59" s="26">
        <v>46030.0</v>
      </c>
      <c r="C59" s="25" t="s">
        <v>297</v>
      </c>
      <c r="D59" s="25" t="s">
        <v>3849</v>
      </c>
      <c r="E59" s="25" t="s">
        <v>68</v>
      </c>
      <c r="F59" s="25" t="s">
        <v>3844</v>
      </c>
      <c r="G59" s="26">
        <v>46155.0</v>
      </c>
      <c r="H59" s="25" t="s">
        <v>3912</v>
      </c>
      <c r="I59" s="25" t="s">
        <v>97</v>
      </c>
      <c r="J59" s="25" t="s">
        <v>2246</v>
      </c>
      <c r="K59" s="25" t="s">
        <v>3846</v>
      </c>
      <c r="L59" s="25" t="s">
        <v>3851</v>
      </c>
    </row>
    <row r="60" ht="15.75" customHeight="1">
      <c r="A60" s="58" t="s">
        <v>405</v>
      </c>
      <c r="B60" s="59">
        <v>46058.0</v>
      </c>
      <c r="C60" s="58" t="s">
        <v>297</v>
      </c>
      <c r="D60" s="58" t="s">
        <v>3849</v>
      </c>
      <c r="E60" s="58" t="s">
        <v>95</v>
      </c>
      <c r="F60" s="58" t="s">
        <v>3913</v>
      </c>
      <c r="G60" s="59">
        <v>46081.0</v>
      </c>
      <c r="H60" s="58" t="s">
        <v>3914</v>
      </c>
      <c r="I60" s="58" t="s">
        <v>97</v>
      </c>
      <c r="J60" s="58" t="s">
        <v>2247</v>
      </c>
      <c r="K60" s="58" t="s">
        <v>3881</v>
      </c>
      <c r="L60" s="58" t="s">
        <v>3851</v>
      </c>
    </row>
    <row r="61" ht="15.75" customHeight="1">
      <c r="A61" s="25" t="s">
        <v>406</v>
      </c>
      <c r="B61" s="26">
        <v>46134.0</v>
      </c>
      <c r="C61" s="25" t="s">
        <v>305</v>
      </c>
      <c r="D61" s="25" t="s">
        <v>3849</v>
      </c>
      <c r="E61" s="25" t="s">
        <v>90</v>
      </c>
      <c r="F61" s="25" t="s">
        <v>3844</v>
      </c>
      <c r="G61" s="26">
        <v>46287.0</v>
      </c>
      <c r="H61" s="25" t="s">
        <v>3915</v>
      </c>
      <c r="I61" s="25" t="s">
        <v>97</v>
      </c>
      <c r="J61" s="25" t="s">
        <v>2246</v>
      </c>
      <c r="K61" s="25" t="s">
        <v>3846</v>
      </c>
      <c r="L61" s="25" t="s">
        <v>3855</v>
      </c>
    </row>
    <row r="62" ht="15.75" customHeight="1">
      <c r="A62" s="58" t="s">
        <v>409</v>
      </c>
      <c r="B62" s="59">
        <v>46122.0</v>
      </c>
      <c r="C62" s="58" t="s">
        <v>310</v>
      </c>
      <c r="D62" s="58" t="s">
        <v>3849</v>
      </c>
      <c r="E62" s="58" t="s">
        <v>106</v>
      </c>
      <c r="F62" s="58" t="s">
        <v>3844</v>
      </c>
      <c r="G62" s="59">
        <v>46234.0</v>
      </c>
      <c r="H62" s="58" t="s">
        <v>3916</v>
      </c>
      <c r="I62" s="58" t="s">
        <v>97</v>
      </c>
      <c r="J62" s="58" t="s">
        <v>2246</v>
      </c>
      <c r="K62" s="58" t="s">
        <v>3846</v>
      </c>
      <c r="L62" s="58" t="s">
        <v>3851</v>
      </c>
    </row>
    <row r="63" ht="15.75" customHeight="1">
      <c r="A63" s="25" t="s">
        <v>410</v>
      </c>
      <c r="B63" s="26">
        <v>46092.0</v>
      </c>
      <c r="C63" s="25" t="s">
        <v>305</v>
      </c>
      <c r="D63" s="25" t="s">
        <v>3849</v>
      </c>
      <c r="E63" s="25" t="s">
        <v>190</v>
      </c>
      <c r="F63" s="25" t="s">
        <v>3844</v>
      </c>
      <c r="G63" s="26">
        <v>46148.0</v>
      </c>
      <c r="H63" s="25" t="s">
        <v>3917</v>
      </c>
      <c r="I63" s="25" t="s">
        <v>97</v>
      </c>
      <c r="J63" s="25" t="s">
        <v>2246</v>
      </c>
      <c r="K63" s="25" t="s">
        <v>3846</v>
      </c>
      <c r="L63" s="25" t="s">
        <v>3851</v>
      </c>
    </row>
    <row r="64" ht="15.75" customHeight="1">
      <c r="A64" s="58" t="s">
        <v>412</v>
      </c>
      <c r="B64" s="59">
        <v>46114.0</v>
      </c>
      <c r="C64" s="58" t="s">
        <v>305</v>
      </c>
      <c r="D64" s="58" t="s">
        <v>3849</v>
      </c>
      <c r="E64" s="58" t="s">
        <v>90</v>
      </c>
      <c r="F64" s="58" t="s">
        <v>3844</v>
      </c>
      <c r="G64" s="59">
        <v>46136.0</v>
      </c>
      <c r="H64" s="58" t="s">
        <v>3918</v>
      </c>
      <c r="I64" s="58" t="s">
        <v>97</v>
      </c>
      <c r="J64" s="58" t="s">
        <v>2246</v>
      </c>
      <c r="K64" s="58" t="s">
        <v>3846</v>
      </c>
      <c r="L64" s="58" t="s">
        <v>3855</v>
      </c>
    </row>
    <row r="65" ht="15.75" customHeight="1">
      <c r="A65" s="25" t="s">
        <v>262</v>
      </c>
      <c r="B65" s="26">
        <v>46143.0</v>
      </c>
      <c r="C65" s="25" t="s">
        <v>207</v>
      </c>
      <c r="D65" s="25" t="s">
        <v>3849</v>
      </c>
      <c r="E65" s="25" t="s">
        <v>154</v>
      </c>
      <c r="F65" s="25" t="s">
        <v>3857</v>
      </c>
      <c r="G65" s="26">
        <v>46165.0</v>
      </c>
      <c r="H65" s="25" t="s">
        <v>3919</v>
      </c>
      <c r="I65" s="25" t="s">
        <v>97</v>
      </c>
      <c r="J65" s="25" t="s">
        <v>2246</v>
      </c>
      <c r="K65" s="25" t="s">
        <v>3846</v>
      </c>
      <c r="L65" s="25" t="s">
        <v>3851</v>
      </c>
    </row>
    <row r="66" ht="15.75" customHeight="1">
      <c r="A66" s="58" t="s">
        <v>414</v>
      </c>
      <c r="B66" s="59">
        <v>46054.0</v>
      </c>
      <c r="C66" s="58" t="s">
        <v>310</v>
      </c>
      <c r="D66" s="58" t="s">
        <v>3849</v>
      </c>
      <c r="E66" s="58" t="s">
        <v>162</v>
      </c>
      <c r="F66" s="58" t="s">
        <v>3844</v>
      </c>
      <c r="G66" s="59">
        <v>46188.0</v>
      </c>
      <c r="H66" s="58" t="s">
        <v>3920</v>
      </c>
      <c r="I66" s="58" t="s">
        <v>97</v>
      </c>
      <c r="J66" s="58" t="s">
        <v>2246</v>
      </c>
      <c r="K66" s="58" t="s">
        <v>3846</v>
      </c>
      <c r="L66" s="58" t="s">
        <v>3855</v>
      </c>
    </row>
    <row r="67" ht="15.75" customHeight="1">
      <c r="A67" s="25" t="s">
        <v>416</v>
      </c>
      <c r="B67" s="26">
        <v>46091.0</v>
      </c>
      <c r="C67" s="25" t="s">
        <v>310</v>
      </c>
      <c r="D67" s="25" t="s">
        <v>3849</v>
      </c>
      <c r="E67" s="25" t="s">
        <v>123</v>
      </c>
      <c r="F67" s="25" t="s">
        <v>3844</v>
      </c>
      <c r="G67" s="26">
        <v>46108.0</v>
      </c>
      <c r="H67" s="25" t="s">
        <v>3921</v>
      </c>
      <c r="I67" s="25" t="s">
        <v>97</v>
      </c>
      <c r="J67" s="25" t="s">
        <v>2246</v>
      </c>
      <c r="K67" s="25" t="s">
        <v>3846</v>
      </c>
      <c r="L67" s="25" t="s">
        <v>3851</v>
      </c>
    </row>
    <row r="68" ht="15.75" customHeight="1">
      <c r="A68" s="58" t="s">
        <v>417</v>
      </c>
      <c r="B68" s="59">
        <v>46025.0</v>
      </c>
      <c r="C68" s="58" t="s">
        <v>295</v>
      </c>
      <c r="D68" s="58" t="s">
        <v>3849</v>
      </c>
      <c r="E68" s="58" t="s">
        <v>92</v>
      </c>
      <c r="F68" s="58" t="s">
        <v>3844</v>
      </c>
      <c r="G68" s="59">
        <v>46117.0</v>
      </c>
      <c r="H68" s="58" t="s">
        <v>3922</v>
      </c>
      <c r="I68" s="58" t="s">
        <v>97</v>
      </c>
      <c r="J68" s="58" t="s">
        <v>2246</v>
      </c>
      <c r="K68" s="58" t="s">
        <v>3846</v>
      </c>
      <c r="L68" s="58" t="s">
        <v>3851</v>
      </c>
    </row>
    <row r="69" ht="15.75" customHeight="1">
      <c r="A69" s="25" t="s">
        <v>831</v>
      </c>
      <c r="B69" s="26">
        <v>46032.0</v>
      </c>
      <c r="C69" s="25" t="s">
        <v>698</v>
      </c>
      <c r="D69" s="25" t="s">
        <v>3849</v>
      </c>
      <c r="E69" s="25" t="s">
        <v>108</v>
      </c>
      <c r="F69" s="25" t="s">
        <v>3844</v>
      </c>
      <c r="G69" s="26">
        <v>46137.0</v>
      </c>
      <c r="H69" s="25" t="s">
        <v>3923</v>
      </c>
      <c r="I69" s="25" t="s">
        <v>97</v>
      </c>
      <c r="J69" s="25" t="s">
        <v>2246</v>
      </c>
      <c r="K69" s="25" t="s">
        <v>3846</v>
      </c>
      <c r="L69" s="25" t="s">
        <v>3855</v>
      </c>
    </row>
    <row r="70" ht="15.75" customHeight="1">
      <c r="A70" s="58" t="s">
        <v>422</v>
      </c>
      <c r="B70" s="59">
        <v>46047.0</v>
      </c>
      <c r="C70" s="58" t="s">
        <v>305</v>
      </c>
      <c r="D70" s="58" t="s">
        <v>3849</v>
      </c>
      <c r="E70" s="58" t="s">
        <v>162</v>
      </c>
      <c r="F70" s="58" t="s">
        <v>3844</v>
      </c>
      <c r="G70" s="59">
        <v>46042.0</v>
      </c>
      <c r="H70" s="58" t="s">
        <v>3924</v>
      </c>
      <c r="I70" s="58" t="s">
        <v>97</v>
      </c>
      <c r="J70" s="58" t="s">
        <v>2246</v>
      </c>
      <c r="K70" s="58" t="s">
        <v>3846</v>
      </c>
      <c r="L70" s="58" t="s">
        <v>3855</v>
      </c>
    </row>
    <row r="71" ht="15.75" customHeight="1">
      <c r="A71" s="25" t="s">
        <v>423</v>
      </c>
      <c r="B71" s="26">
        <v>46119.0</v>
      </c>
      <c r="C71" s="25" t="s">
        <v>310</v>
      </c>
      <c r="D71" s="25" t="s">
        <v>3849</v>
      </c>
      <c r="E71" s="25" t="s">
        <v>81</v>
      </c>
      <c r="F71" s="25" t="s">
        <v>3844</v>
      </c>
      <c r="G71" s="26">
        <v>46185.0</v>
      </c>
      <c r="H71" s="25" t="s">
        <v>3925</v>
      </c>
      <c r="I71" s="25" t="s">
        <v>97</v>
      </c>
      <c r="J71" s="25" t="s">
        <v>2246</v>
      </c>
      <c r="K71" s="25" t="s">
        <v>3846</v>
      </c>
      <c r="L71" s="25" t="s">
        <v>3851</v>
      </c>
    </row>
    <row r="72" ht="15.75" customHeight="1">
      <c r="A72" s="58" t="s">
        <v>425</v>
      </c>
      <c r="B72" s="59">
        <v>46076.0</v>
      </c>
      <c r="C72" s="58" t="s">
        <v>305</v>
      </c>
      <c r="D72" s="58" t="s">
        <v>3849</v>
      </c>
      <c r="E72" s="58" t="s">
        <v>81</v>
      </c>
      <c r="F72" s="58" t="s">
        <v>3844</v>
      </c>
      <c r="G72" s="59">
        <v>46113.0</v>
      </c>
      <c r="H72" s="58" t="s">
        <v>3926</v>
      </c>
      <c r="I72" s="58" t="s">
        <v>97</v>
      </c>
      <c r="J72" s="58" t="s">
        <v>2246</v>
      </c>
      <c r="K72" s="58" t="s">
        <v>3846</v>
      </c>
      <c r="L72" s="58" t="s">
        <v>3855</v>
      </c>
    </row>
    <row r="73" ht="15.75" customHeight="1">
      <c r="A73" s="25" t="s">
        <v>431</v>
      </c>
      <c r="B73" s="26">
        <v>46103.0</v>
      </c>
      <c r="C73" s="25" t="s">
        <v>295</v>
      </c>
      <c r="D73" s="25" t="s">
        <v>3849</v>
      </c>
      <c r="E73" s="25" t="s">
        <v>92</v>
      </c>
      <c r="F73" s="25" t="s">
        <v>3844</v>
      </c>
      <c r="G73" s="26">
        <v>46250.0</v>
      </c>
      <c r="H73" s="25" t="s">
        <v>3927</v>
      </c>
      <c r="I73" s="25" t="s">
        <v>97</v>
      </c>
      <c r="J73" s="25" t="s">
        <v>2246</v>
      </c>
      <c r="K73" s="25" t="s">
        <v>3846</v>
      </c>
      <c r="L73" s="25" t="s">
        <v>3847</v>
      </c>
    </row>
    <row r="74" ht="15.75" customHeight="1">
      <c r="A74" s="58" t="s">
        <v>842</v>
      </c>
      <c r="B74" s="59">
        <v>46131.0</v>
      </c>
      <c r="C74" s="58" t="s">
        <v>698</v>
      </c>
      <c r="D74" s="58" t="s">
        <v>3849</v>
      </c>
      <c r="E74" s="58" t="s">
        <v>92</v>
      </c>
      <c r="F74" s="58" t="s">
        <v>3844</v>
      </c>
      <c r="G74" s="59">
        <v>46237.0</v>
      </c>
      <c r="H74" s="58" t="s">
        <v>3928</v>
      </c>
      <c r="I74" s="58" t="s">
        <v>97</v>
      </c>
      <c r="J74" s="58" t="s">
        <v>2246</v>
      </c>
      <c r="K74" s="58" t="s">
        <v>3846</v>
      </c>
      <c r="L74" s="58" t="s">
        <v>3851</v>
      </c>
    </row>
    <row r="75" ht="15.75" customHeight="1">
      <c r="A75" s="25" t="s">
        <v>844</v>
      </c>
      <c r="B75" s="26">
        <v>46112.0</v>
      </c>
      <c r="C75" s="25" t="s">
        <v>698</v>
      </c>
      <c r="D75" s="25" t="s">
        <v>3849</v>
      </c>
      <c r="E75" s="25" t="s">
        <v>68</v>
      </c>
      <c r="F75" s="25" t="s">
        <v>3844</v>
      </c>
      <c r="G75" s="26">
        <v>46236.0</v>
      </c>
      <c r="H75" s="25" t="s">
        <v>3929</v>
      </c>
      <c r="I75" s="25" t="s">
        <v>97</v>
      </c>
      <c r="J75" s="25" t="s">
        <v>2246</v>
      </c>
      <c r="K75" s="25" t="s">
        <v>3846</v>
      </c>
      <c r="L75" s="25" t="s">
        <v>3851</v>
      </c>
    </row>
    <row r="76" ht="15.75" customHeight="1">
      <c r="A76" s="58" t="s">
        <v>529</v>
      </c>
      <c r="B76" s="59">
        <v>46073.0</v>
      </c>
      <c r="C76" s="58" t="s">
        <v>452</v>
      </c>
      <c r="D76" s="58" t="s">
        <v>3849</v>
      </c>
      <c r="E76" s="58" t="s">
        <v>78</v>
      </c>
      <c r="F76" s="58" t="s">
        <v>3857</v>
      </c>
      <c r="G76" s="59">
        <v>46182.0</v>
      </c>
      <c r="H76" s="58" t="s">
        <v>3930</v>
      </c>
      <c r="I76" s="58" t="s">
        <v>97</v>
      </c>
      <c r="J76" s="58" t="s">
        <v>2246</v>
      </c>
      <c r="K76" s="58" t="s">
        <v>3846</v>
      </c>
      <c r="L76" s="58" t="s">
        <v>3851</v>
      </c>
    </row>
    <row r="77" ht="15.75" customHeight="1">
      <c r="A77" s="25" t="s">
        <v>846</v>
      </c>
      <c r="B77" s="26">
        <v>46058.0</v>
      </c>
      <c r="C77" s="25" t="s">
        <v>698</v>
      </c>
      <c r="D77" s="25" t="s">
        <v>3849</v>
      </c>
      <c r="E77" s="25" t="s">
        <v>78</v>
      </c>
      <c r="F77" s="25" t="s">
        <v>3913</v>
      </c>
      <c r="G77" s="26">
        <v>46097.0</v>
      </c>
      <c r="H77" s="25" t="s">
        <v>3931</v>
      </c>
      <c r="I77" s="25" t="s">
        <v>97</v>
      </c>
      <c r="J77" s="25" t="s">
        <v>2247</v>
      </c>
      <c r="K77" s="25" t="s">
        <v>3881</v>
      </c>
      <c r="L77" s="25" t="s">
        <v>3851</v>
      </c>
    </row>
    <row r="78" ht="15.75" customHeight="1">
      <c r="A78" s="58" t="s">
        <v>434</v>
      </c>
      <c r="B78" s="59">
        <v>46106.0</v>
      </c>
      <c r="C78" s="58" t="s">
        <v>295</v>
      </c>
      <c r="D78" s="58" t="s">
        <v>3849</v>
      </c>
      <c r="E78" s="58" t="s">
        <v>154</v>
      </c>
      <c r="F78" s="58" t="s">
        <v>3879</v>
      </c>
      <c r="G78" s="59">
        <v>46144.0</v>
      </c>
      <c r="H78" s="58" t="s">
        <v>3932</v>
      </c>
      <c r="I78" s="58" t="s">
        <v>97</v>
      </c>
      <c r="J78" s="58" t="s">
        <v>2247</v>
      </c>
      <c r="K78" s="58" t="s">
        <v>3881</v>
      </c>
      <c r="L78" s="58" t="s">
        <v>3851</v>
      </c>
    </row>
    <row r="79" ht="15.75" customHeight="1">
      <c r="A79" s="25" t="s">
        <v>1069</v>
      </c>
      <c r="B79" s="26">
        <v>46087.0</v>
      </c>
      <c r="C79" s="25" t="s">
        <v>955</v>
      </c>
      <c r="D79" s="25" t="s">
        <v>3849</v>
      </c>
      <c r="E79" s="25" t="s">
        <v>106</v>
      </c>
      <c r="F79" s="25" t="s">
        <v>3844</v>
      </c>
      <c r="G79" s="26">
        <v>46185.0</v>
      </c>
      <c r="H79" s="25" t="s">
        <v>3933</v>
      </c>
      <c r="I79" s="25" t="s">
        <v>97</v>
      </c>
      <c r="J79" s="25" t="s">
        <v>2246</v>
      </c>
      <c r="K79" s="25" t="s">
        <v>3846</v>
      </c>
      <c r="L79" s="25" t="s">
        <v>3855</v>
      </c>
    </row>
    <row r="80" ht="15.75" customHeight="1">
      <c r="A80" s="58" t="s">
        <v>536</v>
      </c>
      <c r="B80" s="59">
        <v>46057.0</v>
      </c>
      <c r="C80" s="58" t="s">
        <v>452</v>
      </c>
      <c r="D80" s="58" t="s">
        <v>3849</v>
      </c>
      <c r="E80" s="58" t="s">
        <v>92</v>
      </c>
      <c r="F80" s="58" t="s">
        <v>3844</v>
      </c>
      <c r="G80" s="59">
        <v>46197.0</v>
      </c>
      <c r="H80" s="58"/>
      <c r="I80" s="58" t="s">
        <v>97</v>
      </c>
      <c r="J80" s="58" t="s">
        <v>2247</v>
      </c>
      <c r="K80" s="58" t="s">
        <v>3848</v>
      </c>
      <c r="L80" s="58" t="s">
        <v>3847</v>
      </c>
    </row>
    <row r="81" ht="15.75" customHeight="1">
      <c r="A81" s="25" t="s">
        <v>1121</v>
      </c>
      <c r="B81" s="26">
        <v>46080.0</v>
      </c>
      <c r="C81" s="25" t="s">
        <v>1122</v>
      </c>
      <c r="D81" s="25" t="s">
        <v>3934</v>
      </c>
      <c r="E81" s="25" t="s">
        <v>90</v>
      </c>
      <c r="F81" s="25" t="s">
        <v>3844</v>
      </c>
      <c r="G81" s="26">
        <v>46064.0</v>
      </c>
      <c r="H81" s="25" t="s">
        <v>3935</v>
      </c>
      <c r="I81" s="25" t="s">
        <v>97</v>
      </c>
      <c r="J81" s="25" t="s">
        <v>2246</v>
      </c>
      <c r="K81" s="25" t="s">
        <v>3846</v>
      </c>
      <c r="L81" s="25" t="s">
        <v>3855</v>
      </c>
    </row>
    <row r="82" ht="15.75" customHeight="1">
      <c r="A82" s="58" t="s">
        <v>699</v>
      </c>
      <c r="B82" s="59">
        <v>46042.0</v>
      </c>
      <c r="C82" s="58" t="s">
        <v>700</v>
      </c>
      <c r="D82" s="58" t="s">
        <v>3934</v>
      </c>
      <c r="E82" s="58" t="s">
        <v>71</v>
      </c>
      <c r="F82" s="58" t="s">
        <v>3844</v>
      </c>
      <c r="G82" s="59">
        <v>46089.0</v>
      </c>
      <c r="H82" s="58" t="s">
        <v>3936</v>
      </c>
      <c r="I82" s="58" t="s">
        <v>97</v>
      </c>
      <c r="J82" s="58" t="s">
        <v>2246</v>
      </c>
      <c r="K82" s="58" t="s">
        <v>3846</v>
      </c>
      <c r="L82" s="58" t="s">
        <v>3855</v>
      </c>
    </row>
    <row r="83" ht="15.75" customHeight="1">
      <c r="A83" s="25" t="s">
        <v>1125</v>
      </c>
      <c r="B83" s="26">
        <v>46098.0</v>
      </c>
      <c r="C83" s="25" t="s">
        <v>1126</v>
      </c>
      <c r="D83" s="25" t="s">
        <v>3934</v>
      </c>
      <c r="E83" s="25" t="s">
        <v>64</v>
      </c>
      <c r="F83" s="25" t="s">
        <v>3844</v>
      </c>
      <c r="G83" s="26">
        <v>46090.0</v>
      </c>
      <c r="H83" s="25" t="s">
        <v>3937</v>
      </c>
      <c r="I83" s="25" t="s">
        <v>97</v>
      </c>
      <c r="J83" s="25" t="s">
        <v>2246</v>
      </c>
      <c r="K83" s="25" t="s">
        <v>3846</v>
      </c>
      <c r="L83" s="25" t="s">
        <v>3855</v>
      </c>
    </row>
    <row r="84" ht="15.75" customHeight="1">
      <c r="A84" s="58" t="s">
        <v>298</v>
      </c>
      <c r="B84" s="59">
        <v>46093.0</v>
      </c>
      <c r="C84" s="58" t="s">
        <v>299</v>
      </c>
      <c r="D84" s="58" t="s">
        <v>3934</v>
      </c>
      <c r="E84" s="58" t="s">
        <v>115</v>
      </c>
      <c r="F84" s="58" t="s">
        <v>3844</v>
      </c>
      <c r="G84" s="59">
        <v>46244.0</v>
      </c>
      <c r="H84" s="58"/>
      <c r="I84" s="58" t="s">
        <v>97</v>
      </c>
      <c r="J84" s="58" t="s">
        <v>2247</v>
      </c>
      <c r="K84" s="58" t="s">
        <v>3848</v>
      </c>
      <c r="L84" s="58" t="s">
        <v>3847</v>
      </c>
    </row>
    <row r="85" ht="15.75" customHeight="1">
      <c r="A85" s="25" t="s">
        <v>1127</v>
      </c>
      <c r="B85" s="26">
        <v>46080.0</v>
      </c>
      <c r="C85" s="25" t="s">
        <v>1122</v>
      </c>
      <c r="D85" s="25" t="s">
        <v>3934</v>
      </c>
      <c r="E85" s="25" t="s">
        <v>85</v>
      </c>
      <c r="F85" s="25" t="s">
        <v>3844</v>
      </c>
      <c r="G85" s="26">
        <v>46220.0</v>
      </c>
      <c r="H85" s="25" t="s">
        <v>3938</v>
      </c>
      <c r="I85" s="25" t="s">
        <v>97</v>
      </c>
      <c r="J85" s="25" t="s">
        <v>2246</v>
      </c>
      <c r="K85" s="25" t="s">
        <v>3846</v>
      </c>
      <c r="L85" s="25" t="s">
        <v>3851</v>
      </c>
    </row>
    <row r="86" ht="15.75" customHeight="1">
      <c r="A86" s="58" t="s">
        <v>858</v>
      </c>
      <c r="B86" s="59">
        <v>46024.0</v>
      </c>
      <c r="C86" s="58" t="s">
        <v>859</v>
      </c>
      <c r="D86" s="58" t="s">
        <v>3934</v>
      </c>
      <c r="E86" s="58" t="s">
        <v>115</v>
      </c>
      <c r="F86" s="58" t="s">
        <v>3879</v>
      </c>
      <c r="G86" s="59">
        <v>46050.0</v>
      </c>
      <c r="H86" s="58" t="s">
        <v>3939</v>
      </c>
      <c r="I86" s="58" t="s">
        <v>97</v>
      </c>
      <c r="J86" s="58" t="s">
        <v>2247</v>
      </c>
      <c r="K86" s="58" t="s">
        <v>3881</v>
      </c>
      <c r="L86" s="58" t="s">
        <v>3855</v>
      </c>
    </row>
    <row r="87" ht="15.75" customHeight="1">
      <c r="A87" s="25" t="s">
        <v>180</v>
      </c>
      <c r="B87" s="26">
        <v>46103.0</v>
      </c>
      <c r="C87" s="25" t="s">
        <v>181</v>
      </c>
      <c r="D87" s="25" t="s">
        <v>3934</v>
      </c>
      <c r="E87" s="25" t="s">
        <v>85</v>
      </c>
      <c r="F87" s="25" t="s">
        <v>3844</v>
      </c>
      <c r="G87" s="26">
        <v>46151.0</v>
      </c>
      <c r="H87" s="25" t="s">
        <v>3940</v>
      </c>
      <c r="I87" s="25" t="s">
        <v>97</v>
      </c>
      <c r="J87" s="25" t="s">
        <v>2246</v>
      </c>
      <c r="K87" s="25" t="s">
        <v>3846</v>
      </c>
      <c r="L87" s="25" t="s">
        <v>3847</v>
      </c>
    </row>
    <row r="88" ht="15.75" customHeight="1">
      <c r="A88" s="58" t="s">
        <v>1132</v>
      </c>
      <c r="B88" s="59">
        <v>46032.0</v>
      </c>
      <c r="C88" s="58" t="s">
        <v>1133</v>
      </c>
      <c r="D88" s="58" t="s">
        <v>3934</v>
      </c>
      <c r="E88" s="58" t="s">
        <v>74</v>
      </c>
      <c r="F88" s="58" t="s">
        <v>3844</v>
      </c>
      <c r="G88" s="59">
        <v>46098.0</v>
      </c>
      <c r="H88" s="58" t="s">
        <v>3941</v>
      </c>
      <c r="I88" s="58" t="s">
        <v>97</v>
      </c>
      <c r="J88" s="58" t="s">
        <v>2246</v>
      </c>
      <c r="K88" s="58" t="s">
        <v>3846</v>
      </c>
      <c r="L88" s="58" t="s">
        <v>3847</v>
      </c>
    </row>
    <row r="89" ht="15.75" customHeight="1">
      <c r="A89" s="25" t="s">
        <v>1134</v>
      </c>
      <c r="B89" s="26">
        <v>46039.0</v>
      </c>
      <c r="C89" s="25" t="s">
        <v>1122</v>
      </c>
      <c r="D89" s="25" t="s">
        <v>3934</v>
      </c>
      <c r="E89" s="25" t="s">
        <v>156</v>
      </c>
      <c r="F89" s="25" t="s">
        <v>3844</v>
      </c>
      <c r="G89" s="26">
        <v>46188.0</v>
      </c>
      <c r="H89" s="25" t="s">
        <v>3942</v>
      </c>
      <c r="I89" s="25" t="s">
        <v>3853</v>
      </c>
      <c r="J89" s="25" t="s">
        <v>2247</v>
      </c>
      <c r="K89" s="25" t="s">
        <v>3854</v>
      </c>
      <c r="L89" s="25" t="s">
        <v>3847</v>
      </c>
    </row>
    <row r="90" ht="15.75" customHeight="1">
      <c r="A90" s="58" t="s">
        <v>79</v>
      </c>
      <c r="B90" s="59">
        <v>46114.0</v>
      </c>
      <c r="C90" s="58" t="s">
        <v>80</v>
      </c>
      <c r="D90" s="58" t="s">
        <v>3934</v>
      </c>
      <c r="E90" s="58" t="s">
        <v>81</v>
      </c>
      <c r="F90" s="58" t="s">
        <v>3844</v>
      </c>
      <c r="G90" s="59">
        <v>46231.0</v>
      </c>
      <c r="H90" s="58" t="s">
        <v>3943</v>
      </c>
      <c r="I90" s="58" t="s">
        <v>97</v>
      </c>
      <c r="J90" s="58" t="s">
        <v>2246</v>
      </c>
      <c r="K90" s="58" t="s">
        <v>3846</v>
      </c>
      <c r="L90" s="58" t="s">
        <v>3847</v>
      </c>
    </row>
    <row r="91" ht="15.75" customHeight="1">
      <c r="A91" s="25" t="s">
        <v>82</v>
      </c>
      <c r="B91" s="26">
        <v>46079.0</v>
      </c>
      <c r="C91" s="25" t="s">
        <v>83</v>
      </c>
      <c r="D91" s="25" t="s">
        <v>3934</v>
      </c>
      <c r="E91" s="25" t="s">
        <v>71</v>
      </c>
      <c r="F91" s="25" t="s">
        <v>3844</v>
      </c>
      <c r="G91" s="26">
        <v>46179.0</v>
      </c>
      <c r="H91" s="25" t="s">
        <v>3944</v>
      </c>
      <c r="I91" s="25" t="s">
        <v>97</v>
      </c>
      <c r="J91" s="25" t="s">
        <v>2246</v>
      </c>
      <c r="K91" s="25" t="s">
        <v>3846</v>
      </c>
      <c r="L91" s="25" t="s">
        <v>3855</v>
      </c>
    </row>
    <row r="92" ht="15.75" customHeight="1">
      <c r="A92" s="58" t="s">
        <v>84</v>
      </c>
      <c r="B92" s="59">
        <v>46140.0</v>
      </c>
      <c r="C92" s="58" t="s">
        <v>80</v>
      </c>
      <c r="D92" s="58" t="s">
        <v>3934</v>
      </c>
      <c r="E92" s="58" t="s">
        <v>85</v>
      </c>
      <c r="F92" s="58" t="s">
        <v>3844</v>
      </c>
      <c r="G92" s="59">
        <v>46193.0</v>
      </c>
      <c r="H92" s="58" t="s">
        <v>3945</v>
      </c>
      <c r="I92" s="58" t="s">
        <v>97</v>
      </c>
      <c r="J92" s="58" t="s">
        <v>2246</v>
      </c>
      <c r="K92" s="58" t="s">
        <v>3846</v>
      </c>
      <c r="L92" s="58" t="s">
        <v>3851</v>
      </c>
    </row>
    <row r="93" ht="15.75" customHeight="1">
      <c r="A93" s="25" t="s">
        <v>185</v>
      </c>
      <c r="B93" s="26">
        <v>46039.0</v>
      </c>
      <c r="C93" s="25" t="s">
        <v>181</v>
      </c>
      <c r="D93" s="25" t="s">
        <v>3934</v>
      </c>
      <c r="E93" s="25" t="s">
        <v>71</v>
      </c>
      <c r="F93" s="25" t="s">
        <v>3844</v>
      </c>
      <c r="G93" s="26">
        <v>46137.0</v>
      </c>
      <c r="H93" s="25" t="s">
        <v>3946</v>
      </c>
      <c r="I93" s="25" t="s">
        <v>97</v>
      </c>
      <c r="J93" s="25" t="s">
        <v>2246</v>
      </c>
      <c r="K93" s="25" t="s">
        <v>3846</v>
      </c>
      <c r="L93" s="25" t="s">
        <v>3855</v>
      </c>
    </row>
    <row r="94" ht="15.75" customHeight="1">
      <c r="A94" s="58" t="s">
        <v>569</v>
      </c>
      <c r="B94" s="59">
        <v>46127.0</v>
      </c>
      <c r="C94" s="58" t="s">
        <v>570</v>
      </c>
      <c r="D94" s="58" t="s">
        <v>3934</v>
      </c>
      <c r="E94" s="58" t="s">
        <v>90</v>
      </c>
      <c r="F94" s="58" t="s">
        <v>3844</v>
      </c>
      <c r="G94" s="59">
        <v>46244.0</v>
      </c>
      <c r="H94" s="58" t="s">
        <v>3947</v>
      </c>
      <c r="I94" s="58" t="s">
        <v>97</v>
      </c>
      <c r="J94" s="58" t="s">
        <v>2246</v>
      </c>
      <c r="K94" s="58" t="s">
        <v>3846</v>
      </c>
      <c r="L94" s="58" t="s">
        <v>3847</v>
      </c>
    </row>
    <row r="95" ht="15.75" customHeight="1">
      <c r="A95" s="25" t="s">
        <v>88</v>
      </c>
      <c r="B95" s="26">
        <v>46044.0</v>
      </c>
      <c r="C95" s="25" t="s">
        <v>80</v>
      </c>
      <c r="D95" s="25" t="s">
        <v>3934</v>
      </c>
      <c r="E95" s="25" t="s">
        <v>90</v>
      </c>
      <c r="F95" s="25" t="s">
        <v>3857</v>
      </c>
      <c r="G95" s="26">
        <v>46029.0</v>
      </c>
      <c r="H95" s="25" t="s">
        <v>3948</v>
      </c>
      <c r="I95" s="25" t="s">
        <v>97</v>
      </c>
      <c r="J95" s="25" t="s">
        <v>2246</v>
      </c>
      <c r="K95" s="25" t="s">
        <v>3846</v>
      </c>
      <c r="L95" s="25" t="s">
        <v>3855</v>
      </c>
    </row>
    <row r="96" ht="15.75" customHeight="1">
      <c r="A96" s="58" t="s">
        <v>91</v>
      </c>
      <c r="B96" s="59">
        <v>46084.0</v>
      </c>
      <c r="C96" s="58" t="s">
        <v>83</v>
      </c>
      <c r="D96" s="58" t="s">
        <v>3934</v>
      </c>
      <c r="E96" s="58" t="s">
        <v>92</v>
      </c>
      <c r="F96" s="58" t="s">
        <v>3844</v>
      </c>
      <c r="G96" s="59">
        <v>46100.0</v>
      </c>
      <c r="H96" s="58" t="s">
        <v>3949</v>
      </c>
      <c r="I96" s="58" t="s">
        <v>97</v>
      </c>
      <c r="J96" s="58" t="s">
        <v>2246</v>
      </c>
      <c r="K96" s="58" t="s">
        <v>3846</v>
      </c>
      <c r="L96" s="58" t="s">
        <v>3855</v>
      </c>
    </row>
    <row r="97" ht="15.75" customHeight="1">
      <c r="A97" s="25" t="s">
        <v>738</v>
      </c>
      <c r="B97" s="26">
        <v>46055.0</v>
      </c>
      <c r="C97" s="25" t="s">
        <v>700</v>
      </c>
      <c r="D97" s="25" t="s">
        <v>3934</v>
      </c>
      <c r="E97" s="25" t="s">
        <v>106</v>
      </c>
      <c r="F97" s="25" t="s">
        <v>3879</v>
      </c>
      <c r="G97" s="26">
        <v>46064.0</v>
      </c>
      <c r="H97" s="25" t="s">
        <v>3950</v>
      </c>
      <c r="I97" s="25" t="s">
        <v>3906</v>
      </c>
      <c r="J97" s="25" t="s">
        <v>2247</v>
      </c>
      <c r="K97" s="25" t="s">
        <v>3951</v>
      </c>
      <c r="L97" s="25" t="s">
        <v>3847</v>
      </c>
    </row>
    <row r="98" ht="15.75" customHeight="1">
      <c r="A98" s="58" t="s">
        <v>877</v>
      </c>
      <c r="B98" s="59">
        <v>46039.0</v>
      </c>
      <c r="C98" s="58" t="s">
        <v>859</v>
      </c>
      <c r="D98" s="58" t="s">
        <v>3934</v>
      </c>
      <c r="E98" s="58" t="s">
        <v>190</v>
      </c>
      <c r="F98" s="58" t="s">
        <v>3857</v>
      </c>
      <c r="G98" s="59">
        <v>46072.0</v>
      </c>
      <c r="H98" s="58" t="s">
        <v>3952</v>
      </c>
      <c r="I98" s="58" t="s">
        <v>97</v>
      </c>
      <c r="J98" s="58" t="s">
        <v>2246</v>
      </c>
      <c r="K98" s="58" t="s">
        <v>3846</v>
      </c>
      <c r="L98" s="58" t="s">
        <v>3847</v>
      </c>
    </row>
    <row r="99" ht="15.75" customHeight="1">
      <c r="A99" s="25" t="s">
        <v>584</v>
      </c>
      <c r="B99" s="26">
        <v>46055.0</v>
      </c>
      <c r="C99" s="25" t="s">
        <v>570</v>
      </c>
      <c r="D99" s="25" t="s">
        <v>3934</v>
      </c>
      <c r="E99" s="25" t="s">
        <v>123</v>
      </c>
      <c r="F99" s="25" t="s">
        <v>3844</v>
      </c>
      <c r="G99" s="26">
        <v>46101.0</v>
      </c>
      <c r="H99" s="25" t="s">
        <v>3953</v>
      </c>
      <c r="I99" s="25" t="s">
        <v>3906</v>
      </c>
      <c r="J99" s="25" t="s">
        <v>2247</v>
      </c>
      <c r="K99" s="25" t="s">
        <v>3854</v>
      </c>
      <c r="L99" s="25" t="s">
        <v>3851</v>
      </c>
    </row>
    <row r="100" ht="15.75" customHeight="1">
      <c r="A100" s="58" t="s">
        <v>851</v>
      </c>
      <c r="B100" s="59">
        <v>46131.0</v>
      </c>
      <c r="C100" s="58" t="s">
        <v>1133</v>
      </c>
      <c r="D100" s="58" t="s">
        <v>3934</v>
      </c>
      <c r="E100" s="58" t="s">
        <v>156</v>
      </c>
      <c r="F100" s="58" t="s">
        <v>3844</v>
      </c>
      <c r="G100" s="59">
        <v>46278.0</v>
      </c>
      <c r="H100" s="58"/>
      <c r="I100" s="58" t="s">
        <v>3853</v>
      </c>
      <c r="J100" s="58" t="s">
        <v>2247</v>
      </c>
      <c r="K100" s="58" t="s">
        <v>3874</v>
      </c>
      <c r="L100" s="58" t="s">
        <v>3847</v>
      </c>
    </row>
    <row r="101" ht="15.75" customHeight="1">
      <c r="A101" s="25" t="s">
        <v>331</v>
      </c>
      <c r="B101" s="26">
        <v>46126.0</v>
      </c>
      <c r="C101" s="25" t="s">
        <v>299</v>
      </c>
      <c r="D101" s="25" t="s">
        <v>3934</v>
      </c>
      <c r="E101" s="25" t="s">
        <v>162</v>
      </c>
      <c r="F101" s="25" t="s">
        <v>3844</v>
      </c>
      <c r="G101" s="26">
        <v>46151.0</v>
      </c>
      <c r="H101" s="25" t="s">
        <v>3954</v>
      </c>
      <c r="I101" s="25" t="s">
        <v>97</v>
      </c>
      <c r="J101" s="25" t="s">
        <v>2246</v>
      </c>
      <c r="K101" s="25" t="s">
        <v>3846</v>
      </c>
      <c r="L101" s="25" t="s">
        <v>3851</v>
      </c>
    </row>
    <row r="102" ht="15.75" customHeight="1">
      <c r="A102" s="58" t="s">
        <v>1142</v>
      </c>
      <c r="B102" s="59">
        <v>46112.0</v>
      </c>
      <c r="C102" s="58" t="s">
        <v>1122</v>
      </c>
      <c r="D102" s="58" t="s">
        <v>3934</v>
      </c>
      <c r="E102" s="58" t="s">
        <v>85</v>
      </c>
      <c r="F102" s="58" t="s">
        <v>3844</v>
      </c>
      <c r="G102" s="59">
        <v>46203.0</v>
      </c>
      <c r="H102" s="58" t="s">
        <v>3955</v>
      </c>
      <c r="I102" s="58" t="s">
        <v>97</v>
      </c>
      <c r="J102" s="58" t="s">
        <v>2246</v>
      </c>
      <c r="K102" s="58" t="s">
        <v>3846</v>
      </c>
      <c r="L102" s="58" t="s">
        <v>3855</v>
      </c>
    </row>
    <row r="103" ht="15.75" customHeight="1">
      <c r="A103" s="25" t="s">
        <v>884</v>
      </c>
      <c r="B103" s="26">
        <v>46105.0</v>
      </c>
      <c r="C103" s="25" t="s">
        <v>859</v>
      </c>
      <c r="D103" s="25" t="s">
        <v>3934</v>
      </c>
      <c r="E103" s="25" t="s">
        <v>102</v>
      </c>
      <c r="F103" s="25" t="s">
        <v>3844</v>
      </c>
      <c r="G103" s="26">
        <v>46210.0</v>
      </c>
      <c r="H103" s="25" t="s">
        <v>3956</v>
      </c>
      <c r="I103" s="25" t="s">
        <v>97</v>
      </c>
      <c r="J103" s="25" t="s">
        <v>2246</v>
      </c>
      <c r="K103" s="25" t="s">
        <v>3846</v>
      </c>
      <c r="L103" s="25" t="s">
        <v>3847</v>
      </c>
    </row>
    <row r="104" ht="15.75" customHeight="1">
      <c r="A104" s="58" t="s">
        <v>885</v>
      </c>
      <c r="B104" s="59">
        <v>46059.0</v>
      </c>
      <c r="C104" s="58" t="s">
        <v>859</v>
      </c>
      <c r="D104" s="58" t="s">
        <v>3934</v>
      </c>
      <c r="E104" s="58" t="s">
        <v>190</v>
      </c>
      <c r="F104" s="58" t="s">
        <v>3844</v>
      </c>
      <c r="G104" s="59">
        <v>46125.0</v>
      </c>
      <c r="H104" s="58" t="s">
        <v>3957</v>
      </c>
      <c r="I104" s="58" t="s">
        <v>97</v>
      </c>
      <c r="J104" s="58" t="s">
        <v>2246</v>
      </c>
      <c r="K104" s="58" t="s">
        <v>3846</v>
      </c>
      <c r="L104" s="58" t="s">
        <v>3847</v>
      </c>
    </row>
    <row r="105" ht="15.75" customHeight="1">
      <c r="A105" s="25" t="s">
        <v>886</v>
      </c>
      <c r="B105" s="26">
        <v>46063.0</v>
      </c>
      <c r="C105" s="25" t="s">
        <v>859</v>
      </c>
      <c r="D105" s="25" t="s">
        <v>3934</v>
      </c>
      <c r="E105" s="25" t="s">
        <v>92</v>
      </c>
      <c r="F105" s="25" t="s">
        <v>3844</v>
      </c>
      <c r="G105" s="26">
        <v>46185.0</v>
      </c>
      <c r="H105" s="25" t="s">
        <v>3958</v>
      </c>
      <c r="I105" s="25" t="s">
        <v>97</v>
      </c>
      <c r="J105" s="25" t="s">
        <v>2246</v>
      </c>
      <c r="K105" s="25" t="s">
        <v>3846</v>
      </c>
      <c r="L105" s="25" t="s">
        <v>3855</v>
      </c>
    </row>
    <row r="106" ht="15.75" customHeight="1">
      <c r="A106" s="58" t="s">
        <v>599</v>
      </c>
      <c r="B106" s="59">
        <v>46073.0</v>
      </c>
      <c r="C106" s="58" t="s">
        <v>570</v>
      </c>
      <c r="D106" s="58" t="s">
        <v>3934</v>
      </c>
      <c r="E106" s="58" t="s">
        <v>110</v>
      </c>
      <c r="F106" s="58" t="s">
        <v>3844</v>
      </c>
      <c r="G106" s="59">
        <v>46054.0</v>
      </c>
      <c r="H106" s="58" t="s">
        <v>3959</v>
      </c>
      <c r="I106" s="58" t="s">
        <v>97</v>
      </c>
      <c r="J106" s="58" t="s">
        <v>2246</v>
      </c>
      <c r="K106" s="58" t="s">
        <v>3846</v>
      </c>
      <c r="L106" s="58" t="s">
        <v>3851</v>
      </c>
    </row>
    <row r="107" ht="15.75" customHeight="1">
      <c r="A107" s="25" t="s">
        <v>1147</v>
      </c>
      <c r="B107" s="26">
        <v>46083.0</v>
      </c>
      <c r="C107" s="25" t="s">
        <v>1122</v>
      </c>
      <c r="D107" s="25" t="s">
        <v>3934</v>
      </c>
      <c r="E107" s="25" t="s">
        <v>156</v>
      </c>
      <c r="F107" s="25" t="s">
        <v>3857</v>
      </c>
      <c r="G107" s="26">
        <v>46125.0</v>
      </c>
      <c r="H107" s="25" t="s">
        <v>3960</v>
      </c>
      <c r="I107" s="25" t="s">
        <v>3853</v>
      </c>
      <c r="J107" s="25" t="s">
        <v>2247</v>
      </c>
      <c r="K107" s="25" t="s">
        <v>3854</v>
      </c>
      <c r="L107" s="25" t="s">
        <v>3847</v>
      </c>
    </row>
    <row r="108" ht="15.75" customHeight="1">
      <c r="A108" s="58" t="s">
        <v>891</v>
      </c>
      <c r="B108" s="59">
        <v>46036.0</v>
      </c>
      <c r="C108" s="58" t="s">
        <v>859</v>
      </c>
      <c r="D108" s="58" t="s">
        <v>3934</v>
      </c>
      <c r="E108" s="58" t="s">
        <v>64</v>
      </c>
      <c r="F108" s="58" t="s">
        <v>3844</v>
      </c>
      <c r="G108" s="59">
        <v>46143.0</v>
      </c>
      <c r="H108" s="58" t="s">
        <v>3961</v>
      </c>
      <c r="I108" s="58" t="s">
        <v>97</v>
      </c>
      <c r="J108" s="58" t="s">
        <v>2246</v>
      </c>
      <c r="K108" s="58" t="s">
        <v>3846</v>
      </c>
      <c r="L108" s="58" t="s">
        <v>3855</v>
      </c>
    </row>
    <row r="109" ht="15.75" customHeight="1">
      <c r="A109" s="25" t="s">
        <v>344</v>
      </c>
      <c r="B109" s="26">
        <v>46065.0</v>
      </c>
      <c r="C109" s="25" t="s">
        <v>299</v>
      </c>
      <c r="D109" s="25" t="s">
        <v>3934</v>
      </c>
      <c r="E109" s="25" t="s">
        <v>90</v>
      </c>
      <c r="F109" s="25" t="s">
        <v>3844</v>
      </c>
      <c r="G109" s="26">
        <v>46196.0</v>
      </c>
      <c r="H109" s="25" t="s">
        <v>3962</v>
      </c>
      <c r="I109" s="25" t="s">
        <v>97</v>
      </c>
      <c r="J109" s="25" t="s">
        <v>2246</v>
      </c>
      <c r="K109" s="25" t="s">
        <v>3846</v>
      </c>
      <c r="L109" s="25" t="s">
        <v>3851</v>
      </c>
    </row>
    <row r="110" ht="15.75" customHeight="1">
      <c r="A110" s="58" t="s">
        <v>112</v>
      </c>
      <c r="B110" s="59">
        <v>46053.0</v>
      </c>
      <c r="C110" s="58" t="s">
        <v>83</v>
      </c>
      <c r="D110" s="58" t="s">
        <v>3934</v>
      </c>
      <c r="E110" s="58" t="s">
        <v>92</v>
      </c>
      <c r="F110" s="58" t="s">
        <v>3857</v>
      </c>
      <c r="G110" s="59">
        <v>46052.0</v>
      </c>
      <c r="H110" s="58" t="s">
        <v>3963</v>
      </c>
      <c r="I110" s="58" t="s">
        <v>97</v>
      </c>
      <c r="J110" s="58" t="s">
        <v>2246</v>
      </c>
      <c r="K110" s="58" t="s">
        <v>3846</v>
      </c>
      <c r="L110" s="58" t="s">
        <v>3847</v>
      </c>
    </row>
    <row r="111" ht="15.75" customHeight="1">
      <c r="A111" s="25" t="s">
        <v>772</v>
      </c>
      <c r="B111" s="26">
        <v>46074.0</v>
      </c>
      <c r="C111" s="25" t="s">
        <v>700</v>
      </c>
      <c r="D111" s="25" t="s">
        <v>3934</v>
      </c>
      <c r="E111" s="25" t="s">
        <v>78</v>
      </c>
      <c r="F111" s="25" t="s">
        <v>3844</v>
      </c>
      <c r="G111" s="26">
        <v>46121.0</v>
      </c>
      <c r="H111" s="25" t="s">
        <v>3964</v>
      </c>
      <c r="I111" s="25" t="s">
        <v>97</v>
      </c>
      <c r="J111" s="25" t="s">
        <v>2246</v>
      </c>
      <c r="K111" s="25" t="s">
        <v>3846</v>
      </c>
      <c r="L111" s="25" t="s">
        <v>3855</v>
      </c>
    </row>
    <row r="112" ht="15.75" customHeight="1">
      <c r="A112" s="58" t="s">
        <v>116</v>
      </c>
      <c r="B112" s="59">
        <v>46023.0</v>
      </c>
      <c r="C112" s="58" t="s">
        <v>80</v>
      </c>
      <c r="D112" s="58" t="s">
        <v>3934</v>
      </c>
      <c r="E112" s="58" t="s">
        <v>115</v>
      </c>
      <c r="F112" s="58" t="s">
        <v>3844</v>
      </c>
      <c r="G112" s="59">
        <v>46098.0</v>
      </c>
      <c r="H112" s="58" t="s">
        <v>3965</v>
      </c>
      <c r="I112" s="58" t="s">
        <v>97</v>
      </c>
      <c r="J112" s="58" t="s">
        <v>2246</v>
      </c>
      <c r="K112" s="58" t="s">
        <v>3846</v>
      </c>
      <c r="L112" s="58" t="s">
        <v>3851</v>
      </c>
    </row>
    <row r="113" ht="15.75" customHeight="1">
      <c r="A113" s="25" t="s">
        <v>219</v>
      </c>
      <c r="B113" s="26">
        <v>46091.0</v>
      </c>
      <c r="C113" s="25" t="s">
        <v>181</v>
      </c>
      <c r="D113" s="25" t="s">
        <v>3934</v>
      </c>
      <c r="E113" s="25" t="s">
        <v>81</v>
      </c>
      <c r="F113" s="25" t="s">
        <v>3857</v>
      </c>
      <c r="G113" s="26">
        <v>46083.0</v>
      </c>
      <c r="H113" s="25" t="s">
        <v>3966</v>
      </c>
      <c r="I113" s="25" t="s">
        <v>97</v>
      </c>
      <c r="J113" s="25" t="s">
        <v>2246</v>
      </c>
      <c r="K113" s="25" t="s">
        <v>3846</v>
      </c>
      <c r="L113" s="25" t="s">
        <v>3851</v>
      </c>
    </row>
    <row r="114" ht="15.75" customHeight="1">
      <c r="A114" s="58" t="s">
        <v>118</v>
      </c>
      <c r="B114" s="59">
        <v>46036.0</v>
      </c>
      <c r="C114" s="58" t="s">
        <v>83</v>
      </c>
      <c r="D114" s="58" t="s">
        <v>3934</v>
      </c>
      <c r="E114" s="58" t="s">
        <v>81</v>
      </c>
      <c r="F114" s="58" t="s">
        <v>3844</v>
      </c>
      <c r="G114" s="59">
        <v>46121.0</v>
      </c>
      <c r="H114" s="58" t="s">
        <v>3967</v>
      </c>
      <c r="I114" s="58" t="s">
        <v>97</v>
      </c>
      <c r="J114" s="58" t="s">
        <v>2246</v>
      </c>
      <c r="K114" s="58" t="s">
        <v>3846</v>
      </c>
      <c r="L114" s="58" t="s">
        <v>3851</v>
      </c>
    </row>
    <row r="115" ht="15.75" customHeight="1">
      <c r="A115" s="25" t="s">
        <v>221</v>
      </c>
      <c r="B115" s="26">
        <v>46116.0</v>
      </c>
      <c r="C115" s="25" t="s">
        <v>181</v>
      </c>
      <c r="D115" s="25" t="s">
        <v>3934</v>
      </c>
      <c r="E115" s="25" t="s">
        <v>64</v>
      </c>
      <c r="F115" s="25" t="s">
        <v>3844</v>
      </c>
      <c r="G115" s="26">
        <v>46204.0</v>
      </c>
      <c r="H115" s="25" t="s">
        <v>3968</v>
      </c>
      <c r="I115" s="25" t="s">
        <v>97</v>
      </c>
      <c r="J115" s="25" t="s">
        <v>2246</v>
      </c>
      <c r="K115" s="25" t="s">
        <v>3846</v>
      </c>
      <c r="L115" s="25" t="s">
        <v>3855</v>
      </c>
    </row>
    <row r="116" ht="15.75" customHeight="1">
      <c r="A116" s="58" t="s">
        <v>353</v>
      </c>
      <c r="B116" s="59">
        <v>46139.0</v>
      </c>
      <c r="C116" s="58" t="s">
        <v>299</v>
      </c>
      <c r="D116" s="58" t="s">
        <v>3934</v>
      </c>
      <c r="E116" s="58" t="s">
        <v>190</v>
      </c>
      <c r="F116" s="58" t="s">
        <v>3844</v>
      </c>
      <c r="G116" s="59">
        <v>46146.0</v>
      </c>
      <c r="H116" s="58"/>
      <c r="I116" s="58" t="s">
        <v>97</v>
      </c>
      <c r="J116" s="58" t="s">
        <v>2247</v>
      </c>
      <c r="K116" s="58" t="s">
        <v>3848</v>
      </c>
      <c r="L116" s="58" t="s">
        <v>3855</v>
      </c>
    </row>
    <row r="117" ht="15.75" customHeight="1">
      <c r="A117" s="25" t="s">
        <v>1152</v>
      </c>
      <c r="B117" s="26">
        <v>46109.0</v>
      </c>
      <c r="C117" s="25" t="s">
        <v>1133</v>
      </c>
      <c r="D117" s="25" t="s">
        <v>3934</v>
      </c>
      <c r="E117" s="25" t="s">
        <v>90</v>
      </c>
      <c r="F117" s="25" t="s">
        <v>3844</v>
      </c>
      <c r="G117" s="26">
        <v>46155.0</v>
      </c>
      <c r="H117" s="25" t="s">
        <v>3969</v>
      </c>
      <c r="I117" s="25" t="s">
        <v>97</v>
      </c>
      <c r="J117" s="25" t="s">
        <v>2246</v>
      </c>
      <c r="K117" s="25" t="s">
        <v>3846</v>
      </c>
      <c r="L117" s="25" t="s">
        <v>3851</v>
      </c>
    </row>
    <row r="118" ht="15.75" customHeight="1">
      <c r="A118" s="58" t="s">
        <v>357</v>
      </c>
      <c r="B118" s="59">
        <v>46075.0</v>
      </c>
      <c r="C118" s="58" t="s">
        <v>299</v>
      </c>
      <c r="D118" s="58" t="s">
        <v>3934</v>
      </c>
      <c r="E118" s="58" t="s">
        <v>92</v>
      </c>
      <c r="F118" s="58" t="s">
        <v>3844</v>
      </c>
      <c r="G118" s="59">
        <v>46115.0</v>
      </c>
      <c r="H118" s="58" t="s">
        <v>3970</v>
      </c>
      <c r="I118" s="58" t="s">
        <v>97</v>
      </c>
      <c r="J118" s="58" t="s">
        <v>2246</v>
      </c>
      <c r="K118" s="58" t="s">
        <v>3846</v>
      </c>
      <c r="L118" s="58" t="s">
        <v>3855</v>
      </c>
    </row>
    <row r="119" ht="15.75" customHeight="1">
      <c r="A119" s="25" t="s">
        <v>124</v>
      </c>
      <c r="B119" s="26">
        <v>46055.0</v>
      </c>
      <c r="C119" s="25" t="s">
        <v>83</v>
      </c>
      <c r="D119" s="25" t="s">
        <v>3934</v>
      </c>
      <c r="E119" s="25" t="s">
        <v>102</v>
      </c>
      <c r="F119" s="25" t="s">
        <v>3844</v>
      </c>
      <c r="G119" s="26">
        <v>46115.0</v>
      </c>
      <c r="H119" s="25" t="s">
        <v>3971</v>
      </c>
      <c r="I119" s="25" t="s">
        <v>97</v>
      </c>
      <c r="J119" s="25" t="s">
        <v>2246</v>
      </c>
      <c r="K119" s="25" t="s">
        <v>3846</v>
      </c>
      <c r="L119" s="25" t="s">
        <v>3855</v>
      </c>
    </row>
    <row r="120" ht="15.75" customHeight="1">
      <c r="A120" s="58" t="s">
        <v>125</v>
      </c>
      <c r="B120" s="59">
        <v>46136.0</v>
      </c>
      <c r="C120" s="58" t="s">
        <v>83</v>
      </c>
      <c r="D120" s="58" t="s">
        <v>3934</v>
      </c>
      <c r="E120" s="58" t="s">
        <v>74</v>
      </c>
      <c r="F120" s="58" t="s">
        <v>3844</v>
      </c>
      <c r="G120" s="59">
        <v>46138.0</v>
      </c>
      <c r="H120" s="58" t="s">
        <v>3972</v>
      </c>
      <c r="I120" s="58" t="s">
        <v>97</v>
      </c>
      <c r="J120" s="58" t="s">
        <v>2246</v>
      </c>
      <c r="K120" s="58" t="s">
        <v>3846</v>
      </c>
      <c r="L120" s="58" t="s">
        <v>3847</v>
      </c>
    </row>
    <row r="121" ht="15.75" customHeight="1">
      <c r="A121" s="25" t="s">
        <v>1159</v>
      </c>
      <c r="B121" s="26">
        <v>46134.0</v>
      </c>
      <c r="C121" s="25" t="s">
        <v>1126</v>
      </c>
      <c r="D121" s="25" t="s">
        <v>3934</v>
      </c>
      <c r="E121" s="25" t="s">
        <v>71</v>
      </c>
      <c r="F121" s="25" t="s">
        <v>3844</v>
      </c>
      <c r="G121" s="26">
        <v>46239.0</v>
      </c>
      <c r="H121" s="25" t="s">
        <v>3973</v>
      </c>
      <c r="I121" s="25" t="s">
        <v>97</v>
      </c>
      <c r="J121" s="25" t="s">
        <v>2246</v>
      </c>
      <c r="K121" s="25" t="s">
        <v>3846</v>
      </c>
      <c r="L121" s="25" t="s">
        <v>3851</v>
      </c>
    </row>
    <row r="122" ht="15.75" customHeight="1">
      <c r="A122" s="58" t="s">
        <v>1161</v>
      </c>
      <c r="B122" s="59">
        <v>46104.0</v>
      </c>
      <c r="C122" s="58" t="s">
        <v>1133</v>
      </c>
      <c r="D122" s="58" t="s">
        <v>3934</v>
      </c>
      <c r="E122" s="58" t="s">
        <v>74</v>
      </c>
      <c r="F122" s="58" t="s">
        <v>3844</v>
      </c>
      <c r="G122" s="59">
        <v>46229.0</v>
      </c>
      <c r="H122" s="58" t="s">
        <v>3974</v>
      </c>
      <c r="I122" s="58" t="s">
        <v>97</v>
      </c>
      <c r="J122" s="58" t="s">
        <v>2246</v>
      </c>
      <c r="K122" s="58" t="s">
        <v>3846</v>
      </c>
      <c r="L122" s="58" t="s">
        <v>3855</v>
      </c>
    </row>
    <row r="123" ht="15.75" customHeight="1">
      <c r="A123" s="25" t="s">
        <v>237</v>
      </c>
      <c r="B123" s="26">
        <v>46076.0</v>
      </c>
      <c r="C123" s="25" t="s">
        <v>181</v>
      </c>
      <c r="D123" s="25" t="s">
        <v>3934</v>
      </c>
      <c r="E123" s="25" t="s">
        <v>95</v>
      </c>
      <c r="F123" s="25" t="s">
        <v>3844</v>
      </c>
      <c r="G123" s="26">
        <v>46133.0</v>
      </c>
      <c r="H123" s="25"/>
      <c r="I123" s="25" t="s">
        <v>97</v>
      </c>
      <c r="J123" s="25" t="s">
        <v>2247</v>
      </c>
      <c r="K123" s="25" t="s">
        <v>3848</v>
      </c>
      <c r="L123" s="25" t="s">
        <v>3847</v>
      </c>
    </row>
    <row r="124" ht="15.75" customHeight="1">
      <c r="A124" s="58" t="s">
        <v>1163</v>
      </c>
      <c r="B124" s="59">
        <v>46049.0</v>
      </c>
      <c r="C124" s="58" t="s">
        <v>1126</v>
      </c>
      <c r="D124" s="58" t="s">
        <v>3934</v>
      </c>
      <c r="E124" s="58" t="s">
        <v>85</v>
      </c>
      <c r="F124" s="58" t="s">
        <v>3844</v>
      </c>
      <c r="G124" s="59">
        <v>46033.0</v>
      </c>
      <c r="H124" s="58" t="s">
        <v>3975</v>
      </c>
      <c r="I124" s="58" t="s">
        <v>97</v>
      </c>
      <c r="J124" s="58" t="s">
        <v>2246</v>
      </c>
      <c r="K124" s="58" t="s">
        <v>3846</v>
      </c>
      <c r="L124" s="58" t="s">
        <v>3851</v>
      </c>
    </row>
    <row r="125" ht="15.75" customHeight="1">
      <c r="A125" s="25" t="s">
        <v>1166</v>
      </c>
      <c r="B125" s="26">
        <v>46140.0</v>
      </c>
      <c r="C125" s="25" t="s">
        <v>1126</v>
      </c>
      <c r="D125" s="25" t="s">
        <v>3934</v>
      </c>
      <c r="E125" s="25" t="s">
        <v>102</v>
      </c>
      <c r="F125" s="25" t="s">
        <v>3857</v>
      </c>
      <c r="G125" s="26">
        <v>46300.0</v>
      </c>
      <c r="H125" s="25" t="s">
        <v>3976</v>
      </c>
      <c r="I125" s="25" t="s">
        <v>97</v>
      </c>
      <c r="J125" s="25" t="s">
        <v>2246</v>
      </c>
      <c r="K125" s="25" t="s">
        <v>3846</v>
      </c>
      <c r="L125" s="25" t="s">
        <v>3847</v>
      </c>
    </row>
    <row r="126" ht="15.75" customHeight="1">
      <c r="A126" s="58" t="s">
        <v>1169</v>
      </c>
      <c r="B126" s="59">
        <v>46055.0</v>
      </c>
      <c r="C126" s="58" t="s">
        <v>1133</v>
      </c>
      <c r="D126" s="58" t="s">
        <v>3934</v>
      </c>
      <c r="E126" s="58" t="s">
        <v>154</v>
      </c>
      <c r="F126" s="58" t="s">
        <v>3844</v>
      </c>
      <c r="G126" s="59">
        <v>46081.0</v>
      </c>
      <c r="H126" s="58" t="s">
        <v>3977</v>
      </c>
      <c r="I126" s="58" t="s">
        <v>97</v>
      </c>
      <c r="J126" s="58" t="s">
        <v>2246</v>
      </c>
      <c r="K126" s="58" t="s">
        <v>3846</v>
      </c>
      <c r="L126" s="58" t="s">
        <v>3847</v>
      </c>
    </row>
    <row r="127" ht="15.75" customHeight="1">
      <c r="A127" s="25" t="s">
        <v>131</v>
      </c>
      <c r="B127" s="26">
        <v>46040.0</v>
      </c>
      <c r="C127" s="25" t="s">
        <v>80</v>
      </c>
      <c r="D127" s="25" t="s">
        <v>3934</v>
      </c>
      <c r="E127" s="25" t="s">
        <v>95</v>
      </c>
      <c r="F127" s="25" t="s">
        <v>3844</v>
      </c>
      <c r="G127" s="26">
        <v>46123.0</v>
      </c>
      <c r="H127" s="25"/>
      <c r="I127" s="25" t="s">
        <v>97</v>
      </c>
      <c r="J127" s="25" t="s">
        <v>2247</v>
      </c>
      <c r="K127" s="25" t="s">
        <v>3848</v>
      </c>
      <c r="L127" s="25" t="s">
        <v>3855</v>
      </c>
    </row>
    <row r="128" ht="15.75" customHeight="1">
      <c r="A128" s="58" t="s">
        <v>1171</v>
      </c>
      <c r="B128" s="59">
        <v>46141.0</v>
      </c>
      <c r="C128" s="58" t="s">
        <v>1133</v>
      </c>
      <c r="D128" s="58" t="s">
        <v>3934</v>
      </c>
      <c r="E128" s="58" t="s">
        <v>85</v>
      </c>
      <c r="F128" s="58" t="s">
        <v>3844</v>
      </c>
      <c r="G128" s="59">
        <v>46205.0</v>
      </c>
      <c r="H128" s="58" t="s">
        <v>3978</v>
      </c>
      <c r="I128" s="58" t="s">
        <v>97</v>
      </c>
      <c r="J128" s="58" t="s">
        <v>2246</v>
      </c>
      <c r="K128" s="58" t="s">
        <v>3846</v>
      </c>
      <c r="L128" s="58" t="s">
        <v>3847</v>
      </c>
    </row>
    <row r="129" ht="15.75" customHeight="1">
      <c r="A129" s="25" t="s">
        <v>397</v>
      </c>
      <c r="B129" s="26">
        <v>46033.0</v>
      </c>
      <c r="C129" s="25" t="s">
        <v>299</v>
      </c>
      <c r="D129" s="25" t="s">
        <v>3934</v>
      </c>
      <c r="E129" s="25" t="s">
        <v>85</v>
      </c>
      <c r="F129" s="25" t="s">
        <v>3844</v>
      </c>
      <c r="G129" s="26">
        <v>46114.0</v>
      </c>
      <c r="H129" s="25" t="s">
        <v>3979</v>
      </c>
      <c r="I129" s="25" t="s">
        <v>97</v>
      </c>
      <c r="J129" s="25" t="s">
        <v>2246</v>
      </c>
      <c r="K129" s="25" t="s">
        <v>3846</v>
      </c>
      <c r="L129" s="25" t="s">
        <v>3851</v>
      </c>
    </row>
    <row r="130" ht="15.75" customHeight="1">
      <c r="A130" s="58" t="s">
        <v>135</v>
      </c>
      <c r="B130" s="59">
        <v>46073.0</v>
      </c>
      <c r="C130" s="58" t="s">
        <v>83</v>
      </c>
      <c r="D130" s="58" t="s">
        <v>3934</v>
      </c>
      <c r="E130" s="58" t="s">
        <v>78</v>
      </c>
      <c r="F130" s="58" t="s">
        <v>3844</v>
      </c>
      <c r="G130" s="59">
        <v>46229.0</v>
      </c>
      <c r="H130" s="58" t="s">
        <v>3980</v>
      </c>
      <c r="I130" s="58" t="s">
        <v>97</v>
      </c>
      <c r="J130" s="58" t="s">
        <v>2246</v>
      </c>
      <c r="K130" s="58" t="s">
        <v>3846</v>
      </c>
      <c r="L130" s="58" t="s">
        <v>3855</v>
      </c>
    </row>
    <row r="131" ht="15.75" customHeight="1">
      <c r="A131" s="25" t="s">
        <v>136</v>
      </c>
      <c r="B131" s="26">
        <v>46110.0</v>
      </c>
      <c r="C131" s="25" t="s">
        <v>83</v>
      </c>
      <c r="D131" s="25" t="s">
        <v>3934</v>
      </c>
      <c r="E131" s="25" t="s">
        <v>81</v>
      </c>
      <c r="F131" s="25" t="s">
        <v>3844</v>
      </c>
      <c r="G131" s="26">
        <v>46185.0</v>
      </c>
      <c r="H131" s="25" t="s">
        <v>3981</v>
      </c>
      <c r="I131" s="25" t="s">
        <v>97</v>
      </c>
      <c r="J131" s="25" t="s">
        <v>2246</v>
      </c>
      <c r="K131" s="25" t="s">
        <v>3846</v>
      </c>
      <c r="L131" s="25" t="s">
        <v>3851</v>
      </c>
    </row>
    <row r="132" ht="15.75" customHeight="1">
      <c r="A132" s="58" t="s">
        <v>139</v>
      </c>
      <c r="B132" s="59">
        <v>46111.0</v>
      </c>
      <c r="C132" s="58" t="s">
        <v>83</v>
      </c>
      <c r="D132" s="58" t="s">
        <v>3934</v>
      </c>
      <c r="E132" s="58" t="s">
        <v>78</v>
      </c>
      <c r="F132" s="58" t="s">
        <v>3844</v>
      </c>
      <c r="G132" s="59">
        <v>46178.0</v>
      </c>
      <c r="H132" s="58" t="s">
        <v>3982</v>
      </c>
      <c r="I132" s="58" t="s">
        <v>97</v>
      </c>
      <c r="J132" s="58" t="s">
        <v>2246</v>
      </c>
      <c r="K132" s="58" t="s">
        <v>3846</v>
      </c>
      <c r="L132" s="58" t="s">
        <v>3855</v>
      </c>
    </row>
    <row r="133" ht="15.75" customHeight="1">
      <c r="A133" s="25" t="s">
        <v>650</v>
      </c>
      <c r="B133" s="26">
        <v>46074.0</v>
      </c>
      <c r="C133" s="25" t="s">
        <v>570</v>
      </c>
      <c r="D133" s="25" t="s">
        <v>3934</v>
      </c>
      <c r="E133" s="25" t="s">
        <v>64</v>
      </c>
      <c r="F133" s="25" t="s">
        <v>3844</v>
      </c>
      <c r="G133" s="26">
        <v>46126.0</v>
      </c>
      <c r="H133" s="25" t="s">
        <v>3983</v>
      </c>
      <c r="I133" s="25" t="s">
        <v>97</v>
      </c>
      <c r="J133" s="25" t="s">
        <v>2246</v>
      </c>
      <c r="K133" s="25" t="s">
        <v>3846</v>
      </c>
      <c r="L133" s="25" t="s">
        <v>3847</v>
      </c>
    </row>
    <row r="134" ht="15.75" customHeight="1">
      <c r="A134" s="58" t="s">
        <v>928</v>
      </c>
      <c r="B134" s="59">
        <v>46053.0</v>
      </c>
      <c r="C134" s="58" t="s">
        <v>859</v>
      </c>
      <c r="D134" s="58" t="s">
        <v>3934</v>
      </c>
      <c r="E134" s="58" t="s">
        <v>85</v>
      </c>
      <c r="F134" s="58" t="s">
        <v>3844</v>
      </c>
      <c r="G134" s="59">
        <v>46089.0</v>
      </c>
      <c r="H134" s="58" t="s">
        <v>3984</v>
      </c>
      <c r="I134" s="58" t="s">
        <v>97</v>
      </c>
      <c r="J134" s="58" t="s">
        <v>2246</v>
      </c>
      <c r="K134" s="58" t="s">
        <v>3846</v>
      </c>
      <c r="L134" s="58" t="s">
        <v>3851</v>
      </c>
    </row>
    <row r="135" ht="15.75" customHeight="1">
      <c r="A135" s="25" t="s">
        <v>1177</v>
      </c>
      <c r="B135" s="26">
        <v>46076.0</v>
      </c>
      <c r="C135" s="25" t="s">
        <v>1126</v>
      </c>
      <c r="D135" s="25" t="s">
        <v>3934</v>
      </c>
      <c r="E135" s="25" t="s">
        <v>162</v>
      </c>
      <c r="F135" s="25" t="s">
        <v>3844</v>
      </c>
      <c r="G135" s="26">
        <v>46106.0</v>
      </c>
      <c r="H135" s="25" t="s">
        <v>3985</v>
      </c>
      <c r="I135" s="25" t="s">
        <v>97</v>
      </c>
      <c r="J135" s="25" t="s">
        <v>2246</v>
      </c>
      <c r="K135" s="25" t="s">
        <v>3846</v>
      </c>
      <c r="L135" s="25" t="s">
        <v>3847</v>
      </c>
    </row>
    <row r="136" ht="15.75" customHeight="1">
      <c r="A136" s="58" t="s">
        <v>1178</v>
      </c>
      <c r="B136" s="59">
        <v>46028.0</v>
      </c>
      <c r="C136" s="58" t="s">
        <v>1133</v>
      </c>
      <c r="D136" s="58" t="s">
        <v>3934</v>
      </c>
      <c r="E136" s="58" t="s">
        <v>90</v>
      </c>
      <c r="F136" s="58" t="s">
        <v>3844</v>
      </c>
      <c r="G136" s="59">
        <v>46101.0</v>
      </c>
      <c r="H136" s="58" t="s">
        <v>3986</v>
      </c>
      <c r="I136" s="58" t="s">
        <v>97</v>
      </c>
      <c r="J136" s="58" t="s">
        <v>2246</v>
      </c>
      <c r="K136" s="58" t="s">
        <v>3846</v>
      </c>
      <c r="L136" s="58" t="s">
        <v>3847</v>
      </c>
    </row>
    <row r="137" ht="15.75" customHeight="1">
      <c r="A137" s="25" t="s">
        <v>254</v>
      </c>
      <c r="B137" s="26">
        <v>46109.0</v>
      </c>
      <c r="C137" s="25" t="s">
        <v>181</v>
      </c>
      <c r="D137" s="25" t="s">
        <v>3934</v>
      </c>
      <c r="E137" s="25" t="s">
        <v>90</v>
      </c>
      <c r="F137" s="25" t="s">
        <v>3844</v>
      </c>
      <c r="G137" s="26">
        <v>46136.0</v>
      </c>
      <c r="H137" s="25"/>
      <c r="I137" s="25" t="s">
        <v>97</v>
      </c>
      <c r="J137" s="25" t="s">
        <v>2247</v>
      </c>
      <c r="K137" s="25" t="s">
        <v>3848</v>
      </c>
      <c r="L137" s="25" t="s">
        <v>3847</v>
      </c>
    </row>
    <row r="138" ht="15.75" customHeight="1">
      <c r="A138" s="58" t="s">
        <v>256</v>
      </c>
      <c r="B138" s="59">
        <v>46034.0</v>
      </c>
      <c r="C138" s="58" t="s">
        <v>181</v>
      </c>
      <c r="D138" s="58" t="s">
        <v>3934</v>
      </c>
      <c r="E138" s="58" t="s">
        <v>106</v>
      </c>
      <c r="F138" s="58" t="s">
        <v>3844</v>
      </c>
      <c r="G138" s="59">
        <v>46155.0</v>
      </c>
      <c r="H138" s="58" t="s">
        <v>3987</v>
      </c>
      <c r="I138" s="58" t="s">
        <v>97</v>
      </c>
      <c r="J138" s="58" t="s">
        <v>2246</v>
      </c>
      <c r="K138" s="58" t="s">
        <v>3846</v>
      </c>
      <c r="L138" s="58" t="s">
        <v>3851</v>
      </c>
    </row>
    <row r="139" ht="15.75" customHeight="1">
      <c r="A139" s="25" t="s">
        <v>142</v>
      </c>
      <c r="B139" s="26">
        <v>46121.0</v>
      </c>
      <c r="C139" s="25" t="s">
        <v>80</v>
      </c>
      <c r="D139" s="25" t="s">
        <v>3934</v>
      </c>
      <c r="E139" s="25" t="s">
        <v>110</v>
      </c>
      <c r="F139" s="25" t="s">
        <v>3844</v>
      </c>
      <c r="G139" s="26">
        <v>46178.0</v>
      </c>
      <c r="H139" s="25" t="s">
        <v>3988</v>
      </c>
      <c r="I139" s="25" t="s">
        <v>97</v>
      </c>
      <c r="J139" s="25" t="s">
        <v>2246</v>
      </c>
      <c r="K139" s="25" t="s">
        <v>3846</v>
      </c>
      <c r="L139" s="25" t="s">
        <v>3851</v>
      </c>
    </row>
    <row r="140" ht="15.75" customHeight="1">
      <c r="A140" s="58" t="s">
        <v>931</v>
      </c>
      <c r="B140" s="59">
        <v>46024.0</v>
      </c>
      <c r="C140" s="58" t="s">
        <v>859</v>
      </c>
      <c r="D140" s="58" t="s">
        <v>3934</v>
      </c>
      <c r="E140" s="58" t="s">
        <v>78</v>
      </c>
      <c r="F140" s="58" t="s">
        <v>3844</v>
      </c>
      <c r="G140" s="59">
        <v>46159.0</v>
      </c>
      <c r="H140" s="58" t="s">
        <v>3989</v>
      </c>
      <c r="I140" s="58" t="s">
        <v>97</v>
      </c>
      <c r="J140" s="58" t="s">
        <v>2246</v>
      </c>
      <c r="K140" s="58" t="s">
        <v>3846</v>
      </c>
      <c r="L140" s="58" t="s">
        <v>3847</v>
      </c>
    </row>
    <row r="141" ht="15.75" customHeight="1">
      <c r="A141" s="25" t="s">
        <v>1182</v>
      </c>
      <c r="B141" s="26">
        <v>46112.0</v>
      </c>
      <c r="C141" s="25" t="s">
        <v>1133</v>
      </c>
      <c r="D141" s="25" t="s">
        <v>3934</v>
      </c>
      <c r="E141" s="25" t="s">
        <v>156</v>
      </c>
      <c r="F141" s="25" t="s">
        <v>3857</v>
      </c>
      <c r="G141" s="26">
        <v>46199.0</v>
      </c>
      <c r="H141" s="25" t="s">
        <v>3990</v>
      </c>
      <c r="I141" s="25" t="s">
        <v>3853</v>
      </c>
      <c r="J141" s="25" t="s">
        <v>2247</v>
      </c>
      <c r="K141" s="25" t="s">
        <v>3854</v>
      </c>
      <c r="L141" s="25" t="s">
        <v>3851</v>
      </c>
    </row>
    <row r="142" ht="15.75" customHeight="1">
      <c r="A142" s="58" t="s">
        <v>825</v>
      </c>
      <c r="B142" s="59">
        <v>46096.0</v>
      </c>
      <c r="C142" s="58" t="s">
        <v>700</v>
      </c>
      <c r="D142" s="58" t="s">
        <v>3934</v>
      </c>
      <c r="E142" s="58" t="s">
        <v>108</v>
      </c>
      <c r="F142" s="58" t="s">
        <v>3844</v>
      </c>
      <c r="G142" s="59">
        <v>46247.0</v>
      </c>
      <c r="H142" s="58" t="s">
        <v>3991</v>
      </c>
      <c r="I142" s="58" t="s">
        <v>3853</v>
      </c>
      <c r="J142" s="58" t="s">
        <v>2247</v>
      </c>
      <c r="K142" s="58" t="s">
        <v>3854</v>
      </c>
      <c r="L142" s="58" t="s">
        <v>3847</v>
      </c>
    </row>
    <row r="143" ht="15.75" customHeight="1">
      <c r="A143" s="25" t="s">
        <v>258</v>
      </c>
      <c r="B143" s="26">
        <v>46057.0</v>
      </c>
      <c r="C143" s="25" t="s">
        <v>181</v>
      </c>
      <c r="D143" s="25" t="s">
        <v>3934</v>
      </c>
      <c r="E143" s="25" t="s">
        <v>81</v>
      </c>
      <c r="F143" s="25" t="s">
        <v>3844</v>
      </c>
      <c r="G143" s="26">
        <v>46212.0</v>
      </c>
      <c r="H143" s="25" t="s">
        <v>3992</v>
      </c>
      <c r="I143" s="25" t="s">
        <v>97</v>
      </c>
      <c r="J143" s="25" t="s">
        <v>2246</v>
      </c>
      <c r="K143" s="25" t="s">
        <v>3846</v>
      </c>
      <c r="L143" s="25" t="s">
        <v>3855</v>
      </c>
    </row>
    <row r="144" ht="15.75" customHeight="1">
      <c r="A144" s="58" t="s">
        <v>259</v>
      </c>
      <c r="B144" s="59">
        <v>46054.0</v>
      </c>
      <c r="C144" s="58" t="s">
        <v>181</v>
      </c>
      <c r="D144" s="58" t="s">
        <v>3934</v>
      </c>
      <c r="E144" s="58" t="s">
        <v>156</v>
      </c>
      <c r="F144" s="58" t="s">
        <v>3844</v>
      </c>
      <c r="G144" s="59">
        <v>46177.0</v>
      </c>
      <c r="H144" s="58" t="s">
        <v>3993</v>
      </c>
      <c r="I144" s="58" t="s">
        <v>3853</v>
      </c>
      <c r="J144" s="58" t="s">
        <v>2247</v>
      </c>
      <c r="K144" s="58" t="s">
        <v>3854</v>
      </c>
      <c r="L144" s="58" t="s">
        <v>3851</v>
      </c>
    </row>
    <row r="145" ht="15.75" customHeight="1">
      <c r="A145" s="25" t="s">
        <v>665</v>
      </c>
      <c r="B145" s="26">
        <v>46108.0</v>
      </c>
      <c r="C145" s="25" t="s">
        <v>570</v>
      </c>
      <c r="D145" s="25" t="s">
        <v>3934</v>
      </c>
      <c r="E145" s="25" t="s">
        <v>102</v>
      </c>
      <c r="F145" s="25" t="s">
        <v>3879</v>
      </c>
      <c r="G145" s="26">
        <v>46260.0</v>
      </c>
      <c r="H145" s="25" t="s">
        <v>3994</v>
      </c>
      <c r="I145" s="25" t="s">
        <v>97</v>
      </c>
      <c r="J145" s="25" t="s">
        <v>2247</v>
      </c>
      <c r="K145" s="25" t="s">
        <v>3881</v>
      </c>
      <c r="L145" s="25" t="s">
        <v>3855</v>
      </c>
    </row>
    <row r="146" ht="15.75" customHeight="1">
      <c r="A146" s="58" t="s">
        <v>144</v>
      </c>
      <c r="B146" s="59">
        <v>46104.0</v>
      </c>
      <c r="C146" s="58" t="s">
        <v>80</v>
      </c>
      <c r="D146" s="58" t="s">
        <v>3934</v>
      </c>
      <c r="E146" s="58" t="s">
        <v>90</v>
      </c>
      <c r="F146" s="58" t="s">
        <v>3879</v>
      </c>
      <c r="G146" s="59">
        <v>46090.0</v>
      </c>
      <c r="H146" s="58" t="s">
        <v>3995</v>
      </c>
      <c r="I146" s="58" t="s">
        <v>97</v>
      </c>
      <c r="J146" s="58" t="s">
        <v>2247</v>
      </c>
      <c r="K146" s="58" t="s">
        <v>3881</v>
      </c>
      <c r="L146" s="58" t="s">
        <v>3851</v>
      </c>
    </row>
    <row r="147" ht="15.75" customHeight="1">
      <c r="A147" s="25" t="s">
        <v>1187</v>
      </c>
      <c r="B147" s="26">
        <v>46095.0</v>
      </c>
      <c r="C147" s="25" t="s">
        <v>1133</v>
      </c>
      <c r="D147" s="25" t="s">
        <v>3934</v>
      </c>
      <c r="E147" s="25" t="s">
        <v>115</v>
      </c>
      <c r="F147" s="25" t="s">
        <v>3844</v>
      </c>
      <c r="G147" s="26">
        <v>46103.0</v>
      </c>
      <c r="H147" s="25"/>
      <c r="I147" s="25" t="s">
        <v>97</v>
      </c>
      <c r="J147" s="25" t="s">
        <v>2247</v>
      </c>
      <c r="K147" s="25" t="s">
        <v>3848</v>
      </c>
      <c r="L147" s="25" t="s">
        <v>3851</v>
      </c>
    </row>
    <row r="148" ht="15.75" customHeight="1">
      <c r="A148" s="58" t="s">
        <v>147</v>
      </c>
      <c r="B148" s="59">
        <v>46065.0</v>
      </c>
      <c r="C148" s="58" t="s">
        <v>80</v>
      </c>
      <c r="D148" s="58" t="s">
        <v>3934</v>
      </c>
      <c r="E148" s="58" t="s">
        <v>64</v>
      </c>
      <c r="F148" s="58" t="s">
        <v>3913</v>
      </c>
      <c r="G148" s="59">
        <v>46131.0</v>
      </c>
      <c r="H148" s="58" t="s">
        <v>3996</v>
      </c>
      <c r="I148" s="58" t="s">
        <v>97</v>
      </c>
      <c r="J148" s="58" t="s">
        <v>2247</v>
      </c>
      <c r="K148" s="58" t="s">
        <v>3881</v>
      </c>
      <c r="L148" s="58" t="s">
        <v>3855</v>
      </c>
    </row>
    <row r="149" ht="15.75" customHeight="1">
      <c r="A149" s="25" t="s">
        <v>1191</v>
      </c>
      <c r="B149" s="26">
        <v>46071.0</v>
      </c>
      <c r="C149" s="25" t="s">
        <v>1126</v>
      </c>
      <c r="D149" s="25" t="s">
        <v>3934</v>
      </c>
      <c r="E149" s="25" t="s">
        <v>85</v>
      </c>
      <c r="F149" s="25" t="s">
        <v>3844</v>
      </c>
      <c r="G149" s="26">
        <v>46211.0</v>
      </c>
      <c r="H149" s="25" t="s">
        <v>3997</v>
      </c>
      <c r="I149" s="25" t="s">
        <v>97</v>
      </c>
      <c r="J149" s="25" t="s">
        <v>2246</v>
      </c>
      <c r="K149" s="25" t="s">
        <v>3846</v>
      </c>
      <c r="L149" s="25" t="s">
        <v>3851</v>
      </c>
    </row>
    <row r="150" ht="15.75" customHeight="1">
      <c r="A150" s="58" t="s">
        <v>148</v>
      </c>
      <c r="B150" s="59">
        <v>46049.0</v>
      </c>
      <c r="C150" s="58" t="s">
        <v>80</v>
      </c>
      <c r="D150" s="58" t="s">
        <v>3934</v>
      </c>
      <c r="E150" s="58" t="s">
        <v>90</v>
      </c>
      <c r="F150" s="58" t="s">
        <v>3844</v>
      </c>
      <c r="G150" s="59">
        <v>46124.0</v>
      </c>
      <c r="H150" s="58" t="s">
        <v>3998</v>
      </c>
      <c r="I150" s="58" t="s">
        <v>97</v>
      </c>
      <c r="J150" s="58" t="s">
        <v>2246</v>
      </c>
      <c r="K150" s="58" t="s">
        <v>3846</v>
      </c>
      <c r="L150" s="58" t="s">
        <v>3851</v>
      </c>
    </row>
    <row r="151" ht="15.75" customHeight="1">
      <c r="A151" s="25" t="s">
        <v>269</v>
      </c>
      <c r="B151" s="26">
        <v>46047.0</v>
      </c>
      <c r="C151" s="25" t="s">
        <v>181</v>
      </c>
      <c r="D151" s="25" t="s">
        <v>3934</v>
      </c>
      <c r="E151" s="25" t="s">
        <v>115</v>
      </c>
      <c r="F151" s="25" t="s">
        <v>3844</v>
      </c>
      <c r="G151" s="26">
        <v>46127.0</v>
      </c>
      <c r="H151" s="25"/>
      <c r="I151" s="25" t="s">
        <v>97</v>
      </c>
      <c r="J151" s="25" t="s">
        <v>2247</v>
      </c>
      <c r="K151" s="25" t="s">
        <v>3848</v>
      </c>
      <c r="L151" s="25" t="s">
        <v>3855</v>
      </c>
    </row>
    <row r="152" ht="15.75" customHeight="1">
      <c r="A152" s="58" t="s">
        <v>675</v>
      </c>
      <c r="B152" s="59">
        <v>46128.0</v>
      </c>
      <c r="C152" s="58" t="s">
        <v>570</v>
      </c>
      <c r="D152" s="58" t="s">
        <v>3934</v>
      </c>
      <c r="E152" s="58" t="s">
        <v>102</v>
      </c>
      <c r="F152" s="58" t="s">
        <v>3844</v>
      </c>
      <c r="G152" s="59">
        <v>46153.0</v>
      </c>
      <c r="H152" s="58" t="s">
        <v>3999</v>
      </c>
      <c r="I152" s="58" t="s">
        <v>97</v>
      </c>
      <c r="J152" s="58" t="s">
        <v>2246</v>
      </c>
      <c r="K152" s="58" t="s">
        <v>3846</v>
      </c>
      <c r="L152" s="58" t="s">
        <v>3851</v>
      </c>
    </row>
    <row r="153" ht="15.75" customHeight="1">
      <c r="A153" s="25" t="s">
        <v>676</v>
      </c>
      <c r="B153" s="26">
        <v>46098.0</v>
      </c>
      <c r="C153" s="25" t="s">
        <v>570</v>
      </c>
      <c r="D153" s="25" t="s">
        <v>3934</v>
      </c>
      <c r="E153" s="25" t="s">
        <v>92</v>
      </c>
      <c r="F153" s="25" t="s">
        <v>3844</v>
      </c>
      <c r="G153" s="26">
        <v>46089.0</v>
      </c>
      <c r="H153" s="25" t="s">
        <v>4000</v>
      </c>
      <c r="I153" s="25" t="s">
        <v>97</v>
      </c>
      <c r="J153" s="25" t="s">
        <v>2246</v>
      </c>
      <c r="K153" s="25" t="s">
        <v>3846</v>
      </c>
      <c r="L153" s="25" t="s">
        <v>3851</v>
      </c>
    </row>
    <row r="154" ht="15.75" customHeight="1">
      <c r="A154" s="58" t="s">
        <v>272</v>
      </c>
      <c r="B154" s="59">
        <v>46075.0</v>
      </c>
      <c r="C154" s="58" t="s">
        <v>181</v>
      </c>
      <c r="D154" s="58" t="s">
        <v>3934</v>
      </c>
      <c r="E154" s="58" t="s">
        <v>92</v>
      </c>
      <c r="F154" s="58" t="s">
        <v>3844</v>
      </c>
      <c r="G154" s="59">
        <v>46076.0</v>
      </c>
      <c r="H154" s="58" t="s">
        <v>4001</v>
      </c>
      <c r="I154" s="58" t="s">
        <v>97</v>
      </c>
      <c r="J154" s="58" t="s">
        <v>2246</v>
      </c>
      <c r="K154" s="58" t="s">
        <v>3846</v>
      </c>
      <c r="L154" s="58" t="s">
        <v>3847</v>
      </c>
    </row>
    <row r="155" ht="15.75" customHeight="1">
      <c r="A155" s="25" t="s">
        <v>841</v>
      </c>
      <c r="B155" s="26">
        <v>46026.0</v>
      </c>
      <c r="C155" s="25" t="s">
        <v>700</v>
      </c>
      <c r="D155" s="25" t="s">
        <v>3934</v>
      </c>
      <c r="E155" s="25" t="s">
        <v>108</v>
      </c>
      <c r="F155" s="25" t="s">
        <v>3857</v>
      </c>
      <c r="G155" s="26">
        <v>46020.0</v>
      </c>
      <c r="H155" s="25" t="s">
        <v>4002</v>
      </c>
      <c r="I155" s="25" t="s">
        <v>3853</v>
      </c>
      <c r="J155" s="25" t="s">
        <v>2247</v>
      </c>
      <c r="K155" s="25" t="s">
        <v>3854</v>
      </c>
      <c r="L155" s="25" t="s">
        <v>3851</v>
      </c>
    </row>
    <row r="156" ht="15.75" customHeight="1">
      <c r="A156" s="58" t="s">
        <v>429</v>
      </c>
      <c r="B156" s="59">
        <v>46073.0</v>
      </c>
      <c r="C156" s="58" t="s">
        <v>299</v>
      </c>
      <c r="D156" s="58" t="s">
        <v>3934</v>
      </c>
      <c r="E156" s="58" t="s">
        <v>81</v>
      </c>
      <c r="F156" s="58" t="s">
        <v>3844</v>
      </c>
      <c r="G156" s="59">
        <v>46101.0</v>
      </c>
      <c r="H156" s="58" t="s">
        <v>4003</v>
      </c>
      <c r="I156" s="58" t="s">
        <v>97</v>
      </c>
      <c r="J156" s="58" t="s">
        <v>2246</v>
      </c>
      <c r="K156" s="58" t="s">
        <v>3846</v>
      </c>
      <c r="L156" s="58" t="s">
        <v>3847</v>
      </c>
    </row>
    <row r="157" ht="15.75" customHeight="1">
      <c r="A157" s="25" t="s">
        <v>940</v>
      </c>
      <c r="B157" s="26">
        <v>46072.0</v>
      </c>
      <c r="C157" s="25" t="s">
        <v>859</v>
      </c>
      <c r="D157" s="25" t="s">
        <v>3934</v>
      </c>
      <c r="E157" s="25" t="s">
        <v>68</v>
      </c>
      <c r="F157" s="25" t="s">
        <v>3844</v>
      </c>
      <c r="G157" s="26">
        <v>46088.0</v>
      </c>
      <c r="H157" s="25" t="s">
        <v>4004</v>
      </c>
      <c r="I157" s="25" t="s">
        <v>97</v>
      </c>
      <c r="J157" s="25" t="s">
        <v>2246</v>
      </c>
      <c r="K157" s="25" t="s">
        <v>3846</v>
      </c>
      <c r="L157" s="25" t="s">
        <v>3855</v>
      </c>
    </row>
    <row r="158" ht="15.75" customHeight="1">
      <c r="A158" s="58" t="s">
        <v>155</v>
      </c>
      <c r="B158" s="59">
        <v>46035.0</v>
      </c>
      <c r="C158" s="58" t="s">
        <v>83</v>
      </c>
      <c r="D158" s="58" t="s">
        <v>3934</v>
      </c>
      <c r="E158" s="58" t="s">
        <v>156</v>
      </c>
      <c r="F158" s="58" t="s">
        <v>3844</v>
      </c>
      <c r="G158" s="59">
        <v>46030.0</v>
      </c>
      <c r="H158" s="58" t="s">
        <v>4005</v>
      </c>
      <c r="I158" s="58" t="s">
        <v>3853</v>
      </c>
      <c r="J158" s="58" t="s">
        <v>2247</v>
      </c>
      <c r="K158" s="58" t="s">
        <v>3854</v>
      </c>
      <c r="L158" s="58" t="s">
        <v>3847</v>
      </c>
    </row>
    <row r="159" ht="15.75" customHeight="1">
      <c r="A159" s="25" t="s">
        <v>1196</v>
      </c>
      <c r="B159" s="26">
        <v>46024.0</v>
      </c>
      <c r="C159" s="25" t="s">
        <v>1126</v>
      </c>
      <c r="D159" s="25" t="s">
        <v>3934</v>
      </c>
      <c r="E159" s="25" t="s">
        <v>78</v>
      </c>
      <c r="F159" s="25" t="s">
        <v>3844</v>
      </c>
      <c r="G159" s="26">
        <v>46152.0</v>
      </c>
      <c r="H159" s="25" t="s">
        <v>4006</v>
      </c>
      <c r="I159" s="25" t="s">
        <v>97</v>
      </c>
      <c r="J159" s="25" t="s">
        <v>2246</v>
      </c>
      <c r="K159" s="25" t="s">
        <v>3846</v>
      </c>
      <c r="L159" s="25" t="s">
        <v>3851</v>
      </c>
    </row>
    <row r="160" ht="15.75" customHeight="1">
      <c r="A160" s="58" t="s">
        <v>157</v>
      </c>
      <c r="B160" s="59">
        <v>46117.0</v>
      </c>
      <c r="C160" s="58" t="s">
        <v>83</v>
      </c>
      <c r="D160" s="58" t="s">
        <v>3934</v>
      </c>
      <c r="E160" s="58" t="s">
        <v>106</v>
      </c>
      <c r="F160" s="58" t="s">
        <v>3844</v>
      </c>
      <c r="G160" s="59">
        <v>46155.0</v>
      </c>
      <c r="H160" s="58" t="s">
        <v>4007</v>
      </c>
      <c r="I160" s="58" t="s">
        <v>97</v>
      </c>
      <c r="J160" s="58" t="s">
        <v>2246</v>
      </c>
      <c r="K160" s="58" t="s">
        <v>3846</v>
      </c>
      <c r="L160" s="58" t="s">
        <v>3847</v>
      </c>
    </row>
    <row r="161" ht="15.75" customHeight="1">
      <c r="A161" s="25" t="s">
        <v>280</v>
      </c>
      <c r="B161" s="26">
        <v>46031.0</v>
      </c>
      <c r="C161" s="25" t="s">
        <v>181</v>
      </c>
      <c r="D161" s="25" t="s">
        <v>3934</v>
      </c>
      <c r="E161" s="25" t="s">
        <v>71</v>
      </c>
      <c r="F161" s="25" t="s">
        <v>3857</v>
      </c>
      <c r="G161" s="26">
        <v>46128.0</v>
      </c>
      <c r="H161" s="25" t="s">
        <v>4008</v>
      </c>
      <c r="I161" s="25" t="s">
        <v>97</v>
      </c>
      <c r="J161" s="25" t="s">
        <v>2246</v>
      </c>
      <c r="K161" s="25" t="s">
        <v>3846</v>
      </c>
      <c r="L161" s="25" t="s">
        <v>3847</v>
      </c>
    </row>
    <row r="162" ht="15.75" customHeight="1">
      <c r="A162" s="58" t="s">
        <v>686</v>
      </c>
      <c r="B162" s="59">
        <v>46025.0</v>
      </c>
      <c r="C162" s="58" t="s">
        <v>570</v>
      </c>
      <c r="D162" s="58" t="s">
        <v>3934</v>
      </c>
      <c r="E162" s="58" t="s">
        <v>154</v>
      </c>
      <c r="F162" s="58" t="s">
        <v>3844</v>
      </c>
      <c r="G162" s="59">
        <v>46076.0</v>
      </c>
      <c r="H162" s="58" t="s">
        <v>4009</v>
      </c>
      <c r="I162" s="58" t="s">
        <v>97</v>
      </c>
      <c r="J162" s="58" t="s">
        <v>2246</v>
      </c>
      <c r="K162" s="58" t="s">
        <v>3846</v>
      </c>
      <c r="L162" s="58" t="s">
        <v>3855</v>
      </c>
    </row>
    <row r="163" ht="15.75" customHeight="1">
      <c r="A163" s="25" t="s">
        <v>1197</v>
      </c>
      <c r="B163" s="26">
        <v>46141.0</v>
      </c>
      <c r="C163" s="25" t="s">
        <v>1126</v>
      </c>
      <c r="D163" s="25" t="s">
        <v>3934</v>
      </c>
      <c r="E163" s="25" t="s">
        <v>154</v>
      </c>
      <c r="F163" s="25" t="s">
        <v>3844</v>
      </c>
      <c r="G163" s="26">
        <v>46173.0</v>
      </c>
      <c r="H163" s="25" t="s">
        <v>4010</v>
      </c>
      <c r="I163" s="25" t="s">
        <v>97</v>
      </c>
      <c r="J163" s="25" t="s">
        <v>2246</v>
      </c>
      <c r="K163" s="25" t="s">
        <v>3846</v>
      </c>
      <c r="L163" s="25" t="s">
        <v>3851</v>
      </c>
    </row>
    <row r="164" ht="15.75" customHeight="1">
      <c r="A164" s="58" t="s">
        <v>847</v>
      </c>
      <c r="B164" s="59">
        <v>46094.0</v>
      </c>
      <c r="C164" s="58" t="s">
        <v>700</v>
      </c>
      <c r="D164" s="58" t="s">
        <v>3934</v>
      </c>
      <c r="E164" s="58" t="s">
        <v>106</v>
      </c>
      <c r="F164" s="58" t="s">
        <v>3844</v>
      </c>
      <c r="G164" s="59">
        <v>46075.0</v>
      </c>
      <c r="H164" s="58" t="s">
        <v>4011</v>
      </c>
      <c r="I164" s="58" t="s">
        <v>97</v>
      </c>
      <c r="J164" s="58" t="s">
        <v>2246</v>
      </c>
      <c r="K164" s="58" t="s">
        <v>3846</v>
      </c>
      <c r="L164" s="58" t="s">
        <v>3847</v>
      </c>
    </row>
    <row r="165" ht="15.75" customHeight="1">
      <c r="A165" s="25" t="s">
        <v>436</v>
      </c>
      <c r="B165" s="26">
        <v>46103.0</v>
      </c>
      <c r="C165" s="25" t="s">
        <v>299</v>
      </c>
      <c r="D165" s="25" t="s">
        <v>3934</v>
      </c>
      <c r="E165" s="25" t="s">
        <v>110</v>
      </c>
      <c r="F165" s="25" t="s">
        <v>3844</v>
      </c>
      <c r="G165" s="26">
        <v>46109.0</v>
      </c>
      <c r="H165" s="25" t="s">
        <v>4012</v>
      </c>
      <c r="I165" s="25" t="s">
        <v>97</v>
      </c>
      <c r="J165" s="25" t="s">
        <v>2246</v>
      </c>
      <c r="K165" s="25" t="s">
        <v>3846</v>
      </c>
      <c r="L165" s="25" t="s">
        <v>3851</v>
      </c>
    </row>
    <row r="166" ht="15.75" customHeight="1">
      <c r="A166" s="58" t="s">
        <v>1199</v>
      </c>
      <c r="B166" s="59">
        <v>46093.0</v>
      </c>
      <c r="C166" s="58" t="s">
        <v>1126</v>
      </c>
      <c r="D166" s="58" t="s">
        <v>3934</v>
      </c>
      <c r="E166" s="58" t="s">
        <v>81</v>
      </c>
      <c r="F166" s="58" t="s">
        <v>3879</v>
      </c>
      <c r="G166" s="59">
        <v>46125.0</v>
      </c>
      <c r="H166" s="58" t="s">
        <v>4013</v>
      </c>
      <c r="I166" s="58" t="s">
        <v>97</v>
      </c>
      <c r="J166" s="58" t="s">
        <v>2247</v>
      </c>
      <c r="K166" s="58" t="s">
        <v>3881</v>
      </c>
      <c r="L166" s="58" t="s">
        <v>3851</v>
      </c>
    </row>
    <row r="167" ht="15.75" customHeight="1">
      <c r="A167" s="25" t="s">
        <v>169</v>
      </c>
      <c r="B167" s="26">
        <v>46112.0</v>
      </c>
      <c r="C167" s="25" t="s">
        <v>1126</v>
      </c>
      <c r="D167" s="25" t="s">
        <v>3934</v>
      </c>
      <c r="E167" s="25" t="s">
        <v>81</v>
      </c>
      <c r="F167" s="25" t="s">
        <v>3857</v>
      </c>
      <c r="G167" s="26">
        <v>46212.0</v>
      </c>
      <c r="H167" s="25"/>
      <c r="I167" s="25" t="s">
        <v>97</v>
      </c>
      <c r="J167" s="25" t="s">
        <v>2247</v>
      </c>
      <c r="K167" s="25" t="s">
        <v>3848</v>
      </c>
      <c r="L167" s="25" t="s">
        <v>3847</v>
      </c>
    </row>
    <row r="168" ht="15.75" customHeight="1">
      <c r="A168" s="58" t="s">
        <v>161</v>
      </c>
      <c r="B168" s="59">
        <v>46033.0</v>
      </c>
      <c r="C168" s="58" t="s">
        <v>83</v>
      </c>
      <c r="D168" s="58" t="s">
        <v>3934</v>
      </c>
      <c r="E168" s="58" t="s">
        <v>162</v>
      </c>
      <c r="F168" s="58" t="s">
        <v>3844</v>
      </c>
      <c r="G168" s="59">
        <v>46192.0</v>
      </c>
      <c r="H168" s="58" t="s">
        <v>4014</v>
      </c>
      <c r="I168" s="58" t="s">
        <v>97</v>
      </c>
      <c r="J168" s="58" t="s">
        <v>2246</v>
      </c>
      <c r="K168" s="58" t="s">
        <v>3846</v>
      </c>
      <c r="L168" s="58" t="s">
        <v>3847</v>
      </c>
    </row>
    <row r="169" ht="15.75" customHeight="1">
      <c r="A169" s="25" t="s">
        <v>692</v>
      </c>
      <c r="B169" s="26">
        <v>46077.0</v>
      </c>
      <c r="C169" s="25" t="s">
        <v>570</v>
      </c>
      <c r="D169" s="25" t="s">
        <v>3934</v>
      </c>
      <c r="E169" s="25" t="s">
        <v>68</v>
      </c>
      <c r="F169" s="25" t="s">
        <v>3844</v>
      </c>
      <c r="G169" s="26">
        <v>46204.0</v>
      </c>
      <c r="H169" s="25" t="s">
        <v>4015</v>
      </c>
      <c r="I169" s="25" t="s">
        <v>97</v>
      </c>
      <c r="J169" s="25" t="s">
        <v>2246</v>
      </c>
      <c r="K169" s="25" t="s">
        <v>3846</v>
      </c>
      <c r="L169" s="25" t="s">
        <v>3851</v>
      </c>
    </row>
    <row r="170" ht="15.75" customHeight="1">
      <c r="A170" s="58" t="s">
        <v>286</v>
      </c>
      <c r="B170" s="59">
        <v>46029.0</v>
      </c>
      <c r="C170" s="58" t="s">
        <v>181</v>
      </c>
      <c r="D170" s="58" t="s">
        <v>3934</v>
      </c>
      <c r="E170" s="58" t="s">
        <v>123</v>
      </c>
      <c r="F170" s="58" t="s">
        <v>3844</v>
      </c>
      <c r="G170" s="59">
        <v>46155.0</v>
      </c>
      <c r="H170" s="58" t="s">
        <v>4016</v>
      </c>
      <c r="I170" s="58" t="s">
        <v>97</v>
      </c>
      <c r="J170" s="58" t="s">
        <v>2246</v>
      </c>
      <c r="K170" s="58" t="s">
        <v>3846</v>
      </c>
      <c r="L170" s="58" t="s">
        <v>3851</v>
      </c>
    </row>
    <row r="171" ht="15.75" customHeight="1">
      <c r="A171" s="25" t="s">
        <v>288</v>
      </c>
      <c r="B171" s="26">
        <v>46065.0</v>
      </c>
      <c r="C171" s="25" t="s">
        <v>181</v>
      </c>
      <c r="D171" s="25" t="s">
        <v>3934</v>
      </c>
      <c r="E171" s="25" t="s">
        <v>85</v>
      </c>
      <c r="F171" s="25" t="s">
        <v>3844</v>
      </c>
      <c r="G171" s="26">
        <v>46130.0</v>
      </c>
      <c r="H171" s="25" t="s">
        <v>4017</v>
      </c>
      <c r="I171" s="25" t="s">
        <v>97</v>
      </c>
      <c r="J171" s="25" t="s">
        <v>2246</v>
      </c>
      <c r="K171" s="25" t="s">
        <v>3846</v>
      </c>
      <c r="L171" s="25" t="s">
        <v>3851</v>
      </c>
    </row>
    <row r="172" ht="15.75" customHeight="1">
      <c r="A172" s="58" t="s">
        <v>1200</v>
      </c>
      <c r="B172" s="59">
        <v>46106.0</v>
      </c>
      <c r="C172" s="58" t="s">
        <v>1133</v>
      </c>
      <c r="D172" s="58" t="s">
        <v>3934</v>
      </c>
      <c r="E172" s="58" t="s">
        <v>156</v>
      </c>
      <c r="F172" s="58" t="s">
        <v>3844</v>
      </c>
      <c r="G172" s="59">
        <v>46151.0</v>
      </c>
      <c r="H172" s="58" t="s">
        <v>4018</v>
      </c>
      <c r="I172" s="58" t="s">
        <v>3853</v>
      </c>
      <c r="J172" s="58" t="s">
        <v>2247</v>
      </c>
      <c r="K172" s="58" t="s">
        <v>3854</v>
      </c>
      <c r="L172" s="58" t="s">
        <v>3847</v>
      </c>
    </row>
    <row r="173" ht="15.75" customHeight="1">
      <c r="A173" s="25" t="s">
        <v>696</v>
      </c>
      <c r="B173" s="26">
        <v>46127.0</v>
      </c>
      <c r="C173" s="25" t="s">
        <v>570</v>
      </c>
      <c r="D173" s="25" t="s">
        <v>3934</v>
      </c>
      <c r="E173" s="25" t="s">
        <v>71</v>
      </c>
      <c r="F173" s="25" t="s">
        <v>3913</v>
      </c>
      <c r="G173" s="26">
        <v>46258.0</v>
      </c>
      <c r="H173" s="25" t="s">
        <v>4019</v>
      </c>
      <c r="I173" s="25" t="s">
        <v>97</v>
      </c>
      <c r="J173" s="25" t="s">
        <v>2247</v>
      </c>
      <c r="K173" s="25" t="s">
        <v>3881</v>
      </c>
      <c r="L173" s="25" t="s">
        <v>3855</v>
      </c>
    </row>
    <row r="174" ht="15.75" customHeight="1">
      <c r="A174" s="58" t="s">
        <v>539</v>
      </c>
      <c r="B174" s="59">
        <v>46096.0</v>
      </c>
      <c r="C174" s="58" t="s">
        <v>540</v>
      </c>
      <c r="D174" s="58" t="s">
        <v>4020</v>
      </c>
      <c r="E174" s="58" t="s">
        <v>102</v>
      </c>
      <c r="F174" s="58" t="s">
        <v>3844</v>
      </c>
      <c r="G174" s="59">
        <v>46241.0</v>
      </c>
      <c r="H174" s="58" t="s">
        <v>4021</v>
      </c>
      <c r="I174" s="58" t="s">
        <v>97</v>
      </c>
      <c r="J174" s="58" t="s">
        <v>2246</v>
      </c>
      <c r="K174" s="58" t="s">
        <v>3846</v>
      </c>
      <c r="L174" s="58" t="s">
        <v>3855</v>
      </c>
    </row>
    <row r="175" ht="15.75" customHeight="1">
      <c r="A175" s="25" t="s">
        <v>703</v>
      </c>
      <c r="B175" s="26">
        <v>46082.0</v>
      </c>
      <c r="C175" s="25" t="s">
        <v>704</v>
      </c>
      <c r="D175" s="25" t="s">
        <v>4020</v>
      </c>
      <c r="E175" s="25" t="s">
        <v>90</v>
      </c>
      <c r="F175" s="25" t="s">
        <v>3857</v>
      </c>
      <c r="G175" s="26">
        <v>46118.0</v>
      </c>
      <c r="H175" s="25" t="s">
        <v>4022</v>
      </c>
      <c r="I175" s="25" t="s">
        <v>97</v>
      </c>
      <c r="J175" s="25" t="s">
        <v>2246</v>
      </c>
      <c r="K175" s="25" t="s">
        <v>3846</v>
      </c>
      <c r="L175" s="25" t="s">
        <v>3851</v>
      </c>
    </row>
    <row r="176" ht="15.75" customHeight="1">
      <c r="A176" s="58" t="s">
        <v>445</v>
      </c>
      <c r="B176" s="59">
        <v>46125.0</v>
      </c>
      <c r="C176" s="58" t="s">
        <v>446</v>
      </c>
      <c r="D176" s="58" t="s">
        <v>4020</v>
      </c>
      <c r="E176" s="58" t="s">
        <v>68</v>
      </c>
      <c r="F176" s="58" t="s">
        <v>3844</v>
      </c>
      <c r="G176" s="59">
        <v>46163.0</v>
      </c>
      <c r="H176" s="58" t="s">
        <v>4023</v>
      </c>
      <c r="I176" s="58" t="s">
        <v>97</v>
      </c>
      <c r="J176" s="58" t="s">
        <v>2246</v>
      </c>
      <c r="K176" s="58" t="s">
        <v>3846</v>
      </c>
      <c r="L176" s="58" t="s">
        <v>3855</v>
      </c>
    </row>
    <row r="177" ht="15.75" customHeight="1">
      <c r="A177" s="25" t="s">
        <v>72</v>
      </c>
      <c r="B177" s="26">
        <v>46033.0</v>
      </c>
      <c r="C177" s="25" t="s">
        <v>73</v>
      </c>
      <c r="D177" s="25" t="s">
        <v>4020</v>
      </c>
      <c r="E177" s="25" t="s">
        <v>74</v>
      </c>
      <c r="F177" s="25" t="s">
        <v>3844</v>
      </c>
      <c r="G177" s="26">
        <v>46017.0</v>
      </c>
      <c r="H177" s="25" t="s">
        <v>4024</v>
      </c>
      <c r="I177" s="25" t="s">
        <v>97</v>
      </c>
      <c r="J177" s="25" t="s">
        <v>2246</v>
      </c>
      <c r="K177" s="25" t="s">
        <v>3846</v>
      </c>
      <c r="L177" s="25" t="s">
        <v>3847</v>
      </c>
    </row>
    <row r="178" ht="15.75" customHeight="1">
      <c r="A178" s="58" t="s">
        <v>1082</v>
      </c>
      <c r="B178" s="59">
        <v>46034.0</v>
      </c>
      <c r="C178" s="58" t="s">
        <v>1083</v>
      </c>
      <c r="D178" s="58" t="s">
        <v>4020</v>
      </c>
      <c r="E178" s="58" t="s">
        <v>74</v>
      </c>
      <c r="F178" s="58" t="s">
        <v>3844</v>
      </c>
      <c r="G178" s="59">
        <v>46178.0</v>
      </c>
      <c r="H178" s="58" t="s">
        <v>4025</v>
      </c>
      <c r="I178" s="58" t="s">
        <v>97</v>
      </c>
      <c r="J178" s="58" t="s">
        <v>2246</v>
      </c>
      <c r="K178" s="58" t="s">
        <v>3846</v>
      </c>
      <c r="L178" s="58" t="s">
        <v>3847</v>
      </c>
    </row>
    <row r="179" ht="15.75" customHeight="1">
      <c r="A179" s="25" t="s">
        <v>1135</v>
      </c>
      <c r="B179" s="26">
        <v>46094.0</v>
      </c>
      <c r="C179" s="25" t="s">
        <v>1136</v>
      </c>
      <c r="D179" s="25" t="s">
        <v>4020</v>
      </c>
      <c r="E179" s="25" t="s">
        <v>81</v>
      </c>
      <c r="F179" s="25" t="s">
        <v>3879</v>
      </c>
      <c r="G179" s="26">
        <v>46133.0</v>
      </c>
      <c r="H179" s="25" t="s">
        <v>4026</v>
      </c>
      <c r="I179" s="25" t="s">
        <v>97</v>
      </c>
      <c r="J179" s="25" t="s">
        <v>2247</v>
      </c>
      <c r="K179" s="25" t="s">
        <v>3881</v>
      </c>
      <c r="L179" s="25" t="s">
        <v>3855</v>
      </c>
    </row>
    <row r="180" ht="15.75" customHeight="1">
      <c r="A180" s="58" t="s">
        <v>551</v>
      </c>
      <c r="B180" s="59">
        <v>46118.0</v>
      </c>
      <c r="C180" s="58" t="s">
        <v>540</v>
      </c>
      <c r="D180" s="58" t="s">
        <v>4020</v>
      </c>
      <c r="E180" s="58" t="s">
        <v>110</v>
      </c>
      <c r="F180" s="58" t="s">
        <v>3844</v>
      </c>
      <c r="G180" s="59">
        <v>46265.0</v>
      </c>
      <c r="H180" s="58" t="s">
        <v>4027</v>
      </c>
      <c r="I180" s="58" t="s">
        <v>97</v>
      </c>
      <c r="J180" s="58" t="s">
        <v>2246</v>
      </c>
      <c r="K180" s="58" t="s">
        <v>3846</v>
      </c>
      <c r="L180" s="58" t="s">
        <v>3847</v>
      </c>
    </row>
    <row r="181" ht="15.75" customHeight="1">
      <c r="A181" s="25" t="s">
        <v>1137</v>
      </c>
      <c r="B181" s="26">
        <v>46090.0</v>
      </c>
      <c r="C181" s="25" t="s">
        <v>1136</v>
      </c>
      <c r="D181" s="25" t="s">
        <v>4020</v>
      </c>
      <c r="E181" s="25" t="s">
        <v>90</v>
      </c>
      <c r="F181" s="25" t="s">
        <v>3844</v>
      </c>
      <c r="G181" s="26">
        <v>46153.0</v>
      </c>
      <c r="H181" s="25" t="s">
        <v>4028</v>
      </c>
      <c r="I181" s="25" t="s">
        <v>97</v>
      </c>
      <c r="J181" s="25" t="s">
        <v>2246</v>
      </c>
      <c r="K181" s="25" t="s">
        <v>3846</v>
      </c>
      <c r="L181" s="25" t="s">
        <v>3851</v>
      </c>
    </row>
    <row r="182" ht="15.75" customHeight="1">
      <c r="A182" s="58" t="s">
        <v>455</v>
      </c>
      <c r="B182" s="59">
        <v>46120.0</v>
      </c>
      <c r="C182" s="58" t="s">
        <v>446</v>
      </c>
      <c r="D182" s="58" t="s">
        <v>4020</v>
      </c>
      <c r="E182" s="58" t="s">
        <v>85</v>
      </c>
      <c r="F182" s="58" t="s">
        <v>3879</v>
      </c>
      <c r="G182" s="59">
        <v>46193.0</v>
      </c>
      <c r="H182" s="58" t="s">
        <v>4029</v>
      </c>
      <c r="I182" s="58" t="s">
        <v>97</v>
      </c>
      <c r="J182" s="58" t="s">
        <v>2247</v>
      </c>
      <c r="K182" s="58" t="s">
        <v>3881</v>
      </c>
      <c r="L182" s="58" t="s">
        <v>3851</v>
      </c>
    </row>
    <row r="183" ht="15.75" customHeight="1">
      <c r="A183" s="25" t="s">
        <v>554</v>
      </c>
      <c r="B183" s="26">
        <v>46118.0</v>
      </c>
      <c r="C183" s="25" t="s">
        <v>555</v>
      </c>
      <c r="D183" s="25" t="s">
        <v>4020</v>
      </c>
      <c r="E183" s="25" t="s">
        <v>102</v>
      </c>
      <c r="F183" s="25" t="s">
        <v>3844</v>
      </c>
      <c r="G183" s="26">
        <v>46270.0</v>
      </c>
      <c r="H183" s="25"/>
      <c r="I183" s="25" t="s">
        <v>97</v>
      </c>
      <c r="J183" s="25" t="s">
        <v>2247</v>
      </c>
      <c r="K183" s="25" t="s">
        <v>3848</v>
      </c>
      <c r="L183" s="25" t="s">
        <v>3847</v>
      </c>
    </row>
    <row r="184" ht="15.75" customHeight="1">
      <c r="A184" s="58" t="s">
        <v>718</v>
      </c>
      <c r="B184" s="59">
        <v>46067.0</v>
      </c>
      <c r="C184" s="58" t="s">
        <v>704</v>
      </c>
      <c r="D184" s="58" t="s">
        <v>4020</v>
      </c>
      <c r="E184" s="58" t="s">
        <v>68</v>
      </c>
      <c r="F184" s="58" t="s">
        <v>3844</v>
      </c>
      <c r="G184" s="59">
        <v>46079.0</v>
      </c>
      <c r="H184" s="58" t="s">
        <v>4030</v>
      </c>
      <c r="I184" s="58" t="s">
        <v>97</v>
      </c>
      <c r="J184" s="58" t="s">
        <v>2246</v>
      </c>
      <c r="K184" s="58" t="s">
        <v>3846</v>
      </c>
      <c r="L184" s="58" t="s">
        <v>3851</v>
      </c>
    </row>
    <row r="185" ht="15.75" customHeight="1">
      <c r="A185" s="25" t="s">
        <v>86</v>
      </c>
      <c r="B185" s="26">
        <v>46071.0</v>
      </c>
      <c r="C185" s="25" t="s">
        <v>87</v>
      </c>
      <c r="D185" s="25" t="s">
        <v>4020</v>
      </c>
      <c r="E185" s="25" t="s">
        <v>81</v>
      </c>
      <c r="F185" s="25" t="s">
        <v>3844</v>
      </c>
      <c r="G185" s="26">
        <v>46108.0</v>
      </c>
      <c r="H185" s="25" t="s">
        <v>4031</v>
      </c>
      <c r="I185" s="25" t="s">
        <v>97</v>
      </c>
      <c r="J185" s="25" t="s">
        <v>2246</v>
      </c>
      <c r="K185" s="25" t="s">
        <v>3846</v>
      </c>
      <c r="L185" s="25" t="s">
        <v>3847</v>
      </c>
    </row>
    <row r="186" ht="15.75" customHeight="1">
      <c r="A186" s="58" t="s">
        <v>1089</v>
      </c>
      <c r="B186" s="59">
        <v>46078.0</v>
      </c>
      <c r="C186" s="58" t="s">
        <v>1083</v>
      </c>
      <c r="D186" s="58" t="s">
        <v>4020</v>
      </c>
      <c r="E186" s="58" t="s">
        <v>68</v>
      </c>
      <c r="F186" s="58" t="s">
        <v>3844</v>
      </c>
      <c r="G186" s="59">
        <v>46088.0</v>
      </c>
      <c r="H186" s="58" t="s">
        <v>4032</v>
      </c>
      <c r="I186" s="58" t="s">
        <v>97</v>
      </c>
      <c r="J186" s="58" t="s">
        <v>2246</v>
      </c>
      <c r="K186" s="58" t="s">
        <v>3846</v>
      </c>
      <c r="L186" s="58" t="s">
        <v>3855</v>
      </c>
    </row>
    <row r="187" ht="15.75" customHeight="1">
      <c r="A187" s="25" t="s">
        <v>563</v>
      </c>
      <c r="B187" s="26">
        <v>46101.0</v>
      </c>
      <c r="C187" s="25" t="s">
        <v>555</v>
      </c>
      <c r="D187" s="25" t="s">
        <v>4020</v>
      </c>
      <c r="E187" s="25" t="s">
        <v>68</v>
      </c>
      <c r="F187" s="25" t="s">
        <v>3844</v>
      </c>
      <c r="G187" s="26">
        <v>46149.0</v>
      </c>
      <c r="H187" s="25" t="s">
        <v>4033</v>
      </c>
      <c r="I187" s="25" t="s">
        <v>97</v>
      </c>
      <c r="J187" s="25" t="s">
        <v>2246</v>
      </c>
      <c r="K187" s="25" t="s">
        <v>3846</v>
      </c>
      <c r="L187" s="25" t="s">
        <v>3847</v>
      </c>
    </row>
    <row r="188" ht="15.75" customHeight="1">
      <c r="A188" s="58" t="s">
        <v>973</v>
      </c>
      <c r="B188" s="59">
        <v>46067.0</v>
      </c>
      <c r="C188" s="58" t="s">
        <v>974</v>
      </c>
      <c r="D188" s="58" t="s">
        <v>4020</v>
      </c>
      <c r="E188" s="58" t="s">
        <v>190</v>
      </c>
      <c r="F188" s="58" t="s">
        <v>3844</v>
      </c>
      <c r="G188" s="59">
        <v>46148.0</v>
      </c>
      <c r="H188" s="58" t="s">
        <v>4034</v>
      </c>
      <c r="I188" s="58" t="s">
        <v>3853</v>
      </c>
      <c r="J188" s="58" t="s">
        <v>2247</v>
      </c>
      <c r="K188" s="58" t="s">
        <v>3854</v>
      </c>
      <c r="L188" s="58" t="s">
        <v>3851</v>
      </c>
    </row>
    <row r="189" ht="15.75" customHeight="1">
      <c r="A189" s="25" t="s">
        <v>975</v>
      </c>
      <c r="B189" s="26">
        <v>46061.0</v>
      </c>
      <c r="C189" s="25" t="s">
        <v>974</v>
      </c>
      <c r="D189" s="25" t="s">
        <v>4020</v>
      </c>
      <c r="E189" s="25" t="s">
        <v>106</v>
      </c>
      <c r="F189" s="25" t="s">
        <v>3844</v>
      </c>
      <c r="G189" s="26">
        <v>46055.0</v>
      </c>
      <c r="H189" s="25" t="s">
        <v>4035</v>
      </c>
      <c r="I189" s="25" t="s">
        <v>97</v>
      </c>
      <c r="J189" s="25" t="s">
        <v>2246</v>
      </c>
      <c r="K189" s="25" t="s">
        <v>3846</v>
      </c>
      <c r="L189" s="25" t="s">
        <v>3851</v>
      </c>
    </row>
    <row r="190" ht="15.75" customHeight="1">
      <c r="A190" s="58" t="s">
        <v>571</v>
      </c>
      <c r="B190" s="59">
        <v>46099.0</v>
      </c>
      <c r="C190" s="58" t="s">
        <v>555</v>
      </c>
      <c r="D190" s="58" t="s">
        <v>4020</v>
      </c>
      <c r="E190" s="58" t="s">
        <v>156</v>
      </c>
      <c r="F190" s="58" t="s">
        <v>3844</v>
      </c>
      <c r="G190" s="59">
        <v>46174.0</v>
      </c>
      <c r="H190" s="58" t="s">
        <v>4036</v>
      </c>
      <c r="I190" s="58" t="s">
        <v>97</v>
      </c>
      <c r="J190" s="58" t="s">
        <v>2246</v>
      </c>
      <c r="K190" s="58" t="s">
        <v>3846</v>
      </c>
      <c r="L190" s="58" t="s">
        <v>3855</v>
      </c>
    </row>
    <row r="191" ht="15.75" customHeight="1">
      <c r="A191" s="25" t="s">
        <v>1093</v>
      </c>
      <c r="B191" s="26">
        <v>46062.0</v>
      </c>
      <c r="C191" s="25" t="s">
        <v>1083</v>
      </c>
      <c r="D191" s="25" t="s">
        <v>4020</v>
      </c>
      <c r="E191" s="25" t="s">
        <v>74</v>
      </c>
      <c r="F191" s="25" t="s">
        <v>3844</v>
      </c>
      <c r="G191" s="26">
        <v>46183.0</v>
      </c>
      <c r="H191" s="25" t="s">
        <v>4037</v>
      </c>
      <c r="I191" s="25" t="s">
        <v>97</v>
      </c>
      <c r="J191" s="25" t="s">
        <v>2246</v>
      </c>
      <c r="K191" s="25" t="s">
        <v>3846</v>
      </c>
      <c r="L191" s="25" t="s">
        <v>3855</v>
      </c>
    </row>
    <row r="192" ht="15.75" customHeight="1">
      <c r="A192" s="58" t="s">
        <v>94</v>
      </c>
      <c r="B192" s="59">
        <v>46067.0</v>
      </c>
      <c r="C192" s="58" t="s">
        <v>73</v>
      </c>
      <c r="D192" s="58" t="s">
        <v>4020</v>
      </c>
      <c r="E192" s="58" t="s">
        <v>95</v>
      </c>
      <c r="F192" s="58" t="s">
        <v>3844</v>
      </c>
      <c r="G192" s="59">
        <v>46217.0</v>
      </c>
      <c r="H192" s="58" t="s">
        <v>4038</v>
      </c>
      <c r="I192" s="58" t="s">
        <v>97</v>
      </c>
      <c r="J192" s="58" t="s">
        <v>2246</v>
      </c>
      <c r="K192" s="58" t="s">
        <v>3846</v>
      </c>
      <c r="L192" s="58" t="s">
        <v>3847</v>
      </c>
    </row>
    <row r="193" ht="15.75" customHeight="1">
      <c r="A193" s="25" t="s">
        <v>474</v>
      </c>
      <c r="B193" s="26">
        <v>46117.0</v>
      </c>
      <c r="C193" s="25" t="s">
        <v>446</v>
      </c>
      <c r="D193" s="25" t="s">
        <v>4020</v>
      </c>
      <c r="E193" s="25" t="s">
        <v>162</v>
      </c>
      <c r="F193" s="25" t="s">
        <v>3844</v>
      </c>
      <c r="G193" s="26">
        <v>46233.0</v>
      </c>
      <c r="H193" s="25" t="s">
        <v>4039</v>
      </c>
      <c r="I193" s="25" t="s">
        <v>97</v>
      </c>
      <c r="J193" s="25" t="s">
        <v>2246</v>
      </c>
      <c r="K193" s="25" t="s">
        <v>3846</v>
      </c>
      <c r="L193" s="25" t="s">
        <v>3851</v>
      </c>
    </row>
    <row r="194" ht="15.75" customHeight="1">
      <c r="A194" s="58" t="s">
        <v>99</v>
      </c>
      <c r="B194" s="59">
        <v>46069.0</v>
      </c>
      <c r="C194" s="58" t="s">
        <v>87</v>
      </c>
      <c r="D194" s="58" t="s">
        <v>4020</v>
      </c>
      <c r="E194" s="58" t="s">
        <v>74</v>
      </c>
      <c r="F194" s="58" t="s">
        <v>3844</v>
      </c>
      <c r="G194" s="59">
        <v>46196.0</v>
      </c>
      <c r="H194" s="58"/>
      <c r="I194" s="58" t="s">
        <v>97</v>
      </c>
      <c r="J194" s="58" t="s">
        <v>2247</v>
      </c>
      <c r="K194" s="58" t="s">
        <v>3848</v>
      </c>
      <c r="L194" s="58" t="s">
        <v>3847</v>
      </c>
    </row>
    <row r="195" ht="15.75" customHeight="1">
      <c r="A195" s="25" t="s">
        <v>580</v>
      </c>
      <c r="B195" s="26">
        <v>46068.0</v>
      </c>
      <c r="C195" s="25" t="s">
        <v>540</v>
      </c>
      <c r="D195" s="25" t="s">
        <v>4020</v>
      </c>
      <c r="E195" s="25" t="s">
        <v>110</v>
      </c>
      <c r="F195" s="25" t="s">
        <v>3857</v>
      </c>
      <c r="G195" s="26">
        <v>46093.0</v>
      </c>
      <c r="H195" s="25" t="s">
        <v>4040</v>
      </c>
      <c r="I195" s="25" t="s">
        <v>97</v>
      </c>
      <c r="J195" s="25" t="s">
        <v>2246</v>
      </c>
      <c r="K195" s="25" t="s">
        <v>3846</v>
      </c>
      <c r="L195" s="25" t="s">
        <v>3855</v>
      </c>
    </row>
    <row r="196" ht="15.75" customHeight="1">
      <c r="A196" s="58" t="s">
        <v>747</v>
      </c>
      <c r="B196" s="59">
        <v>46115.0</v>
      </c>
      <c r="C196" s="58" t="s">
        <v>704</v>
      </c>
      <c r="D196" s="58" t="s">
        <v>4020</v>
      </c>
      <c r="E196" s="58" t="s">
        <v>110</v>
      </c>
      <c r="F196" s="58" t="s">
        <v>3844</v>
      </c>
      <c r="G196" s="59">
        <v>46232.0</v>
      </c>
      <c r="H196" s="58" t="s">
        <v>4041</v>
      </c>
      <c r="I196" s="58" t="s">
        <v>97</v>
      </c>
      <c r="J196" s="58" t="s">
        <v>2246</v>
      </c>
      <c r="K196" s="58" t="s">
        <v>3846</v>
      </c>
      <c r="L196" s="58" t="s">
        <v>3847</v>
      </c>
    </row>
    <row r="197" ht="15.75" customHeight="1">
      <c r="A197" s="25" t="s">
        <v>583</v>
      </c>
      <c r="B197" s="26">
        <v>46143.0</v>
      </c>
      <c r="C197" s="25" t="s">
        <v>540</v>
      </c>
      <c r="D197" s="25" t="s">
        <v>4020</v>
      </c>
      <c r="E197" s="25" t="s">
        <v>74</v>
      </c>
      <c r="F197" s="25" t="s">
        <v>3844</v>
      </c>
      <c r="G197" s="26">
        <v>46228.0</v>
      </c>
      <c r="H197" s="25" t="s">
        <v>4042</v>
      </c>
      <c r="I197" s="25" t="s">
        <v>97</v>
      </c>
      <c r="J197" s="25" t="s">
        <v>2246</v>
      </c>
      <c r="K197" s="25" t="s">
        <v>3846</v>
      </c>
      <c r="L197" s="25" t="s">
        <v>3847</v>
      </c>
    </row>
    <row r="198" ht="15.75" customHeight="1">
      <c r="A198" s="58" t="s">
        <v>881</v>
      </c>
      <c r="B198" s="59">
        <v>46087.0</v>
      </c>
      <c r="C198" s="58" t="s">
        <v>882</v>
      </c>
      <c r="D198" s="58" t="s">
        <v>4020</v>
      </c>
      <c r="E198" s="58" t="s">
        <v>81</v>
      </c>
      <c r="F198" s="58" t="s">
        <v>3844</v>
      </c>
      <c r="G198" s="59">
        <v>46233.0</v>
      </c>
      <c r="H198" s="58" t="s">
        <v>4043</v>
      </c>
      <c r="I198" s="58" t="s">
        <v>97</v>
      </c>
      <c r="J198" s="58" t="s">
        <v>2246</v>
      </c>
      <c r="K198" s="58" t="s">
        <v>3846</v>
      </c>
      <c r="L198" s="58" t="s">
        <v>3855</v>
      </c>
    </row>
    <row r="199" ht="15.75" customHeight="1">
      <c r="A199" s="25" t="s">
        <v>753</v>
      </c>
      <c r="B199" s="26">
        <v>46128.0</v>
      </c>
      <c r="C199" s="25" t="s">
        <v>704</v>
      </c>
      <c r="D199" s="25" t="s">
        <v>4020</v>
      </c>
      <c r="E199" s="25" t="s">
        <v>81</v>
      </c>
      <c r="F199" s="25" t="s">
        <v>3844</v>
      </c>
      <c r="G199" s="26">
        <v>46265.0</v>
      </c>
      <c r="H199" s="25" t="s">
        <v>4044</v>
      </c>
      <c r="I199" s="25" t="s">
        <v>97</v>
      </c>
      <c r="J199" s="25" t="s">
        <v>2246</v>
      </c>
      <c r="K199" s="25" t="s">
        <v>3846</v>
      </c>
      <c r="L199" s="25" t="s">
        <v>3855</v>
      </c>
    </row>
    <row r="200" ht="15.75" customHeight="1">
      <c r="A200" s="58" t="s">
        <v>985</v>
      </c>
      <c r="B200" s="59">
        <v>46024.0</v>
      </c>
      <c r="C200" s="58" t="s">
        <v>974</v>
      </c>
      <c r="D200" s="58" t="s">
        <v>4020</v>
      </c>
      <c r="E200" s="58" t="s">
        <v>74</v>
      </c>
      <c r="F200" s="58" t="s">
        <v>3844</v>
      </c>
      <c r="G200" s="59">
        <v>46017.0</v>
      </c>
      <c r="H200" s="58" t="s">
        <v>4045</v>
      </c>
      <c r="I200" s="58" t="s">
        <v>3906</v>
      </c>
      <c r="J200" s="58" t="s">
        <v>2247</v>
      </c>
      <c r="K200" s="58" t="s">
        <v>3854</v>
      </c>
      <c r="L200" s="58" t="s">
        <v>3855</v>
      </c>
    </row>
    <row r="201" ht="15.75" customHeight="1">
      <c r="A201" s="25" t="s">
        <v>1098</v>
      </c>
      <c r="B201" s="26">
        <v>46043.0</v>
      </c>
      <c r="C201" s="25" t="s">
        <v>1083</v>
      </c>
      <c r="D201" s="25" t="s">
        <v>4020</v>
      </c>
      <c r="E201" s="25" t="s">
        <v>110</v>
      </c>
      <c r="F201" s="25" t="s">
        <v>3844</v>
      </c>
      <c r="G201" s="26">
        <v>46139.0</v>
      </c>
      <c r="H201" s="25"/>
      <c r="I201" s="25" t="s">
        <v>97</v>
      </c>
      <c r="J201" s="25" t="s">
        <v>2247</v>
      </c>
      <c r="K201" s="25" t="s">
        <v>3848</v>
      </c>
      <c r="L201" s="25" t="s">
        <v>3847</v>
      </c>
    </row>
    <row r="202" ht="15.75" customHeight="1">
      <c r="A202" s="58" t="s">
        <v>759</v>
      </c>
      <c r="B202" s="59">
        <v>46039.0</v>
      </c>
      <c r="C202" s="58" t="s">
        <v>704</v>
      </c>
      <c r="D202" s="58" t="s">
        <v>4020</v>
      </c>
      <c r="E202" s="58" t="s">
        <v>123</v>
      </c>
      <c r="F202" s="58" t="s">
        <v>3844</v>
      </c>
      <c r="G202" s="59">
        <v>46062.0</v>
      </c>
      <c r="H202" s="58" t="s">
        <v>4046</v>
      </c>
      <c r="I202" s="58" t="s">
        <v>97</v>
      </c>
      <c r="J202" s="58" t="s">
        <v>2246</v>
      </c>
      <c r="K202" s="58" t="s">
        <v>3846</v>
      </c>
      <c r="L202" s="58" t="s">
        <v>3847</v>
      </c>
    </row>
    <row r="203" ht="15.75" customHeight="1">
      <c r="A203" s="25" t="s">
        <v>105</v>
      </c>
      <c r="B203" s="26">
        <v>46067.0</v>
      </c>
      <c r="C203" s="25" t="s">
        <v>73</v>
      </c>
      <c r="D203" s="25" t="s">
        <v>4020</v>
      </c>
      <c r="E203" s="25" t="s">
        <v>106</v>
      </c>
      <c r="F203" s="25" t="s">
        <v>3844</v>
      </c>
      <c r="G203" s="26">
        <v>46130.0</v>
      </c>
      <c r="H203" s="25" t="s">
        <v>4047</v>
      </c>
      <c r="I203" s="25" t="s">
        <v>97</v>
      </c>
      <c r="J203" s="25" t="s">
        <v>2246</v>
      </c>
      <c r="K203" s="25" t="s">
        <v>3846</v>
      </c>
      <c r="L203" s="25" t="s">
        <v>3855</v>
      </c>
    </row>
    <row r="204" ht="15.75" customHeight="1">
      <c r="A204" s="58" t="s">
        <v>1000</v>
      </c>
      <c r="B204" s="59">
        <v>46134.0</v>
      </c>
      <c r="C204" s="58" t="s">
        <v>974</v>
      </c>
      <c r="D204" s="58" t="s">
        <v>4020</v>
      </c>
      <c r="E204" s="58" t="s">
        <v>78</v>
      </c>
      <c r="F204" s="58" t="s">
        <v>3844</v>
      </c>
      <c r="G204" s="59">
        <v>46268.0</v>
      </c>
      <c r="H204" s="58" t="s">
        <v>4048</v>
      </c>
      <c r="I204" s="58" t="s">
        <v>97</v>
      </c>
      <c r="J204" s="58" t="s">
        <v>2246</v>
      </c>
      <c r="K204" s="58" t="s">
        <v>3846</v>
      </c>
      <c r="L204" s="58" t="s">
        <v>3855</v>
      </c>
    </row>
    <row r="205" ht="15.75" customHeight="1">
      <c r="A205" s="25" t="s">
        <v>1146</v>
      </c>
      <c r="B205" s="26">
        <v>46067.0</v>
      </c>
      <c r="C205" s="25" t="s">
        <v>1136</v>
      </c>
      <c r="D205" s="25" t="s">
        <v>4020</v>
      </c>
      <c r="E205" s="25" t="s">
        <v>81</v>
      </c>
      <c r="F205" s="25" t="s">
        <v>3844</v>
      </c>
      <c r="G205" s="26">
        <v>46127.0</v>
      </c>
      <c r="H205" s="25" t="s">
        <v>4049</v>
      </c>
      <c r="I205" s="25" t="s">
        <v>97</v>
      </c>
      <c r="J205" s="25" t="s">
        <v>2246</v>
      </c>
      <c r="K205" s="25" t="s">
        <v>3846</v>
      </c>
      <c r="L205" s="25" t="s">
        <v>3855</v>
      </c>
    </row>
    <row r="206" ht="15.75" customHeight="1">
      <c r="A206" s="58" t="s">
        <v>1003</v>
      </c>
      <c r="B206" s="59">
        <v>46106.0</v>
      </c>
      <c r="C206" s="58" t="s">
        <v>974</v>
      </c>
      <c r="D206" s="58" t="s">
        <v>4020</v>
      </c>
      <c r="E206" s="58" t="s">
        <v>92</v>
      </c>
      <c r="F206" s="58" t="s">
        <v>3844</v>
      </c>
      <c r="G206" s="59">
        <v>46176.0</v>
      </c>
      <c r="H206" s="58" t="s">
        <v>4050</v>
      </c>
      <c r="I206" s="58" t="s">
        <v>97</v>
      </c>
      <c r="J206" s="58" t="s">
        <v>2246</v>
      </c>
      <c r="K206" s="58" t="s">
        <v>3846</v>
      </c>
      <c r="L206" s="58" t="s">
        <v>3851</v>
      </c>
    </row>
    <row r="207" ht="15.75" customHeight="1">
      <c r="A207" s="25" t="s">
        <v>770</v>
      </c>
      <c r="B207" s="26">
        <v>46129.0</v>
      </c>
      <c r="C207" s="25" t="s">
        <v>704</v>
      </c>
      <c r="D207" s="25" t="s">
        <v>4020</v>
      </c>
      <c r="E207" s="25" t="s">
        <v>115</v>
      </c>
      <c r="F207" s="25" t="s">
        <v>3857</v>
      </c>
      <c r="G207" s="26">
        <v>46165.0</v>
      </c>
      <c r="H207" s="25" t="s">
        <v>4051</v>
      </c>
      <c r="I207" s="25" t="s">
        <v>97</v>
      </c>
      <c r="J207" s="25" t="s">
        <v>2246</v>
      </c>
      <c r="K207" s="25" t="s">
        <v>3846</v>
      </c>
      <c r="L207" s="25" t="s">
        <v>3855</v>
      </c>
    </row>
    <row r="208" ht="15.75" customHeight="1">
      <c r="A208" s="58" t="s">
        <v>606</v>
      </c>
      <c r="B208" s="59">
        <v>46121.0</v>
      </c>
      <c r="C208" s="58" t="s">
        <v>555</v>
      </c>
      <c r="D208" s="58" t="s">
        <v>4020</v>
      </c>
      <c r="E208" s="58" t="s">
        <v>190</v>
      </c>
      <c r="F208" s="58" t="s">
        <v>3844</v>
      </c>
      <c r="G208" s="59">
        <v>46244.0</v>
      </c>
      <c r="H208" s="58"/>
      <c r="I208" s="58" t="s">
        <v>3853</v>
      </c>
      <c r="J208" s="58" t="s">
        <v>2247</v>
      </c>
      <c r="K208" s="58" t="s">
        <v>3874</v>
      </c>
      <c r="L208" s="58" t="s">
        <v>3847</v>
      </c>
    </row>
    <row r="209" ht="15.75" customHeight="1">
      <c r="A209" s="25" t="s">
        <v>1008</v>
      </c>
      <c r="B209" s="26">
        <v>46046.0</v>
      </c>
      <c r="C209" s="25" t="s">
        <v>974</v>
      </c>
      <c r="D209" s="25" t="s">
        <v>4020</v>
      </c>
      <c r="E209" s="25" t="s">
        <v>110</v>
      </c>
      <c r="F209" s="25" t="s">
        <v>3844</v>
      </c>
      <c r="G209" s="26">
        <v>46168.0</v>
      </c>
      <c r="H209" s="25" t="s">
        <v>4052</v>
      </c>
      <c r="I209" s="25" t="s">
        <v>97</v>
      </c>
      <c r="J209" s="25" t="s">
        <v>2246</v>
      </c>
      <c r="K209" s="25" t="s">
        <v>3846</v>
      </c>
      <c r="L209" s="25" t="s">
        <v>3855</v>
      </c>
    </row>
    <row r="210" ht="15.75" customHeight="1">
      <c r="A210" s="58" t="s">
        <v>492</v>
      </c>
      <c r="B210" s="59">
        <v>46065.0</v>
      </c>
      <c r="C210" s="58" t="s">
        <v>446</v>
      </c>
      <c r="D210" s="58" t="s">
        <v>4020</v>
      </c>
      <c r="E210" s="58" t="s">
        <v>92</v>
      </c>
      <c r="F210" s="58" t="s">
        <v>3844</v>
      </c>
      <c r="G210" s="59">
        <v>46208.0</v>
      </c>
      <c r="H210" s="58" t="s">
        <v>4053</v>
      </c>
      <c r="I210" s="58" t="s">
        <v>97</v>
      </c>
      <c r="J210" s="58" t="s">
        <v>2246</v>
      </c>
      <c r="K210" s="58" t="s">
        <v>3846</v>
      </c>
      <c r="L210" s="58" t="s">
        <v>3851</v>
      </c>
    </row>
    <row r="211" ht="15.75" customHeight="1">
      <c r="A211" s="25" t="s">
        <v>608</v>
      </c>
      <c r="B211" s="26">
        <v>46041.0</v>
      </c>
      <c r="C211" s="25" t="s">
        <v>555</v>
      </c>
      <c r="D211" s="25" t="s">
        <v>4020</v>
      </c>
      <c r="E211" s="25" t="s">
        <v>81</v>
      </c>
      <c r="F211" s="25" t="s">
        <v>3844</v>
      </c>
      <c r="G211" s="26">
        <v>46138.0</v>
      </c>
      <c r="H211" s="25" t="s">
        <v>4054</v>
      </c>
      <c r="I211" s="25" t="s">
        <v>97</v>
      </c>
      <c r="J211" s="25" t="s">
        <v>2246</v>
      </c>
      <c r="K211" s="25" t="s">
        <v>3846</v>
      </c>
      <c r="L211" s="25" t="s">
        <v>3847</v>
      </c>
    </row>
    <row r="212" ht="15.75" customHeight="1">
      <c r="A212" s="58" t="s">
        <v>496</v>
      </c>
      <c r="B212" s="59">
        <v>46093.0</v>
      </c>
      <c r="C212" s="58" t="s">
        <v>446</v>
      </c>
      <c r="D212" s="58" t="s">
        <v>4020</v>
      </c>
      <c r="E212" s="58" t="s">
        <v>95</v>
      </c>
      <c r="F212" s="58" t="s">
        <v>3844</v>
      </c>
      <c r="G212" s="59">
        <v>46248.0</v>
      </c>
      <c r="H212" s="58" t="s">
        <v>4055</v>
      </c>
      <c r="I212" s="58" t="s">
        <v>97</v>
      </c>
      <c r="J212" s="58" t="s">
        <v>2246</v>
      </c>
      <c r="K212" s="58" t="s">
        <v>3846</v>
      </c>
      <c r="L212" s="58" t="s">
        <v>3847</v>
      </c>
    </row>
    <row r="213" ht="15.75" customHeight="1">
      <c r="A213" s="25" t="s">
        <v>1151</v>
      </c>
      <c r="B213" s="26">
        <v>46089.0</v>
      </c>
      <c r="C213" s="25" t="s">
        <v>1136</v>
      </c>
      <c r="D213" s="25" t="s">
        <v>4020</v>
      </c>
      <c r="E213" s="25" t="s">
        <v>110</v>
      </c>
      <c r="F213" s="25" t="s">
        <v>3844</v>
      </c>
      <c r="G213" s="26">
        <v>46151.0</v>
      </c>
      <c r="H213" s="25" t="s">
        <v>4056</v>
      </c>
      <c r="I213" s="25" t="s">
        <v>97</v>
      </c>
      <c r="J213" s="25" t="s">
        <v>2246</v>
      </c>
      <c r="K213" s="25" t="s">
        <v>3846</v>
      </c>
      <c r="L213" s="25" t="s">
        <v>3851</v>
      </c>
    </row>
    <row r="214" ht="15.75" customHeight="1">
      <c r="A214" s="58" t="s">
        <v>497</v>
      </c>
      <c r="B214" s="59">
        <v>46046.0</v>
      </c>
      <c r="C214" s="58" t="s">
        <v>446</v>
      </c>
      <c r="D214" s="58" t="s">
        <v>4020</v>
      </c>
      <c r="E214" s="58" t="s">
        <v>85</v>
      </c>
      <c r="F214" s="58" t="s">
        <v>3844</v>
      </c>
      <c r="G214" s="59">
        <v>46168.0</v>
      </c>
      <c r="H214" s="58" t="s">
        <v>4057</v>
      </c>
      <c r="I214" s="58" t="s">
        <v>97</v>
      </c>
      <c r="J214" s="58" t="s">
        <v>2246</v>
      </c>
      <c r="K214" s="58" t="s">
        <v>3846</v>
      </c>
      <c r="L214" s="58" t="s">
        <v>3847</v>
      </c>
    </row>
    <row r="215" ht="15.75" customHeight="1">
      <c r="A215" s="25" t="s">
        <v>898</v>
      </c>
      <c r="B215" s="26">
        <v>46023.0</v>
      </c>
      <c r="C215" s="25" t="s">
        <v>882</v>
      </c>
      <c r="D215" s="25" t="s">
        <v>4020</v>
      </c>
      <c r="E215" s="25" t="s">
        <v>64</v>
      </c>
      <c r="F215" s="25" t="s">
        <v>3844</v>
      </c>
      <c r="G215" s="26">
        <v>46165.0</v>
      </c>
      <c r="H215" s="25" t="s">
        <v>4058</v>
      </c>
      <c r="I215" s="25" t="s">
        <v>97</v>
      </c>
      <c r="J215" s="25" t="s">
        <v>2246</v>
      </c>
      <c r="K215" s="25" t="s">
        <v>3846</v>
      </c>
      <c r="L215" s="25" t="s">
        <v>3855</v>
      </c>
    </row>
    <row r="216" ht="15.75" customHeight="1">
      <c r="A216" s="58" t="s">
        <v>126</v>
      </c>
      <c r="B216" s="59">
        <v>46082.0</v>
      </c>
      <c r="C216" s="58" t="s">
        <v>73</v>
      </c>
      <c r="D216" s="58" t="s">
        <v>4020</v>
      </c>
      <c r="E216" s="58" t="s">
        <v>68</v>
      </c>
      <c r="F216" s="58" t="s">
        <v>3844</v>
      </c>
      <c r="G216" s="59">
        <v>46151.0</v>
      </c>
      <c r="H216" s="58" t="s">
        <v>4059</v>
      </c>
      <c r="I216" s="58" t="s">
        <v>97</v>
      </c>
      <c r="J216" s="58" t="s">
        <v>2246</v>
      </c>
      <c r="K216" s="58" t="s">
        <v>3846</v>
      </c>
      <c r="L216" s="58" t="s">
        <v>3851</v>
      </c>
    </row>
    <row r="217" ht="15.75" customHeight="1">
      <c r="A217" s="25" t="s">
        <v>786</v>
      </c>
      <c r="B217" s="26">
        <v>46071.0</v>
      </c>
      <c r="C217" s="25" t="s">
        <v>704</v>
      </c>
      <c r="D217" s="25" t="s">
        <v>4020</v>
      </c>
      <c r="E217" s="25" t="s">
        <v>190</v>
      </c>
      <c r="F217" s="25" t="s">
        <v>3844</v>
      </c>
      <c r="G217" s="26">
        <v>46063.0</v>
      </c>
      <c r="H217" s="25"/>
      <c r="I217" s="25" t="s">
        <v>3853</v>
      </c>
      <c r="J217" s="25" t="s">
        <v>2247</v>
      </c>
      <c r="K217" s="25" t="s">
        <v>3874</v>
      </c>
      <c r="L217" s="25" t="s">
        <v>3855</v>
      </c>
    </row>
    <row r="218" ht="15.75" customHeight="1">
      <c r="A218" s="58" t="s">
        <v>503</v>
      </c>
      <c r="B218" s="59">
        <v>46121.0</v>
      </c>
      <c r="C218" s="58" t="s">
        <v>446</v>
      </c>
      <c r="D218" s="58" t="s">
        <v>4020</v>
      </c>
      <c r="E218" s="58"/>
      <c r="F218" s="58" t="s">
        <v>3844</v>
      </c>
      <c r="G218" s="59">
        <v>46239.0</v>
      </c>
      <c r="H218" s="58" t="s">
        <v>4060</v>
      </c>
      <c r="I218" s="58" t="s">
        <v>97</v>
      </c>
      <c r="J218" s="58" t="s">
        <v>2246</v>
      </c>
      <c r="K218" s="58" t="s">
        <v>3846</v>
      </c>
      <c r="L218" s="58" t="s">
        <v>3851</v>
      </c>
    </row>
    <row r="219" ht="15.75" customHeight="1">
      <c r="A219" s="25" t="s">
        <v>791</v>
      </c>
      <c r="B219" s="26">
        <v>46064.0</v>
      </c>
      <c r="C219" s="25" t="s">
        <v>704</v>
      </c>
      <c r="D219" s="25" t="s">
        <v>4020</v>
      </c>
      <c r="E219" s="25" t="s">
        <v>108</v>
      </c>
      <c r="F219" s="25" t="s">
        <v>3844</v>
      </c>
      <c r="G219" s="26">
        <v>46159.0</v>
      </c>
      <c r="H219" s="25" t="s">
        <v>4061</v>
      </c>
      <c r="I219" s="25" t="s">
        <v>97</v>
      </c>
      <c r="J219" s="25" t="s">
        <v>2246</v>
      </c>
      <c r="K219" s="25" t="s">
        <v>3846</v>
      </c>
      <c r="L219" s="25" t="s">
        <v>3847</v>
      </c>
    </row>
    <row r="220" ht="15.75" customHeight="1">
      <c r="A220" s="58" t="s">
        <v>621</v>
      </c>
      <c r="B220" s="59">
        <v>46058.0</v>
      </c>
      <c r="C220" s="58" t="s">
        <v>540</v>
      </c>
      <c r="D220" s="58" t="s">
        <v>4020</v>
      </c>
      <c r="E220" s="58" t="s">
        <v>81</v>
      </c>
      <c r="F220" s="58" t="s">
        <v>3844</v>
      </c>
      <c r="G220" s="59">
        <v>46165.0</v>
      </c>
      <c r="H220" s="58" t="s">
        <v>4062</v>
      </c>
      <c r="I220" s="58" t="s">
        <v>97</v>
      </c>
      <c r="J220" s="58" t="s">
        <v>2246</v>
      </c>
      <c r="K220" s="58" t="s">
        <v>3846</v>
      </c>
      <c r="L220" s="58" t="s">
        <v>3847</v>
      </c>
    </row>
    <row r="221" ht="15.75" customHeight="1">
      <c r="A221" s="25" t="s">
        <v>507</v>
      </c>
      <c r="B221" s="26">
        <v>46107.0</v>
      </c>
      <c r="C221" s="25" t="s">
        <v>446</v>
      </c>
      <c r="D221" s="25" t="s">
        <v>4020</v>
      </c>
      <c r="E221" s="25" t="s">
        <v>64</v>
      </c>
      <c r="F221" s="25" t="s">
        <v>3857</v>
      </c>
      <c r="G221" s="26">
        <v>46198.0</v>
      </c>
      <c r="H221" s="25" t="s">
        <v>4063</v>
      </c>
      <c r="I221" s="25" t="s">
        <v>97</v>
      </c>
      <c r="J221" s="25" t="s">
        <v>2246</v>
      </c>
      <c r="K221" s="25" t="s">
        <v>3846</v>
      </c>
      <c r="L221" s="25" t="s">
        <v>3847</v>
      </c>
    </row>
    <row r="222" ht="15.75" customHeight="1">
      <c r="A222" s="58" t="s">
        <v>912</v>
      </c>
      <c r="B222" s="59">
        <v>46132.0</v>
      </c>
      <c r="C222" s="58" t="s">
        <v>882</v>
      </c>
      <c r="D222" s="58" t="s">
        <v>4020</v>
      </c>
      <c r="E222" s="58" t="s">
        <v>85</v>
      </c>
      <c r="F222" s="58" t="s">
        <v>3844</v>
      </c>
      <c r="G222" s="59">
        <v>46127.0</v>
      </c>
      <c r="H222" s="58"/>
      <c r="I222" s="58" t="s">
        <v>97</v>
      </c>
      <c r="J222" s="58" t="s">
        <v>2247</v>
      </c>
      <c r="K222" s="58" t="s">
        <v>3848</v>
      </c>
      <c r="L222" s="58" t="s">
        <v>3847</v>
      </c>
    </row>
    <row r="223" ht="15.75" customHeight="1">
      <c r="A223" s="25" t="s">
        <v>913</v>
      </c>
      <c r="B223" s="26">
        <v>46078.0</v>
      </c>
      <c r="C223" s="25" t="s">
        <v>882</v>
      </c>
      <c r="D223" s="25" t="s">
        <v>4020</v>
      </c>
      <c r="E223" s="25" t="s">
        <v>106</v>
      </c>
      <c r="F223" s="25" t="s">
        <v>3844</v>
      </c>
      <c r="G223" s="26">
        <v>46074.0</v>
      </c>
      <c r="H223" s="25" t="s">
        <v>4064</v>
      </c>
      <c r="I223" s="25" t="s">
        <v>3906</v>
      </c>
      <c r="J223" s="25" t="s">
        <v>2247</v>
      </c>
      <c r="K223" s="25" t="s">
        <v>3854</v>
      </c>
      <c r="L223" s="25" t="s">
        <v>3855</v>
      </c>
    </row>
    <row r="224" ht="15.75" customHeight="1">
      <c r="A224" s="58" t="s">
        <v>130</v>
      </c>
      <c r="B224" s="59">
        <v>46091.0</v>
      </c>
      <c r="C224" s="58" t="s">
        <v>87</v>
      </c>
      <c r="D224" s="58" t="s">
        <v>4020</v>
      </c>
      <c r="E224" s="58" t="s">
        <v>90</v>
      </c>
      <c r="F224" s="58" t="s">
        <v>3844</v>
      </c>
      <c r="G224" s="59">
        <v>46097.0</v>
      </c>
      <c r="H224" s="58" t="s">
        <v>4065</v>
      </c>
      <c r="I224" s="58" t="s">
        <v>97</v>
      </c>
      <c r="J224" s="58" t="s">
        <v>2246</v>
      </c>
      <c r="K224" s="58" t="s">
        <v>3846</v>
      </c>
      <c r="L224" s="58" t="s">
        <v>3855</v>
      </c>
    </row>
    <row r="225" ht="15.75" customHeight="1">
      <c r="A225" s="25" t="s">
        <v>1108</v>
      </c>
      <c r="B225" s="26">
        <v>46126.0</v>
      </c>
      <c r="C225" s="25" t="s">
        <v>1083</v>
      </c>
      <c r="D225" s="25" t="s">
        <v>4020</v>
      </c>
      <c r="E225" s="25" t="s">
        <v>162</v>
      </c>
      <c r="F225" s="25" t="s">
        <v>3844</v>
      </c>
      <c r="G225" s="26">
        <v>46233.0</v>
      </c>
      <c r="H225" s="25" t="s">
        <v>4066</v>
      </c>
      <c r="I225" s="25" t="s">
        <v>3906</v>
      </c>
      <c r="J225" s="25" t="s">
        <v>2247</v>
      </c>
      <c r="K225" s="25" t="s">
        <v>3854</v>
      </c>
      <c r="L225" s="25" t="s">
        <v>3847</v>
      </c>
    </row>
    <row r="226" ht="15.75" customHeight="1">
      <c r="A226" s="58" t="s">
        <v>133</v>
      </c>
      <c r="B226" s="59">
        <v>46099.0</v>
      </c>
      <c r="C226" s="58" t="s">
        <v>73</v>
      </c>
      <c r="D226" s="58" t="s">
        <v>4020</v>
      </c>
      <c r="E226" s="58" t="s">
        <v>110</v>
      </c>
      <c r="F226" s="58" t="s">
        <v>3844</v>
      </c>
      <c r="G226" s="59">
        <v>46079.0</v>
      </c>
      <c r="H226" s="58" t="s">
        <v>4067</v>
      </c>
      <c r="I226" s="58" t="s">
        <v>97</v>
      </c>
      <c r="J226" s="58" t="s">
        <v>2246</v>
      </c>
      <c r="K226" s="58" t="s">
        <v>3846</v>
      </c>
      <c r="L226" s="58" t="s">
        <v>3847</v>
      </c>
    </row>
    <row r="227" ht="15.75" customHeight="1">
      <c r="A227" s="25" t="s">
        <v>1112</v>
      </c>
      <c r="B227" s="26">
        <v>46037.0</v>
      </c>
      <c r="C227" s="25" t="s">
        <v>1083</v>
      </c>
      <c r="D227" s="25" t="s">
        <v>4020</v>
      </c>
      <c r="E227" s="25" t="s">
        <v>74</v>
      </c>
      <c r="F227" s="25" t="s">
        <v>3844</v>
      </c>
      <c r="G227" s="26">
        <v>46135.0</v>
      </c>
      <c r="H227" s="25" t="s">
        <v>4068</v>
      </c>
      <c r="I227" s="25" t="s">
        <v>97</v>
      </c>
      <c r="J227" s="25" t="s">
        <v>2246</v>
      </c>
      <c r="K227" s="25" t="s">
        <v>3846</v>
      </c>
      <c r="L227" s="25" t="s">
        <v>3855</v>
      </c>
    </row>
    <row r="228" ht="15.75" customHeight="1">
      <c r="A228" s="58" t="s">
        <v>134</v>
      </c>
      <c r="B228" s="59">
        <v>46072.0</v>
      </c>
      <c r="C228" s="58" t="s">
        <v>73</v>
      </c>
      <c r="D228" s="58" t="s">
        <v>4020</v>
      </c>
      <c r="E228" s="58" t="s">
        <v>78</v>
      </c>
      <c r="F228" s="58" t="s">
        <v>3844</v>
      </c>
      <c r="G228" s="59">
        <v>46125.0</v>
      </c>
      <c r="H228" s="58" t="s">
        <v>4069</v>
      </c>
      <c r="I228" s="58" t="s">
        <v>97</v>
      </c>
      <c r="J228" s="58" t="s">
        <v>2246</v>
      </c>
      <c r="K228" s="58" t="s">
        <v>3846</v>
      </c>
      <c r="L228" s="58" t="s">
        <v>3847</v>
      </c>
    </row>
    <row r="229" ht="15.75" customHeight="1">
      <c r="A229" s="25" t="s">
        <v>927</v>
      </c>
      <c r="B229" s="26">
        <v>46088.0</v>
      </c>
      <c r="C229" s="25" t="s">
        <v>882</v>
      </c>
      <c r="D229" s="25" t="s">
        <v>4020</v>
      </c>
      <c r="E229" s="25" t="s">
        <v>90</v>
      </c>
      <c r="F229" s="25" t="s">
        <v>3879</v>
      </c>
      <c r="G229" s="26">
        <v>46217.0</v>
      </c>
      <c r="H229" s="25" t="s">
        <v>4070</v>
      </c>
      <c r="I229" s="25" t="s">
        <v>97</v>
      </c>
      <c r="J229" s="25" t="s">
        <v>2247</v>
      </c>
      <c r="K229" s="25" t="s">
        <v>3881</v>
      </c>
      <c r="L229" s="25" t="s">
        <v>3851</v>
      </c>
    </row>
    <row r="230" ht="15.75" customHeight="1">
      <c r="A230" s="58" t="s">
        <v>818</v>
      </c>
      <c r="B230" s="59">
        <v>46136.0</v>
      </c>
      <c r="C230" s="58" t="s">
        <v>704</v>
      </c>
      <c r="D230" s="58" t="s">
        <v>4020</v>
      </c>
      <c r="E230" s="58" t="s">
        <v>102</v>
      </c>
      <c r="F230" s="58" t="s">
        <v>3844</v>
      </c>
      <c r="G230" s="59">
        <v>46230.0</v>
      </c>
      <c r="H230" s="58"/>
      <c r="I230" s="58" t="s">
        <v>97</v>
      </c>
      <c r="J230" s="58" t="s">
        <v>2247</v>
      </c>
      <c r="K230" s="58" t="s">
        <v>3848</v>
      </c>
      <c r="L230" s="58" t="s">
        <v>3855</v>
      </c>
    </row>
    <row r="231" ht="15.75" customHeight="1">
      <c r="A231" s="25" t="s">
        <v>1173</v>
      </c>
      <c r="B231" s="26">
        <v>46101.0</v>
      </c>
      <c r="C231" s="25" t="s">
        <v>1136</v>
      </c>
      <c r="D231" s="25" t="s">
        <v>4020</v>
      </c>
      <c r="E231" s="25" t="s">
        <v>106</v>
      </c>
      <c r="F231" s="25" t="s">
        <v>3913</v>
      </c>
      <c r="G231" s="26">
        <v>46111.0</v>
      </c>
      <c r="H231" s="25" t="s">
        <v>4071</v>
      </c>
      <c r="I231" s="25" t="s">
        <v>97</v>
      </c>
      <c r="J231" s="25" t="s">
        <v>2247</v>
      </c>
      <c r="K231" s="25" t="s">
        <v>3881</v>
      </c>
      <c r="L231" s="25" t="s">
        <v>3855</v>
      </c>
    </row>
    <row r="232" ht="15.75" customHeight="1">
      <c r="A232" s="58" t="s">
        <v>138</v>
      </c>
      <c r="B232" s="59">
        <v>46066.0</v>
      </c>
      <c r="C232" s="58" t="s">
        <v>87</v>
      </c>
      <c r="D232" s="58" t="s">
        <v>4020</v>
      </c>
      <c r="E232" s="58" t="s">
        <v>78</v>
      </c>
      <c r="F232" s="58" t="s">
        <v>3844</v>
      </c>
      <c r="G232" s="59">
        <v>46203.0</v>
      </c>
      <c r="H232" s="58" t="s">
        <v>4072</v>
      </c>
      <c r="I232" s="58" t="s">
        <v>97</v>
      </c>
      <c r="J232" s="58" t="s">
        <v>2246</v>
      </c>
      <c r="K232" s="58" t="s">
        <v>3846</v>
      </c>
      <c r="L232" s="58" t="s">
        <v>3847</v>
      </c>
    </row>
    <row r="233" ht="15.75" customHeight="1">
      <c r="A233" s="25" t="s">
        <v>140</v>
      </c>
      <c r="B233" s="26">
        <v>46085.0</v>
      </c>
      <c r="C233" s="25" t="s">
        <v>87</v>
      </c>
      <c r="D233" s="25" t="s">
        <v>4020</v>
      </c>
      <c r="E233" s="25" t="s">
        <v>74</v>
      </c>
      <c r="F233" s="25" t="s">
        <v>3913</v>
      </c>
      <c r="G233" s="26">
        <v>46214.0</v>
      </c>
      <c r="H233" s="25" t="s">
        <v>4073</v>
      </c>
      <c r="I233" s="25" t="s">
        <v>97</v>
      </c>
      <c r="J233" s="25" t="s">
        <v>2247</v>
      </c>
      <c r="K233" s="25" t="s">
        <v>3881</v>
      </c>
      <c r="L233" s="25" t="s">
        <v>3851</v>
      </c>
    </row>
    <row r="234" ht="15.75" customHeight="1">
      <c r="A234" s="58" t="s">
        <v>1175</v>
      </c>
      <c r="B234" s="59">
        <v>46085.0</v>
      </c>
      <c r="C234" s="58" t="s">
        <v>1136</v>
      </c>
      <c r="D234" s="58" t="s">
        <v>4020</v>
      </c>
      <c r="E234" s="58" t="s">
        <v>95</v>
      </c>
      <c r="F234" s="58" t="s">
        <v>3844</v>
      </c>
      <c r="G234" s="59">
        <v>46173.0</v>
      </c>
      <c r="H234" s="58" t="s">
        <v>4074</v>
      </c>
      <c r="I234" s="58" t="s">
        <v>97</v>
      </c>
      <c r="J234" s="58" t="s">
        <v>2246</v>
      </c>
      <c r="K234" s="58" t="s">
        <v>3846</v>
      </c>
      <c r="L234" s="58" t="s">
        <v>3847</v>
      </c>
    </row>
    <row r="235" ht="15.75" customHeight="1">
      <c r="A235" s="25" t="s">
        <v>930</v>
      </c>
      <c r="B235" s="26">
        <v>46103.0</v>
      </c>
      <c r="C235" s="25" t="s">
        <v>882</v>
      </c>
      <c r="D235" s="25" t="s">
        <v>4020</v>
      </c>
      <c r="E235" s="25" t="s">
        <v>162</v>
      </c>
      <c r="F235" s="25" t="s">
        <v>3844</v>
      </c>
      <c r="G235" s="26">
        <v>46199.0</v>
      </c>
      <c r="H235" s="25" t="s">
        <v>4075</v>
      </c>
      <c r="I235" s="25" t="s">
        <v>97</v>
      </c>
      <c r="J235" s="25" t="s">
        <v>2246</v>
      </c>
      <c r="K235" s="25" t="s">
        <v>3846</v>
      </c>
      <c r="L235" s="25" t="s">
        <v>3847</v>
      </c>
    </row>
    <row r="236" ht="15.75" customHeight="1">
      <c r="A236" s="58" t="s">
        <v>515</v>
      </c>
      <c r="B236" s="59">
        <v>46113.0</v>
      </c>
      <c r="C236" s="58" t="s">
        <v>446</v>
      </c>
      <c r="D236" s="58" t="s">
        <v>4020</v>
      </c>
      <c r="E236" s="58" t="s">
        <v>106</v>
      </c>
      <c r="F236" s="58" t="s">
        <v>3844</v>
      </c>
      <c r="G236" s="59">
        <v>46115.0</v>
      </c>
      <c r="H236" s="58" t="s">
        <v>4076</v>
      </c>
      <c r="I236" s="58" t="s">
        <v>97</v>
      </c>
      <c r="J236" s="58" t="s">
        <v>2246</v>
      </c>
      <c r="K236" s="58" t="s">
        <v>3846</v>
      </c>
      <c r="L236" s="58" t="s">
        <v>3847</v>
      </c>
    </row>
    <row r="237" ht="15.75" customHeight="1">
      <c r="A237" s="25" t="s">
        <v>141</v>
      </c>
      <c r="B237" s="26">
        <v>46135.0</v>
      </c>
      <c r="C237" s="25" t="s">
        <v>73</v>
      </c>
      <c r="D237" s="25" t="s">
        <v>4020</v>
      </c>
      <c r="E237" s="25" t="s">
        <v>92</v>
      </c>
      <c r="F237" s="25" t="s">
        <v>3857</v>
      </c>
      <c r="G237" s="26">
        <v>46133.0</v>
      </c>
      <c r="H237" s="25" t="s">
        <v>4077</v>
      </c>
      <c r="I237" s="25" t="s">
        <v>97</v>
      </c>
      <c r="J237" s="25" t="s">
        <v>2246</v>
      </c>
      <c r="K237" s="25" t="s">
        <v>3846</v>
      </c>
      <c r="L237" s="25" t="s">
        <v>3855</v>
      </c>
    </row>
    <row r="238" ht="15.75" customHeight="1">
      <c r="A238" s="58" t="s">
        <v>1184</v>
      </c>
      <c r="B238" s="59">
        <v>46140.0</v>
      </c>
      <c r="C238" s="58" t="s">
        <v>1136</v>
      </c>
      <c r="D238" s="58" t="s">
        <v>4020</v>
      </c>
      <c r="E238" s="58" t="s">
        <v>92</v>
      </c>
      <c r="F238" s="58" t="s">
        <v>3857</v>
      </c>
      <c r="G238" s="59">
        <v>46197.0</v>
      </c>
      <c r="H238" s="58" t="s">
        <v>4078</v>
      </c>
      <c r="I238" s="58" t="s">
        <v>97</v>
      </c>
      <c r="J238" s="58" t="s">
        <v>2246</v>
      </c>
      <c r="K238" s="58" t="s">
        <v>3846</v>
      </c>
      <c r="L238" s="58" t="s">
        <v>3855</v>
      </c>
    </row>
    <row r="239" ht="15.75" customHeight="1">
      <c r="A239" s="25" t="s">
        <v>143</v>
      </c>
      <c r="B239" s="26">
        <v>46042.0</v>
      </c>
      <c r="C239" s="25" t="s">
        <v>73</v>
      </c>
      <c r="D239" s="25" t="s">
        <v>4020</v>
      </c>
      <c r="E239" s="25" t="s">
        <v>78</v>
      </c>
      <c r="F239" s="25" t="s">
        <v>3844</v>
      </c>
      <c r="G239" s="26">
        <v>46068.0</v>
      </c>
      <c r="H239" s="25" t="s">
        <v>4079</v>
      </c>
      <c r="I239" s="25" t="s">
        <v>97</v>
      </c>
      <c r="J239" s="25" t="s">
        <v>2246</v>
      </c>
      <c r="K239" s="25" t="s">
        <v>3846</v>
      </c>
      <c r="L239" s="25" t="s">
        <v>3847</v>
      </c>
    </row>
    <row r="240" ht="15.75" customHeight="1">
      <c r="A240" s="58" t="s">
        <v>663</v>
      </c>
      <c r="B240" s="59">
        <v>46098.0</v>
      </c>
      <c r="C240" s="58" t="s">
        <v>540</v>
      </c>
      <c r="D240" s="58" t="s">
        <v>4020</v>
      </c>
      <c r="E240" s="58" t="s">
        <v>81</v>
      </c>
      <c r="F240" s="58" t="s">
        <v>3844</v>
      </c>
      <c r="G240" s="59">
        <v>46221.0</v>
      </c>
      <c r="H240" s="58" t="s">
        <v>4080</v>
      </c>
      <c r="I240" s="58" t="s">
        <v>97</v>
      </c>
      <c r="J240" s="58" t="s">
        <v>2246</v>
      </c>
      <c r="K240" s="58" t="s">
        <v>3846</v>
      </c>
      <c r="L240" s="58" t="s">
        <v>3847</v>
      </c>
    </row>
    <row r="241" ht="15.75" customHeight="1">
      <c r="A241" s="25" t="s">
        <v>1116</v>
      </c>
      <c r="B241" s="26">
        <v>46067.0</v>
      </c>
      <c r="C241" s="25" t="s">
        <v>1083</v>
      </c>
      <c r="D241" s="25" t="s">
        <v>4020</v>
      </c>
      <c r="E241" s="25" t="s">
        <v>81</v>
      </c>
      <c r="F241" s="25" t="s">
        <v>3844</v>
      </c>
      <c r="G241" s="26">
        <v>46134.0</v>
      </c>
      <c r="H241" s="25" t="s">
        <v>4081</v>
      </c>
      <c r="I241" s="25" t="s">
        <v>97</v>
      </c>
      <c r="J241" s="25" t="s">
        <v>2246</v>
      </c>
      <c r="K241" s="25" t="s">
        <v>3846</v>
      </c>
      <c r="L241" s="25" t="s">
        <v>3855</v>
      </c>
    </row>
    <row r="242" ht="15.75" customHeight="1">
      <c r="A242" s="58" t="s">
        <v>146</v>
      </c>
      <c r="B242" s="59">
        <v>46105.0</v>
      </c>
      <c r="C242" s="58" t="s">
        <v>87</v>
      </c>
      <c r="D242" s="58" t="s">
        <v>4020</v>
      </c>
      <c r="E242" s="58" t="s">
        <v>81</v>
      </c>
      <c r="F242" s="58" t="s">
        <v>3844</v>
      </c>
      <c r="G242" s="59">
        <v>46162.0</v>
      </c>
      <c r="H242" s="58" t="s">
        <v>4082</v>
      </c>
      <c r="I242" s="58" t="s">
        <v>97</v>
      </c>
      <c r="J242" s="58" t="s">
        <v>2246</v>
      </c>
      <c r="K242" s="58" t="s">
        <v>3846</v>
      </c>
      <c r="L242" s="58" t="s">
        <v>3847</v>
      </c>
    </row>
    <row r="243" ht="15.75" customHeight="1">
      <c r="A243" s="25" t="s">
        <v>521</v>
      </c>
      <c r="B243" s="26">
        <v>46130.0</v>
      </c>
      <c r="C243" s="25" t="s">
        <v>446</v>
      </c>
      <c r="D243" s="25" t="s">
        <v>4020</v>
      </c>
      <c r="E243" s="25" t="s">
        <v>64</v>
      </c>
      <c r="F243" s="25" t="s">
        <v>3844</v>
      </c>
      <c r="G243" s="26">
        <v>46269.0</v>
      </c>
      <c r="H243" s="25" t="s">
        <v>4083</v>
      </c>
      <c r="I243" s="25" t="s">
        <v>3906</v>
      </c>
      <c r="J243" s="25" t="s">
        <v>2247</v>
      </c>
      <c r="K243" s="25" t="s">
        <v>3854</v>
      </c>
      <c r="L243" s="25" t="s">
        <v>3851</v>
      </c>
    </row>
    <row r="244" ht="15.75" customHeight="1">
      <c r="A244" s="58" t="s">
        <v>1117</v>
      </c>
      <c r="B244" s="59">
        <v>46115.0</v>
      </c>
      <c r="C244" s="58" t="s">
        <v>1083</v>
      </c>
      <c r="D244" s="58" t="s">
        <v>4020</v>
      </c>
      <c r="E244" s="58" t="s">
        <v>85</v>
      </c>
      <c r="F244" s="58" t="s">
        <v>3844</v>
      </c>
      <c r="G244" s="59">
        <v>46100.0</v>
      </c>
      <c r="H244" s="58" t="s">
        <v>4084</v>
      </c>
      <c r="I244" s="58" t="s">
        <v>97</v>
      </c>
      <c r="J244" s="58" t="s">
        <v>2246</v>
      </c>
      <c r="K244" s="58" t="s">
        <v>3846</v>
      </c>
      <c r="L244" s="58" t="s">
        <v>3855</v>
      </c>
    </row>
    <row r="245" ht="15.75" customHeight="1">
      <c r="A245" s="25" t="s">
        <v>1052</v>
      </c>
      <c r="B245" s="26">
        <v>46104.0</v>
      </c>
      <c r="C245" s="25" t="s">
        <v>974</v>
      </c>
      <c r="D245" s="25" t="s">
        <v>4020</v>
      </c>
      <c r="E245" s="25" t="s">
        <v>92</v>
      </c>
      <c r="F245" s="25" t="s">
        <v>3844</v>
      </c>
      <c r="G245" s="26">
        <v>46258.0</v>
      </c>
      <c r="H245" s="25" t="s">
        <v>4085</v>
      </c>
      <c r="I245" s="25" t="s">
        <v>97</v>
      </c>
      <c r="J245" s="25" t="s">
        <v>2246</v>
      </c>
      <c r="K245" s="25" t="s">
        <v>3846</v>
      </c>
      <c r="L245" s="25" t="s">
        <v>3851</v>
      </c>
    </row>
    <row r="246" ht="15.75" customHeight="1">
      <c r="A246" s="58" t="s">
        <v>671</v>
      </c>
      <c r="B246" s="59">
        <v>46125.0</v>
      </c>
      <c r="C246" s="58" t="s">
        <v>540</v>
      </c>
      <c r="D246" s="58" t="s">
        <v>4020</v>
      </c>
      <c r="E246" s="58" t="s">
        <v>64</v>
      </c>
      <c r="F246" s="58" t="s">
        <v>3844</v>
      </c>
      <c r="G246" s="59">
        <v>46186.0</v>
      </c>
      <c r="H246" s="58" t="s">
        <v>4086</v>
      </c>
      <c r="I246" s="58" t="s">
        <v>97</v>
      </c>
      <c r="J246" s="58" t="s">
        <v>2246</v>
      </c>
      <c r="K246" s="58" t="s">
        <v>3846</v>
      </c>
      <c r="L246" s="58" t="s">
        <v>3851</v>
      </c>
    </row>
    <row r="247" ht="15.75" customHeight="1">
      <c r="A247" s="25" t="s">
        <v>935</v>
      </c>
      <c r="B247" s="26">
        <v>46128.0</v>
      </c>
      <c r="C247" s="25" t="s">
        <v>882</v>
      </c>
      <c r="D247" s="25" t="s">
        <v>4020</v>
      </c>
      <c r="E247" s="25" t="s">
        <v>154</v>
      </c>
      <c r="F247" s="25" t="s">
        <v>3844</v>
      </c>
      <c r="G247" s="26">
        <v>46111.0</v>
      </c>
      <c r="H247" s="25" t="s">
        <v>4087</v>
      </c>
      <c r="I247" s="25" t="s">
        <v>3853</v>
      </c>
      <c r="J247" s="25" t="s">
        <v>2247</v>
      </c>
      <c r="K247" s="25" t="s">
        <v>3854</v>
      </c>
      <c r="L247" s="25" t="s">
        <v>3847</v>
      </c>
    </row>
    <row r="248" ht="15.75" customHeight="1">
      <c r="A248" s="58" t="s">
        <v>1192</v>
      </c>
      <c r="B248" s="59">
        <v>46132.0</v>
      </c>
      <c r="C248" s="58" t="s">
        <v>1136</v>
      </c>
      <c r="D248" s="58" t="s">
        <v>4020</v>
      </c>
      <c r="E248" s="58" t="s">
        <v>162</v>
      </c>
      <c r="F248" s="58" t="s">
        <v>3844</v>
      </c>
      <c r="G248" s="59">
        <v>46272.0</v>
      </c>
      <c r="H248" s="58" t="s">
        <v>4088</v>
      </c>
      <c r="I248" s="58" t="s">
        <v>97</v>
      </c>
      <c r="J248" s="58" t="s">
        <v>2246</v>
      </c>
      <c r="K248" s="58" t="s">
        <v>3846</v>
      </c>
      <c r="L248" s="58" t="s">
        <v>3847</v>
      </c>
    </row>
    <row r="249" ht="15.75" customHeight="1">
      <c r="A249" s="25" t="s">
        <v>149</v>
      </c>
      <c r="B249" s="26">
        <v>46057.0</v>
      </c>
      <c r="C249" s="25" t="s">
        <v>73</v>
      </c>
      <c r="D249" s="25" t="s">
        <v>4020</v>
      </c>
      <c r="E249" s="25" t="s">
        <v>90</v>
      </c>
      <c r="F249" s="25" t="s">
        <v>3844</v>
      </c>
      <c r="G249" s="26">
        <v>46085.0</v>
      </c>
      <c r="H249" s="25" t="s">
        <v>4089</v>
      </c>
      <c r="I249" s="25" t="s">
        <v>97</v>
      </c>
      <c r="J249" s="25" t="s">
        <v>2246</v>
      </c>
      <c r="K249" s="25" t="s">
        <v>3846</v>
      </c>
      <c r="L249" s="25" t="s">
        <v>3851</v>
      </c>
    </row>
    <row r="250" ht="15.75" customHeight="1">
      <c r="A250" s="58" t="s">
        <v>527</v>
      </c>
      <c r="B250" s="59">
        <v>46061.0</v>
      </c>
      <c r="C250" s="58" t="s">
        <v>446</v>
      </c>
      <c r="D250" s="58" t="s">
        <v>4020</v>
      </c>
      <c r="E250" s="58" t="s">
        <v>108</v>
      </c>
      <c r="F250" s="58" t="s">
        <v>3844</v>
      </c>
      <c r="G250" s="59">
        <v>46141.0</v>
      </c>
      <c r="H250" s="58" t="s">
        <v>4090</v>
      </c>
      <c r="I250" s="58" t="s">
        <v>97</v>
      </c>
      <c r="J250" s="58" t="s">
        <v>2246</v>
      </c>
      <c r="K250" s="58" t="s">
        <v>3846</v>
      </c>
      <c r="L250" s="58" t="s">
        <v>3855</v>
      </c>
    </row>
    <row r="251" ht="15.75" customHeight="1">
      <c r="A251" s="25" t="s">
        <v>682</v>
      </c>
      <c r="B251" s="26">
        <v>46141.0</v>
      </c>
      <c r="C251" s="25" t="s">
        <v>540</v>
      </c>
      <c r="D251" s="25" t="s">
        <v>4020</v>
      </c>
      <c r="E251" s="25" t="s">
        <v>154</v>
      </c>
      <c r="F251" s="25" t="s">
        <v>3844</v>
      </c>
      <c r="G251" s="26">
        <v>46295.0</v>
      </c>
      <c r="H251" s="25" t="s">
        <v>4091</v>
      </c>
      <c r="I251" s="25" t="s">
        <v>3853</v>
      </c>
      <c r="J251" s="25" t="s">
        <v>2247</v>
      </c>
      <c r="K251" s="25" t="s">
        <v>3854</v>
      </c>
      <c r="L251" s="25" t="s">
        <v>3855</v>
      </c>
    </row>
    <row r="252" ht="15.75" customHeight="1">
      <c r="A252" s="58" t="s">
        <v>530</v>
      </c>
      <c r="B252" s="59">
        <v>46117.0</v>
      </c>
      <c r="C252" s="58" t="s">
        <v>446</v>
      </c>
      <c r="D252" s="58" t="s">
        <v>4020</v>
      </c>
      <c r="E252" s="58" t="s">
        <v>162</v>
      </c>
      <c r="F252" s="58" t="s">
        <v>3844</v>
      </c>
      <c r="G252" s="59">
        <v>46252.0</v>
      </c>
      <c r="H252" s="58" t="s">
        <v>4092</v>
      </c>
      <c r="I252" s="58" t="s">
        <v>97</v>
      </c>
      <c r="J252" s="58" t="s">
        <v>2246</v>
      </c>
      <c r="K252" s="58" t="s">
        <v>3846</v>
      </c>
      <c r="L252" s="58" t="s">
        <v>3847</v>
      </c>
    </row>
    <row r="253" ht="15.75" customHeight="1">
      <c r="A253" s="25" t="s">
        <v>159</v>
      </c>
      <c r="B253" s="26">
        <v>46121.0</v>
      </c>
      <c r="C253" s="25" t="s">
        <v>87</v>
      </c>
      <c r="D253" s="25" t="s">
        <v>4020</v>
      </c>
      <c r="E253" s="25" t="s">
        <v>108</v>
      </c>
      <c r="F253" s="25" t="s">
        <v>3844</v>
      </c>
      <c r="G253" s="26">
        <v>46113.0</v>
      </c>
      <c r="H253" s="25" t="s">
        <v>4093</v>
      </c>
      <c r="I253" s="25" t="s">
        <v>97</v>
      </c>
      <c r="J253" s="25" t="s">
        <v>2246</v>
      </c>
      <c r="K253" s="25" t="s">
        <v>3846</v>
      </c>
      <c r="L253" s="25" t="s">
        <v>3847</v>
      </c>
    </row>
    <row r="254" ht="15.75" customHeight="1">
      <c r="A254" s="58" t="s">
        <v>535</v>
      </c>
      <c r="B254" s="59">
        <v>46141.0</v>
      </c>
      <c r="C254" s="58" t="s">
        <v>446</v>
      </c>
      <c r="D254" s="58" t="s">
        <v>4020</v>
      </c>
      <c r="E254" s="58" t="s">
        <v>102</v>
      </c>
      <c r="F254" s="58" t="s">
        <v>3844</v>
      </c>
      <c r="G254" s="59">
        <v>46275.0</v>
      </c>
      <c r="H254" s="58" t="s">
        <v>4094</v>
      </c>
      <c r="I254" s="58" t="s">
        <v>97</v>
      </c>
      <c r="J254" s="58" t="s">
        <v>2246</v>
      </c>
      <c r="K254" s="58" t="s">
        <v>3846</v>
      </c>
      <c r="L254" s="58" t="s">
        <v>3855</v>
      </c>
    </row>
    <row r="255" ht="15.75" customHeight="1">
      <c r="A255" s="25" t="s">
        <v>475</v>
      </c>
      <c r="B255" s="26">
        <v>46074.0</v>
      </c>
      <c r="C255" s="25" t="s">
        <v>1083</v>
      </c>
      <c r="D255" s="25" t="s">
        <v>4020</v>
      </c>
      <c r="E255" s="25" t="s">
        <v>85</v>
      </c>
      <c r="F255" s="25" t="s">
        <v>3844</v>
      </c>
      <c r="G255" s="26">
        <v>46215.0</v>
      </c>
      <c r="H255" s="25" t="s">
        <v>4095</v>
      </c>
      <c r="I255" s="25" t="s">
        <v>97</v>
      </c>
      <c r="J255" s="25" t="s">
        <v>2246</v>
      </c>
      <c r="K255" s="25" t="s">
        <v>3846</v>
      </c>
      <c r="L255" s="25" t="s">
        <v>3851</v>
      </c>
    </row>
    <row r="256" ht="15.75" customHeight="1">
      <c r="A256" s="58" t="s">
        <v>947</v>
      </c>
      <c r="B256" s="59">
        <v>46115.0</v>
      </c>
      <c r="C256" s="58" t="s">
        <v>882</v>
      </c>
      <c r="D256" s="58" t="s">
        <v>4020</v>
      </c>
      <c r="E256" s="58" t="s">
        <v>78</v>
      </c>
      <c r="F256" s="58" t="s">
        <v>3844</v>
      </c>
      <c r="G256" s="59">
        <v>46214.0</v>
      </c>
      <c r="H256" s="58" t="s">
        <v>4096</v>
      </c>
      <c r="I256" s="58" t="s">
        <v>97</v>
      </c>
      <c r="J256" s="58" t="s">
        <v>2246</v>
      </c>
      <c r="K256" s="58" t="s">
        <v>3846</v>
      </c>
      <c r="L256" s="58" t="s">
        <v>3855</v>
      </c>
    </row>
    <row r="257" ht="15.75" customHeight="1">
      <c r="A257" s="25" t="s">
        <v>1123</v>
      </c>
      <c r="B257" s="26">
        <v>46051.0</v>
      </c>
      <c r="C257" s="25" t="s">
        <v>1124</v>
      </c>
      <c r="D257" s="25" t="s">
        <v>4097</v>
      </c>
      <c r="E257" s="25" t="s">
        <v>68</v>
      </c>
      <c r="F257" s="25" t="s">
        <v>3844</v>
      </c>
      <c r="G257" s="26">
        <v>46075.0</v>
      </c>
      <c r="H257" s="25" t="s">
        <v>4098</v>
      </c>
      <c r="I257" s="25" t="s">
        <v>97</v>
      </c>
      <c r="J257" s="25" t="s">
        <v>2246</v>
      </c>
      <c r="K257" s="25" t="s">
        <v>3846</v>
      </c>
      <c r="L257" s="25" t="s">
        <v>3855</v>
      </c>
    </row>
    <row r="258" ht="15.75" customHeight="1">
      <c r="A258" s="58" t="s">
        <v>169</v>
      </c>
      <c r="B258" s="59">
        <v>46031.0</v>
      </c>
      <c r="C258" s="58" t="s">
        <v>170</v>
      </c>
      <c r="D258" s="58" t="s">
        <v>4097</v>
      </c>
      <c r="E258" s="58" t="s">
        <v>68</v>
      </c>
      <c r="F258" s="58" t="s">
        <v>3844</v>
      </c>
      <c r="G258" s="59">
        <v>46016.0</v>
      </c>
      <c r="H258" s="58" t="s">
        <v>4099</v>
      </c>
      <c r="I258" s="58" t="s">
        <v>97</v>
      </c>
      <c r="J258" s="58" t="s">
        <v>2246</v>
      </c>
      <c r="K258" s="58" t="s">
        <v>3846</v>
      </c>
      <c r="L258" s="58" t="s">
        <v>3855</v>
      </c>
    </row>
    <row r="259" ht="15.75" customHeight="1">
      <c r="A259" s="25" t="s">
        <v>172</v>
      </c>
      <c r="B259" s="26">
        <v>46095.0</v>
      </c>
      <c r="C259" s="25" t="s">
        <v>170</v>
      </c>
      <c r="D259" s="25" t="s">
        <v>4097</v>
      </c>
      <c r="E259" s="25" t="s">
        <v>102</v>
      </c>
      <c r="F259" s="25" t="s">
        <v>3844</v>
      </c>
      <c r="G259" s="26">
        <v>46186.0</v>
      </c>
      <c r="H259" s="25" t="s">
        <v>4100</v>
      </c>
      <c r="I259" s="25" t="s">
        <v>97</v>
      </c>
      <c r="J259" s="25" t="s">
        <v>2246</v>
      </c>
      <c r="K259" s="25" t="s">
        <v>3846</v>
      </c>
      <c r="L259" s="25" t="s">
        <v>3855</v>
      </c>
    </row>
    <row r="260" ht="15.75" customHeight="1">
      <c r="A260" s="58" t="s">
        <v>175</v>
      </c>
      <c r="B260" s="59">
        <v>46092.0</v>
      </c>
      <c r="C260" s="58" t="s">
        <v>170</v>
      </c>
      <c r="D260" s="58" t="s">
        <v>4097</v>
      </c>
      <c r="E260" s="58" t="s">
        <v>78</v>
      </c>
      <c r="F260" s="58" t="s">
        <v>3844</v>
      </c>
      <c r="G260" s="59">
        <v>46199.0</v>
      </c>
      <c r="H260" s="58" t="s">
        <v>4101</v>
      </c>
      <c r="I260" s="58" t="s">
        <v>97</v>
      </c>
      <c r="J260" s="58" t="s">
        <v>2246</v>
      </c>
      <c r="K260" s="58" t="s">
        <v>3846</v>
      </c>
      <c r="L260" s="58" t="s">
        <v>3851</v>
      </c>
    </row>
    <row r="261" ht="15.75" customHeight="1">
      <c r="A261" s="25" t="s">
        <v>1076</v>
      </c>
      <c r="B261" s="26">
        <v>46140.0</v>
      </c>
      <c r="C261" s="25" t="s">
        <v>1077</v>
      </c>
      <c r="D261" s="25" t="s">
        <v>4097</v>
      </c>
      <c r="E261" s="25" t="s">
        <v>74</v>
      </c>
      <c r="F261" s="25" t="s">
        <v>3844</v>
      </c>
      <c r="G261" s="26">
        <v>46291.0</v>
      </c>
      <c r="H261" s="25" t="s">
        <v>4102</v>
      </c>
      <c r="I261" s="25" t="s">
        <v>97</v>
      </c>
      <c r="J261" s="25" t="s">
        <v>2246</v>
      </c>
      <c r="K261" s="25" t="s">
        <v>3846</v>
      </c>
      <c r="L261" s="25" t="s">
        <v>3847</v>
      </c>
    </row>
    <row r="262" ht="15.75" customHeight="1">
      <c r="A262" s="58" t="s">
        <v>176</v>
      </c>
      <c r="B262" s="59">
        <v>46113.0</v>
      </c>
      <c r="C262" s="58" t="s">
        <v>177</v>
      </c>
      <c r="D262" s="58" t="s">
        <v>4097</v>
      </c>
      <c r="E262" s="58" t="s">
        <v>123</v>
      </c>
      <c r="F262" s="58" t="s">
        <v>3844</v>
      </c>
      <c r="G262" s="59">
        <v>46153.0</v>
      </c>
      <c r="H262" s="58" t="s">
        <v>4103</v>
      </c>
      <c r="I262" s="58" t="s">
        <v>97</v>
      </c>
      <c r="J262" s="58" t="s">
        <v>2246</v>
      </c>
      <c r="K262" s="58" t="s">
        <v>3846</v>
      </c>
      <c r="L262" s="58" t="s">
        <v>3847</v>
      </c>
    </row>
    <row r="263" ht="15.75" customHeight="1">
      <c r="A263" s="25" t="s">
        <v>182</v>
      </c>
      <c r="B263" s="26">
        <v>46085.0</v>
      </c>
      <c r="C263" s="25" t="s">
        <v>170</v>
      </c>
      <c r="D263" s="25" t="s">
        <v>4097</v>
      </c>
      <c r="E263" s="25" t="s">
        <v>78</v>
      </c>
      <c r="F263" s="25" t="s">
        <v>3844</v>
      </c>
      <c r="G263" s="26">
        <v>46160.0</v>
      </c>
      <c r="H263" s="25" t="s">
        <v>4104</v>
      </c>
      <c r="I263" s="25" t="s">
        <v>97</v>
      </c>
      <c r="J263" s="25" t="s">
        <v>2246</v>
      </c>
      <c r="K263" s="25" t="s">
        <v>3846</v>
      </c>
      <c r="L263" s="25" t="s">
        <v>3851</v>
      </c>
    </row>
    <row r="264" ht="15.75" customHeight="1">
      <c r="A264" s="58" t="s">
        <v>549</v>
      </c>
      <c r="B264" s="59">
        <v>46026.0</v>
      </c>
      <c r="C264" s="58" t="s">
        <v>550</v>
      </c>
      <c r="D264" s="58" t="s">
        <v>4097</v>
      </c>
      <c r="E264" s="58" t="s">
        <v>81</v>
      </c>
      <c r="F264" s="58" t="s">
        <v>3844</v>
      </c>
      <c r="G264" s="59">
        <v>46100.0</v>
      </c>
      <c r="H264" s="58" t="s">
        <v>4105</v>
      </c>
      <c r="I264" s="58" t="s">
        <v>97</v>
      </c>
      <c r="J264" s="58" t="s">
        <v>2246</v>
      </c>
      <c r="K264" s="58" t="s">
        <v>3846</v>
      </c>
      <c r="L264" s="58" t="s">
        <v>3851</v>
      </c>
    </row>
    <row r="265" ht="15.75" customHeight="1">
      <c r="A265" s="25" t="s">
        <v>552</v>
      </c>
      <c r="B265" s="26">
        <v>46087.0</v>
      </c>
      <c r="C265" s="25" t="s">
        <v>553</v>
      </c>
      <c r="D265" s="25" t="s">
        <v>4097</v>
      </c>
      <c r="E265" s="25" t="s">
        <v>123</v>
      </c>
      <c r="F265" s="25" t="s">
        <v>3844</v>
      </c>
      <c r="G265" s="26">
        <v>46210.0</v>
      </c>
      <c r="H265" s="25" t="s">
        <v>4106</v>
      </c>
      <c r="I265" s="25" t="s">
        <v>97</v>
      </c>
      <c r="J265" s="25" t="s">
        <v>2246</v>
      </c>
      <c r="K265" s="25" t="s">
        <v>3846</v>
      </c>
      <c r="L265" s="25" t="s">
        <v>3847</v>
      </c>
    </row>
    <row r="266" ht="15.75" customHeight="1">
      <c r="A266" s="58" t="s">
        <v>562</v>
      </c>
      <c r="B266" s="59">
        <v>46080.0</v>
      </c>
      <c r="C266" s="58" t="s">
        <v>553</v>
      </c>
      <c r="D266" s="58" t="s">
        <v>4097</v>
      </c>
      <c r="E266" s="58" t="s">
        <v>90</v>
      </c>
      <c r="F266" s="58" t="s">
        <v>3844</v>
      </c>
      <c r="G266" s="59">
        <v>46217.0</v>
      </c>
      <c r="H266" s="58" t="s">
        <v>4107</v>
      </c>
      <c r="I266" s="58" t="s">
        <v>97</v>
      </c>
      <c r="J266" s="58" t="s">
        <v>2246</v>
      </c>
      <c r="K266" s="58" t="s">
        <v>3846</v>
      </c>
      <c r="L266" s="58" t="s">
        <v>3851</v>
      </c>
    </row>
    <row r="267" ht="15.75" customHeight="1">
      <c r="A267" s="25" t="s">
        <v>1090</v>
      </c>
      <c r="B267" s="26">
        <v>46139.0</v>
      </c>
      <c r="C267" s="25" t="s">
        <v>1077</v>
      </c>
      <c r="D267" s="25" t="s">
        <v>4097</v>
      </c>
      <c r="E267" s="25" t="s">
        <v>106</v>
      </c>
      <c r="F267" s="25" t="s">
        <v>3844</v>
      </c>
      <c r="G267" s="26">
        <v>46238.0</v>
      </c>
      <c r="H267" s="25" t="s">
        <v>4108</v>
      </c>
      <c r="I267" s="25" t="s">
        <v>97</v>
      </c>
      <c r="J267" s="25" t="s">
        <v>2246</v>
      </c>
      <c r="K267" s="25" t="s">
        <v>3846</v>
      </c>
      <c r="L267" s="25" t="s">
        <v>3855</v>
      </c>
    </row>
    <row r="268" ht="15.75" customHeight="1">
      <c r="A268" s="58" t="s">
        <v>313</v>
      </c>
      <c r="B268" s="59">
        <v>46131.0</v>
      </c>
      <c r="C268" s="58" t="s">
        <v>314</v>
      </c>
      <c r="D268" s="58" t="s">
        <v>4097</v>
      </c>
      <c r="E268" s="58" t="s">
        <v>102</v>
      </c>
      <c r="F268" s="58" t="s">
        <v>3844</v>
      </c>
      <c r="G268" s="59">
        <v>46264.0</v>
      </c>
      <c r="H268" s="58" t="s">
        <v>4109</v>
      </c>
      <c r="I268" s="58" t="s">
        <v>97</v>
      </c>
      <c r="J268" s="58" t="s">
        <v>2246</v>
      </c>
      <c r="K268" s="58" t="s">
        <v>3846</v>
      </c>
      <c r="L268" s="58" t="s">
        <v>3847</v>
      </c>
    </row>
    <row r="269" ht="15.75" customHeight="1">
      <c r="A269" s="25" t="s">
        <v>565</v>
      </c>
      <c r="B269" s="26">
        <v>46133.0</v>
      </c>
      <c r="C269" s="25" t="s">
        <v>566</v>
      </c>
      <c r="D269" s="25" t="s">
        <v>4097</v>
      </c>
      <c r="E269" s="25" t="s">
        <v>92</v>
      </c>
      <c r="F269" s="25" t="s">
        <v>3844</v>
      </c>
      <c r="G269" s="26">
        <v>46147.0</v>
      </c>
      <c r="H269" s="25"/>
      <c r="I269" s="25" t="s">
        <v>3853</v>
      </c>
      <c r="J269" s="25" t="s">
        <v>2247</v>
      </c>
      <c r="K269" s="25" t="s">
        <v>3874</v>
      </c>
      <c r="L269" s="25" t="s">
        <v>3851</v>
      </c>
    </row>
    <row r="270" ht="15.75" customHeight="1">
      <c r="A270" s="58" t="s">
        <v>567</v>
      </c>
      <c r="B270" s="59">
        <v>46054.0</v>
      </c>
      <c r="C270" s="58" t="s">
        <v>550</v>
      </c>
      <c r="D270" s="58" t="s">
        <v>4097</v>
      </c>
      <c r="E270" s="58" t="s">
        <v>108</v>
      </c>
      <c r="F270" s="58" t="s">
        <v>3879</v>
      </c>
      <c r="G270" s="59">
        <v>46105.0</v>
      </c>
      <c r="H270" s="58" t="s">
        <v>4110</v>
      </c>
      <c r="I270" s="58" t="s">
        <v>97</v>
      </c>
      <c r="J270" s="58" t="s">
        <v>2247</v>
      </c>
      <c r="K270" s="58" t="s">
        <v>3881</v>
      </c>
      <c r="L270" s="58" t="s">
        <v>3855</v>
      </c>
    </row>
    <row r="271" ht="15.75" customHeight="1">
      <c r="A271" s="25" t="s">
        <v>576</v>
      </c>
      <c r="B271" s="26">
        <v>46053.0</v>
      </c>
      <c r="C271" s="25" t="s">
        <v>550</v>
      </c>
      <c r="D271" s="25" t="s">
        <v>4097</v>
      </c>
      <c r="E271" s="25" t="s">
        <v>156</v>
      </c>
      <c r="F271" s="25" t="s">
        <v>3844</v>
      </c>
      <c r="G271" s="26">
        <v>46035.0</v>
      </c>
      <c r="H271" s="25" t="s">
        <v>4111</v>
      </c>
      <c r="I271" s="25" t="s">
        <v>97</v>
      </c>
      <c r="J271" s="25" t="s">
        <v>2246</v>
      </c>
      <c r="K271" s="25" t="s">
        <v>3846</v>
      </c>
      <c r="L271" s="25" t="s">
        <v>3851</v>
      </c>
    </row>
    <row r="272" ht="15.75" customHeight="1">
      <c r="A272" s="58" t="s">
        <v>740</v>
      </c>
      <c r="B272" s="59">
        <v>46064.0</v>
      </c>
      <c r="C272" s="58" t="s">
        <v>741</v>
      </c>
      <c r="D272" s="58" t="s">
        <v>4097</v>
      </c>
      <c r="E272" s="58" t="s">
        <v>81</v>
      </c>
      <c r="F272" s="58" t="s">
        <v>3844</v>
      </c>
      <c r="G272" s="59">
        <v>46048.0</v>
      </c>
      <c r="H272" s="58" t="s">
        <v>4112</v>
      </c>
      <c r="I272" s="58" t="s">
        <v>97</v>
      </c>
      <c r="J272" s="58" t="s">
        <v>2246</v>
      </c>
      <c r="K272" s="58" t="s">
        <v>3846</v>
      </c>
      <c r="L272" s="58" t="s">
        <v>3847</v>
      </c>
    </row>
    <row r="273" ht="15.75" customHeight="1">
      <c r="A273" s="25" t="s">
        <v>579</v>
      </c>
      <c r="B273" s="26">
        <v>46141.0</v>
      </c>
      <c r="C273" s="25" t="s">
        <v>566</v>
      </c>
      <c r="D273" s="25" t="s">
        <v>4097</v>
      </c>
      <c r="E273" s="25" t="s">
        <v>106</v>
      </c>
      <c r="F273" s="25" t="s">
        <v>3844</v>
      </c>
      <c r="G273" s="26">
        <v>46126.0</v>
      </c>
      <c r="H273" s="25" t="s">
        <v>4113</v>
      </c>
      <c r="I273" s="25" t="s">
        <v>97</v>
      </c>
      <c r="J273" s="25" t="s">
        <v>2246</v>
      </c>
      <c r="K273" s="25" t="s">
        <v>3846</v>
      </c>
      <c r="L273" s="25" t="s">
        <v>3847</v>
      </c>
    </row>
    <row r="274" ht="15.75" customHeight="1">
      <c r="A274" s="58" t="s">
        <v>325</v>
      </c>
      <c r="B274" s="59">
        <v>46071.0</v>
      </c>
      <c r="C274" s="58" t="s">
        <v>326</v>
      </c>
      <c r="D274" s="58" t="s">
        <v>4097</v>
      </c>
      <c r="E274" s="58" t="s">
        <v>71</v>
      </c>
      <c r="F274" s="58" t="s">
        <v>3844</v>
      </c>
      <c r="G274" s="59">
        <v>46231.0</v>
      </c>
      <c r="H274" s="58" t="s">
        <v>4114</v>
      </c>
      <c r="I274" s="58" t="s">
        <v>97</v>
      </c>
      <c r="J274" s="58" t="s">
        <v>2246</v>
      </c>
      <c r="K274" s="58" t="s">
        <v>3846</v>
      </c>
      <c r="L274" s="58" t="s">
        <v>3847</v>
      </c>
    </row>
    <row r="275" ht="15.75" customHeight="1">
      <c r="A275" s="25" t="s">
        <v>1095</v>
      </c>
      <c r="B275" s="26">
        <v>46067.0</v>
      </c>
      <c r="C275" s="25" t="s">
        <v>1077</v>
      </c>
      <c r="D275" s="25" t="s">
        <v>4097</v>
      </c>
      <c r="E275" s="25" t="s">
        <v>90</v>
      </c>
      <c r="F275" s="25" t="s">
        <v>3844</v>
      </c>
      <c r="G275" s="26">
        <v>46180.0</v>
      </c>
      <c r="H275" s="25" t="s">
        <v>4115</v>
      </c>
      <c r="I275" s="25" t="s">
        <v>97</v>
      </c>
      <c r="J275" s="25" t="s">
        <v>2246</v>
      </c>
      <c r="K275" s="25" t="s">
        <v>3846</v>
      </c>
      <c r="L275" s="25" t="s">
        <v>3855</v>
      </c>
    </row>
    <row r="276" ht="15.75" customHeight="1">
      <c r="A276" s="58" t="s">
        <v>328</v>
      </c>
      <c r="B276" s="59">
        <v>46077.0</v>
      </c>
      <c r="C276" s="58" t="s">
        <v>326</v>
      </c>
      <c r="D276" s="58" t="s">
        <v>4097</v>
      </c>
      <c r="E276" s="58" t="s">
        <v>81</v>
      </c>
      <c r="F276" s="58" t="s">
        <v>3844</v>
      </c>
      <c r="G276" s="59">
        <v>46078.0</v>
      </c>
      <c r="H276" s="58" t="s">
        <v>4116</v>
      </c>
      <c r="I276" s="58" t="s">
        <v>97</v>
      </c>
      <c r="J276" s="58" t="s">
        <v>2246</v>
      </c>
      <c r="K276" s="58" t="s">
        <v>3846</v>
      </c>
      <c r="L276" s="58" t="s">
        <v>3847</v>
      </c>
    </row>
    <row r="277" ht="15.75" customHeight="1">
      <c r="A277" s="25" t="s">
        <v>585</v>
      </c>
      <c r="B277" s="26">
        <v>46140.0</v>
      </c>
      <c r="C277" s="25" t="s">
        <v>553</v>
      </c>
      <c r="D277" s="25" t="s">
        <v>4097</v>
      </c>
      <c r="E277" s="25" t="s">
        <v>102</v>
      </c>
      <c r="F277" s="25" t="s">
        <v>3844</v>
      </c>
      <c r="G277" s="26">
        <v>46189.0</v>
      </c>
      <c r="H277" s="25" t="s">
        <v>4117</v>
      </c>
      <c r="I277" s="25" t="s">
        <v>97</v>
      </c>
      <c r="J277" s="25" t="s">
        <v>2246</v>
      </c>
      <c r="K277" s="25" t="s">
        <v>3846</v>
      </c>
      <c r="L277" s="25" t="s">
        <v>3855</v>
      </c>
    </row>
    <row r="278" ht="15.75" customHeight="1">
      <c r="A278" s="58" t="s">
        <v>586</v>
      </c>
      <c r="B278" s="59">
        <v>46085.0</v>
      </c>
      <c r="C278" s="58" t="s">
        <v>553</v>
      </c>
      <c r="D278" s="58" t="s">
        <v>4097</v>
      </c>
      <c r="E278" s="58" t="s">
        <v>74</v>
      </c>
      <c r="F278" s="58" t="s">
        <v>3844</v>
      </c>
      <c r="G278" s="59">
        <v>46196.0</v>
      </c>
      <c r="H278" s="58" t="s">
        <v>4118</v>
      </c>
      <c r="I278" s="58" t="s">
        <v>97</v>
      </c>
      <c r="J278" s="58" t="s">
        <v>2246</v>
      </c>
      <c r="K278" s="58" t="s">
        <v>3846</v>
      </c>
      <c r="L278" s="58" t="s">
        <v>3851</v>
      </c>
    </row>
    <row r="279" ht="15.75" customHeight="1">
      <c r="A279" s="25" t="s">
        <v>590</v>
      </c>
      <c r="B279" s="26">
        <v>46058.0</v>
      </c>
      <c r="C279" s="25" t="s">
        <v>550</v>
      </c>
      <c r="D279" s="25" t="s">
        <v>4097</v>
      </c>
      <c r="E279" s="25" t="s">
        <v>85</v>
      </c>
      <c r="F279" s="25" t="s">
        <v>3844</v>
      </c>
      <c r="G279" s="26">
        <v>46057.0</v>
      </c>
      <c r="H279" s="25" t="s">
        <v>4119</v>
      </c>
      <c r="I279" s="25" t="s">
        <v>97</v>
      </c>
      <c r="J279" s="25" t="s">
        <v>2246</v>
      </c>
      <c r="K279" s="25" t="s">
        <v>3846</v>
      </c>
      <c r="L279" s="25" t="s">
        <v>3851</v>
      </c>
    </row>
    <row r="280" ht="15.75" customHeight="1">
      <c r="A280" s="58" t="s">
        <v>591</v>
      </c>
      <c r="B280" s="59">
        <v>46030.0</v>
      </c>
      <c r="C280" s="58" t="s">
        <v>550</v>
      </c>
      <c r="D280" s="58" t="s">
        <v>4097</v>
      </c>
      <c r="E280" s="58" t="s">
        <v>71</v>
      </c>
      <c r="F280" s="58" t="s">
        <v>3857</v>
      </c>
      <c r="G280" s="59">
        <v>46025.0</v>
      </c>
      <c r="H280" s="58"/>
      <c r="I280" s="58" t="s">
        <v>97</v>
      </c>
      <c r="J280" s="58" t="s">
        <v>2247</v>
      </c>
      <c r="K280" s="58" t="s">
        <v>3848</v>
      </c>
      <c r="L280" s="58" t="s">
        <v>3847</v>
      </c>
    </row>
    <row r="281" ht="15.75" customHeight="1">
      <c r="A281" s="25" t="s">
        <v>335</v>
      </c>
      <c r="B281" s="26">
        <v>46109.0</v>
      </c>
      <c r="C281" s="25" t="s">
        <v>314</v>
      </c>
      <c r="D281" s="25" t="s">
        <v>4097</v>
      </c>
      <c r="E281" s="25" t="s">
        <v>64</v>
      </c>
      <c r="F281" s="25" t="s">
        <v>3844</v>
      </c>
      <c r="G281" s="26">
        <v>46215.0</v>
      </c>
      <c r="H281" s="25" t="s">
        <v>4120</v>
      </c>
      <c r="I281" s="25" t="s">
        <v>97</v>
      </c>
      <c r="J281" s="25" t="s">
        <v>2246</v>
      </c>
      <c r="K281" s="25" t="s">
        <v>3846</v>
      </c>
      <c r="L281" s="25" t="s">
        <v>3855</v>
      </c>
    </row>
    <row r="282" ht="15.75" customHeight="1">
      <c r="A282" s="58" t="s">
        <v>758</v>
      </c>
      <c r="B282" s="59">
        <v>46085.0</v>
      </c>
      <c r="C282" s="58" t="s">
        <v>741</v>
      </c>
      <c r="D282" s="58" t="s">
        <v>4097</v>
      </c>
      <c r="E282" s="58" t="s">
        <v>108</v>
      </c>
      <c r="F282" s="58" t="s">
        <v>3844</v>
      </c>
      <c r="G282" s="59">
        <v>46140.0</v>
      </c>
      <c r="H282" s="58"/>
      <c r="I282" s="58" t="s">
        <v>97</v>
      </c>
      <c r="J282" s="58" t="s">
        <v>2247</v>
      </c>
      <c r="K282" s="58" t="s">
        <v>3848</v>
      </c>
      <c r="L282" s="58" t="s">
        <v>3855</v>
      </c>
    </row>
    <row r="283" ht="15.75" customHeight="1">
      <c r="A283" s="25" t="s">
        <v>1097</v>
      </c>
      <c r="B283" s="26">
        <v>46112.0</v>
      </c>
      <c r="C283" s="25" t="s">
        <v>1077</v>
      </c>
      <c r="D283" s="25" t="s">
        <v>4097</v>
      </c>
      <c r="E283" s="25" t="s">
        <v>108</v>
      </c>
      <c r="F283" s="25" t="s">
        <v>3844</v>
      </c>
      <c r="G283" s="26">
        <v>46178.0</v>
      </c>
      <c r="H283" s="25" t="s">
        <v>4121</v>
      </c>
      <c r="I283" s="25" t="s">
        <v>97</v>
      </c>
      <c r="J283" s="25" t="s">
        <v>2246</v>
      </c>
      <c r="K283" s="25" t="s">
        <v>3846</v>
      </c>
      <c r="L283" s="25" t="s">
        <v>3847</v>
      </c>
    </row>
    <row r="284" ht="15.75" customHeight="1">
      <c r="A284" s="58" t="s">
        <v>336</v>
      </c>
      <c r="B284" s="59">
        <v>46028.0</v>
      </c>
      <c r="C284" s="58" t="s">
        <v>326</v>
      </c>
      <c r="D284" s="58" t="s">
        <v>4097</v>
      </c>
      <c r="E284" s="58" t="s">
        <v>78</v>
      </c>
      <c r="F284" s="58" t="s">
        <v>3844</v>
      </c>
      <c r="G284" s="59">
        <v>46069.0</v>
      </c>
      <c r="H284" s="58" t="s">
        <v>4122</v>
      </c>
      <c r="I284" s="58" t="s">
        <v>97</v>
      </c>
      <c r="J284" s="58" t="s">
        <v>2246</v>
      </c>
      <c r="K284" s="58" t="s">
        <v>3846</v>
      </c>
      <c r="L284" s="58" t="s">
        <v>3855</v>
      </c>
    </row>
    <row r="285" ht="15.75" customHeight="1">
      <c r="A285" s="25" t="s">
        <v>204</v>
      </c>
      <c r="B285" s="26">
        <v>46068.0</v>
      </c>
      <c r="C285" s="25" t="s">
        <v>170</v>
      </c>
      <c r="D285" s="25" t="s">
        <v>4097</v>
      </c>
      <c r="E285" s="25" t="s">
        <v>154</v>
      </c>
      <c r="F285" s="25" t="s">
        <v>3844</v>
      </c>
      <c r="G285" s="26">
        <v>46141.0</v>
      </c>
      <c r="H285" s="25" t="s">
        <v>4123</v>
      </c>
      <c r="I285" s="25" t="s">
        <v>97</v>
      </c>
      <c r="J285" s="25" t="s">
        <v>2246</v>
      </c>
      <c r="K285" s="25" t="s">
        <v>3846</v>
      </c>
      <c r="L285" s="25" t="s">
        <v>3847</v>
      </c>
    </row>
    <row r="286" ht="15.75" customHeight="1">
      <c r="A286" s="58" t="s">
        <v>596</v>
      </c>
      <c r="B286" s="59">
        <v>46131.0</v>
      </c>
      <c r="C286" s="58" t="s">
        <v>566</v>
      </c>
      <c r="D286" s="58" t="s">
        <v>4097</v>
      </c>
      <c r="E286" s="58" t="s">
        <v>78</v>
      </c>
      <c r="F286" s="58" t="s">
        <v>3844</v>
      </c>
      <c r="G286" s="59">
        <v>46135.0</v>
      </c>
      <c r="H286" s="58" t="s">
        <v>4124</v>
      </c>
      <c r="I286" s="58" t="s">
        <v>97</v>
      </c>
      <c r="J286" s="58" t="s">
        <v>2246</v>
      </c>
      <c r="K286" s="58" t="s">
        <v>3846</v>
      </c>
      <c r="L286" s="58" t="s">
        <v>3847</v>
      </c>
    </row>
    <row r="287" ht="15.75" customHeight="1">
      <c r="A287" s="25" t="s">
        <v>209</v>
      </c>
      <c r="B287" s="26">
        <v>46060.0</v>
      </c>
      <c r="C287" s="25" t="s">
        <v>170</v>
      </c>
      <c r="D287" s="25" t="s">
        <v>4097</v>
      </c>
      <c r="E287" s="25" t="s">
        <v>110</v>
      </c>
      <c r="F287" s="25" t="s">
        <v>3844</v>
      </c>
      <c r="G287" s="26">
        <v>46103.0</v>
      </c>
      <c r="H287" s="25" t="s">
        <v>4125</v>
      </c>
      <c r="I287" s="25" t="s">
        <v>97</v>
      </c>
      <c r="J287" s="25" t="s">
        <v>2246</v>
      </c>
      <c r="K287" s="25" t="s">
        <v>3846</v>
      </c>
      <c r="L287" s="25" t="s">
        <v>3847</v>
      </c>
    </row>
    <row r="288" ht="15.75" customHeight="1">
      <c r="A288" s="58" t="s">
        <v>600</v>
      </c>
      <c r="B288" s="59">
        <v>46056.0</v>
      </c>
      <c r="C288" s="58" t="s">
        <v>566</v>
      </c>
      <c r="D288" s="58" t="s">
        <v>4097</v>
      </c>
      <c r="E288" s="58" t="s">
        <v>71</v>
      </c>
      <c r="F288" s="58" t="s">
        <v>3844</v>
      </c>
      <c r="G288" s="59">
        <v>46208.0</v>
      </c>
      <c r="H288" s="58" t="s">
        <v>4126</v>
      </c>
      <c r="I288" s="58" t="s">
        <v>97</v>
      </c>
      <c r="J288" s="58" t="s">
        <v>2246</v>
      </c>
      <c r="K288" s="58" t="s">
        <v>3846</v>
      </c>
      <c r="L288" s="58" t="s">
        <v>3851</v>
      </c>
    </row>
    <row r="289" ht="15.75" customHeight="1">
      <c r="A289" s="25" t="s">
        <v>1148</v>
      </c>
      <c r="B289" s="26">
        <v>46106.0</v>
      </c>
      <c r="C289" s="25" t="s">
        <v>1124</v>
      </c>
      <c r="D289" s="25" t="s">
        <v>4097</v>
      </c>
      <c r="E289" s="25" t="s">
        <v>78</v>
      </c>
      <c r="F289" s="25" t="s">
        <v>3844</v>
      </c>
      <c r="G289" s="26">
        <v>46250.0</v>
      </c>
      <c r="H289" s="25" t="s">
        <v>4127</v>
      </c>
      <c r="I289" s="25" t="s">
        <v>97</v>
      </c>
      <c r="J289" s="25" t="s">
        <v>2246</v>
      </c>
      <c r="K289" s="25" t="s">
        <v>3846</v>
      </c>
      <c r="L289" s="25" t="s">
        <v>3855</v>
      </c>
    </row>
    <row r="290" ht="15.75" customHeight="1">
      <c r="A290" s="58" t="s">
        <v>346</v>
      </c>
      <c r="B290" s="59">
        <v>46029.0</v>
      </c>
      <c r="C290" s="58" t="s">
        <v>314</v>
      </c>
      <c r="D290" s="58" t="s">
        <v>4097</v>
      </c>
      <c r="E290" s="58" t="s">
        <v>71</v>
      </c>
      <c r="F290" s="58" t="s">
        <v>3844</v>
      </c>
      <c r="G290" s="59">
        <v>46061.0</v>
      </c>
      <c r="H290" s="58" t="s">
        <v>4128</v>
      </c>
      <c r="I290" s="58" t="s">
        <v>97</v>
      </c>
      <c r="J290" s="58" t="s">
        <v>2246</v>
      </c>
      <c r="K290" s="58" t="s">
        <v>3846</v>
      </c>
      <c r="L290" s="58" t="s">
        <v>3851</v>
      </c>
    </row>
    <row r="291" ht="15.75" customHeight="1">
      <c r="A291" s="25" t="s">
        <v>347</v>
      </c>
      <c r="B291" s="26">
        <v>46121.0</v>
      </c>
      <c r="C291" s="25" t="s">
        <v>326</v>
      </c>
      <c r="D291" s="25" t="s">
        <v>4097</v>
      </c>
      <c r="E291" s="25" t="s">
        <v>81</v>
      </c>
      <c r="F291" s="25" t="s">
        <v>3844</v>
      </c>
      <c r="G291" s="26">
        <v>46199.0</v>
      </c>
      <c r="H291" s="25" t="s">
        <v>4129</v>
      </c>
      <c r="I291" s="25" t="s">
        <v>97</v>
      </c>
      <c r="J291" s="25" t="s">
        <v>2246</v>
      </c>
      <c r="K291" s="25" t="s">
        <v>3846</v>
      </c>
      <c r="L291" s="25" t="s">
        <v>3851</v>
      </c>
    </row>
    <row r="292" ht="15.75" customHeight="1">
      <c r="A292" s="58" t="s">
        <v>348</v>
      </c>
      <c r="B292" s="59">
        <v>46086.0</v>
      </c>
      <c r="C292" s="58" t="s">
        <v>314</v>
      </c>
      <c r="D292" s="58" t="s">
        <v>4097</v>
      </c>
      <c r="E292" s="58" t="s">
        <v>154</v>
      </c>
      <c r="F292" s="58" t="s">
        <v>3844</v>
      </c>
      <c r="G292" s="59">
        <v>46125.0</v>
      </c>
      <c r="H292" s="58" t="s">
        <v>4130</v>
      </c>
      <c r="I292" s="58" t="s">
        <v>97</v>
      </c>
      <c r="J292" s="58" t="s">
        <v>2246</v>
      </c>
      <c r="K292" s="58" t="s">
        <v>3846</v>
      </c>
      <c r="L292" s="58" t="s">
        <v>3847</v>
      </c>
    </row>
    <row r="293" ht="15.75" customHeight="1">
      <c r="A293" s="25" t="s">
        <v>218</v>
      </c>
      <c r="B293" s="26">
        <v>46080.0</v>
      </c>
      <c r="C293" s="25" t="s">
        <v>177</v>
      </c>
      <c r="D293" s="25" t="s">
        <v>4097</v>
      </c>
      <c r="E293" s="25" t="s">
        <v>190</v>
      </c>
      <c r="F293" s="25" t="s">
        <v>3913</v>
      </c>
      <c r="G293" s="26">
        <v>46095.0</v>
      </c>
      <c r="H293" s="25" t="s">
        <v>4131</v>
      </c>
      <c r="I293" s="25" t="s">
        <v>3853</v>
      </c>
      <c r="J293" s="25" t="s">
        <v>2247</v>
      </c>
      <c r="K293" s="25" t="s">
        <v>3951</v>
      </c>
      <c r="L293" s="25" t="s">
        <v>3855</v>
      </c>
    </row>
    <row r="294" ht="15.75" customHeight="1">
      <c r="A294" s="58" t="s">
        <v>610</v>
      </c>
      <c r="B294" s="59">
        <v>46143.0</v>
      </c>
      <c r="C294" s="58" t="s">
        <v>566</v>
      </c>
      <c r="D294" s="58" t="s">
        <v>4097</v>
      </c>
      <c r="E294" s="58" t="s">
        <v>90</v>
      </c>
      <c r="F294" s="58" t="s">
        <v>3844</v>
      </c>
      <c r="G294" s="59">
        <v>46123.0</v>
      </c>
      <c r="H294" s="58" t="s">
        <v>4132</v>
      </c>
      <c r="I294" s="58" t="s">
        <v>97</v>
      </c>
      <c r="J294" s="58" t="s">
        <v>2246</v>
      </c>
      <c r="K294" s="58" t="s">
        <v>3846</v>
      </c>
      <c r="L294" s="58" t="s">
        <v>3847</v>
      </c>
    </row>
    <row r="295" ht="15.75" customHeight="1">
      <c r="A295" s="25" t="s">
        <v>611</v>
      </c>
      <c r="B295" s="26">
        <v>46104.0</v>
      </c>
      <c r="C295" s="25" t="s">
        <v>553</v>
      </c>
      <c r="D295" s="25" t="s">
        <v>4097</v>
      </c>
      <c r="E295" s="25" t="s">
        <v>190</v>
      </c>
      <c r="F295" s="25" t="s">
        <v>3844</v>
      </c>
      <c r="G295" s="26">
        <v>46186.0</v>
      </c>
      <c r="H295" s="25" t="s">
        <v>4133</v>
      </c>
      <c r="I295" s="25" t="s">
        <v>3853</v>
      </c>
      <c r="J295" s="25" t="s">
        <v>2247</v>
      </c>
      <c r="K295" s="25" t="s">
        <v>3854</v>
      </c>
      <c r="L295" s="25" t="s">
        <v>3847</v>
      </c>
    </row>
    <row r="296" ht="15.75" customHeight="1">
      <c r="A296" s="58" t="s">
        <v>1103</v>
      </c>
      <c r="B296" s="59">
        <v>46099.0</v>
      </c>
      <c r="C296" s="58" t="s">
        <v>1077</v>
      </c>
      <c r="D296" s="58" t="s">
        <v>4097</v>
      </c>
      <c r="E296" s="58" t="s">
        <v>106</v>
      </c>
      <c r="F296" s="58" t="s">
        <v>3844</v>
      </c>
      <c r="G296" s="59">
        <v>46154.0</v>
      </c>
      <c r="H296" s="58"/>
      <c r="I296" s="58" t="s">
        <v>97</v>
      </c>
      <c r="J296" s="58" t="s">
        <v>2247</v>
      </c>
      <c r="K296" s="58" t="s">
        <v>3848</v>
      </c>
      <c r="L296" s="58" t="s">
        <v>3851</v>
      </c>
    </row>
    <row r="297" ht="15.75" customHeight="1">
      <c r="A297" s="25" t="s">
        <v>1155</v>
      </c>
      <c r="B297" s="26">
        <v>46072.0</v>
      </c>
      <c r="C297" s="25" t="s">
        <v>1124</v>
      </c>
      <c r="D297" s="25" t="s">
        <v>4097</v>
      </c>
      <c r="E297" s="25" t="s">
        <v>154</v>
      </c>
      <c r="F297" s="25" t="s">
        <v>3844</v>
      </c>
      <c r="G297" s="26">
        <v>46057.0</v>
      </c>
      <c r="H297" s="25" t="s">
        <v>4134</v>
      </c>
      <c r="I297" s="25" t="s">
        <v>3906</v>
      </c>
      <c r="J297" s="25" t="s">
        <v>2247</v>
      </c>
      <c r="K297" s="25" t="s">
        <v>3854</v>
      </c>
      <c r="L297" s="25" t="s">
        <v>3847</v>
      </c>
    </row>
    <row r="298" ht="15.75" customHeight="1">
      <c r="A298" s="58" t="s">
        <v>224</v>
      </c>
      <c r="B298" s="59">
        <v>46055.0</v>
      </c>
      <c r="C298" s="58" t="s">
        <v>177</v>
      </c>
      <c r="D298" s="58" t="s">
        <v>4097</v>
      </c>
      <c r="E298" s="58" t="s">
        <v>190</v>
      </c>
      <c r="F298" s="58" t="s">
        <v>3844</v>
      </c>
      <c r="G298" s="59">
        <v>46098.0</v>
      </c>
      <c r="H298" s="58" t="s">
        <v>4135</v>
      </c>
      <c r="I298" s="58" t="s">
        <v>3853</v>
      </c>
      <c r="J298" s="58" t="s">
        <v>2247</v>
      </c>
      <c r="K298" s="58" t="s">
        <v>3854</v>
      </c>
      <c r="L298" s="58" t="s">
        <v>3855</v>
      </c>
    </row>
    <row r="299" ht="15.75" customHeight="1">
      <c r="A299" s="25" t="s">
        <v>360</v>
      </c>
      <c r="B299" s="26">
        <v>46057.0</v>
      </c>
      <c r="C299" s="25" t="s">
        <v>314</v>
      </c>
      <c r="D299" s="25" t="s">
        <v>4097</v>
      </c>
      <c r="E299" s="25" t="s">
        <v>64</v>
      </c>
      <c r="F299" s="25" t="s">
        <v>3844</v>
      </c>
      <c r="G299" s="26">
        <v>46059.0</v>
      </c>
      <c r="H299" s="25" t="s">
        <v>4136</v>
      </c>
      <c r="I299" s="25" t="s">
        <v>97</v>
      </c>
      <c r="J299" s="25" t="s">
        <v>2246</v>
      </c>
      <c r="K299" s="25" t="s">
        <v>3846</v>
      </c>
      <c r="L299" s="25" t="s">
        <v>3855</v>
      </c>
    </row>
    <row r="300" ht="15.75" customHeight="1">
      <c r="A300" s="58" t="s">
        <v>781</v>
      </c>
      <c r="B300" s="59">
        <v>46049.0</v>
      </c>
      <c r="C300" s="58" t="s">
        <v>741</v>
      </c>
      <c r="D300" s="58" t="s">
        <v>4097</v>
      </c>
      <c r="E300" s="58" t="s">
        <v>115</v>
      </c>
      <c r="F300" s="58" t="s">
        <v>3844</v>
      </c>
      <c r="G300" s="59">
        <v>46165.0</v>
      </c>
      <c r="H300" s="58" t="s">
        <v>4137</v>
      </c>
      <c r="I300" s="58" t="s">
        <v>97</v>
      </c>
      <c r="J300" s="58" t="s">
        <v>2246</v>
      </c>
      <c r="K300" s="58" t="s">
        <v>3846</v>
      </c>
      <c r="L300" s="58" t="s">
        <v>3855</v>
      </c>
    </row>
    <row r="301" ht="15.75" customHeight="1">
      <c r="A301" s="25" t="s">
        <v>361</v>
      </c>
      <c r="B301" s="26">
        <v>46134.0</v>
      </c>
      <c r="C301" s="25" t="s">
        <v>314</v>
      </c>
      <c r="D301" s="25" t="s">
        <v>4097</v>
      </c>
      <c r="E301" s="25" t="s">
        <v>64</v>
      </c>
      <c r="F301" s="25" t="s">
        <v>3844</v>
      </c>
      <c r="G301" s="26">
        <v>46182.0</v>
      </c>
      <c r="H301" s="25" t="s">
        <v>4138</v>
      </c>
      <c r="I301" s="25" t="s">
        <v>97</v>
      </c>
      <c r="J301" s="25" t="s">
        <v>2246</v>
      </c>
      <c r="K301" s="25" t="s">
        <v>3846</v>
      </c>
      <c r="L301" s="25" t="s">
        <v>3847</v>
      </c>
    </row>
    <row r="302" ht="15.75" customHeight="1">
      <c r="A302" s="58" t="s">
        <v>228</v>
      </c>
      <c r="B302" s="59">
        <v>46076.0</v>
      </c>
      <c r="C302" s="58" t="s">
        <v>170</v>
      </c>
      <c r="D302" s="58" t="s">
        <v>4097</v>
      </c>
      <c r="E302" s="58" t="s">
        <v>162</v>
      </c>
      <c r="F302" s="58" t="s">
        <v>3879</v>
      </c>
      <c r="G302" s="59">
        <v>46133.0</v>
      </c>
      <c r="H302" s="58" t="s">
        <v>4139</v>
      </c>
      <c r="I302" s="58" t="s">
        <v>97</v>
      </c>
      <c r="J302" s="58" t="s">
        <v>2247</v>
      </c>
      <c r="K302" s="58" t="s">
        <v>3881</v>
      </c>
      <c r="L302" s="58" t="s">
        <v>3847</v>
      </c>
    </row>
    <row r="303" ht="15.75" customHeight="1">
      <c r="A303" s="25" t="s">
        <v>616</v>
      </c>
      <c r="B303" s="26">
        <v>46094.0</v>
      </c>
      <c r="C303" s="25" t="s">
        <v>553</v>
      </c>
      <c r="D303" s="25" t="s">
        <v>4097</v>
      </c>
      <c r="E303" s="25" t="s">
        <v>74</v>
      </c>
      <c r="F303" s="25" t="s">
        <v>3844</v>
      </c>
      <c r="G303" s="26">
        <v>46119.0</v>
      </c>
      <c r="H303" s="25" t="s">
        <v>4140</v>
      </c>
      <c r="I303" s="25" t="s">
        <v>97</v>
      </c>
      <c r="J303" s="25" t="s">
        <v>2246</v>
      </c>
      <c r="K303" s="25" t="s">
        <v>3846</v>
      </c>
      <c r="L303" s="25" t="s">
        <v>3851</v>
      </c>
    </row>
    <row r="304" ht="15.75" customHeight="1">
      <c r="A304" s="58" t="s">
        <v>1158</v>
      </c>
      <c r="B304" s="59">
        <v>46074.0</v>
      </c>
      <c r="C304" s="58" t="s">
        <v>1124</v>
      </c>
      <c r="D304" s="58" t="s">
        <v>4097</v>
      </c>
      <c r="E304" s="58" t="s">
        <v>81</v>
      </c>
      <c r="F304" s="58" t="s">
        <v>3844</v>
      </c>
      <c r="G304" s="59">
        <v>46163.0</v>
      </c>
      <c r="H304" s="58" t="s">
        <v>4141</v>
      </c>
      <c r="I304" s="58" t="s">
        <v>97</v>
      </c>
      <c r="J304" s="58" t="s">
        <v>2246</v>
      </c>
      <c r="K304" s="58" t="s">
        <v>3846</v>
      </c>
      <c r="L304" s="58" t="s">
        <v>3847</v>
      </c>
    </row>
    <row r="305" ht="15.75" customHeight="1">
      <c r="A305" s="25" t="s">
        <v>371</v>
      </c>
      <c r="B305" s="26">
        <v>46092.0</v>
      </c>
      <c r="C305" s="25" t="s">
        <v>326</v>
      </c>
      <c r="D305" s="25" t="s">
        <v>4097</v>
      </c>
      <c r="E305" s="25" t="s">
        <v>74</v>
      </c>
      <c r="F305" s="25" t="s">
        <v>3844</v>
      </c>
      <c r="G305" s="26">
        <v>46177.0</v>
      </c>
      <c r="H305" s="25"/>
      <c r="I305" s="25" t="s">
        <v>97</v>
      </c>
      <c r="J305" s="25" t="s">
        <v>2247</v>
      </c>
      <c r="K305" s="25" t="s">
        <v>3848</v>
      </c>
      <c r="L305" s="25" t="s">
        <v>3851</v>
      </c>
    </row>
    <row r="306" ht="15.75" customHeight="1">
      <c r="A306" s="58" t="s">
        <v>622</v>
      </c>
      <c r="B306" s="59">
        <v>46139.0</v>
      </c>
      <c r="C306" s="58" t="s">
        <v>553</v>
      </c>
      <c r="D306" s="58" t="s">
        <v>4097</v>
      </c>
      <c r="E306" s="58" t="s">
        <v>190</v>
      </c>
      <c r="F306" s="58" t="s">
        <v>3844</v>
      </c>
      <c r="G306" s="59">
        <v>46271.0</v>
      </c>
      <c r="H306" s="58" t="s">
        <v>4142</v>
      </c>
      <c r="I306" s="58" t="s">
        <v>3853</v>
      </c>
      <c r="J306" s="58" t="s">
        <v>2247</v>
      </c>
      <c r="K306" s="58" t="s">
        <v>3854</v>
      </c>
      <c r="L306" s="58" t="s">
        <v>3847</v>
      </c>
    </row>
    <row r="307" ht="15.75" customHeight="1">
      <c r="A307" s="25" t="s">
        <v>1160</v>
      </c>
      <c r="B307" s="26">
        <v>46138.0</v>
      </c>
      <c r="C307" s="25" t="s">
        <v>1124</v>
      </c>
      <c r="D307" s="25" t="s">
        <v>4097</v>
      </c>
      <c r="E307" s="25" t="s">
        <v>190</v>
      </c>
      <c r="F307" s="25" t="s">
        <v>3844</v>
      </c>
      <c r="G307" s="26">
        <v>46213.0</v>
      </c>
      <c r="H307" s="25" t="s">
        <v>4143</v>
      </c>
      <c r="I307" s="25" t="s">
        <v>3853</v>
      </c>
      <c r="J307" s="25" t="s">
        <v>2247</v>
      </c>
      <c r="K307" s="25" t="s">
        <v>3854</v>
      </c>
      <c r="L307" s="25" t="s">
        <v>3847</v>
      </c>
    </row>
    <row r="308" ht="15.75" customHeight="1">
      <c r="A308" s="58" t="s">
        <v>375</v>
      </c>
      <c r="B308" s="59">
        <v>46040.0</v>
      </c>
      <c r="C308" s="58" t="s">
        <v>314</v>
      </c>
      <c r="D308" s="58" t="s">
        <v>4097</v>
      </c>
      <c r="E308" s="58" t="s">
        <v>81</v>
      </c>
      <c r="F308" s="58" t="s">
        <v>3844</v>
      </c>
      <c r="G308" s="59">
        <v>46123.0</v>
      </c>
      <c r="H308" s="58" t="s">
        <v>4144</v>
      </c>
      <c r="I308" s="58" t="s">
        <v>97</v>
      </c>
      <c r="J308" s="58" t="s">
        <v>2246</v>
      </c>
      <c r="K308" s="58" t="s">
        <v>3846</v>
      </c>
      <c r="L308" s="58" t="s">
        <v>3847</v>
      </c>
    </row>
    <row r="309" ht="15.75" customHeight="1">
      <c r="A309" s="25" t="s">
        <v>626</v>
      </c>
      <c r="B309" s="26">
        <v>46113.0</v>
      </c>
      <c r="C309" s="25" t="s">
        <v>550</v>
      </c>
      <c r="D309" s="25" t="s">
        <v>4097</v>
      </c>
      <c r="E309" s="25" t="s">
        <v>123</v>
      </c>
      <c r="F309" s="25" t="s">
        <v>3844</v>
      </c>
      <c r="G309" s="26">
        <v>46253.0</v>
      </c>
      <c r="H309" s="25" t="s">
        <v>4145</v>
      </c>
      <c r="I309" s="25" t="s">
        <v>3906</v>
      </c>
      <c r="J309" s="25" t="s">
        <v>2247</v>
      </c>
      <c r="K309" s="25" t="s">
        <v>3854</v>
      </c>
      <c r="L309" s="25" t="s">
        <v>3851</v>
      </c>
    </row>
    <row r="310" ht="15.75" customHeight="1">
      <c r="A310" s="58" t="s">
        <v>627</v>
      </c>
      <c r="B310" s="59">
        <v>46075.0</v>
      </c>
      <c r="C310" s="58" t="s">
        <v>550</v>
      </c>
      <c r="D310" s="58" t="s">
        <v>4097</v>
      </c>
      <c r="E310" s="58" t="s">
        <v>108</v>
      </c>
      <c r="F310" s="58" t="s">
        <v>3844</v>
      </c>
      <c r="G310" s="59">
        <v>46139.0</v>
      </c>
      <c r="H310" s="58" t="s">
        <v>4146</v>
      </c>
      <c r="I310" s="58" t="s">
        <v>97</v>
      </c>
      <c r="J310" s="58" t="s">
        <v>2246</v>
      </c>
      <c r="K310" s="58" t="s">
        <v>3846</v>
      </c>
      <c r="L310" s="58" t="s">
        <v>3847</v>
      </c>
    </row>
    <row r="311" ht="15.75" customHeight="1">
      <c r="A311" s="25" t="s">
        <v>629</v>
      </c>
      <c r="B311" s="26">
        <v>46129.0</v>
      </c>
      <c r="C311" s="25" t="s">
        <v>550</v>
      </c>
      <c r="D311" s="25" t="s">
        <v>4097</v>
      </c>
      <c r="E311" s="25" t="s">
        <v>156</v>
      </c>
      <c r="F311" s="25" t="s">
        <v>3844</v>
      </c>
      <c r="G311" s="26">
        <v>46222.0</v>
      </c>
      <c r="H311" s="25" t="s">
        <v>4147</v>
      </c>
      <c r="I311" s="25" t="s">
        <v>97</v>
      </c>
      <c r="J311" s="25" t="s">
        <v>2246</v>
      </c>
      <c r="K311" s="25" t="s">
        <v>3846</v>
      </c>
      <c r="L311" s="25" t="s">
        <v>3847</v>
      </c>
    </row>
    <row r="312" ht="15.75" customHeight="1">
      <c r="A312" s="58" t="s">
        <v>380</v>
      </c>
      <c r="B312" s="59">
        <v>46031.0</v>
      </c>
      <c r="C312" s="58" t="s">
        <v>326</v>
      </c>
      <c r="D312" s="58" t="s">
        <v>4097</v>
      </c>
      <c r="E312" s="58" t="s">
        <v>68</v>
      </c>
      <c r="F312" s="58" t="s">
        <v>3844</v>
      </c>
      <c r="G312" s="59">
        <v>46050.0</v>
      </c>
      <c r="H312" s="58" t="s">
        <v>4148</v>
      </c>
      <c r="I312" s="58" t="s">
        <v>97</v>
      </c>
      <c r="J312" s="58" t="s">
        <v>2246</v>
      </c>
      <c r="K312" s="58" t="s">
        <v>3846</v>
      </c>
      <c r="L312" s="58" t="s">
        <v>3847</v>
      </c>
    </row>
    <row r="313" ht="15.75" customHeight="1">
      <c r="A313" s="25" t="s">
        <v>630</v>
      </c>
      <c r="B313" s="26">
        <v>46096.0</v>
      </c>
      <c r="C313" s="25" t="s">
        <v>566</v>
      </c>
      <c r="D313" s="25" t="s">
        <v>4097</v>
      </c>
      <c r="E313" s="25" t="s">
        <v>102</v>
      </c>
      <c r="F313" s="25" t="s">
        <v>3844</v>
      </c>
      <c r="G313" s="26">
        <v>46222.0</v>
      </c>
      <c r="H313" s="25" t="s">
        <v>4149</v>
      </c>
      <c r="I313" s="25" t="s">
        <v>97</v>
      </c>
      <c r="J313" s="25" t="s">
        <v>2246</v>
      </c>
      <c r="K313" s="25" t="s">
        <v>3846</v>
      </c>
      <c r="L313" s="25" t="s">
        <v>3855</v>
      </c>
    </row>
    <row r="314" ht="15.75" customHeight="1">
      <c r="A314" s="58" t="s">
        <v>631</v>
      </c>
      <c r="B314" s="59">
        <v>46083.0</v>
      </c>
      <c r="C314" s="58" t="s">
        <v>553</v>
      </c>
      <c r="D314" s="58" t="s">
        <v>4097</v>
      </c>
      <c r="E314" s="58" t="s">
        <v>74</v>
      </c>
      <c r="F314" s="58" t="s">
        <v>3844</v>
      </c>
      <c r="G314" s="59">
        <v>46192.0</v>
      </c>
      <c r="H314" s="58" t="s">
        <v>4150</v>
      </c>
      <c r="I314" s="58" t="s">
        <v>97</v>
      </c>
      <c r="J314" s="58" t="s">
        <v>2246</v>
      </c>
      <c r="K314" s="58" t="s">
        <v>3846</v>
      </c>
      <c r="L314" s="58" t="s">
        <v>3855</v>
      </c>
    </row>
    <row r="315" ht="15.75" customHeight="1">
      <c r="A315" s="25" t="s">
        <v>241</v>
      </c>
      <c r="B315" s="26">
        <v>46023.0</v>
      </c>
      <c r="C315" s="25" t="s">
        <v>170</v>
      </c>
      <c r="D315" s="25" t="s">
        <v>4097</v>
      </c>
      <c r="E315" s="25" t="s">
        <v>71</v>
      </c>
      <c r="F315" s="25" t="s">
        <v>3857</v>
      </c>
      <c r="G315" s="26">
        <v>46174.0</v>
      </c>
      <c r="H315" s="25" t="s">
        <v>4151</v>
      </c>
      <c r="I315" s="25" t="s">
        <v>97</v>
      </c>
      <c r="J315" s="25" t="s">
        <v>2246</v>
      </c>
      <c r="K315" s="25" t="s">
        <v>3846</v>
      </c>
      <c r="L315" s="25" t="s">
        <v>3855</v>
      </c>
    </row>
    <row r="316" ht="15.75" customHeight="1">
      <c r="A316" s="58" t="s">
        <v>634</v>
      </c>
      <c r="B316" s="59">
        <v>46034.0</v>
      </c>
      <c r="C316" s="58" t="s">
        <v>553</v>
      </c>
      <c r="D316" s="58" t="s">
        <v>4097</v>
      </c>
      <c r="E316" s="58" t="s">
        <v>78</v>
      </c>
      <c r="F316" s="58" t="s">
        <v>3844</v>
      </c>
      <c r="G316" s="59">
        <v>46088.0</v>
      </c>
      <c r="H316" s="58" t="s">
        <v>4152</v>
      </c>
      <c r="I316" s="58" t="s">
        <v>97</v>
      </c>
      <c r="J316" s="58" t="s">
        <v>2246</v>
      </c>
      <c r="K316" s="58" t="s">
        <v>3846</v>
      </c>
      <c r="L316" s="58" t="s">
        <v>3847</v>
      </c>
    </row>
    <row r="317" ht="15.75" customHeight="1">
      <c r="A317" s="25" t="s">
        <v>635</v>
      </c>
      <c r="B317" s="26">
        <v>46121.0</v>
      </c>
      <c r="C317" s="25" t="s">
        <v>566</v>
      </c>
      <c r="D317" s="25" t="s">
        <v>4097</v>
      </c>
      <c r="E317" s="25" t="s">
        <v>81</v>
      </c>
      <c r="F317" s="25" t="s">
        <v>3844</v>
      </c>
      <c r="G317" s="26">
        <v>46215.0</v>
      </c>
      <c r="H317" s="25"/>
      <c r="I317" s="25" t="s">
        <v>97</v>
      </c>
      <c r="J317" s="25" t="s">
        <v>2247</v>
      </c>
      <c r="K317" s="25" t="s">
        <v>3848</v>
      </c>
      <c r="L317" s="25" t="s">
        <v>3851</v>
      </c>
    </row>
    <row r="318" ht="15.75" customHeight="1">
      <c r="A318" s="58" t="s">
        <v>387</v>
      </c>
      <c r="B318" s="59">
        <v>46038.0</v>
      </c>
      <c r="C318" s="58" t="s">
        <v>326</v>
      </c>
      <c r="D318" s="58" t="s">
        <v>4097</v>
      </c>
      <c r="E318" s="58" t="s">
        <v>110</v>
      </c>
      <c r="F318" s="58" t="s">
        <v>3844</v>
      </c>
      <c r="G318" s="59">
        <v>46078.0</v>
      </c>
      <c r="H318" s="58" t="s">
        <v>4153</v>
      </c>
      <c r="I318" s="58" t="s">
        <v>97</v>
      </c>
      <c r="J318" s="58" t="s">
        <v>2246</v>
      </c>
      <c r="K318" s="58" t="s">
        <v>3846</v>
      </c>
      <c r="L318" s="58" t="s">
        <v>3851</v>
      </c>
    </row>
    <row r="319" ht="15.75" customHeight="1">
      <c r="A319" s="25" t="s">
        <v>639</v>
      </c>
      <c r="B319" s="26">
        <v>46103.0</v>
      </c>
      <c r="C319" s="25" t="s">
        <v>550</v>
      </c>
      <c r="D319" s="25" t="s">
        <v>4097</v>
      </c>
      <c r="E319" s="25" t="s">
        <v>110</v>
      </c>
      <c r="F319" s="25" t="s">
        <v>3844</v>
      </c>
      <c r="G319" s="26">
        <v>46205.0</v>
      </c>
      <c r="H319" s="25" t="s">
        <v>4154</v>
      </c>
      <c r="I319" s="25" t="s">
        <v>97</v>
      </c>
      <c r="J319" s="25" t="s">
        <v>2246</v>
      </c>
      <c r="K319" s="25" t="s">
        <v>3846</v>
      </c>
      <c r="L319" s="25" t="s">
        <v>3855</v>
      </c>
    </row>
    <row r="320" ht="15.75" customHeight="1">
      <c r="A320" s="58" t="s">
        <v>641</v>
      </c>
      <c r="B320" s="59">
        <v>46096.0</v>
      </c>
      <c r="C320" s="58" t="s">
        <v>550</v>
      </c>
      <c r="D320" s="58" t="s">
        <v>4097</v>
      </c>
      <c r="E320" s="58" t="s">
        <v>154</v>
      </c>
      <c r="F320" s="58" t="s">
        <v>3844</v>
      </c>
      <c r="G320" s="59">
        <v>46230.0</v>
      </c>
      <c r="H320" s="58" t="s">
        <v>4155</v>
      </c>
      <c r="I320" s="58" t="s">
        <v>97</v>
      </c>
      <c r="J320" s="58" t="s">
        <v>2246</v>
      </c>
      <c r="K320" s="58" t="s">
        <v>3846</v>
      </c>
      <c r="L320" s="58" t="s">
        <v>3847</v>
      </c>
    </row>
    <row r="321" ht="15.75" customHeight="1">
      <c r="A321" s="25" t="s">
        <v>245</v>
      </c>
      <c r="B321" s="26">
        <v>46073.0</v>
      </c>
      <c r="C321" s="25" t="s">
        <v>170</v>
      </c>
      <c r="D321" s="25" t="s">
        <v>4097</v>
      </c>
      <c r="E321" s="25" t="s">
        <v>190</v>
      </c>
      <c r="F321" s="25" t="s">
        <v>3844</v>
      </c>
      <c r="G321" s="26">
        <v>46181.0</v>
      </c>
      <c r="H321" s="25" t="s">
        <v>4156</v>
      </c>
      <c r="I321" s="25" t="s">
        <v>3853</v>
      </c>
      <c r="J321" s="25" t="s">
        <v>2247</v>
      </c>
      <c r="K321" s="25" t="s">
        <v>3854</v>
      </c>
      <c r="L321" s="25" t="s">
        <v>3855</v>
      </c>
    </row>
    <row r="322" ht="15.75" customHeight="1">
      <c r="A322" s="58" t="s">
        <v>642</v>
      </c>
      <c r="B322" s="59">
        <v>46132.0</v>
      </c>
      <c r="C322" s="58" t="s">
        <v>553</v>
      </c>
      <c r="D322" s="58" t="s">
        <v>4097</v>
      </c>
      <c r="E322" s="58" t="s">
        <v>74</v>
      </c>
      <c r="F322" s="58" t="s">
        <v>3913</v>
      </c>
      <c r="G322" s="59">
        <v>46129.0</v>
      </c>
      <c r="H322" s="58" t="s">
        <v>4157</v>
      </c>
      <c r="I322" s="58" t="s">
        <v>97</v>
      </c>
      <c r="J322" s="58" t="s">
        <v>2247</v>
      </c>
      <c r="K322" s="58" t="s">
        <v>3881</v>
      </c>
      <c r="L322" s="58" t="s">
        <v>3851</v>
      </c>
    </row>
    <row r="323" ht="15.75" customHeight="1">
      <c r="A323" s="25" t="s">
        <v>395</v>
      </c>
      <c r="B323" s="26">
        <v>46116.0</v>
      </c>
      <c r="C323" s="25" t="s">
        <v>314</v>
      </c>
      <c r="D323" s="25" t="s">
        <v>4097</v>
      </c>
      <c r="E323" s="25" t="s">
        <v>108</v>
      </c>
      <c r="F323" s="25" t="s">
        <v>3844</v>
      </c>
      <c r="G323" s="26">
        <v>46212.0</v>
      </c>
      <c r="H323" s="25" t="s">
        <v>4158</v>
      </c>
      <c r="I323" s="25" t="s">
        <v>97</v>
      </c>
      <c r="J323" s="25" t="s">
        <v>2246</v>
      </c>
      <c r="K323" s="25" t="s">
        <v>3846</v>
      </c>
      <c r="L323" s="25" t="s">
        <v>3847</v>
      </c>
    </row>
    <row r="324" ht="15.75" customHeight="1">
      <c r="A324" s="58" t="s">
        <v>646</v>
      </c>
      <c r="B324" s="59">
        <v>46119.0</v>
      </c>
      <c r="C324" s="58" t="s">
        <v>553</v>
      </c>
      <c r="D324" s="58" t="s">
        <v>4097</v>
      </c>
      <c r="E324" s="58" t="s">
        <v>64</v>
      </c>
      <c r="F324" s="58" t="s">
        <v>3844</v>
      </c>
      <c r="G324" s="59">
        <v>46137.0</v>
      </c>
      <c r="H324" s="58" t="s">
        <v>4159</v>
      </c>
      <c r="I324" s="58" t="s">
        <v>97</v>
      </c>
      <c r="J324" s="58" t="s">
        <v>2246</v>
      </c>
      <c r="K324" s="58" t="s">
        <v>3846</v>
      </c>
      <c r="L324" s="58" t="s">
        <v>3855</v>
      </c>
    </row>
    <row r="325" ht="15.75" customHeight="1">
      <c r="A325" s="25" t="s">
        <v>1110</v>
      </c>
      <c r="B325" s="26">
        <v>46070.0</v>
      </c>
      <c r="C325" s="25" t="s">
        <v>1077</v>
      </c>
      <c r="D325" s="25" t="s">
        <v>4097</v>
      </c>
      <c r="E325" s="25" t="s">
        <v>102</v>
      </c>
      <c r="F325" s="25" t="s">
        <v>3844</v>
      </c>
      <c r="G325" s="26">
        <v>46199.0</v>
      </c>
      <c r="H325" s="25" t="s">
        <v>4160</v>
      </c>
      <c r="I325" s="25" t="s">
        <v>97</v>
      </c>
      <c r="J325" s="25" t="s">
        <v>2246</v>
      </c>
      <c r="K325" s="25" t="s">
        <v>3846</v>
      </c>
      <c r="L325" s="25" t="s">
        <v>3855</v>
      </c>
    </row>
    <row r="326" ht="15.75" customHeight="1">
      <c r="A326" s="58" t="s">
        <v>648</v>
      </c>
      <c r="B326" s="59">
        <v>46097.0</v>
      </c>
      <c r="C326" s="58" t="s">
        <v>566</v>
      </c>
      <c r="D326" s="58" t="s">
        <v>4097</v>
      </c>
      <c r="E326" s="58" t="s">
        <v>115</v>
      </c>
      <c r="F326" s="58" t="s">
        <v>3844</v>
      </c>
      <c r="G326" s="59">
        <v>46175.0</v>
      </c>
      <c r="H326" s="58" t="s">
        <v>4161</v>
      </c>
      <c r="I326" s="58" t="s">
        <v>97</v>
      </c>
      <c r="J326" s="58" t="s">
        <v>2246</v>
      </c>
      <c r="K326" s="58" t="s">
        <v>3846</v>
      </c>
      <c r="L326" s="58" t="s">
        <v>3847</v>
      </c>
    </row>
    <row r="327" ht="15.75" customHeight="1">
      <c r="A327" s="25" t="s">
        <v>651</v>
      </c>
      <c r="B327" s="26">
        <v>46133.0</v>
      </c>
      <c r="C327" s="25" t="s">
        <v>553</v>
      </c>
      <c r="D327" s="25" t="s">
        <v>4097</v>
      </c>
      <c r="E327" s="25" t="s">
        <v>190</v>
      </c>
      <c r="F327" s="25" t="s">
        <v>3844</v>
      </c>
      <c r="G327" s="26">
        <v>46140.0</v>
      </c>
      <c r="H327" s="25" t="s">
        <v>4162</v>
      </c>
      <c r="I327" s="25" t="s">
        <v>3853</v>
      </c>
      <c r="J327" s="25" t="s">
        <v>2247</v>
      </c>
      <c r="K327" s="25" t="s">
        <v>3854</v>
      </c>
      <c r="L327" s="25" t="s">
        <v>3855</v>
      </c>
    </row>
    <row r="328" ht="15.75" customHeight="1">
      <c r="A328" s="58" t="s">
        <v>403</v>
      </c>
      <c r="B328" s="59">
        <v>46063.0</v>
      </c>
      <c r="C328" s="58" t="s">
        <v>314</v>
      </c>
      <c r="D328" s="58" t="s">
        <v>4097</v>
      </c>
      <c r="E328" s="58" t="s">
        <v>110</v>
      </c>
      <c r="F328" s="58" t="s">
        <v>3844</v>
      </c>
      <c r="G328" s="59">
        <v>46078.0</v>
      </c>
      <c r="H328" s="58" t="s">
        <v>4163</v>
      </c>
      <c r="I328" s="58" t="s">
        <v>97</v>
      </c>
      <c r="J328" s="58" t="s">
        <v>2246</v>
      </c>
      <c r="K328" s="58" t="s">
        <v>3846</v>
      </c>
      <c r="L328" s="58" t="s">
        <v>3855</v>
      </c>
    </row>
    <row r="329" ht="15.75" customHeight="1">
      <c r="A329" s="25" t="s">
        <v>250</v>
      </c>
      <c r="B329" s="26">
        <v>46111.0</v>
      </c>
      <c r="C329" s="25" t="s">
        <v>177</v>
      </c>
      <c r="D329" s="25" t="s">
        <v>4097</v>
      </c>
      <c r="E329" s="25" t="s">
        <v>95</v>
      </c>
      <c r="F329" s="25" t="s">
        <v>3844</v>
      </c>
      <c r="G329" s="26">
        <v>46266.0</v>
      </c>
      <c r="H329" s="25"/>
      <c r="I329" s="25" t="s">
        <v>97</v>
      </c>
      <c r="J329" s="25" t="s">
        <v>2247</v>
      </c>
      <c r="K329" s="25" t="s">
        <v>3848</v>
      </c>
      <c r="L329" s="25" t="s">
        <v>3855</v>
      </c>
    </row>
    <row r="330" ht="15.75" customHeight="1">
      <c r="A330" s="58" t="s">
        <v>252</v>
      </c>
      <c r="B330" s="59">
        <v>46128.0</v>
      </c>
      <c r="C330" s="58" t="s">
        <v>170</v>
      </c>
      <c r="D330" s="58" t="s">
        <v>4097</v>
      </c>
      <c r="E330" s="58" t="s">
        <v>78</v>
      </c>
      <c r="F330" s="58" t="s">
        <v>3857</v>
      </c>
      <c r="G330" s="59">
        <v>46167.0</v>
      </c>
      <c r="H330" s="58" t="s">
        <v>4164</v>
      </c>
      <c r="I330" s="58" t="s">
        <v>97</v>
      </c>
      <c r="J330" s="58" t="s">
        <v>2246</v>
      </c>
      <c r="K330" s="58" t="s">
        <v>3846</v>
      </c>
      <c r="L330" s="58" t="s">
        <v>3847</v>
      </c>
    </row>
    <row r="331" ht="15.75" customHeight="1">
      <c r="A331" s="25" t="s">
        <v>658</v>
      </c>
      <c r="B331" s="26">
        <v>46067.0</v>
      </c>
      <c r="C331" s="25" t="s">
        <v>566</v>
      </c>
      <c r="D331" s="25" t="s">
        <v>4097</v>
      </c>
      <c r="E331" s="25" t="s">
        <v>78</v>
      </c>
      <c r="F331" s="25" t="s">
        <v>3844</v>
      </c>
      <c r="G331" s="26">
        <v>46201.0</v>
      </c>
      <c r="H331" s="25" t="s">
        <v>4165</v>
      </c>
      <c r="I331" s="25" t="s">
        <v>97</v>
      </c>
      <c r="J331" s="25" t="s">
        <v>2246</v>
      </c>
      <c r="K331" s="25" t="s">
        <v>3846</v>
      </c>
      <c r="L331" s="25" t="s">
        <v>3855</v>
      </c>
    </row>
    <row r="332" ht="15.75" customHeight="1">
      <c r="A332" s="58" t="s">
        <v>255</v>
      </c>
      <c r="B332" s="59">
        <v>46064.0</v>
      </c>
      <c r="C332" s="58" t="s">
        <v>177</v>
      </c>
      <c r="D332" s="58" t="s">
        <v>4097</v>
      </c>
      <c r="E332" s="58" t="s">
        <v>102</v>
      </c>
      <c r="F332" s="58" t="s">
        <v>3844</v>
      </c>
      <c r="G332" s="59">
        <v>46159.0</v>
      </c>
      <c r="H332" s="58" t="s">
        <v>4166</v>
      </c>
      <c r="I332" s="58" t="s">
        <v>97</v>
      </c>
      <c r="J332" s="58" t="s">
        <v>2246</v>
      </c>
      <c r="K332" s="58" t="s">
        <v>3846</v>
      </c>
      <c r="L332" s="58" t="s">
        <v>3847</v>
      </c>
    </row>
    <row r="333" ht="15.75" customHeight="1">
      <c r="A333" s="25" t="s">
        <v>257</v>
      </c>
      <c r="B333" s="26">
        <v>46101.0</v>
      </c>
      <c r="C333" s="25" t="s">
        <v>170</v>
      </c>
      <c r="D333" s="25" t="s">
        <v>4097</v>
      </c>
      <c r="E333" s="25" t="s">
        <v>68</v>
      </c>
      <c r="F333" s="25" t="s">
        <v>3844</v>
      </c>
      <c r="G333" s="26">
        <v>46083.0</v>
      </c>
      <c r="H333" s="25" t="s">
        <v>4167</v>
      </c>
      <c r="I333" s="25" t="s">
        <v>3906</v>
      </c>
      <c r="J333" s="25" t="s">
        <v>2247</v>
      </c>
      <c r="K333" s="25" t="s">
        <v>3854</v>
      </c>
      <c r="L333" s="25" t="s">
        <v>3855</v>
      </c>
    </row>
    <row r="334" ht="15.75" customHeight="1">
      <c r="A334" s="58" t="s">
        <v>1183</v>
      </c>
      <c r="B334" s="59">
        <v>46024.0</v>
      </c>
      <c r="C334" s="58" t="s">
        <v>1124</v>
      </c>
      <c r="D334" s="58" t="s">
        <v>4097</v>
      </c>
      <c r="E334" s="58" t="s">
        <v>92</v>
      </c>
      <c r="F334" s="58" t="s">
        <v>3844</v>
      </c>
      <c r="G334" s="59">
        <v>46138.0</v>
      </c>
      <c r="H334" s="58" t="s">
        <v>4168</v>
      </c>
      <c r="I334" s="58" t="s">
        <v>3853</v>
      </c>
      <c r="J334" s="58" t="s">
        <v>2247</v>
      </c>
      <c r="K334" s="58" t="s">
        <v>3854</v>
      </c>
      <c r="L334" s="58" t="s">
        <v>3847</v>
      </c>
    </row>
    <row r="335" ht="15.75" customHeight="1">
      <c r="A335" s="25" t="s">
        <v>1186</v>
      </c>
      <c r="B335" s="26">
        <v>46068.0</v>
      </c>
      <c r="C335" s="25" t="s">
        <v>1124</v>
      </c>
      <c r="D335" s="25" t="s">
        <v>4097</v>
      </c>
      <c r="E335" s="25" t="s">
        <v>156</v>
      </c>
      <c r="F335" s="25" t="s">
        <v>3857</v>
      </c>
      <c r="G335" s="26">
        <v>46136.0</v>
      </c>
      <c r="H335" s="25" t="s">
        <v>4169</v>
      </c>
      <c r="I335" s="25" t="s">
        <v>3906</v>
      </c>
      <c r="J335" s="25" t="s">
        <v>2247</v>
      </c>
      <c r="K335" s="25" t="s">
        <v>3854</v>
      </c>
      <c r="L335" s="25" t="s">
        <v>3851</v>
      </c>
    </row>
    <row r="336" ht="15.75" customHeight="1">
      <c r="A336" s="58" t="s">
        <v>662</v>
      </c>
      <c r="B336" s="59">
        <v>46080.0</v>
      </c>
      <c r="C336" s="58" t="s">
        <v>566</v>
      </c>
      <c r="D336" s="58" t="s">
        <v>4097</v>
      </c>
      <c r="E336" s="58" t="s">
        <v>106</v>
      </c>
      <c r="F336" s="58" t="s">
        <v>3844</v>
      </c>
      <c r="G336" s="59">
        <v>46239.0</v>
      </c>
      <c r="H336" s="58" t="s">
        <v>4170</v>
      </c>
      <c r="I336" s="58" t="s">
        <v>97</v>
      </c>
      <c r="J336" s="58" t="s">
        <v>2246</v>
      </c>
      <c r="K336" s="58" t="s">
        <v>3846</v>
      </c>
      <c r="L336" s="58" t="s">
        <v>3847</v>
      </c>
    </row>
    <row r="337" ht="15.75" customHeight="1">
      <c r="A337" s="25" t="s">
        <v>667</v>
      </c>
      <c r="B337" s="26">
        <v>46076.0</v>
      </c>
      <c r="C337" s="25" t="s">
        <v>566</v>
      </c>
      <c r="D337" s="25" t="s">
        <v>4097</v>
      </c>
      <c r="E337" s="25" t="s">
        <v>64</v>
      </c>
      <c r="F337" s="25" t="s">
        <v>3879</v>
      </c>
      <c r="G337" s="26">
        <v>46096.0</v>
      </c>
      <c r="H337" s="25" t="s">
        <v>4171</v>
      </c>
      <c r="I337" s="25" t="s">
        <v>97</v>
      </c>
      <c r="J337" s="25" t="s">
        <v>2247</v>
      </c>
      <c r="K337" s="25" t="s">
        <v>3881</v>
      </c>
      <c r="L337" s="25" t="s">
        <v>3847</v>
      </c>
    </row>
    <row r="338" ht="15.75" customHeight="1">
      <c r="A338" s="58" t="s">
        <v>418</v>
      </c>
      <c r="B338" s="59">
        <v>46120.0</v>
      </c>
      <c r="C338" s="58" t="s">
        <v>314</v>
      </c>
      <c r="D338" s="58" t="s">
        <v>4097</v>
      </c>
      <c r="E338" s="58" t="s">
        <v>90</v>
      </c>
      <c r="F338" s="58" t="s">
        <v>3844</v>
      </c>
      <c r="G338" s="59">
        <v>46106.0</v>
      </c>
      <c r="H338" s="58" t="s">
        <v>4172</v>
      </c>
      <c r="I338" s="58" t="s">
        <v>97</v>
      </c>
      <c r="J338" s="58" t="s">
        <v>2246</v>
      </c>
      <c r="K338" s="58" t="s">
        <v>3846</v>
      </c>
      <c r="L338" s="58" t="s">
        <v>3851</v>
      </c>
    </row>
    <row r="339" ht="15.75" customHeight="1">
      <c r="A339" s="25" t="s">
        <v>670</v>
      </c>
      <c r="B339" s="26">
        <v>46047.0</v>
      </c>
      <c r="C339" s="25" t="s">
        <v>553</v>
      </c>
      <c r="D339" s="25" t="s">
        <v>4097</v>
      </c>
      <c r="E339" s="25" t="s">
        <v>68</v>
      </c>
      <c r="F339" s="25" t="s">
        <v>3844</v>
      </c>
      <c r="G339" s="26">
        <v>46093.0</v>
      </c>
      <c r="H339" s="25" t="s">
        <v>4173</v>
      </c>
      <c r="I339" s="25" t="s">
        <v>97</v>
      </c>
      <c r="J339" s="25" t="s">
        <v>2246</v>
      </c>
      <c r="K339" s="25" t="s">
        <v>3846</v>
      </c>
      <c r="L339" s="25" t="s">
        <v>3847</v>
      </c>
    </row>
    <row r="340" ht="15.75" customHeight="1">
      <c r="A340" s="58" t="s">
        <v>1189</v>
      </c>
      <c r="B340" s="59">
        <v>46089.0</v>
      </c>
      <c r="C340" s="58" t="s">
        <v>1124</v>
      </c>
      <c r="D340" s="58" t="s">
        <v>4097</v>
      </c>
      <c r="E340" s="58" t="s">
        <v>92</v>
      </c>
      <c r="F340" s="58" t="s">
        <v>3844</v>
      </c>
      <c r="G340" s="59">
        <v>46144.0</v>
      </c>
      <c r="H340" s="58" t="s">
        <v>4174</v>
      </c>
      <c r="I340" s="58" t="s">
        <v>3853</v>
      </c>
      <c r="J340" s="58" t="s">
        <v>2247</v>
      </c>
      <c r="K340" s="58" t="s">
        <v>3854</v>
      </c>
      <c r="L340" s="58" t="s">
        <v>3847</v>
      </c>
    </row>
    <row r="341" ht="15.75" customHeight="1">
      <c r="A341" s="25" t="s">
        <v>266</v>
      </c>
      <c r="B341" s="26">
        <v>46102.0</v>
      </c>
      <c r="C341" s="25" t="s">
        <v>170</v>
      </c>
      <c r="D341" s="25" t="s">
        <v>4097</v>
      </c>
      <c r="E341" s="25" t="s">
        <v>71</v>
      </c>
      <c r="F341" s="25" t="s">
        <v>3844</v>
      </c>
      <c r="G341" s="26">
        <v>46086.0</v>
      </c>
      <c r="H341" s="25"/>
      <c r="I341" s="25" t="s">
        <v>97</v>
      </c>
      <c r="J341" s="25" t="s">
        <v>2247</v>
      </c>
      <c r="K341" s="25" t="s">
        <v>3848</v>
      </c>
      <c r="L341" s="25" t="s">
        <v>3855</v>
      </c>
    </row>
    <row r="342" ht="15.75" customHeight="1">
      <c r="A342" s="58" t="s">
        <v>424</v>
      </c>
      <c r="B342" s="59">
        <v>46080.0</v>
      </c>
      <c r="C342" s="58" t="s">
        <v>326</v>
      </c>
      <c r="D342" s="58" t="s">
        <v>4097</v>
      </c>
      <c r="E342" s="58" t="s">
        <v>64</v>
      </c>
      <c r="F342" s="58" t="s">
        <v>3844</v>
      </c>
      <c r="G342" s="59">
        <v>46132.0</v>
      </c>
      <c r="H342" s="58" t="s">
        <v>4175</v>
      </c>
      <c r="I342" s="58" t="s">
        <v>97</v>
      </c>
      <c r="J342" s="58" t="s">
        <v>2246</v>
      </c>
      <c r="K342" s="58" t="s">
        <v>3846</v>
      </c>
      <c r="L342" s="58" t="s">
        <v>3851</v>
      </c>
    </row>
    <row r="343" ht="15.75" customHeight="1">
      <c r="A343" s="25" t="s">
        <v>677</v>
      </c>
      <c r="B343" s="26">
        <v>46031.0</v>
      </c>
      <c r="C343" s="25" t="s">
        <v>566</v>
      </c>
      <c r="D343" s="25" t="s">
        <v>4097</v>
      </c>
      <c r="E343" s="25" t="s">
        <v>74</v>
      </c>
      <c r="F343" s="25" t="s">
        <v>3844</v>
      </c>
      <c r="G343" s="26">
        <v>46111.0</v>
      </c>
      <c r="H343" s="25" t="s">
        <v>4176</v>
      </c>
      <c r="I343" s="25" t="s">
        <v>97</v>
      </c>
      <c r="J343" s="25" t="s">
        <v>2246</v>
      </c>
      <c r="K343" s="25" t="s">
        <v>3846</v>
      </c>
      <c r="L343" s="25" t="s">
        <v>3851</v>
      </c>
    </row>
    <row r="344" ht="15.75" customHeight="1">
      <c r="A344" s="58" t="s">
        <v>1193</v>
      </c>
      <c r="B344" s="59">
        <v>46023.0</v>
      </c>
      <c r="C344" s="58" t="s">
        <v>1124</v>
      </c>
      <c r="D344" s="58" t="s">
        <v>4097</v>
      </c>
      <c r="E344" s="58" t="s">
        <v>71</v>
      </c>
      <c r="F344" s="58" t="s">
        <v>3844</v>
      </c>
      <c r="G344" s="59">
        <v>46096.0</v>
      </c>
      <c r="H344" s="58" t="s">
        <v>4177</v>
      </c>
      <c r="I344" s="58" t="s">
        <v>97</v>
      </c>
      <c r="J344" s="58" t="s">
        <v>2246</v>
      </c>
      <c r="K344" s="58" t="s">
        <v>3846</v>
      </c>
      <c r="L344" s="58" t="s">
        <v>3855</v>
      </c>
    </row>
    <row r="345" ht="15.75" customHeight="1">
      <c r="A345" s="25" t="s">
        <v>843</v>
      </c>
      <c r="B345" s="26">
        <v>46079.0</v>
      </c>
      <c r="C345" s="25" t="s">
        <v>741</v>
      </c>
      <c r="D345" s="25" t="s">
        <v>4097</v>
      </c>
      <c r="E345" s="25" t="s">
        <v>71</v>
      </c>
      <c r="F345" s="25" t="s">
        <v>3844</v>
      </c>
      <c r="G345" s="26">
        <v>46195.0</v>
      </c>
      <c r="H345" s="25" t="s">
        <v>4178</v>
      </c>
      <c r="I345" s="25" t="s">
        <v>97</v>
      </c>
      <c r="J345" s="25" t="s">
        <v>2246</v>
      </c>
      <c r="K345" s="25" t="s">
        <v>3846</v>
      </c>
      <c r="L345" s="25" t="s">
        <v>3847</v>
      </c>
    </row>
    <row r="346" ht="15.75" customHeight="1">
      <c r="A346" s="58" t="s">
        <v>274</v>
      </c>
      <c r="B346" s="59">
        <v>46100.0</v>
      </c>
      <c r="C346" s="58" t="s">
        <v>170</v>
      </c>
      <c r="D346" s="58" t="s">
        <v>4097</v>
      </c>
      <c r="E346" s="58" t="s">
        <v>154</v>
      </c>
      <c r="F346" s="58" t="s">
        <v>3844</v>
      </c>
      <c r="G346" s="59">
        <v>46132.0</v>
      </c>
      <c r="H346" s="58" t="s">
        <v>4179</v>
      </c>
      <c r="I346" s="58" t="s">
        <v>97</v>
      </c>
      <c r="J346" s="58" t="s">
        <v>2246</v>
      </c>
      <c r="K346" s="58" t="s">
        <v>3846</v>
      </c>
      <c r="L346" s="58" t="s">
        <v>3855</v>
      </c>
    </row>
    <row r="347" ht="15.75" customHeight="1">
      <c r="A347" s="25" t="s">
        <v>278</v>
      </c>
      <c r="B347" s="26">
        <v>46127.0</v>
      </c>
      <c r="C347" s="25" t="s">
        <v>177</v>
      </c>
      <c r="D347" s="25" t="s">
        <v>4097</v>
      </c>
      <c r="E347" s="25" t="s">
        <v>68</v>
      </c>
      <c r="F347" s="25" t="s">
        <v>3857</v>
      </c>
      <c r="G347" s="26">
        <v>46249.0</v>
      </c>
      <c r="H347" s="25" t="s">
        <v>4180</v>
      </c>
      <c r="I347" s="25" t="s">
        <v>97</v>
      </c>
      <c r="J347" s="25" t="s">
        <v>2246</v>
      </c>
      <c r="K347" s="25" t="s">
        <v>3846</v>
      </c>
      <c r="L347" s="25" t="s">
        <v>3855</v>
      </c>
    </row>
    <row r="348" ht="15.75" customHeight="1">
      <c r="A348" s="58" t="s">
        <v>433</v>
      </c>
      <c r="B348" s="59">
        <v>46037.0</v>
      </c>
      <c r="C348" s="58" t="s">
        <v>314</v>
      </c>
      <c r="D348" s="58" t="s">
        <v>4097</v>
      </c>
      <c r="E348" s="58" t="s">
        <v>74</v>
      </c>
      <c r="F348" s="58" t="s">
        <v>3844</v>
      </c>
      <c r="G348" s="59">
        <v>46056.0</v>
      </c>
      <c r="H348" s="58" t="s">
        <v>4181</v>
      </c>
      <c r="I348" s="58" t="s">
        <v>97</v>
      </c>
      <c r="J348" s="58" t="s">
        <v>2246</v>
      </c>
      <c r="K348" s="58" t="s">
        <v>3846</v>
      </c>
      <c r="L348" s="58" t="s">
        <v>3851</v>
      </c>
    </row>
    <row r="349" ht="15.75" customHeight="1">
      <c r="A349" s="25" t="s">
        <v>1119</v>
      </c>
      <c r="B349" s="26">
        <v>46107.0</v>
      </c>
      <c r="C349" s="25" t="s">
        <v>1077</v>
      </c>
      <c r="D349" s="25" t="s">
        <v>4097</v>
      </c>
      <c r="E349" s="25" t="s">
        <v>102</v>
      </c>
      <c r="F349" s="25" t="s">
        <v>3857</v>
      </c>
      <c r="G349" s="26">
        <v>46253.0</v>
      </c>
      <c r="H349" s="25" t="s">
        <v>4182</v>
      </c>
      <c r="I349" s="25" t="s">
        <v>97</v>
      </c>
      <c r="J349" s="25" t="s">
        <v>2246</v>
      </c>
      <c r="K349" s="25" t="s">
        <v>3846</v>
      </c>
      <c r="L349" s="25" t="s">
        <v>3851</v>
      </c>
    </row>
    <row r="350" ht="15.75" customHeight="1">
      <c r="A350" s="58" t="s">
        <v>689</v>
      </c>
      <c r="B350" s="59">
        <v>46095.0</v>
      </c>
      <c r="C350" s="58" t="s">
        <v>566</v>
      </c>
      <c r="D350" s="58" t="s">
        <v>4097</v>
      </c>
      <c r="E350" s="58" t="s">
        <v>106</v>
      </c>
      <c r="F350" s="58" t="s">
        <v>3844</v>
      </c>
      <c r="G350" s="59">
        <v>46094.0</v>
      </c>
      <c r="H350" s="58" t="s">
        <v>4183</v>
      </c>
      <c r="I350" s="58" t="s">
        <v>3906</v>
      </c>
      <c r="J350" s="58" t="s">
        <v>2247</v>
      </c>
      <c r="K350" s="58" t="s">
        <v>3854</v>
      </c>
      <c r="L350" s="58" t="s">
        <v>3847</v>
      </c>
    </row>
    <row r="351" ht="15.75" customHeight="1">
      <c r="A351" s="25" t="s">
        <v>440</v>
      </c>
      <c r="B351" s="26">
        <v>46060.0</v>
      </c>
      <c r="C351" s="25" t="s">
        <v>314</v>
      </c>
      <c r="D351" s="25" t="s">
        <v>4097</v>
      </c>
      <c r="E351" s="25" t="s">
        <v>71</v>
      </c>
      <c r="F351" s="25" t="s">
        <v>3844</v>
      </c>
      <c r="G351" s="26">
        <v>46060.0</v>
      </c>
      <c r="H351" s="25" t="s">
        <v>4184</v>
      </c>
      <c r="I351" s="25" t="s">
        <v>97</v>
      </c>
      <c r="J351" s="25" t="s">
        <v>2246</v>
      </c>
      <c r="K351" s="25" t="s">
        <v>3846</v>
      </c>
      <c r="L351" s="25" t="s">
        <v>3855</v>
      </c>
    </row>
    <row r="352" ht="15.75" customHeight="1">
      <c r="A352" s="58" t="s">
        <v>694</v>
      </c>
      <c r="B352" s="59">
        <v>46034.0</v>
      </c>
      <c r="C352" s="58" t="s">
        <v>566</v>
      </c>
      <c r="D352" s="58" t="s">
        <v>4097</v>
      </c>
      <c r="E352" s="58" t="s">
        <v>90</v>
      </c>
      <c r="F352" s="58" t="s">
        <v>3844</v>
      </c>
      <c r="G352" s="59">
        <v>46068.0</v>
      </c>
      <c r="H352" s="58" t="s">
        <v>4185</v>
      </c>
      <c r="I352" s="58" t="s">
        <v>97</v>
      </c>
      <c r="J352" s="58" t="s">
        <v>2246</v>
      </c>
      <c r="K352" s="58" t="s">
        <v>3846</v>
      </c>
      <c r="L352" s="58" t="s">
        <v>3851</v>
      </c>
    </row>
    <row r="353" ht="15.75" customHeight="1">
      <c r="A353" s="25" t="s">
        <v>165</v>
      </c>
      <c r="B353" s="26">
        <v>46115.0</v>
      </c>
      <c r="C353" s="25" t="s">
        <v>166</v>
      </c>
      <c r="D353" s="25" t="s">
        <v>4186</v>
      </c>
      <c r="E353" s="25" t="s">
        <v>106</v>
      </c>
      <c r="F353" s="25" t="s">
        <v>3844</v>
      </c>
      <c r="G353" s="26">
        <v>46108.0</v>
      </c>
      <c r="H353" s="25" t="s">
        <v>4187</v>
      </c>
      <c r="I353" s="25" t="s">
        <v>97</v>
      </c>
      <c r="J353" s="25" t="s">
        <v>2246</v>
      </c>
      <c r="K353" s="25" t="s">
        <v>3846</v>
      </c>
      <c r="L353" s="25" t="s">
        <v>3851</v>
      </c>
    </row>
    <row r="354" ht="15.75" customHeight="1">
      <c r="A354" s="58" t="s">
        <v>856</v>
      </c>
      <c r="B354" s="59">
        <v>46024.0</v>
      </c>
      <c r="C354" s="58" t="s">
        <v>857</v>
      </c>
      <c r="D354" s="58" t="s">
        <v>4186</v>
      </c>
      <c r="E354" s="58" t="s">
        <v>74</v>
      </c>
      <c r="F354" s="58" t="s">
        <v>3844</v>
      </c>
      <c r="G354" s="59">
        <v>46030.0</v>
      </c>
      <c r="H354" s="58" t="s">
        <v>4188</v>
      </c>
      <c r="I354" s="58" t="s">
        <v>97</v>
      </c>
      <c r="J354" s="58" t="s">
        <v>2246</v>
      </c>
      <c r="K354" s="58" t="s">
        <v>3846</v>
      </c>
      <c r="L354" s="58" t="s">
        <v>3851</v>
      </c>
    </row>
    <row r="355" ht="15.75" customHeight="1">
      <c r="A355" s="25" t="s">
        <v>300</v>
      </c>
      <c r="B355" s="26">
        <v>46106.0</v>
      </c>
      <c r="C355" s="25" t="s">
        <v>301</v>
      </c>
      <c r="D355" s="25" t="s">
        <v>4186</v>
      </c>
      <c r="E355" s="25" t="s">
        <v>106</v>
      </c>
      <c r="F355" s="25" t="s">
        <v>3844</v>
      </c>
      <c r="G355" s="26">
        <v>46135.0</v>
      </c>
      <c r="H355" s="25" t="s">
        <v>4189</v>
      </c>
      <c r="I355" s="25" t="s">
        <v>97</v>
      </c>
      <c r="J355" s="25" t="s">
        <v>2246</v>
      </c>
      <c r="K355" s="25" t="s">
        <v>3846</v>
      </c>
      <c r="L355" s="25" t="s">
        <v>3855</v>
      </c>
    </row>
    <row r="356" ht="15.75" customHeight="1">
      <c r="A356" s="58" t="s">
        <v>302</v>
      </c>
      <c r="B356" s="59">
        <v>46120.0</v>
      </c>
      <c r="C356" s="58" t="s">
        <v>303</v>
      </c>
      <c r="D356" s="58" t="s">
        <v>4186</v>
      </c>
      <c r="E356" s="58" t="s">
        <v>78</v>
      </c>
      <c r="F356" s="58" t="s">
        <v>3844</v>
      </c>
      <c r="G356" s="59">
        <v>46260.0</v>
      </c>
      <c r="H356" s="58" t="s">
        <v>4190</v>
      </c>
      <c r="I356" s="58" t="s">
        <v>97</v>
      </c>
      <c r="J356" s="58" t="s">
        <v>2246</v>
      </c>
      <c r="K356" s="58" t="s">
        <v>3846</v>
      </c>
      <c r="L356" s="58" t="s">
        <v>3847</v>
      </c>
    </row>
    <row r="357" ht="15.75" customHeight="1">
      <c r="A357" s="25" t="s">
        <v>860</v>
      </c>
      <c r="B357" s="26">
        <v>46122.0</v>
      </c>
      <c r="C357" s="25" t="s">
        <v>861</v>
      </c>
      <c r="D357" s="25" t="s">
        <v>4186</v>
      </c>
      <c r="E357" s="25" t="s">
        <v>102</v>
      </c>
      <c r="F357" s="25" t="s">
        <v>3844</v>
      </c>
      <c r="G357" s="26">
        <v>46103.0</v>
      </c>
      <c r="H357" s="25" t="s">
        <v>4191</v>
      </c>
      <c r="I357" s="25" t="s">
        <v>97</v>
      </c>
      <c r="J357" s="25" t="s">
        <v>2246</v>
      </c>
      <c r="K357" s="25" t="s">
        <v>3846</v>
      </c>
      <c r="L357" s="25" t="s">
        <v>3847</v>
      </c>
    </row>
    <row r="358" ht="15.75" customHeight="1">
      <c r="A358" s="58" t="s">
        <v>1080</v>
      </c>
      <c r="B358" s="59">
        <v>46106.0</v>
      </c>
      <c r="C358" s="58" t="s">
        <v>1081</v>
      </c>
      <c r="D358" s="58" t="s">
        <v>4186</v>
      </c>
      <c r="E358" s="58" t="s">
        <v>108</v>
      </c>
      <c r="F358" s="58" t="s">
        <v>3844</v>
      </c>
      <c r="G358" s="59">
        <v>46125.0</v>
      </c>
      <c r="H358" s="58" t="s">
        <v>4192</v>
      </c>
      <c r="I358" s="58" t="s">
        <v>97</v>
      </c>
      <c r="J358" s="58" t="s">
        <v>2246</v>
      </c>
      <c r="K358" s="58" t="s">
        <v>3846</v>
      </c>
      <c r="L358" s="58" t="s">
        <v>3851</v>
      </c>
    </row>
    <row r="359" ht="15.75" customHeight="1">
      <c r="A359" s="25" t="s">
        <v>862</v>
      </c>
      <c r="B359" s="26">
        <v>46023.0</v>
      </c>
      <c r="C359" s="25" t="s">
        <v>861</v>
      </c>
      <c r="D359" s="25" t="s">
        <v>4186</v>
      </c>
      <c r="E359" s="25" t="s">
        <v>71</v>
      </c>
      <c r="F359" s="25" t="s">
        <v>3844</v>
      </c>
      <c r="G359" s="26">
        <v>46096.0</v>
      </c>
      <c r="H359" s="25" t="s">
        <v>4193</v>
      </c>
      <c r="I359" s="25" t="s">
        <v>97</v>
      </c>
      <c r="J359" s="25" t="s">
        <v>2246</v>
      </c>
      <c r="K359" s="25" t="s">
        <v>3846</v>
      </c>
      <c r="L359" s="25" t="s">
        <v>3847</v>
      </c>
    </row>
    <row r="360" ht="15.75" customHeight="1">
      <c r="A360" s="58" t="s">
        <v>1084</v>
      </c>
      <c r="B360" s="59">
        <v>46031.0</v>
      </c>
      <c r="C360" s="58" t="s">
        <v>1081</v>
      </c>
      <c r="D360" s="58" t="s">
        <v>4186</v>
      </c>
      <c r="E360" s="58" t="s">
        <v>90</v>
      </c>
      <c r="F360" s="58" t="s">
        <v>3879</v>
      </c>
      <c r="G360" s="59">
        <v>46140.0</v>
      </c>
      <c r="H360" s="58" t="s">
        <v>4194</v>
      </c>
      <c r="I360" s="58" t="s">
        <v>97</v>
      </c>
      <c r="J360" s="58" t="s">
        <v>2247</v>
      </c>
      <c r="K360" s="58" t="s">
        <v>3881</v>
      </c>
      <c r="L360" s="58" t="s">
        <v>3855</v>
      </c>
    </row>
    <row r="361" ht="15.75" customHeight="1">
      <c r="A361" s="25" t="s">
        <v>865</v>
      </c>
      <c r="B361" s="26">
        <v>46087.0</v>
      </c>
      <c r="C361" s="25" t="s">
        <v>866</v>
      </c>
      <c r="D361" s="25" t="s">
        <v>4186</v>
      </c>
      <c r="E361" s="25" t="s">
        <v>110</v>
      </c>
      <c r="F361" s="25" t="s">
        <v>3844</v>
      </c>
      <c r="G361" s="26">
        <v>46080.0</v>
      </c>
      <c r="H361" s="25" t="s">
        <v>4195</v>
      </c>
      <c r="I361" s="25" t="s">
        <v>97</v>
      </c>
      <c r="J361" s="25" t="s">
        <v>2246</v>
      </c>
      <c r="K361" s="25" t="s">
        <v>3846</v>
      </c>
      <c r="L361" s="25" t="s">
        <v>3855</v>
      </c>
    </row>
    <row r="362" ht="15.75" customHeight="1">
      <c r="A362" s="58" t="s">
        <v>1086</v>
      </c>
      <c r="B362" s="59">
        <v>46060.0</v>
      </c>
      <c r="C362" s="58" t="s">
        <v>1081</v>
      </c>
      <c r="D362" s="58" t="s">
        <v>4186</v>
      </c>
      <c r="E362" s="58" t="s">
        <v>110</v>
      </c>
      <c r="F362" s="58" t="s">
        <v>3857</v>
      </c>
      <c r="G362" s="59">
        <v>46081.0</v>
      </c>
      <c r="H362" s="58" t="s">
        <v>4196</v>
      </c>
      <c r="I362" s="58" t="s">
        <v>97</v>
      </c>
      <c r="J362" s="58" t="s">
        <v>2246</v>
      </c>
      <c r="K362" s="58" t="s">
        <v>3846</v>
      </c>
      <c r="L362" s="58" t="s">
        <v>3855</v>
      </c>
    </row>
    <row r="363" ht="15.75" customHeight="1">
      <c r="A363" s="25" t="s">
        <v>870</v>
      </c>
      <c r="B363" s="26">
        <v>46037.0</v>
      </c>
      <c r="C363" s="25" t="s">
        <v>857</v>
      </c>
      <c r="D363" s="25" t="s">
        <v>4186</v>
      </c>
      <c r="E363" s="25" t="s">
        <v>108</v>
      </c>
      <c r="F363" s="25" t="s">
        <v>3844</v>
      </c>
      <c r="G363" s="26">
        <v>46096.0</v>
      </c>
      <c r="H363" s="25" t="s">
        <v>4197</v>
      </c>
      <c r="I363" s="25" t="s">
        <v>97</v>
      </c>
      <c r="J363" s="25" t="s">
        <v>2246</v>
      </c>
      <c r="K363" s="25" t="s">
        <v>3846</v>
      </c>
      <c r="L363" s="25" t="s">
        <v>3847</v>
      </c>
    </row>
    <row r="364" ht="15.75" customHeight="1">
      <c r="A364" s="58" t="s">
        <v>871</v>
      </c>
      <c r="B364" s="59">
        <v>46099.0</v>
      </c>
      <c r="C364" s="58" t="s">
        <v>861</v>
      </c>
      <c r="D364" s="58" t="s">
        <v>4186</v>
      </c>
      <c r="E364" s="58"/>
      <c r="F364" s="58" t="s">
        <v>3844</v>
      </c>
      <c r="G364" s="59">
        <v>46164.0</v>
      </c>
      <c r="H364" s="58" t="s">
        <v>4198</v>
      </c>
      <c r="I364" s="58" t="s">
        <v>97</v>
      </c>
      <c r="J364" s="58" t="s">
        <v>2246</v>
      </c>
      <c r="K364" s="58" t="s">
        <v>3846</v>
      </c>
      <c r="L364" s="58" t="s">
        <v>3847</v>
      </c>
    </row>
    <row r="365" ht="15.75" customHeight="1">
      <c r="A365" s="25" t="s">
        <v>186</v>
      </c>
      <c r="B365" s="26">
        <v>46129.0</v>
      </c>
      <c r="C365" s="25" t="s">
        <v>166</v>
      </c>
      <c r="D365" s="25" t="s">
        <v>4186</v>
      </c>
      <c r="E365" s="25" t="s">
        <v>154</v>
      </c>
      <c r="F365" s="25" t="s">
        <v>3844</v>
      </c>
      <c r="G365" s="26">
        <v>46211.0</v>
      </c>
      <c r="H365" s="25" t="s">
        <v>4199</v>
      </c>
      <c r="I365" s="25" t="s">
        <v>97</v>
      </c>
      <c r="J365" s="25" t="s">
        <v>2246</v>
      </c>
      <c r="K365" s="25" t="s">
        <v>3846</v>
      </c>
      <c r="L365" s="25" t="s">
        <v>3855</v>
      </c>
    </row>
    <row r="366" ht="15.75" customHeight="1">
      <c r="A366" s="58" t="s">
        <v>875</v>
      </c>
      <c r="B366" s="59">
        <v>46090.0</v>
      </c>
      <c r="C366" s="58" t="s">
        <v>866</v>
      </c>
      <c r="D366" s="58" t="s">
        <v>4186</v>
      </c>
      <c r="E366" s="58" t="s">
        <v>90</v>
      </c>
      <c r="F366" s="58" t="s">
        <v>3844</v>
      </c>
      <c r="G366" s="59">
        <v>46179.0</v>
      </c>
      <c r="H366" s="58" t="s">
        <v>4200</v>
      </c>
      <c r="I366" s="58" t="s">
        <v>97</v>
      </c>
      <c r="J366" s="58" t="s">
        <v>2246</v>
      </c>
      <c r="K366" s="58" t="s">
        <v>3846</v>
      </c>
      <c r="L366" s="58" t="s">
        <v>3851</v>
      </c>
    </row>
    <row r="367" ht="15.75" customHeight="1">
      <c r="A367" s="25" t="s">
        <v>572</v>
      </c>
      <c r="B367" s="26">
        <v>46094.0</v>
      </c>
      <c r="C367" s="25" t="s">
        <v>573</v>
      </c>
      <c r="D367" s="25" t="s">
        <v>4186</v>
      </c>
      <c r="E367" s="25" t="s">
        <v>115</v>
      </c>
      <c r="F367" s="25" t="s">
        <v>3844</v>
      </c>
      <c r="G367" s="26">
        <v>46223.0</v>
      </c>
      <c r="H367" s="25" t="s">
        <v>4201</v>
      </c>
      <c r="I367" s="25" t="s">
        <v>97</v>
      </c>
      <c r="J367" s="25" t="s">
        <v>2246</v>
      </c>
      <c r="K367" s="25" t="s">
        <v>3846</v>
      </c>
      <c r="L367" s="25" t="s">
        <v>3847</v>
      </c>
    </row>
    <row r="368" ht="15.75" customHeight="1">
      <c r="A368" s="58" t="s">
        <v>192</v>
      </c>
      <c r="B368" s="59">
        <v>46095.0</v>
      </c>
      <c r="C368" s="58" t="s">
        <v>166</v>
      </c>
      <c r="D368" s="58" t="s">
        <v>4186</v>
      </c>
      <c r="E368" s="58" t="s">
        <v>102</v>
      </c>
      <c r="F368" s="58" t="s">
        <v>3844</v>
      </c>
      <c r="G368" s="59">
        <v>46234.0</v>
      </c>
      <c r="H368" s="58" t="s">
        <v>4202</v>
      </c>
      <c r="I368" s="58" t="s">
        <v>97</v>
      </c>
      <c r="J368" s="58" t="s">
        <v>2246</v>
      </c>
      <c r="K368" s="58" t="s">
        <v>3846</v>
      </c>
      <c r="L368" s="58" t="s">
        <v>3847</v>
      </c>
    </row>
    <row r="369" ht="15.75" customHeight="1">
      <c r="A369" s="25" t="s">
        <v>574</v>
      </c>
      <c r="B369" s="26">
        <v>46142.0</v>
      </c>
      <c r="C369" s="25" t="s">
        <v>575</v>
      </c>
      <c r="D369" s="25" t="s">
        <v>4186</v>
      </c>
      <c r="E369" s="25" t="s">
        <v>110</v>
      </c>
      <c r="F369" s="25" t="s">
        <v>3844</v>
      </c>
      <c r="G369" s="26">
        <v>46193.0</v>
      </c>
      <c r="H369" s="25"/>
      <c r="I369" s="25" t="s">
        <v>97</v>
      </c>
      <c r="J369" s="25" t="s">
        <v>2247</v>
      </c>
      <c r="K369" s="25" t="s">
        <v>3848</v>
      </c>
      <c r="L369" s="25" t="s">
        <v>3851</v>
      </c>
    </row>
    <row r="370" ht="15.75" customHeight="1">
      <c r="A370" s="58" t="s">
        <v>324</v>
      </c>
      <c r="B370" s="59">
        <v>46055.0</v>
      </c>
      <c r="C370" s="58" t="s">
        <v>301</v>
      </c>
      <c r="D370" s="58" t="s">
        <v>4186</v>
      </c>
      <c r="E370" s="58" t="s">
        <v>190</v>
      </c>
      <c r="F370" s="58" t="s">
        <v>3844</v>
      </c>
      <c r="G370" s="59">
        <v>46075.0</v>
      </c>
      <c r="H370" s="58"/>
      <c r="I370" s="58" t="s">
        <v>3853</v>
      </c>
      <c r="J370" s="58" t="s">
        <v>2247</v>
      </c>
      <c r="K370" s="58" t="s">
        <v>3874</v>
      </c>
      <c r="L370" s="58" t="s">
        <v>3851</v>
      </c>
    </row>
    <row r="371" ht="15.75" customHeight="1">
      <c r="A371" s="25" t="s">
        <v>587</v>
      </c>
      <c r="B371" s="26">
        <v>46049.0</v>
      </c>
      <c r="C371" s="25" t="s">
        <v>588</v>
      </c>
      <c r="D371" s="25" t="s">
        <v>4186</v>
      </c>
      <c r="E371" s="25" t="s">
        <v>123</v>
      </c>
      <c r="F371" s="25" t="s">
        <v>3844</v>
      </c>
      <c r="G371" s="26">
        <v>46165.0</v>
      </c>
      <c r="H371" s="25" t="s">
        <v>4203</v>
      </c>
      <c r="I371" s="25" t="s">
        <v>97</v>
      </c>
      <c r="J371" s="25" t="s">
        <v>2246</v>
      </c>
      <c r="K371" s="25" t="s">
        <v>3846</v>
      </c>
      <c r="L371" s="25" t="s">
        <v>3855</v>
      </c>
    </row>
    <row r="372" ht="15.75" customHeight="1">
      <c r="A372" s="58" t="s">
        <v>1096</v>
      </c>
      <c r="B372" s="59">
        <v>46101.0</v>
      </c>
      <c r="C372" s="58" t="s">
        <v>1081</v>
      </c>
      <c r="D372" s="58" t="s">
        <v>4186</v>
      </c>
      <c r="E372" s="58" t="s">
        <v>108</v>
      </c>
      <c r="F372" s="58" t="s">
        <v>3844</v>
      </c>
      <c r="G372" s="59">
        <v>46205.0</v>
      </c>
      <c r="H372" s="58" t="s">
        <v>4204</v>
      </c>
      <c r="I372" s="58" t="s">
        <v>97</v>
      </c>
      <c r="J372" s="58" t="s">
        <v>2246</v>
      </c>
      <c r="K372" s="58" t="s">
        <v>3846</v>
      </c>
      <c r="L372" s="58" t="s">
        <v>3855</v>
      </c>
    </row>
    <row r="373" ht="15.75" customHeight="1">
      <c r="A373" s="25" t="s">
        <v>594</v>
      </c>
      <c r="B373" s="26">
        <v>46086.0</v>
      </c>
      <c r="C373" s="25" t="s">
        <v>573</v>
      </c>
      <c r="D373" s="25" t="s">
        <v>4186</v>
      </c>
      <c r="E373" s="25" t="s">
        <v>102</v>
      </c>
      <c r="F373" s="25" t="s">
        <v>3844</v>
      </c>
      <c r="G373" s="26">
        <v>46195.0</v>
      </c>
      <c r="H373" s="25" t="s">
        <v>4205</v>
      </c>
      <c r="I373" s="25" t="s">
        <v>97</v>
      </c>
      <c r="J373" s="25" t="s">
        <v>2246</v>
      </c>
      <c r="K373" s="25" t="s">
        <v>3846</v>
      </c>
      <c r="L373" s="25" t="s">
        <v>3855</v>
      </c>
    </row>
    <row r="374" ht="15.75" customHeight="1">
      <c r="A374" s="58" t="s">
        <v>595</v>
      </c>
      <c r="B374" s="59">
        <v>46030.0</v>
      </c>
      <c r="C374" s="58" t="s">
        <v>588</v>
      </c>
      <c r="D374" s="58" t="s">
        <v>4186</v>
      </c>
      <c r="E374" s="58" t="s">
        <v>115</v>
      </c>
      <c r="F374" s="58" t="s">
        <v>3844</v>
      </c>
      <c r="G374" s="59">
        <v>46015.0</v>
      </c>
      <c r="H374" s="58" t="s">
        <v>4206</v>
      </c>
      <c r="I374" s="58" t="s">
        <v>3906</v>
      </c>
      <c r="J374" s="58" t="s">
        <v>2247</v>
      </c>
      <c r="K374" s="58" t="s">
        <v>3854</v>
      </c>
      <c r="L374" s="58" t="s">
        <v>3851</v>
      </c>
    </row>
    <row r="375" ht="15.75" customHeight="1">
      <c r="A375" s="25" t="s">
        <v>597</v>
      </c>
      <c r="B375" s="26">
        <v>46051.0</v>
      </c>
      <c r="C375" s="25" t="s">
        <v>588</v>
      </c>
      <c r="D375" s="25" t="s">
        <v>4186</v>
      </c>
      <c r="E375" s="25" t="s">
        <v>71</v>
      </c>
      <c r="F375" s="25" t="s">
        <v>3844</v>
      </c>
      <c r="G375" s="26">
        <v>46053.0</v>
      </c>
      <c r="H375" s="25" t="s">
        <v>4207</v>
      </c>
      <c r="I375" s="25" t="s">
        <v>97</v>
      </c>
      <c r="J375" s="25" t="s">
        <v>2246</v>
      </c>
      <c r="K375" s="25" t="s">
        <v>3846</v>
      </c>
      <c r="L375" s="25" t="s">
        <v>3847</v>
      </c>
    </row>
    <row r="376" ht="15.75" customHeight="1">
      <c r="A376" s="58" t="s">
        <v>890</v>
      </c>
      <c r="B376" s="59">
        <v>46077.0</v>
      </c>
      <c r="C376" s="58" t="s">
        <v>866</v>
      </c>
      <c r="D376" s="58" t="s">
        <v>4186</v>
      </c>
      <c r="E376" s="58" t="s">
        <v>115</v>
      </c>
      <c r="F376" s="58" t="s">
        <v>3844</v>
      </c>
      <c r="G376" s="59">
        <v>46120.0</v>
      </c>
      <c r="H376" s="58" t="s">
        <v>4208</v>
      </c>
      <c r="I376" s="58" t="s">
        <v>97</v>
      </c>
      <c r="J376" s="58" t="s">
        <v>2246</v>
      </c>
      <c r="K376" s="58" t="s">
        <v>3846</v>
      </c>
      <c r="L376" s="58" t="s">
        <v>3855</v>
      </c>
    </row>
    <row r="377" ht="15.75" customHeight="1">
      <c r="A377" s="25" t="s">
        <v>892</v>
      </c>
      <c r="B377" s="26">
        <v>46047.0</v>
      </c>
      <c r="C377" s="25" t="s">
        <v>866</v>
      </c>
      <c r="D377" s="25" t="s">
        <v>4186</v>
      </c>
      <c r="E377" s="25" t="s">
        <v>102</v>
      </c>
      <c r="F377" s="25" t="s">
        <v>3844</v>
      </c>
      <c r="G377" s="26">
        <v>46084.0</v>
      </c>
      <c r="H377" s="25" t="s">
        <v>4209</v>
      </c>
      <c r="I377" s="25" t="s">
        <v>97</v>
      </c>
      <c r="J377" s="25" t="s">
        <v>2246</v>
      </c>
      <c r="K377" s="25" t="s">
        <v>3846</v>
      </c>
      <c r="L377" s="25" t="s">
        <v>3847</v>
      </c>
    </row>
    <row r="378" ht="15.75" customHeight="1">
      <c r="A378" s="58" t="s">
        <v>1100</v>
      </c>
      <c r="B378" s="59">
        <v>46111.0</v>
      </c>
      <c r="C378" s="58" t="s">
        <v>1081</v>
      </c>
      <c r="D378" s="58" t="s">
        <v>4186</v>
      </c>
      <c r="E378" s="58" t="s">
        <v>162</v>
      </c>
      <c r="F378" s="58" t="s">
        <v>3844</v>
      </c>
      <c r="G378" s="59">
        <v>46138.0</v>
      </c>
      <c r="H378" s="58" t="s">
        <v>4210</v>
      </c>
      <c r="I378" s="58" t="s">
        <v>97</v>
      </c>
      <c r="J378" s="58" t="s">
        <v>2246</v>
      </c>
      <c r="K378" s="58" t="s">
        <v>3846</v>
      </c>
      <c r="L378" s="58" t="s">
        <v>3851</v>
      </c>
    </row>
    <row r="379" ht="15.75" customHeight="1">
      <c r="A379" s="25" t="s">
        <v>345</v>
      </c>
      <c r="B379" s="26">
        <v>46078.0</v>
      </c>
      <c r="C379" s="25" t="s">
        <v>301</v>
      </c>
      <c r="D379" s="25" t="s">
        <v>4186</v>
      </c>
      <c r="E379" s="25" t="s">
        <v>78</v>
      </c>
      <c r="F379" s="25" t="s">
        <v>3844</v>
      </c>
      <c r="G379" s="26">
        <v>46183.0</v>
      </c>
      <c r="H379" s="25" t="s">
        <v>4211</v>
      </c>
      <c r="I379" s="25" t="s">
        <v>3906</v>
      </c>
      <c r="J379" s="25" t="s">
        <v>2247</v>
      </c>
      <c r="K379" s="25" t="s">
        <v>3854</v>
      </c>
      <c r="L379" s="25" t="s">
        <v>3851</v>
      </c>
    </row>
    <row r="380" ht="15.75" customHeight="1">
      <c r="A380" s="58" t="s">
        <v>1102</v>
      </c>
      <c r="B380" s="59">
        <v>46095.0</v>
      </c>
      <c r="C380" s="58" t="s">
        <v>1081</v>
      </c>
      <c r="D380" s="58" t="s">
        <v>4186</v>
      </c>
      <c r="E380" s="58" t="s">
        <v>64</v>
      </c>
      <c r="F380" s="58" t="s">
        <v>3844</v>
      </c>
      <c r="G380" s="59">
        <v>46152.0</v>
      </c>
      <c r="H380" s="58" t="s">
        <v>4212</v>
      </c>
      <c r="I380" s="58" t="s">
        <v>97</v>
      </c>
      <c r="J380" s="58" t="s">
        <v>2246</v>
      </c>
      <c r="K380" s="58" t="s">
        <v>3846</v>
      </c>
      <c r="L380" s="58" t="s">
        <v>3851</v>
      </c>
    </row>
    <row r="381" ht="15.75" customHeight="1">
      <c r="A381" s="25" t="s">
        <v>897</v>
      </c>
      <c r="B381" s="26">
        <v>46099.0</v>
      </c>
      <c r="C381" s="25" t="s">
        <v>861</v>
      </c>
      <c r="D381" s="25" t="s">
        <v>4186</v>
      </c>
      <c r="E381" s="25" t="s">
        <v>71</v>
      </c>
      <c r="F381" s="25" t="s">
        <v>3844</v>
      </c>
      <c r="G381" s="26">
        <v>46248.0</v>
      </c>
      <c r="H381" s="25" t="s">
        <v>4213</v>
      </c>
      <c r="I381" s="25" t="s">
        <v>97</v>
      </c>
      <c r="J381" s="25" t="s">
        <v>2246</v>
      </c>
      <c r="K381" s="25" t="s">
        <v>3846</v>
      </c>
      <c r="L381" s="25" t="s">
        <v>3851</v>
      </c>
    </row>
    <row r="382" ht="15.75" customHeight="1">
      <c r="A382" s="58" t="s">
        <v>612</v>
      </c>
      <c r="B382" s="59">
        <v>46034.0</v>
      </c>
      <c r="C382" s="58" t="s">
        <v>573</v>
      </c>
      <c r="D382" s="58" t="s">
        <v>4186</v>
      </c>
      <c r="E382" s="58" t="s">
        <v>102</v>
      </c>
      <c r="F382" s="58" t="s">
        <v>3844</v>
      </c>
      <c r="G382" s="59">
        <v>46118.0</v>
      </c>
      <c r="H382" s="58" t="s">
        <v>4214</v>
      </c>
      <c r="I382" s="58" t="s">
        <v>97</v>
      </c>
      <c r="J382" s="58" t="s">
        <v>2246</v>
      </c>
      <c r="K382" s="58" t="s">
        <v>3846</v>
      </c>
      <c r="L382" s="58" t="s">
        <v>3851</v>
      </c>
    </row>
    <row r="383" ht="15.75" customHeight="1">
      <c r="A383" s="25" t="s">
        <v>1105</v>
      </c>
      <c r="B383" s="26">
        <v>46126.0</v>
      </c>
      <c r="C383" s="25" t="s">
        <v>1081</v>
      </c>
      <c r="D383" s="25" t="s">
        <v>4186</v>
      </c>
      <c r="E383" s="25" t="s">
        <v>90</v>
      </c>
      <c r="F383" s="25" t="s">
        <v>3844</v>
      </c>
      <c r="G383" s="26">
        <v>46175.0</v>
      </c>
      <c r="H383" s="25" t="s">
        <v>4215</v>
      </c>
      <c r="I383" s="25" t="s">
        <v>97</v>
      </c>
      <c r="J383" s="25" t="s">
        <v>2246</v>
      </c>
      <c r="K383" s="25" t="s">
        <v>3846</v>
      </c>
      <c r="L383" s="25" t="s">
        <v>3847</v>
      </c>
    </row>
    <row r="384" ht="15.75" customHeight="1">
      <c r="A384" s="58" t="s">
        <v>901</v>
      </c>
      <c r="B384" s="59">
        <v>46036.0</v>
      </c>
      <c r="C384" s="58" t="s">
        <v>857</v>
      </c>
      <c r="D384" s="58" t="s">
        <v>4186</v>
      </c>
      <c r="E384" s="58" t="s">
        <v>110</v>
      </c>
      <c r="F384" s="58" t="s">
        <v>3844</v>
      </c>
      <c r="G384" s="59">
        <v>46060.0</v>
      </c>
      <c r="H384" s="58" t="s">
        <v>4216</v>
      </c>
      <c r="I384" s="58" t="s">
        <v>97</v>
      </c>
      <c r="J384" s="58" t="s">
        <v>2246</v>
      </c>
      <c r="K384" s="58" t="s">
        <v>3846</v>
      </c>
      <c r="L384" s="58" t="s">
        <v>3855</v>
      </c>
    </row>
    <row r="385" ht="15.75" customHeight="1">
      <c r="A385" s="25" t="s">
        <v>614</v>
      </c>
      <c r="B385" s="26">
        <v>46075.0</v>
      </c>
      <c r="C385" s="25" t="s">
        <v>588</v>
      </c>
      <c r="D385" s="25" t="s">
        <v>4186</v>
      </c>
      <c r="E385" s="25" t="s">
        <v>115</v>
      </c>
      <c r="F385" s="25" t="s">
        <v>3844</v>
      </c>
      <c r="G385" s="26">
        <v>46179.0</v>
      </c>
      <c r="H385" s="25" t="s">
        <v>4217</v>
      </c>
      <c r="I385" s="25" t="s">
        <v>3906</v>
      </c>
      <c r="J385" s="25" t="s">
        <v>2247</v>
      </c>
      <c r="K385" s="25" t="s">
        <v>3854</v>
      </c>
      <c r="L385" s="25" t="s">
        <v>3847</v>
      </c>
    </row>
    <row r="386" ht="15.75" customHeight="1">
      <c r="A386" s="58" t="s">
        <v>365</v>
      </c>
      <c r="B386" s="59">
        <v>46047.0</v>
      </c>
      <c r="C386" s="58" t="s">
        <v>301</v>
      </c>
      <c r="D386" s="58" t="s">
        <v>4186</v>
      </c>
      <c r="E386" s="58" t="s">
        <v>90</v>
      </c>
      <c r="F386" s="58" t="s">
        <v>3844</v>
      </c>
      <c r="G386" s="59">
        <v>46168.0</v>
      </c>
      <c r="H386" s="58" t="s">
        <v>4218</v>
      </c>
      <c r="I386" s="58" t="s">
        <v>3906</v>
      </c>
      <c r="J386" s="58" t="s">
        <v>2247</v>
      </c>
      <c r="K386" s="58" t="s">
        <v>3854</v>
      </c>
      <c r="L386" s="58" t="s">
        <v>3851</v>
      </c>
    </row>
    <row r="387" ht="15.75" customHeight="1">
      <c r="A387" s="25" t="s">
        <v>615</v>
      </c>
      <c r="B387" s="26">
        <v>46121.0</v>
      </c>
      <c r="C387" s="25" t="s">
        <v>573</v>
      </c>
      <c r="D387" s="25" t="s">
        <v>4186</v>
      </c>
      <c r="E387" s="25" t="s">
        <v>106</v>
      </c>
      <c r="F387" s="25" t="s">
        <v>3844</v>
      </c>
      <c r="G387" s="26">
        <v>46173.0</v>
      </c>
      <c r="H387" s="25" t="s">
        <v>4219</v>
      </c>
      <c r="I387" s="25" t="s">
        <v>97</v>
      </c>
      <c r="J387" s="25" t="s">
        <v>2246</v>
      </c>
      <c r="K387" s="25" t="s">
        <v>3846</v>
      </c>
      <c r="L387" s="25" t="s">
        <v>3847</v>
      </c>
    </row>
    <row r="388" ht="15.75" customHeight="1">
      <c r="A388" s="58" t="s">
        <v>618</v>
      </c>
      <c r="B388" s="59">
        <v>46057.0</v>
      </c>
      <c r="C388" s="58" t="s">
        <v>575</v>
      </c>
      <c r="D388" s="58" t="s">
        <v>4186</v>
      </c>
      <c r="E388" s="58" t="s">
        <v>71</v>
      </c>
      <c r="F388" s="58" t="s">
        <v>3844</v>
      </c>
      <c r="G388" s="59">
        <v>46083.0</v>
      </c>
      <c r="H388" s="58" t="s">
        <v>4220</v>
      </c>
      <c r="I388" s="58" t="s">
        <v>97</v>
      </c>
      <c r="J388" s="58" t="s">
        <v>2246</v>
      </c>
      <c r="K388" s="58" t="s">
        <v>3846</v>
      </c>
      <c r="L388" s="58" t="s">
        <v>3851</v>
      </c>
    </row>
    <row r="389" ht="15.75" customHeight="1">
      <c r="A389" s="25" t="s">
        <v>369</v>
      </c>
      <c r="B389" s="26">
        <v>46134.0</v>
      </c>
      <c r="C389" s="25" t="s">
        <v>301</v>
      </c>
      <c r="D389" s="25" t="s">
        <v>4186</v>
      </c>
      <c r="E389" s="25" t="s">
        <v>85</v>
      </c>
      <c r="F389" s="25" t="s">
        <v>3857</v>
      </c>
      <c r="G389" s="26">
        <v>46184.0</v>
      </c>
      <c r="H389" s="25" t="s">
        <v>4221</v>
      </c>
      <c r="I389" s="25" t="s">
        <v>97</v>
      </c>
      <c r="J389" s="25" t="s">
        <v>2246</v>
      </c>
      <c r="K389" s="25" t="s">
        <v>3846</v>
      </c>
      <c r="L389" s="25" t="s">
        <v>3855</v>
      </c>
    </row>
    <row r="390" ht="15.75" customHeight="1">
      <c r="A390" s="58" t="s">
        <v>370</v>
      </c>
      <c r="B390" s="59">
        <v>46029.0</v>
      </c>
      <c r="C390" s="58" t="s">
        <v>301</v>
      </c>
      <c r="D390" s="58" t="s">
        <v>4186</v>
      </c>
      <c r="E390" s="58" t="s">
        <v>115</v>
      </c>
      <c r="F390" s="58" t="s">
        <v>3844</v>
      </c>
      <c r="G390" s="59">
        <v>46046.0</v>
      </c>
      <c r="H390" s="58" t="s">
        <v>4222</v>
      </c>
      <c r="I390" s="58" t="s">
        <v>97</v>
      </c>
      <c r="J390" s="58" t="s">
        <v>2246</v>
      </c>
      <c r="K390" s="58" t="s">
        <v>3846</v>
      </c>
      <c r="L390" s="58" t="s">
        <v>3847</v>
      </c>
    </row>
    <row r="391" ht="15.75" customHeight="1">
      <c r="A391" s="25" t="s">
        <v>907</v>
      </c>
      <c r="B391" s="26">
        <v>46085.0</v>
      </c>
      <c r="C391" s="25" t="s">
        <v>861</v>
      </c>
      <c r="D391" s="25" t="s">
        <v>4186</v>
      </c>
      <c r="E391" s="25" t="s">
        <v>92</v>
      </c>
      <c r="F391" s="25" t="s">
        <v>3844</v>
      </c>
      <c r="G391" s="26">
        <v>46239.0</v>
      </c>
      <c r="H391" s="25" t="s">
        <v>4223</v>
      </c>
      <c r="I391" s="25" t="s">
        <v>97</v>
      </c>
      <c r="J391" s="25" t="s">
        <v>2246</v>
      </c>
      <c r="K391" s="25" t="s">
        <v>3846</v>
      </c>
      <c r="L391" s="25" t="s">
        <v>3851</v>
      </c>
    </row>
    <row r="392" ht="15.75" customHeight="1">
      <c r="A392" s="58" t="s">
        <v>376</v>
      </c>
      <c r="B392" s="59">
        <v>46127.0</v>
      </c>
      <c r="C392" s="58" t="s">
        <v>301</v>
      </c>
      <c r="D392" s="58" t="s">
        <v>4186</v>
      </c>
      <c r="E392" s="58" t="s">
        <v>81</v>
      </c>
      <c r="F392" s="58" t="s">
        <v>3844</v>
      </c>
      <c r="G392" s="59">
        <v>46251.0</v>
      </c>
      <c r="H392" s="58" t="s">
        <v>4224</v>
      </c>
      <c r="I392" s="58" t="s">
        <v>3853</v>
      </c>
      <c r="J392" s="58" t="s">
        <v>2247</v>
      </c>
      <c r="K392" s="58" t="s">
        <v>3854</v>
      </c>
      <c r="L392" s="58" t="s">
        <v>3851</v>
      </c>
    </row>
    <row r="393" ht="15.75" customHeight="1">
      <c r="A393" s="25" t="s">
        <v>909</v>
      </c>
      <c r="B393" s="26">
        <v>46084.0</v>
      </c>
      <c r="C393" s="25" t="s">
        <v>857</v>
      </c>
      <c r="D393" s="25" t="s">
        <v>4186</v>
      </c>
      <c r="E393" s="25" t="s">
        <v>110</v>
      </c>
      <c r="F393" s="25" t="s">
        <v>3844</v>
      </c>
      <c r="G393" s="26">
        <v>46110.0</v>
      </c>
      <c r="H393" s="25" t="s">
        <v>4225</v>
      </c>
      <c r="I393" s="25" t="s">
        <v>97</v>
      </c>
      <c r="J393" s="25" t="s">
        <v>2246</v>
      </c>
      <c r="K393" s="25" t="s">
        <v>3846</v>
      </c>
      <c r="L393" s="25" t="s">
        <v>3847</v>
      </c>
    </row>
    <row r="394" ht="15.75" customHeight="1">
      <c r="A394" s="58" t="s">
        <v>239</v>
      </c>
      <c r="B394" s="59">
        <v>46116.0</v>
      </c>
      <c r="C394" s="58" t="s">
        <v>166</v>
      </c>
      <c r="D394" s="58" t="s">
        <v>4186</v>
      </c>
      <c r="E394" s="58" t="s">
        <v>90</v>
      </c>
      <c r="F394" s="58" t="s">
        <v>3844</v>
      </c>
      <c r="G394" s="59">
        <v>46185.0</v>
      </c>
      <c r="H394" s="58" t="s">
        <v>4226</v>
      </c>
      <c r="I394" s="58" t="s">
        <v>97</v>
      </c>
      <c r="J394" s="58" t="s">
        <v>2246</v>
      </c>
      <c r="K394" s="58" t="s">
        <v>3846</v>
      </c>
      <c r="L394" s="58" t="s">
        <v>3847</v>
      </c>
    </row>
    <row r="395" ht="15.75" customHeight="1">
      <c r="A395" s="25" t="s">
        <v>632</v>
      </c>
      <c r="B395" s="26">
        <v>46050.0</v>
      </c>
      <c r="C395" s="25" t="s">
        <v>575</v>
      </c>
      <c r="D395" s="25" t="s">
        <v>4186</v>
      </c>
      <c r="E395" s="25" t="s">
        <v>110</v>
      </c>
      <c r="F395" s="25" t="s">
        <v>3844</v>
      </c>
      <c r="G395" s="26">
        <v>46079.0</v>
      </c>
      <c r="H395" s="25" t="s">
        <v>4227</v>
      </c>
      <c r="I395" s="25" t="s">
        <v>97</v>
      </c>
      <c r="J395" s="25" t="s">
        <v>2246</v>
      </c>
      <c r="K395" s="25" t="s">
        <v>3846</v>
      </c>
      <c r="L395" s="25" t="s">
        <v>3855</v>
      </c>
    </row>
    <row r="396" ht="15.75" customHeight="1">
      <c r="A396" s="58" t="s">
        <v>244</v>
      </c>
      <c r="B396" s="59">
        <v>46130.0</v>
      </c>
      <c r="C396" s="58" t="s">
        <v>166</v>
      </c>
      <c r="D396" s="58" t="s">
        <v>4186</v>
      </c>
      <c r="E396" s="58" t="s">
        <v>110</v>
      </c>
      <c r="F396" s="58" t="s">
        <v>3844</v>
      </c>
      <c r="G396" s="59">
        <v>46135.0</v>
      </c>
      <c r="H396" s="58" t="s">
        <v>4228</v>
      </c>
      <c r="I396" s="58" t="s">
        <v>97</v>
      </c>
      <c r="J396" s="58" t="s">
        <v>2246</v>
      </c>
      <c r="K396" s="58" t="s">
        <v>3846</v>
      </c>
      <c r="L396" s="58" t="s">
        <v>3851</v>
      </c>
    </row>
    <row r="397" ht="15.75" customHeight="1">
      <c r="A397" s="25" t="s">
        <v>388</v>
      </c>
      <c r="B397" s="26">
        <v>46133.0</v>
      </c>
      <c r="C397" s="25" t="s">
        <v>301</v>
      </c>
      <c r="D397" s="25" t="s">
        <v>4186</v>
      </c>
      <c r="E397" s="25" t="s">
        <v>68</v>
      </c>
      <c r="F397" s="25" t="s">
        <v>3844</v>
      </c>
      <c r="G397" s="26">
        <v>46163.0</v>
      </c>
      <c r="H397" s="25"/>
      <c r="I397" s="25" t="s">
        <v>97</v>
      </c>
      <c r="J397" s="25" t="s">
        <v>2247</v>
      </c>
      <c r="K397" s="25" t="s">
        <v>3848</v>
      </c>
      <c r="L397" s="25" t="s">
        <v>3847</v>
      </c>
    </row>
    <row r="398" ht="15.75" customHeight="1">
      <c r="A398" s="58" t="s">
        <v>389</v>
      </c>
      <c r="B398" s="59">
        <v>46065.0</v>
      </c>
      <c r="C398" s="58" t="s">
        <v>303</v>
      </c>
      <c r="D398" s="58" t="s">
        <v>4186</v>
      </c>
      <c r="E398" s="58" t="s">
        <v>115</v>
      </c>
      <c r="F398" s="58" t="s">
        <v>3844</v>
      </c>
      <c r="G398" s="59">
        <v>46054.0</v>
      </c>
      <c r="H398" s="58" t="s">
        <v>4229</v>
      </c>
      <c r="I398" s="58" t="s">
        <v>97</v>
      </c>
      <c r="J398" s="58" t="s">
        <v>2246</v>
      </c>
      <c r="K398" s="58" t="s">
        <v>3846</v>
      </c>
      <c r="L398" s="58" t="s">
        <v>3847</v>
      </c>
    </row>
    <row r="399" ht="15.75" customHeight="1">
      <c r="A399" s="25" t="s">
        <v>392</v>
      </c>
      <c r="B399" s="26">
        <v>46069.0</v>
      </c>
      <c r="C399" s="25" t="s">
        <v>301</v>
      </c>
      <c r="D399" s="25" t="s">
        <v>4186</v>
      </c>
      <c r="E399" s="25" t="s">
        <v>95</v>
      </c>
      <c r="F399" s="25" t="s">
        <v>3879</v>
      </c>
      <c r="G399" s="26">
        <v>46134.0</v>
      </c>
      <c r="H399" s="25"/>
      <c r="I399" s="25" t="s">
        <v>97</v>
      </c>
      <c r="J399" s="25" t="s">
        <v>2247</v>
      </c>
      <c r="K399" s="25" t="s">
        <v>4230</v>
      </c>
      <c r="L399" s="25" t="s">
        <v>3855</v>
      </c>
    </row>
    <row r="400" ht="15.75" customHeight="1">
      <c r="A400" s="58" t="s">
        <v>922</v>
      </c>
      <c r="B400" s="59">
        <v>46083.0</v>
      </c>
      <c r="C400" s="58" t="s">
        <v>857</v>
      </c>
      <c r="D400" s="58" t="s">
        <v>4186</v>
      </c>
      <c r="E400" s="58" t="s">
        <v>78</v>
      </c>
      <c r="F400" s="58" t="s">
        <v>3857</v>
      </c>
      <c r="G400" s="59">
        <v>46208.0</v>
      </c>
      <c r="H400" s="58" t="s">
        <v>4231</v>
      </c>
      <c r="I400" s="58" t="s">
        <v>97</v>
      </c>
      <c r="J400" s="58" t="s">
        <v>2246</v>
      </c>
      <c r="K400" s="58" t="s">
        <v>3846</v>
      </c>
      <c r="L400" s="58" t="s">
        <v>3851</v>
      </c>
    </row>
    <row r="401" ht="15.75" customHeight="1">
      <c r="A401" s="25" t="s">
        <v>924</v>
      </c>
      <c r="B401" s="26">
        <v>46079.0</v>
      </c>
      <c r="C401" s="25" t="s">
        <v>857</v>
      </c>
      <c r="D401" s="25" t="s">
        <v>4186</v>
      </c>
      <c r="E401" s="25" t="s">
        <v>81</v>
      </c>
      <c r="F401" s="25" t="s">
        <v>3879</v>
      </c>
      <c r="G401" s="26">
        <v>46237.0</v>
      </c>
      <c r="H401" s="25"/>
      <c r="I401" s="25" t="s">
        <v>3853</v>
      </c>
      <c r="J401" s="25" t="s">
        <v>2247</v>
      </c>
      <c r="K401" s="25" t="s">
        <v>4232</v>
      </c>
      <c r="L401" s="25" t="s">
        <v>3851</v>
      </c>
    </row>
    <row r="402" ht="15.75" customHeight="1">
      <c r="A402" s="58" t="s">
        <v>1109</v>
      </c>
      <c r="B402" s="59">
        <v>46117.0</v>
      </c>
      <c r="C402" s="58" t="s">
        <v>1081</v>
      </c>
      <c r="D402" s="58" t="s">
        <v>4186</v>
      </c>
      <c r="E402" s="58" t="s">
        <v>156</v>
      </c>
      <c r="F402" s="58" t="s">
        <v>3844</v>
      </c>
      <c r="G402" s="59">
        <v>46182.0</v>
      </c>
      <c r="H402" s="58" t="s">
        <v>4233</v>
      </c>
      <c r="I402" s="58" t="s">
        <v>97</v>
      </c>
      <c r="J402" s="58" t="s">
        <v>2246</v>
      </c>
      <c r="K402" s="58" t="s">
        <v>3846</v>
      </c>
      <c r="L402" s="58" t="s">
        <v>3851</v>
      </c>
    </row>
    <row r="403" ht="15.75" customHeight="1">
      <c r="A403" s="25" t="s">
        <v>925</v>
      </c>
      <c r="B403" s="26">
        <v>46040.0</v>
      </c>
      <c r="C403" s="25" t="s">
        <v>861</v>
      </c>
      <c r="D403" s="25" t="s">
        <v>4186</v>
      </c>
      <c r="E403" s="25" t="s">
        <v>95</v>
      </c>
      <c r="F403" s="25" t="s">
        <v>3844</v>
      </c>
      <c r="G403" s="26">
        <v>46145.0</v>
      </c>
      <c r="H403" s="25" t="s">
        <v>4234</v>
      </c>
      <c r="I403" s="25" t="s">
        <v>97</v>
      </c>
      <c r="J403" s="25" t="s">
        <v>2246</v>
      </c>
      <c r="K403" s="25" t="s">
        <v>3846</v>
      </c>
      <c r="L403" s="25" t="s">
        <v>3855</v>
      </c>
    </row>
    <row r="404" ht="15.75" customHeight="1">
      <c r="A404" s="58" t="s">
        <v>644</v>
      </c>
      <c r="B404" s="59">
        <v>46105.0</v>
      </c>
      <c r="C404" s="58" t="s">
        <v>575</v>
      </c>
      <c r="D404" s="58" t="s">
        <v>4186</v>
      </c>
      <c r="E404" s="58" t="s">
        <v>71</v>
      </c>
      <c r="F404" s="58" t="s">
        <v>3844</v>
      </c>
      <c r="G404" s="59">
        <v>46096.0</v>
      </c>
      <c r="H404" s="58"/>
      <c r="I404" s="58" t="s">
        <v>97</v>
      </c>
      <c r="J404" s="58" t="s">
        <v>2247</v>
      </c>
      <c r="K404" s="58" t="s">
        <v>3848</v>
      </c>
      <c r="L404" s="58" t="s">
        <v>3855</v>
      </c>
    </row>
    <row r="405" ht="15.75" customHeight="1">
      <c r="A405" s="25" t="s">
        <v>645</v>
      </c>
      <c r="B405" s="26">
        <v>46073.0</v>
      </c>
      <c r="C405" s="25" t="s">
        <v>575</v>
      </c>
      <c r="D405" s="25" t="s">
        <v>4186</v>
      </c>
      <c r="E405" s="25" t="s">
        <v>68</v>
      </c>
      <c r="F405" s="25" t="s">
        <v>3844</v>
      </c>
      <c r="G405" s="26">
        <v>46223.0</v>
      </c>
      <c r="H405" s="25" t="s">
        <v>4235</v>
      </c>
      <c r="I405" s="25" t="s">
        <v>97</v>
      </c>
      <c r="J405" s="25" t="s">
        <v>2246</v>
      </c>
      <c r="K405" s="25" t="s">
        <v>3846</v>
      </c>
      <c r="L405" s="25" t="s">
        <v>3847</v>
      </c>
    </row>
    <row r="406" ht="15.75" customHeight="1">
      <c r="A406" s="58" t="s">
        <v>926</v>
      </c>
      <c r="B406" s="59">
        <v>46031.0</v>
      </c>
      <c r="C406" s="58" t="s">
        <v>857</v>
      </c>
      <c r="D406" s="58" t="s">
        <v>4186</v>
      </c>
      <c r="E406" s="58" t="s">
        <v>92</v>
      </c>
      <c r="F406" s="58" t="s">
        <v>3844</v>
      </c>
      <c r="G406" s="59">
        <v>46083.0</v>
      </c>
      <c r="H406" s="58" t="s">
        <v>4236</v>
      </c>
      <c r="I406" s="58" t="s">
        <v>97</v>
      </c>
      <c r="J406" s="58" t="s">
        <v>2246</v>
      </c>
      <c r="K406" s="58" t="s">
        <v>3846</v>
      </c>
      <c r="L406" s="58" t="s">
        <v>3855</v>
      </c>
    </row>
    <row r="407" ht="15.75" customHeight="1">
      <c r="A407" s="25" t="s">
        <v>1113</v>
      </c>
      <c r="B407" s="26">
        <v>46102.0</v>
      </c>
      <c r="C407" s="25" t="s">
        <v>1081</v>
      </c>
      <c r="D407" s="25" t="s">
        <v>4186</v>
      </c>
      <c r="E407" s="25" t="s">
        <v>102</v>
      </c>
      <c r="F407" s="25" t="s">
        <v>3879</v>
      </c>
      <c r="G407" s="26">
        <v>46224.0</v>
      </c>
      <c r="H407" s="25" t="s">
        <v>4237</v>
      </c>
      <c r="I407" s="25" t="s">
        <v>97</v>
      </c>
      <c r="J407" s="25" t="s">
        <v>2247</v>
      </c>
      <c r="K407" s="25" t="s">
        <v>3881</v>
      </c>
      <c r="L407" s="25" t="s">
        <v>3847</v>
      </c>
    </row>
    <row r="408" ht="15.75" customHeight="1">
      <c r="A408" s="58" t="s">
        <v>399</v>
      </c>
      <c r="B408" s="59">
        <v>46072.0</v>
      </c>
      <c r="C408" s="58" t="s">
        <v>303</v>
      </c>
      <c r="D408" s="58" t="s">
        <v>4186</v>
      </c>
      <c r="E408" s="58" t="s">
        <v>78</v>
      </c>
      <c r="F408" s="58" t="s">
        <v>3844</v>
      </c>
      <c r="G408" s="59">
        <v>46098.0</v>
      </c>
      <c r="H408" s="58" t="s">
        <v>4238</v>
      </c>
      <c r="I408" s="58" t="s">
        <v>97</v>
      </c>
      <c r="J408" s="58" t="s">
        <v>2246</v>
      </c>
      <c r="K408" s="58" t="s">
        <v>3846</v>
      </c>
      <c r="L408" s="58" t="s">
        <v>3847</v>
      </c>
    </row>
    <row r="409" ht="15.75" customHeight="1">
      <c r="A409" s="25" t="s">
        <v>401</v>
      </c>
      <c r="B409" s="26">
        <v>46086.0</v>
      </c>
      <c r="C409" s="25" t="s">
        <v>303</v>
      </c>
      <c r="D409" s="25" t="s">
        <v>4186</v>
      </c>
      <c r="E409" s="25" t="s">
        <v>162</v>
      </c>
      <c r="F409" s="25" t="s">
        <v>3844</v>
      </c>
      <c r="G409" s="26">
        <v>46186.0</v>
      </c>
      <c r="H409" s="25" t="s">
        <v>4239</v>
      </c>
      <c r="I409" s="25" t="s">
        <v>97</v>
      </c>
      <c r="J409" s="25" t="s">
        <v>2246</v>
      </c>
      <c r="K409" s="25" t="s">
        <v>3846</v>
      </c>
      <c r="L409" s="25" t="s">
        <v>3855</v>
      </c>
    </row>
    <row r="410" ht="15.75" customHeight="1">
      <c r="A410" s="58" t="s">
        <v>652</v>
      </c>
      <c r="B410" s="59">
        <v>46132.0</v>
      </c>
      <c r="C410" s="58" t="s">
        <v>588</v>
      </c>
      <c r="D410" s="58" t="s">
        <v>4186</v>
      </c>
      <c r="E410" s="58" t="s">
        <v>71</v>
      </c>
      <c r="F410" s="58" t="s">
        <v>3844</v>
      </c>
      <c r="G410" s="59">
        <v>46222.0</v>
      </c>
      <c r="H410" s="58" t="s">
        <v>4240</v>
      </c>
      <c r="I410" s="58" t="s">
        <v>97</v>
      </c>
      <c r="J410" s="58" t="s">
        <v>2246</v>
      </c>
      <c r="K410" s="58" t="s">
        <v>3846</v>
      </c>
      <c r="L410" s="58" t="s">
        <v>3851</v>
      </c>
    </row>
    <row r="411" ht="15.75" customHeight="1">
      <c r="A411" s="25" t="s">
        <v>1114</v>
      </c>
      <c r="B411" s="26">
        <v>46131.0</v>
      </c>
      <c r="C411" s="25" t="s">
        <v>1081</v>
      </c>
      <c r="D411" s="25" t="s">
        <v>4186</v>
      </c>
      <c r="E411" s="25" t="s">
        <v>102</v>
      </c>
      <c r="F411" s="25" t="s">
        <v>3844</v>
      </c>
      <c r="G411" s="26">
        <v>46263.0</v>
      </c>
      <c r="H411" s="25" t="s">
        <v>4241</v>
      </c>
      <c r="I411" s="25" t="s">
        <v>3906</v>
      </c>
      <c r="J411" s="25" t="s">
        <v>2247</v>
      </c>
      <c r="K411" s="25" t="s">
        <v>3854</v>
      </c>
      <c r="L411" s="25" t="s">
        <v>3855</v>
      </c>
    </row>
    <row r="412" ht="15.75" customHeight="1">
      <c r="A412" s="58" t="s">
        <v>654</v>
      </c>
      <c r="B412" s="59">
        <v>46142.0</v>
      </c>
      <c r="C412" s="58" t="s">
        <v>588</v>
      </c>
      <c r="D412" s="58" t="s">
        <v>4186</v>
      </c>
      <c r="E412" s="58" t="s">
        <v>123</v>
      </c>
      <c r="F412" s="58" t="s">
        <v>3844</v>
      </c>
      <c r="G412" s="59">
        <v>46213.0</v>
      </c>
      <c r="H412" s="58" t="s">
        <v>4242</v>
      </c>
      <c r="I412" s="58" t="s">
        <v>97</v>
      </c>
      <c r="J412" s="58" t="s">
        <v>2246</v>
      </c>
      <c r="K412" s="58" t="s">
        <v>3846</v>
      </c>
      <c r="L412" s="58" t="s">
        <v>3847</v>
      </c>
    </row>
    <row r="413" ht="15.75" customHeight="1">
      <c r="A413" s="25" t="s">
        <v>657</v>
      </c>
      <c r="B413" s="26">
        <v>46097.0</v>
      </c>
      <c r="C413" s="25" t="s">
        <v>573</v>
      </c>
      <c r="D413" s="25" t="s">
        <v>4186</v>
      </c>
      <c r="E413" s="25" t="s">
        <v>68</v>
      </c>
      <c r="F413" s="25" t="s">
        <v>3879</v>
      </c>
      <c r="G413" s="26">
        <v>46135.0</v>
      </c>
      <c r="H413" s="25" t="s">
        <v>4243</v>
      </c>
      <c r="I413" s="25" t="s">
        <v>97</v>
      </c>
      <c r="J413" s="25" t="s">
        <v>2247</v>
      </c>
      <c r="K413" s="25" t="s">
        <v>3881</v>
      </c>
      <c r="L413" s="25" t="s">
        <v>3847</v>
      </c>
    </row>
    <row r="414" ht="15.75" customHeight="1">
      <c r="A414" s="58" t="s">
        <v>1115</v>
      </c>
      <c r="B414" s="59">
        <v>46061.0</v>
      </c>
      <c r="C414" s="58" t="s">
        <v>1081</v>
      </c>
      <c r="D414" s="58" t="s">
        <v>4186</v>
      </c>
      <c r="E414" s="58" t="s">
        <v>78</v>
      </c>
      <c r="F414" s="58" t="s">
        <v>3844</v>
      </c>
      <c r="G414" s="59">
        <v>46216.0</v>
      </c>
      <c r="H414" s="58" t="s">
        <v>4244</v>
      </c>
      <c r="I414" s="58" t="s">
        <v>97</v>
      </c>
      <c r="J414" s="58" t="s">
        <v>2246</v>
      </c>
      <c r="K414" s="58" t="s">
        <v>3846</v>
      </c>
      <c r="L414" s="58" t="s">
        <v>3847</v>
      </c>
    </row>
    <row r="415" ht="15.75" customHeight="1">
      <c r="A415" s="25" t="s">
        <v>659</v>
      </c>
      <c r="B415" s="26">
        <v>46050.0</v>
      </c>
      <c r="C415" s="25" t="s">
        <v>588</v>
      </c>
      <c r="D415" s="25" t="s">
        <v>4186</v>
      </c>
      <c r="E415" s="25" t="s">
        <v>154</v>
      </c>
      <c r="F415" s="25" t="s">
        <v>3844</v>
      </c>
      <c r="G415" s="26">
        <v>46123.0</v>
      </c>
      <c r="H415" s="25" t="s">
        <v>4245</v>
      </c>
      <c r="I415" s="25" t="s">
        <v>97</v>
      </c>
      <c r="J415" s="25" t="s">
        <v>2246</v>
      </c>
      <c r="K415" s="25" t="s">
        <v>3846</v>
      </c>
      <c r="L415" s="25" t="s">
        <v>3851</v>
      </c>
    </row>
    <row r="416" ht="15.75" customHeight="1">
      <c r="A416" s="58" t="s">
        <v>408</v>
      </c>
      <c r="B416" s="59">
        <v>46102.0</v>
      </c>
      <c r="C416" s="58" t="s">
        <v>303</v>
      </c>
      <c r="D416" s="58" t="s">
        <v>4186</v>
      </c>
      <c r="E416" s="58" t="s">
        <v>78</v>
      </c>
      <c r="F416" s="58" t="s">
        <v>3844</v>
      </c>
      <c r="G416" s="59">
        <v>46244.0</v>
      </c>
      <c r="H416" s="58" t="s">
        <v>4246</v>
      </c>
      <c r="I416" s="58" t="s">
        <v>97</v>
      </c>
      <c r="J416" s="58" t="s">
        <v>2246</v>
      </c>
      <c r="K416" s="58" t="s">
        <v>3846</v>
      </c>
      <c r="L416" s="58" t="s">
        <v>3847</v>
      </c>
    </row>
    <row r="417" ht="15.75" customHeight="1">
      <c r="A417" s="25" t="s">
        <v>668</v>
      </c>
      <c r="B417" s="26">
        <v>46064.0</v>
      </c>
      <c r="C417" s="25" t="s">
        <v>575</v>
      </c>
      <c r="D417" s="25" t="s">
        <v>4186</v>
      </c>
      <c r="E417" s="25" t="s">
        <v>71</v>
      </c>
      <c r="F417" s="25" t="s">
        <v>3844</v>
      </c>
      <c r="G417" s="26">
        <v>46122.0</v>
      </c>
      <c r="H417" s="25"/>
      <c r="I417" s="25" t="s">
        <v>3906</v>
      </c>
      <c r="J417" s="25" t="s">
        <v>2247</v>
      </c>
      <c r="K417" s="25" t="s">
        <v>3874</v>
      </c>
      <c r="L417" s="25" t="s">
        <v>3855</v>
      </c>
    </row>
    <row r="418" ht="15.75" customHeight="1">
      <c r="A418" s="58" t="s">
        <v>669</v>
      </c>
      <c r="B418" s="59">
        <v>46038.0</v>
      </c>
      <c r="C418" s="58" t="s">
        <v>588</v>
      </c>
      <c r="D418" s="58" t="s">
        <v>4186</v>
      </c>
      <c r="E418" s="58" t="s">
        <v>156</v>
      </c>
      <c r="F418" s="58" t="s">
        <v>3844</v>
      </c>
      <c r="G418" s="59">
        <v>46022.0</v>
      </c>
      <c r="H418" s="58"/>
      <c r="I418" s="58" t="s">
        <v>97</v>
      </c>
      <c r="J418" s="58" t="s">
        <v>2247</v>
      </c>
      <c r="K418" s="58" t="s">
        <v>3848</v>
      </c>
      <c r="L418" s="58" t="s">
        <v>3847</v>
      </c>
    </row>
    <row r="419" ht="15.75" customHeight="1">
      <c r="A419" s="25" t="s">
        <v>672</v>
      </c>
      <c r="B419" s="26">
        <v>46101.0</v>
      </c>
      <c r="C419" s="25" t="s">
        <v>575</v>
      </c>
      <c r="D419" s="25" t="s">
        <v>4186</v>
      </c>
      <c r="E419" s="25" t="s">
        <v>102</v>
      </c>
      <c r="F419" s="25" t="s">
        <v>3844</v>
      </c>
      <c r="G419" s="26">
        <v>46175.0</v>
      </c>
      <c r="H419" s="25" t="s">
        <v>4247</v>
      </c>
      <c r="I419" s="25" t="s">
        <v>97</v>
      </c>
      <c r="J419" s="25" t="s">
        <v>2246</v>
      </c>
      <c r="K419" s="25" t="s">
        <v>3846</v>
      </c>
      <c r="L419" s="25" t="s">
        <v>3855</v>
      </c>
    </row>
    <row r="420" ht="15.75" customHeight="1">
      <c r="A420" s="58" t="s">
        <v>426</v>
      </c>
      <c r="B420" s="59">
        <v>46043.0</v>
      </c>
      <c r="C420" s="58" t="s">
        <v>303</v>
      </c>
      <c r="D420" s="58" t="s">
        <v>4186</v>
      </c>
      <c r="E420" s="58" t="s">
        <v>90</v>
      </c>
      <c r="F420" s="58" t="s">
        <v>3844</v>
      </c>
      <c r="G420" s="59">
        <v>46075.0</v>
      </c>
      <c r="H420" s="58" t="s">
        <v>4248</v>
      </c>
      <c r="I420" s="58" t="s">
        <v>97</v>
      </c>
      <c r="J420" s="58" t="s">
        <v>2246</v>
      </c>
      <c r="K420" s="58" t="s">
        <v>3846</v>
      </c>
      <c r="L420" s="58" t="s">
        <v>3847</v>
      </c>
    </row>
    <row r="421" ht="15.75" customHeight="1">
      <c r="A421" s="25" t="s">
        <v>939</v>
      </c>
      <c r="B421" s="26">
        <v>46048.0</v>
      </c>
      <c r="C421" s="25" t="s">
        <v>866</v>
      </c>
      <c r="D421" s="25" t="s">
        <v>4186</v>
      </c>
      <c r="E421" s="25" t="s">
        <v>90</v>
      </c>
      <c r="F421" s="25" t="s">
        <v>3913</v>
      </c>
      <c r="G421" s="26">
        <v>46203.0</v>
      </c>
      <c r="H421" s="25" t="s">
        <v>4249</v>
      </c>
      <c r="I421" s="25" t="s">
        <v>97</v>
      </c>
      <c r="J421" s="25" t="s">
        <v>2247</v>
      </c>
      <c r="K421" s="25" t="s">
        <v>3881</v>
      </c>
      <c r="L421" s="25" t="s">
        <v>3851</v>
      </c>
    </row>
    <row r="422" ht="15.75" customHeight="1">
      <c r="A422" s="58" t="s">
        <v>279</v>
      </c>
      <c r="B422" s="59">
        <v>46110.0</v>
      </c>
      <c r="C422" s="58" t="s">
        <v>166</v>
      </c>
      <c r="D422" s="58" t="s">
        <v>4186</v>
      </c>
      <c r="E422" s="58" t="s">
        <v>68</v>
      </c>
      <c r="F422" s="58" t="s">
        <v>3844</v>
      </c>
      <c r="G422" s="59">
        <v>46152.0</v>
      </c>
      <c r="H422" s="58" t="s">
        <v>4250</v>
      </c>
      <c r="I422" s="58" t="s">
        <v>97</v>
      </c>
      <c r="J422" s="58" t="s">
        <v>2246</v>
      </c>
      <c r="K422" s="58" t="s">
        <v>3846</v>
      </c>
      <c r="L422" s="58" t="s">
        <v>3851</v>
      </c>
    </row>
    <row r="423" ht="15.75" customHeight="1">
      <c r="A423" s="25" t="s">
        <v>942</v>
      </c>
      <c r="B423" s="26">
        <v>46112.0</v>
      </c>
      <c r="C423" s="25" t="s">
        <v>857</v>
      </c>
      <c r="D423" s="25" t="s">
        <v>4186</v>
      </c>
      <c r="E423" s="25" t="s">
        <v>115</v>
      </c>
      <c r="F423" s="25" t="s">
        <v>3844</v>
      </c>
      <c r="G423" s="26">
        <v>46264.0</v>
      </c>
      <c r="H423" s="25" t="s">
        <v>4251</v>
      </c>
      <c r="I423" s="25" t="s">
        <v>97</v>
      </c>
      <c r="J423" s="25" t="s">
        <v>2246</v>
      </c>
      <c r="K423" s="25" t="s">
        <v>3846</v>
      </c>
      <c r="L423" s="25" t="s">
        <v>3855</v>
      </c>
    </row>
    <row r="424" ht="15.75" customHeight="1">
      <c r="A424" s="58" t="s">
        <v>943</v>
      </c>
      <c r="B424" s="59">
        <v>46116.0</v>
      </c>
      <c r="C424" s="58" t="s">
        <v>861</v>
      </c>
      <c r="D424" s="58" t="s">
        <v>4186</v>
      </c>
      <c r="E424" s="58" t="s">
        <v>78</v>
      </c>
      <c r="F424" s="58" t="s">
        <v>3844</v>
      </c>
      <c r="G424" s="59">
        <v>46135.0</v>
      </c>
      <c r="H424" s="58" t="s">
        <v>4252</v>
      </c>
      <c r="I424" s="58" t="s">
        <v>97</v>
      </c>
      <c r="J424" s="58" t="s">
        <v>2246</v>
      </c>
      <c r="K424" s="58" t="s">
        <v>3846</v>
      </c>
      <c r="L424" s="58" t="s">
        <v>3851</v>
      </c>
    </row>
    <row r="425" ht="15.75" customHeight="1">
      <c r="A425" s="25" t="s">
        <v>944</v>
      </c>
      <c r="B425" s="26">
        <v>46027.0</v>
      </c>
      <c r="C425" s="25" t="s">
        <v>866</v>
      </c>
      <c r="D425" s="25" t="s">
        <v>4186</v>
      </c>
      <c r="E425" s="25" t="s">
        <v>190</v>
      </c>
      <c r="F425" s="25" t="s">
        <v>3844</v>
      </c>
      <c r="G425" s="26">
        <v>46108.0</v>
      </c>
      <c r="H425" s="25" t="s">
        <v>4253</v>
      </c>
      <c r="I425" s="25" t="s">
        <v>3853</v>
      </c>
      <c r="J425" s="25" t="s">
        <v>2247</v>
      </c>
      <c r="K425" s="25" t="s">
        <v>3854</v>
      </c>
      <c r="L425" s="25" t="s">
        <v>3851</v>
      </c>
    </row>
    <row r="426" ht="15.75" customHeight="1">
      <c r="A426" s="58" t="s">
        <v>1118</v>
      </c>
      <c r="B426" s="59">
        <v>46131.0</v>
      </c>
      <c r="C426" s="58" t="s">
        <v>1081</v>
      </c>
      <c r="D426" s="58" t="s">
        <v>4186</v>
      </c>
      <c r="E426" s="58" t="s">
        <v>162</v>
      </c>
      <c r="F426" s="58" t="s">
        <v>3844</v>
      </c>
      <c r="G426" s="59">
        <v>46133.0</v>
      </c>
      <c r="H426" s="58" t="s">
        <v>4254</v>
      </c>
      <c r="I426" s="58" t="s">
        <v>97</v>
      </c>
      <c r="J426" s="58" t="s">
        <v>2246</v>
      </c>
      <c r="K426" s="58" t="s">
        <v>3846</v>
      </c>
      <c r="L426" s="58" t="s">
        <v>3851</v>
      </c>
    </row>
    <row r="427" ht="15.75" customHeight="1">
      <c r="A427" s="25" t="s">
        <v>945</v>
      </c>
      <c r="B427" s="26">
        <v>46059.0</v>
      </c>
      <c r="C427" s="25" t="s">
        <v>857</v>
      </c>
      <c r="D427" s="25" t="s">
        <v>4186</v>
      </c>
      <c r="E427" s="25" t="s">
        <v>102</v>
      </c>
      <c r="F427" s="25" t="s">
        <v>3857</v>
      </c>
      <c r="G427" s="26">
        <v>46152.0</v>
      </c>
      <c r="H427" s="25" t="s">
        <v>4255</v>
      </c>
      <c r="I427" s="25" t="s">
        <v>97</v>
      </c>
      <c r="J427" s="25" t="s">
        <v>2246</v>
      </c>
      <c r="K427" s="25" t="s">
        <v>3846</v>
      </c>
      <c r="L427" s="25" t="s">
        <v>3847</v>
      </c>
    </row>
    <row r="428" ht="15.75" customHeight="1">
      <c r="A428" s="58" t="s">
        <v>687</v>
      </c>
      <c r="B428" s="59">
        <v>46131.0</v>
      </c>
      <c r="C428" s="58" t="s">
        <v>588</v>
      </c>
      <c r="D428" s="58" t="s">
        <v>4186</v>
      </c>
      <c r="E428" s="58" t="s">
        <v>95</v>
      </c>
      <c r="F428" s="58" t="s">
        <v>3844</v>
      </c>
      <c r="G428" s="59">
        <v>46152.0</v>
      </c>
      <c r="H428" s="58" t="s">
        <v>4256</v>
      </c>
      <c r="I428" s="58" t="s">
        <v>97</v>
      </c>
      <c r="J428" s="58" t="s">
        <v>2246</v>
      </c>
      <c r="K428" s="58" t="s">
        <v>3846</v>
      </c>
      <c r="L428" s="58" t="s">
        <v>3847</v>
      </c>
    </row>
    <row r="429" ht="15.75" customHeight="1">
      <c r="A429" s="25" t="s">
        <v>281</v>
      </c>
      <c r="B429" s="26">
        <v>46078.0</v>
      </c>
      <c r="C429" s="25" t="s">
        <v>166</v>
      </c>
      <c r="D429" s="25" t="s">
        <v>4186</v>
      </c>
      <c r="E429" s="25" t="s">
        <v>64</v>
      </c>
      <c r="F429" s="25" t="s">
        <v>3844</v>
      </c>
      <c r="G429" s="26">
        <v>46176.0</v>
      </c>
      <c r="H429" s="25" t="s">
        <v>4257</v>
      </c>
      <c r="I429" s="25" t="s">
        <v>97</v>
      </c>
      <c r="J429" s="25" t="s">
        <v>2246</v>
      </c>
      <c r="K429" s="25" t="s">
        <v>3846</v>
      </c>
      <c r="L429" s="25" t="s">
        <v>3855</v>
      </c>
    </row>
    <row r="430" ht="15.75" customHeight="1">
      <c r="A430" s="58" t="s">
        <v>690</v>
      </c>
      <c r="B430" s="59">
        <v>46110.0</v>
      </c>
      <c r="C430" s="58" t="s">
        <v>573</v>
      </c>
      <c r="D430" s="58" t="s">
        <v>4186</v>
      </c>
      <c r="E430" s="58" t="s">
        <v>190</v>
      </c>
      <c r="F430" s="58" t="s">
        <v>3844</v>
      </c>
      <c r="G430" s="59">
        <v>46139.0</v>
      </c>
      <c r="H430" s="58" t="s">
        <v>4258</v>
      </c>
      <c r="I430" s="58" t="s">
        <v>3853</v>
      </c>
      <c r="J430" s="58" t="s">
        <v>2247</v>
      </c>
      <c r="K430" s="58" t="s">
        <v>3854</v>
      </c>
      <c r="L430" s="58" t="s">
        <v>3851</v>
      </c>
    </row>
    <row r="431" ht="15.75" customHeight="1">
      <c r="A431" s="25" t="s">
        <v>438</v>
      </c>
      <c r="B431" s="26">
        <v>46068.0</v>
      </c>
      <c r="C431" s="25" t="s">
        <v>303</v>
      </c>
      <c r="D431" s="25" t="s">
        <v>4186</v>
      </c>
      <c r="E431" s="25" t="s">
        <v>156</v>
      </c>
      <c r="F431" s="25" t="s">
        <v>3844</v>
      </c>
      <c r="G431" s="26">
        <v>46146.0</v>
      </c>
      <c r="H431" s="25" t="s">
        <v>4259</v>
      </c>
      <c r="I431" s="25" t="s">
        <v>97</v>
      </c>
      <c r="J431" s="25" t="s">
        <v>2246</v>
      </c>
      <c r="K431" s="25" t="s">
        <v>3846</v>
      </c>
      <c r="L431" s="25" t="s">
        <v>3847</v>
      </c>
    </row>
    <row r="432" ht="15.75" customHeight="1">
      <c r="A432" s="58" t="s">
        <v>695</v>
      </c>
      <c r="B432" s="59">
        <v>46092.0</v>
      </c>
      <c r="C432" s="58" t="s">
        <v>573</v>
      </c>
      <c r="D432" s="58" t="s">
        <v>4186</v>
      </c>
      <c r="E432" s="58" t="s">
        <v>95</v>
      </c>
      <c r="F432" s="58" t="s">
        <v>3844</v>
      </c>
      <c r="G432" s="59">
        <v>46138.0</v>
      </c>
      <c r="H432" s="58" t="s">
        <v>4260</v>
      </c>
      <c r="I432" s="58" t="s">
        <v>97</v>
      </c>
      <c r="J432" s="58" t="s">
        <v>2246</v>
      </c>
      <c r="K432" s="58" t="s">
        <v>3846</v>
      </c>
      <c r="L432" s="58" t="s">
        <v>3847</v>
      </c>
    </row>
    <row r="433" ht="15.75" customHeight="1">
      <c r="A433" s="25" t="s">
        <v>443</v>
      </c>
      <c r="B433" s="26">
        <v>46114.0</v>
      </c>
      <c r="C433" s="25" t="s">
        <v>444</v>
      </c>
      <c r="D433" s="25" t="s">
        <v>4261</v>
      </c>
      <c r="E433" s="25" t="s">
        <v>110</v>
      </c>
      <c r="F433" s="25" t="s">
        <v>3844</v>
      </c>
      <c r="G433" s="26">
        <v>46235.0</v>
      </c>
      <c r="H433" s="25" t="s">
        <v>4262</v>
      </c>
      <c r="I433" s="25" t="s">
        <v>97</v>
      </c>
      <c r="J433" s="25" t="s">
        <v>2246</v>
      </c>
      <c r="K433" s="25" t="s">
        <v>3846</v>
      </c>
      <c r="L433" s="25" t="s">
        <v>3855</v>
      </c>
    </row>
    <row r="434" ht="15.75" customHeight="1">
      <c r="A434" s="58" t="s">
        <v>167</v>
      </c>
      <c r="B434" s="59">
        <v>46036.0</v>
      </c>
      <c r="C434" s="58" t="s">
        <v>168</v>
      </c>
      <c r="D434" s="58" t="s">
        <v>4261</v>
      </c>
      <c r="E434" s="58" t="s">
        <v>123</v>
      </c>
      <c r="F434" s="58" t="s">
        <v>3844</v>
      </c>
      <c r="G434" s="59">
        <v>46192.0</v>
      </c>
      <c r="H434" s="58" t="s">
        <v>4263</v>
      </c>
      <c r="I434" s="58" t="s">
        <v>97</v>
      </c>
      <c r="J434" s="58" t="s">
        <v>2246</v>
      </c>
      <c r="K434" s="58" t="s">
        <v>3846</v>
      </c>
      <c r="L434" s="58" t="s">
        <v>3847</v>
      </c>
    </row>
    <row r="435" ht="15.75" customHeight="1">
      <c r="A435" s="25" t="s">
        <v>449</v>
      </c>
      <c r="B435" s="26">
        <v>46046.0</v>
      </c>
      <c r="C435" s="25" t="s">
        <v>444</v>
      </c>
      <c r="D435" s="25" t="s">
        <v>4261</v>
      </c>
      <c r="E435" s="25" t="s">
        <v>92</v>
      </c>
      <c r="F435" s="25" t="s">
        <v>3844</v>
      </c>
      <c r="G435" s="26">
        <v>46065.0</v>
      </c>
      <c r="H435" s="25" t="s">
        <v>4264</v>
      </c>
      <c r="I435" s="25" t="s">
        <v>3853</v>
      </c>
      <c r="J435" s="25" t="s">
        <v>2247</v>
      </c>
      <c r="K435" s="25" t="s">
        <v>3854</v>
      </c>
      <c r="L435" s="25" t="s">
        <v>3847</v>
      </c>
    </row>
    <row r="436" ht="15.75" customHeight="1">
      <c r="A436" s="58" t="s">
        <v>171</v>
      </c>
      <c r="B436" s="59">
        <v>46042.0</v>
      </c>
      <c r="C436" s="58" t="s">
        <v>168</v>
      </c>
      <c r="D436" s="58" t="s">
        <v>4261</v>
      </c>
      <c r="E436" s="58" t="s">
        <v>95</v>
      </c>
      <c r="F436" s="58" t="s">
        <v>3879</v>
      </c>
      <c r="G436" s="59">
        <v>46031.0</v>
      </c>
      <c r="H436" s="58" t="s">
        <v>4265</v>
      </c>
      <c r="I436" s="58" t="s">
        <v>97</v>
      </c>
      <c r="J436" s="58" t="s">
        <v>2247</v>
      </c>
      <c r="K436" s="58" t="s">
        <v>3881</v>
      </c>
      <c r="L436" s="58" t="s">
        <v>3847</v>
      </c>
    </row>
    <row r="437" ht="15.75" customHeight="1">
      <c r="A437" s="25" t="s">
        <v>707</v>
      </c>
      <c r="B437" s="26">
        <v>46027.0</v>
      </c>
      <c r="C437" s="25" t="s">
        <v>708</v>
      </c>
      <c r="D437" s="25" t="s">
        <v>4261</v>
      </c>
      <c r="E437" s="25" t="s">
        <v>81</v>
      </c>
      <c r="F437" s="25" t="s">
        <v>3844</v>
      </c>
      <c r="G437" s="26">
        <v>46032.0</v>
      </c>
      <c r="H437" s="25" t="s">
        <v>4266</v>
      </c>
      <c r="I437" s="25" t="s">
        <v>97</v>
      </c>
      <c r="J437" s="25" t="s">
        <v>2246</v>
      </c>
      <c r="K437" s="25" t="s">
        <v>3846</v>
      </c>
      <c r="L437" s="25" t="s">
        <v>3847</v>
      </c>
    </row>
    <row r="438" ht="15.75" customHeight="1">
      <c r="A438" s="58" t="s">
        <v>962</v>
      </c>
      <c r="B438" s="59">
        <v>46061.0</v>
      </c>
      <c r="C438" s="58" t="s">
        <v>963</v>
      </c>
      <c r="D438" s="58" t="s">
        <v>4261</v>
      </c>
      <c r="E438" s="58" t="s">
        <v>64</v>
      </c>
      <c r="F438" s="58" t="s">
        <v>3844</v>
      </c>
      <c r="G438" s="59">
        <v>46204.0</v>
      </c>
      <c r="H438" s="58" t="s">
        <v>4267</v>
      </c>
      <c r="I438" s="58" t="s">
        <v>97</v>
      </c>
      <c r="J438" s="58" t="s">
        <v>2246</v>
      </c>
      <c r="K438" s="58" t="s">
        <v>3846</v>
      </c>
      <c r="L438" s="58" t="s">
        <v>3847</v>
      </c>
    </row>
    <row r="439" ht="15.75" customHeight="1">
      <c r="A439" s="25" t="s">
        <v>709</v>
      </c>
      <c r="B439" s="26">
        <v>46139.0</v>
      </c>
      <c r="C439" s="25" t="s">
        <v>710</v>
      </c>
      <c r="D439" s="25" t="s">
        <v>4261</v>
      </c>
      <c r="E439" s="25" t="s">
        <v>74</v>
      </c>
      <c r="F439" s="25" t="s">
        <v>3844</v>
      </c>
      <c r="G439" s="26">
        <v>46230.0</v>
      </c>
      <c r="H439" s="25" t="s">
        <v>4268</v>
      </c>
      <c r="I439" s="25" t="s">
        <v>97</v>
      </c>
      <c r="J439" s="25" t="s">
        <v>2246</v>
      </c>
      <c r="K439" s="25" t="s">
        <v>3846</v>
      </c>
      <c r="L439" s="25" t="s">
        <v>3847</v>
      </c>
    </row>
    <row r="440" ht="15.75" customHeight="1">
      <c r="A440" s="58" t="s">
        <v>450</v>
      </c>
      <c r="B440" s="59">
        <v>46053.0</v>
      </c>
      <c r="C440" s="58" t="s">
        <v>444</v>
      </c>
      <c r="D440" s="58" t="s">
        <v>4261</v>
      </c>
      <c r="E440" s="58" t="s">
        <v>74</v>
      </c>
      <c r="F440" s="58" t="s">
        <v>3844</v>
      </c>
      <c r="G440" s="59">
        <v>46138.0</v>
      </c>
      <c r="H440" s="58" t="s">
        <v>4269</v>
      </c>
      <c r="I440" s="58" t="s">
        <v>97</v>
      </c>
      <c r="J440" s="58" t="s">
        <v>2246</v>
      </c>
      <c r="K440" s="58" t="s">
        <v>3846</v>
      </c>
      <c r="L440" s="58" t="s">
        <v>3855</v>
      </c>
    </row>
    <row r="441" ht="15.75" customHeight="1">
      <c r="A441" s="25" t="s">
        <v>721</v>
      </c>
      <c r="B441" s="26">
        <v>46035.0</v>
      </c>
      <c r="C441" s="25" t="s">
        <v>710</v>
      </c>
      <c r="D441" s="25" t="s">
        <v>4261</v>
      </c>
      <c r="E441" s="25" t="s">
        <v>92</v>
      </c>
      <c r="F441" s="25" t="s">
        <v>3844</v>
      </c>
      <c r="G441" s="26">
        <v>46128.0</v>
      </c>
      <c r="H441" s="25" t="s">
        <v>4270</v>
      </c>
      <c r="I441" s="25" t="s">
        <v>3853</v>
      </c>
      <c r="J441" s="25" t="s">
        <v>2247</v>
      </c>
      <c r="K441" s="25" t="s">
        <v>3854</v>
      </c>
      <c r="L441" s="25" t="s">
        <v>3847</v>
      </c>
    </row>
    <row r="442" ht="15.75" customHeight="1">
      <c r="A442" s="58" t="s">
        <v>460</v>
      </c>
      <c r="B442" s="59">
        <v>46075.0</v>
      </c>
      <c r="C442" s="58" t="s">
        <v>444</v>
      </c>
      <c r="D442" s="58" t="s">
        <v>4261</v>
      </c>
      <c r="E442" s="58" t="s">
        <v>95</v>
      </c>
      <c r="F442" s="58" t="s">
        <v>3844</v>
      </c>
      <c r="G442" s="59">
        <v>46155.0</v>
      </c>
      <c r="H442" s="58" t="s">
        <v>4271</v>
      </c>
      <c r="I442" s="58" t="s">
        <v>97</v>
      </c>
      <c r="J442" s="58" t="s">
        <v>2246</v>
      </c>
      <c r="K442" s="58" t="s">
        <v>3846</v>
      </c>
      <c r="L442" s="58" t="s">
        <v>3851</v>
      </c>
    </row>
    <row r="443" ht="15.75" customHeight="1">
      <c r="A443" s="25" t="s">
        <v>461</v>
      </c>
      <c r="B443" s="26">
        <v>46121.0</v>
      </c>
      <c r="C443" s="25" t="s">
        <v>444</v>
      </c>
      <c r="D443" s="25" t="s">
        <v>4261</v>
      </c>
      <c r="E443" s="25" t="s">
        <v>74</v>
      </c>
      <c r="F443" s="25" t="s">
        <v>3844</v>
      </c>
      <c r="G443" s="26">
        <v>46115.0</v>
      </c>
      <c r="H443" s="25" t="s">
        <v>4272</v>
      </c>
      <c r="I443" s="25" t="s">
        <v>97</v>
      </c>
      <c r="J443" s="25" t="s">
        <v>2246</v>
      </c>
      <c r="K443" s="25" t="s">
        <v>3846</v>
      </c>
      <c r="L443" s="25" t="s">
        <v>3855</v>
      </c>
    </row>
    <row r="444" ht="15.75" customHeight="1">
      <c r="A444" s="58" t="s">
        <v>194</v>
      </c>
      <c r="B444" s="59">
        <v>46119.0</v>
      </c>
      <c r="C444" s="58" t="s">
        <v>195</v>
      </c>
      <c r="D444" s="58" t="s">
        <v>4261</v>
      </c>
      <c r="E444" s="58" t="s">
        <v>90</v>
      </c>
      <c r="F444" s="58" t="s">
        <v>3844</v>
      </c>
      <c r="G444" s="59">
        <v>46267.0</v>
      </c>
      <c r="H444" s="58" t="s">
        <v>4273</v>
      </c>
      <c r="I444" s="58" t="s">
        <v>97</v>
      </c>
      <c r="J444" s="58" t="s">
        <v>2246</v>
      </c>
      <c r="K444" s="58" t="s">
        <v>3846</v>
      </c>
      <c r="L444" s="58" t="s">
        <v>3855</v>
      </c>
    </row>
    <row r="445" ht="15.75" customHeight="1">
      <c r="A445" s="25" t="s">
        <v>319</v>
      </c>
      <c r="B445" s="26">
        <v>46044.0</v>
      </c>
      <c r="C445" s="25" t="s">
        <v>320</v>
      </c>
      <c r="D445" s="25" t="s">
        <v>4261</v>
      </c>
      <c r="E445" s="25" t="s">
        <v>85</v>
      </c>
      <c r="F445" s="25" t="s">
        <v>3844</v>
      </c>
      <c r="G445" s="26">
        <v>46066.0</v>
      </c>
      <c r="H445" s="25" t="s">
        <v>4274</v>
      </c>
      <c r="I445" s="25" t="s">
        <v>3853</v>
      </c>
      <c r="J445" s="25" t="s">
        <v>2247</v>
      </c>
      <c r="K445" s="25" t="s">
        <v>3854</v>
      </c>
      <c r="L445" s="25" t="s">
        <v>3851</v>
      </c>
    </row>
    <row r="446" ht="15.75" customHeight="1">
      <c r="A446" s="58" t="s">
        <v>321</v>
      </c>
      <c r="B446" s="59">
        <v>46128.0</v>
      </c>
      <c r="C446" s="58" t="s">
        <v>320</v>
      </c>
      <c r="D446" s="58" t="s">
        <v>4261</v>
      </c>
      <c r="E446" s="58" t="s">
        <v>106</v>
      </c>
      <c r="F446" s="58" t="s">
        <v>3844</v>
      </c>
      <c r="G446" s="59">
        <v>46133.0</v>
      </c>
      <c r="H446" s="58" t="s">
        <v>4275</v>
      </c>
      <c r="I446" s="58" t="s">
        <v>97</v>
      </c>
      <c r="J446" s="58" t="s">
        <v>2246</v>
      </c>
      <c r="K446" s="58" t="s">
        <v>3846</v>
      </c>
      <c r="L446" s="58" t="s">
        <v>3851</v>
      </c>
    </row>
    <row r="447" ht="15.75" customHeight="1">
      <c r="A447" s="25" t="s">
        <v>473</v>
      </c>
      <c r="B447" s="26">
        <v>46092.0</v>
      </c>
      <c r="C447" s="25" t="s">
        <v>444</v>
      </c>
      <c r="D447" s="25" t="s">
        <v>4261</v>
      </c>
      <c r="E447" s="25" t="s">
        <v>123</v>
      </c>
      <c r="F447" s="25" t="s">
        <v>3857</v>
      </c>
      <c r="G447" s="26">
        <v>46105.0</v>
      </c>
      <c r="H447" s="25" t="s">
        <v>4276</v>
      </c>
      <c r="I447" s="25" t="s">
        <v>97</v>
      </c>
      <c r="J447" s="25" t="s">
        <v>2246</v>
      </c>
      <c r="K447" s="25" t="s">
        <v>3846</v>
      </c>
      <c r="L447" s="25" t="s">
        <v>3851</v>
      </c>
    </row>
    <row r="448" ht="15.75" customHeight="1">
      <c r="A448" s="58" t="s">
        <v>197</v>
      </c>
      <c r="B448" s="59">
        <v>46081.0</v>
      </c>
      <c r="C448" s="58" t="s">
        <v>198</v>
      </c>
      <c r="D448" s="58" t="s">
        <v>4261</v>
      </c>
      <c r="E448" s="58" t="s">
        <v>90</v>
      </c>
      <c r="F448" s="58" t="s">
        <v>3844</v>
      </c>
      <c r="G448" s="59">
        <v>46081.0</v>
      </c>
      <c r="H448" s="58" t="s">
        <v>4277</v>
      </c>
      <c r="I448" s="58" t="s">
        <v>97</v>
      </c>
      <c r="J448" s="58" t="s">
        <v>2246</v>
      </c>
      <c r="K448" s="58" t="s">
        <v>3846</v>
      </c>
      <c r="L448" s="58" t="s">
        <v>3855</v>
      </c>
    </row>
    <row r="449" ht="15.75" customHeight="1">
      <c r="A449" s="25" t="s">
        <v>199</v>
      </c>
      <c r="B449" s="26">
        <v>46107.0</v>
      </c>
      <c r="C449" s="25" t="s">
        <v>195</v>
      </c>
      <c r="D449" s="25" t="s">
        <v>4261</v>
      </c>
      <c r="E449" s="25" t="s">
        <v>90</v>
      </c>
      <c r="F449" s="25" t="s">
        <v>3857</v>
      </c>
      <c r="G449" s="26">
        <v>46130.0</v>
      </c>
      <c r="H449" s="25" t="s">
        <v>4278</v>
      </c>
      <c r="I449" s="25" t="s">
        <v>97</v>
      </c>
      <c r="J449" s="25" t="s">
        <v>2246</v>
      </c>
      <c r="K449" s="25" t="s">
        <v>3846</v>
      </c>
      <c r="L449" s="25" t="s">
        <v>3847</v>
      </c>
    </row>
    <row r="450" ht="15.75" customHeight="1">
      <c r="A450" s="58" t="s">
        <v>581</v>
      </c>
      <c r="B450" s="59">
        <v>46115.0</v>
      </c>
      <c r="C450" s="58" t="s">
        <v>582</v>
      </c>
      <c r="D450" s="58" t="s">
        <v>4261</v>
      </c>
      <c r="E450" s="58" t="s">
        <v>123</v>
      </c>
      <c r="F450" s="58" t="s">
        <v>3844</v>
      </c>
      <c r="G450" s="59">
        <v>46100.0</v>
      </c>
      <c r="H450" s="58" t="s">
        <v>4279</v>
      </c>
      <c r="I450" s="58" t="s">
        <v>97</v>
      </c>
      <c r="J450" s="58" t="s">
        <v>2246</v>
      </c>
      <c r="K450" s="58" t="s">
        <v>3846</v>
      </c>
      <c r="L450" s="58" t="s">
        <v>3851</v>
      </c>
    </row>
    <row r="451" ht="15.75" customHeight="1">
      <c r="A451" s="25" t="s">
        <v>749</v>
      </c>
      <c r="B451" s="26">
        <v>46036.0</v>
      </c>
      <c r="C451" s="25" t="s">
        <v>710</v>
      </c>
      <c r="D451" s="25" t="s">
        <v>4261</v>
      </c>
      <c r="E451" s="25" t="s">
        <v>64</v>
      </c>
      <c r="F451" s="25" t="s">
        <v>3844</v>
      </c>
      <c r="G451" s="26">
        <v>46101.0</v>
      </c>
      <c r="H451" s="25" t="s">
        <v>4280</v>
      </c>
      <c r="I451" s="25" t="s">
        <v>97</v>
      </c>
      <c r="J451" s="25" t="s">
        <v>2246</v>
      </c>
      <c r="K451" s="25" t="s">
        <v>3846</v>
      </c>
      <c r="L451" s="25" t="s">
        <v>3851</v>
      </c>
    </row>
    <row r="452" ht="15.75" customHeight="1">
      <c r="A452" s="58" t="s">
        <v>202</v>
      </c>
      <c r="B452" s="59">
        <v>46077.0</v>
      </c>
      <c r="C452" s="58" t="s">
        <v>198</v>
      </c>
      <c r="D452" s="58" t="s">
        <v>4261</v>
      </c>
      <c r="E452" s="58" t="s">
        <v>123</v>
      </c>
      <c r="F452" s="58" t="s">
        <v>3844</v>
      </c>
      <c r="G452" s="59">
        <v>46079.0</v>
      </c>
      <c r="H452" s="58" t="s">
        <v>4281</v>
      </c>
      <c r="I452" s="58" t="s">
        <v>97</v>
      </c>
      <c r="J452" s="58" t="s">
        <v>2246</v>
      </c>
      <c r="K452" s="58" t="s">
        <v>3846</v>
      </c>
      <c r="L452" s="58" t="s">
        <v>3855</v>
      </c>
    </row>
    <row r="453" ht="15.75" customHeight="1">
      <c r="A453" s="25" t="s">
        <v>987</v>
      </c>
      <c r="B453" s="26">
        <v>46067.0</v>
      </c>
      <c r="C453" s="25" t="s">
        <v>988</v>
      </c>
      <c r="D453" s="25" t="s">
        <v>4261</v>
      </c>
      <c r="E453" s="25" t="s">
        <v>90</v>
      </c>
      <c r="F453" s="25" t="s">
        <v>3844</v>
      </c>
      <c r="G453" s="26">
        <v>46081.0</v>
      </c>
      <c r="H453" s="25" t="s">
        <v>4282</v>
      </c>
      <c r="I453" s="25" t="s">
        <v>97</v>
      </c>
      <c r="J453" s="25" t="s">
        <v>2246</v>
      </c>
      <c r="K453" s="25" t="s">
        <v>3846</v>
      </c>
      <c r="L453" s="25" t="s">
        <v>3847</v>
      </c>
    </row>
    <row r="454" ht="15.75" customHeight="1">
      <c r="A454" s="58" t="s">
        <v>760</v>
      </c>
      <c r="B454" s="59">
        <v>46025.0</v>
      </c>
      <c r="C454" s="58" t="s">
        <v>708</v>
      </c>
      <c r="D454" s="58" t="s">
        <v>4261</v>
      </c>
      <c r="E454" s="58" t="s">
        <v>110</v>
      </c>
      <c r="F454" s="58" t="s">
        <v>3844</v>
      </c>
      <c r="G454" s="59">
        <v>46132.0</v>
      </c>
      <c r="H454" s="58" t="s">
        <v>4283</v>
      </c>
      <c r="I454" s="58" t="s">
        <v>97</v>
      </c>
      <c r="J454" s="58" t="s">
        <v>2246</v>
      </c>
      <c r="K454" s="58" t="s">
        <v>3846</v>
      </c>
      <c r="L454" s="58" t="s">
        <v>3855</v>
      </c>
    </row>
    <row r="455" ht="15.75" customHeight="1">
      <c r="A455" s="25" t="s">
        <v>994</v>
      </c>
      <c r="B455" s="26">
        <v>46123.0</v>
      </c>
      <c r="C455" s="25" t="s">
        <v>963</v>
      </c>
      <c r="D455" s="25" t="s">
        <v>4261</v>
      </c>
      <c r="E455" s="25" t="s">
        <v>115</v>
      </c>
      <c r="F455" s="25" t="s">
        <v>3844</v>
      </c>
      <c r="G455" s="26">
        <v>46186.0</v>
      </c>
      <c r="H455" s="25" t="s">
        <v>4284</v>
      </c>
      <c r="I455" s="25" t="s">
        <v>97</v>
      </c>
      <c r="J455" s="25" t="s">
        <v>2246</v>
      </c>
      <c r="K455" s="25" t="s">
        <v>3846</v>
      </c>
      <c r="L455" s="25" t="s">
        <v>3851</v>
      </c>
    </row>
    <row r="456" ht="15.75" customHeight="1">
      <c r="A456" s="58" t="s">
        <v>995</v>
      </c>
      <c r="B456" s="59">
        <v>46032.0</v>
      </c>
      <c r="C456" s="58" t="s">
        <v>988</v>
      </c>
      <c r="D456" s="58" t="s">
        <v>4261</v>
      </c>
      <c r="E456" s="58" t="s">
        <v>74</v>
      </c>
      <c r="F456" s="58" t="s">
        <v>3844</v>
      </c>
      <c r="G456" s="59">
        <v>46123.0</v>
      </c>
      <c r="H456" s="58" t="s">
        <v>4285</v>
      </c>
      <c r="I456" s="58" t="s">
        <v>97</v>
      </c>
      <c r="J456" s="58" t="s">
        <v>2246</v>
      </c>
      <c r="K456" s="58" t="s">
        <v>3846</v>
      </c>
      <c r="L456" s="58" t="s">
        <v>3847</v>
      </c>
    </row>
    <row r="457" ht="15.75" customHeight="1">
      <c r="A457" s="25" t="s">
        <v>996</v>
      </c>
      <c r="B457" s="26">
        <v>46093.0</v>
      </c>
      <c r="C457" s="25" t="s">
        <v>988</v>
      </c>
      <c r="D457" s="25" t="s">
        <v>4261</v>
      </c>
      <c r="E457" s="25" t="s">
        <v>110</v>
      </c>
      <c r="F457" s="25" t="s">
        <v>3844</v>
      </c>
      <c r="G457" s="26">
        <v>46201.0</v>
      </c>
      <c r="H457" s="25" t="s">
        <v>4286</v>
      </c>
      <c r="I457" s="25" t="s">
        <v>97</v>
      </c>
      <c r="J457" s="25" t="s">
        <v>2246</v>
      </c>
      <c r="K457" s="25" t="s">
        <v>3846</v>
      </c>
      <c r="L457" s="25" t="s">
        <v>3855</v>
      </c>
    </row>
    <row r="458" ht="15.75" customHeight="1">
      <c r="A458" s="58" t="s">
        <v>1002</v>
      </c>
      <c r="B458" s="59">
        <v>46122.0</v>
      </c>
      <c r="C458" s="58" t="s">
        <v>988</v>
      </c>
      <c r="D458" s="58" t="s">
        <v>4261</v>
      </c>
      <c r="E458" s="58" t="s">
        <v>64</v>
      </c>
      <c r="F458" s="58" t="s">
        <v>3844</v>
      </c>
      <c r="G458" s="59">
        <v>46253.0</v>
      </c>
      <c r="H458" s="58" t="s">
        <v>4287</v>
      </c>
      <c r="I458" s="58" t="s">
        <v>97</v>
      </c>
      <c r="J458" s="58" t="s">
        <v>2246</v>
      </c>
      <c r="K458" s="58" t="s">
        <v>3846</v>
      </c>
      <c r="L458" s="58" t="s">
        <v>3851</v>
      </c>
    </row>
    <row r="459" ht="15.75" customHeight="1">
      <c r="A459" s="25" t="s">
        <v>211</v>
      </c>
      <c r="B459" s="26">
        <v>46063.0</v>
      </c>
      <c r="C459" s="25" t="s">
        <v>168</v>
      </c>
      <c r="D459" s="25" t="s">
        <v>4261</v>
      </c>
      <c r="E459" s="25" t="s">
        <v>154</v>
      </c>
      <c r="F459" s="25" t="s">
        <v>3844</v>
      </c>
      <c r="G459" s="26">
        <v>46164.0</v>
      </c>
      <c r="H459" s="25" t="s">
        <v>4288</v>
      </c>
      <c r="I459" s="25" t="s">
        <v>97</v>
      </c>
      <c r="J459" s="25" t="s">
        <v>2246</v>
      </c>
      <c r="K459" s="25" t="s">
        <v>3846</v>
      </c>
      <c r="L459" s="25" t="s">
        <v>3847</v>
      </c>
    </row>
    <row r="460" ht="15.75" customHeight="1">
      <c r="A460" s="58" t="s">
        <v>771</v>
      </c>
      <c r="B460" s="59">
        <v>46134.0</v>
      </c>
      <c r="C460" s="58" t="s">
        <v>708</v>
      </c>
      <c r="D460" s="58" t="s">
        <v>4261</v>
      </c>
      <c r="E460" s="58" t="s">
        <v>154</v>
      </c>
      <c r="F460" s="58" t="s">
        <v>3879</v>
      </c>
      <c r="G460" s="59">
        <v>46125.0</v>
      </c>
      <c r="H460" s="58" t="s">
        <v>4289</v>
      </c>
      <c r="I460" s="58" t="s">
        <v>97</v>
      </c>
      <c r="J460" s="58" t="s">
        <v>2247</v>
      </c>
      <c r="K460" s="58" t="s">
        <v>3881</v>
      </c>
      <c r="L460" s="58" t="s">
        <v>3847</v>
      </c>
    </row>
    <row r="461" ht="15.75" customHeight="1">
      <c r="A461" s="25" t="s">
        <v>773</v>
      </c>
      <c r="B461" s="26">
        <v>46036.0</v>
      </c>
      <c r="C461" s="25" t="s">
        <v>708</v>
      </c>
      <c r="D461" s="25" t="s">
        <v>4261</v>
      </c>
      <c r="E461" s="25" t="s">
        <v>85</v>
      </c>
      <c r="F461" s="25" t="s">
        <v>3844</v>
      </c>
      <c r="G461" s="26">
        <v>46151.0</v>
      </c>
      <c r="H461" s="25"/>
      <c r="I461" s="25" t="s">
        <v>3853</v>
      </c>
      <c r="J461" s="25" t="s">
        <v>2247</v>
      </c>
      <c r="K461" s="25" t="s">
        <v>3874</v>
      </c>
      <c r="L461" s="25" t="s">
        <v>3855</v>
      </c>
    </row>
    <row r="462" ht="15.75" customHeight="1">
      <c r="A462" s="58" t="s">
        <v>350</v>
      </c>
      <c r="B462" s="59">
        <v>46135.0</v>
      </c>
      <c r="C462" s="58" t="s">
        <v>320</v>
      </c>
      <c r="D462" s="58" t="s">
        <v>4261</v>
      </c>
      <c r="E462" s="58" t="s">
        <v>102</v>
      </c>
      <c r="F462" s="58" t="s">
        <v>3844</v>
      </c>
      <c r="G462" s="59">
        <v>46172.0</v>
      </c>
      <c r="H462" s="58" t="s">
        <v>4290</v>
      </c>
      <c r="I462" s="58" t="s">
        <v>97</v>
      </c>
      <c r="J462" s="58" t="s">
        <v>2246</v>
      </c>
      <c r="K462" s="58" t="s">
        <v>3846</v>
      </c>
      <c r="L462" s="58" t="s">
        <v>3855</v>
      </c>
    </row>
    <row r="463" ht="15.75" customHeight="1">
      <c r="A463" s="25" t="s">
        <v>215</v>
      </c>
      <c r="B463" s="26">
        <v>46130.0</v>
      </c>
      <c r="C463" s="25" t="s">
        <v>168</v>
      </c>
      <c r="D463" s="25" t="s">
        <v>4261</v>
      </c>
      <c r="E463" s="25" t="s">
        <v>71</v>
      </c>
      <c r="F463" s="25" t="s">
        <v>3844</v>
      </c>
      <c r="G463" s="26">
        <v>46249.0</v>
      </c>
      <c r="H463" s="25" t="s">
        <v>4291</v>
      </c>
      <c r="I463" s="25" t="s">
        <v>97</v>
      </c>
      <c r="J463" s="25" t="s">
        <v>2246</v>
      </c>
      <c r="K463" s="25" t="s">
        <v>3846</v>
      </c>
      <c r="L463" s="25" t="s">
        <v>3855</v>
      </c>
    </row>
    <row r="464" ht="15.75" customHeight="1">
      <c r="A464" s="58" t="s">
        <v>223</v>
      </c>
      <c r="B464" s="59">
        <v>46140.0</v>
      </c>
      <c r="C464" s="58" t="s">
        <v>198</v>
      </c>
      <c r="D464" s="58" t="s">
        <v>4261</v>
      </c>
      <c r="E464" s="58" t="s">
        <v>81</v>
      </c>
      <c r="F464" s="58" t="s">
        <v>3844</v>
      </c>
      <c r="G464" s="59">
        <v>46269.0</v>
      </c>
      <c r="H464" s="58" t="s">
        <v>4292</v>
      </c>
      <c r="I464" s="58" t="s">
        <v>97</v>
      </c>
      <c r="J464" s="58" t="s">
        <v>2246</v>
      </c>
      <c r="K464" s="58" t="s">
        <v>3846</v>
      </c>
      <c r="L464" s="58" t="s">
        <v>3851</v>
      </c>
    </row>
    <row r="465" ht="15.75" customHeight="1">
      <c r="A465" s="25" t="s">
        <v>1014</v>
      </c>
      <c r="B465" s="26">
        <v>46048.0</v>
      </c>
      <c r="C465" s="25" t="s">
        <v>963</v>
      </c>
      <c r="D465" s="25" t="s">
        <v>4261</v>
      </c>
      <c r="E465" s="25" t="s">
        <v>71</v>
      </c>
      <c r="F465" s="25" t="s">
        <v>3844</v>
      </c>
      <c r="G465" s="26">
        <v>46197.0</v>
      </c>
      <c r="H465" s="25" t="s">
        <v>4293</v>
      </c>
      <c r="I465" s="25" t="s">
        <v>97</v>
      </c>
      <c r="J465" s="25" t="s">
        <v>2246</v>
      </c>
      <c r="K465" s="25" t="s">
        <v>3846</v>
      </c>
      <c r="L465" s="25" t="s">
        <v>3851</v>
      </c>
    </row>
    <row r="466" ht="15.75" customHeight="1">
      <c r="A466" s="58" t="s">
        <v>230</v>
      </c>
      <c r="B466" s="59">
        <v>46078.0</v>
      </c>
      <c r="C466" s="58" t="s">
        <v>168</v>
      </c>
      <c r="D466" s="58" t="s">
        <v>4261</v>
      </c>
      <c r="E466" s="58" t="s">
        <v>64</v>
      </c>
      <c r="F466" s="58" t="s">
        <v>3844</v>
      </c>
      <c r="G466" s="59">
        <v>46190.0</v>
      </c>
      <c r="H466" s="58" t="s">
        <v>4294</v>
      </c>
      <c r="I466" s="58" t="s">
        <v>97</v>
      </c>
      <c r="J466" s="58" t="s">
        <v>2246</v>
      </c>
      <c r="K466" s="58" t="s">
        <v>3846</v>
      </c>
      <c r="L466" s="58" t="s">
        <v>3847</v>
      </c>
    </row>
    <row r="467" ht="15.75" customHeight="1">
      <c r="A467" s="25" t="s">
        <v>500</v>
      </c>
      <c r="B467" s="26">
        <v>46069.0</v>
      </c>
      <c r="C467" s="25" t="s">
        <v>444</v>
      </c>
      <c r="D467" s="25" t="s">
        <v>4261</v>
      </c>
      <c r="E467" s="25" t="s">
        <v>102</v>
      </c>
      <c r="F467" s="25" t="s">
        <v>3844</v>
      </c>
      <c r="G467" s="26">
        <v>46065.0</v>
      </c>
      <c r="H467" s="25" t="s">
        <v>4295</v>
      </c>
      <c r="I467" s="25" t="s">
        <v>97</v>
      </c>
      <c r="J467" s="25" t="s">
        <v>2246</v>
      </c>
      <c r="K467" s="25" t="s">
        <v>3846</v>
      </c>
      <c r="L467" s="25" t="s">
        <v>3851</v>
      </c>
    </row>
    <row r="468" ht="15.75" customHeight="1">
      <c r="A468" s="58" t="s">
        <v>617</v>
      </c>
      <c r="B468" s="59">
        <v>46069.0</v>
      </c>
      <c r="C468" s="58" t="s">
        <v>582</v>
      </c>
      <c r="D468" s="58" t="s">
        <v>4261</v>
      </c>
      <c r="E468" s="58" t="s">
        <v>95</v>
      </c>
      <c r="F468" s="58" t="s">
        <v>3844</v>
      </c>
      <c r="G468" s="59">
        <v>46190.0</v>
      </c>
      <c r="H468" s="58" t="s">
        <v>4296</v>
      </c>
      <c r="I468" s="58" t="s">
        <v>97</v>
      </c>
      <c r="J468" s="58" t="s">
        <v>2246</v>
      </c>
      <c r="K468" s="58" t="s">
        <v>3846</v>
      </c>
      <c r="L468" s="58" t="s">
        <v>3851</v>
      </c>
    </row>
    <row r="469" ht="15.75" customHeight="1">
      <c r="A469" s="25" t="s">
        <v>233</v>
      </c>
      <c r="B469" s="26">
        <v>46091.0</v>
      </c>
      <c r="C469" s="25" t="s">
        <v>198</v>
      </c>
      <c r="D469" s="25" t="s">
        <v>4261</v>
      </c>
      <c r="E469" s="25" t="s">
        <v>123</v>
      </c>
      <c r="F469" s="25" t="s">
        <v>3844</v>
      </c>
      <c r="G469" s="26">
        <v>46072.0</v>
      </c>
      <c r="H469" s="25" t="s">
        <v>4297</v>
      </c>
      <c r="I469" s="25" t="s">
        <v>3906</v>
      </c>
      <c r="J469" s="25" t="s">
        <v>2247</v>
      </c>
      <c r="K469" s="25" t="s">
        <v>3854</v>
      </c>
      <c r="L469" s="25" t="s">
        <v>3855</v>
      </c>
    </row>
    <row r="470" ht="15.75" customHeight="1">
      <c r="A470" s="58" t="s">
        <v>1018</v>
      </c>
      <c r="B470" s="59">
        <v>46106.0</v>
      </c>
      <c r="C470" s="58" t="s">
        <v>963</v>
      </c>
      <c r="D470" s="58" t="s">
        <v>4261</v>
      </c>
      <c r="E470" s="58" t="s">
        <v>71</v>
      </c>
      <c r="F470" s="58" t="s">
        <v>3844</v>
      </c>
      <c r="G470" s="59">
        <v>46151.0</v>
      </c>
      <c r="H470" s="58" t="s">
        <v>4298</v>
      </c>
      <c r="I470" s="58" t="s">
        <v>97</v>
      </c>
      <c r="J470" s="58" t="s">
        <v>2246</v>
      </c>
      <c r="K470" s="58" t="s">
        <v>3846</v>
      </c>
      <c r="L470" s="58" t="s">
        <v>3851</v>
      </c>
    </row>
    <row r="471" ht="15.75" customHeight="1">
      <c r="A471" s="25" t="s">
        <v>235</v>
      </c>
      <c r="B471" s="26">
        <v>46053.0</v>
      </c>
      <c r="C471" s="25" t="s">
        <v>168</v>
      </c>
      <c r="D471" s="25" t="s">
        <v>4261</v>
      </c>
      <c r="E471" s="25" t="s">
        <v>102</v>
      </c>
      <c r="F471" s="25" t="s">
        <v>3844</v>
      </c>
      <c r="G471" s="26">
        <v>46159.0</v>
      </c>
      <c r="H471" s="25" t="s">
        <v>4299</v>
      </c>
      <c r="I471" s="25" t="s">
        <v>97</v>
      </c>
      <c r="J471" s="25" t="s">
        <v>2246</v>
      </c>
      <c r="K471" s="25" t="s">
        <v>3846</v>
      </c>
      <c r="L471" s="25" t="s">
        <v>3851</v>
      </c>
    </row>
    <row r="472" ht="15.75" customHeight="1">
      <c r="A472" s="58" t="s">
        <v>628</v>
      </c>
      <c r="B472" s="59">
        <v>46062.0</v>
      </c>
      <c r="C472" s="58" t="s">
        <v>582</v>
      </c>
      <c r="D472" s="58" t="s">
        <v>4261</v>
      </c>
      <c r="E472" s="58" t="s">
        <v>110</v>
      </c>
      <c r="F472" s="58" t="s">
        <v>3844</v>
      </c>
      <c r="G472" s="59">
        <v>46098.0</v>
      </c>
      <c r="H472" s="58" t="s">
        <v>4300</v>
      </c>
      <c r="I472" s="58" t="s">
        <v>97</v>
      </c>
      <c r="J472" s="58" t="s">
        <v>2246</v>
      </c>
      <c r="K472" s="58" t="s">
        <v>3846</v>
      </c>
      <c r="L472" s="58" t="s">
        <v>3855</v>
      </c>
    </row>
    <row r="473" ht="15.75" customHeight="1">
      <c r="A473" s="25" t="s">
        <v>1026</v>
      </c>
      <c r="B473" s="26">
        <v>46037.0</v>
      </c>
      <c r="C473" s="25" t="s">
        <v>988</v>
      </c>
      <c r="D473" s="25" t="s">
        <v>4261</v>
      </c>
      <c r="E473" s="25" t="s">
        <v>115</v>
      </c>
      <c r="F473" s="25" t="s">
        <v>3844</v>
      </c>
      <c r="G473" s="26">
        <v>46153.0</v>
      </c>
      <c r="H473" s="25" t="s">
        <v>4301</v>
      </c>
      <c r="I473" s="25" t="s">
        <v>97</v>
      </c>
      <c r="J473" s="25" t="s">
        <v>2246</v>
      </c>
      <c r="K473" s="25" t="s">
        <v>3846</v>
      </c>
      <c r="L473" s="25" t="s">
        <v>3847</v>
      </c>
    </row>
    <row r="474" ht="15.75" customHeight="1">
      <c r="A474" s="58" t="s">
        <v>799</v>
      </c>
      <c r="B474" s="59">
        <v>46049.0</v>
      </c>
      <c r="C474" s="58" t="s">
        <v>710</v>
      </c>
      <c r="D474" s="58" t="s">
        <v>4261</v>
      </c>
      <c r="E474" s="58" t="s">
        <v>92</v>
      </c>
      <c r="F474" s="58" t="s">
        <v>3857</v>
      </c>
      <c r="G474" s="59">
        <v>46054.0</v>
      </c>
      <c r="H474" s="58" t="s">
        <v>4302</v>
      </c>
      <c r="I474" s="58" t="s">
        <v>3853</v>
      </c>
      <c r="J474" s="58" t="s">
        <v>2247</v>
      </c>
      <c r="K474" s="58" t="s">
        <v>3854</v>
      </c>
      <c r="L474" s="58" t="s">
        <v>3855</v>
      </c>
    </row>
    <row r="475" ht="15.75" customHeight="1">
      <c r="A475" s="25" t="s">
        <v>805</v>
      </c>
      <c r="B475" s="26">
        <v>46045.0</v>
      </c>
      <c r="C475" s="25" t="s">
        <v>708</v>
      </c>
      <c r="D475" s="25" t="s">
        <v>4261</v>
      </c>
      <c r="E475" s="25" t="s">
        <v>115</v>
      </c>
      <c r="F475" s="25" t="s">
        <v>3844</v>
      </c>
      <c r="G475" s="26">
        <v>46122.0</v>
      </c>
      <c r="H475" s="25" t="s">
        <v>4303</v>
      </c>
      <c r="I475" s="25" t="s">
        <v>97</v>
      </c>
      <c r="J475" s="25" t="s">
        <v>2246</v>
      </c>
      <c r="K475" s="25" t="s">
        <v>3846</v>
      </c>
      <c r="L475" s="25" t="s">
        <v>3847</v>
      </c>
    </row>
    <row r="476" ht="15.75" customHeight="1">
      <c r="A476" s="58" t="s">
        <v>807</v>
      </c>
      <c r="B476" s="59">
        <v>46037.0</v>
      </c>
      <c r="C476" s="58" t="s">
        <v>710</v>
      </c>
      <c r="D476" s="58" t="s">
        <v>4261</v>
      </c>
      <c r="E476" s="58" t="s">
        <v>78</v>
      </c>
      <c r="F476" s="58" t="s">
        <v>3844</v>
      </c>
      <c r="G476" s="59">
        <v>46174.0</v>
      </c>
      <c r="H476" s="58"/>
      <c r="I476" s="58" t="s">
        <v>97</v>
      </c>
      <c r="J476" s="58" t="s">
        <v>2247</v>
      </c>
      <c r="K476" s="58" t="s">
        <v>3848</v>
      </c>
      <c r="L476" s="58" t="s">
        <v>3855</v>
      </c>
    </row>
    <row r="477" ht="15.75" customHeight="1">
      <c r="A477" s="25" t="s">
        <v>1037</v>
      </c>
      <c r="B477" s="26">
        <v>46061.0</v>
      </c>
      <c r="C477" s="25" t="s">
        <v>988</v>
      </c>
      <c r="D477" s="25" t="s">
        <v>4261</v>
      </c>
      <c r="E477" s="25" t="s">
        <v>81</v>
      </c>
      <c r="F477" s="25" t="s">
        <v>3844</v>
      </c>
      <c r="G477" s="26">
        <v>46173.0</v>
      </c>
      <c r="H477" s="25"/>
      <c r="I477" s="25" t="s">
        <v>97</v>
      </c>
      <c r="J477" s="25" t="s">
        <v>2247</v>
      </c>
      <c r="K477" s="25" t="s">
        <v>3848</v>
      </c>
      <c r="L477" s="25" t="s">
        <v>3855</v>
      </c>
    </row>
    <row r="478" ht="15.75" customHeight="1">
      <c r="A478" s="58" t="s">
        <v>248</v>
      </c>
      <c r="B478" s="59">
        <v>46141.0</v>
      </c>
      <c r="C478" s="58" t="s">
        <v>198</v>
      </c>
      <c r="D478" s="58" t="s">
        <v>4261</v>
      </c>
      <c r="E478" s="58" t="s">
        <v>78</v>
      </c>
      <c r="F478" s="58" t="s">
        <v>3844</v>
      </c>
      <c r="G478" s="59">
        <v>46257.0</v>
      </c>
      <c r="H478" s="58" t="s">
        <v>4304</v>
      </c>
      <c r="I478" s="58" t="s">
        <v>97</v>
      </c>
      <c r="J478" s="58" t="s">
        <v>2246</v>
      </c>
      <c r="K478" s="58" t="s">
        <v>3846</v>
      </c>
      <c r="L478" s="58" t="s">
        <v>3855</v>
      </c>
    </row>
    <row r="479" ht="15.75" customHeight="1">
      <c r="A479" s="25" t="s">
        <v>249</v>
      </c>
      <c r="B479" s="26">
        <v>46058.0</v>
      </c>
      <c r="C479" s="25" t="s">
        <v>198</v>
      </c>
      <c r="D479" s="25" t="s">
        <v>4261</v>
      </c>
      <c r="E479" s="25" t="s">
        <v>90</v>
      </c>
      <c r="F479" s="25" t="s">
        <v>3844</v>
      </c>
      <c r="G479" s="26">
        <v>46050.0</v>
      </c>
      <c r="H479" s="25" t="s">
        <v>4305</v>
      </c>
      <c r="I479" s="25" t="s">
        <v>97</v>
      </c>
      <c r="J479" s="25" t="s">
        <v>2246</v>
      </c>
      <c r="K479" s="25" t="s">
        <v>3846</v>
      </c>
      <c r="L479" s="25" t="s">
        <v>3855</v>
      </c>
    </row>
    <row r="480" ht="15.75" customHeight="1">
      <c r="A480" s="58" t="s">
        <v>819</v>
      </c>
      <c r="B480" s="59">
        <v>46125.0</v>
      </c>
      <c r="C480" s="58" t="s">
        <v>710</v>
      </c>
      <c r="D480" s="58" t="s">
        <v>4261</v>
      </c>
      <c r="E480" s="58" t="s">
        <v>64</v>
      </c>
      <c r="F480" s="58" t="s">
        <v>3844</v>
      </c>
      <c r="G480" s="59">
        <v>46144.0</v>
      </c>
      <c r="H480" s="58" t="s">
        <v>4306</v>
      </c>
      <c r="I480" s="58" t="s">
        <v>97</v>
      </c>
      <c r="J480" s="58" t="s">
        <v>2246</v>
      </c>
      <c r="K480" s="58" t="s">
        <v>3846</v>
      </c>
      <c r="L480" s="58" t="s">
        <v>3847</v>
      </c>
    </row>
    <row r="481" ht="15.75" customHeight="1">
      <c r="A481" s="25" t="s">
        <v>653</v>
      </c>
      <c r="B481" s="26">
        <v>46136.0</v>
      </c>
      <c r="C481" s="25" t="s">
        <v>582</v>
      </c>
      <c r="D481" s="25" t="s">
        <v>4261</v>
      </c>
      <c r="E481" s="25" t="s">
        <v>90</v>
      </c>
      <c r="F481" s="25" t="s">
        <v>3844</v>
      </c>
      <c r="G481" s="26">
        <v>46180.0</v>
      </c>
      <c r="H481" s="25"/>
      <c r="I481" s="25" t="s">
        <v>97</v>
      </c>
      <c r="J481" s="25" t="s">
        <v>2247</v>
      </c>
      <c r="K481" s="25" t="s">
        <v>3848</v>
      </c>
      <c r="L481" s="25" t="s">
        <v>3847</v>
      </c>
    </row>
    <row r="482" ht="15.75" customHeight="1">
      <c r="A482" s="58" t="s">
        <v>404</v>
      </c>
      <c r="B482" s="59">
        <v>46132.0</v>
      </c>
      <c r="C482" s="58" t="s">
        <v>320</v>
      </c>
      <c r="D482" s="58" t="s">
        <v>4261</v>
      </c>
      <c r="E482" s="58" t="s">
        <v>123</v>
      </c>
      <c r="F482" s="58" t="s">
        <v>3844</v>
      </c>
      <c r="G482" s="59">
        <v>46195.0</v>
      </c>
      <c r="H482" s="58"/>
      <c r="I482" s="58" t="s">
        <v>97</v>
      </c>
      <c r="J482" s="58" t="s">
        <v>2247</v>
      </c>
      <c r="K482" s="58" t="s">
        <v>3848</v>
      </c>
      <c r="L482" s="58" t="s">
        <v>3847</v>
      </c>
    </row>
    <row r="483" ht="15.75" customHeight="1">
      <c r="A483" s="25" t="s">
        <v>824</v>
      </c>
      <c r="B483" s="26">
        <v>46069.0</v>
      </c>
      <c r="C483" s="25" t="s">
        <v>708</v>
      </c>
      <c r="D483" s="25" t="s">
        <v>4261</v>
      </c>
      <c r="E483" s="25" t="s">
        <v>71</v>
      </c>
      <c r="F483" s="25" t="s">
        <v>3879</v>
      </c>
      <c r="G483" s="26">
        <v>46110.0</v>
      </c>
      <c r="H483" s="25" t="s">
        <v>4307</v>
      </c>
      <c r="I483" s="25" t="s">
        <v>97</v>
      </c>
      <c r="J483" s="25" t="s">
        <v>2247</v>
      </c>
      <c r="K483" s="25" t="s">
        <v>3881</v>
      </c>
      <c r="L483" s="25" t="s">
        <v>3855</v>
      </c>
    </row>
    <row r="484" ht="15.75" customHeight="1">
      <c r="A484" s="58" t="s">
        <v>519</v>
      </c>
      <c r="B484" s="59">
        <v>46130.0</v>
      </c>
      <c r="C484" s="58" t="s">
        <v>444</v>
      </c>
      <c r="D484" s="58" t="s">
        <v>4261</v>
      </c>
      <c r="E484" s="58" t="s">
        <v>74</v>
      </c>
      <c r="F484" s="58" t="s">
        <v>3844</v>
      </c>
      <c r="G484" s="59">
        <v>46136.0</v>
      </c>
      <c r="H484" s="58" t="s">
        <v>4308</v>
      </c>
      <c r="I484" s="58" t="s">
        <v>97</v>
      </c>
      <c r="J484" s="58" t="s">
        <v>2246</v>
      </c>
      <c r="K484" s="58" t="s">
        <v>3846</v>
      </c>
      <c r="L484" s="58" t="s">
        <v>3851</v>
      </c>
    </row>
    <row r="485" ht="15.75" customHeight="1">
      <c r="A485" s="25" t="s">
        <v>260</v>
      </c>
      <c r="B485" s="26">
        <v>46042.0</v>
      </c>
      <c r="C485" s="25" t="s">
        <v>168</v>
      </c>
      <c r="D485" s="25" t="s">
        <v>4261</v>
      </c>
      <c r="E485" s="25" t="s">
        <v>123</v>
      </c>
      <c r="F485" s="25" t="s">
        <v>3879</v>
      </c>
      <c r="G485" s="26">
        <v>46056.0</v>
      </c>
      <c r="H485" s="25" t="s">
        <v>4309</v>
      </c>
      <c r="I485" s="25" t="s">
        <v>97</v>
      </c>
      <c r="J485" s="25" t="s">
        <v>2247</v>
      </c>
      <c r="K485" s="25" t="s">
        <v>3881</v>
      </c>
      <c r="L485" s="25" t="s">
        <v>3847</v>
      </c>
    </row>
    <row r="486" ht="15.75" customHeight="1">
      <c r="A486" s="58" t="s">
        <v>827</v>
      </c>
      <c r="B486" s="59">
        <v>46066.0</v>
      </c>
      <c r="C486" s="58" t="s">
        <v>710</v>
      </c>
      <c r="D486" s="58" t="s">
        <v>4261</v>
      </c>
      <c r="E486" s="58" t="s">
        <v>110</v>
      </c>
      <c r="F486" s="58" t="s">
        <v>3913</v>
      </c>
      <c r="G486" s="59">
        <v>46123.0</v>
      </c>
      <c r="H486" s="58"/>
      <c r="I486" s="58" t="s">
        <v>97</v>
      </c>
      <c r="J486" s="58" t="s">
        <v>2247</v>
      </c>
      <c r="K486" s="58" t="s">
        <v>4230</v>
      </c>
      <c r="L486" s="58" t="s">
        <v>3847</v>
      </c>
    </row>
    <row r="487" ht="15.75" customHeight="1">
      <c r="A487" s="25" t="s">
        <v>830</v>
      </c>
      <c r="B487" s="26">
        <v>46109.0</v>
      </c>
      <c r="C487" s="25" t="s">
        <v>708</v>
      </c>
      <c r="D487" s="25" t="s">
        <v>4261</v>
      </c>
      <c r="E487" s="25" t="s">
        <v>74</v>
      </c>
      <c r="F487" s="25" t="s">
        <v>3844</v>
      </c>
      <c r="G487" s="26">
        <v>46110.0</v>
      </c>
      <c r="H487" s="25" t="s">
        <v>4310</v>
      </c>
      <c r="I487" s="25" t="s">
        <v>97</v>
      </c>
      <c r="J487" s="25" t="s">
        <v>2246</v>
      </c>
      <c r="K487" s="25" t="s">
        <v>3846</v>
      </c>
      <c r="L487" s="25" t="s">
        <v>3851</v>
      </c>
    </row>
    <row r="488" ht="15.75" customHeight="1">
      <c r="A488" s="58" t="s">
        <v>419</v>
      </c>
      <c r="B488" s="59">
        <v>46063.0</v>
      </c>
      <c r="C488" s="58" t="s">
        <v>320</v>
      </c>
      <c r="D488" s="58" t="s">
        <v>4261</v>
      </c>
      <c r="E488" s="58" t="s">
        <v>74</v>
      </c>
      <c r="F488" s="58" t="s">
        <v>3844</v>
      </c>
      <c r="G488" s="59">
        <v>46083.0</v>
      </c>
      <c r="H488" s="58" t="s">
        <v>4311</v>
      </c>
      <c r="I488" s="58" t="s">
        <v>3906</v>
      </c>
      <c r="J488" s="58" t="s">
        <v>2247</v>
      </c>
      <c r="K488" s="58" t="s">
        <v>3854</v>
      </c>
      <c r="L488" s="58" t="s">
        <v>3847</v>
      </c>
    </row>
    <row r="489" ht="15.75" customHeight="1">
      <c r="A489" s="25" t="s">
        <v>267</v>
      </c>
      <c r="B489" s="26">
        <v>46139.0</v>
      </c>
      <c r="C489" s="25" t="s">
        <v>168</v>
      </c>
      <c r="D489" s="25" t="s">
        <v>4261</v>
      </c>
      <c r="E489" s="25" t="s">
        <v>64</v>
      </c>
      <c r="F489" s="25" t="s">
        <v>3844</v>
      </c>
      <c r="G489" s="26">
        <v>46293.0</v>
      </c>
      <c r="H489" s="25" t="s">
        <v>4312</v>
      </c>
      <c r="I489" s="25" t="s">
        <v>97</v>
      </c>
      <c r="J489" s="25" t="s">
        <v>2246</v>
      </c>
      <c r="K489" s="25" t="s">
        <v>3846</v>
      </c>
      <c r="L489" s="25" t="s">
        <v>3851</v>
      </c>
    </row>
    <row r="490" ht="15.75" customHeight="1">
      <c r="A490" s="58" t="s">
        <v>271</v>
      </c>
      <c r="B490" s="59">
        <v>46096.0</v>
      </c>
      <c r="C490" s="58" t="s">
        <v>195</v>
      </c>
      <c r="D490" s="58" t="s">
        <v>4261</v>
      </c>
      <c r="E490" s="58" t="s">
        <v>71</v>
      </c>
      <c r="F490" s="58" t="s">
        <v>3844</v>
      </c>
      <c r="G490" s="59">
        <v>46084.0</v>
      </c>
      <c r="H490" s="58" t="s">
        <v>4313</v>
      </c>
      <c r="I490" s="58" t="s">
        <v>97</v>
      </c>
      <c r="J490" s="58" t="s">
        <v>2246</v>
      </c>
      <c r="K490" s="58" t="s">
        <v>3846</v>
      </c>
      <c r="L490" s="58" t="s">
        <v>3855</v>
      </c>
    </row>
    <row r="491" ht="15.75" customHeight="1">
      <c r="A491" s="25" t="s">
        <v>837</v>
      </c>
      <c r="B491" s="26">
        <v>46030.0</v>
      </c>
      <c r="C491" s="25" t="s">
        <v>710</v>
      </c>
      <c r="D491" s="25" t="s">
        <v>4261</v>
      </c>
      <c r="E491" s="25" t="s">
        <v>74</v>
      </c>
      <c r="F491" s="25" t="s">
        <v>3844</v>
      </c>
      <c r="G491" s="26">
        <v>46149.0</v>
      </c>
      <c r="H491" s="25" t="s">
        <v>4314</v>
      </c>
      <c r="I491" s="25" t="s">
        <v>97</v>
      </c>
      <c r="J491" s="25" t="s">
        <v>2246</v>
      </c>
      <c r="K491" s="25" t="s">
        <v>3846</v>
      </c>
      <c r="L491" s="25" t="s">
        <v>3847</v>
      </c>
    </row>
    <row r="492" ht="15.75" customHeight="1">
      <c r="A492" s="58" t="s">
        <v>428</v>
      </c>
      <c r="B492" s="59">
        <v>46079.0</v>
      </c>
      <c r="C492" s="58" t="s">
        <v>320</v>
      </c>
      <c r="D492" s="58" t="s">
        <v>4261</v>
      </c>
      <c r="E492" s="58" t="s">
        <v>162</v>
      </c>
      <c r="F492" s="58" t="s">
        <v>3844</v>
      </c>
      <c r="G492" s="59">
        <v>46142.0</v>
      </c>
      <c r="H492" s="58" t="s">
        <v>4315</v>
      </c>
      <c r="I492" s="58" t="s">
        <v>97</v>
      </c>
      <c r="J492" s="58" t="s">
        <v>2246</v>
      </c>
      <c r="K492" s="58" t="s">
        <v>3846</v>
      </c>
      <c r="L492" s="58" t="s">
        <v>3847</v>
      </c>
    </row>
    <row r="493" ht="15.75" customHeight="1">
      <c r="A493" s="25" t="s">
        <v>283</v>
      </c>
      <c r="B493" s="26">
        <v>46051.0</v>
      </c>
      <c r="C493" s="25" t="s">
        <v>195</v>
      </c>
      <c r="D493" s="25" t="s">
        <v>4261</v>
      </c>
      <c r="E493" s="25" t="s">
        <v>190</v>
      </c>
      <c r="F493" s="25" t="s">
        <v>3844</v>
      </c>
      <c r="G493" s="26">
        <v>46097.0</v>
      </c>
      <c r="H493" s="25" t="s">
        <v>4316</v>
      </c>
      <c r="I493" s="25" t="s">
        <v>97</v>
      </c>
      <c r="J493" s="25" t="s">
        <v>2246</v>
      </c>
      <c r="K493" s="25" t="s">
        <v>3846</v>
      </c>
      <c r="L493" s="25" t="s">
        <v>3847</v>
      </c>
    </row>
    <row r="494" ht="15.75" customHeight="1">
      <c r="A494" s="58" t="s">
        <v>1068</v>
      </c>
      <c r="B494" s="59">
        <v>46084.0</v>
      </c>
      <c r="C494" s="58" t="s">
        <v>988</v>
      </c>
      <c r="D494" s="58" t="s">
        <v>4261</v>
      </c>
      <c r="E494" s="58" t="s">
        <v>162</v>
      </c>
      <c r="F494" s="58" t="s">
        <v>3844</v>
      </c>
      <c r="G494" s="59">
        <v>46136.0</v>
      </c>
      <c r="H494" s="58" t="s">
        <v>4317</v>
      </c>
      <c r="I494" s="58" t="s">
        <v>97</v>
      </c>
      <c r="J494" s="58" t="s">
        <v>2246</v>
      </c>
      <c r="K494" s="58" t="s">
        <v>3846</v>
      </c>
      <c r="L494" s="58" t="s">
        <v>3851</v>
      </c>
    </row>
    <row r="495" ht="15.75" customHeight="1">
      <c r="A495" s="25" t="s">
        <v>1071</v>
      </c>
      <c r="B495" s="26">
        <v>46054.0</v>
      </c>
      <c r="C495" s="25" t="s">
        <v>963</v>
      </c>
      <c r="D495" s="25" t="s">
        <v>4261</v>
      </c>
      <c r="E495" s="25" t="s">
        <v>108</v>
      </c>
      <c r="F495" s="25" t="s">
        <v>3844</v>
      </c>
      <c r="G495" s="26">
        <v>46203.0</v>
      </c>
      <c r="H495" s="25" t="s">
        <v>4318</v>
      </c>
      <c r="I495" s="25" t="s">
        <v>97</v>
      </c>
      <c r="J495" s="25" t="s">
        <v>2246</v>
      </c>
      <c r="K495" s="25" t="s">
        <v>3846</v>
      </c>
      <c r="L495" s="25" t="s">
        <v>3851</v>
      </c>
    </row>
    <row r="496" ht="15.75" customHeight="1">
      <c r="A496" s="58" t="s">
        <v>287</v>
      </c>
      <c r="B496" s="59">
        <v>46035.0</v>
      </c>
      <c r="C496" s="58" t="s">
        <v>195</v>
      </c>
      <c r="D496" s="58" t="s">
        <v>4261</v>
      </c>
      <c r="E496" s="58" t="s">
        <v>71</v>
      </c>
      <c r="F496" s="58" t="s">
        <v>3844</v>
      </c>
      <c r="G496" s="59">
        <v>46177.0</v>
      </c>
      <c r="H496" s="58" t="s">
        <v>4319</v>
      </c>
      <c r="I496" s="58" t="s">
        <v>97</v>
      </c>
      <c r="J496" s="58" t="s">
        <v>2246</v>
      </c>
      <c r="K496" s="58" t="s">
        <v>3846</v>
      </c>
      <c r="L496" s="58" t="s">
        <v>3851</v>
      </c>
    </row>
    <row r="497" ht="15.75" customHeight="1">
      <c r="A497" s="25" t="s">
        <v>439</v>
      </c>
      <c r="B497" s="26">
        <v>46060.0</v>
      </c>
      <c r="C497" s="25" t="s">
        <v>320</v>
      </c>
      <c r="D497" s="25" t="s">
        <v>4261</v>
      </c>
      <c r="E497" s="25" t="s">
        <v>123</v>
      </c>
      <c r="F497" s="25" t="s">
        <v>3857</v>
      </c>
      <c r="G497" s="26">
        <v>46050.0</v>
      </c>
      <c r="H497" s="25" t="s">
        <v>4320</v>
      </c>
      <c r="I497" s="25" t="s">
        <v>97</v>
      </c>
      <c r="J497" s="25" t="s">
        <v>2246</v>
      </c>
      <c r="K497" s="25" t="s">
        <v>3846</v>
      </c>
      <c r="L497" s="25" t="s">
        <v>3851</v>
      </c>
    </row>
    <row r="498" ht="15.75" customHeight="1">
      <c r="A498" s="58" t="s">
        <v>441</v>
      </c>
      <c r="B498" s="59">
        <v>46036.0</v>
      </c>
      <c r="C498" s="58" t="s">
        <v>320</v>
      </c>
      <c r="D498" s="58" t="s">
        <v>4261</v>
      </c>
      <c r="E498" s="58" t="s">
        <v>64</v>
      </c>
      <c r="F498" s="58" t="s">
        <v>3844</v>
      </c>
      <c r="G498" s="59">
        <v>46120.0</v>
      </c>
      <c r="H498" s="58" t="s">
        <v>4321</v>
      </c>
      <c r="I498" s="58" t="s">
        <v>97</v>
      </c>
      <c r="J498" s="58" t="s">
        <v>2246</v>
      </c>
      <c r="K498" s="58" t="s">
        <v>3846</v>
      </c>
      <c r="L498" s="58" t="s">
        <v>3855</v>
      </c>
    </row>
    <row r="499" ht="15.75" customHeight="1">
      <c r="A499" s="25" t="s">
        <v>442</v>
      </c>
      <c r="B499" s="26">
        <v>46091.0</v>
      </c>
      <c r="C499" s="25" t="s">
        <v>320</v>
      </c>
      <c r="D499" s="25" t="s">
        <v>4261</v>
      </c>
      <c r="E499" s="25" t="s">
        <v>90</v>
      </c>
      <c r="F499" s="25" t="s">
        <v>3844</v>
      </c>
      <c r="G499" s="26">
        <v>46087.0</v>
      </c>
      <c r="H499" s="25" t="s">
        <v>4322</v>
      </c>
      <c r="I499" s="25" t="s">
        <v>97</v>
      </c>
      <c r="J499" s="25" t="s">
        <v>2246</v>
      </c>
      <c r="K499" s="25" t="s">
        <v>3846</v>
      </c>
      <c r="L499" s="25" t="s">
        <v>3855</v>
      </c>
    </row>
    <row r="500" ht="15.75" customHeight="1">
      <c r="A500" s="58" t="s">
        <v>701</v>
      </c>
      <c r="B500" s="59">
        <v>46113.0</v>
      </c>
      <c r="C500" s="58" t="s">
        <v>702</v>
      </c>
      <c r="D500" s="58" t="s">
        <v>4323</v>
      </c>
      <c r="E500" s="58" t="s">
        <v>74</v>
      </c>
      <c r="F500" s="58" t="s">
        <v>3844</v>
      </c>
      <c r="G500" s="59">
        <v>46213.0</v>
      </c>
      <c r="H500" s="58" t="s">
        <v>4324</v>
      </c>
      <c r="I500" s="58" t="s">
        <v>97</v>
      </c>
      <c r="J500" s="58" t="s">
        <v>2246</v>
      </c>
      <c r="K500" s="58" t="s">
        <v>3846</v>
      </c>
      <c r="L500" s="58" t="s">
        <v>3855</v>
      </c>
    </row>
    <row r="501" ht="15.75" customHeight="1">
      <c r="A501" s="25" t="s">
        <v>453</v>
      </c>
      <c r="B501" s="26">
        <v>46067.0</v>
      </c>
      <c r="C501" s="25" t="s">
        <v>454</v>
      </c>
      <c r="D501" s="25" t="s">
        <v>4323</v>
      </c>
      <c r="E501" s="25" t="s">
        <v>92</v>
      </c>
      <c r="F501" s="25" t="s">
        <v>3844</v>
      </c>
      <c r="G501" s="26">
        <v>46222.0</v>
      </c>
      <c r="H501" s="25" t="s">
        <v>4325</v>
      </c>
      <c r="I501" s="25" t="s">
        <v>97</v>
      </c>
      <c r="J501" s="25" t="s">
        <v>2246</v>
      </c>
      <c r="K501" s="25" t="s">
        <v>3846</v>
      </c>
      <c r="L501" s="25" t="s">
        <v>3847</v>
      </c>
    </row>
    <row r="502" ht="15.75" customHeight="1">
      <c r="A502" s="58" t="s">
        <v>456</v>
      </c>
      <c r="B502" s="59">
        <v>46096.0</v>
      </c>
      <c r="C502" s="58" t="s">
        <v>457</v>
      </c>
      <c r="D502" s="58" t="s">
        <v>4323</v>
      </c>
      <c r="E502" s="58" t="s">
        <v>92</v>
      </c>
      <c r="F502" s="58" t="s">
        <v>3844</v>
      </c>
      <c r="G502" s="59">
        <v>46243.0</v>
      </c>
      <c r="H502" s="58" t="s">
        <v>4326</v>
      </c>
      <c r="I502" s="58" t="s">
        <v>97</v>
      </c>
      <c r="J502" s="58" t="s">
        <v>2246</v>
      </c>
      <c r="K502" s="58" t="s">
        <v>3846</v>
      </c>
      <c r="L502" s="58" t="s">
        <v>3847</v>
      </c>
    </row>
    <row r="503" ht="15.75" customHeight="1">
      <c r="A503" s="25" t="s">
        <v>458</v>
      </c>
      <c r="B503" s="26">
        <v>46081.0</v>
      </c>
      <c r="C503" s="25" t="s">
        <v>459</v>
      </c>
      <c r="D503" s="25" t="s">
        <v>4323</v>
      </c>
      <c r="E503" s="25" t="s">
        <v>71</v>
      </c>
      <c r="F503" s="25" t="s">
        <v>3844</v>
      </c>
      <c r="G503" s="26">
        <v>46227.0</v>
      </c>
      <c r="H503" s="25" t="s">
        <v>4327</v>
      </c>
      <c r="I503" s="25" t="s">
        <v>97</v>
      </c>
      <c r="J503" s="25" t="s">
        <v>2246</v>
      </c>
      <c r="K503" s="25" t="s">
        <v>3846</v>
      </c>
      <c r="L503" s="25" t="s">
        <v>3855</v>
      </c>
    </row>
    <row r="504" ht="15.75" customHeight="1">
      <c r="A504" s="58" t="s">
        <v>719</v>
      </c>
      <c r="B504" s="59">
        <v>46032.0</v>
      </c>
      <c r="C504" s="58" t="s">
        <v>720</v>
      </c>
      <c r="D504" s="58" t="s">
        <v>4323</v>
      </c>
      <c r="E504" s="58" t="s">
        <v>190</v>
      </c>
      <c r="F504" s="58" t="s">
        <v>3844</v>
      </c>
      <c r="G504" s="59">
        <v>46108.0</v>
      </c>
      <c r="H504" s="58" t="s">
        <v>4328</v>
      </c>
      <c r="I504" s="58" t="s">
        <v>3853</v>
      </c>
      <c r="J504" s="58" t="s">
        <v>2247</v>
      </c>
      <c r="K504" s="58" t="s">
        <v>3854</v>
      </c>
      <c r="L504" s="58" t="s">
        <v>3847</v>
      </c>
    </row>
    <row r="505" ht="15.75" customHeight="1">
      <c r="A505" s="25" t="s">
        <v>724</v>
      </c>
      <c r="B505" s="26">
        <v>46096.0</v>
      </c>
      <c r="C505" s="25" t="s">
        <v>720</v>
      </c>
      <c r="D505" s="25" t="s">
        <v>4323</v>
      </c>
      <c r="E505" s="25" t="s">
        <v>123</v>
      </c>
      <c r="F505" s="25" t="s">
        <v>3844</v>
      </c>
      <c r="G505" s="26">
        <v>46164.0</v>
      </c>
      <c r="H505" s="25" t="s">
        <v>4329</v>
      </c>
      <c r="I505" s="25" t="s">
        <v>97</v>
      </c>
      <c r="J505" s="25" t="s">
        <v>2246</v>
      </c>
      <c r="K505" s="25" t="s">
        <v>3846</v>
      </c>
      <c r="L505" s="25" t="s">
        <v>3855</v>
      </c>
    </row>
    <row r="506" ht="15.75" customHeight="1">
      <c r="A506" s="58" t="s">
        <v>1138</v>
      </c>
      <c r="B506" s="59">
        <v>46055.0</v>
      </c>
      <c r="C506" s="58" t="s">
        <v>1139</v>
      </c>
      <c r="D506" s="58" t="s">
        <v>4323</v>
      </c>
      <c r="E506" s="58" t="s">
        <v>90</v>
      </c>
      <c r="F506" s="58" t="s">
        <v>3844</v>
      </c>
      <c r="G506" s="59">
        <v>46147.0</v>
      </c>
      <c r="H506" s="58" t="s">
        <v>4330</v>
      </c>
      <c r="I506" s="58" t="s">
        <v>97</v>
      </c>
      <c r="J506" s="58" t="s">
        <v>2246</v>
      </c>
      <c r="K506" s="58" t="s">
        <v>3846</v>
      </c>
      <c r="L506" s="58" t="s">
        <v>3847</v>
      </c>
    </row>
    <row r="507" ht="15.75" customHeight="1">
      <c r="A507" s="25" t="s">
        <v>462</v>
      </c>
      <c r="B507" s="26">
        <v>46048.0</v>
      </c>
      <c r="C507" s="25" t="s">
        <v>454</v>
      </c>
      <c r="D507" s="25" t="s">
        <v>4323</v>
      </c>
      <c r="E507" s="25" t="s">
        <v>90</v>
      </c>
      <c r="F507" s="25" t="s">
        <v>3913</v>
      </c>
      <c r="G507" s="26">
        <v>46123.0</v>
      </c>
      <c r="H507" s="25" t="s">
        <v>4331</v>
      </c>
      <c r="I507" s="25" t="s">
        <v>97</v>
      </c>
      <c r="J507" s="25" t="s">
        <v>2247</v>
      </c>
      <c r="K507" s="25" t="s">
        <v>3881</v>
      </c>
      <c r="L507" s="25" t="s">
        <v>3851</v>
      </c>
    </row>
    <row r="508" ht="15.75" customHeight="1">
      <c r="A508" s="58" t="s">
        <v>730</v>
      </c>
      <c r="B508" s="59">
        <v>46029.0</v>
      </c>
      <c r="C508" s="58" t="s">
        <v>720</v>
      </c>
      <c r="D508" s="58" t="s">
        <v>4323</v>
      </c>
      <c r="E508" s="58" t="s">
        <v>95</v>
      </c>
      <c r="F508" s="58" t="s">
        <v>3844</v>
      </c>
      <c r="G508" s="59">
        <v>46135.0</v>
      </c>
      <c r="H508" s="58"/>
      <c r="I508" s="58" t="s">
        <v>97</v>
      </c>
      <c r="J508" s="58" t="s">
        <v>2247</v>
      </c>
      <c r="K508" s="58" t="s">
        <v>3848</v>
      </c>
      <c r="L508" s="58" t="s">
        <v>3851</v>
      </c>
    </row>
    <row r="509" ht="15.75" customHeight="1">
      <c r="A509" s="25" t="s">
        <v>467</v>
      </c>
      <c r="B509" s="26">
        <v>46134.0</v>
      </c>
      <c r="C509" s="25" t="s">
        <v>454</v>
      </c>
      <c r="D509" s="25" t="s">
        <v>4323</v>
      </c>
      <c r="E509" s="25" t="s">
        <v>90</v>
      </c>
      <c r="F509" s="25" t="s">
        <v>3844</v>
      </c>
      <c r="G509" s="26">
        <v>46176.0</v>
      </c>
      <c r="H509" s="25" t="s">
        <v>4332</v>
      </c>
      <c r="I509" s="25" t="s">
        <v>97</v>
      </c>
      <c r="J509" s="25" t="s">
        <v>2246</v>
      </c>
      <c r="K509" s="25" t="s">
        <v>3846</v>
      </c>
      <c r="L509" s="25" t="s">
        <v>3855</v>
      </c>
    </row>
    <row r="510" ht="15.75" customHeight="1">
      <c r="A510" s="58" t="s">
        <v>468</v>
      </c>
      <c r="B510" s="59">
        <v>46065.0</v>
      </c>
      <c r="C510" s="58" t="s">
        <v>469</v>
      </c>
      <c r="D510" s="58" t="s">
        <v>4323</v>
      </c>
      <c r="E510" s="58" t="s">
        <v>115</v>
      </c>
      <c r="F510" s="58" t="s">
        <v>3844</v>
      </c>
      <c r="G510" s="59">
        <v>46108.0</v>
      </c>
      <c r="H510" s="58" t="s">
        <v>4333</v>
      </c>
      <c r="I510" s="58" t="s">
        <v>97</v>
      </c>
      <c r="J510" s="58" t="s">
        <v>2246</v>
      </c>
      <c r="K510" s="58" t="s">
        <v>3846</v>
      </c>
      <c r="L510" s="58" t="s">
        <v>3847</v>
      </c>
    </row>
    <row r="511" ht="15.75" customHeight="1">
      <c r="A511" s="25" t="s">
        <v>470</v>
      </c>
      <c r="B511" s="26">
        <v>46113.0</v>
      </c>
      <c r="C511" s="25" t="s">
        <v>469</v>
      </c>
      <c r="D511" s="25" t="s">
        <v>4323</v>
      </c>
      <c r="E511" s="25" t="s">
        <v>190</v>
      </c>
      <c r="F511" s="25" t="s">
        <v>3844</v>
      </c>
      <c r="G511" s="26">
        <v>46152.0</v>
      </c>
      <c r="H511" s="25" t="s">
        <v>4334</v>
      </c>
      <c r="I511" s="25" t="s">
        <v>3853</v>
      </c>
      <c r="J511" s="25" t="s">
        <v>2247</v>
      </c>
      <c r="K511" s="25" t="s">
        <v>3854</v>
      </c>
      <c r="L511" s="25" t="s">
        <v>3847</v>
      </c>
    </row>
    <row r="512" ht="15.75" customHeight="1">
      <c r="A512" s="58" t="s">
        <v>471</v>
      </c>
      <c r="B512" s="59">
        <v>46081.0</v>
      </c>
      <c r="C512" s="58" t="s">
        <v>469</v>
      </c>
      <c r="D512" s="58" t="s">
        <v>4323</v>
      </c>
      <c r="E512" s="58" t="s">
        <v>95</v>
      </c>
      <c r="F512" s="58" t="s">
        <v>3844</v>
      </c>
      <c r="G512" s="59">
        <v>46122.0</v>
      </c>
      <c r="H512" s="58" t="s">
        <v>4335</v>
      </c>
      <c r="I512" s="58" t="s">
        <v>97</v>
      </c>
      <c r="J512" s="58" t="s">
        <v>2246</v>
      </c>
      <c r="K512" s="58" t="s">
        <v>3846</v>
      </c>
      <c r="L512" s="58" t="s">
        <v>3855</v>
      </c>
    </row>
    <row r="513" ht="15.75" customHeight="1">
      <c r="A513" s="25" t="s">
        <v>472</v>
      </c>
      <c r="B513" s="26">
        <v>46071.0</v>
      </c>
      <c r="C513" s="25" t="s">
        <v>469</v>
      </c>
      <c r="D513" s="25" t="s">
        <v>4323</v>
      </c>
      <c r="E513" s="25" t="s">
        <v>106</v>
      </c>
      <c r="F513" s="25" t="s">
        <v>3844</v>
      </c>
      <c r="G513" s="26">
        <v>46183.0</v>
      </c>
      <c r="H513" s="25" t="s">
        <v>4336</v>
      </c>
      <c r="I513" s="25" t="s">
        <v>97</v>
      </c>
      <c r="J513" s="25" t="s">
        <v>2246</v>
      </c>
      <c r="K513" s="25" t="s">
        <v>3846</v>
      </c>
      <c r="L513" s="25" t="s">
        <v>3855</v>
      </c>
    </row>
    <row r="514" ht="15.75" customHeight="1">
      <c r="A514" s="58" t="s">
        <v>1141</v>
      </c>
      <c r="B514" s="59">
        <v>46090.0</v>
      </c>
      <c r="C514" s="58" t="s">
        <v>1139</v>
      </c>
      <c r="D514" s="58" t="s">
        <v>4323</v>
      </c>
      <c r="E514" s="58" t="s">
        <v>95</v>
      </c>
      <c r="F514" s="58" t="s">
        <v>3844</v>
      </c>
      <c r="G514" s="59">
        <v>46231.0</v>
      </c>
      <c r="H514" s="58"/>
      <c r="I514" s="58" t="s">
        <v>97</v>
      </c>
      <c r="J514" s="58" t="s">
        <v>2247</v>
      </c>
      <c r="K514" s="58" t="s">
        <v>3848</v>
      </c>
      <c r="L514" s="58" t="s">
        <v>3847</v>
      </c>
    </row>
    <row r="515" ht="15.75" customHeight="1">
      <c r="A515" s="25" t="s">
        <v>476</v>
      </c>
      <c r="B515" s="26">
        <v>46138.0</v>
      </c>
      <c r="C515" s="25" t="s">
        <v>457</v>
      </c>
      <c r="D515" s="25" t="s">
        <v>4323</v>
      </c>
      <c r="E515" s="25" t="s">
        <v>115</v>
      </c>
      <c r="F515" s="25" t="s">
        <v>3857</v>
      </c>
      <c r="G515" s="26">
        <v>46288.0</v>
      </c>
      <c r="H515" s="25" t="s">
        <v>4337</v>
      </c>
      <c r="I515" s="25" t="s">
        <v>97</v>
      </c>
      <c r="J515" s="25" t="s">
        <v>2246</v>
      </c>
      <c r="K515" s="25" t="s">
        <v>3846</v>
      </c>
      <c r="L515" s="25" t="s">
        <v>3855</v>
      </c>
    </row>
    <row r="516" ht="15.75" customHeight="1">
      <c r="A516" s="58" t="s">
        <v>478</v>
      </c>
      <c r="B516" s="59">
        <v>46073.0</v>
      </c>
      <c r="C516" s="58" t="s">
        <v>469</v>
      </c>
      <c r="D516" s="58" t="s">
        <v>4323</v>
      </c>
      <c r="E516" s="58" t="s">
        <v>68</v>
      </c>
      <c r="F516" s="58" t="s">
        <v>3844</v>
      </c>
      <c r="G516" s="59">
        <v>46054.0</v>
      </c>
      <c r="H516" s="58" t="s">
        <v>4338</v>
      </c>
      <c r="I516" s="58" t="s">
        <v>97</v>
      </c>
      <c r="J516" s="58" t="s">
        <v>2246</v>
      </c>
      <c r="K516" s="58" t="s">
        <v>3846</v>
      </c>
      <c r="L516" s="58" t="s">
        <v>3847</v>
      </c>
    </row>
    <row r="517" ht="15.75" customHeight="1">
      <c r="A517" s="25" t="s">
        <v>750</v>
      </c>
      <c r="B517" s="26">
        <v>46099.0</v>
      </c>
      <c r="C517" s="25" t="s">
        <v>702</v>
      </c>
      <c r="D517" s="25" t="s">
        <v>4323</v>
      </c>
      <c r="E517" s="25" t="s">
        <v>92</v>
      </c>
      <c r="F517" s="25" t="s">
        <v>3844</v>
      </c>
      <c r="G517" s="26">
        <v>46134.0</v>
      </c>
      <c r="H517" s="25" t="s">
        <v>4339</v>
      </c>
      <c r="I517" s="25" t="s">
        <v>97</v>
      </c>
      <c r="J517" s="25" t="s">
        <v>2246</v>
      </c>
      <c r="K517" s="25" t="s">
        <v>3846</v>
      </c>
      <c r="L517" s="25" t="s">
        <v>3847</v>
      </c>
    </row>
    <row r="518" ht="15.75" customHeight="1">
      <c r="A518" s="58" t="s">
        <v>479</v>
      </c>
      <c r="B518" s="59">
        <v>46094.0</v>
      </c>
      <c r="C518" s="58" t="s">
        <v>454</v>
      </c>
      <c r="D518" s="58" t="s">
        <v>4323</v>
      </c>
      <c r="E518" s="58" t="s">
        <v>154</v>
      </c>
      <c r="F518" s="58" t="s">
        <v>3844</v>
      </c>
      <c r="G518" s="59">
        <v>46168.0</v>
      </c>
      <c r="H518" s="58" t="s">
        <v>4340</v>
      </c>
      <c r="I518" s="58" t="s">
        <v>97</v>
      </c>
      <c r="J518" s="58" t="s">
        <v>2246</v>
      </c>
      <c r="K518" s="58" t="s">
        <v>3846</v>
      </c>
      <c r="L518" s="58" t="s">
        <v>3851</v>
      </c>
    </row>
    <row r="519" ht="15.75" customHeight="1">
      <c r="A519" s="25" t="s">
        <v>757</v>
      </c>
      <c r="B519" s="26">
        <v>46062.0</v>
      </c>
      <c r="C519" s="25" t="s">
        <v>702</v>
      </c>
      <c r="D519" s="25" t="s">
        <v>4323</v>
      </c>
      <c r="E519" s="25" t="s">
        <v>110</v>
      </c>
      <c r="F519" s="25" t="s">
        <v>3857</v>
      </c>
      <c r="G519" s="26">
        <v>46151.0</v>
      </c>
      <c r="H519" s="25" t="s">
        <v>4341</v>
      </c>
      <c r="I519" s="25" t="s">
        <v>97</v>
      </c>
      <c r="J519" s="25" t="s">
        <v>2246</v>
      </c>
      <c r="K519" s="25" t="s">
        <v>3846</v>
      </c>
      <c r="L519" s="25" t="s">
        <v>3855</v>
      </c>
    </row>
    <row r="520" ht="15.75" customHeight="1">
      <c r="A520" s="58" t="s">
        <v>481</v>
      </c>
      <c r="B520" s="59">
        <v>46081.0</v>
      </c>
      <c r="C520" s="58" t="s">
        <v>457</v>
      </c>
      <c r="D520" s="58" t="s">
        <v>4323</v>
      </c>
      <c r="E520" s="58" t="s">
        <v>90</v>
      </c>
      <c r="F520" s="58" t="s">
        <v>3844</v>
      </c>
      <c r="G520" s="59">
        <v>46145.0</v>
      </c>
      <c r="H520" s="58" t="s">
        <v>4342</v>
      </c>
      <c r="I520" s="58" t="s">
        <v>97</v>
      </c>
      <c r="J520" s="58" t="s">
        <v>2246</v>
      </c>
      <c r="K520" s="58" t="s">
        <v>3846</v>
      </c>
      <c r="L520" s="58" t="s">
        <v>3855</v>
      </c>
    </row>
    <row r="521" ht="15.75" customHeight="1">
      <c r="A521" s="25" t="s">
        <v>482</v>
      </c>
      <c r="B521" s="26">
        <v>46057.0</v>
      </c>
      <c r="C521" s="25" t="s">
        <v>454</v>
      </c>
      <c r="D521" s="25" t="s">
        <v>4323</v>
      </c>
      <c r="E521" s="25" t="s">
        <v>92</v>
      </c>
      <c r="F521" s="25" t="s">
        <v>3844</v>
      </c>
      <c r="G521" s="26">
        <v>46068.0</v>
      </c>
      <c r="H521" s="25" t="s">
        <v>4343</v>
      </c>
      <c r="I521" s="25" t="s">
        <v>97</v>
      </c>
      <c r="J521" s="25" t="s">
        <v>2246</v>
      </c>
      <c r="K521" s="25" t="s">
        <v>3846</v>
      </c>
      <c r="L521" s="25" t="s">
        <v>3847</v>
      </c>
    </row>
    <row r="522" ht="15.75" customHeight="1">
      <c r="A522" s="58" t="s">
        <v>103</v>
      </c>
      <c r="B522" s="59">
        <v>46120.0</v>
      </c>
      <c r="C522" s="58" t="s">
        <v>104</v>
      </c>
      <c r="D522" s="58" t="s">
        <v>4323</v>
      </c>
      <c r="E522" s="58" t="s">
        <v>81</v>
      </c>
      <c r="F522" s="58" t="s">
        <v>3844</v>
      </c>
      <c r="G522" s="59">
        <v>46187.0</v>
      </c>
      <c r="H522" s="58" t="s">
        <v>4344</v>
      </c>
      <c r="I522" s="58" t="s">
        <v>97</v>
      </c>
      <c r="J522" s="58" t="s">
        <v>2246</v>
      </c>
      <c r="K522" s="58" t="s">
        <v>3846</v>
      </c>
      <c r="L522" s="58" t="s">
        <v>3855</v>
      </c>
    </row>
    <row r="523" ht="15.75" customHeight="1">
      <c r="A523" s="25" t="s">
        <v>484</v>
      </c>
      <c r="B523" s="26">
        <v>46095.0</v>
      </c>
      <c r="C523" s="25" t="s">
        <v>457</v>
      </c>
      <c r="D523" s="25" t="s">
        <v>4323</v>
      </c>
      <c r="E523" s="25" t="s">
        <v>64</v>
      </c>
      <c r="F523" s="25" t="s">
        <v>3844</v>
      </c>
      <c r="G523" s="26">
        <v>46154.0</v>
      </c>
      <c r="H523" s="25" t="s">
        <v>4345</v>
      </c>
      <c r="I523" s="25" t="s">
        <v>97</v>
      </c>
      <c r="J523" s="25" t="s">
        <v>2246</v>
      </c>
      <c r="K523" s="25" t="s">
        <v>3846</v>
      </c>
      <c r="L523" s="25" t="s">
        <v>3855</v>
      </c>
    </row>
    <row r="524" ht="15.75" customHeight="1">
      <c r="A524" s="58" t="s">
        <v>485</v>
      </c>
      <c r="B524" s="59">
        <v>46063.0</v>
      </c>
      <c r="C524" s="58" t="s">
        <v>469</v>
      </c>
      <c r="D524" s="58" t="s">
        <v>4323</v>
      </c>
      <c r="E524" s="58" t="s">
        <v>74</v>
      </c>
      <c r="F524" s="58" t="s">
        <v>3857</v>
      </c>
      <c r="G524" s="59">
        <v>46178.0</v>
      </c>
      <c r="H524" s="58" t="s">
        <v>4346</v>
      </c>
      <c r="I524" s="58" t="s">
        <v>97</v>
      </c>
      <c r="J524" s="58" t="s">
        <v>2246</v>
      </c>
      <c r="K524" s="58" t="s">
        <v>3846</v>
      </c>
      <c r="L524" s="58" t="s">
        <v>3847</v>
      </c>
    </row>
    <row r="525" ht="15.75" customHeight="1">
      <c r="A525" s="25" t="s">
        <v>486</v>
      </c>
      <c r="B525" s="26">
        <v>46118.0</v>
      </c>
      <c r="C525" s="25" t="s">
        <v>469</v>
      </c>
      <c r="D525" s="25" t="s">
        <v>4323</v>
      </c>
      <c r="E525" s="25" t="s">
        <v>81</v>
      </c>
      <c r="F525" s="25" t="s">
        <v>3844</v>
      </c>
      <c r="G525" s="26">
        <v>46227.0</v>
      </c>
      <c r="H525" s="25"/>
      <c r="I525" s="25" t="s">
        <v>97</v>
      </c>
      <c r="J525" s="25" t="s">
        <v>2247</v>
      </c>
      <c r="K525" s="25" t="s">
        <v>3848</v>
      </c>
      <c r="L525" s="25" t="s">
        <v>3851</v>
      </c>
    </row>
    <row r="526" ht="15.75" customHeight="1">
      <c r="A526" s="58" t="s">
        <v>1144</v>
      </c>
      <c r="B526" s="59">
        <v>46067.0</v>
      </c>
      <c r="C526" s="58" t="s">
        <v>1139</v>
      </c>
      <c r="D526" s="58" t="s">
        <v>4323</v>
      </c>
      <c r="E526" s="58" t="s">
        <v>90</v>
      </c>
      <c r="F526" s="58" t="s">
        <v>3844</v>
      </c>
      <c r="G526" s="59">
        <v>46162.0</v>
      </c>
      <c r="H526" s="58" t="s">
        <v>4347</v>
      </c>
      <c r="I526" s="58" t="s">
        <v>97</v>
      </c>
      <c r="J526" s="58" t="s">
        <v>2246</v>
      </c>
      <c r="K526" s="58" t="s">
        <v>3846</v>
      </c>
      <c r="L526" s="58" t="s">
        <v>3847</v>
      </c>
    </row>
    <row r="527" ht="15.75" customHeight="1">
      <c r="A527" s="25" t="s">
        <v>487</v>
      </c>
      <c r="B527" s="26">
        <v>46128.0</v>
      </c>
      <c r="C527" s="25" t="s">
        <v>459</v>
      </c>
      <c r="D527" s="25" t="s">
        <v>4323</v>
      </c>
      <c r="E527" s="25" t="s">
        <v>110</v>
      </c>
      <c r="F527" s="25" t="s">
        <v>3844</v>
      </c>
      <c r="G527" s="26">
        <v>46172.0</v>
      </c>
      <c r="H527" s="25" t="s">
        <v>4348</v>
      </c>
      <c r="I527" s="25" t="s">
        <v>97</v>
      </c>
      <c r="J527" s="25" t="s">
        <v>2246</v>
      </c>
      <c r="K527" s="25" t="s">
        <v>3846</v>
      </c>
      <c r="L527" s="25" t="s">
        <v>3847</v>
      </c>
    </row>
    <row r="528" ht="15.75" customHeight="1">
      <c r="A528" s="58" t="s">
        <v>338</v>
      </c>
      <c r="B528" s="59">
        <v>46061.0</v>
      </c>
      <c r="C528" s="58" t="s">
        <v>339</v>
      </c>
      <c r="D528" s="58" t="s">
        <v>4323</v>
      </c>
      <c r="E528" s="58" t="s">
        <v>102</v>
      </c>
      <c r="F528" s="58" t="s">
        <v>3857</v>
      </c>
      <c r="G528" s="59">
        <v>46190.0</v>
      </c>
      <c r="H528" s="58" t="s">
        <v>4349</v>
      </c>
      <c r="I528" s="58" t="s">
        <v>97</v>
      </c>
      <c r="J528" s="58" t="s">
        <v>2246</v>
      </c>
      <c r="K528" s="58" t="s">
        <v>3846</v>
      </c>
      <c r="L528" s="58" t="s">
        <v>3851</v>
      </c>
    </row>
    <row r="529" ht="15.75" customHeight="1">
      <c r="A529" s="25" t="s">
        <v>488</v>
      </c>
      <c r="B529" s="26">
        <v>46044.0</v>
      </c>
      <c r="C529" s="25" t="s">
        <v>469</v>
      </c>
      <c r="D529" s="25" t="s">
        <v>4323</v>
      </c>
      <c r="E529" s="25" t="s">
        <v>154</v>
      </c>
      <c r="F529" s="25" t="s">
        <v>3844</v>
      </c>
      <c r="G529" s="26">
        <v>46120.0</v>
      </c>
      <c r="H529" s="25"/>
      <c r="I529" s="25" t="s">
        <v>97</v>
      </c>
      <c r="J529" s="25" t="s">
        <v>2247</v>
      </c>
      <c r="K529" s="25" t="s">
        <v>3848</v>
      </c>
      <c r="L529" s="25" t="s">
        <v>3847</v>
      </c>
    </row>
    <row r="530" ht="15.75" customHeight="1">
      <c r="A530" s="58" t="s">
        <v>341</v>
      </c>
      <c r="B530" s="59">
        <v>46060.0</v>
      </c>
      <c r="C530" s="58" t="s">
        <v>339</v>
      </c>
      <c r="D530" s="58" t="s">
        <v>4323</v>
      </c>
      <c r="E530" s="58" t="s">
        <v>64</v>
      </c>
      <c r="F530" s="58" t="s">
        <v>3844</v>
      </c>
      <c r="G530" s="59">
        <v>46095.0</v>
      </c>
      <c r="H530" s="58" t="s">
        <v>4350</v>
      </c>
      <c r="I530" s="58" t="s">
        <v>97</v>
      </c>
      <c r="J530" s="58" t="s">
        <v>2246</v>
      </c>
      <c r="K530" s="58" t="s">
        <v>3846</v>
      </c>
      <c r="L530" s="58" t="s">
        <v>3851</v>
      </c>
    </row>
    <row r="531" ht="15.75" customHeight="1">
      <c r="A531" s="25" t="s">
        <v>768</v>
      </c>
      <c r="B531" s="26">
        <v>46044.0</v>
      </c>
      <c r="C531" s="25" t="s">
        <v>720</v>
      </c>
      <c r="D531" s="25" t="s">
        <v>4323</v>
      </c>
      <c r="E531" s="25" t="s">
        <v>162</v>
      </c>
      <c r="F531" s="25" t="s">
        <v>3844</v>
      </c>
      <c r="G531" s="26">
        <v>46106.0</v>
      </c>
      <c r="H531" s="25" t="s">
        <v>4351</v>
      </c>
      <c r="I531" s="25" t="s">
        <v>97</v>
      </c>
      <c r="J531" s="25" t="s">
        <v>2246</v>
      </c>
      <c r="K531" s="25" t="s">
        <v>3846</v>
      </c>
      <c r="L531" s="25" t="s">
        <v>3855</v>
      </c>
    </row>
    <row r="532" ht="15.75" customHeight="1">
      <c r="A532" s="58" t="s">
        <v>489</v>
      </c>
      <c r="B532" s="59">
        <v>46069.0</v>
      </c>
      <c r="C532" s="58" t="s">
        <v>459</v>
      </c>
      <c r="D532" s="58" t="s">
        <v>4323</v>
      </c>
      <c r="E532" s="58" t="s">
        <v>78</v>
      </c>
      <c r="F532" s="58" t="s">
        <v>3857</v>
      </c>
      <c r="G532" s="59">
        <v>46204.0</v>
      </c>
      <c r="H532" s="58"/>
      <c r="I532" s="58" t="s">
        <v>3853</v>
      </c>
      <c r="J532" s="58" t="s">
        <v>2247</v>
      </c>
      <c r="K532" s="58" t="s">
        <v>3874</v>
      </c>
      <c r="L532" s="58" t="s">
        <v>3847</v>
      </c>
    </row>
    <row r="533" ht="15.75" customHeight="1">
      <c r="A533" s="25" t="s">
        <v>109</v>
      </c>
      <c r="B533" s="26">
        <v>46070.0</v>
      </c>
      <c r="C533" s="25" t="s">
        <v>104</v>
      </c>
      <c r="D533" s="25" t="s">
        <v>4323</v>
      </c>
      <c r="E533" s="25" t="s">
        <v>110</v>
      </c>
      <c r="F533" s="25" t="s">
        <v>3844</v>
      </c>
      <c r="G533" s="26">
        <v>46096.0</v>
      </c>
      <c r="H533" s="25" t="s">
        <v>4352</v>
      </c>
      <c r="I533" s="25" t="s">
        <v>97</v>
      </c>
      <c r="J533" s="25" t="s">
        <v>2246</v>
      </c>
      <c r="K533" s="25" t="s">
        <v>3846</v>
      </c>
      <c r="L533" s="25" t="s">
        <v>3851</v>
      </c>
    </row>
    <row r="534" ht="15.75" customHeight="1">
      <c r="A534" s="58" t="s">
        <v>111</v>
      </c>
      <c r="B534" s="59">
        <v>46084.0</v>
      </c>
      <c r="C534" s="58" t="s">
        <v>104</v>
      </c>
      <c r="D534" s="58" t="s">
        <v>4323</v>
      </c>
      <c r="E534" s="58" t="s">
        <v>85</v>
      </c>
      <c r="F534" s="58" t="s">
        <v>3844</v>
      </c>
      <c r="G534" s="59">
        <v>46225.0</v>
      </c>
      <c r="H534" s="58" t="s">
        <v>4353</v>
      </c>
      <c r="I534" s="58" t="s">
        <v>97</v>
      </c>
      <c r="J534" s="58" t="s">
        <v>2246</v>
      </c>
      <c r="K534" s="58" t="s">
        <v>3846</v>
      </c>
      <c r="L534" s="58" t="s">
        <v>3855</v>
      </c>
    </row>
    <row r="535" ht="15.75" customHeight="1">
      <c r="A535" s="25" t="s">
        <v>775</v>
      </c>
      <c r="B535" s="26">
        <v>46036.0</v>
      </c>
      <c r="C535" s="25" t="s">
        <v>720</v>
      </c>
      <c r="D535" s="25" t="s">
        <v>4323</v>
      </c>
      <c r="E535" s="25" t="s">
        <v>74</v>
      </c>
      <c r="F535" s="25" t="s">
        <v>3844</v>
      </c>
      <c r="G535" s="26">
        <v>46035.0</v>
      </c>
      <c r="H535" s="25"/>
      <c r="I535" s="25" t="s">
        <v>97</v>
      </c>
      <c r="J535" s="25" t="s">
        <v>2247</v>
      </c>
      <c r="K535" s="25" t="s">
        <v>3848</v>
      </c>
      <c r="L535" s="25" t="s">
        <v>3847</v>
      </c>
    </row>
    <row r="536" ht="15.75" customHeight="1">
      <c r="A536" s="58" t="s">
        <v>494</v>
      </c>
      <c r="B536" s="59">
        <v>46078.0</v>
      </c>
      <c r="C536" s="58" t="s">
        <v>469</v>
      </c>
      <c r="D536" s="58" t="s">
        <v>4323</v>
      </c>
      <c r="E536" s="58" t="s">
        <v>106</v>
      </c>
      <c r="F536" s="58" t="s">
        <v>3844</v>
      </c>
      <c r="G536" s="59">
        <v>46230.0</v>
      </c>
      <c r="H536" s="58" t="s">
        <v>4354</v>
      </c>
      <c r="I536" s="58" t="s">
        <v>97</v>
      </c>
      <c r="J536" s="58" t="s">
        <v>2246</v>
      </c>
      <c r="K536" s="58" t="s">
        <v>3846</v>
      </c>
      <c r="L536" s="58" t="s">
        <v>3851</v>
      </c>
    </row>
    <row r="537" ht="15.75" customHeight="1">
      <c r="A537" s="25" t="s">
        <v>119</v>
      </c>
      <c r="B537" s="26">
        <v>46116.0</v>
      </c>
      <c r="C537" s="25" t="s">
        <v>104</v>
      </c>
      <c r="D537" s="25" t="s">
        <v>4323</v>
      </c>
      <c r="E537" s="25" t="s">
        <v>110</v>
      </c>
      <c r="F537" s="25" t="s">
        <v>3857</v>
      </c>
      <c r="G537" s="26">
        <v>46107.0</v>
      </c>
      <c r="H537" s="25" t="s">
        <v>4355</v>
      </c>
      <c r="I537" s="25" t="s">
        <v>97</v>
      </c>
      <c r="J537" s="25" t="s">
        <v>2246</v>
      </c>
      <c r="K537" s="25" t="s">
        <v>3846</v>
      </c>
      <c r="L537" s="25" t="s">
        <v>3855</v>
      </c>
    </row>
    <row r="538" ht="15.75" customHeight="1">
      <c r="A538" s="58" t="s">
        <v>780</v>
      </c>
      <c r="B538" s="59">
        <v>46109.0</v>
      </c>
      <c r="C538" s="58" t="s">
        <v>702</v>
      </c>
      <c r="D538" s="58" t="s">
        <v>4323</v>
      </c>
      <c r="E538" s="58" t="s">
        <v>123</v>
      </c>
      <c r="F538" s="58" t="s">
        <v>3844</v>
      </c>
      <c r="G538" s="59">
        <v>46134.0</v>
      </c>
      <c r="H538" s="58"/>
      <c r="I538" s="58" t="s">
        <v>97</v>
      </c>
      <c r="J538" s="58" t="s">
        <v>2247</v>
      </c>
      <c r="K538" s="58" t="s">
        <v>3848</v>
      </c>
      <c r="L538" s="58" t="s">
        <v>3851</v>
      </c>
    </row>
    <row r="539" ht="15.75" customHeight="1">
      <c r="A539" s="25" t="s">
        <v>499</v>
      </c>
      <c r="B539" s="26">
        <v>46044.0</v>
      </c>
      <c r="C539" s="25" t="s">
        <v>469</v>
      </c>
      <c r="D539" s="25" t="s">
        <v>4323</v>
      </c>
      <c r="E539" s="25" t="s">
        <v>108</v>
      </c>
      <c r="F539" s="25" t="s">
        <v>3844</v>
      </c>
      <c r="G539" s="26">
        <v>46065.0</v>
      </c>
      <c r="H539" s="25" t="s">
        <v>4356</v>
      </c>
      <c r="I539" s="25" t="s">
        <v>97</v>
      </c>
      <c r="J539" s="25" t="s">
        <v>2246</v>
      </c>
      <c r="K539" s="25" t="s">
        <v>3846</v>
      </c>
      <c r="L539" s="25" t="s">
        <v>3851</v>
      </c>
    </row>
    <row r="540" ht="15.75" customHeight="1">
      <c r="A540" s="58" t="s">
        <v>1156</v>
      </c>
      <c r="B540" s="59">
        <v>46046.0</v>
      </c>
      <c r="C540" s="58" t="s">
        <v>1139</v>
      </c>
      <c r="D540" s="58" t="s">
        <v>4323</v>
      </c>
      <c r="E540" s="58" t="s">
        <v>90</v>
      </c>
      <c r="F540" s="58" t="s">
        <v>3844</v>
      </c>
      <c r="G540" s="59">
        <v>46205.0</v>
      </c>
      <c r="H540" s="58" t="s">
        <v>4357</v>
      </c>
      <c r="I540" s="58" t="s">
        <v>3906</v>
      </c>
      <c r="J540" s="58" t="s">
        <v>2247</v>
      </c>
      <c r="K540" s="58" t="s">
        <v>3854</v>
      </c>
      <c r="L540" s="58" t="s">
        <v>3855</v>
      </c>
    </row>
    <row r="541" ht="15.75" customHeight="1">
      <c r="A541" s="25" t="s">
        <v>784</v>
      </c>
      <c r="B541" s="26">
        <v>46048.0</v>
      </c>
      <c r="C541" s="25" t="s">
        <v>702</v>
      </c>
      <c r="D541" s="25" t="s">
        <v>4323</v>
      </c>
      <c r="E541" s="25" t="s">
        <v>102</v>
      </c>
      <c r="F541" s="25" t="s">
        <v>3844</v>
      </c>
      <c r="G541" s="26">
        <v>46153.0</v>
      </c>
      <c r="H541" s="25"/>
      <c r="I541" s="25" t="s">
        <v>97</v>
      </c>
      <c r="J541" s="25" t="s">
        <v>2247</v>
      </c>
      <c r="K541" s="25" t="s">
        <v>3848</v>
      </c>
      <c r="L541" s="25" t="s">
        <v>3855</v>
      </c>
    </row>
    <row r="542" ht="15.75" customHeight="1">
      <c r="A542" s="58" t="s">
        <v>788</v>
      </c>
      <c r="B542" s="59">
        <v>46040.0</v>
      </c>
      <c r="C542" s="58" t="s">
        <v>720</v>
      </c>
      <c r="D542" s="58" t="s">
        <v>4323</v>
      </c>
      <c r="E542" s="58" t="s">
        <v>85</v>
      </c>
      <c r="F542" s="58" t="s">
        <v>3844</v>
      </c>
      <c r="G542" s="59">
        <v>46030.0</v>
      </c>
      <c r="H542" s="58" t="s">
        <v>4358</v>
      </c>
      <c r="I542" s="58" t="s">
        <v>97</v>
      </c>
      <c r="J542" s="58" t="s">
        <v>2246</v>
      </c>
      <c r="K542" s="58" t="s">
        <v>3846</v>
      </c>
      <c r="L542" s="58" t="s">
        <v>3847</v>
      </c>
    </row>
    <row r="543" ht="15.75" customHeight="1">
      <c r="A543" s="25" t="s">
        <v>504</v>
      </c>
      <c r="B543" s="26">
        <v>46116.0</v>
      </c>
      <c r="C543" s="25" t="s">
        <v>454</v>
      </c>
      <c r="D543" s="25" t="s">
        <v>4323</v>
      </c>
      <c r="E543" s="25" t="s">
        <v>162</v>
      </c>
      <c r="F543" s="25" t="s">
        <v>3844</v>
      </c>
      <c r="G543" s="26">
        <v>46231.0</v>
      </c>
      <c r="H543" s="25" t="s">
        <v>4359</v>
      </c>
      <c r="I543" s="25" t="s">
        <v>97</v>
      </c>
      <c r="J543" s="25" t="s">
        <v>2246</v>
      </c>
      <c r="K543" s="25" t="s">
        <v>3846</v>
      </c>
      <c r="L543" s="25" t="s">
        <v>3855</v>
      </c>
    </row>
    <row r="544" ht="15.75" customHeight="1">
      <c r="A544" s="58" t="s">
        <v>793</v>
      </c>
      <c r="B544" s="59">
        <v>46111.0</v>
      </c>
      <c r="C544" s="58" t="s">
        <v>720</v>
      </c>
      <c r="D544" s="58" t="s">
        <v>4323</v>
      </c>
      <c r="E544" s="58" t="s">
        <v>110</v>
      </c>
      <c r="F544" s="58" t="s">
        <v>3844</v>
      </c>
      <c r="G544" s="59">
        <v>46203.0</v>
      </c>
      <c r="H544" s="58"/>
      <c r="I544" s="58" t="s">
        <v>97</v>
      </c>
      <c r="J544" s="58" t="s">
        <v>2247</v>
      </c>
      <c r="K544" s="58" t="s">
        <v>3848</v>
      </c>
      <c r="L544" s="58" t="s">
        <v>3847</v>
      </c>
    </row>
    <row r="545" ht="15.75" customHeight="1">
      <c r="A545" s="25" t="s">
        <v>795</v>
      </c>
      <c r="B545" s="26">
        <v>46064.0</v>
      </c>
      <c r="C545" s="25" t="s">
        <v>702</v>
      </c>
      <c r="D545" s="25" t="s">
        <v>4323</v>
      </c>
      <c r="E545" s="25" t="s">
        <v>162</v>
      </c>
      <c r="F545" s="25" t="s">
        <v>3844</v>
      </c>
      <c r="G545" s="26">
        <v>46179.0</v>
      </c>
      <c r="H545" s="25" t="s">
        <v>4360</v>
      </c>
      <c r="I545" s="25" t="s">
        <v>97</v>
      </c>
      <c r="J545" s="25" t="s">
        <v>2246</v>
      </c>
      <c r="K545" s="25" t="s">
        <v>3846</v>
      </c>
      <c r="L545" s="25" t="s">
        <v>3851</v>
      </c>
    </row>
    <row r="546" ht="15.75" customHeight="1">
      <c r="A546" s="58" t="s">
        <v>508</v>
      </c>
      <c r="B546" s="59">
        <v>46060.0</v>
      </c>
      <c r="C546" s="58" t="s">
        <v>469</v>
      </c>
      <c r="D546" s="58" t="s">
        <v>4323</v>
      </c>
      <c r="E546" s="58" t="s">
        <v>81</v>
      </c>
      <c r="F546" s="58" t="s">
        <v>3844</v>
      </c>
      <c r="G546" s="59">
        <v>46073.0</v>
      </c>
      <c r="H546" s="58" t="s">
        <v>4361</v>
      </c>
      <c r="I546" s="58" t="s">
        <v>97</v>
      </c>
      <c r="J546" s="58" t="s">
        <v>2246</v>
      </c>
      <c r="K546" s="58" t="s">
        <v>3846</v>
      </c>
      <c r="L546" s="58" t="s">
        <v>3847</v>
      </c>
    </row>
    <row r="547" ht="15.75" customHeight="1">
      <c r="A547" s="25" t="s">
        <v>800</v>
      </c>
      <c r="B547" s="26">
        <v>46133.0</v>
      </c>
      <c r="C547" s="25" t="s">
        <v>720</v>
      </c>
      <c r="D547" s="25" t="s">
        <v>4323</v>
      </c>
      <c r="E547" s="25" t="s">
        <v>78</v>
      </c>
      <c r="F547" s="25" t="s">
        <v>3844</v>
      </c>
      <c r="G547" s="26">
        <v>46147.0</v>
      </c>
      <c r="H547" s="25" t="s">
        <v>4362</v>
      </c>
      <c r="I547" s="25" t="s">
        <v>3853</v>
      </c>
      <c r="J547" s="25" t="s">
        <v>2247</v>
      </c>
      <c r="K547" s="25" t="s">
        <v>3854</v>
      </c>
      <c r="L547" s="25" t="s">
        <v>3855</v>
      </c>
    </row>
    <row r="548" ht="15.75" customHeight="1">
      <c r="A548" s="58" t="s">
        <v>803</v>
      </c>
      <c r="B548" s="59">
        <v>46049.0</v>
      </c>
      <c r="C548" s="58" t="s">
        <v>702</v>
      </c>
      <c r="D548" s="58" t="s">
        <v>4323</v>
      </c>
      <c r="E548" s="58" t="s">
        <v>154</v>
      </c>
      <c r="F548" s="58" t="s">
        <v>3844</v>
      </c>
      <c r="G548" s="59">
        <v>46128.0</v>
      </c>
      <c r="H548" s="58"/>
      <c r="I548" s="58" t="s">
        <v>97</v>
      </c>
      <c r="J548" s="58" t="s">
        <v>2247</v>
      </c>
      <c r="K548" s="58" t="s">
        <v>3848</v>
      </c>
      <c r="L548" s="58" t="s">
        <v>3855</v>
      </c>
    </row>
    <row r="549" ht="15.75" customHeight="1">
      <c r="A549" s="25" t="s">
        <v>804</v>
      </c>
      <c r="B549" s="26">
        <v>46101.0</v>
      </c>
      <c r="C549" s="25" t="s">
        <v>720</v>
      </c>
      <c r="D549" s="25" t="s">
        <v>4323</v>
      </c>
      <c r="E549" s="25" t="s">
        <v>108</v>
      </c>
      <c r="F549" s="25" t="s">
        <v>3844</v>
      </c>
      <c r="G549" s="26">
        <v>46095.0</v>
      </c>
      <c r="H549" s="25" t="s">
        <v>4363</v>
      </c>
      <c r="I549" s="25" t="s">
        <v>3906</v>
      </c>
      <c r="J549" s="25" t="s">
        <v>2247</v>
      </c>
      <c r="K549" s="25" t="s">
        <v>3854</v>
      </c>
      <c r="L549" s="25" t="s">
        <v>3847</v>
      </c>
    </row>
    <row r="550" ht="15.75" customHeight="1">
      <c r="A550" s="58" t="s">
        <v>129</v>
      </c>
      <c r="B550" s="59">
        <v>46092.0</v>
      </c>
      <c r="C550" s="58" t="s">
        <v>104</v>
      </c>
      <c r="D550" s="58" t="s">
        <v>4323</v>
      </c>
      <c r="E550" s="58" t="s">
        <v>110</v>
      </c>
      <c r="F550" s="58" t="s">
        <v>3844</v>
      </c>
      <c r="G550" s="59">
        <v>46149.0</v>
      </c>
      <c r="H550" s="58" t="s">
        <v>4364</v>
      </c>
      <c r="I550" s="58" t="s">
        <v>97</v>
      </c>
      <c r="J550" s="58" t="s">
        <v>2246</v>
      </c>
      <c r="K550" s="58" t="s">
        <v>3846</v>
      </c>
      <c r="L550" s="58" t="s">
        <v>3855</v>
      </c>
    </row>
    <row r="551" ht="15.75" customHeight="1">
      <c r="A551" s="25" t="s">
        <v>806</v>
      </c>
      <c r="B551" s="26">
        <v>46110.0</v>
      </c>
      <c r="C551" s="25" t="s">
        <v>720</v>
      </c>
      <c r="D551" s="25" t="s">
        <v>4323</v>
      </c>
      <c r="E551" s="25" t="s">
        <v>92</v>
      </c>
      <c r="F551" s="25" t="s">
        <v>3844</v>
      </c>
      <c r="G551" s="26">
        <v>46167.0</v>
      </c>
      <c r="H551" s="25" t="s">
        <v>4365</v>
      </c>
      <c r="I551" s="25" t="s">
        <v>97</v>
      </c>
      <c r="J551" s="25" t="s">
        <v>2246</v>
      </c>
      <c r="K551" s="25" t="s">
        <v>3846</v>
      </c>
      <c r="L551" s="25" t="s">
        <v>3847</v>
      </c>
    </row>
    <row r="552" ht="15.75" customHeight="1">
      <c r="A552" s="58" t="s">
        <v>808</v>
      </c>
      <c r="B552" s="59">
        <v>46089.0</v>
      </c>
      <c r="C552" s="58" t="s">
        <v>702</v>
      </c>
      <c r="D552" s="58" t="s">
        <v>4323</v>
      </c>
      <c r="E552" s="58" t="s">
        <v>115</v>
      </c>
      <c r="F552" s="58" t="s">
        <v>3844</v>
      </c>
      <c r="G552" s="59">
        <v>46231.0</v>
      </c>
      <c r="H552" s="58" t="s">
        <v>4366</v>
      </c>
      <c r="I552" s="58" t="s">
        <v>97</v>
      </c>
      <c r="J552" s="58" t="s">
        <v>2246</v>
      </c>
      <c r="K552" s="58" t="s">
        <v>3846</v>
      </c>
      <c r="L552" s="58" t="s">
        <v>3847</v>
      </c>
    </row>
    <row r="553" ht="15.75" customHeight="1">
      <c r="A553" s="25" t="s">
        <v>1170</v>
      </c>
      <c r="B553" s="26">
        <v>46106.0</v>
      </c>
      <c r="C553" s="25" t="s">
        <v>1139</v>
      </c>
      <c r="D553" s="25" t="s">
        <v>4323</v>
      </c>
      <c r="E553" s="25" t="s">
        <v>78</v>
      </c>
      <c r="F553" s="25" t="s">
        <v>3844</v>
      </c>
      <c r="G553" s="26">
        <v>46092.0</v>
      </c>
      <c r="H553" s="25" t="s">
        <v>4367</v>
      </c>
      <c r="I553" s="25" t="s">
        <v>3853</v>
      </c>
      <c r="J553" s="25" t="s">
        <v>2247</v>
      </c>
      <c r="K553" s="25" t="s">
        <v>3854</v>
      </c>
      <c r="L553" s="25" t="s">
        <v>3847</v>
      </c>
    </row>
    <row r="554" ht="15.75" customHeight="1">
      <c r="A554" s="58" t="s">
        <v>509</v>
      </c>
      <c r="B554" s="59">
        <v>46034.0</v>
      </c>
      <c r="C554" s="58" t="s">
        <v>469</v>
      </c>
      <c r="D554" s="58" t="s">
        <v>4323</v>
      </c>
      <c r="E554" s="58" t="s">
        <v>81</v>
      </c>
      <c r="F554" s="58" t="s">
        <v>3844</v>
      </c>
      <c r="G554" s="59">
        <v>46154.0</v>
      </c>
      <c r="H554" s="58" t="s">
        <v>4368</v>
      </c>
      <c r="I554" s="58" t="s">
        <v>97</v>
      </c>
      <c r="J554" s="58" t="s">
        <v>2246</v>
      </c>
      <c r="K554" s="58" t="s">
        <v>3846</v>
      </c>
      <c r="L554" s="58" t="s">
        <v>3855</v>
      </c>
    </row>
    <row r="555" ht="15.75" customHeight="1">
      <c r="A555" s="25" t="s">
        <v>813</v>
      </c>
      <c r="B555" s="26">
        <v>46038.0</v>
      </c>
      <c r="C555" s="25" t="s">
        <v>702</v>
      </c>
      <c r="D555" s="25" t="s">
        <v>4323</v>
      </c>
      <c r="E555" s="25" t="s">
        <v>90</v>
      </c>
      <c r="F555" s="25" t="s">
        <v>3844</v>
      </c>
      <c r="G555" s="26">
        <v>46180.0</v>
      </c>
      <c r="H555" s="25" t="s">
        <v>4369</v>
      </c>
      <c r="I555" s="25" t="s">
        <v>97</v>
      </c>
      <c r="J555" s="25" t="s">
        <v>2246</v>
      </c>
      <c r="K555" s="25" t="s">
        <v>3846</v>
      </c>
      <c r="L555" s="25" t="s">
        <v>3847</v>
      </c>
    </row>
    <row r="556" ht="15.75" customHeight="1">
      <c r="A556" s="58" t="s">
        <v>815</v>
      </c>
      <c r="B556" s="59">
        <v>46088.0</v>
      </c>
      <c r="C556" s="58" t="s">
        <v>702</v>
      </c>
      <c r="D556" s="58" t="s">
        <v>4323</v>
      </c>
      <c r="E556" s="58" t="s">
        <v>110</v>
      </c>
      <c r="F556" s="58" t="s">
        <v>3844</v>
      </c>
      <c r="G556" s="59">
        <v>46213.0</v>
      </c>
      <c r="H556" s="58" t="s">
        <v>4370</v>
      </c>
      <c r="I556" s="58" t="s">
        <v>97</v>
      </c>
      <c r="J556" s="58" t="s">
        <v>2246</v>
      </c>
      <c r="K556" s="58" t="s">
        <v>3846</v>
      </c>
      <c r="L556" s="58" t="s">
        <v>3851</v>
      </c>
    </row>
    <row r="557" ht="15.75" customHeight="1">
      <c r="A557" s="25" t="s">
        <v>1038</v>
      </c>
      <c r="B557" s="26">
        <v>46057.0</v>
      </c>
      <c r="C557" s="25" t="s">
        <v>1039</v>
      </c>
      <c r="D557" s="25" t="s">
        <v>4323</v>
      </c>
      <c r="E557" s="25" t="s">
        <v>102</v>
      </c>
      <c r="F557" s="25" t="s">
        <v>3844</v>
      </c>
      <c r="G557" s="26">
        <v>46147.0</v>
      </c>
      <c r="H557" s="25" t="s">
        <v>4371</v>
      </c>
      <c r="I557" s="25" t="s">
        <v>97</v>
      </c>
      <c r="J557" s="25" t="s">
        <v>2246</v>
      </c>
      <c r="K557" s="25" t="s">
        <v>3846</v>
      </c>
      <c r="L557" s="25" t="s">
        <v>3847</v>
      </c>
    </row>
    <row r="558" ht="15.75" customHeight="1">
      <c r="A558" s="58" t="s">
        <v>402</v>
      </c>
      <c r="B558" s="59">
        <v>46107.0</v>
      </c>
      <c r="C558" s="58" t="s">
        <v>339</v>
      </c>
      <c r="D558" s="58" t="s">
        <v>4323</v>
      </c>
      <c r="E558" s="58" t="s">
        <v>115</v>
      </c>
      <c r="F558" s="58" t="s">
        <v>3844</v>
      </c>
      <c r="G558" s="59">
        <v>46245.0</v>
      </c>
      <c r="H558" s="58" t="s">
        <v>4372</v>
      </c>
      <c r="I558" s="58" t="s">
        <v>97</v>
      </c>
      <c r="J558" s="58" t="s">
        <v>2246</v>
      </c>
      <c r="K558" s="58" t="s">
        <v>3846</v>
      </c>
      <c r="L558" s="58" t="s">
        <v>3851</v>
      </c>
    </row>
    <row r="559" ht="15.75" customHeight="1">
      <c r="A559" s="25" t="s">
        <v>407</v>
      </c>
      <c r="B559" s="26">
        <v>46063.0</v>
      </c>
      <c r="C559" s="25" t="s">
        <v>339</v>
      </c>
      <c r="D559" s="25" t="s">
        <v>4323</v>
      </c>
      <c r="E559" s="25" t="s">
        <v>190</v>
      </c>
      <c r="F559" s="25" t="s">
        <v>3844</v>
      </c>
      <c r="G559" s="26">
        <v>46168.0</v>
      </c>
      <c r="H559" s="25" t="s">
        <v>4373</v>
      </c>
      <c r="I559" s="25" t="s">
        <v>3853</v>
      </c>
      <c r="J559" s="25" t="s">
        <v>2247</v>
      </c>
      <c r="K559" s="25" t="s">
        <v>3854</v>
      </c>
      <c r="L559" s="25" t="s">
        <v>3851</v>
      </c>
    </row>
    <row r="560" ht="15.75" customHeight="1">
      <c r="A560" s="58" t="s">
        <v>822</v>
      </c>
      <c r="B560" s="59">
        <v>46029.0</v>
      </c>
      <c r="C560" s="58" t="s">
        <v>702</v>
      </c>
      <c r="D560" s="58" t="s">
        <v>4323</v>
      </c>
      <c r="E560" s="58" t="s">
        <v>74</v>
      </c>
      <c r="F560" s="58" t="s">
        <v>3844</v>
      </c>
      <c r="G560" s="59">
        <v>46056.0</v>
      </c>
      <c r="H560" s="58" t="s">
        <v>4374</v>
      </c>
      <c r="I560" s="58" t="s">
        <v>97</v>
      </c>
      <c r="J560" s="58" t="s">
        <v>2246</v>
      </c>
      <c r="K560" s="58" t="s">
        <v>3846</v>
      </c>
      <c r="L560" s="58" t="s">
        <v>3851</v>
      </c>
    </row>
    <row r="561" ht="15.75" customHeight="1">
      <c r="A561" s="25" t="s">
        <v>518</v>
      </c>
      <c r="B561" s="26">
        <v>46088.0</v>
      </c>
      <c r="C561" s="25" t="s">
        <v>457</v>
      </c>
      <c r="D561" s="25" t="s">
        <v>4323</v>
      </c>
      <c r="E561" s="25" t="s">
        <v>95</v>
      </c>
      <c r="F561" s="25" t="s">
        <v>3844</v>
      </c>
      <c r="G561" s="26">
        <v>46145.0</v>
      </c>
      <c r="H561" s="25" t="s">
        <v>4375</v>
      </c>
      <c r="I561" s="25" t="s">
        <v>97</v>
      </c>
      <c r="J561" s="25" t="s">
        <v>2246</v>
      </c>
      <c r="K561" s="25" t="s">
        <v>3846</v>
      </c>
      <c r="L561" s="25" t="s">
        <v>3851</v>
      </c>
    </row>
    <row r="562" ht="15.75" customHeight="1">
      <c r="A562" s="58" t="s">
        <v>145</v>
      </c>
      <c r="B562" s="59">
        <v>46034.0</v>
      </c>
      <c r="C562" s="58" t="s">
        <v>104</v>
      </c>
      <c r="D562" s="58" t="s">
        <v>4323</v>
      </c>
      <c r="E562" s="58" t="s">
        <v>92</v>
      </c>
      <c r="F562" s="58" t="s">
        <v>3844</v>
      </c>
      <c r="G562" s="59">
        <v>46059.0</v>
      </c>
      <c r="H562" s="58" t="s">
        <v>4376</v>
      </c>
      <c r="I562" s="58" t="s">
        <v>97</v>
      </c>
      <c r="J562" s="58" t="s">
        <v>2246</v>
      </c>
      <c r="K562" s="58" t="s">
        <v>3846</v>
      </c>
      <c r="L562" s="58" t="s">
        <v>3847</v>
      </c>
    </row>
    <row r="563" ht="15.75" customHeight="1">
      <c r="A563" s="25" t="s">
        <v>415</v>
      </c>
      <c r="B563" s="26">
        <v>46143.0</v>
      </c>
      <c r="C563" s="25" t="s">
        <v>339</v>
      </c>
      <c r="D563" s="25" t="s">
        <v>4323</v>
      </c>
      <c r="E563" s="25" t="s">
        <v>106</v>
      </c>
      <c r="F563" s="25" t="s">
        <v>3857</v>
      </c>
      <c r="G563" s="26">
        <v>46246.0</v>
      </c>
      <c r="H563" s="25" t="s">
        <v>4377</v>
      </c>
      <c r="I563" s="25" t="s">
        <v>97</v>
      </c>
      <c r="J563" s="25" t="s">
        <v>2246</v>
      </c>
      <c r="K563" s="25" t="s">
        <v>3846</v>
      </c>
      <c r="L563" s="25" t="s">
        <v>3851</v>
      </c>
    </row>
    <row r="564" ht="15.75" customHeight="1">
      <c r="A564" s="58" t="s">
        <v>833</v>
      </c>
      <c r="B564" s="59">
        <v>46084.0</v>
      </c>
      <c r="C564" s="58" t="s">
        <v>720</v>
      </c>
      <c r="D564" s="58" t="s">
        <v>4323</v>
      </c>
      <c r="E564" s="58" t="s">
        <v>108</v>
      </c>
      <c r="F564" s="58" t="s">
        <v>3844</v>
      </c>
      <c r="G564" s="59">
        <v>46239.0</v>
      </c>
      <c r="H564" s="58" t="s">
        <v>4378</v>
      </c>
      <c r="I564" s="58" t="s">
        <v>97</v>
      </c>
      <c r="J564" s="58" t="s">
        <v>2246</v>
      </c>
      <c r="K564" s="58" t="s">
        <v>3846</v>
      </c>
      <c r="L564" s="58" t="s">
        <v>3851</v>
      </c>
    </row>
    <row r="565" ht="15.75" customHeight="1">
      <c r="A565" s="25" t="s">
        <v>834</v>
      </c>
      <c r="B565" s="26">
        <v>46111.0</v>
      </c>
      <c r="C565" s="25" t="s">
        <v>702</v>
      </c>
      <c r="D565" s="25" t="s">
        <v>4323</v>
      </c>
      <c r="E565" s="25" t="s">
        <v>123</v>
      </c>
      <c r="F565" s="25" t="s">
        <v>3844</v>
      </c>
      <c r="G565" s="26">
        <v>46175.0</v>
      </c>
      <c r="H565" s="25" t="s">
        <v>4379</v>
      </c>
      <c r="I565" s="25" t="s">
        <v>97</v>
      </c>
      <c r="J565" s="25" t="s">
        <v>2246</v>
      </c>
      <c r="K565" s="25" t="s">
        <v>3846</v>
      </c>
      <c r="L565" s="25" t="s">
        <v>3847</v>
      </c>
    </row>
    <row r="566" ht="15.75" customHeight="1">
      <c r="A566" s="58" t="s">
        <v>523</v>
      </c>
      <c r="B566" s="59">
        <v>46073.0</v>
      </c>
      <c r="C566" s="58" t="s">
        <v>469</v>
      </c>
      <c r="D566" s="58" t="s">
        <v>4323</v>
      </c>
      <c r="E566" s="58" t="s">
        <v>123</v>
      </c>
      <c r="F566" s="58" t="s">
        <v>3844</v>
      </c>
      <c r="G566" s="59">
        <v>46115.0</v>
      </c>
      <c r="H566" s="58" t="s">
        <v>4380</v>
      </c>
      <c r="I566" s="58" t="s">
        <v>97</v>
      </c>
      <c r="J566" s="58" t="s">
        <v>2246</v>
      </c>
      <c r="K566" s="58" t="s">
        <v>3846</v>
      </c>
      <c r="L566" s="58" t="s">
        <v>3855</v>
      </c>
    </row>
    <row r="567" ht="15.75" customHeight="1">
      <c r="A567" s="25" t="s">
        <v>524</v>
      </c>
      <c r="B567" s="26">
        <v>46138.0</v>
      </c>
      <c r="C567" s="25" t="s">
        <v>457</v>
      </c>
      <c r="D567" s="25" t="s">
        <v>4323</v>
      </c>
      <c r="E567" s="25" t="s">
        <v>68</v>
      </c>
      <c r="F567" s="25" t="s">
        <v>3844</v>
      </c>
      <c r="G567" s="26">
        <v>46157.0</v>
      </c>
      <c r="H567" s="25" t="s">
        <v>4381</v>
      </c>
      <c r="I567" s="25" t="s">
        <v>97</v>
      </c>
      <c r="J567" s="25" t="s">
        <v>2246</v>
      </c>
      <c r="K567" s="25" t="s">
        <v>3846</v>
      </c>
      <c r="L567" s="25" t="s">
        <v>3851</v>
      </c>
    </row>
    <row r="568" ht="15.75" customHeight="1">
      <c r="A568" s="58" t="s">
        <v>525</v>
      </c>
      <c r="B568" s="59">
        <v>46108.0</v>
      </c>
      <c r="C568" s="58" t="s">
        <v>459</v>
      </c>
      <c r="D568" s="58" t="s">
        <v>4323</v>
      </c>
      <c r="E568" s="58" t="s">
        <v>110</v>
      </c>
      <c r="F568" s="58" t="s">
        <v>3844</v>
      </c>
      <c r="G568" s="59">
        <v>46266.0</v>
      </c>
      <c r="H568" s="58" t="s">
        <v>4382</v>
      </c>
      <c r="I568" s="58" t="s">
        <v>97</v>
      </c>
      <c r="J568" s="58" t="s">
        <v>2246</v>
      </c>
      <c r="K568" s="58" t="s">
        <v>3846</v>
      </c>
      <c r="L568" s="58" t="s">
        <v>3851</v>
      </c>
    </row>
    <row r="569" ht="15.75" customHeight="1">
      <c r="A569" s="25" t="s">
        <v>153</v>
      </c>
      <c r="B569" s="26">
        <v>46055.0</v>
      </c>
      <c r="C569" s="25" t="s">
        <v>104</v>
      </c>
      <c r="D569" s="25" t="s">
        <v>4323</v>
      </c>
      <c r="E569" s="25" t="s">
        <v>154</v>
      </c>
      <c r="F569" s="25" t="s">
        <v>3844</v>
      </c>
      <c r="G569" s="26">
        <v>46098.0</v>
      </c>
      <c r="H569" s="25" t="s">
        <v>4383</v>
      </c>
      <c r="I569" s="25" t="s">
        <v>97</v>
      </c>
      <c r="J569" s="25" t="s">
        <v>2246</v>
      </c>
      <c r="K569" s="25" t="s">
        <v>3846</v>
      </c>
      <c r="L569" s="25" t="s">
        <v>3851</v>
      </c>
    </row>
    <row r="570" ht="15.75" customHeight="1">
      <c r="A570" s="58" t="s">
        <v>845</v>
      </c>
      <c r="B570" s="59">
        <v>46126.0</v>
      </c>
      <c r="C570" s="58" t="s">
        <v>720</v>
      </c>
      <c r="D570" s="58" t="s">
        <v>4323</v>
      </c>
      <c r="E570" s="58" t="s">
        <v>92</v>
      </c>
      <c r="F570" s="58" t="s">
        <v>3844</v>
      </c>
      <c r="G570" s="59">
        <v>46110.0</v>
      </c>
      <c r="H570" s="58" t="s">
        <v>4384</v>
      </c>
      <c r="I570" s="58" t="s">
        <v>97</v>
      </c>
      <c r="J570" s="58" t="s">
        <v>2246</v>
      </c>
      <c r="K570" s="58" t="s">
        <v>3846</v>
      </c>
      <c r="L570" s="58" t="s">
        <v>3851</v>
      </c>
    </row>
    <row r="571" ht="15.75" customHeight="1">
      <c r="A571" s="25" t="s">
        <v>531</v>
      </c>
      <c r="B571" s="26">
        <v>46038.0</v>
      </c>
      <c r="C571" s="25" t="s">
        <v>469</v>
      </c>
      <c r="D571" s="25" t="s">
        <v>4323</v>
      </c>
      <c r="E571" s="25" t="s">
        <v>92</v>
      </c>
      <c r="F571" s="25" t="s">
        <v>3844</v>
      </c>
      <c r="G571" s="26">
        <v>46165.0</v>
      </c>
      <c r="H571" s="25" t="s">
        <v>4385</v>
      </c>
      <c r="I571" s="25" t="s">
        <v>97</v>
      </c>
      <c r="J571" s="25" t="s">
        <v>2246</v>
      </c>
      <c r="K571" s="25" t="s">
        <v>3846</v>
      </c>
      <c r="L571" s="25" t="s">
        <v>3855</v>
      </c>
    </row>
    <row r="572" ht="15.75" customHeight="1">
      <c r="A572" s="58" t="s">
        <v>435</v>
      </c>
      <c r="B572" s="59">
        <v>46106.0</v>
      </c>
      <c r="C572" s="58" t="s">
        <v>339</v>
      </c>
      <c r="D572" s="58" t="s">
        <v>4323</v>
      </c>
      <c r="E572" s="58" t="s">
        <v>106</v>
      </c>
      <c r="F572" s="58" t="s">
        <v>3844</v>
      </c>
      <c r="G572" s="59">
        <v>46169.0</v>
      </c>
      <c r="H572" s="58" t="s">
        <v>4386</v>
      </c>
      <c r="I572" s="58" t="s">
        <v>97</v>
      </c>
      <c r="J572" s="58" t="s">
        <v>2246</v>
      </c>
      <c r="K572" s="58" t="s">
        <v>3846</v>
      </c>
      <c r="L572" s="58" t="s">
        <v>3847</v>
      </c>
    </row>
    <row r="573" ht="15.75" customHeight="1">
      <c r="A573" s="25" t="s">
        <v>533</v>
      </c>
      <c r="B573" s="26">
        <v>46038.0</v>
      </c>
      <c r="C573" s="25" t="s">
        <v>457</v>
      </c>
      <c r="D573" s="25" t="s">
        <v>4323</v>
      </c>
      <c r="E573" s="25" t="s">
        <v>115</v>
      </c>
      <c r="F573" s="25" t="s">
        <v>3844</v>
      </c>
      <c r="G573" s="26">
        <v>46109.0</v>
      </c>
      <c r="H573" s="25" t="s">
        <v>4387</v>
      </c>
      <c r="I573" s="25" t="s">
        <v>97</v>
      </c>
      <c r="J573" s="25" t="s">
        <v>2246</v>
      </c>
      <c r="K573" s="25" t="s">
        <v>3846</v>
      </c>
      <c r="L573" s="25" t="s">
        <v>3847</v>
      </c>
    </row>
    <row r="574" ht="15.75" customHeight="1">
      <c r="A574" s="58" t="s">
        <v>1070</v>
      </c>
      <c r="B574" s="59">
        <v>46048.0</v>
      </c>
      <c r="C574" s="58" t="s">
        <v>1039</v>
      </c>
      <c r="D574" s="58" t="s">
        <v>4323</v>
      </c>
      <c r="E574" s="58" t="s">
        <v>108</v>
      </c>
      <c r="F574" s="58" t="s">
        <v>3844</v>
      </c>
      <c r="G574" s="59">
        <v>46045.0</v>
      </c>
      <c r="H574" s="58" t="s">
        <v>4388</v>
      </c>
      <c r="I574" s="58" t="s">
        <v>97</v>
      </c>
      <c r="J574" s="58" t="s">
        <v>2246</v>
      </c>
      <c r="K574" s="58" t="s">
        <v>3846</v>
      </c>
      <c r="L574" s="58" t="s">
        <v>3855</v>
      </c>
    </row>
    <row r="575" ht="15.75" customHeight="1">
      <c r="A575" s="25" t="s">
        <v>538</v>
      </c>
      <c r="B575" s="26">
        <v>46133.0</v>
      </c>
      <c r="C575" s="25" t="s">
        <v>457</v>
      </c>
      <c r="D575" s="25" t="s">
        <v>4323</v>
      </c>
      <c r="E575" s="25" t="s">
        <v>156</v>
      </c>
      <c r="F575" s="25" t="s">
        <v>3844</v>
      </c>
      <c r="G575" s="26">
        <v>46225.0</v>
      </c>
      <c r="H575" s="25" t="s">
        <v>4389</v>
      </c>
      <c r="I575" s="25" t="s">
        <v>97</v>
      </c>
      <c r="J575" s="25" t="s">
        <v>2246</v>
      </c>
      <c r="K575" s="25" t="s">
        <v>3846</v>
      </c>
      <c r="L575" s="25" t="s">
        <v>3851</v>
      </c>
    </row>
    <row r="576" ht="15.75" customHeight="1">
      <c r="A576" s="58" t="s">
        <v>852</v>
      </c>
      <c r="B576" s="59">
        <v>46120.0</v>
      </c>
      <c r="C576" s="58" t="s">
        <v>853</v>
      </c>
      <c r="D576" s="58" t="s">
        <v>4390</v>
      </c>
      <c r="E576" s="58" t="s">
        <v>92</v>
      </c>
      <c r="F576" s="58" t="s">
        <v>3844</v>
      </c>
      <c r="G576" s="59">
        <v>46146.0</v>
      </c>
      <c r="H576" s="58" t="s">
        <v>4391</v>
      </c>
      <c r="I576" s="58" t="s">
        <v>97</v>
      </c>
      <c r="J576" s="58" t="s">
        <v>2246</v>
      </c>
      <c r="K576" s="58" t="s">
        <v>3846</v>
      </c>
      <c r="L576" s="58" t="s">
        <v>3855</v>
      </c>
    </row>
    <row r="577" ht="15.75" customHeight="1">
      <c r="A577" s="25" t="s">
        <v>69</v>
      </c>
      <c r="B577" s="26">
        <v>46124.0</v>
      </c>
      <c r="C577" s="25" t="s">
        <v>70</v>
      </c>
      <c r="D577" s="25" t="s">
        <v>4390</v>
      </c>
      <c r="E577" s="25" t="s">
        <v>71</v>
      </c>
      <c r="F577" s="25" t="s">
        <v>3844</v>
      </c>
      <c r="G577" s="26">
        <v>46271.0</v>
      </c>
      <c r="H577" s="25" t="s">
        <v>4392</v>
      </c>
      <c r="I577" s="25" t="s">
        <v>97</v>
      </c>
      <c r="J577" s="25" t="s">
        <v>2246</v>
      </c>
      <c r="K577" s="25" t="s">
        <v>3846</v>
      </c>
      <c r="L577" s="25" t="s">
        <v>3847</v>
      </c>
    </row>
    <row r="578" ht="15.75" customHeight="1">
      <c r="A578" s="58" t="s">
        <v>956</v>
      </c>
      <c r="B578" s="59">
        <v>46066.0</v>
      </c>
      <c r="C578" s="58" t="s">
        <v>957</v>
      </c>
      <c r="D578" s="58" t="s">
        <v>4390</v>
      </c>
      <c r="E578" s="58" t="s">
        <v>108</v>
      </c>
      <c r="F578" s="58" t="s">
        <v>3844</v>
      </c>
      <c r="G578" s="59">
        <v>46188.0</v>
      </c>
      <c r="H578" s="58" t="s">
        <v>4393</v>
      </c>
      <c r="I578" s="58" t="s">
        <v>97</v>
      </c>
      <c r="J578" s="58" t="s">
        <v>2246</v>
      </c>
      <c r="K578" s="58" t="s">
        <v>3846</v>
      </c>
      <c r="L578" s="58" t="s">
        <v>3851</v>
      </c>
    </row>
    <row r="579" ht="15.75" customHeight="1">
      <c r="A579" s="25" t="s">
        <v>178</v>
      </c>
      <c r="B579" s="26">
        <v>46134.0</v>
      </c>
      <c r="C579" s="25" t="s">
        <v>179</v>
      </c>
      <c r="D579" s="25" t="s">
        <v>4390</v>
      </c>
      <c r="E579" s="25" t="s">
        <v>90</v>
      </c>
      <c r="F579" s="25" t="s">
        <v>3844</v>
      </c>
      <c r="G579" s="26">
        <v>46255.0</v>
      </c>
      <c r="H579" s="25" t="s">
        <v>4394</v>
      </c>
      <c r="I579" s="25" t="s">
        <v>97</v>
      </c>
      <c r="J579" s="25" t="s">
        <v>2246</v>
      </c>
      <c r="K579" s="25" t="s">
        <v>3846</v>
      </c>
      <c r="L579" s="25" t="s">
        <v>3855</v>
      </c>
    </row>
    <row r="580" ht="15.75" customHeight="1">
      <c r="A580" s="58" t="s">
        <v>959</v>
      </c>
      <c r="B580" s="59">
        <v>46060.0</v>
      </c>
      <c r="C580" s="58" t="s">
        <v>957</v>
      </c>
      <c r="D580" s="58" t="s">
        <v>4390</v>
      </c>
      <c r="E580" s="58" t="s">
        <v>95</v>
      </c>
      <c r="F580" s="58" t="s">
        <v>3844</v>
      </c>
      <c r="G580" s="59">
        <v>46194.0</v>
      </c>
      <c r="H580" s="58" t="s">
        <v>4395</v>
      </c>
      <c r="I580" s="58" t="s">
        <v>97</v>
      </c>
      <c r="J580" s="58" t="s">
        <v>2246</v>
      </c>
      <c r="K580" s="58" t="s">
        <v>3846</v>
      </c>
      <c r="L580" s="58" t="s">
        <v>3847</v>
      </c>
    </row>
    <row r="581" ht="15.75" customHeight="1">
      <c r="A581" s="25" t="s">
        <v>713</v>
      </c>
      <c r="B581" s="26">
        <v>46132.0</v>
      </c>
      <c r="C581" s="25" t="s">
        <v>714</v>
      </c>
      <c r="D581" s="25" t="s">
        <v>4390</v>
      </c>
      <c r="E581" s="25" t="s">
        <v>78</v>
      </c>
      <c r="F581" s="25" t="s">
        <v>3844</v>
      </c>
      <c r="G581" s="26">
        <v>46261.0</v>
      </c>
      <c r="H581" s="25" t="s">
        <v>4396</v>
      </c>
      <c r="I581" s="25" t="s">
        <v>97</v>
      </c>
      <c r="J581" s="25" t="s">
        <v>2246</v>
      </c>
      <c r="K581" s="25" t="s">
        <v>3846</v>
      </c>
      <c r="L581" s="25" t="s">
        <v>3851</v>
      </c>
    </row>
    <row r="582" ht="15.75" customHeight="1">
      <c r="A582" s="58" t="s">
        <v>558</v>
      </c>
      <c r="B582" s="59">
        <v>46025.0</v>
      </c>
      <c r="C582" s="58" t="s">
        <v>559</v>
      </c>
      <c r="D582" s="58" t="s">
        <v>4390</v>
      </c>
      <c r="E582" s="58" t="s">
        <v>68</v>
      </c>
      <c r="F582" s="58" t="s">
        <v>3844</v>
      </c>
      <c r="G582" s="59">
        <v>46066.0</v>
      </c>
      <c r="H582" s="58" t="s">
        <v>4397</v>
      </c>
      <c r="I582" s="58" t="s">
        <v>3853</v>
      </c>
      <c r="J582" s="58" t="s">
        <v>2247</v>
      </c>
      <c r="K582" s="58" t="s">
        <v>3854</v>
      </c>
      <c r="L582" s="58" t="s">
        <v>3855</v>
      </c>
    </row>
    <row r="583" ht="15.75" customHeight="1">
      <c r="A583" s="25" t="s">
        <v>560</v>
      </c>
      <c r="B583" s="26">
        <v>46053.0</v>
      </c>
      <c r="C583" s="25" t="s">
        <v>561</v>
      </c>
      <c r="D583" s="25" t="s">
        <v>4390</v>
      </c>
      <c r="E583" s="25" t="s">
        <v>81</v>
      </c>
      <c r="F583" s="25" t="s">
        <v>3844</v>
      </c>
      <c r="G583" s="26">
        <v>46130.0</v>
      </c>
      <c r="H583" s="25" t="s">
        <v>4398</v>
      </c>
      <c r="I583" s="25" t="s">
        <v>3853</v>
      </c>
      <c r="J583" s="25" t="s">
        <v>2247</v>
      </c>
      <c r="K583" s="25" t="s">
        <v>3854</v>
      </c>
      <c r="L583" s="25" t="s">
        <v>3847</v>
      </c>
    </row>
    <row r="584" ht="15.75" customHeight="1">
      <c r="A584" s="58" t="s">
        <v>722</v>
      </c>
      <c r="B584" s="59">
        <v>46029.0</v>
      </c>
      <c r="C584" s="58" t="s">
        <v>723</v>
      </c>
      <c r="D584" s="58" t="s">
        <v>4390</v>
      </c>
      <c r="E584" s="58" t="s">
        <v>115</v>
      </c>
      <c r="F584" s="58" t="s">
        <v>3844</v>
      </c>
      <c r="G584" s="59">
        <v>46078.0</v>
      </c>
      <c r="H584" s="58" t="s">
        <v>4399</v>
      </c>
      <c r="I584" s="58" t="s">
        <v>97</v>
      </c>
      <c r="J584" s="58" t="s">
        <v>2246</v>
      </c>
      <c r="K584" s="58" t="s">
        <v>3846</v>
      </c>
      <c r="L584" s="58" t="s">
        <v>3851</v>
      </c>
    </row>
    <row r="585" ht="15.75" customHeight="1">
      <c r="A585" s="25" t="s">
        <v>564</v>
      </c>
      <c r="B585" s="26">
        <v>46026.0</v>
      </c>
      <c r="C585" s="25" t="s">
        <v>559</v>
      </c>
      <c r="D585" s="25" t="s">
        <v>4390</v>
      </c>
      <c r="E585" s="25" t="s">
        <v>154</v>
      </c>
      <c r="F585" s="25" t="s">
        <v>3844</v>
      </c>
      <c r="G585" s="26">
        <v>46029.0</v>
      </c>
      <c r="H585" s="25" t="s">
        <v>4400</v>
      </c>
      <c r="I585" s="25" t="s">
        <v>97</v>
      </c>
      <c r="J585" s="25" t="s">
        <v>2246</v>
      </c>
      <c r="K585" s="25" t="s">
        <v>3846</v>
      </c>
      <c r="L585" s="25" t="s">
        <v>3847</v>
      </c>
    </row>
    <row r="586" ht="15.75" customHeight="1">
      <c r="A586" s="58" t="s">
        <v>728</v>
      </c>
      <c r="B586" s="59">
        <v>46104.0</v>
      </c>
      <c r="C586" s="58" t="s">
        <v>729</v>
      </c>
      <c r="D586" s="58" t="s">
        <v>4390</v>
      </c>
      <c r="E586" s="58" t="s">
        <v>71</v>
      </c>
      <c r="F586" s="58" t="s">
        <v>3857</v>
      </c>
      <c r="G586" s="59">
        <v>46145.0</v>
      </c>
      <c r="H586" s="58" t="s">
        <v>4401</v>
      </c>
      <c r="I586" s="58" t="s">
        <v>97</v>
      </c>
      <c r="J586" s="58" t="s">
        <v>2246</v>
      </c>
      <c r="K586" s="58" t="s">
        <v>3846</v>
      </c>
      <c r="L586" s="58" t="s">
        <v>3855</v>
      </c>
    </row>
    <row r="587" ht="15.75" customHeight="1">
      <c r="A587" s="25" t="s">
        <v>568</v>
      </c>
      <c r="B587" s="26">
        <v>46086.0</v>
      </c>
      <c r="C587" s="25" t="s">
        <v>559</v>
      </c>
      <c r="D587" s="25" t="s">
        <v>4390</v>
      </c>
      <c r="E587" s="25" t="s">
        <v>74</v>
      </c>
      <c r="F587" s="25" t="s">
        <v>3844</v>
      </c>
      <c r="G587" s="26">
        <v>46080.0</v>
      </c>
      <c r="H587" s="25" t="s">
        <v>4402</v>
      </c>
      <c r="I587" s="25" t="s">
        <v>97</v>
      </c>
      <c r="J587" s="25" t="s">
        <v>2246</v>
      </c>
      <c r="K587" s="25" t="s">
        <v>3846</v>
      </c>
      <c r="L587" s="25" t="s">
        <v>3847</v>
      </c>
    </row>
    <row r="588" ht="15.75" customHeight="1">
      <c r="A588" s="58" t="s">
        <v>439</v>
      </c>
      <c r="B588" s="59">
        <v>46040.0</v>
      </c>
      <c r="C588" s="58" t="s">
        <v>466</v>
      </c>
      <c r="D588" s="58" t="s">
        <v>4390</v>
      </c>
      <c r="E588" s="58" t="s">
        <v>95</v>
      </c>
      <c r="F588" s="58" t="s">
        <v>3844</v>
      </c>
      <c r="G588" s="59">
        <v>46186.0</v>
      </c>
      <c r="H588" s="58" t="s">
        <v>4403</v>
      </c>
      <c r="I588" s="58" t="s">
        <v>97</v>
      </c>
      <c r="J588" s="58" t="s">
        <v>2246</v>
      </c>
      <c r="K588" s="58" t="s">
        <v>3846</v>
      </c>
      <c r="L588" s="58" t="s">
        <v>3847</v>
      </c>
    </row>
    <row r="589" ht="15.75" customHeight="1">
      <c r="A589" s="25" t="s">
        <v>736</v>
      </c>
      <c r="B589" s="26">
        <v>46101.0</v>
      </c>
      <c r="C589" s="25" t="s">
        <v>723</v>
      </c>
      <c r="D589" s="25" t="s">
        <v>4390</v>
      </c>
      <c r="E589" s="25" t="s">
        <v>78</v>
      </c>
      <c r="F589" s="25" t="s">
        <v>3844</v>
      </c>
      <c r="G589" s="26">
        <v>46177.0</v>
      </c>
      <c r="H589" s="25" t="s">
        <v>4404</v>
      </c>
      <c r="I589" s="25" t="s">
        <v>97</v>
      </c>
      <c r="J589" s="25" t="s">
        <v>2246</v>
      </c>
      <c r="K589" s="25" t="s">
        <v>3846</v>
      </c>
      <c r="L589" s="25" t="s">
        <v>3851</v>
      </c>
    </row>
    <row r="590" ht="15.75" customHeight="1">
      <c r="A590" s="58" t="s">
        <v>739</v>
      </c>
      <c r="B590" s="59">
        <v>46090.0</v>
      </c>
      <c r="C590" s="58" t="s">
        <v>729</v>
      </c>
      <c r="D590" s="58" t="s">
        <v>4390</v>
      </c>
      <c r="E590" s="58" t="s">
        <v>81</v>
      </c>
      <c r="F590" s="58" t="s">
        <v>3857</v>
      </c>
      <c r="G590" s="59">
        <v>46197.0</v>
      </c>
      <c r="H590" s="58" t="s">
        <v>4405</v>
      </c>
      <c r="I590" s="58" t="s">
        <v>3853</v>
      </c>
      <c r="J590" s="58" t="s">
        <v>2247</v>
      </c>
      <c r="K590" s="58" t="s">
        <v>3854</v>
      </c>
      <c r="L590" s="58" t="s">
        <v>3847</v>
      </c>
    </row>
    <row r="591" ht="15.75" customHeight="1">
      <c r="A591" s="25" t="s">
        <v>745</v>
      </c>
      <c r="B591" s="26">
        <v>46061.0</v>
      </c>
      <c r="C591" s="25" t="s">
        <v>714</v>
      </c>
      <c r="D591" s="25" t="s">
        <v>4390</v>
      </c>
      <c r="E591" s="25" t="s">
        <v>123</v>
      </c>
      <c r="F591" s="25" t="s">
        <v>3844</v>
      </c>
      <c r="G591" s="26">
        <v>46097.0</v>
      </c>
      <c r="H591" s="25" t="s">
        <v>4406</v>
      </c>
      <c r="I591" s="25" t="s">
        <v>97</v>
      </c>
      <c r="J591" s="25" t="s">
        <v>2246</v>
      </c>
      <c r="K591" s="25" t="s">
        <v>3846</v>
      </c>
      <c r="L591" s="25" t="s">
        <v>3855</v>
      </c>
    </row>
    <row r="592" ht="15.75" customHeight="1">
      <c r="A592" s="58" t="s">
        <v>98</v>
      </c>
      <c r="B592" s="59">
        <v>46099.0</v>
      </c>
      <c r="C592" s="58" t="s">
        <v>70</v>
      </c>
      <c r="D592" s="58" t="s">
        <v>4390</v>
      </c>
      <c r="E592" s="58" t="s">
        <v>71</v>
      </c>
      <c r="F592" s="58" t="s">
        <v>3844</v>
      </c>
      <c r="G592" s="59">
        <v>46102.0</v>
      </c>
      <c r="H592" s="58" t="s">
        <v>4407</v>
      </c>
      <c r="I592" s="58" t="s">
        <v>97</v>
      </c>
      <c r="J592" s="58" t="s">
        <v>2246</v>
      </c>
      <c r="K592" s="58" t="s">
        <v>3846</v>
      </c>
      <c r="L592" s="58" t="s">
        <v>3851</v>
      </c>
    </row>
    <row r="593" ht="15.75" customHeight="1">
      <c r="A593" s="25" t="s">
        <v>880</v>
      </c>
      <c r="B593" s="26">
        <v>46058.0</v>
      </c>
      <c r="C593" s="25" t="s">
        <v>853</v>
      </c>
      <c r="D593" s="25" t="s">
        <v>4390</v>
      </c>
      <c r="E593" s="25" t="s">
        <v>106</v>
      </c>
      <c r="F593" s="25" t="s">
        <v>3844</v>
      </c>
      <c r="G593" s="26">
        <v>46049.0</v>
      </c>
      <c r="H593" s="25" t="s">
        <v>4408</v>
      </c>
      <c r="I593" s="25" t="s">
        <v>97</v>
      </c>
      <c r="J593" s="25" t="s">
        <v>2246</v>
      </c>
      <c r="K593" s="25" t="s">
        <v>3846</v>
      </c>
      <c r="L593" s="25" t="s">
        <v>3847</v>
      </c>
    </row>
    <row r="594" ht="15.75" customHeight="1">
      <c r="A594" s="58" t="s">
        <v>981</v>
      </c>
      <c r="B594" s="59">
        <v>46036.0</v>
      </c>
      <c r="C594" s="58" t="s">
        <v>957</v>
      </c>
      <c r="D594" s="58" t="s">
        <v>4390</v>
      </c>
      <c r="E594" s="58" t="s">
        <v>108</v>
      </c>
      <c r="F594" s="58" t="s">
        <v>3857</v>
      </c>
      <c r="G594" s="59">
        <v>46188.0</v>
      </c>
      <c r="H594" s="58" t="s">
        <v>4409</v>
      </c>
      <c r="I594" s="58" t="s">
        <v>97</v>
      </c>
      <c r="J594" s="58" t="s">
        <v>2246</v>
      </c>
      <c r="K594" s="58" t="s">
        <v>3846</v>
      </c>
      <c r="L594" s="58" t="s">
        <v>3847</v>
      </c>
    </row>
    <row r="595" ht="15.75" customHeight="1">
      <c r="A595" s="25" t="s">
        <v>201</v>
      </c>
      <c r="B595" s="26">
        <v>46080.0</v>
      </c>
      <c r="C595" s="25" t="s">
        <v>179</v>
      </c>
      <c r="D595" s="25" t="s">
        <v>4390</v>
      </c>
      <c r="E595" s="25" t="s">
        <v>162</v>
      </c>
      <c r="F595" s="25" t="s">
        <v>3844</v>
      </c>
      <c r="G595" s="26">
        <v>46190.0</v>
      </c>
      <c r="H595" s="25" t="s">
        <v>4410</v>
      </c>
      <c r="I595" s="25" t="s">
        <v>97</v>
      </c>
      <c r="J595" s="25" t="s">
        <v>2246</v>
      </c>
      <c r="K595" s="25" t="s">
        <v>3846</v>
      </c>
      <c r="L595" s="25" t="s">
        <v>3847</v>
      </c>
    </row>
    <row r="596" ht="15.75" customHeight="1">
      <c r="A596" s="58" t="s">
        <v>589</v>
      </c>
      <c r="B596" s="59">
        <v>46034.0</v>
      </c>
      <c r="C596" s="58" t="s">
        <v>561</v>
      </c>
      <c r="D596" s="58" t="s">
        <v>4390</v>
      </c>
      <c r="E596" s="58" t="s">
        <v>106</v>
      </c>
      <c r="F596" s="58" t="s">
        <v>3844</v>
      </c>
      <c r="G596" s="59">
        <v>46062.0</v>
      </c>
      <c r="H596" s="58" t="s">
        <v>4411</v>
      </c>
      <c r="I596" s="58" t="s">
        <v>97</v>
      </c>
      <c r="J596" s="58" t="s">
        <v>2246</v>
      </c>
      <c r="K596" s="58" t="s">
        <v>3846</v>
      </c>
      <c r="L596" s="58" t="s">
        <v>3851</v>
      </c>
    </row>
    <row r="597" ht="15.75" customHeight="1">
      <c r="A597" s="25" t="s">
        <v>756</v>
      </c>
      <c r="B597" s="26">
        <v>46031.0</v>
      </c>
      <c r="C597" s="25" t="s">
        <v>723</v>
      </c>
      <c r="D597" s="25" t="s">
        <v>4390</v>
      </c>
      <c r="E597" s="25" t="s">
        <v>85</v>
      </c>
      <c r="F597" s="25" t="s">
        <v>3844</v>
      </c>
      <c r="G597" s="26">
        <v>46130.0</v>
      </c>
      <c r="H597" s="25" t="s">
        <v>4412</v>
      </c>
      <c r="I597" s="25" t="s">
        <v>97</v>
      </c>
      <c r="J597" s="25" t="s">
        <v>2246</v>
      </c>
      <c r="K597" s="25" t="s">
        <v>3846</v>
      </c>
      <c r="L597" s="25" t="s">
        <v>3847</v>
      </c>
    </row>
    <row r="598" ht="15.75" customHeight="1">
      <c r="A598" s="58" t="s">
        <v>101</v>
      </c>
      <c r="B598" s="59">
        <v>46122.0</v>
      </c>
      <c r="C598" s="58" t="s">
        <v>70</v>
      </c>
      <c r="D598" s="58" t="s">
        <v>4390</v>
      </c>
      <c r="E598" s="58" t="s">
        <v>102</v>
      </c>
      <c r="F598" s="58" t="s">
        <v>3844</v>
      </c>
      <c r="G598" s="59">
        <v>46199.0</v>
      </c>
      <c r="H598" s="58" t="s">
        <v>4413</v>
      </c>
      <c r="I598" s="58" t="s">
        <v>97</v>
      </c>
      <c r="J598" s="58" t="s">
        <v>2246</v>
      </c>
      <c r="K598" s="58" t="s">
        <v>3846</v>
      </c>
      <c r="L598" s="58" t="s">
        <v>3851</v>
      </c>
    </row>
    <row r="599" ht="15.75" customHeight="1">
      <c r="A599" s="25" t="s">
        <v>483</v>
      </c>
      <c r="B599" s="26">
        <v>46031.0</v>
      </c>
      <c r="C599" s="25" t="s">
        <v>466</v>
      </c>
      <c r="D599" s="25" t="s">
        <v>4390</v>
      </c>
      <c r="E599" s="25" t="s">
        <v>106</v>
      </c>
      <c r="F599" s="25" t="s">
        <v>3844</v>
      </c>
      <c r="G599" s="26">
        <v>46070.0</v>
      </c>
      <c r="H599" s="25" t="s">
        <v>4414</v>
      </c>
      <c r="I599" s="25" t="s">
        <v>97</v>
      </c>
      <c r="J599" s="25" t="s">
        <v>2246</v>
      </c>
      <c r="K599" s="25" t="s">
        <v>3846</v>
      </c>
      <c r="L599" s="25" t="s">
        <v>3855</v>
      </c>
    </row>
    <row r="600" ht="15.75" customHeight="1">
      <c r="A600" s="58" t="s">
        <v>205</v>
      </c>
      <c r="B600" s="59">
        <v>46054.0</v>
      </c>
      <c r="C600" s="58" t="s">
        <v>179</v>
      </c>
      <c r="D600" s="58" t="s">
        <v>4390</v>
      </c>
      <c r="E600" s="58" t="s">
        <v>190</v>
      </c>
      <c r="F600" s="58" t="s">
        <v>3844</v>
      </c>
      <c r="G600" s="59">
        <v>46170.0</v>
      </c>
      <c r="H600" s="58" t="s">
        <v>4415</v>
      </c>
      <c r="I600" s="58" t="s">
        <v>97</v>
      </c>
      <c r="J600" s="58" t="s">
        <v>2246</v>
      </c>
      <c r="K600" s="58" t="s">
        <v>3846</v>
      </c>
      <c r="L600" s="58" t="s">
        <v>3855</v>
      </c>
    </row>
    <row r="601" ht="15.75" customHeight="1">
      <c r="A601" s="25" t="s">
        <v>887</v>
      </c>
      <c r="B601" s="26">
        <v>46043.0</v>
      </c>
      <c r="C601" s="25" t="s">
        <v>853</v>
      </c>
      <c r="D601" s="25" t="s">
        <v>4390</v>
      </c>
      <c r="E601" s="25" t="s">
        <v>85</v>
      </c>
      <c r="F601" s="25" t="s">
        <v>3844</v>
      </c>
      <c r="G601" s="26">
        <v>46169.0</v>
      </c>
      <c r="H601" s="25" t="s">
        <v>4416</v>
      </c>
      <c r="I601" s="25" t="s">
        <v>97</v>
      </c>
      <c r="J601" s="25" t="s">
        <v>2246</v>
      </c>
      <c r="K601" s="25" t="s">
        <v>3846</v>
      </c>
      <c r="L601" s="25" t="s">
        <v>3855</v>
      </c>
    </row>
    <row r="602" ht="15.75" customHeight="1">
      <c r="A602" s="58" t="s">
        <v>208</v>
      </c>
      <c r="B602" s="59">
        <v>46123.0</v>
      </c>
      <c r="C602" s="58" t="s">
        <v>179</v>
      </c>
      <c r="D602" s="58" t="s">
        <v>4390</v>
      </c>
      <c r="E602" s="58" t="s">
        <v>71</v>
      </c>
      <c r="F602" s="58" t="s">
        <v>3844</v>
      </c>
      <c r="G602" s="59">
        <v>46104.0</v>
      </c>
      <c r="H602" s="58" t="s">
        <v>4417</v>
      </c>
      <c r="I602" s="58" t="s">
        <v>97</v>
      </c>
      <c r="J602" s="58" t="s">
        <v>2246</v>
      </c>
      <c r="K602" s="58" t="s">
        <v>3846</v>
      </c>
      <c r="L602" s="58" t="s">
        <v>3855</v>
      </c>
    </row>
    <row r="603" ht="15.75" customHeight="1">
      <c r="A603" s="25" t="s">
        <v>107</v>
      </c>
      <c r="B603" s="26">
        <v>46043.0</v>
      </c>
      <c r="C603" s="25" t="s">
        <v>70</v>
      </c>
      <c r="D603" s="25" t="s">
        <v>4390</v>
      </c>
      <c r="E603" s="25" t="s">
        <v>108</v>
      </c>
      <c r="F603" s="25" t="s">
        <v>3844</v>
      </c>
      <c r="G603" s="26">
        <v>46044.0</v>
      </c>
      <c r="H603" s="25" t="s">
        <v>4418</v>
      </c>
      <c r="I603" s="25" t="s">
        <v>97</v>
      </c>
      <c r="J603" s="25" t="s">
        <v>2246</v>
      </c>
      <c r="K603" s="25" t="s">
        <v>3846</v>
      </c>
      <c r="L603" s="25" t="s">
        <v>3847</v>
      </c>
    </row>
    <row r="604" ht="15.75" customHeight="1">
      <c r="A604" s="58" t="s">
        <v>762</v>
      </c>
      <c r="B604" s="59">
        <v>46041.0</v>
      </c>
      <c r="C604" s="58" t="s">
        <v>729</v>
      </c>
      <c r="D604" s="58" t="s">
        <v>4390</v>
      </c>
      <c r="E604" s="58" t="s">
        <v>85</v>
      </c>
      <c r="F604" s="58" t="s">
        <v>3844</v>
      </c>
      <c r="G604" s="59">
        <v>46182.0</v>
      </c>
      <c r="H604" s="58" t="s">
        <v>4419</v>
      </c>
      <c r="I604" s="58" t="s">
        <v>97</v>
      </c>
      <c r="J604" s="58" t="s">
        <v>2246</v>
      </c>
      <c r="K604" s="58" t="s">
        <v>3846</v>
      </c>
      <c r="L604" s="58" t="s">
        <v>3847</v>
      </c>
    </row>
    <row r="605" ht="15.75" customHeight="1">
      <c r="A605" s="25" t="s">
        <v>602</v>
      </c>
      <c r="B605" s="26">
        <v>46031.0</v>
      </c>
      <c r="C605" s="25" t="s">
        <v>559</v>
      </c>
      <c r="D605" s="25" t="s">
        <v>4390</v>
      </c>
      <c r="E605" s="25" t="s">
        <v>154</v>
      </c>
      <c r="F605" s="25" t="s">
        <v>3844</v>
      </c>
      <c r="G605" s="26">
        <v>46083.0</v>
      </c>
      <c r="H605" s="25"/>
      <c r="I605" s="25" t="s">
        <v>97</v>
      </c>
      <c r="J605" s="25" t="s">
        <v>2247</v>
      </c>
      <c r="K605" s="25" t="s">
        <v>3848</v>
      </c>
      <c r="L605" s="25" t="s">
        <v>3847</v>
      </c>
    </row>
    <row r="606" ht="15.75" customHeight="1">
      <c r="A606" s="58" t="s">
        <v>765</v>
      </c>
      <c r="B606" s="59">
        <v>46106.0</v>
      </c>
      <c r="C606" s="58" t="s">
        <v>723</v>
      </c>
      <c r="D606" s="58" t="s">
        <v>4390</v>
      </c>
      <c r="E606" s="58" t="s">
        <v>156</v>
      </c>
      <c r="F606" s="58" t="s">
        <v>3879</v>
      </c>
      <c r="G606" s="59">
        <v>46144.0</v>
      </c>
      <c r="H606" s="58" t="s">
        <v>4420</v>
      </c>
      <c r="I606" s="58" t="s">
        <v>97</v>
      </c>
      <c r="J606" s="58" t="s">
        <v>2247</v>
      </c>
      <c r="K606" s="58" t="s">
        <v>3881</v>
      </c>
      <c r="L606" s="58" t="s">
        <v>3851</v>
      </c>
    </row>
    <row r="607" ht="15.75" customHeight="1">
      <c r="A607" s="25" t="s">
        <v>769</v>
      </c>
      <c r="B607" s="26">
        <v>46129.0</v>
      </c>
      <c r="C607" s="25" t="s">
        <v>723</v>
      </c>
      <c r="D607" s="25" t="s">
        <v>4390</v>
      </c>
      <c r="E607" s="25" t="s">
        <v>108</v>
      </c>
      <c r="F607" s="25" t="s">
        <v>3844</v>
      </c>
      <c r="G607" s="26">
        <v>46111.0</v>
      </c>
      <c r="H607" s="25" t="s">
        <v>4421</v>
      </c>
      <c r="I607" s="25" t="s">
        <v>97</v>
      </c>
      <c r="J607" s="25" t="s">
        <v>2246</v>
      </c>
      <c r="K607" s="25" t="s">
        <v>3846</v>
      </c>
      <c r="L607" s="25" t="s">
        <v>3847</v>
      </c>
    </row>
    <row r="608" ht="15.75" customHeight="1">
      <c r="A608" s="58" t="s">
        <v>213</v>
      </c>
      <c r="B608" s="59">
        <v>46094.0</v>
      </c>
      <c r="C608" s="58" t="s">
        <v>179</v>
      </c>
      <c r="D608" s="58" t="s">
        <v>4390</v>
      </c>
      <c r="E608" s="58" t="s">
        <v>190</v>
      </c>
      <c r="F608" s="58" t="s">
        <v>3844</v>
      </c>
      <c r="G608" s="59">
        <v>46213.0</v>
      </c>
      <c r="H608" s="58" t="s">
        <v>4422</v>
      </c>
      <c r="I608" s="58" t="s">
        <v>97</v>
      </c>
      <c r="J608" s="58" t="s">
        <v>2246</v>
      </c>
      <c r="K608" s="58" t="s">
        <v>3846</v>
      </c>
      <c r="L608" s="58" t="s">
        <v>3855</v>
      </c>
    </row>
    <row r="609" ht="15.75" customHeight="1">
      <c r="A609" s="25" t="s">
        <v>214</v>
      </c>
      <c r="B609" s="26">
        <v>46061.0</v>
      </c>
      <c r="C609" s="25" t="s">
        <v>179</v>
      </c>
      <c r="D609" s="25" t="s">
        <v>4390</v>
      </c>
      <c r="E609" s="25" t="s">
        <v>190</v>
      </c>
      <c r="F609" s="25" t="s">
        <v>3879</v>
      </c>
      <c r="G609" s="26">
        <v>46046.0</v>
      </c>
      <c r="H609" s="25" t="s">
        <v>4423</v>
      </c>
      <c r="I609" s="25" t="s">
        <v>97</v>
      </c>
      <c r="J609" s="25" t="s">
        <v>2247</v>
      </c>
      <c r="K609" s="25" t="s">
        <v>3881</v>
      </c>
      <c r="L609" s="25" t="s">
        <v>3855</v>
      </c>
    </row>
    <row r="610" ht="15.75" customHeight="1">
      <c r="A610" s="58" t="s">
        <v>895</v>
      </c>
      <c r="B610" s="59">
        <v>46120.0</v>
      </c>
      <c r="C610" s="58" t="s">
        <v>853</v>
      </c>
      <c r="D610" s="58" t="s">
        <v>4390</v>
      </c>
      <c r="E610" s="58" t="s">
        <v>78</v>
      </c>
      <c r="F610" s="58" t="s">
        <v>3844</v>
      </c>
      <c r="G610" s="59">
        <v>46221.0</v>
      </c>
      <c r="H610" s="58" t="s">
        <v>4424</v>
      </c>
      <c r="I610" s="58" t="s">
        <v>97</v>
      </c>
      <c r="J610" s="58" t="s">
        <v>2246</v>
      </c>
      <c r="K610" s="58" t="s">
        <v>3846</v>
      </c>
      <c r="L610" s="58" t="s">
        <v>3855</v>
      </c>
    </row>
    <row r="611" ht="15.75" customHeight="1">
      <c r="A611" s="25" t="s">
        <v>1006</v>
      </c>
      <c r="B611" s="26">
        <v>46111.0</v>
      </c>
      <c r="C611" s="25" t="s">
        <v>957</v>
      </c>
      <c r="D611" s="25" t="s">
        <v>4390</v>
      </c>
      <c r="E611" s="25" t="s">
        <v>102</v>
      </c>
      <c r="F611" s="25" t="s">
        <v>3844</v>
      </c>
      <c r="G611" s="26">
        <v>46195.0</v>
      </c>
      <c r="H611" s="25" t="s">
        <v>4425</v>
      </c>
      <c r="I611" s="25" t="s">
        <v>97</v>
      </c>
      <c r="J611" s="25" t="s">
        <v>2246</v>
      </c>
      <c r="K611" s="25" t="s">
        <v>3846</v>
      </c>
      <c r="L611" s="25" t="s">
        <v>3851</v>
      </c>
    </row>
    <row r="612" ht="15.75" customHeight="1">
      <c r="A612" s="58" t="s">
        <v>217</v>
      </c>
      <c r="B612" s="59">
        <v>46071.0</v>
      </c>
      <c r="C612" s="58" t="s">
        <v>179</v>
      </c>
      <c r="D612" s="58" t="s">
        <v>4390</v>
      </c>
      <c r="E612" s="58" t="s">
        <v>92</v>
      </c>
      <c r="F612" s="58" t="s">
        <v>3844</v>
      </c>
      <c r="G612" s="59">
        <v>46078.0</v>
      </c>
      <c r="H612" s="58" t="s">
        <v>4426</v>
      </c>
      <c r="I612" s="58" t="s">
        <v>97</v>
      </c>
      <c r="J612" s="58" t="s">
        <v>2246</v>
      </c>
      <c r="K612" s="58" t="s">
        <v>3846</v>
      </c>
      <c r="L612" s="58" t="s">
        <v>3847</v>
      </c>
    </row>
    <row r="613" ht="15.75" customHeight="1">
      <c r="A613" s="25" t="s">
        <v>495</v>
      </c>
      <c r="B613" s="26">
        <v>46068.0</v>
      </c>
      <c r="C613" s="25" t="s">
        <v>466</v>
      </c>
      <c r="D613" s="25" t="s">
        <v>4390</v>
      </c>
      <c r="E613" s="25" t="s">
        <v>110</v>
      </c>
      <c r="F613" s="25" t="s">
        <v>3857</v>
      </c>
      <c r="G613" s="26">
        <v>46119.0</v>
      </c>
      <c r="H613" s="25" t="s">
        <v>4427</v>
      </c>
      <c r="I613" s="25" t="s">
        <v>97</v>
      </c>
      <c r="J613" s="25" t="s">
        <v>2246</v>
      </c>
      <c r="K613" s="25" t="s">
        <v>3846</v>
      </c>
      <c r="L613" s="25" t="s">
        <v>3855</v>
      </c>
    </row>
    <row r="614" ht="15.75" customHeight="1">
      <c r="A614" s="58" t="s">
        <v>1009</v>
      </c>
      <c r="B614" s="59">
        <v>46136.0</v>
      </c>
      <c r="C614" s="58" t="s">
        <v>957</v>
      </c>
      <c r="D614" s="58" t="s">
        <v>4390</v>
      </c>
      <c r="E614" s="58" t="s">
        <v>90</v>
      </c>
      <c r="F614" s="58" t="s">
        <v>3844</v>
      </c>
      <c r="G614" s="59">
        <v>46245.0</v>
      </c>
      <c r="H614" s="58" t="s">
        <v>4428</v>
      </c>
      <c r="I614" s="58" t="s">
        <v>97</v>
      </c>
      <c r="J614" s="58" t="s">
        <v>2246</v>
      </c>
      <c r="K614" s="58" t="s">
        <v>3846</v>
      </c>
      <c r="L614" s="58" t="s">
        <v>3847</v>
      </c>
    </row>
    <row r="615" ht="15.75" customHeight="1">
      <c r="A615" s="25" t="s">
        <v>120</v>
      </c>
      <c r="B615" s="26">
        <v>46134.0</v>
      </c>
      <c r="C615" s="25" t="s">
        <v>70</v>
      </c>
      <c r="D615" s="25" t="s">
        <v>4390</v>
      </c>
      <c r="E615" s="25" t="s">
        <v>90</v>
      </c>
      <c r="F615" s="25" t="s">
        <v>3844</v>
      </c>
      <c r="G615" s="26">
        <v>46206.0</v>
      </c>
      <c r="H615" s="25" t="s">
        <v>4429</v>
      </c>
      <c r="I615" s="25" t="s">
        <v>97</v>
      </c>
      <c r="J615" s="25" t="s">
        <v>2246</v>
      </c>
      <c r="K615" s="25" t="s">
        <v>3846</v>
      </c>
      <c r="L615" s="25" t="s">
        <v>3855</v>
      </c>
    </row>
    <row r="616" ht="15.75" customHeight="1">
      <c r="A616" s="58" t="s">
        <v>121</v>
      </c>
      <c r="B616" s="59">
        <v>46128.0</v>
      </c>
      <c r="C616" s="58" t="s">
        <v>70</v>
      </c>
      <c r="D616" s="58" t="s">
        <v>4390</v>
      </c>
      <c r="E616" s="58" t="s">
        <v>81</v>
      </c>
      <c r="F616" s="58" t="s">
        <v>3844</v>
      </c>
      <c r="G616" s="59">
        <v>46154.0</v>
      </c>
      <c r="H616" s="58" t="s">
        <v>4430</v>
      </c>
      <c r="I616" s="58" t="s">
        <v>3853</v>
      </c>
      <c r="J616" s="58" t="s">
        <v>2247</v>
      </c>
      <c r="K616" s="58" t="s">
        <v>3854</v>
      </c>
      <c r="L616" s="58" t="s">
        <v>3847</v>
      </c>
    </row>
    <row r="617" ht="15.75" customHeight="1">
      <c r="A617" s="25" t="s">
        <v>779</v>
      </c>
      <c r="B617" s="26">
        <v>46077.0</v>
      </c>
      <c r="C617" s="25" t="s">
        <v>714</v>
      </c>
      <c r="D617" s="25" t="s">
        <v>4390</v>
      </c>
      <c r="E617" s="25" t="s">
        <v>190</v>
      </c>
      <c r="F617" s="25" t="s">
        <v>3844</v>
      </c>
      <c r="G617" s="26">
        <v>46126.0</v>
      </c>
      <c r="H617" s="25" t="s">
        <v>4431</v>
      </c>
      <c r="I617" s="25" t="s">
        <v>3906</v>
      </c>
      <c r="J617" s="25" t="s">
        <v>2247</v>
      </c>
      <c r="K617" s="25" t="s">
        <v>3854</v>
      </c>
      <c r="L617" s="25" t="s">
        <v>3855</v>
      </c>
    </row>
    <row r="618" ht="15.75" customHeight="1">
      <c r="A618" s="58" t="s">
        <v>613</v>
      </c>
      <c r="B618" s="59">
        <v>46115.0</v>
      </c>
      <c r="C618" s="58" t="s">
        <v>561</v>
      </c>
      <c r="D618" s="58" t="s">
        <v>4390</v>
      </c>
      <c r="E618" s="58" t="s">
        <v>78</v>
      </c>
      <c r="F618" s="58" t="s">
        <v>3844</v>
      </c>
      <c r="G618" s="59">
        <v>46267.0</v>
      </c>
      <c r="H618" s="58" t="s">
        <v>4432</v>
      </c>
      <c r="I618" s="58" t="s">
        <v>97</v>
      </c>
      <c r="J618" s="58" t="s">
        <v>2246</v>
      </c>
      <c r="K618" s="58" t="s">
        <v>3846</v>
      </c>
      <c r="L618" s="58" t="s">
        <v>3847</v>
      </c>
    </row>
    <row r="619" ht="15.75" customHeight="1">
      <c r="A619" s="25" t="s">
        <v>789</v>
      </c>
      <c r="B619" s="26">
        <v>46134.0</v>
      </c>
      <c r="C619" s="25" t="s">
        <v>729</v>
      </c>
      <c r="D619" s="25" t="s">
        <v>4390</v>
      </c>
      <c r="E619" s="25" t="s">
        <v>78</v>
      </c>
      <c r="F619" s="25" t="s">
        <v>3844</v>
      </c>
      <c r="G619" s="26">
        <v>46204.0</v>
      </c>
      <c r="H619" s="25" t="s">
        <v>4433</v>
      </c>
      <c r="I619" s="25" t="s">
        <v>97</v>
      </c>
      <c r="J619" s="25" t="s">
        <v>2246</v>
      </c>
      <c r="K619" s="25" t="s">
        <v>3846</v>
      </c>
      <c r="L619" s="25" t="s">
        <v>3855</v>
      </c>
    </row>
    <row r="620" ht="15.75" customHeight="1">
      <c r="A620" s="58" t="s">
        <v>792</v>
      </c>
      <c r="B620" s="59">
        <v>46071.0</v>
      </c>
      <c r="C620" s="58" t="s">
        <v>714</v>
      </c>
      <c r="D620" s="58" t="s">
        <v>4390</v>
      </c>
      <c r="E620" s="58" t="s">
        <v>156</v>
      </c>
      <c r="F620" s="58" t="s">
        <v>3844</v>
      </c>
      <c r="G620" s="59">
        <v>46199.0</v>
      </c>
      <c r="H620" s="58" t="s">
        <v>4434</v>
      </c>
      <c r="I620" s="58" t="s">
        <v>97</v>
      </c>
      <c r="J620" s="58" t="s">
        <v>2246</v>
      </c>
      <c r="K620" s="58" t="s">
        <v>3846</v>
      </c>
      <c r="L620" s="58" t="s">
        <v>3851</v>
      </c>
    </row>
    <row r="621" ht="15.75" customHeight="1">
      <c r="A621" s="25" t="s">
        <v>505</v>
      </c>
      <c r="B621" s="26">
        <v>46141.0</v>
      </c>
      <c r="C621" s="25" t="s">
        <v>466</v>
      </c>
      <c r="D621" s="25" t="s">
        <v>4390</v>
      </c>
      <c r="E621" s="25" t="s">
        <v>123</v>
      </c>
      <c r="F621" s="25" t="s">
        <v>3879</v>
      </c>
      <c r="G621" s="26">
        <v>46247.0</v>
      </c>
      <c r="H621" s="25" t="s">
        <v>4435</v>
      </c>
      <c r="I621" s="25" t="s">
        <v>97</v>
      </c>
      <c r="J621" s="25" t="s">
        <v>2247</v>
      </c>
      <c r="K621" s="25" t="s">
        <v>3881</v>
      </c>
      <c r="L621" s="25" t="s">
        <v>3855</v>
      </c>
    </row>
    <row r="622" ht="15.75" customHeight="1">
      <c r="A622" s="58" t="s">
        <v>506</v>
      </c>
      <c r="B622" s="59">
        <v>46089.0</v>
      </c>
      <c r="C622" s="58" t="s">
        <v>466</v>
      </c>
      <c r="D622" s="58" t="s">
        <v>4390</v>
      </c>
      <c r="E622" s="58" t="s">
        <v>123</v>
      </c>
      <c r="F622" s="58" t="s">
        <v>3857</v>
      </c>
      <c r="G622" s="59">
        <v>46205.0</v>
      </c>
      <c r="H622" s="58" t="s">
        <v>4436</v>
      </c>
      <c r="I622" s="58" t="s">
        <v>97</v>
      </c>
      <c r="J622" s="58" t="s">
        <v>2246</v>
      </c>
      <c r="K622" s="58" t="s">
        <v>3846</v>
      </c>
      <c r="L622" s="58" t="s">
        <v>3851</v>
      </c>
    </row>
    <row r="623" ht="15.75" customHeight="1">
      <c r="A623" s="25" t="s">
        <v>797</v>
      </c>
      <c r="B623" s="26">
        <v>46123.0</v>
      </c>
      <c r="C623" s="25" t="s">
        <v>714</v>
      </c>
      <c r="D623" s="25" t="s">
        <v>4390</v>
      </c>
      <c r="E623" s="25" t="s">
        <v>92</v>
      </c>
      <c r="F623" s="25" t="s">
        <v>3844</v>
      </c>
      <c r="G623" s="26">
        <v>46211.0</v>
      </c>
      <c r="H623" s="25" t="s">
        <v>4437</v>
      </c>
      <c r="I623" s="25" t="s">
        <v>97</v>
      </c>
      <c r="J623" s="25" t="s">
        <v>2246</v>
      </c>
      <c r="K623" s="25" t="s">
        <v>3846</v>
      </c>
      <c r="L623" s="25" t="s">
        <v>3855</v>
      </c>
    </row>
    <row r="624" ht="15.75" customHeight="1">
      <c r="A624" s="58" t="s">
        <v>1027</v>
      </c>
      <c r="B624" s="59">
        <v>46091.0</v>
      </c>
      <c r="C624" s="58" t="s">
        <v>957</v>
      </c>
      <c r="D624" s="58" t="s">
        <v>4390</v>
      </c>
      <c r="E624" s="58" t="s">
        <v>102</v>
      </c>
      <c r="F624" s="58" t="s">
        <v>3913</v>
      </c>
      <c r="G624" s="59">
        <v>46209.0</v>
      </c>
      <c r="H624" s="58" t="s">
        <v>4438</v>
      </c>
      <c r="I624" s="58" t="s">
        <v>97</v>
      </c>
      <c r="J624" s="58" t="s">
        <v>2247</v>
      </c>
      <c r="K624" s="58" t="s">
        <v>3881</v>
      </c>
      <c r="L624" s="58" t="s">
        <v>3855</v>
      </c>
    </row>
    <row r="625" ht="15.75" customHeight="1">
      <c r="A625" s="25" t="s">
        <v>240</v>
      </c>
      <c r="B625" s="26">
        <v>46107.0</v>
      </c>
      <c r="C625" s="25" t="s">
        <v>179</v>
      </c>
      <c r="D625" s="25" t="s">
        <v>4390</v>
      </c>
      <c r="E625" s="25" t="s">
        <v>90</v>
      </c>
      <c r="F625" s="25" t="s">
        <v>3844</v>
      </c>
      <c r="G625" s="26">
        <v>46228.0</v>
      </c>
      <c r="H625" s="25" t="s">
        <v>4439</v>
      </c>
      <c r="I625" s="25" t="s">
        <v>97</v>
      </c>
      <c r="J625" s="25" t="s">
        <v>2246</v>
      </c>
      <c r="K625" s="25" t="s">
        <v>3846</v>
      </c>
      <c r="L625" s="25" t="s">
        <v>3847</v>
      </c>
    </row>
    <row r="626" ht="15.75" customHeight="1">
      <c r="A626" s="58" t="s">
        <v>802</v>
      </c>
      <c r="B626" s="59">
        <v>46142.0</v>
      </c>
      <c r="C626" s="58" t="s">
        <v>714</v>
      </c>
      <c r="D626" s="58" t="s">
        <v>4390</v>
      </c>
      <c r="E626" s="58" t="s">
        <v>71</v>
      </c>
      <c r="F626" s="58" t="s">
        <v>3844</v>
      </c>
      <c r="G626" s="59">
        <v>46195.0</v>
      </c>
      <c r="H626" s="58" t="s">
        <v>4440</v>
      </c>
      <c r="I626" s="58" t="s">
        <v>97</v>
      </c>
      <c r="J626" s="58" t="s">
        <v>2246</v>
      </c>
      <c r="K626" s="58" t="s">
        <v>3846</v>
      </c>
      <c r="L626" s="58" t="s">
        <v>3851</v>
      </c>
    </row>
    <row r="627" ht="15.75" customHeight="1">
      <c r="A627" s="25" t="s">
        <v>1033</v>
      </c>
      <c r="B627" s="26">
        <v>46110.0</v>
      </c>
      <c r="C627" s="25" t="s">
        <v>957</v>
      </c>
      <c r="D627" s="25" t="s">
        <v>4390</v>
      </c>
      <c r="E627" s="25" t="s">
        <v>85</v>
      </c>
      <c r="F627" s="25" t="s">
        <v>3844</v>
      </c>
      <c r="G627" s="26">
        <v>46113.0</v>
      </c>
      <c r="H627" s="25" t="s">
        <v>4441</v>
      </c>
      <c r="I627" s="25" t="s">
        <v>97</v>
      </c>
      <c r="J627" s="25" t="s">
        <v>2246</v>
      </c>
      <c r="K627" s="25" t="s">
        <v>3846</v>
      </c>
      <c r="L627" s="25" t="s">
        <v>3851</v>
      </c>
    </row>
    <row r="628" ht="15.75" customHeight="1">
      <c r="A628" s="58" t="s">
        <v>1035</v>
      </c>
      <c r="B628" s="59">
        <v>46103.0</v>
      </c>
      <c r="C628" s="58" t="s">
        <v>957</v>
      </c>
      <c r="D628" s="58" t="s">
        <v>4390</v>
      </c>
      <c r="E628" s="58" t="s">
        <v>68</v>
      </c>
      <c r="F628" s="58" t="s">
        <v>3844</v>
      </c>
      <c r="G628" s="59">
        <v>46200.0</v>
      </c>
      <c r="H628" s="58" t="s">
        <v>4442</v>
      </c>
      <c r="I628" s="58" t="s">
        <v>3853</v>
      </c>
      <c r="J628" s="58" t="s">
        <v>2247</v>
      </c>
      <c r="K628" s="58" t="s">
        <v>3854</v>
      </c>
      <c r="L628" s="58" t="s">
        <v>3847</v>
      </c>
    </row>
    <row r="629" ht="15.75" customHeight="1">
      <c r="A629" s="25" t="s">
        <v>921</v>
      </c>
      <c r="B629" s="26">
        <v>46137.0</v>
      </c>
      <c r="C629" s="25" t="s">
        <v>853</v>
      </c>
      <c r="D629" s="25" t="s">
        <v>4390</v>
      </c>
      <c r="E629" s="25" t="s">
        <v>68</v>
      </c>
      <c r="F629" s="25" t="s">
        <v>3844</v>
      </c>
      <c r="G629" s="26">
        <v>46207.0</v>
      </c>
      <c r="H629" s="25" t="s">
        <v>4443</v>
      </c>
      <c r="I629" s="25" t="s">
        <v>3853</v>
      </c>
      <c r="J629" s="25" t="s">
        <v>2247</v>
      </c>
      <c r="K629" s="25" t="s">
        <v>3854</v>
      </c>
      <c r="L629" s="25" t="s">
        <v>3851</v>
      </c>
    </row>
    <row r="630" ht="15.75" customHeight="1">
      <c r="A630" s="58" t="s">
        <v>810</v>
      </c>
      <c r="B630" s="59">
        <v>46086.0</v>
      </c>
      <c r="C630" s="58" t="s">
        <v>714</v>
      </c>
      <c r="D630" s="58" t="s">
        <v>4390</v>
      </c>
      <c r="E630" s="58" t="s">
        <v>85</v>
      </c>
      <c r="F630" s="58" t="s">
        <v>3844</v>
      </c>
      <c r="G630" s="59">
        <v>46168.0</v>
      </c>
      <c r="H630" s="58" t="s">
        <v>4444</v>
      </c>
      <c r="I630" s="58" t="s">
        <v>97</v>
      </c>
      <c r="J630" s="58" t="s">
        <v>2246</v>
      </c>
      <c r="K630" s="58" t="s">
        <v>3846</v>
      </c>
      <c r="L630" s="58" t="s">
        <v>3855</v>
      </c>
    </row>
    <row r="631" ht="15.75" customHeight="1">
      <c r="A631" s="25" t="s">
        <v>643</v>
      </c>
      <c r="B631" s="26">
        <v>46105.0</v>
      </c>
      <c r="C631" s="25" t="s">
        <v>561</v>
      </c>
      <c r="D631" s="25" t="s">
        <v>4390</v>
      </c>
      <c r="E631" s="25" t="s">
        <v>190</v>
      </c>
      <c r="F631" s="25" t="s">
        <v>3844</v>
      </c>
      <c r="G631" s="26">
        <v>46239.0</v>
      </c>
      <c r="H631" s="25" t="s">
        <v>4445</v>
      </c>
      <c r="I631" s="25" t="s">
        <v>97</v>
      </c>
      <c r="J631" s="25" t="s">
        <v>2246</v>
      </c>
      <c r="K631" s="25" t="s">
        <v>3846</v>
      </c>
      <c r="L631" s="25" t="s">
        <v>3851</v>
      </c>
    </row>
    <row r="632" ht="15.75" customHeight="1">
      <c r="A632" s="58" t="s">
        <v>814</v>
      </c>
      <c r="B632" s="59">
        <v>46043.0</v>
      </c>
      <c r="C632" s="58" t="s">
        <v>723</v>
      </c>
      <c r="D632" s="58" t="s">
        <v>4390</v>
      </c>
      <c r="E632" s="58" t="s">
        <v>68</v>
      </c>
      <c r="F632" s="58" t="s">
        <v>3844</v>
      </c>
      <c r="G632" s="59">
        <v>46188.0</v>
      </c>
      <c r="H632" s="58" t="s">
        <v>4446</v>
      </c>
      <c r="I632" s="58" t="s">
        <v>3853</v>
      </c>
      <c r="J632" s="58" t="s">
        <v>2247</v>
      </c>
      <c r="K632" s="58" t="s">
        <v>3854</v>
      </c>
      <c r="L632" s="58" t="s">
        <v>3855</v>
      </c>
    </row>
    <row r="633" ht="15.75" customHeight="1">
      <c r="A633" s="25" t="s">
        <v>817</v>
      </c>
      <c r="B633" s="26">
        <v>46035.0</v>
      </c>
      <c r="C633" s="25" t="s">
        <v>723</v>
      </c>
      <c r="D633" s="25" t="s">
        <v>4390</v>
      </c>
      <c r="E633" s="25" t="s">
        <v>156</v>
      </c>
      <c r="F633" s="25" t="s">
        <v>3844</v>
      </c>
      <c r="G633" s="26">
        <v>46129.0</v>
      </c>
      <c r="H633" s="25" t="s">
        <v>4447</v>
      </c>
      <c r="I633" s="25" t="s">
        <v>97</v>
      </c>
      <c r="J633" s="25" t="s">
        <v>2246</v>
      </c>
      <c r="K633" s="25" t="s">
        <v>3846</v>
      </c>
      <c r="L633" s="25" t="s">
        <v>3851</v>
      </c>
    </row>
    <row r="634" ht="15.75" customHeight="1">
      <c r="A634" s="58" t="s">
        <v>929</v>
      </c>
      <c r="B634" s="59">
        <v>46111.0</v>
      </c>
      <c r="C634" s="58" t="s">
        <v>853</v>
      </c>
      <c r="D634" s="58" t="s">
        <v>4390</v>
      </c>
      <c r="E634" s="58" t="s">
        <v>74</v>
      </c>
      <c r="F634" s="58" t="s">
        <v>3844</v>
      </c>
      <c r="G634" s="59">
        <v>46167.0</v>
      </c>
      <c r="H634" s="58" t="s">
        <v>4448</v>
      </c>
      <c r="I634" s="58" t="s">
        <v>97</v>
      </c>
      <c r="J634" s="58" t="s">
        <v>2246</v>
      </c>
      <c r="K634" s="58" t="s">
        <v>3846</v>
      </c>
      <c r="L634" s="58" t="s">
        <v>3855</v>
      </c>
    </row>
    <row r="635" ht="15.75" customHeight="1">
      <c r="A635" s="25" t="s">
        <v>823</v>
      </c>
      <c r="B635" s="26">
        <v>46063.0</v>
      </c>
      <c r="C635" s="25" t="s">
        <v>729</v>
      </c>
      <c r="D635" s="25" t="s">
        <v>4390</v>
      </c>
      <c r="E635" s="25" t="s">
        <v>102</v>
      </c>
      <c r="F635" s="25" t="s">
        <v>3844</v>
      </c>
      <c r="G635" s="26">
        <v>46057.0</v>
      </c>
      <c r="H635" s="25" t="s">
        <v>4449</v>
      </c>
      <c r="I635" s="25" t="s">
        <v>97</v>
      </c>
      <c r="J635" s="25" t="s">
        <v>2246</v>
      </c>
      <c r="K635" s="25" t="s">
        <v>3846</v>
      </c>
      <c r="L635" s="25" t="s">
        <v>3855</v>
      </c>
    </row>
    <row r="636" ht="15.75" customHeight="1">
      <c r="A636" s="58" t="s">
        <v>1045</v>
      </c>
      <c r="B636" s="59">
        <v>46047.0</v>
      </c>
      <c r="C636" s="58" t="s">
        <v>957</v>
      </c>
      <c r="D636" s="58" t="s">
        <v>4390</v>
      </c>
      <c r="E636" s="58" t="s">
        <v>81</v>
      </c>
      <c r="F636" s="58" t="s">
        <v>3844</v>
      </c>
      <c r="G636" s="59">
        <v>46104.0</v>
      </c>
      <c r="H636" s="58"/>
      <c r="I636" s="58" t="s">
        <v>3853</v>
      </c>
      <c r="J636" s="58" t="s">
        <v>2247</v>
      </c>
      <c r="K636" s="58" t="s">
        <v>3874</v>
      </c>
      <c r="L636" s="58" t="s">
        <v>3851</v>
      </c>
    </row>
    <row r="637" ht="15.75" customHeight="1">
      <c r="A637" s="25" t="s">
        <v>826</v>
      </c>
      <c r="B637" s="26">
        <v>46124.0</v>
      </c>
      <c r="C637" s="25" t="s">
        <v>729</v>
      </c>
      <c r="D637" s="25" t="s">
        <v>4390</v>
      </c>
      <c r="E637" s="25" t="s">
        <v>68</v>
      </c>
      <c r="F637" s="25" t="s">
        <v>3844</v>
      </c>
      <c r="G637" s="26">
        <v>46196.0</v>
      </c>
      <c r="H637" s="25"/>
      <c r="I637" s="25" t="s">
        <v>3853</v>
      </c>
      <c r="J637" s="25" t="s">
        <v>2247</v>
      </c>
      <c r="K637" s="25" t="s">
        <v>3874</v>
      </c>
      <c r="L637" s="25" t="s">
        <v>3851</v>
      </c>
    </row>
    <row r="638" ht="15.75" customHeight="1">
      <c r="A638" s="58" t="s">
        <v>261</v>
      </c>
      <c r="B638" s="59">
        <v>46134.0</v>
      </c>
      <c r="C638" s="58" t="s">
        <v>179</v>
      </c>
      <c r="D638" s="58" t="s">
        <v>4390</v>
      </c>
      <c r="E638" s="58" t="s">
        <v>81</v>
      </c>
      <c r="F638" s="58" t="s">
        <v>3857</v>
      </c>
      <c r="G638" s="59">
        <v>46168.0</v>
      </c>
      <c r="H638" s="58" t="s">
        <v>4450</v>
      </c>
      <c r="I638" s="58" t="s">
        <v>3853</v>
      </c>
      <c r="J638" s="58" t="s">
        <v>2247</v>
      </c>
      <c r="K638" s="58" t="s">
        <v>3854</v>
      </c>
      <c r="L638" s="58" t="s">
        <v>3855</v>
      </c>
    </row>
    <row r="639" ht="15.75" customHeight="1">
      <c r="A639" s="25" t="s">
        <v>263</v>
      </c>
      <c r="B639" s="26">
        <v>46057.0</v>
      </c>
      <c r="C639" s="25" t="s">
        <v>179</v>
      </c>
      <c r="D639" s="25" t="s">
        <v>4390</v>
      </c>
      <c r="E639" s="25" t="s">
        <v>156</v>
      </c>
      <c r="F639" s="25" t="s">
        <v>3844</v>
      </c>
      <c r="G639" s="26">
        <v>46058.0</v>
      </c>
      <c r="H639" s="25" t="s">
        <v>4451</v>
      </c>
      <c r="I639" s="25" t="s">
        <v>97</v>
      </c>
      <c r="J639" s="25" t="s">
        <v>2246</v>
      </c>
      <c r="K639" s="25" t="s">
        <v>3846</v>
      </c>
      <c r="L639" s="25" t="s">
        <v>3847</v>
      </c>
    </row>
    <row r="640" ht="15.75" customHeight="1">
      <c r="A640" s="58" t="s">
        <v>673</v>
      </c>
      <c r="B640" s="59">
        <v>46062.0</v>
      </c>
      <c r="C640" s="58" t="s">
        <v>559</v>
      </c>
      <c r="D640" s="58" t="s">
        <v>4390</v>
      </c>
      <c r="E640" s="58" t="s">
        <v>68</v>
      </c>
      <c r="F640" s="58" t="s">
        <v>3844</v>
      </c>
      <c r="G640" s="59">
        <v>46177.0</v>
      </c>
      <c r="H640" s="58" t="s">
        <v>4452</v>
      </c>
      <c r="I640" s="58" t="s">
        <v>3853</v>
      </c>
      <c r="J640" s="58" t="s">
        <v>2247</v>
      </c>
      <c r="K640" s="58" t="s">
        <v>3854</v>
      </c>
      <c r="L640" s="58" t="s">
        <v>3847</v>
      </c>
    </row>
    <row r="641" ht="15.75" customHeight="1">
      <c r="A641" s="25" t="s">
        <v>836</v>
      </c>
      <c r="B641" s="26">
        <v>46049.0</v>
      </c>
      <c r="C641" s="25" t="s">
        <v>714</v>
      </c>
      <c r="D641" s="25" t="s">
        <v>4390</v>
      </c>
      <c r="E641" s="25" t="s">
        <v>108</v>
      </c>
      <c r="F641" s="25" t="s">
        <v>3844</v>
      </c>
      <c r="G641" s="26">
        <v>46049.0</v>
      </c>
      <c r="H641" s="25" t="s">
        <v>4453</v>
      </c>
      <c r="I641" s="25" t="s">
        <v>97</v>
      </c>
      <c r="J641" s="25" t="s">
        <v>2246</v>
      </c>
      <c r="K641" s="25" t="s">
        <v>3846</v>
      </c>
      <c r="L641" s="25" t="s">
        <v>3847</v>
      </c>
    </row>
    <row r="642" ht="15.75" customHeight="1">
      <c r="A642" s="58" t="s">
        <v>151</v>
      </c>
      <c r="B642" s="59">
        <v>46026.0</v>
      </c>
      <c r="C642" s="58" t="s">
        <v>70</v>
      </c>
      <c r="D642" s="58" t="s">
        <v>4390</v>
      </c>
      <c r="E642" s="58" t="s">
        <v>90</v>
      </c>
      <c r="F642" s="58" t="s">
        <v>3879</v>
      </c>
      <c r="G642" s="59">
        <v>46154.0</v>
      </c>
      <c r="H642" s="58" t="s">
        <v>4454</v>
      </c>
      <c r="I642" s="58" t="s">
        <v>97</v>
      </c>
      <c r="J642" s="58" t="s">
        <v>2247</v>
      </c>
      <c r="K642" s="58" t="s">
        <v>3881</v>
      </c>
      <c r="L642" s="58" t="s">
        <v>3847</v>
      </c>
    </row>
    <row r="643" ht="15.75" customHeight="1">
      <c r="A643" s="25" t="s">
        <v>839</v>
      </c>
      <c r="B643" s="26">
        <v>46139.0</v>
      </c>
      <c r="C643" s="25" t="s">
        <v>714</v>
      </c>
      <c r="D643" s="25" t="s">
        <v>4390</v>
      </c>
      <c r="E643" s="25" t="s">
        <v>162</v>
      </c>
      <c r="F643" s="25" t="s">
        <v>3879</v>
      </c>
      <c r="G643" s="26">
        <v>46198.0</v>
      </c>
      <c r="H643" s="25" t="s">
        <v>4455</v>
      </c>
      <c r="I643" s="25" t="s">
        <v>97</v>
      </c>
      <c r="J643" s="25" t="s">
        <v>2247</v>
      </c>
      <c r="K643" s="25" t="s">
        <v>3881</v>
      </c>
      <c r="L643" s="25" t="s">
        <v>3851</v>
      </c>
    </row>
    <row r="644" ht="15.75" customHeight="1">
      <c r="A644" s="58" t="s">
        <v>840</v>
      </c>
      <c r="B644" s="59">
        <v>46108.0</v>
      </c>
      <c r="C644" s="58" t="s">
        <v>723</v>
      </c>
      <c r="D644" s="58" t="s">
        <v>4390</v>
      </c>
      <c r="E644" s="58" t="s">
        <v>92</v>
      </c>
      <c r="F644" s="58" t="s">
        <v>3844</v>
      </c>
      <c r="G644" s="59">
        <v>46226.0</v>
      </c>
      <c r="H644" s="58" t="s">
        <v>4456</v>
      </c>
      <c r="I644" s="58" t="s">
        <v>97</v>
      </c>
      <c r="J644" s="58" t="s">
        <v>2246</v>
      </c>
      <c r="K644" s="58" t="s">
        <v>3846</v>
      </c>
      <c r="L644" s="58" t="s">
        <v>3855</v>
      </c>
    </row>
    <row r="645" ht="15.75" customHeight="1">
      <c r="A645" s="25" t="s">
        <v>1061</v>
      </c>
      <c r="B645" s="26">
        <v>46025.0</v>
      </c>
      <c r="C645" s="25" t="s">
        <v>957</v>
      </c>
      <c r="D645" s="25" t="s">
        <v>4390</v>
      </c>
      <c r="E645" s="25" t="s">
        <v>90</v>
      </c>
      <c r="F645" s="25" t="s">
        <v>3844</v>
      </c>
      <c r="G645" s="26">
        <v>46149.0</v>
      </c>
      <c r="H645" s="25" t="s">
        <v>4457</v>
      </c>
      <c r="I645" s="25" t="s">
        <v>97</v>
      </c>
      <c r="J645" s="25" t="s">
        <v>2246</v>
      </c>
      <c r="K645" s="25" t="s">
        <v>3846</v>
      </c>
      <c r="L645" s="25" t="s">
        <v>3847</v>
      </c>
    </row>
    <row r="646" ht="15.75" customHeight="1">
      <c r="A646" s="58" t="s">
        <v>277</v>
      </c>
      <c r="B646" s="59">
        <v>46098.0</v>
      </c>
      <c r="C646" s="58" t="s">
        <v>179</v>
      </c>
      <c r="D646" s="58" t="s">
        <v>4390</v>
      </c>
      <c r="E646" s="58" t="s">
        <v>106</v>
      </c>
      <c r="F646" s="58" t="s">
        <v>3844</v>
      </c>
      <c r="G646" s="59">
        <v>46137.0</v>
      </c>
      <c r="H646" s="58" t="s">
        <v>4458</v>
      </c>
      <c r="I646" s="58" t="s">
        <v>97</v>
      </c>
      <c r="J646" s="58" t="s">
        <v>2246</v>
      </c>
      <c r="K646" s="58" t="s">
        <v>3846</v>
      </c>
      <c r="L646" s="58" t="s">
        <v>3847</v>
      </c>
    </row>
    <row r="647" ht="15.75" customHeight="1">
      <c r="A647" s="25" t="s">
        <v>158</v>
      </c>
      <c r="B647" s="26">
        <v>46088.0</v>
      </c>
      <c r="C647" s="25" t="s">
        <v>70</v>
      </c>
      <c r="D647" s="25" t="s">
        <v>4390</v>
      </c>
      <c r="E647" s="25" t="s">
        <v>81</v>
      </c>
      <c r="F647" s="25" t="s">
        <v>3857</v>
      </c>
      <c r="G647" s="26">
        <v>46245.0</v>
      </c>
      <c r="H647" s="25" t="s">
        <v>4459</v>
      </c>
      <c r="I647" s="25" t="s">
        <v>3853</v>
      </c>
      <c r="J647" s="25" t="s">
        <v>2247</v>
      </c>
      <c r="K647" s="25" t="s">
        <v>3854</v>
      </c>
      <c r="L647" s="25" t="s">
        <v>3847</v>
      </c>
    </row>
    <row r="648" ht="15.75" customHeight="1">
      <c r="A648" s="58" t="s">
        <v>688</v>
      </c>
      <c r="B648" s="59">
        <v>46043.0</v>
      </c>
      <c r="C648" s="58" t="s">
        <v>559</v>
      </c>
      <c r="D648" s="58" t="s">
        <v>4390</v>
      </c>
      <c r="E648" s="58" t="s">
        <v>71</v>
      </c>
      <c r="F648" s="58" t="s">
        <v>3844</v>
      </c>
      <c r="G648" s="59">
        <v>46122.0</v>
      </c>
      <c r="H648" s="58" t="s">
        <v>4460</v>
      </c>
      <c r="I648" s="58" t="s">
        <v>97</v>
      </c>
      <c r="J648" s="58" t="s">
        <v>2246</v>
      </c>
      <c r="K648" s="58" t="s">
        <v>3846</v>
      </c>
      <c r="L648" s="58" t="s">
        <v>3847</v>
      </c>
    </row>
    <row r="649" ht="15.75" customHeight="1">
      <c r="A649" s="25" t="s">
        <v>848</v>
      </c>
      <c r="B649" s="26">
        <v>46051.0</v>
      </c>
      <c r="C649" s="25" t="s">
        <v>714</v>
      </c>
      <c r="D649" s="25" t="s">
        <v>4390</v>
      </c>
      <c r="E649" s="25" t="s">
        <v>123</v>
      </c>
      <c r="F649" s="25" t="s">
        <v>3844</v>
      </c>
      <c r="G649" s="26">
        <v>46194.0</v>
      </c>
      <c r="H649" s="25" t="s">
        <v>4461</v>
      </c>
      <c r="I649" s="25" t="s">
        <v>97</v>
      </c>
      <c r="J649" s="25" t="s">
        <v>2246</v>
      </c>
      <c r="K649" s="25" t="s">
        <v>3846</v>
      </c>
      <c r="L649" s="25" t="s">
        <v>3851</v>
      </c>
    </row>
    <row r="650" ht="15.75" customHeight="1">
      <c r="A650" s="58" t="s">
        <v>850</v>
      </c>
      <c r="B650" s="59">
        <v>46142.0</v>
      </c>
      <c r="C650" s="58" t="s">
        <v>729</v>
      </c>
      <c r="D650" s="58" t="s">
        <v>4390</v>
      </c>
      <c r="E650" s="58" t="s">
        <v>190</v>
      </c>
      <c r="F650" s="58" t="s">
        <v>3844</v>
      </c>
      <c r="G650" s="59">
        <v>46223.0</v>
      </c>
      <c r="H650" s="58" t="s">
        <v>4462</v>
      </c>
      <c r="I650" s="58" t="s">
        <v>97</v>
      </c>
      <c r="J650" s="58" t="s">
        <v>2246</v>
      </c>
      <c r="K650" s="58" t="s">
        <v>3846</v>
      </c>
      <c r="L650" s="58" t="s">
        <v>3847</v>
      </c>
    </row>
    <row r="651" ht="15.75" customHeight="1">
      <c r="A651" s="25" t="s">
        <v>1072</v>
      </c>
      <c r="B651" s="26">
        <v>46117.0</v>
      </c>
      <c r="C651" s="25" t="s">
        <v>957</v>
      </c>
      <c r="D651" s="25" t="s">
        <v>4390</v>
      </c>
      <c r="E651" s="25" t="s">
        <v>162</v>
      </c>
      <c r="F651" s="25" t="s">
        <v>3844</v>
      </c>
      <c r="G651" s="26">
        <v>46225.0</v>
      </c>
      <c r="H651" s="25" t="s">
        <v>4463</v>
      </c>
      <c r="I651" s="25" t="s">
        <v>97</v>
      </c>
      <c r="J651" s="25" t="s">
        <v>2246</v>
      </c>
      <c r="K651" s="25" t="s">
        <v>3846</v>
      </c>
      <c r="L651" s="25" t="s">
        <v>3847</v>
      </c>
    </row>
    <row r="652" ht="15.75" customHeight="1">
      <c r="A652" s="58" t="s">
        <v>537</v>
      </c>
      <c r="B652" s="59">
        <v>46054.0</v>
      </c>
      <c r="C652" s="58" t="s">
        <v>466</v>
      </c>
      <c r="D652" s="58" t="s">
        <v>4390</v>
      </c>
      <c r="E652" s="58" t="s">
        <v>85</v>
      </c>
      <c r="F652" s="58" t="s">
        <v>3844</v>
      </c>
      <c r="G652" s="59">
        <v>46203.0</v>
      </c>
      <c r="H652" s="58" t="s">
        <v>4464</v>
      </c>
      <c r="I652" s="58" t="s">
        <v>97</v>
      </c>
      <c r="J652" s="58" t="s">
        <v>2246</v>
      </c>
      <c r="K652" s="58" t="s">
        <v>3846</v>
      </c>
      <c r="L652" s="58" t="s">
        <v>3847</v>
      </c>
    </row>
    <row r="653" ht="15.75" customHeight="1">
      <c r="A653" s="25" t="s">
        <v>543</v>
      </c>
      <c r="B653" s="26">
        <v>46068.0</v>
      </c>
      <c r="C653" s="25" t="s">
        <v>544</v>
      </c>
      <c r="D653" s="25" t="s">
        <v>4465</v>
      </c>
      <c r="E653" s="25" t="s">
        <v>92</v>
      </c>
      <c r="F653" s="25" t="s">
        <v>3844</v>
      </c>
      <c r="G653" s="26">
        <v>46183.0</v>
      </c>
      <c r="H653" s="25" t="s">
        <v>4466</v>
      </c>
      <c r="I653" s="25" t="s">
        <v>97</v>
      </c>
      <c r="J653" s="25" t="s">
        <v>2246</v>
      </c>
      <c r="K653" s="25" t="s">
        <v>3846</v>
      </c>
      <c r="L653" s="25" t="s">
        <v>3855</v>
      </c>
    </row>
    <row r="654" ht="15.75" customHeight="1">
      <c r="A654" s="58" t="s">
        <v>447</v>
      </c>
      <c r="B654" s="59">
        <v>46060.0</v>
      </c>
      <c r="C654" s="58" t="s">
        <v>448</v>
      </c>
      <c r="D654" s="58" t="s">
        <v>4465</v>
      </c>
      <c r="E654" s="58" t="s">
        <v>162</v>
      </c>
      <c r="F654" s="58" t="s">
        <v>3844</v>
      </c>
      <c r="G654" s="59">
        <v>46089.0</v>
      </c>
      <c r="H654" s="58" t="s">
        <v>4467</v>
      </c>
      <c r="I654" s="58" t="s">
        <v>97</v>
      </c>
      <c r="J654" s="58" t="s">
        <v>2246</v>
      </c>
      <c r="K654" s="58" t="s">
        <v>3846</v>
      </c>
      <c r="L654" s="58" t="s">
        <v>3855</v>
      </c>
    </row>
    <row r="655" ht="15.75" customHeight="1">
      <c r="A655" s="25" t="s">
        <v>545</v>
      </c>
      <c r="B655" s="26">
        <v>46112.0</v>
      </c>
      <c r="C655" s="25" t="s">
        <v>544</v>
      </c>
      <c r="D655" s="25" t="s">
        <v>4465</v>
      </c>
      <c r="E655" s="25" t="s">
        <v>102</v>
      </c>
      <c r="F655" s="25" t="s">
        <v>3844</v>
      </c>
      <c r="G655" s="26">
        <v>46206.0</v>
      </c>
      <c r="H655" s="25" t="s">
        <v>4468</v>
      </c>
      <c r="I655" s="25" t="s">
        <v>97</v>
      </c>
      <c r="J655" s="25" t="s">
        <v>2246</v>
      </c>
      <c r="K655" s="25" t="s">
        <v>3846</v>
      </c>
      <c r="L655" s="25" t="s">
        <v>3855</v>
      </c>
    </row>
    <row r="656" ht="15.75" customHeight="1">
      <c r="A656" s="58" t="s">
        <v>173</v>
      </c>
      <c r="B656" s="59">
        <v>46053.0</v>
      </c>
      <c r="C656" s="58" t="s">
        <v>174</v>
      </c>
      <c r="D656" s="58" t="s">
        <v>4465</v>
      </c>
      <c r="E656" s="58" t="s">
        <v>154</v>
      </c>
      <c r="F656" s="58" t="s">
        <v>3844</v>
      </c>
      <c r="G656" s="59">
        <v>46116.0</v>
      </c>
      <c r="H656" s="58" t="s">
        <v>4469</v>
      </c>
      <c r="I656" s="58" t="s">
        <v>97</v>
      </c>
      <c r="J656" s="58" t="s">
        <v>2246</v>
      </c>
      <c r="K656" s="58" t="s">
        <v>3846</v>
      </c>
      <c r="L656" s="58" t="s">
        <v>3847</v>
      </c>
    </row>
    <row r="657" ht="15.75" customHeight="1">
      <c r="A657" s="25" t="s">
        <v>1128</v>
      </c>
      <c r="B657" s="26">
        <v>46101.0</v>
      </c>
      <c r="C657" s="25" t="s">
        <v>1129</v>
      </c>
      <c r="D657" s="25" t="s">
        <v>4465</v>
      </c>
      <c r="E657" s="25" t="s">
        <v>110</v>
      </c>
      <c r="F657" s="25" t="s">
        <v>3844</v>
      </c>
      <c r="G657" s="26">
        <v>46146.0</v>
      </c>
      <c r="H657" s="25" t="s">
        <v>4470</v>
      </c>
      <c r="I657" s="25" t="s">
        <v>97</v>
      </c>
      <c r="J657" s="25" t="s">
        <v>2246</v>
      </c>
      <c r="K657" s="25" t="s">
        <v>3846</v>
      </c>
      <c r="L657" s="25" t="s">
        <v>3851</v>
      </c>
    </row>
    <row r="658" ht="15.75" customHeight="1">
      <c r="A658" s="58" t="s">
        <v>960</v>
      </c>
      <c r="B658" s="59">
        <v>46108.0</v>
      </c>
      <c r="C658" s="58" t="s">
        <v>961</v>
      </c>
      <c r="D658" s="58" t="s">
        <v>4465</v>
      </c>
      <c r="E658" s="58" t="s">
        <v>115</v>
      </c>
      <c r="F658" s="58" t="s">
        <v>3844</v>
      </c>
      <c r="G658" s="59">
        <v>46229.0</v>
      </c>
      <c r="H658" s="58" t="s">
        <v>4471</v>
      </c>
      <c r="I658" s="58" t="s">
        <v>97</v>
      </c>
      <c r="J658" s="58" t="s">
        <v>2246</v>
      </c>
      <c r="K658" s="58" t="s">
        <v>3846</v>
      </c>
      <c r="L658" s="58" t="s">
        <v>3855</v>
      </c>
    </row>
    <row r="659" ht="15.75" customHeight="1">
      <c r="A659" s="25" t="s">
        <v>964</v>
      </c>
      <c r="B659" s="26">
        <v>46124.0</v>
      </c>
      <c r="C659" s="25" t="s">
        <v>965</v>
      </c>
      <c r="D659" s="25" t="s">
        <v>4465</v>
      </c>
      <c r="E659" s="25" t="s">
        <v>110</v>
      </c>
      <c r="F659" s="25" t="s">
        <v>3844</v>
      </c>
      <c r="G659" s="26">
        <v>46231.0</v>
      </c>
      <c r="H659" s="25"/>
      <c r="I659" s="25" t="s">
        <v>97</v>
      </c>
      <c r="J659" s="25" t="s">
        <v>2247</v>
      </c>
      <c r="K659" s="25" t="s">
        <v>3848</v>
      </c>
      <c r="L659" s="25" t="s">
        <v>3847</v>
      </c>
    </row>
    <row r="660" ht="15.75" customHeight="1">
      <c r="A660" s="58" t="s">
        <v>863</v>
      </c>
      <c r="B660" s="59">
        <v>46090.0</v>
      </c>
      <c r="C660" s="58" t="s">
        <v>864</v>
      </c>
      <c r="D660" s="58" t="s">
        <v>4465</v>
      </c>
      <c r="E660" s="58" t="s">
        <v>108</v>
      </c>
      <c r="F660" s="58" t="s">
        <v>3857</v>
      </c>
      <c r="G660" s="59">
        <v>46224.0</v>
      </c>
      <c r="H660" s="58" t="s">
        <v>4472</v>
      </c>
      <c r="I660" s="58" t="s">
        <v>97</v>
      </c>
      <c r="J660" s="58" t="s">
        <v>2246</v>
      </c>
      <c r="K660" s="58" t="s">
        <v>3846</v>
      </c>
      <c r="L660" s="58" t="s">
        <v>3851</v>
      </c>
    </row>
    <row r="661" ht="15.75" customHeight="1">
      <c r="A661" s="25" t="s">
        <v>967</v>
      </c>
      <c r="B661" s="26">
        <v>46064.0</v>
      </c>
      <c r="C661" s="25" t="s">
        <v>968</v>
      </c>
      <c r="D661" s="25" t="s">
        <v>4465</v>
      </c>
      <c r="E661" s="25" t="s">
        <v>71</v>
      </c>
      <c r="F661" s="25" t="s">
        <v>3844</v>
      </c>
      <c r="G661" s="26">
        <v>46150.0</v>
      </c>
      <c r="H661" s="25" t="s">
        <v>4473</v>
      </c>
      <c r="I661" s="25" t="s">
        <v>97</v>
      </c>
      <c r="J661" s="25" t="s">
        <v>2246</v>
      </c>
      <c r="K661" s="25" t="s">
        <v>3846</v>
      </c>
      <c r="L661" s="25" t="s">
        <v>3855</v>
      </c>
    </row>
    <row r="662" ht="15.75" customHeight="1">
      <c r="A662" s="58" t="s">
        <v>969</v>
      </c>
      <c r="B662" s="59">
        <v>46140.0</v>
      </c>
      <c r="C662" s="58" t="s">
        <v>965</v>
      </c>
      <c r="D662" s="58" t="s">
        <v>4465</v>
      </c>
      <c r="E662" s="58" t="s">
        <v>68</v>
      </c>
      <c r="F662" s="58" t="s">
        <v>3844</v>
      </c>
      <c r="G662" s="59">
        <v>46205.0</v>
      </c>
      <c r="H662" s="58" t="s">
        <v>4474</v>
      </c>
      <c r="I662" s="58" t="s">
        <v>97</v>
      </c>
      <c r="J662" s="58" t="s">
        <v>2246</v>
      </c>
      <c r="K662" s="58" t="s">
        <v>3846</v>
      </c>
      <c r="L662" s="58" t="s">
        <v>3847</v>
      </c>
    </row>
    <row r="663" ht="15.75" customHeight="1">
      <c r="A663" s="25" t="s">
        <v>970</v>
      </c>
      <c r="B663" s="26">
        <v>46060.0</v>
      </c>
      <c r="C663" s="25" t="s">
        <v>961</v>
      </c>
      <c r="D663" s="25" t="s">
        <v>4465</v>
      </c>
      <c r="E663" s="25" t="s">
        <v>95</v>
      </c>
      <c r="F663" s="25" t="s">
        <v>3844</v>
      </c>
      <c r="G663" s="26">
        <v>46080.0</v>
      </c>
      <c r="H663" s="25" t="s">
        <v>4475</v>
      </c>
      <c r="I663" s="25" t="s">
        <v>97</v>
      </c>
      <c r="J663" s="25" t="s">
        <v>2246</v>
      </c>
      <c r="K663" s="25" t="s">
        <v>3846</v>
      </c>
      <c r="L663" s="25" t="s">
        <v>3855</v>
      </c>
    </row>
    <row r="664" ht="15.75" customHeight="1">
      <c r="A664" s="58" t="s">
        <v>872</v>
      </c>
      <c r="B664" s="59">
        <v>46057.0</v>
      </c>
      <c r="C664" s="58" t="s">
        <v>873</v>
      </c>
      <c r="D664" s="58" t="s">
        <v>4465</v>
      </c>
      <c r="E664" s="58" t="s">
        <v>190</v>
      </c>
      <c r="F664" s="58" t="s">
        <v>3844</v>
      </c>
      <c r="G664" s="59">
        <v>46197.0</v>
      </c>
      <c r="H664" s="58" t="s">
        <v>4476</v>
      </c>
      <c r="I664" s="58" t="s">
        <v>97</v>
      </c>
      <c r="J664" s="58" t="s">
        <v>2246</v>
      </c>
      <c r="K664" s="58" t="s">
        <v>3846</v>
      </c>
      <c r="L664" s="58" t="s">
        <v>3851</v>
      </c>
    </row>
    <row r="665" ht="15.75" customHeight="1">
      <c r="A665" s="25" t="s">
        <v>187</v>
      </c>
      <c r="B665" s="26">
        <v>46107.0</v>
      </c>
      <c r="C665" s="25" t="s">
        <v>174</v>
      </c>
      <c r="D665" s="25" t="s">
        <v>4465</v>
      </c>
      <c r="E665" s="25" t="s">
        <v>92</v>
      </c>
      <c r="F665" s="25" t="s">
        <v>3844</v>
      </c>
      <c r="G665" s="26">
        <v>46245.0</v>
      </c>
      <c r="H665" s="25" t="s">
        <v>4477</v>
      </c>
      <c r="I665" s="25" t="s">
        <v>97</v>
      </c>
      <c r="J665" s="25" t="s">
        <v>2246</v>
      </c>
      <c r="K665" s="25" t="s">
        <v>3846</v>
      </c>
      <c r="L665" s="25" t="s">
        <v>3855</v>
      </c>
    </row>
    <row r="666" ht="15.75" customHeight="1">
      <c r="A666" s="58" t="s">
        <v>971</v>
      </c>
      <c r="B666" s="59">
        <v>46072.0</v>
      </c>
      <c r="C666" s="58" t="s">
        <v>965</v>
      </c>
      <c r="D666" s="58" t="s">
        <v>4465</v>
      </c>
      <c r="E666" s="58" t="s">
        <v>68</v>
      </c>
      <c r="F666" s="58" t="s">
        <v>3844</v>
      </c>
      <c r="G666" s="59">
        <v>46134.0</v>
      </c>
      <c r="H666" s="58" t="s">
        <v>4478</v>
      </c>
      <c r="I666" s="58" t="s">
        <v>97</v>
      </c>
      <c r="J666" s="58" t="s">
        <v>2246</v>
      </c>
      <c r="K666" s="58" t="s">
        <v>3846</v>
      </c>
      <c r="L666" s="58" t="s">
        <v>3847</v>
      </c>
    </row>
    <row r="667" ht="15.75" customHeight="1">
      <c r="A667" s="25" t="s">
        <v>874</v>
      </c>
      <c r="B667" s="26">
        <v>46124.0</v>
      </c>
      <c r="C667" s="25" t="s">
        <v>873</v>
      </c>
      <c r="D667" s="25" t="s">
        <v>4465</v>
      </c>
      <c r="E667" s="25" t="s">
        <v>154</v>
      </c>
      <c r="F667" s="25" t="s">
        <v>3844</v>
      </c>
      <c r="G667" s="26">
        <v>46219.0</v>
      </c>
      <c r="H667" s="25" t="s">
        <v>4479</v>
      </c>
      <c r="I667" s="25" t="s">
        <v>97</v>
      </c>
      <c r="J667" s="25" t="s">
        <v>2246</v>
      </c>
      <c r="K667" s="25" t="s">
        <v>3846</v>
      </c>
      <c r="L667" s="25" t="s">
        <v>3847</v>
      </c>
    </row>
    <row r="668" ht="15.75" customHeight="1">
      <c r="A668" s="58" t="s">
        <v>972</v>
      </c>
      <c r="B668" s="59">
        <v>46096.0</v>
      </c>
      <c r="C668" s="58" t="s">
        <v>965</v>
      </c>
      <c r="D668" s="58" t="s">
        <v>4465</v>
      </c>
      <c r="E668" s="58" t="s">
        <v>81</v>
      </c>
      <c r="F668" s="58" t="s">
        <v>3844</v>
      </c>
      <c r="G668" s="59">
        <v>46161.0</v>
      </c>
      <c r="H668" s="58" t="s">
        <v>4480</v>
      </c>
      <c r="I668" s="58" t="s">
        <v>97</v>
      </c>
      <c r="J668" s="58" t="s">
        <v>2246</v>
      </c>
      <c r="K668" s="58" t="s">
        <v>3846</v>
      </c>
      <c r="L668" s="58" t="s">
        <v>3851</v>
      </c>
    </row>
    <row r="669" ht="15.75" customHeight="1">
      <c r="A669" s="25" t="s">
        <v>976</v>
      </c>
      <c r="B669" s="26">
        <v>46059.0</v>
      </c>
      <c r="C669" s="25" t="s">
        <v>965</v>
      </c>
      <c r="D669" s="25" t="s">
        <v>4465</v>
      </c>
      <c r="E669" s="25" t="s">
        <v>81</v>
      </c>
      <c r="F669" s="25" t="s">
        <v>3844</v>
      </c>
      <c r="G669" s="26">
        <v>46055.0</v>
      </c>
      <c r="H669" s="25"/>
      <c r="I669" s="25" t="s">
        <v>97</v>
      </c>
      <c r="J669" s="25" t="s">
        <v>2247</v>
      </c>
      <c r="K669" s="25" t="s">
        <v>3848</v>
      </c>
      <c r="L669" s="25" t="s">
        <v>3855</v>
      </c>
    </row>
    <row r="670" ht="15.75" customHeight="1">
      <c r="A670" s="58" t="s">
        <v>1140</v>
      </c>
      <c r="B670" s="59">
        <v>46139.0</v>
      </c>
      <c r="C670" s="58" t="s">
        <v>1129</v>
      </c>
      <c r="D670" s="58" t="s">
        <v>4465</v>
      </c>
      <c r="E670" s="58" t="s">
        <v>74</v>
      </c>
      <c r="F670" s="58" t="s">
        <v>3844</v>
      </c>
      <c r="G670" s="59">
        <v>46242.0</v>
      </c>
      <c r="H670" s="58" t="s">
        <v>4481</v>
      </c>
      <c r="I670" s="58" t="s">
        <v>97</v>
      </c>
      <c r="J670" s="58" t="s">
        <v>2246</v>
      </c>
      <c r="K670" s="58" t="s">
        <v>3846</v>
      </c>
      <c r="L670" s="58" t="s">
        <v>3855</v>
      </c>
    </row>
    <row r="671" ht="15.75" customHeight="1">
      <c r="A671" s="25" t="s">
        <v>876</v>
      </c>
      <c r="B671" s="26">
        <v>46106.0</v>
      </c>
      <c r="C671" s="25" t="s">
        <v>873</v>
      </c>
      <c r="D671" s="25" t="s">
        <v>4465</v>
      </c>
      <c r="E671" s="25" t="s">
        <v>74</v>
      </c>
      <c r="F671" s="25" t="s">
        <v>3844</v>
      </c>
      <c r="G671" s="26">
        <v>46243.0</v>
      </c>
      <c r="H671" s="25" t="s">
        <v>4482</v>
      </c>
      <c r="I671" s="25" t="s">
        <v>97</v>
      </c>
      <c r="J671" s="25" t="s">
        <v>2246</v>
      </c>
      <c r="K671" s="25" t="s">
        <v>3846</v>
      </c>
      <c r="L671" s="25" t="s">
        <v>3851</v>
      </c>
    </row>
    <row r="672" ht="15.75" customHeight="1">
      <c r="A672" s="58" t="s">
        <v>577</v>
      </c>
      <c r="B672" s="59">
        <v>46030.0</v>
      </c>
      <c r="C672" s="58" t="s">
        <v>544</v>
      </c>
      <c r="D672" s="58" t="s">
        <v>4465</v>
      </c>
      <c r="E672" s="58" t="s">
        <v>90</v>
      </c>
      <c r="F672" s="58" t="s">
        <v>3844</v>
      </c>
      <c r="G672" s="59">
        <v>46024.0</v>
      </c>
      <c r="H672" s="58" t="s">
        <v>4483</v>
      </c>
      <c r="I672" s="58" t="s">
        <v>97</v>
      </c>
      <c r="J672" s="58" t="s">
        <v>2246</v>
      </c>
      <c r="K672" s="58" t="s">
        <v>3846</v>
      </c>
      <c r="L672" s="58" t="s">
        <v>3855</v>
      </c>
    </row>
    <row r="673" ht="15.75" customHeight="1">
      <c r="A673" s="25" t="s">
        <v>200</v>
      </c>
      <c r="B673" s="26">
        <v>46042.0</v>
      </c>
      <c r="C673" s="25" t="s">
        <v>174</v>
      </c>
      <c r="D673" s="25" t="s">
        <v>4465</v>
      </c>
      <c r="E673" s="25" t="s">
        <v>115</v>
      </c>
      <c r="F673" s="25" t="s">
        <v>3879</v>
      </c>
      <c r="G673" s="26">
        <v>46176.0</v>
      </c>
      <c r="H673" s="25" t="s">
        <v>4484</v>
      </c>
      <c r="I673" s="25" t="s">
        <v>97</v>
      </c>
      <c r="J673" s="25" t="s">
        <v>2247</v>
      </c>
      <c r="K673" s="25" t="s">
        <v>3881</v>
      </c>
      <c r="L673" s="25" t="s">
        <v>3855</v>
      </c>
    </row>
    <row r="674" ht="15.75" customHeight="1">
      <c r="A674" s="58" t="s">
        <v>979</v>
      </c>
      <c r="B674" s="59">
        <v>46057.0</v>
      </c>
      <c r="C674" s="58" t="s">
        <v>980</v>
      </c>
      <c r="D674" s="58" t="s">
        <v>4465</v>
      </c>
      <c r="E674" s="58" t="s">
        <v>102</v>
      </c>
      <c r="F674" s="58" t="s">
        <v>3844</v>
      </c>
      <c r="G674" s="59">
        <v>46186.0</v>
      </c>
      <c r="H674" s="58" t="s">
        <v>4485</v>
      </c>
      <c r="I674" s="58" t="s">
        <v>97</v>
      </c>
      <c r="J674" s="58" t="s">
        <v>2246</v>
      </c>
      <c r="K674" s="58" t="s">
        <v>3846</v>
      </c>
      <c r="L674" s="58" t="s">
        <v>3847</v>
      </c>
    </row>
    <row r="675" ht="15.75" customHeight="1">
      <c r="A675" s="25" t="s">
        <v>982</v>
      </c>
      <c r="B675" s="26">
        <v>46071.0</v>
      </c>
      <c r="C675" s="25" t="s">
        <v>980</v>
      </c>
      <c r="D675" s="25" t="s">
        <v>4465</v>
      </c>
      <c r="E675" s="25" t="s">
        <v>108</v>
      </c>
      <c r="F675" s="25" t="s">
        <v>3879</v>
      </c>
      <c r="G675" s="26">
        <v>46095.0</v>
      </c>
      <c r="H675" s="25" t="s">
        <v>4486</v>
      </c>
      <c r="I675" s="25" t="s">
        <v>97</v>
      </c>
      <c r="J675" s="25" t="s">
        <v>2247</v>
      </c>
      <c r="K675" s="25" t="s">
        <v>3881</v>
      </c>
      <c r="L675" s="25" t="s">
        <v>3847</v>
      </c>
    </row>
    <row r="676" ht="15.75" customHeight="1">
      <c r="A676" s="58" t="s">
        <v>1143</v>
      </c>
      <c r="B676" s="59">
        <v>46121.0</v>
      </c>
      <c r="C676" s="58" t="s">
        <v>1129</v>
      </c>
      <c r="D676" s="58" t="s">
        <v>4465</v>
      </c>
      <c r="E676" s="58" t="s">
        <v>90</v>
      </c>
      <c r="F676" s="58" t="s">
        <v>3844</v>
      </c>
      <c r="G676" s="59">
        <v>46196.0</v>
      </c>
      <c r="H676" s="58" t="s">
        <v>4487</v>
      </c>
      <c r="I676" s="58" t="s">
        <v>97</v>
      </c>
      <c r="J676" s="58" t="s">
        <v>2246</v>
      </c>
      <c r="K676" s="58" t="s">
        <v>3846</v>
      </c>
      <c r="L676" s="58" t="s">
        <v>3847</v>
      </c>
    </row>
    <row r="677" ht="15.75" customHeight="1">
      <c r="A677" s="25" t="s">
        <v>989</v>
      </c>
      <c r="B677" s="26">
        <v>46121.0</v>
      </c>
      <c r="C677" s="25" t="s">
        <v>980</v>
      </c>
      <c r="D677" s="25" t="s">
        <v>4465</v>
      </c>
      <c r="E677" s="25" t="s">
        <v>78</v>
      </c>
      <c r="F677" s="25" t="s">
        <v>3844</v>
      </c>
      <c r="G677" s="26">
        <v>46127.0</v>
      </c>
      <c r="H677" s="25" t="s">
        <v>4488</v>
      </c>
      <c r="I677" s="25" t="s">
        <v>97</v>
      </c>
      <c r="J677" s="25" t="s">
        <v>2246</v>
      </c>
      <c r="K677" s="25" t="s">
        <v>3846</v>
      </c>
      <c r="L677" s="25" t="s">
        <v>3847</v>
      </c>
    </row>
    <row r="678" ht="15.75" customHeight="1">
      <c r="A678" s="58" t="s">
        <v>992</v>
      </c>
      <c r="B678" s="59">
        <v>46127.0</v>
      </c>
      <c r="C678" s="58" t="s">
        <v>980</v>
      </c>
      <c r="D678" s="58" t="s">
        <v>4465</v>
      </c>
      <c r="E678" s="58" t="s">
        <v>81</v>
      </c>
      <c r="F678" s="58" t="s">
        <v>3844</v>
      </c>
      <c r="G678" s="59">
        <v>46269.0</v>
      </c>
      <c r="H678" s="58" t="s">
        <v>4489</v>
      </c>
      <c r="I678" s="58" t="s">
        <v>97</v>
      </c>
      <c r="J678" s="58" t="s">
        <v>2246</v>
      </c>
      <c r="K678" s="58" t="s">
        <v>3846</v>
      </c>
      <c r="L678" s="58" t="s">
        <v>3855</v>
      </c>
    </row>
    <row r="679" ht="15.75" customHeight="1">
      <c r="A679" s="25" t="s">
        <v>1145</v>
      </c>
      <c r="B679" s="26">
        <v>46112.0</v>
      </c>
      <c r="C679" s="25" t="s">
        <v>1129</v>
      </c>
      <c r="D679" s="25" t="s">
        <v>4465</v>
      </c>
      <c r="E679" s="25" t="s">
        <v>156</v>
      </c>
      <c r="F679" s="25" t="s">
        <v>3844</v>
      </c>
      <c r="G679" s="26">
        <v>46196.0</v>
      </c>
      <c r="H679" s="25" t="s">
        <v>4490</v>
      </c>
      <c r="I679" s="25" t="s">
        <v>97</v>
      </c>
      <c r="J679" s="25" t="s">
        <v>2246</v>
      </c>
      <c r="K679" s="25" t="s">
        <v>3846</v>
      </c>
      <c r="L679" s="25" t="s">
        <v>3851</v>
      </c>
    </row>
    <row r="680" ht="15.75" customHeight="1">
      <c r="A680" s="58" t="s">
        <v>210</v>
      </c>
      <c r="B680" s="59">
        <v>46131.0</v>
      </c>
      <c r="C680" s="58" t="s">
        <v>174</v>
      </c>
      <c r="D680" s="58" t="s">
        <v>4465</v>
      </c>
      <c r="E680" s="58" t="s">
        <v>90</v>
      </c>
      <c r="F680" s="58" t="s">
        <v>3844</v>
      </c>
      <c r="G680" s="59">
        <v>46185.0</v>
      </c>
      <c r="H680" s="58" t="s">
        <v>4491</v>
      </c>
      <c r="I680" s="58" t="s">
        <v>97</v>
      </c>
      <c r="J680" s="58" t="s">
        <v>2246</v>
      </c>
      <c r="K680" s="58" t="s">
        <v>3846</v>
      </c>
      <c r="L680" s="58" t="s">
        <v>3855</v>
      </c>
    </row>
    <row r="681" ht="15.75" customHeight="1">
      <c r="A681" s="25" t="s">
        <v>598</v>
      </c>
      <c r="B681" s="26">
        <v>46130.0</v>
      </c>
      <c r="C681" s="25" t="s">
        <v>544</v>
      </c>
      <c r="D681" s="25" t="s">
        <v>4465</v>
      </c>
      <c r="E681" s="25" t="s">
        <v>95</v>
      </c>
      <c r="F681" s="25" t="s">
        <v>3844</v>
      </c>
      <c r="G681" s="26">
        <v>46142.0</v>
      </c>
      <c r="H681" s="25" t="s">
        <v>4492</v>
      </c>
      <c r="I681" s="25" t="s">
        <v>97</v>
      </c>
      <c r="J681" s="25" t="s">
        <v>2246</v>
      </c>
      <c r="K681" s="25" t="s">
        <v>3846</v>
      </c>
      <c r="L681" s="25" t="s">
        <v>3855</v>
      </c>
    </row>
    <row r="682" ht="15.75" customHeight="1">
      <c r="A682" s="58" t="s">
        <v>1001</v>
      </c>
      <c r="B682" s="59">
        <v>46047.0</v>
      </c>
      <c r="C682" s="58" t="s">
        <v>968</v>
      </c>
      <c r="D682" s="58" t="s">
        <v>4465</v>
      </c>
      <c r="E682" s="58" t="s">
        <v>110</v>
      </c>
      <c r="F682" s="58" t="s">
        <v>3913</v>
      </c>
      <c r="G682" s="59">
        <v>46077.0</v>
      </c>
      <c r="H682" s="58" t="s">
        <v>4493</v>
      </c>
      <c r="I682" s="58" t="s">
        <v>97</v>
      </c>
      <c r="J682" s="58" t="s">
        <v>2247</v>
      </c>
      <c r="K682" s="58" t="s">
        <v>3881</v>
      </c>
      <c r="L682" s="58" t="s">
        <v>3847</v>
      </c>
    </row>
    <row r="683" ht="15.75" customHeight="1">
      <c r="A683" s="25" t="s">
        <v>1004</v>
      </c>
      <c r="B683" s="26">
        <v>46125.0</v>
      </c>
      <c r="C683" s="25" t="s">
        <v>961</v>
      </c>
      <c r="D683" s="25" t="s">
        <v>4465</v>
      </c>
      <c r="E683" s="25" t="s">
        <v>74</v>
      </c>
      <c r="F683" s="25" t="s">
        <v>3844</v>
      </c>
      <c r="G683" s="26">
        <v>46227.0</v>
      </c>
      <c r="H683" s="25" t="s">
        <v>4494</v>
      </c>
      <c r="I683" s="25" t="s">
        <v>97</v>
      </c>
      <c r="J683" s="25" t="s">
        <v>2246</v>
      </c>
      <c r="K683" s="25" t="s">
        <v>3846</v>
      </c>
      <c r="L683" s="25" t="s">
        <v>3847</v>
      </c>
    </row>
    <row r="684" ht="15.75" customHeight="1">
      <c r="A684" s="58" t="s">
        <v>607</v>
      </c>
      <c r="B684" s="59">
        <v>46130.0</v>
      </c>
      <c r="C684" s="58" t="s">
        <v>544</v>
      </c>
      <c r="D684" s="58" t="s">
        <v>4465</v>
      </c>
      <c r="E684" s="58" t="s">
        <v>108</v>
      </c>
      <c r="F684" s="58" t="s">
        <v>3844</v>
      </c>
      <c r="G684" s="59">
        <v>46140.0</v>
      </c>
      <c r="H684" s="58" t="s">
        <v>4495</v>
      </c>
      <c r="I684" s="58" t="s">
        <v>97</v>
      </c>
      <c r="J684" s="58" t="s">
        <v>2246</v>
      </c>
      <c r="K684" s="58" t="s">
        <v>3846</v>
      </c>
      <c r="L684" s="58" t="s">
        <v>3851</v>
      </c>
    </row>
    <row r="685" ht="15.75" customHeight="1">
      <c r="A685" s="25" t="s">
        <v>1005</v>
      </c>
      <c r="B685" s="26">
        <v>46059.0</v>
      </c>
      <c r="C685" s="25" t="s">
        <v>980</v>
      </c>
      <c r="D685" s="25" t="s">
        <v>4465</v>
      </c>
      <c r="E685" s="25" t="s">
        <v>154</v>
      </c>
      <c r="F685" s="25" t="s">
        <v>3844</v>
      </c>
      <c r="G685" s="26">
        <v>46074.0</v>
      </c>
      <c r="H685" s="25"/>
      <c r="I685" s="25" t="s">
        <v>97</v>
      </c>
      <c r="J685" s="25" t="s">
        <v>2247</v>
      </c>
      <c r="K685" s="25" t="s">
        <v>3848</v>
      </c>
      <c r="L685" s="25" t="s">
        <v>3847</v>
      </c>
    </row>
    <row r="686" ht="15.75" customHeight="1">
      <c r="A686" s="58" t="s">
        <v>1007</v>
      </c>
      <c r="B686" s="59">
        <v>46119.0</v>
      </c>
      <c r="C686" s="58" t="s">
        <v>968</v>
      </c>
      <c r="D686" s="58" t="s">
        <v>4465</v>
      </c>
      <c r="E686" s="58" t="s">
        <v>68</v>
      </c>
      <c r="F686" s="58" t="s">
        <v>3857</v>
      </c>
      <c r="G686" s="59">
        <v>46226.0</v>
      </c>
      <c r="H686" s="58" t="s">
        <v>4496</v>
      </c>
      <c r="I686" s="58" t="s">
        <v>97</v>
      </c>
      <c r="J686" s="58" t="s">
        <v>2246</v>
      </c>
      <c r="K686" s="58" t="s">
        <v>3846</v>
      </c>
      <c r="L686" s="58" t="s">
        <v>3851</v>
      </c>
    </row>
    <row r="687" ht="15.75" customHeight="1">
      <c r="A687" s="25" t="s">
        <v>896</v>
      </c>
      <c r="B687" s="26">
        <v>46058.0</v>
      </c>
      <c r="C687" s="25" t="s">
        <v>864</v>
      </c>
      <c r="D687" s="25" t="s">
        <v>4465</v>
      </c>
      <c r="E687" s="25" t="s">
        <v>108</v>
      </c>
      <c r="F687" s="25" t="s">
        <v>3844</v>
      </c>
      <c r="G687" s="26">
        <v>46179.0</v>
      </c>
      <c r="H687" s="25" t="s">
        <v>4497</v>
      </c>
      <c r="I687" s="25" t="s">
        <v>97</v>
      </c>
      <c r="J687" s="25" t="s">
        <v>2246</v>
      </c>
      <c r="K687" s="25" t="s">
        <v>3846</v>
      </c>
      <c r="L687" s="25" t="s">
        <v>3851</v>
      </c>
    </row>
    <row r="688" ht="15.75" customHeight="1">
      <c r="A688" s="58" t="s">
        <v>1010</v>
      </c>
      <c r="B688" s="59">
        <v>46058.0</v>
      </c>
      <c r="C688" s="58" t="s">
        <v>965</v>
      </c>
      <c r="D688" s="58" t="s">
        <v>4465</v>
      </c>
      <c r="E688" s="58" t="s">
        <v>71</v>
      </c>
      <c r="F688" s="58" t="s">
        <v>3844</v>
      </c>
      <c r="G688" s="59">
        <v>46122.0</v>
      </c>
      <c r="H688" s="58" t="s">
        <v>4498</v>
      </c>
      <c r="I688" s="58" t="s">
        <v>97</v>
      </c>
      <c r="J688" s="58" t="s">
        <v>2246</v>
      </c>
      <c r="K688" s="58" t="s">
        <v>3846</v>
      </c>
      <c r="L688" s="58" t="s">
        <v>3855</v>
      </c>
    </row>
    <row r="689" ht="15.75" customHeight="1">
      <c r="A689" s="25" t="s">
        <v>227</v>
      </c>
      <c r="B689" s="26">
        <v>46101.0</v>
      </c>
      <c r="C689" s="25" t="s">
        <v>174</v>
      </c>
      <c r="D689" s="25" t="s">
        <v>4465</v>
      </c>
      <c r="E689" s="25" t="s">
        <v>90</v>
      </c>
      <c r="F689" s="25" t="s">
        <v>3857</v>
      </c>
      <c r="G689" s="26">
        <v>46119.0</v>
      </c>
      <c r="H689" s="25" t="s">
        <v>4499</v>
      </c>
      <c r="I689" s="25" t="s">
        <v>97</v>
      </c>
      <c r="J689" s="25" t="s">
        <v>2246</v>
      </c>
      <c r="K689" s="25" t="s">
        <v>3846</v>
      </c>
      <c r="L689" s="25" t="s">
        <v>3855</v>
      </c>
    </row>
    <row r="690" ht="15.75" customHeight="1">
      <c r="A690" s="58" t="s">
        <v>1012</v>
      </c>
      <c r="B690" s="59">
        <v>46112.0</v>
      </c>
      <c r="C690" s="58" t="s">
        <v>961</v>
      </c>
      <c r="D690" s="58" t="s">
        <v>4465</v>
      </c>
      <c r="E690" s="58" t="s">
        <v>78</v>
      </c>
      <c r="F690" s="58" t="s">
        <v>3879</v>
      </c>
      <c r="G690" s="59">
        <v>46196.0</v>
      </c>
      <c r="H690" s="58" t="s">
        <v>4500</v>
      </c>
      <c r="I690" s="58" t="s">
        <v>97</v>
      </c>
      <c r="J690" s="58" t="s">
        <v>2247</v>
      </c>
      <c r="K690" s="58" t="s">
        <v>3881</v>
      </c>
      <c r="L690" s="58" t="s">
        <v>3855</v>
      </c>
    </row>
    <row r="691" ht="15.75" customHeight="1">
      <c r="A691" s="25" t="s">
        <v>1013</v>
      </c>
      <c r="B691" s="26">
        <v>46133.0</v>
      </c>
      <c r="C691" s="25" t="s">
        <v>965</v>
      </c>
      <c r="D691" s="25" t="s">
        <v>4465</v>
      </c>
      <c r="E691" s="25" t="s">
        <v>71</v>
      </c>
      <c r="F691" s="25" t="s">
        <v>3844</v>
      </c>
      <c r="G691" s="26">
        <v>46191.0</v>
      </c>
      <c r="H691" s="25" t="s">
        <v>4501</v>
      </c>
      <c r="I691" s="25" t="s">
        <v>97</v>
      </c>
      <c r="J691" s="25" t="s">
        <v>2246</v>
      </c>
      <c r="K691" s="25" t="s">
        <v>3846</v>
      </c>
      <c r="L691" s="25" t="s">
        <v>3855</v>
      </c>
    </row>
    <row r="692" ht="15.75" customHeight="1">
      <c r="A692" s="58" t="s">
        <v>900</v>
      </c>
      <c r="B692" s="59">
        <v>46076.0</v>
      </c>
      <c r="C692" s="58" t="s">
        <v>873</v>
      </c>
      <c r="D692" s="58" t="s">
        <v>4465</v>
      </c>
      <c r="E692" s="58" t="s">
        <v>92</v>
      </c>
      <c r="F692" s="58" t="s">
        <v>3844</v>
      </c>
      <c r="G692" s="59">
        <v>46170.0</v>
      </c>
      <c r="H692" s="58"/>
      <c r="I692" s="58" t="s">
        <v>97</v>
      </c>
      <c r="J692" s="58" t="s">
        <v>2247</v>
      </c>
      <c r="K692" s="58" t="s">
        <v>3848</v>
      </c>
      <c r="L692" s="58" t="s">
        <v>3855</v>
      </c>
    </row>
    <row r="693" ht="15.75" customHeight="1">
      <c r="A693" s="25" t="s">
        <v>229</v>
      </c>
      <c r="B693" s="26">
        <v>46044.0</v>
      </c>
      <c r="C693" s="25" t="s">
        <v>174</v>
      </c>
      <c r="D693" s="25" t="s">
        <v>4465</v>
      </c>
      <c r="E693" s="25" t="s">
        <v>162</v>
      </c>
      <c r="F693" s="25" t="s">
        <v>3844</v>
      </c>
      <c r="G693" s="26">
        <v>46063.0</v>
      </c>
      <c r="H693" s="25" t="s">
        <v>4502</v>
      </c>
      <c r="I693" s="25" t="s">
        <v>97</v>
      </c>
      <c r="J693" s="25" t="s">
        <v>2246</v>
      </c>
      <c r="K693" s="25" t="s">
        <v>3846</v>
      </c>
      <c r="L693" s="25" t="s">
        <v>3851</v>
      </c>
    </row>
    <row r="694" ht="15.75" customHeight="1">
      <c r="A694" s="58" t="s">
        <v>231</v>
      </c>
      <c r="B694" s="59">
        <v>46103.0</v>
      </c>
      <c r="C694" s="58" t="s">
        <v>174</v>
      </c>
      <c r="D694" s="58" t="s">
        <v>4465</v>
      </c>
      <c r="E694" s="58" t="s">
        <v>108</v>
      </c>
      <c r="F694" s="58" t="s">
        <v>3844</v>
      </c>
      <c r="G694" s="59">
        <v>46099.0</v>
      </c>
      <c r="H694" s="58" t="s">
        <v>4503</v>
      </c>
      <c r="I694" s="58" t="s">
        <v>97</v>
      </c>
      <c r="J694" s="58" t="s">
        <v>2246</v>
      </c>
      <c r="K694" s="58" t="s">
        <v>3846</v>
      </c>
      <c r="L694" s="58" t="s">
        <v>3855</v>
      </c>
    </row>
    <row r="695" ht="15.75" customHeight="1">
      <c r="A695" s="25" t="s">
        <v>1016</v>
      </c>
      <c r="B695" s="26">
        <v>46037.0</v>
      </c>
      <c r="C695" s="25" t="s">
        <v>968</v>
      </c>
      <c r="D695" s="25" t="s">
        <v>4465</v>
      </c>
      <c r="E695" s="25" t="s">
        <v>92</v>
      </c>
      <c r="F695" s="25" t="s">
        <v>3844</v>
      </c>
      <c r="G695" s="26">
        <v>46038.0</v>
      </c>
      <c r="H695" s="25" t="s">
        <v>4504</v>
      </c>
      <c r="I695" s="25" t="s">
        <v>97</v>
      </c>
      <c r="J695" s="25" t="s">
        <v>2246</v>
      </c>
      <c r="K695" s="25" t="s">
        <v>3846</v>
      </c>
      <c r="L695" s="25" t="s">
        <v>3855</v>
      </c>
    </row>
    <row r="696" ht="15.75" customHeight="1">
      <c r="A696" s="58" t="s">
        <v>502</v>
      </c>
      <c r="B696" s="59">
        <v>46082.0</v>
      </c>
      <c r="C696" s="58" t="s">
        <v>448</v>
      </c>
      <c r="D696" s="58" t="s">
        <v>4465</v>
      </c>
      <c r="E696" s="58" t="s">
        <v>110</v>
      </c>
      <c r="F696" s="58" t="s">
        <v>3844</v>
      </c>
      <c r="G696" s="59">
        <v>46236.0</v>
      </c>
      <c r="H696" s="58" t="s">
        <v>4505</v>
      </c>
      <c r="I696" s="58" t="s">
        <v>97</v>
      </c>
      <c r="J696" s="58" t="s">
        <v>2246</v>
      </c>
      <c r="K696" s="58" t="s">
        <v>3846</v>
      </c>
      <c r="L696" s="58" t="s">
        <v>3851</v>
      </c>
    </row>
    <row r="697" ht="15.75" customHeight="1">
      <c r="A697" s="25" t="s">
        <v>619</v>
      </c>
      <c r="B697" s="26">
        <v>46131.0</v>
      </c>
      <c r="C697" s="25" t="s">
        <v>544</v>
      </c>
      <c r="D697" s="25" t="s">
        <v>4465</v>
      </c>
      <c r="E697" s="25" t="s">
        <v>92</v>
      </c>
      <c r="F697" s="25" t="s">
        <v>3844</v>
      </c>
      <c r="G697" s="26">
        <v>46247.0</v>
      </c>
      <c r="H697" s="25" t="s">
        <v>4506</v>
      </c>
      <c r="I697" s="25" t="s">
        <v>97</v>
      </c>
      <c r="J697" s="25" t="s">
        <v>2246</v>
      </c>
      <c r="K697" s="25" t="s">
        <v>3846</v>
      </c>
      <c r="L697" s="25" t="s">
        <v>3847</v>
      </c>
    </row>
    <row r="698" ht="15.75" customHeight="1">
      <c r="A698" s="58" t="s">
        <v>1017</v>
      </c>
      <c r="B698" s="59">
        <v>46027.0</v>
      </c>
      <c r="C698" s="58" t="s">
        <v>968</v>
      </c>
      <c r="D698" s="58" t="s">
        <v>4465</v>
      </c>
      <c r="E698" s="58" t="s">
        <v>102</v>
      </c>
      <c r="F698" s="58" t="s">
        <v>3844</v>
      </c>
      <c r="G698" s="59">
        <v>46033.0</v>
      </c>
      <c r="H698" s="58" t="s">
        <v>4507</v>
      </c>
      <c r="I698" s="58" t="s">
        <v>97</v>
      </c>
      <c r="J698" s="58" t="s">
        <v>2246</v>
      </c>
      <c r="K698" s="58" t="s">
        <v>3846</v>
      </c>
      <c r="L698" s="58" t="s">
        <v>3847</v>
      </c>
    </row>
    <row r="699" ht="15.75" customHeight="1">
      <c r="A699" s="25" t="s">
        <v>905</v>
      </c>
      <c r="B699" s="26">
        <v>46048.0</v>
      </c>
      <c r="C699" s="25" t="s">
        <v>873</v>
      </c>
      <c r="D699" s="25" t="s">
        <v>4465</v>
      </c>
      <c r="E699" s="25" t="s">
        <v>123</v>
      </c>
      <c r="F699" s="25" t="s">
        <v>3844</v>
      </c>
      <c r="G699" s="26">
        <v>46068.0</v>
      </c>
      <c r="H699" s="25" t="s">
        <v>4508</v>
      </c>
      <c r="I699" s="25" t="s">
        <v>3853</v>
      </c>
      <c r="J699" s="25" t="s">
        <v>2247</v>
      </c>
      <c r="K699" s="25" t="s">
        <v>3854</v>
      </c>
      <c r="L699" s="25" t="s">
        <v>3855</v>
      </c>
    </row>
    <row r="700" ht="15.75" customHeight="1">
      <c r="A700" s="58" t="s">
        <v>906</v>
      </c>
      <c r="B700" s="59">
        <v>46050.0</v>
      </c>
      <c r="C700" s="58" t="s">
        <v>864</v>
      </c>
      <c r="D700" s="58" t="s">
        <v>4465</v>
      </c>
      <c r="E700" s="58" t="s">
        <v>81</v>
      </c>
      <c r="F700" s="58" t="s">
        <v>3844</v>
      </c>
      <c r="G700" s="59">
        <v>46073.0</v>
      </c>
      <c r="H700" s="58" t="s">
        <v>4509</v>
      </c>
      <c r="I700" s="58" t="s">
        <v>97</v>
      </c>
      <c r="J700" s="58" t="s">
        <v>2246</v>
      </c>
      <c r="K700" s="58" t="s">
        <v>3846</v>
      </c>
      <c r="L700" s="58" t="s">
        <v>3855</v>
      </c>
    </row>
    <row r="701" ht="15.75" customHeight="1">
      <c r="A701" s="25" t="s">
        <v>1019</v>
      </c>
      <c r="B701" s="26">
        <v>46025.0</v>
      </c>
      <c r="C701" s="25" t="s">
        <v>965</v>
      </c>
      <c r="D701" s="25" t="s">
        <v>4465</v>
      </c>
      <c r="E701" s="25" t="s">
        <v>78</v>
      </c>
      <c r="F701" s="25" t="s">
        <v>3844</v>
      </c>
      <c r="G701" s="26">
        <v>46157.0</v>
      </c>
      <c r="H701" s="25" t="s">
        <v>4510</v>
      </c>
      <c r="I701" s="25" t="s">
        <v>97</v>
      </c>
      <c r="J701" s="25" t="s">
        <v>2246</v>
      </c>
      <c r="K701" s="25" t="s">
        <v>3846</v>
      </c>
      <c r="L701" s="25" t="s">
        <v>3847</v>
      </c>
    </row>
    <row r="702" ht="15.75" customHeight="1">
      <c r="A702" s="58" t="s">
        <v>1021</v>
      </c>
      <c r="B702" s="59">
        <v>46077.0</v>
      </c>
      <c r="C702" s="58" t="s">
        <v>961</v>
      </c>
      <c r="D702" s="58" t="s">
        <v>4465</v>
      </c>
      <c r="E702" s="58" t="s">
        <v>123</v>
      </c>
      <c r="F702" s="58" t="s">
        <v>3844</v>
      </c>
      <c r="G702" s="59">
        <v>46097.0</v>
      </c>
      <c r="H702" s="58" t="s">
        <v>4511</v>
      </c>
      <c r="I702" s="58" t="s">
        <v>3853</v>
      </c>
      <c r="J702" s="58" t="s">
        <v>2247</v>
      </c>
      <c r="K702" s="58" t="s">
        <v>3854</v>
      </c>
      <c r="L702" s="58" t="s">
        <v>3855</v>
      </c>
    </row>
    <row r="703" ht="15.75" customHeight="1">
      <c r="A703" s="25" t="s">
        <v>624</v>
      </c>
      <c r="B703" s="26">
        <v>46028.0</v>
      </c>
      <c r="C703" s="25" t="s">
        <v>544</v>
      </c>
      <c r="D703" s="25" t="s">
        <v>4465</v>
      </c>
      <c r="E703" s="25" t="s">
        <v>106</v>
      </c>
      <c r="F703" s="25" t="s">
        <v>3844</v>
      </c>
      <c r="G703" s="26">
        <v>46174.0</v>
      </c>
      <c r="H703" s="25" t="s">
        <v>4512</v>
      </c>
      <c r="I703" s="25" t="s">
        <v>97</v>
      </c>
      <c r="J703" s="25" t="s">
        <v>2246</v>
      </c>
      <c r="K703" s="25" t="s">
        <v>3846</v>
      </c>
      <c r="L703" s="25" t="s">
        <v>3847</v>
      </c>
    </row>
    <row r="704" ht="15.75" customHeight="1">
      <c r="A704" s="58" t="s">
        <v>1024</v>
      </c>
      <c r="B704" s="59">
        <v>46084.0</v>
      </c>
      <c r="C704" s="58" t="s">
        <v>968</v>
      </c>
      <c r="D704" s="58" t="s">
        <v>4465</v>
      </c>
      <c r="E704" s="58" t="s">
        <v>85</v>
      </c>
      <c r="F704" s="58" t="s">
        <v>3844</v>
      </c>
      <c r="G704" s="59">
        <v>46206.0</v>
      </c>
      <c r="H704" s="58" t="s">
        <v>4513</v>
      </c>
      <c r="I704" s="58" t="s">
        <v>97</v>
      </c>
      <c r="J704" s="58" t="s">
        <v>2246</v>
      </c>
      <c r="K704" s="58" t="s">
        <v>3846</v>
      </c>
      <c r="L704" s="58" t="s">
        <v>3855</v>
      </c>
    </row>
    <row r="705" ht="15.75" customHeight="1">
      <c r="A705" s="25" t="s">
        <v>910</v>
      </c>
      <c r="B705" s="26">
        <v>46129.0</v>
      </c>
      <c r="C705" s="25" t="s">
        <v>873</v>
      </c>
      <c r="D705" s="25" t="s">
        <v>4465</v>
      </c>
      <c r="E705" s="25" t="s">
        <v>95</v>
      </c>
      <c r="F705" s="25" t="s">
        <v>3857</v>
      </c>
      <c r="G705" s="26">
        <v>46171.0</v>
      </c>
      <c r="H705" s="25" t="s">
        <v>4514</v>
      </c>
      <c r="I705" s="25" t="s">
        <v>97</v>
      </c>
      <c r="J705" s="25" t="s">
        <v>2246</v>
      </c>
      <c r="K705" s="25" t="s">
        <v>3846</v>
      </c>
      <c r="L705" s="25" t="s">
        <v>3855</v>
      </c>
    </row>
    <row r="706" ht="15.75" customHeight="1">
      <c r="A706" s="58" t="s">
        <v>1165</v>
      </c>
      <c r="B706" s="59">
        <v>46074.0</v>
      </c>
      <c r="C706" s="58" t="s">
        <v>1129</v>
      </c>
      <c r="D706" s="58" t="s">
        <v>4465</v>
      </c>
      <c r="E706" s="58" t="s">
        <v>102</v>
      </c>
      <c r="F706" s="58" t="s">
        <v>3844</v>
      </c>
      <c r="G706" s="59">
        <v>46128.0</v>
      </c>
      <c r="H706" s="58" t="s">
        <v>4515</v>
      </c>
      <c r="I706" s="58" t="s">
        <v>97</v>
      </c>
      <c r="J706" s="58" t="s">
        <v>2246</v>
      </c>
      <c r="K706" s="58" t="s">
        <v>3846</v>
      </c>
      <c r="L706" s="58" t="s">
        <v>3855</v>
      </c>
    </row>
    <row r="707" ht="15.75" customHeight="1">
      <c r="A707" s="25" t="s">
        <v>1028</v>
      </c>
      <c r="B707" s="26">
        <v>46027.0</v>
      </c>
      <c r="C707" s="25" t="s">
        <v>965</v>
      </c>
      <c r="D707" s="25" t="s">
        <v>4465</v>
      </c>
      <c r="E707" s="25" t="s">
        <v>95</v>
      </c>
      <c r="F707" s="25" t="s">
        <v>3844</v>
      </c>
      <c r="G707" s="26">
        <v>46086.0</v>
      </c>
      <c r="H707" s="25" t="s">
        <v>4516</v>
      </c>
      <c r="I707" s="25" t="s">
        <v>97</v>
      </c>
      <c r="J707" s="25" t="s">
        <v>2246</v>
      </c>
      <c r="K707" s="25" t="s">
        <v>3846</v>
      </c>
      <c r="L707" s="25" t="s">
        <v>3851</v>
      </c>
    </row>
    <row r="708" ht="15.75" customHeight="1">
      <c r="A708" s="58" t="s">
        <v>1030</v>
      </c>
      <c r="B708" s="59">
        <v>46138.0</v>
      </c>
      <c r="C708" s="58" t="s">
        <v>961</v>
      </c>
      <c r="D708" s="58" t="s">
        <v>4465</v>
      </c>
      <c r="E708" s="58" t="s">
        <v>190</v>
      </c>
      <c r="F708" s="58" t="s">
        <v>3913</v>
      </c>
      <c r="G708" s="59">
        <v>46192.0</v>
      </c>
      <c r="H708" s="58" t="s">
        <v>4517</v>
      </c>
      <c r="I708" s="58" t="s">
        <v>97</v>
      </c>
      <c r="J708" s="58" t="s">
        <v>2247</v>
      </c>
      <c r="K708" s="58" t="s">
        <v>3881</v>
      </c>
      <c r="L708" s="58" t="s">
        <v>3851</v>
      </c>
    </row>
    <row r="709" ht="15.75" customHeight="1">
      <c r="A709" s="25" t="s">
        <v>914</v>
      </c>
      <c r="B709" s="26">
        <v>46118.0</v>
      </c>
      <c r="C709" s="25" t="s">
        <v>873</v>
      </c>
      <c r="D709" s="25" t="s">
        <v>4465</v>
      </c>
      <c r="E709" s="25" t="s">
        <v>71</v>
      </c>
      <c r="F709" s="25" t="s">
        <v>3844</v>
      </c>
      <c r="G709" s="26">
        <v>46199.0</v>
      </c>
      <c r="H709" s="25" t="s">
        <v>4518</v>
      </c>
      <c r="I709" s="25" t="s">
        <v>97</v>
      </c>
      <c r="J709" s="25" t="s">
        <v>2246</v>
      </c>
      <c r="K709" s="25" t="s">
        <v>3846</v>
      </c>
      <c r="L709" s="25" t="s">
        <v>3851</v>
      </c>
    </row>
    <row r="710" ht="15.75" customHeight="1">
      <c r="A710" s="58" t="s">
        <v>242</v>
      </c>
      <c r="B710" s="59">
        <v>46099.0</v>
      </c>
      <c r="C710" s="58" t="s">
        <v>174</v>
      </c>
      <c r="D710" s="58" t="s">
        <v>4465</v>
      </c>
      <c r="E710" s="58" t="s">
        <v>85</v>
      </c>
      <c r="F710" s="58" t="s">
        <v>3844</v>
      </c>
      <c r="G710" s="59">
        <v>46140.0</v>
      </c>
      <c r="H710" s="58" t="s">
        <v>4519</v>
      </c>
      <c r="I710" s="58" t="s">
        <v>97</v>
      </c>
      <c r="J710" s="58" t="s">
        <v>2246</v>
      </c>
      <c r="K710" s="58" t="s">
        <v>3846</v>
      </c>
      <c r="L710" s="58" t="s">
        <v>3855</v>
      </c>
    </row>
    <row r="711" ht="15.75" customHeight="1">
      <c r="A711" s="25" t="s">
        <v>1032</v>
      </c>
      <c r="B711" s="26">
        <v>46112.0</v>
      </c>
      <c r="C711" s="25" t="s">
        <v>980</v>
      </c>
      <c r="D711" s="25" t="s">
        <v>4465</v>
      </c>
      <c r="E711" s="25" t="s">
        <v>85</v>
      </c>
      <c r="F711" s="25" t="s">
        <v>3844</v>
      </c>
      <c r="G711" s="26">
        <v>46141.0</v>
      </c>
      <c r="H711" s="25" t="s">
        <v>4520</v>
      </c>
      <c r="I711" s="25" t="s">
        <v>97</v>
      </c>
      <c r="J711" s="25" t="s">
        <v>2246</v>
      </c>
      <c r="K711" s="25" t="s">
        <v>3846</v>
      </c>
      <c r="L711" s="25" t="s">
        <v>3855</v>
      </c>
    </row>
    <row r="712" ht="15.75" customHeight="1">
      <c r="A712" s="58" t="s">
        <v>916</v>
      </c>
      <c r="B712" s="59">
        <v>46027.0</v>
      </c>
      <c r="C712" s="58" t="s">
        <v>873</v>
      </c>
      <c r="D712" s="58" t="s">
        <v>4465</v>
      </c>
      <c r="E712" s="58" t="s">
        <v>110</v>
      </c>
      <c r="F712" s="58" t="s">
        <v>3879</v>
      </c>
      <c r="G712" s="59">
        <v>46028.0</v>
      </c>
      <c r="H712" s="58" t="s">
        <v>4521</v>
      </c>
      <c r="I712" s="58" t="s">
        <v>97</v>
      </c>
      <c r="J712" s="58" t="s">
        <v>2247</v>
      </c>
      <c r="K712" s="58" t="s">
        <v>3881</v>
      </c>
      <c r="L712" s="58" t="s">
        <v>3855</v>
      </c>
    </row>
    <row r="713" ht="15.75" customHeight="1">
      <c r="A713" s="25" t="s">
        <v>917</v>
      </c>
      <c r="B713" s="26">
        <v>46064.0</v>
      </c>
      <c r="C713" s="25" t="s">
        <v>864</v>
      </c>
      <c r="D713" s="25" t="s">
        <v>4465</v>
      </c>
      <c r="E713" s="25" t="s">
        <v>106</v>
      </c>
      <c r="F713" s="25" t="s">
        <v>3857</v>
      </c>
      <c r="G713" s="26">
        <v>46212.0</v>
      </c>
      <c r="H713" s="25" t="s">
        <v>4522</v>
      </c>
      <c r="I713" s="25" t="s">
        <v>97</v>
      </c>
      <c r="J713" s="25" t="s">
        <v>2246</v>
      </c>
      <c r="K713" s="25" t="s">
        <v>3846</v>
      </c>
      <c r="L713" s="25" t="s">
        <v>3855</v>
      </c>
    </row>
    <row r="714" ht="15.75" customHeight="1">
      <c r="A714" s="58" t="s">
        <v>1034</v>
      </c>
      <c r="B714" s="59">
        <v>46103.0</v>
      </c>
      <c r="C714" s="58" t="s">
        <v>961</v>
      </c>
      <c r="D714" s="58" t="s">
        <v>4465</v>
      </c>
      <c r="E714" s="58" t="s">
        <v>162</v>
      </c>
      <c r="F714" s="58" t="s">
        <v>3857</v>
      </c>
      <c r="G714" s="59">
        <v>46143.0</v>
      </c>
      <c r="H714" s="58" t="s">
        <v>4523</v>
      </c>
      <c r="I714" s="58" t="s">
        <v>97</v>
      </c>
      <c r="J714" s="58" t="s">
        <v>2246</v>
      </c>
      <c r="K714" s="58" t="s">
        <v>3846</v>
      </c>
      <c r="L714" s="58" t="s">
        <v>3855</v>
      </c>
    </row>
    <row r="715" ht="15.75" customHeight="1">
      <c r="A715" s="25" t="s">
        <v>920</v>
      </c>
      <c r="B715" s="26">
        <v>46042.0</v>
      </c>
      <c r="C715" s="25" t="s">
        <v>873</v>
      </c>
      <c r="D715" s="25" t="s">
        <v>4465</v>
      </c>
      <c r="E715" s="25" t="s">
        <v>64</v>
      </c>
      <c r="F715" s="25" t="s">
        <v>3844</v>
      </c>
      <c r="G715" s="26">
        <v>46077.0</v>
      </c>
      <c r="H715" s="25" t="s">
        <v>4524</v>
      </c>
      <c r="I715" s="25" t="s">
        <v>3853</v>
      </c>
      <c r="J715" s="25" t="s">
        <v>2247</v>
      </c>
      <c r="K715" s="25" t="s">
        <v>3854</v>
      </c>
      <c r="L715" s="25" t="s">
        <v>3847</v>
      </c>
    </row>
    <row r="716" ht="15.75" customHeight="1">
      <c r="A716" s="58" t="s">
        <v>510</v>
      </c>
      <c r="B716" s="59">
        <v>46061.0</v>
      </c>
      <c r="C716" s="58" t="s">
        <v>448</v>
      </c>
      <c r="D716" s="58" t="s">
        <v>4465</v>
      </c>
      <c r="E716" s="58" t="s">
        <v>64</v>
      </c>
      <c r="F716" s="58" t="s">
        <v>3844</v>
      </c>
      <c r="G716" s="59">
        <v>46103.0</v>
      </c>
      <c r="H716" s="58" t="s">
        <v>4525</v>
      </c>
      <c r="I716" s="58" t="s">
        <v>3853</v>
      </c>
      <c r="J716" s="58" t="s">
        <v>2247</v>
      </c>
      <c r="K716" s="58" t="s">
        <v>3854</v>
      </c>
      <c r="L716" s="58" t="s">
        <v>3851</v>
      </c>
    </row>
    <row r="717" ht="15.75" customHeight="1">
      <c r="A717" s="25" t="s">
        <v>1040</v>
      </c>
      <c r="B717" s="26">
        <v>46126.0</v>
      </c>
      <c r="C717" s="25" t="s">
        <v>965</v>
      </c>
      <c r="D717" s="25" t="s">
        <v>4465</v>
      </c>
      <c r="E717" s="25" t="s">
        <v>68</v>
      </c>
      <c r="F717" s="25" t="s">
        <v>3844</v>
      </c>
      <c r="G717" s="26">
        <v>46273.0</v>
      </c>
      <c r="H717" s="25" t="s">
        <v>4526</v>
      </c>
      <c r="I717" s="25" t="s">
        <v>97</v>
      </c>
      <c r="J717" s="25" t="s">
        <v>2246</v>
      </c>
      <c r="K717" s="25" t="s">
        <v>3846</v>
      </c>
      <c r="L717" s="25" t="s">
        <v>3847</v>
      </c>
    </row>
    <row r="718" ht="15.75" customHeight="1">
      <c r="A718" s="58" t="s">
        <v>1041</v>
      </c>
      <c r="B718" s="59">
        <v>46112.0</v>
      </c>
      <c r="C718" s="58" t="s">
        <v>980</v>
      </c>
      <c r="D718" s="58" t="s">
        <v>4465</v>
      </c>
      <c r="E718" s="58" t="s">
        <v>156</v>
      </c>
      <c r="F718" s="58" t="s">
        <v>3844</v>
      </c>
      <c r="G718" s="59">
        <v>46200.0</v>
      </c>
      <c r="H718" s="58" t="s">
        <v>4527</v>
      </c>
      <c r="I718" s="58" t="s">
        <v>97</v>
      </c>
      <c r="J718" s="58" t="s">
        <v>2246</v>
      </c>
      <c r="K718" s="58" t="s">
        <v>3846</v>
      </c>
      <c r="L718" s="58" t="s">
        <v>3847</v>
      </c>
    </row>
    <row r="719" ht="15.75" customHeight="1">
      <c r="A719" s="25" t="s">
        <v>1176</v>
      </c>
      <c r="B719" s="26">
        <v>46128.0</v>
      </c>
      <c r="C719" s="25" t="s">
        <v>1129</v>
      </c>
      <c r="D719" s="25" t="s">
        <v>4465</v>
      </c>
      <c r="E719" s="25" t="s">
        <v>64</v>
      </c>
      <c r="F719" s="25" t="s">
        <v>3844</v>
      </c>
      <c r="G719" s="26">
        <v>46288.0</v>
      </c>
      <c r="H719" s="25" t="s">
        <v>4528</v>
      </c>
      <c r="I719" s="25" t="s">
        <v>3853</v>
      </c>
      <c r="J719" s="25" t="s">
        <v>2247</v>
      </c>
      <c r="K719" s="25" t="s">
        <v>3854</v>
      </c>
      <c r="L719" s="25" t="s">
        <v>3855</v>
      </c>
    </row>
    <row r="720" ht="15.75" customHeight="1">
      <c r="A720" s="58" t="s">
        <v>514</v>
      </c>
      <c r="B720" s="59">
        <v>46051.0</v>
      </c>
      <c r="C720" s="58" t="s">
        <v>448</v>
      </c>
      <c r="D720" s="58" t="s">
        <v>4465</v>
      </c>
      <c r="E720" s="58" t="s">
        <v>64</v>
      </c>
      <c r="F720" s="58" t="s">
        <v>3844</v>
      </c>
      <c r="G720" s="59">
        <v>46177.0</v>
      </c>
      <c r="H720" s="58" t="s">
        <v>4529</v>
      </c>
      <c r="I720" s="58" t="s">
        <v>3853</v>
      </c>
      <c r="J720" s="58" t="s">
        <v>2247</v>
      </c>
      <c r="K720" s="58" t="s">
        <v>3854</v>
      </c>
      <c r="L720" s="58" t="s">
        <v>3847</v>
      </c>
    </row>
    <row r="721" ht="15.75" customHeight="1">
      <c r="A721" s="25" t="s">
        <v>517</v>
      </c>
      <c r="B721" s="26">
        <v>46088.0</v>
      </c>
      <c r="C721" s="25" t="s">
        <v>448</v>
      </c>
      <c r="D721" s="25" t="s">
        <v>4465</v>
      </c>
      <c r="E721" s="25" t="s">
        <v>68</v>
      </c>
      <c r="F721" s="25" t="s">
        <v>3857</v>
      </c>
      <c r="G721" s="26">
        <v>46189.0</v>
      </c>
      <c r="H721" s="25" t="s">
        <v>4530</v>
      </c>
      <c r="I721" s="25" t="s">
        <v>97</v>
      </c>
      <c r="J721" s="25" t="s">
        <v>2246</v>
      </c>
      <c r="K721" s="25" t="s">
        <v>3846</v>
      </c>
      <c r="L721" s="25" t="s">
        <v>3855</v>
      </c>
    </row>
    <row r="722" ht="15.75" customHeight="1">
      <c r="A722" s="58" t="s">
        <v>1044</v>
      </c>
      <c r="B722" s="59">
        <v>46142.0</v>
      </c>
      <c r="C722" s="58" t="s">
        <v>968</v>
      </c>
      <c r="D722" s="58" t="s">
        <v>4465</v>
      </c>
      <c r="E722" s="58" t="s">
        <v>85</v>
      </c>
      <c r="F722" s="58" t="s">
        <v>3844</v>
      </c>
      <c r="G722" s="59">
        <v>46291.0</v>
      </c>
      <c r="H722" s="58" t="s">
        <v>4531</v>
      </c>
      <c r="I722" s="58" t="s">
        <v>97</v>
      </c>
      <c r="J722" s="58" t="s">
        <v>2246</v>
      </c>
      <c r="K722" s="58" t="s">
        <v>3846</v>
      </c>
      <c r="L722" s="58" t="s">
        <v>3851</v>
      </c>
    </row>
    <row r="723" ht="15.75" customHeight="1">
      <c r="A723" s="25" t="s">
        <v>932</v>
      </c>
      <c r="B723" s="26">
        <v>46085.0</v>
      </c>
      <c r="C723" s="25" t="s">
        <v>864</v>
      </c>
      <c r="D723" s="25" t="s">
        <v>4465</v>
      </c>
      <c r="E723" s="25" t="s">
        <v>74</v>
      </c>
      <c r="F723" s="25" t="s">
        <v>3844</v>
      </c>
      <c r="G723" s="26">
        <v>46196.0</v>
      </c>
      <c r="H723" s="25" t="s">
        <v>4532</v>
      </c>
      <c r="I723" s="25" t="s">
        <v>97</v>
      </c>
      <c r="J723" s="25" t="s">
        <v>2246</v>
      </c>
      <c r="K723" s="25" t="s">
        <v>3846</v>
      </c>
      <c r="L723" s="25" t="s">
        <v>3851</v>
      </c>
    </row>
    <row r="724" ht="15.75" customHeight="1">
      <c r="A724" s="58" t="s">
        <v>660</v>
      </c>
      <c r="B724" s="59">
        <v>46027.0</v>
      </c>
      <c r="C724" s="58" t="s">
        <v>544</v>
      </c>
      <c r="D724" s="58" t="s">
        <v>4465</v>
      </c>
      <c r="E724" s="58" t="s">
        <v>102</v>
      </c>
      <c r="F724" s="58" t="s">
        <v>3857</v>
      </c>
      <c r="G724" s="59">
        <v>46159.0</v>
      </c>
      <c r="H724" s="58" t="s">
        <v>4533</v>
      </c>
      <c r="I724" s="58" t="s">
        <v>97</v>
      </c>
      <c r="J724" s="58" t="s">
        <v>2246</v>
      </c>
      <c r="K724" s="58" t="s">
        <v>3846</v>
      </c>
      <c r="L724" s="58" t="s">
        <v>3847</v>
      </c>
    </row>
    <row r="725" ht="15.75" customHeight="1">
      <c r="A725" s="25" t="s">
        <v>1046</v>
      </c>
      <c r="B725" s="26">
        <v>46080.0</v>
      </c>
      <c r="C725" s="25" t="s">
        <v>968</v>
      </c>
      <c r="D725" s="25" t="s">
        <v>4465</v>
      </c>
      <c r="E725" s="25" t="s">
        <v>68</v>
      </c>
      <c r="F725" s="25" t="s">
        <v>3844</v>
      </c>
      <c r="G725" s="26">
        <v>46222.0</v>
      </c>
      <c r="H725" s="25" t="s">
        <v>4534</v>
      </c>
      <c r="I725" s="25" t="s">
        <v>97</v>
      </c>
      <c r="J725" s="25" t="s">
        <v>2246</v>
      </c>
      <c r="K725" s="25" t="s">
        <v>3846</v>
      </c>
      <c r="L725" s="25" t="s">
        <v>3847</v>
      </c>
    </row>
    <row r="726" ht="15.75" customHeight="1">
      <c r="A726" s="58" t="s">
        <v>1047</v>
      </c>
      <c r="B726" s="59">
        <v>46138.0</v>
      </c>
      <c r="C726" s="58" t="s">
        <v>968</v>
      </c>
      <c r="D726" s="58" t="s">
        <v>4465</v>
      </c>
      <c r="E726" s="58" t="s">
        <v>85</v>
      </c>
      <c r="F726" s="58" t="s">
        <v>3844</v>
      </c>
      <c r="G726" s="59">
        <v>46238.0</v>
      </c>
      <c r="H726" s="58" t="s">
        <v>4535</v>
      </c>
      <c r="I726" s="58" t="s">
        <v>97</v>
      </c>
      <c r="J726" s="58" t="s">
        <v>2246</v>
      </c>
      <c r="K726" s="58" t="s">
        <v>3846</v>
      </c>
      <c r="L726" s="58" t="s">
        <v>3855</v>
      </c>
    </row>
    <row r="727" ht="15.75" customHeight="1">
      <c r="A727" s="25" t="s">
        <v>1053</v>
      </c>
      <c r="B727" s="26">
        <v>46058.0</v>
      </c>
      <c r="C727" s="25" t="s">
        <v>965</v>
      </c>
      <c r="D727" s="25" t="s">
        <v>4465</v>
      </c>
      <c r="E727" s="25" t="s">
        <v>95</v>
      </c>
      <c r="F727" s="25" t="s">
        <v>3844</v>
      </c>
      <c r="G727" s="26">
        <v>46145.0</v>
      </c>
      <c r="H727" s="25" t="s">
        <v>4536</v>
      </c>
      <c r="I727" s="25" t="s">
        <v>97</v>
      </c>
      <c r="J727" s="25" t="s">
        <v>2246</v>
      </c>
      <c r="K727" s="25" t="s">
        <v>3846</v>
      </c>
      <c r="L727" s="25" t="s">
        <v>3855</v>
      </c>
    </row>
    <row r="728" ht="15.75" customHeight="1">
      <c r="A728" s="58" t="s">
        <v>1188</v>
      </c>
      <c r="B728" s="59">
        <v>46098.0</v>
      </c>
      <c r="C728" s="58" t="s">
        <v>1129</v>
      </c>
      <c r="D728" s="58" t="s">
        <v>4465</v>
      </c>
      <c r="E728" s="58" t="s">
        <v>110</v>
      </c>
      <c r="F728" s="58" t="s">
        <v>3844</v>
      </c>
      <c r="G728" s="59">
        <v>46255.0</v>
      </c>
      <c r="H728" s="58" t="s">
        <v>4537</v>
      </c>
      <c r="I728" s="58" t="s">
        <v>97</v>
      </c>
      <c r="J728" s="58" t="s">
        <v>2246</v>
      </c>
      <c r="K728" s="58" t="s">
        <v>3846</v>
      </c>
      <c r="L728" s="58" t="s">
        <v>3851</v>
      </c>
    </row>
    <row r="729" ht="15.75" customHeight="1">
      <c r="A729" s="25" t="s">
        <v>1055</v>
      </c>
      <c r="B729" s="26">
        <v>46143.0</v>
      </c>
      <c r="C729" s="25" t="s">
        <v>961</v>
      </c>
      <c r="D729" s="25" t="s">
        <v>4465</v>
      </c>
      <c r="E729" s="25" t="s">
        <v>156</v>
      </c>
      <c r="F729" s="25" t="s">
        <v>3844</v>
      </c>
      <c r="G729" s="26">
        <v>46207.0</v>
      </c>
      <c r="H729" s="25" t="s">
        <v>4538</v>
      </c>
      <c r="I729" s="25" t="s">
        <v>97</v>
      </c>
      <c r="J729" s="25" t="s">
        <v>2246</v>
      </c>
      <c r="K729" s="25" t="s">
        <v>3846</v>
      </c>
      <c r="L729" s="25" t="s">
        <v>3855</v>
      </c>
    </row>
    <row r="730" ht="15.75" customHeight="1">
      <c r="A730" s="58" t="s">
        <v>265</v>
      </c>
      <c r="B730" s="59">
        <v>46140.0</v>
      </c>
      <c r="C730" s="58" t="s">
        <v>174</v>
      </c>
      <c r="D730" s="58" t="s">
        <v>4465</v>
      </c>
      <c r="E730" s="58" t="s">
        <v>95</v>
      </c>
      <c r="F730" s="58" t="s">
        <v>3844</v>
      </c>
      <c r="G730" s="59">
        <v>46145.0</v>
      </c>
      <c r="H730" s="58" t="s">
        <v>4539</v>
      </c>
      <c r="I730" s="58" t="s">
        <v>97</v>
      </c>
      <c r="J730" s="58" t="s">
        <v>2246</v>
      </c>
      <c r="K730" s="58" t="s">
        <v>3846</v>
      </c>
      <c r="L730" s="58" t="s">
        <v>3847</v>
      </c>
    </row>
    <row r="731" ht="15.75" customHeight="1">
      <c r="A731" s="25" t="s">
        <v>1190</v>
      </c>
      <c r="B731" s="26">
        <v>46131.0</v>
      </c>
      <c r="C731" s="25" t="s">
        <v>1129</v>
      </c>
      <c r="D731" s="25" t="s">
        <v>4465</v>
      </c>
      <c r="E731" s="25" t="s">
        <v>92</v>
      </c>
      <c r="F731" s="25" t="s">
        <v>3844</v>
      </c>
      <c r="G731" s="26">
        <v>46114.0</v>
      </c>
      <c r="H731" s="25" t="s">
        <v>4540</v>
      </c>
      <c r="I731" s="25" t="s">
        <v>97</v>
      </c>
      <c r="J731" s="25" t="s">
        <v>2246</v>
      </c>
      <c r="K731" s="25" t="s">
        <v>3846</v>
      </c>
      <c r="L731" s="25" t="s">
        <v>3855</v>
      </c>
    </row>
    <row r="732" ht="15.75" customHeight="1">
      <c r="A732" s="58" t="s">
        <v>1057</v>
      </c>
      <c r="B732" s="59">
        <v>46070.0</v>
      </c>
      <c r="C732" s="58" t="s">
        <v>968</v>
      </c>
      <c r="D732" s="58" t="s">
        <v>4465</v>
      </c>
      <c r="E732" s="58" t="s">
        <v>190</v>
      </c>
      <c r="F732" s="58" t="s">
        <v>3844</v>
      </c>
      <c r="G732" s="59">
        <v>46104.0</v>
      </c>
      <c r="H732" s="58" t="s">
        <v>4541</v>
      </c>
      <c r="I732" s="58" t="s">
        <v>97</v>
      </c>
      <c r="J732" s="58" t="s">
        <v>2246</v>
      </c>
      <c r="K732" s="58" t="s">
        <v>3846</v>
      </c>
      <c r="L732" s="58" t="s">
        <v>3855</v>
      </c>
    </row>
    <row r="733" ht="15.75" customHeight="1">
      <c r="A733" s="25" t="s">
        <v>936</v>
      </c>
      <c r="B733" s="26">
        <v>46086.0</v>
      </c>
      <c r="C733" s="25" t="s">
        <v>864</v>
      </c>
      <c r="D733" s="25" t="s">
        <v>4465</v>
      </c>
      <c r="E733" s="25" t="s">
        <v>156</v>
      </c>
      <c r="F733" s="25" t="s">
        <v>3879</v>
      </c>
      <c r="G733" s="26">
        <v>46237.0</v>
      </c>
      <c r="H733" s="25" t="s">
        <v>4542</v>
      </c>
      <c r="I733" s="25" t="s">
        <v>97</v>
      </c>
      <c r="J733" s="25" t="s">
        <v>2247</v>
      </c>
      <c r="K733" s="25" t="s">
        <v>3881</v>
      </c>
      <c r="L733" s="25" t="s">
        <v>3847</v>
      </c>
    </row>
    <row r="734" ht="15.75" customHeight="1">
      <c r="A734" s="58" t="s">
        <v>526</v>
      </c>
      <c r="B734" s="59">
        <v>46115.0</v>
      </c>
      <c r="C734" s="58" t="s">
        <v>448</v>
      </c>
      <c r="D734" s="58" t="s">
        <v>4465</v>
      </c>
      <c r="E734" s="58" t="s">
        <v>154</v>
      </c>
      <c r="F734" s="58" t="s">
        <v>3857</v>
      </c>
      <c r="G734" s="59">
        <v>46126.0</v>
      </c>
      <c r="H734" s="58" t="s">
        <v>4543</v>
      </c>
      <c r="I734" s="58" t="s">
        <v>97</v>
      </c>
      <c r="J734" s="58" t="s">
        <v>2246</v>
      </c>
      <c r="K734" s="58" t="s">
        <v>3846</v>
      </c>
      <c r="L734" s="58" t="s">
        <v>3851</v>
      </c>
    </row>
    <row r="735" ht="15.75" customHeight="1">
      <c r="A735" s="25" t="s">
        <v>938</v>
      </c>
      <c r="B735" s="26">
        <v>46087.0</v>
      </c>
      <c r="C735" s="25" t="s">
        <v>864</v>
      </c>
      <c r="D735" s="25" t="s">
        <v>4465</v>
      </c>
      <c r="E735" s="25" t="s">
        <v>123</v>
      </c>
      <c r="F735" s="25" t="s">
        <v>3844</v>
      </c>
      <c r="G735" s="26">
        <v>46187.0</v>
      </c>
      <c r="H735" s="25"/>
      <c r="I735" s="25" t="s">
        <v>3853</v>
      </c>
      <c r="J735" s="25" t="s">
        <v>2247</v>
      </c>
      <c r="K735" s="25" t="s">
        <v>3874</v>
      </c>
      <c r="L735" s="25" t="s">
        <v>3855</v>
      </c>
    </row>
    <row r="736" ht="15.75" customHeight="1">
      <c r="A736" s="58" t="s">
        <v>1059</v>
      </c>
      <c r="B736" s="59">
        <v>46119.0</v>
      </c>
      <c r="C736" s="58" t="s">
        <v>968</v>
      </c>
      <c r="D736" s="58" t="s">
        <v>4465</v>
      </c>
      <c r="E736" s="58" t="s">
        <v>102</v>
      </c>
      <c r="F736" s="58" t="s">
        <v>3844</v>
      </c>
      <c r="G736" s="59">
        <v>46136.0</v>
      </c>
      <c r="H736" s="58" t="s">
        <v>4544</v>
      </c>
      <c r="I736" s="58" t="s">
        <v>97</v>
      </c>
      <c r="J736" s="58" t="s">
        <v>2246</v>
      </c>
      <c r="K736" s="58" t="s">
        <v>3846</v>
      </c>
      <c r="L736" s="58" t="s">
        <v>3847</v>
      </c>
    </row>
    <row r="737" ht="15.75" customHeight="1">
      <c r="A737" s="25" t="s">
        <v>1194</v>
      </c>
      <c r="B737" s="26">
        <v>46093.0</v>
      </c>
      <c r="C737" s="25" t="s">
        <v>1129</v>
      </c>
      <c r="D737" s="25" t="s">
        <v>4465</v>
      </c>
      <c r="E737" s="25" t="s">
        <v>64</v>
      </c>
      <c r="F737" s="25" t="s">
        <v>3844</v>
      </c>
      <c r="G737" s="26">
        <v>46160.0</v>
      </c>
      <c r="H737" s="25" t="s">
        <v>4545</v>
      </c>
      <c r="I737" s="25" t="s">
        <v>3853</v>
      </c>
      <c r="J737" s="25" t="s">
        <v>2247</v>
      </c>
      <c r="K737" s="25" t="s">
        <v>3854</v>
      </c>
      <c r="L737" s="25" t="s">
        <v>3855</v>
      </c>
    </row>
    <row r="738" ht="15.75" customHeight="1">
      <c r="A738" s="58" t="s">
        <v>275</v>
      </c>
      <c r="B738" s="59">
        <v>46073.0</v>
      </c>
      <c r="C738" s="58" t="s">
        <v>174</v>
      </c>
      <c r="D738" s="58" t="s">
        <v>4465</v>
      </c>
      <c r="E738" s="58" t="s">
        <v>68</v>
      </c>
      <c r="F738" s="58" t="s">
        <v>3844</v>
      </c>
      <c r="G738" s="59">
        <v>46092.0</v>
      </c>
      <c r="H738" s="58" t="s">
        <v>4546</v>
      </c>
      <c r="I738" s="58" t="s">
        <v>97</v>
      </c>
      <c r="J738" s="58" t="s">
        <v>2246</v>
      </c>
      <c r="K738" s="58" t="s">
        <v>3846</v>
      </c>
      <c r="L738" s="58" t="s">
        <v>3847</v>
      </c>
    </row>
    <row r="739" ht="15.75" customHeight="1">
      <c r="A739" s="25" t="s">
        <v>1062</v>
      </c>
      <c r="B739" s="26">
        <v>46112.0</v>
      </c>
      <c r="C739" s="25" t="s">
        <v>965</v>
      </c>
      <c r="D739" s="25" t="s">
        <v>4465</v>
      </c>
      <c r="E739" s="25" t="s">
        <v>156</v>
      </c>
      <c r="F739" s="25" t="s">
        <v>3844</v>
      </c>
      <c r="G739" s="26">
        <v>46161.0</v>
      </c>
      <c r="H739" s="25" t="s">
        <v>4547</v>
      </c>
      <c r="I739" s="25" t="s">
        <v>97</v>
      </c>
      <c r="J739" s="25" t="s">
        <v>2246</v>
      </c>
      <c r="K739" s="25" t="s">
        <v>3846</v>
      </c>
      <c r="L739" s="25" t="s">
        <v>3855</v>
      </c>
    </row>
    <row r="740" ht="15.75" customHeight="1">
      <c r="A740" s="58" t="s">
        <v>276</v>
      </c>
      <c r="B740" s="59">
        <v>46139.0</v>
      </c>
      <c r="C740" s="58" t="s">
        <v>174</v>
      </c>
      <c r="D740" s="58" t="s">
        <v>4465</v>
      </c>
      <c r="E740" s="58" t="s">
        <v>190</v>
      </c>
      <c r="F740" s="58" t="s">
        <v>3857</v>
      </c>
      <c r="G740" s="59">
        <v>46157.0</v>
      </c>
      <c r="H740" s="58" t="s">
        <v>4548</v>
      </c>
      <c r="I740" s="58" t="s">
        <v>3906</v>
      </c>
      <c r="J740" s="58" t="s">
        <v>2247</v>
      </c>
      <c r="K740" s="58" t="s">
        <v>3854</v>
      </c>
      <c r="L740" s="58" t="s">
        <v>3847</v>
      </c>
    </row>
    <row r="741" ht="15.75" customHeight="1">
      <c r="A741" s="25" t="s">
        <v>1064</v>
      </c>
      <c r="B741" s="26">
        <v>46099.0</v>
      </c>
      <c r="C741" s="25" t="s">
        <v>961</v>
      </c>
      <c r="D741" s="25" t="s">
        <v>4465</v>
      </c>
      <c r="E741" s="25" t="s">
        <v>85</v>
      </c>
      <c r="F741" s="25" t="s">
        <v>3844</v>
      </c>
      <c r="G741" s="26">
        <v>46215.0</v>
      </c>
      <c r="H741" s="25" t="s">
        <v>4549</v>
      </c>
      <c r="I741" s="25" t="s">
        <v>97</v>
      </c>
      <c r="J741" s="25" t="s">
        <v>2246</v>
      </c>
      <c r="K741" s="25" t="s">
        <v>3846</v>
      </c>
      <c r="L741" s="25" t="s">
        <v>3851</v>
      </c>
    </row>
    <row r="742" ht="15.75" customHeight="1">
      <c r="A742" s="58" t="s">
        <v>285</v>
      </c>
      <c r="B742" s="59">
        <v>46087.0</v>
      </c>
      <c r="C742" s="58" t="s">
        <v>174</v>
      </c>
      <c r="D742" s="58" t="s">
        <v>4465</v>
      </c>
      <c r="E742" s="58" t="s">
        <v>78</v>
      </c>
      <c r="F742" s="58" t="s">
        <v>3844</v>
      </c>
      <c r="G742" s="59">
        <v>46243.0</v>
      </c>
      <c r="H742" s="58" t="s">
        <v>4550</v>
      </c>
      <c r="I742" s="58" t="s">
        <v>97</v>
      </c>
      <c r="J742" s="58" t="s">
        <v>2246</v>
      </c>
      <c r="K742" s="58" t="s">
        <v>3846</v>
      </c>
      <c r="L742" s="58" t="s">
        <v>3851</v>
      </c>
    </row>
    <row r="743" ht="15.75" customHeight="1">
      <c r="A743" s="25" t="s">
        <v>532</v>
      </c>
      <c r="B743" s="26">
        <v>46040.0</v>
      </c>
      <c r="C743" s="25" t="s">
        <v>448</v>
      </c>
      <c r="D743" s="25" t="s">
        <v>4465</v>
      </c>
      <c r="E743" s="25" t="s">
        <v>162</v>
      </c>
      <c r="F743" s="25" t="s">
        <v>3913</v>
      </c>
      <c r="G743" s="26">
        <v>46059.0</v>
      </c>
      <c r="H743" s="25" t="s">
        <v>4551</v>
      </c>
      <c r="I743" s="25" t="s">
        <v>97</v>
      </c>
      <c r="J743" s="25" t="s">
        <v>2247</v>
      </c>
      <c r="K743" s="25" t="s">
        <v>3881</v>
      </c>
      <c r="L743" s="25" t="s">
        <v>3855</v>
      </c>
    </row>
    <row r="744" ht="15.75" customHeight="1">
      <c r="A744" s="58" t="s">
        <v>1065</v>
      </c>
      <c r="B744" s="59">
        <v>46134.0</v>
      </c>
      <c r="C744" s="58" t="s">
        <v>980</v>
      </c>
      <c r="D744" s="58" t="s">
        <v>4465</v>
      </c>
      <c r="E744" s="58" t="s">
        <v>85</v>
      </c>
      <c r="F744" s="58" t="s">
        <v>3844</v>
      </c>
      <c r="G744" s="59">
        <v>46207.0</v>
      </c>
      <c r="H744" s="58" t="s">
        <v>4552</v>
      </c>
      <c r="I744" s="58" t="s">
        <v>97</v>
      </c>
      <c r="J744" s="58" t="s">
        <v>2246</v>
      </c>
      <c r="K744" s="58" t="s">
        <v>3846</v>
      </c>
      <c r="L744" s="58" t="s">
        <v>3855</v>
      </c>
    </row>
    <row r="745" ht="15.75" customHeight="1">
      <c r="A745" s="25" t="s">
        <v>946</v>
      </c>
      <c r="B745" s="26">
        <v>46045.0</v>
      </c>
      <c r="C745" s="25" t="s">
        <v>873</v>
      </c>
      <c r="D745" s="25" t="s">
        <v>4465</v>
      </c>
      <c r="E745" s="25" t="s">
        <v>78</v>
      </c>
      <c r="F745" s="25" t="s">
        <v>3844</v>
      </c>
      <c r="G745" s="26">
        <v>46071.0</v>
      </c>
      <c r="H745" s="25" t="s">
        <v>4553</v>
      </c>
      <c r="I745" s="25" t="s">
        <v>97</v>
      </c>
      <c r="J745" s="25" t="s">
        <v>2246</v>
      </c>
      <c r="K745" s="25" t="s">
        <v>3846</v>
      </c>
      <c r="L745" s="25" t="s">
        <v>3851</v>
      </c>
    </row>
    <row r="746" ht="15.75" customHeight="1">
      <c r="A746" s="58" t="s">
        <v>1066</v>
      </c>
      <c r="B746" s="59">
        <v>46079.0</v>
      </c>
      <c r="C746" s="58" t="s">
        <v>961</v>
      </c>
      <c r="D746" s="58" t="s">
        <v>4465</v>
      </c>
      <c r="E746" s="58" t="s">
        <v>154</v>
      </c>
      <c r="F746" s="58" t="s">
        <v>3844</v>
      </c>
      <c r="G746" s="59">
        <v>46142.0</v>
      </c>
      <c r="H746" s="58" t="s">
        <v>4554</v>
      </c>
      <c r="I746" s="58" t="s">
        <v>97</v>
      </c>
      <c r="J746" s="58" t="s">
        <v>2246</v>
      </c>
      <c r="K746" s="58" t="s">
        <v>3846</v>
      </c>
      <c r="L746" s="58" t="s">
        <v>3851</v>
      </c>
    </row>
    <row r="747" ht="15.75" customHeight="1">
      <c r="A747" s="25" t="s">
        <v>1067</v>
      </c>
      <c r="B747" s="26">
        <v>46088.0</v>
      </c>
      <c r="C747" s="25" t="s">
        <v>965</v>
      </c>
      <c r="D747" s="25" t="s">
        <v>4465</v>
      </c>
      <c r="E747" s="25" t="s">
        <v>85</v>
      </c>
      <c r="F747" s="25" t="s">
        <v>3844</v>
      </c>
      <c r="G747" s="26">
        <v>46070.0</v>
      </c>
      <c r="H747" s="25"/>
      <c r="I747" s="25" t="s">
        <v>97</v>
      </c>
      <c r="J747" s="25" t="s">
        <v>2247</v>
      </c>
      <c r="K747" s="25" t="s">
        <v>3848</v>
      </c>
      <c r="L747" s="25" t="s">
        <v>3847</v>
      </c>
    </row>
    <row r="748" ht="15.75" customHeight="1">
      <c r="A748" s="58" t="s">
        <v>534</v>
      </c>
      <c r="B748" s="59">
        <v>46131.0</v>
      </c>
      <c r="C748" s="58" t="s">
        <v>448</v>
      </c>
      <c r="D748" s="58" t="s">
        <v>4465</v>
      </c>
      <c r="E748" s="58" t="s">
        <v>81</v>
      </c>
      <c r="F748" s="58" t="s">
        <v>3844</v>
      </c>
      <c r="G748" s="59">
        <v>46251.0</v>
      </c>
      <c r="H748" s="58" t="s">
        <v>4555</v>
      </c>
      <c r="I748" s="58" t="s">
        <v>97</v>
      </c>
      <c r="J748" s="58" t="s">
        <v>2246</v>
      </c>
      <c r="K748" s="58" t="s">
        <v>3846</v>
      </c>
      <c r="L748" s="58" t="s">
        <v>3847</v>
      </c>
    </row>
    <row r="749" ht="15.75" customHeight="1">
      <c r="A749" s="25" t="s">
        <v>1073</v>
      </c>
      <c r="B749" s="26">
        <v>46113.0</v>
      </c>
      <c r="C749" s="25" t="s">
        <v>961</v>
      </c>
      <c r="D749" s="25" t="s">
        <v>4465</v>
      </c>
      <c r="E749" s="25" t="s">
        <v>190</v>
      </c>
      <c r="F749" s="25" t="s">
        <v>3844</v>
      </c>
      <c r="G749" s="26">
        <v>46242.0</v>
      </c>
      <c r="H749" s="25" t="s">
        <v>4556</v>
      </c>
      <c r="I749" s="25" t="s">
        <v>97</v>
      </c>
      <c r="J749" s="25" t="s">
        <v>2246</v>
      </c>
      <c r="K749" s="25" t="s">
        <v>3846</v>
      </c>
      <c r="L749" s="25" t="s">
        <v>3851</v>
      </c>
    </row>
    <row r="750" ht="15.75" customHeight="1">
      <c r="A750" s="58" t="s">
        <v>948</v>
      </c>
      <c r="B750" s="59">
        <v>46132.0</v>
      </c>
      <c r="C750" s="58" t="s">
        <v>864</v>
      </c>
      <c r="D750" s="58" t="s">
        <v>4465</v>
      </c>
      <c r="E750" s="58" t="s">
        <v>92</v>
      </c>
      <c r="F750" s="58" t="s">
        <v>3879</v>
      </c>
      <c r="G750" s="59">
        <v>46149.0</v>
      </c>
      <c r="H750" s="58" t="s">
        <v>4557</v>
      </c>
      <c r="I750" s="58" t="s">
        <v>97</v>
      </c>
      <c r="J750" s="58" t="s">
        <v>2247</v>
      </c>
      <c r="K750" s="58" t="s">
        <v>3881</v>
      </c>
      <c r="L750" s="58" t="s">
        <v>3847</v>
      </c>
    </row>
    <row r="751" ht="15.75" customHeight="1">
      <c r="A751" s="25" t="s">
        <v>571</v>
      </c>
      <c r="B751" s="26">
        <v>46137.0</v>
      </c>
      <c r="C751" s="25" t="s">
        <v>873</v>
      </c>
      <c r="D751" s="25" t="s">
        <v>4465</v>
      </c>
      <c r="E751" s="25" t="s">
        <v>110</v>
      </c>
      <c r="F751" s="25" t="s">
        <v>3844</v>
      </c>
      <c r="G751" s="26">
        <v>46151.0</v>
      </c>
      <c r="H751" s="25" t="s">
        <v>4558</v>
      </c>
      <c r="I751" s="25" t="s">
        <v>97</v>
      </c>
      <c r="J751" s="25" t="s">
        <v>2246</v>
      </c>
      <c r="K751" s="25" t="s">
        <v>3846</v>
      </c>
      <c r="L751" s="25" t="s">
        <v>3855</v>
      </c>
    </row>
    <row r="752" ht="15.75" customHeight="1">
      <c r="A752" s="58" t="s">
        <v>163</v>
      </c>
      <c r="B752" s="59">
        <v>46063.0</v>
      </c>
      <c r="C752" s="58" t="s">
        <v>164</v>
      </c>
      <c r="D752" s="58" t="s">
        <v>4559</v>
      </c>
      <c r="E752" s="58" t="s">
        <v>71</v>
      </c>
      <c r="F752" s="58" t="s">
        <v>3857</v>
      </c>
      <c r="G752" s="59">
        <v>46110.0</v>
      </c>
      <c r="H752" s="58" t="s">
        <v>4560</v>
      </c>
      <c r="I752" s="58" t="s">
        <v>97</v>
      </c>
      <c r="J752" s="58" t="s">
        <v>2246</v>
      </c>
      <c r="K752" s="58" t="s">
        <v>3846</v>
      </c>
      <c r="L752" s="58" t="s">
        <v>3847</v>
      </c>
    </row>
    <row r="753" ht="15.75" customHeight="1">
      <c r="A753" s="25" t="s">
        <v>290</v>
      </c>
      <c r="B753" s="26">
        <v>46100.0</v>
      </c>
      <c r="C753" s="25" t="s">
        <v>291</v>
      </c>
      <c r="D753" s="25" t="s">
        <v>4559</v>
      </c>
      <c r="E753" s="25" t="s">
        <v>154</v>
      </c>
      <c r="F753" s="25" t="s">
        <v>3844</v>
      </c>
      <c r="G753" s="26">
        <v>46179.0</v>
      </c>
      <c r="H753" s="25" t="s">
        <v>4561</v>
      </c>
      <c r="I753" s="25" t="s">
        <v>97</v>
      </c>
      <c r="J753" s="25" t="s">
        <v>2246</v>
      </c>
      <c r="K753" s="25" t="s">
        <v>3846</v>
      </c>
      <c r="L753" s="25" t="s">
        <v>3851</v>
      </c>
    </row>
    <row r="754" ht="15.75" customHeight="1">
      <c r="A754" s="58" t="s">
        <v>76</v>
      </c>
      <c r="B754" s="59">
        <v>46105.0</v>
      </c>
      <c r="C754" s="58" t="s">
        <v>77</v>
      </c>
      <c r="D754" s="58" t="s">
        <v>4559</v>
      </c>
      <c r="E754" s="58" t="s">
        <v>78</v>
      </c>
      <c r="F754" s="58" t="s">
        <v>3844</v>
      </c>
      <c r="G754" s="59">
        <v>46159.0</v>
      </c>
      <c r="H754" s="58" t="s">
        <v>4562</v>
      </c>
      <c r="I754" s="58" t="s">
        <v>97</v>
      </c>
      <c r="J754" s="58" t="s">
        <v>2246</v>
      </c>
      <c r="K754" s="58" t="s">
        <v>3846</v>
      </c>
      <c r="L754" s="58" t="s">
        <v>3847</v>
      </c>
    </row>
    <row r="755" ht="15.75" customHeight="1">
      <c r="A755" s="25" t="s">
        <v>306</v>
      </c>
      <c r="B755" s="26">
        <v>46109.0</v>
      </c>
      <c r="C755" s="25" t="s">
        <v>291</v>
      </c>
      <c r="D755" s="25" t="s">
        <v>4559</v>
      </c>
      <c r="E755" s="25" t="s">
        <v>78</v>
      </c>
      <c r="F755" s="25" t="s">
        <v>3844</v>
      </c>
      <c r="G755" s="26">
        <v>46101.0</v>
      </c>
      <c r="H755" s="25" t="s">
        <v>4563</v>
      </c>
      <c r="I755" s="25" t="s">
        <v>97</v>
      </c>
      <c r="J755" s="25" t="s">
        <v>2246</v>
      </c>
      <c r="K755" s="25" t="s">
        <v>3846</v>
      </c>
      <c r="L755" s="25" t="s">
        <v>3847</v>
      </c>
    </row>
    <row r="756" ht="15.75" customHeight="1">
      <c r="A756" s="58" t="s">
        <v>183</v>
      </c>
      <c r="B756" s="59">
        <v>46064.0</v>
      </c>
      <c r="C756" s="58" t="s">
        <v>184</v>
      </c>
      <c r="D756" s="58" t="s">
        <v>4559</v>
      </c>
      <c r="E756" s="58" t="s">
        <v>162</v>
      </c>
      <c r="F756" s="58" t="s">
        <v>3844</v>
      </c>
      <c r="G756" s="59">
        <v>46211.0</v>
      </c>
      <c r="H756" s="58" t="s">
        <v>4564</v>
      </c>
      <c r="I756" s="58" t="s">
        <v>97</v>
      </c>
      <c r="J756" s="58" t="s">
        <v>2246</v>
      </c>
      <c r="K756" s="58" t="s">
        <v>3846</v>
      </c>
      <c r="L756" s="58" t="s">
        <v>3851</v>
      </c>
    </row>
    <row r="757" ht="15.75" customHeight="1">
      <c r="A757" s="25" t="s">
        <v>867</v>
      </c>
      <c r="B757" s="26">
        <v>46076.0</v>
      </c>
      <c r="C757" s="25" t="s">
        <v>868</v>
      </c>
      <c r="D757" s="25" t="s">
        <v>4559</v>
      </c>
      <c r="E757" s="25" t="s">
        <v>156</v>
      </c>
      <c r="F757" s="25" t="s">
        <v>3844</v>
      </c>
      <c r="G757" s="26">
        <v>46175.0</v>
      </c>
      <c r="H757" s="25" t="s">
        <v>4565</v>
      </c>
      <c r="I757" s="25" t="s">
        <v>97</v>
      </c>
      <c r="J757" s="25" t="s">
        <v>2246</v>
      </c>
      <c r="K757" s="25" t="s">
        <v>3846</v>
      </c>
      <c r="L757" s="25" t="s">
        <v>3855</v>
      </c>
    </row>
    <row r="758" ht="15.75" customHeight="1">
      <c r="A758" s="58" t="s">
        <v>869</v>
      </c>
      <c r="B758" s="59">
        <v>46130.0</v>
      </c>
      <c r="C758" s="58" t="s">
        <v>868</v>
      </c>
      <c r="D758" s="58" t="s">
        <v>4559</v>
      </c>
      <c r="E758" s="58" t="s">
        <v>78</v>
      </c>
      <c r="F758" s="58" t="s">
        <v>3844</v>
      </c>
      <c r="G758" s="59">
        <v>46142.0</v>
      </c>
      <c r="H758" s="58" t="s">
        <v>4566</v>
      </c>
      <c r="I758" s="58" t="s">
        <v>97</v>
      </c>
      <c r="J758" s="58" t="s">
        <v>2246</v>
      </c>
      <c r="K758" s="58" t="s">
        <v>3846</v>
      </c>
      <c r="L758" s="58" t="s">
        <v>3847</v>
      </c>
    </row>
    <row r="759" ht="15.75" customHeight="1">
      <c r="A759" s="25" t="s">
        <v>188</v>
      </c>
      <c r="B759" s="26">
        <v>46105.0</v>
      </c>
      <c r="C759" s="25" t="s">
        <v>189</v>
      </c>
      <c r="D759" s="25" t="s">
        <v>4559</v>
      </c>
      <c r="E759" s="25" t="s">
        <v>190</v>
      </c>
      <c r="F759" s="25" t="s">
        <v>3844</v>
      </c>
      <c r="G759" s="26">
        <v>46171.0</v>
      </c>
      <c r="H759" s="25" t="s">
        <v>4567</v>
      </c>
      <c r="I759" s="25" t="s">
        <v>97</v>
      </c>
      <c r="J759" s="25" t="s">
        <v>2246</v>
      </c>
      <c r="K759" s="25" t="s">
        <v>3846</v>
      </c>
      <c r="L759" s="25" t="s">
        <v>3855</v>
      </c>
    </row>
    <row r="760" ht="15.75" customHeight="1">
      <c r="A760" s="58" t="s">
        <v>726</v>
      </c>
      <c r="B760" s="59">
        <v>46028.0</v>
      </c>
      <c r="C760" s="58" t="s">
        <v>727</v>
      </c>
      <c r="D760" s="58" t="s">
        <v>4559</v>
      </c>
      <c r="E760" s="58" t="s">
        <v>64</v>
      </c>
      <c r="F760" s="58" t="s">
        <v>3844</v>
      </c>
      <c r="G760" s="59">
        <v>46077.0</v>
      </c>
      <c r="H760" s="58" t="s">
        <v>4568</v>
      </c>
      <c r="I760" s="58" t="s">
        <v>97</v>
      </c>
      <c r="J760" s="58" t="s">
        <v>2246</v>
      </c>
      <c r="K760" s="58" t="s">
        <v>3846</v>
      </c>
      <c r="L760" s="58" t="s">
        <v>3851</v>
      </c>
    </row>
    <row r="761" ht="15.75" customHeight="1">
      <c r="A761" s="25" t="s">
        <v>191</v>
      </c>
      <c r="B761" s="26">
        <v>46084.0</v>
      </c>
      <c r="C761" s="25" t="s">
        <v>184</v>
      </c>
      <c r="D761" s="25" t="s">
        <v>4559</v>
      </c>
      <c r="E761" s="25" t="s">
        <v>90</v>
      </c>
      <c r="F761" s="25" t="s">
        <v>3844</v>
      </c>
      <c r="G761" s="26">
        <v>46077.0</v>
      </c>
      <c r="H761" s="25" t="s">
        <v>4569</v>
      </c>
      <c r="I761" s="25" t="s">
        <v>97</v>
      </c>
      <c r="J761" s="25" t="s">
        <v>2246</v>
      </c>
      <c r="K761" s="25" t="s">
        <v>3846</v>
      </c>
      <c r="L761" s="25" t="s">
        <v>3851</v>
      </c>
    </row>
    <row r="762" ht="15.75" customHeight="1">
      <c r="A762" s="58" t="s">
        <v>737</v>
      </c>
      <c r="B762" s="59">
        <v>46123.0</v>
      </c>
      <c r="C762" s="58" t="s">
        <v>727</v>
      </c>
      <c r="D762" s="58" t="s">
        <v>4559</v>
      </c>
      <c r="E762" s="58" t="s">
        <v>106</v>
      </c>
      <c r="F762" s="58" t="s">
        <v>3879</v>
      </c>
      <c r="G762" s="59">
        <v>46269.0</v>
      </c>
      <c r="H762" s="58" t="s">
        <v>4570</v>
      </c>
      <c r="I762" s="58" t="s">
        <v>97</v>
      </c>
      <c r="J762" s="58" t="s">
        <v>2247</v>
      </c>
      <c r="K762" s="58" t="s">
        <v>3881</v>
      </c>
      <c r="L762" s="58" t="s">
        <v>3855</v>
      </c>
    </row>
    <row r="763" ht="15.75" customHeight="1">
      <c r="A763" s="25" t="s">
        <v>193</v>
      </c>
      <c r="B763" s="26">
        <v>46108.0</v>
      </c>
      <c r="C763" s="25" t="s">
        <v>189</v>
      </c>
      <c r="D763" s="25" t="s">
        <v>4559</v>
      </c>
      <c r="E763" s="25" t="s">
        <v>106</v>
      </c>
      <c r="F763" s="25" t="s">
        <v>3844</v>
      </c>
      <c r="G763" s="26">
        <v>46112.0</v>
      </c>
      <c r="H763" s="25" t="s">
        <v>4571</v>
      </c>
      <c r="I763" s="25" t="s">
        <v>97</v>
      </c>
      <c r="J763" s="25" t="s">
        <v>2246</v>
      </c>
      <c r="K763" s="25" t="s">
        <v>3846</v>
      </c>
      <c r="L763" s="25" t="s">
        <v>3847</v>
      </c>
    </row>
    <row r="764" ht="15.75" customHeight="1">
      <c r="A764" s="58" t="s">
        <v>878</v>
      </c>
      <c r="B764" s="59">
        <v>46083.0</v>
      </c>
      <c r="C764" s="58" t="s">
        <v>879</v>
      </c>
      <c r="D764" s="58" t="s">
        <v>4559</v>
      </c>
      <c r="E764" s="58" t="s">
        <v>81</v>
      </c>
      <c r="F764" s="58" t="s">
        <v>3844</v>
      </c>
      <c r="G764" s="59">
        <v>46098.0</v>
      </c>
      <c r="H764" s="58" t="s">
        <v>4572</v>
      </c>
      <c r="I764" s="58" t="s">
        <v>97</v>
      </c>
      <c r="J764" s="58" t="s">
        <v>2246</v>
      </c>
      <c r="K764" s="58" t="s">
        <v>3846</v>
      </c>
      <c r="L764" s="58" t="s">
        <v>3851</v>
      </c>
    </row>
    <row r="765" ht="15.75" customHeight="1">
      <c r="A765" s="25" t="s">
        <v>196</v>
      </c>
      <c r="B765" s="26">
        <v>46115.0</v>
      </c>
      <c r="C765" s="25" t="s">
        <v>189</v>
      </c>
      <c r="D765" s="25" t="s">
        <v>4559</v>
      </c>
      <c r="E765" s="25" t="s">
        <v>81</v>
      </c>
      <c r="F765" s="25" t="s">
        <v>3844</v>
      </c>
      <c r="G765" s="26">
        <v>46152.0</v>
      </c>
      <c r="H765" s="25" t="s">
        <v>4573</v>
      </c>
      <c r="I765" s="25" t="s">
        <v>97</v>
      </c>
      <c r="J765" s="25" t="s">
        <v>2246</v>
      </c>
      <c r="K765" s="25" t="s">
        <v>3846</v>
      </c>
      <c r="L765" s="25" t="s">
        <v>3847</v>
      </c>
    </row>
    <row r="766" ht="15.75" customHeight="1">
      <c r="A766" s="58" t="s">
        <v>96</v>
      </c>
      <c r="B766" s="59">
        <v>46125.0</v>
      </c>
      <c r="C766" s="58" t="s">
        <v>77</v>
      </c>
      <c r="D766" s="58" t="s">
        <v>4559</v>
      </c>
      <c r="E766" s="58" t="s">
        <v>78</v>
      </c>
      <c r="F766" s="58" t="s">
        <v>3844</v>
      </c>
      <c r="G766" s="59">
        <v>46214.0</v>
      </c>
      <c r="H766" s="58" t="s">
        <v>4574</v>
      </c>
      <c r="I766" s="58" t="s">
        <v>97</v>
      </c>
      <c r="J766" s="58" t="s">
        <v>2246</v>
      </c>
      <c r="K766" s="58" t="s">
        <v>3846</v>
      </c>
      <c r="L766" s="58" t="s">
        <v>3847</v>
      </c>
    </row>
    <row r="767" ht="15.75" customHeight="1">
      <c r="A767" s="25" t="s">
        <v>743</v>
      </c>
      <c r="B767" s="26">
        <v>46031.0</v>
      </c>
      <c r="C767" s="25" t="s">
        <v>727</v>
      </c>
      <c r="D767" s="25" t="s">
        <v>4559</v>
      </c>
      <c r="E767" s="25" t="s">
        <v>123</v>
      </c>
      <c r="F767" s="25" t="s">
        <v>3844</v>
      </c>
      <c r="G767" s="26">
        <v>46182.0</v>
      </c>
      <c r="H767" s="25" t="s">
        <v>4575</v>
      </c>
      <c r="I767" s="25" t="s">
        <v>97</v>
      </c>
      <c r="J767" s="25" t="s">
        <v>2246</v>
      </c>
      <c r="K767" s="25" t="s">
        <v>3846</v>
      </c>
      <c r="L767" s="25" t="s">
        <v>3847</v>
      </c>
    </row>
    <row r="768" ht="15.75" customHeight="1">
      <c r="A768" s="58" t="s">
        <v>883</v>
      </c>
      <c r="B768" s="59">
        <v>46081.0</v>
      </c>
      <c r="C768" s="58" t="s">
        <v>868</v>
      </c>
      <c r="D768" s="58" t="s">
        <v>4559</v>
      </c>
      <c r="E768" s="58" t="s">
        <v>68</v>
      </c>
      <c r="F768" s="58" t="s">
        <v>3844</v>
      </c>
      <c r="G768" s="59">
        <v>46106.0</v>
      </c>
      <c r="H768" s="58"/>
      <c r="I768" s="58" t="s">
        <v>97</v>
      </c>
      <c r="J768" s="58" t="s">
        <v>2247</v>
      </c>
      <c r="K768" s="58" t="s">
        <v>3848</v>
      </c>
      <c r="L768" s="58" t="s">
        <v>3851</v>
      </c>
    </row>
    <row r="769" ht="15.75" customHeight="1">
      <c r="A769" s="25" t="s">
        <v>755</v>
      </c>
      <c r="B769" s="26">
        <v>46025.0</v>
      </c>
      <c r="C769" s="25" t="s">
        <v>727</v>
      </c>
      <c r="D769" s="25" t="s">
        <v>4559</v>
      </c>
      <c r="E769" s="25" t="s">
        <v>74</v>
      </c>
      <c r="F769" s="25" t="s">
        <v>3857</v>
      </c>
      <c r="G769" s="26">
        <v>46137.0</v>
      </c>
      <c r="H769" s="25" t="s">
        <v>4576</v>
      </c>
      <c r="I769" s="25" t="s">
        <v>97</v>
      </c>
      <c r="J769" s="25" t="s">
        <v>2246</v>
      </c>
      <c r="K769" s="25" t="s">
        <v>3846</v>
      </c>
      <c r="L769" s="25" t="s">
        <v>3847</v>
      </c>
    </row>
    <row r="770" ht="15.75" customHeight="1">
      <c r="A770" s="58" t="s">
        <v>203</v>
      </c>
      <c r="B770" s="59">
        <v>46068.0</v>
      </c>
      <c r="C770" s="58" t="s">
        <v>189</v>
      </c>
      <c r="D770" s="58" t="s">
        <v>4559</v>
      </c>
      <c r="E770" s="58" t="s">
        <v>123</v>
      </c>
      <c r="F770" s="58" t="s">
        <v>3844</v>
      </c>
      <c r="G770" s="59">
        <v>46100.0</v>
      </c>
      <c r="H770" s="58" t="s">
        <v>4577</v>
      </c>
      <c r="I770" s="58" t="s">
        <v>97</v>
      </c>
      <c r="J770" s="58" t="s">
        <v>2246</v>
      </c>
      <c r="K770" s="58" t="s">
        <v>3846</v>
      </c>
      <c r="L770" s="58" t="s">
        <v>3851</v>
      </c>
    </row>
    <row r="771" ht="15.75" customHeight="1">
      <c r="A771" s="25" t="s">
        <v>888</v>
      </c>
      <c r="B771" s="26">
        <v>46136.0</v>
      </c>
      <c r="C771" s="25" t="s">
        <v>879</v>
      </c>
      <c r="D771" s="25" t="s">
        <v>4559</v>
      </c>
      <c r="E771" s="25" t="s">
        <v>68</v>
      </c>
      <c r="F771" s="25" t="s">
        <v>3844</v>
      </c>
      <c r="G771" s="26">
        <v>46240.0</v>
      </c>
      <c r="H771" s="25" t="s">
        <v>4578</v>
      </c>
      <c r="I771" s="25" t="s">
        <v>97</v>
      </c>
      <c r="J771" s="25" t="s">
        <v>2246</v>
      </c>
      <c r="K771" s="25" t="s">
        <v>3846</v>
      </c>
      <c r="L771" s="25" t="s">
        <v>3855</v>
      </c>
    </row>
    <row r="772" ht="15.75" customHeight="1">
      <c r="A772" s="58" t="s">
        <v>998</v>
      </c>
      <c r="B772" s="59">
        <v>46041.0</v>
      </c>
      <c r="C772" s="58" t="s">
        <v>999</v>
      </c>
      <c r="D772" s="58" t="s">
        <v>4559</v>
      </c>
      <c r="E772" s="58" t="s">
        <v>106</v>
      </c>
      <c r="F772" s="58" t="s">
        <v>3844</v>
      </c>
      <c r="G772" s="59">
        <v>46107.0</v>
      </c>
      <c r="H772" s="58" t="s">
        <v>4579</v>
      </c>
      <c r="I772" s="58" t="s">
        <v>97</v>
      </c>
      <c r="J772" s="58" t="s">
        <v>2246</v>
      </c>
      <c r="K772" s="58" t="s">
        <v>3846</v>
      </c>
      <c r="L772" s="58" t="s">
        <v>3847</v>
      </c>
    </row>
    <row r="773" ht="15.75" customHeight="1">
      <c r="A773" s="25" t="s">
        <v>766</v>
      </c>
      <c r="B773" s="26">
        <v>46046.0</v>
      </c>
      <c r="C773" s="25" t="s">
        <v>727</v>
      </c>
      <c r="D773" s="25" t="s">
        <v>4559</v>
      </c>
      <c r="E773" s="25" t="s">
        <v>81</v>
      </c>
      <c r="F773" s="25" t="s">
        <v>3844</v>
      </c>
      <c r="G773" s="26">
        <v>46061.0</v>
      </c>
      <c r="H773" s="25" t="s">
        <v>4580</v>
      </c>
      <c r="I773" s="25" t="s">
        <v>97</v>
      </c>
      <c r="J773" s="25" t="s">
        <v>2246</v>
      </c>
      <c r="K773" s="25" t="s">
        <v>3846</v>
      </c>
      <c r="L773" s="25" t="s">
        <v>3847</v>
      </c>
    </row>
    <row r="774" ht="15.75" customHeight="1">
      <c r="A774" s="58" t="s">
        <v>212</v>
      </c>
      <c r="B774" s="59">
        <v>46032.0</v>
      </c>
      <c r="C774" s="58" t="s">
        <v>189</v>
      </c>
      <c r="D774" s="58" t="s">
        <v>4559</v>
      </c>
      <c r="E774" s="58" t="s">
        <v>190</v>
      </c>
      <c r="F774" s="58" t="s">
        <v>3844</v>
      </c>
      <c r="G774" s="59">
        <v>46169.0</v>
      </c>
      <c r="H774" s="58" t="s">
        <v>4581</v>
      </c>
      <c r="I774" s="58" t="s">
        <v>97</v>
      </c>
      <c r="J774" s="58" t="s">
        <v>2246</v>
      </c>
      <c r="K774" s="58" t="s">
        <v>3846</v>
      </c>
      <c r="L774" s="58" t="s">
        <v>3855</v>
      </c>
    </row>
    <row r="775" ht="15.75" customHeight="1">
      <c r="A775" s="25" t="s">
        <v>894</v>
      </c>
      <c r="B775" s="26">
        <v>46050.0</v>
      </c>
      <c r="C775" s="25" t="s">
        <v>868</v>
      </c>
      <c r="D775" s="25" t="s">
        <v>4559</v>
      </c>
      <c r="E775" s="25" t="s">
        <v>106</v>
      </c>
      <c r="F775" s="25" t="s">
        <v>3844</v>
      </c>
      <c r="G775" s="26">
        <v>46135.0</v>
      </c>
      <c r="H775" s="25" t="s">
        <v>4582</v>
      </c>
      <c r="I775" s="25" t="s">
        <v>97</v>
      </c>
      <c r="J775" s="25" t="s">
        <v>2246</v>
      </c>
      <c r="K775" s="25" t="s">
        <v>3846</v>
      </c>
      <c r="L775" s="25" t="s">
        <v>3847</v>
      </c>
    </row>
    <row r="776" ht="15.75" customHeight="1">
      <c r="A776" s="58" t="s">
        <v>113</v>
      </c>
      <c r="B776" s="59">
        <v>46048.0</v>
      </c>
      <c r="C776" s="58" t="s">
        <v>114</v>
      </c>
      <c r="D776" s="58" t="s">
        <v>4559</v>
      </c>
      <c r="E776" s="58" t="s">
        <v>115</v>
      </c>
      <c r="F776" s="58" t="s">
        <v>3844</v>
      </c>
      <c r="G776" s="59">
        <v>46043.0</v>
      </c>
      <c r="H776" s="58"/>
      <c r="I776" s="58" t="s">
        <v>97</v>
      </c>
      <c r="J776" s="58" t="s">
        <v>2247</v>
      </c>
      <c r="K776" s="58" t="s">
        <v>3848</v>
      </c>
      <c r="L776" s="58" t="s">
        <v>3855</v>
      </c>
    </row>
    <row r="777" ht="15.75" customHeight="1">
      <c r="A777" s="25" t="s">
        <v>216</v>
      </c>
      <c r="B777" s="26">
        <v>46037.0</v>
      </c>
      <c r="C777" s="25" t="s">
        <v>184</v>
      </c>
      <c r="D777" s="25" t="s">
        <v>4559</v>
      </c>
      <c r="E777" s="25" t="s">
        <v>156</v>
      </c>
      <c r="F777" s="25" t="s">
        <v>3844</v>
      </c>
      <c r="G777" s="26">
        <v>46192.0</v>
      </c>
      <c r="H777" s="25"/>
      <c r="I777" s="25" t="s">
        <v>97</v>
      </c>
      <c r="J777" s="25" t="s">
        <v>2247</v>
      </c>
      <c r="K777" s="25" t="s">
        <v>3848</v>
      </c>
      <c r="L777" s="25" t="s">
        <v>3847</v>
      </c>
    </row>
    <row r="778" ht="15.75" customHeight="1">
      <c r="A778" s="58" t="s">
        <v>117</v>
      </c>
      <c r="B778" s="59">
        <v>46050.0</v>
      </c>
      <c r="C778" s="58" t="s">
        <v>114</v>
      </c>
      <c r="D778" s="58" t="s">
        <v>4559</v>
      </c>
      <c r="E778" s="58" t="s">
        <v>68</v>
      </c>
      <c r="F778" s="58" t="s">
        <v>3844</v>
      </c>
      <c r="G778" s="59">
        <v>46080.0</v>
      </c>
      <c r="H778" s="58"/>
      <c r="I778" s="58" t="s">
        <v>97</v>
      </c>
      <c r="J778" s="58" t="s">
        <v>2247</v>
      </c>
      <c r="K778" s="58" t="s">
        <v>3848</v>
      </c>
      <c r="L778" s="58" t="s">
        <v>3855</v>
      </c>
    </row>
    <row r="779" ht="15.75" customHeight="1">
      <c r="A779" s="25" t="s">
        <v>222</v>
      </c>
      <c r="B779" s="26">
        <v>46055.0</v>
      </c>
      <c r="C779" s="25" t="s">
        <v>164</v>
      </c>
      <c r="D779" s="25" t="s">
        <v>4559</v>
      </c>
      <c r="E779" s="25" t="s">
        <v>90</v>
      </c>
      <c r="F779" s="25" t="s">
        <v>3844</v>
      </c>
      <c r="G779" s="26">
        <v>46180.0</v>
      </c>
      <c r="H779" s="25" t="s">
        <v>4583</v>
      </c>
      <c r="I779" s="25" t="s">
        <v>97</v>
      </c>
      <c r="J779" s="25" t="s">
        <v>2246</v>
      </c>
      <c r="K779" s="25" t="s">
        <v>3846</v>
      </c>
      <c r="L779" s="25" t="s">
        <v>3855</v>
      </c>
    </row>
    <row r="780" ht="15.75" customHeight="1">
      <c r="A780" s="58" t="s">
        <v>122</v>
      </c>
      <c r="B780" s="59">
        <v>46080.0</v>
      </c>
      <c r="C780" s="58" t="s">
        <v>114</v>
      </c>
      <c r="D780" s="58" t="s">
        <v>4559</v>
      </c>
      <c r="E780" s="58" t="s">
        <v>123</v>
      </c>
      <c r="F780" s="58" t="s">
        <v>3857</v>
      </c>
      <c r="G780" s="59">
        <v>46196.0</v>
      </c>
      <c r="H780" s="58" t="s">
        <v>4584</v>
      </c>
      <c r="I780" s="58" t="s">
        <v>97</v>
      </c>
      <c r="J780" s="58" t="s">
        <v>2246</v>
      </c>
      <c r="K780" s="58" t="s">
        <v>3846</v>
      </c>
      <c r="L780" s="58" t="s">
        <v>3851</v>
      </c>
    </row>
    <row r="781" ht="15.75" customHeight="1">
      <c r="A781" s="25" t="s">
        <v>1011</v>
      </c>
      <c r="B781" s="26">
        <v>46068.0</v>
      </c>
      <c r="C781" s="25" t="s">
        <v>999</v>
      </c>
      <c r="D781" s="25" t="s">
        <v>4559</v>
      </c>
      <c r="E781" s="25" t="s">
        <v>106</v>
      </c>
      <c r="F781" s="25" t="s">
        <v>3844</v>
      </c>
      <c r="G781" s="26">
        <v>46116.0</v>
      </c>
      <c r="H781" s="25" t="s">
        <v>4585</v>
      </c>
      <c r="I781" s="25" t="s">
        <v>97</v>
      </c>
      <c r="J781" s="25" t="s">
        <v>2246</v>
      </c>
      <c r="K781" s="25" t="s">
        <v>3846</v>
      </c>
      <c r="L781" s="25" t="s">
        <v>3851</v>
      </c>
    </row>
    <row r="782" ht="15.75" customHeight="1">
      <c r="A782" s="58" t="s">
        <v>364</v>
      </c>
      <c r="B782" s="59">
        <v>46075.0</v>
      </c>
      <c r="C782" s="58" t="s">
        <v>291</v>
      </c>
      <c r="D782" s="58" t="s">
        <v>4559</v>
      </c>
      <c r="E782" s="58" t="s">
        <v>162</v>
      </c>
      <c r="F782" s="58" t="s">
        <v>3844</v>
      </c>
      <c r="G782" s="59">
        <v>46142.0</v>
      </c>
      <c r="H782" s="58" t="s">
        <v>4586</v>
      </c>
      <c r="I782" s="58" t="s">
        <v>97</v>
      </c>
      <c r="J782" s="58" t="s">
        <v>2246</v>
      </c>
      <c r="K782" s="58" t="s">
        <v>3846</v>
      </c>
      <c r="L782" s="58" t="s">
        <v>3847</v>
      </c>
    </row>
    <row r="783" ht="15.75" customHeight="1">
      <c r="A783" s="25" t="s">
        <v>232</v>
      </c>
      <c r="B783" s="26">
        <v>46126.0</v>
      </c>
      <c r="C783" s="25" t="s">
        <v>164</v>
      </c>
      <c r="D783" s="25" t="s">
        <v>4559</v>
      </c>
      <c r="E783" s="25" t="s">
        <v>68</v>
      </c>
      <c r="F783" s="25" t="s">
        <v>3844</v>
      </c>
      <c r="G783" s="26">
        <v>46174.0</v>
      </c>
      <c r="H783" s="25" t="s">
        <v>4587</v>
      </c>
      <c r="I783" s="25" t="s">
        <v>97</v>
      </c>
      <c r="J783" s="25" t="s">
        <v>2246</v>
      </c>
      <c r="K783" s="25" t="s">
        <v>3846</v>
      </c>
      <c r="L783" s="25" t="s">
        <v>3855</v>
      </c>
    </row>
    <row r="784" ht="15.75" customHeight="1">
      <c r="A784" s="58" t="s">
        <v>1015</v>
      </c>
      <c r="B784" s="59">
        <v>46140.0</v>
      </c>
      <c r="C784" s="58" t="s">
        <v>999</v>
      </c>
      <c r="D784" s="58" t="s">
        <v>4559</v>
      </c>
      <c r="E784" s="58" t="s">
        <v>71</v>
      </c>
      <c r="F784" s="58" t="s">
        <v>3844</v>
      </c>
      <c r="G784" s="59">
        <v>46237.0</v>
      </c>
      <c r="H784" s="58"/>
      <c r="I784" s="58" t="s">
        <v>97</v>
      </c>
      <c r="J784" s="58" t="s">
        <v>2247</v>
      </c>
      <c r="K784" s="58" t="s">
        <v>3848</v>
      </c>
      <c r="L784" s="58" t="s">
        <v>3851</v>
      </c>
    </row>
    <row r="785" ht="15.75" customHeight="1">
      <c r="A785" s="25" t="s">
        <v>127</v>
      </c>
      <c r="B785" s="26">
        <v>46121.0</v>
      </c>
      <c r="C785" s="25" t="s">
        <v>114</v>
      </c>
      <c r="D785" s="25" t="s">
        <v>4559</v>
      </c>
      <c r="E785" s="25" t="s">
        <v>78</v>
      </c>
      <c r="F785" s="25" t="s">
        <v>3844</v>
      </c>
      <c r="G785" s="26">
        <v>46227.0</v>
      </c>
      <c r="H785" s="25" t="s">
        <v>4588</v>
      </c>
      <c r="I785" s="25" t="s">
        <v>97</v>
      </c>
      <c r="J785" s="25" t="s">
        <v>2246</v>
      </c>
      <c r="K785" s="25" t="s">
        <v>3846</v>
      </c>
      <c r="L785" s="25" t="s">
        <v>3855</v>
      </c>
    </row>
    <row r="786" ht="15.75" customHeight="1">
      <c r="A786" s="58" t="s">
        <v>904</v>
      </c>
      <c r="B786" s="59">
        <v>46074.0</v>
      </c>
      <c r="C786" s="58" t="s">
        <v>879</v>
      </c>
      <c r="D786" s="58" t="s">
        <v>4559</v>
      </c>
      <c r="E786" s="58" t="s">
        <v>81</v>
      </c>
      <c r="F786" s="58" t="s">
        <v>3844</v>
      </c>
      <c r="G786" s="59">
        <v>46070.0</v>
      </c>
      <c r="H786" s="58" t="s">
        <v>4589</v>
      </c>
      <c r="I786" s="58" t="s">
        <v>3906</v>
      </c>
      <c r="J786" s="58" t="s">
        <v>2247</v>
      </c>
      <c r="K786" s="58" t="s">
        <v>3854</v>
      </c>
      <c r="L786" s="58" t="s">
        <v>3851</v>
      </c>
    </row>
    <row r="787" ht="15.75" customHeight="1">
      <c r="A787" s="25" t="s">
        <v>236</v>
      </c>
      <c r="B787" s="26">
        <v>46115.0</v>
      </c>
      <c r="C787" s="25" t="s">
        <v>164</v>
      </c>
      <c r="D787" s="25" t="s">
        <v>4559</v>
      </c>
      <c r="E787" s="25" t="s">
        <v>81</v>
      </c>
      <c r="F787" s="25" t="s">
        <v>3857</v>
      </c>
      <c r="G787" s="26">
        <v>46120.0</v>
      </c>
      <c r="H787" s="25" t="s">
        <v>4590</v>
      </c>
      <c r="I787" s="25" t="s">
        <v>97</v>
      </c>
      <c r="J787" s="25" t="s">
        <v>2246</v>
      </c>
      <c r="K787" s="25" t="s">
        <v>3846</v>
      </c>
      <c r="L787" s="25" t="s">
        <v>3851</v>
      </c>
    </row>
    <row r="788" ht="15.75" customHeight="1">
      <c r="A788" s="58" t="s">
        <v>378</v>
      </c>
      <c r="B788" s="59">
        <v>46127.0</v>
      </c>
      <c r="C788" s="58" t="s">
        <v>291</v>
      </c>
      <c r="D788" s="58" t="s">
        <v>4559</v>
      </c>
      <c r="E788" s="58" t="s">
        <v>106</v>
      </c>
      <c r="F788" s="58" t="s">
        <v>3844</v>
      </c>
      <c r="G788" s="59">
        <v>46232.0</v>
      </c>
      <c r="H788" s="58" t="s">
        <v>4591</v>
      </c>
      <c r="I788" s="58" t="s">
        <v>97</v>
      </c>
      <c r="J788" s="58" t="s">
        <v>2246</v>
      </c>
      <c r="K788" s="58" t="s">
        <v>3846</v>
      </c>
      <c r="L788" s="58" t="s">
        <v>3851</v>
      </c>
    </row>
    <row r="789" ht="15.75" customHeight="1">
      <c r="A789" s="25" t="s">
        <v>1023</v>
      </c>
      <c r="B789" s="26">
        <v>46090.0</v>
      </c>
      <c r="C789" s="25" t="s">
        <v>999</v>
      </c>
      <c r="D789" s="25" t="s">
        <v>4559</v>
      </c>
      <c r="E789" s="25" t="s">
        <v>92</v>
      </c>
      <c r="F789" s="25" t="s">
        <v>3844</v>
      </c>
      <c r="G789" s="26">
        <v>46135.0</v>
      </c>
      <c r="H789" s="25" t="s">
        <v>4592</v>
      </c>
      <c r="I789" s="25" t="s">
        <v>3853</v>
      </c>
      <c r="J789" s="25" t="s">
        <v>2247</v>
      </c>
      <c r="K789" s="25" t="s">
        <v>3854</v>
      </c>
      <c r="L789" s="25" t="s">
        <v>3847</v>
      </c>
    </row>
    <row r="790" ht="15.75" customHeight="1">
      <c r="A790" s="58" t="s">
        <v>238</v>
      </c>
      <c r="B790" s="59">
        <v>46135.0</v>
      </c>
      <c r="C790" s="58" t="s">
        <v>189</v>
      </c>
      <c r="D790" s="58" t="s">
        <v>4559</v>
      </c>
      <c r="E790" s="58" t="s">
        <v>90</v>
      </c>
      <c r="F790" s="58" t="s">
        <v>3844</v>
      </c>
      <c r="G790" s="59">
        <v>46292.0</v>
      </c>
      <c r="H790" s="58" t="s">
        <v>4593</v>
      </c>
      <c r="I790" s="58" t="s">
        <v>97</v>
      </c>
      <c r="J790" s="58" t="s">
        <v>2246</v>
      </c>
      <c r="K790" s="58" t="s">
        <v>3846</v>
      </c>
      <c r="L790" s="58" t="s">
        <v>3851</v>
      </c>
    </row>
    <row r="791" ht="15.75" customHeight="1">
      <c r="A791" s="25" t="s">
        <v>801</v>
      </c>
      <c r="B791" s="26">
        <v>46042.0</v>
      </c>
      <c r="C791" s="25" t="s">
        <v>727</v>
      </c>
      <c r="D791" s="25" t="s">
        <v>4559</v>
      </c>
      <c r="E791" s="25" t="s">
        <v>108</v>
      </c>
      <c r="F791" s="25" t="s">
        <v>3844</v>
      </c>
      <c r="G791" s="26">
        <v>46094.0</v>
      </c>
      <c r="H791" s="25" t="s">
        <v>4594</v>
      </c>
      <c r="I791" s="25" t="s">
        <v>97</v>
      </c>
      <c r="J791" s="25" t="s">
        <v>2246</v>
      </c>
      <c r="K791" s="25" t="s">
        <v>3846</v>
      </c>
      <c r="L791" s="25" t="s">
        <v>3851</v>
      </c>
    </row>
    <row r="792" ht="15.75" customHeight="1">
      <c r="A792" s="58" t="s">
        <v>128</v>
      </c>
      <c r="B792" s="59">
        <v>46116.0</v>
      </c>
      <c r="C792" s="58" t="s">
        <v>77</v>
      </c>
      <c r="D792" s="58" t="s">
        <v>4559</v>
      </c>
      <c r="E792" s="58" t="s">
        <v>123</v>
      </c>
      <c r="F792" s="58" t="s">
        <v>3844</v>
      </c>
      <c r="G792" s="59">
        <v>46232.0</v>
      </c>
      <c r="H792" s="58" t="s">
        <v>4595</v>
      </c>
      <c r="I792" s="58" t="s">
        <v>97</v>
      </c>
      <c r="J792" s="58" t="s">
        <v>2246</v>
      </c>
      <c r="K792" s="58" t="s">
        <v>3846</v>
      </c>
      <c r="L792" s="58" t="s">
        <v>3855</v>
      </c>
    </row>
    <row r="793" ht="15.75" customHeight="1">
      <c r="A793" s="25" t="s">
        <v>132</v>
      </c>
      <c r="B793" s="26">
        <v>46052.0</v>
      </c>
      <c r="C793" s="25" t="s">
        <v>114</v>
      </c>
      <c r="D793" s="25" t="s">
        <v>4559</v>
      </c>
      <c r="E793" s="25" t="s">
        <v>92</v>
      </c>
      <c r="F793" s="25" t="s">
        <v>3844</v>
      </c>
      <c r="G793" s="26">
        <v>46127.0</v>
      </c>
      <c r="H793" s="25" t="s">
        <v>4596</v>
      </c>
      <c r="I793" s="25" t="s">
        <v>3853</v>
      </c>
      <c r="J793" s="25" t="s">
        <v>2247</v>
      </c>
      <c r="K793" s="25" t="s">
        <v>3854</v>
      </c>
      <c r="L793" s="25" t="s">
        <v>3851</v>
      </c>
    </row>
    <row r="794" ht="15.75" customHeight="1">
      <c r="A794" s="58" t="s">
        <v>923</v>
      </c>
      <c r="B794" s="59">
        <v>46083.0</v>
      </c>
      <c r="C794" s="58" t="s">
        <v>868</v>
      </c>
      <c r="D794" s="58" t="s">
        <v>4559</v>
      </c>
      <c r="E794" s="58" t="s">
        <v>85</v>
      </c>
      <c r="F794" s="58" t="s">
        <v>3844</v>
      </c>
      <c r="G794" s="59">
        <v>46106.0</v>
      </c>
      <c r="H794" s="58" t="s">
        <v>4597</v>
      </c>
      <c r="I794" s="58" t="s">
        <v>97</v>
      </c>
      <c r="J794" s="58" t="s">
        <v>2246</v>
      </c>
      <c r="K794" s="58" t="s">
        <v>3846</v>
      </c>
      <c r="L794" s="58" t="s">
        <v>3855</v>
      </c>
    </row>
    <row r="795" ht="15.75" customHeight="1">
      <c r="A795" s="25" t="s">
        <v>393</v>
      </c>
      <c r="B795" s="26">
        <v>46121.0</v>
      </c>
      <c r="C795" s="25" t="s">
        <v>291</v>
      </c>
      <c r="D795" s="25" t="s">
        <v>4559</v>
      </c>
      <c r="E795" s="25" t="s">
        <v>102</v>
      </c>
      <c r="F795" s="25" t="s">
        <v>3857</v>
      </c>
      <c r="G795" s="26">
        <v>46221.0</v>
      </c>
      <c r="H795" s="25" t="s">
        <v>4598</v>
      </c>
      <c r="I795" s="25" t="s">
        <v>97</v>
      </c>
      <c r="J795" s="25" t="s">
        <v>2246</v>
      </c>
      <c r="K795" s="25" t="s">
        <v>3846</v>
      </c>
      <c r="L795" s="25" t="s">
        <v>3855</v>
      </c>
    </row>
    <row r="796" ht="15.75" customHeight="1">
      <c r="A796" s="58" t="s">
        <v>394</v>
      </c>
      <c r="B796" s="59">
        <v>46049.0</v>
      </c>
      <c r="C796" s="58" t="s">
        <v>291</v>
      </c>
      <c r="D796" s="58" t="s">
        <v>4559</v>
      </c>
      <c r="E796" s="58" t="s">
        <v>154</v>
      </c>
      <c r="F796" s="58" t="s">
        <v>3844</v>
      </c>
      <c r="G796" s="59">
        <v>46047.0</v>
      </c>
      <c r="H796" s="58" t="s">
        <v>4599</v>
      </c>
      <c r="I796" s="58" t="s">
        <v>97</v>
      </c>
      <c r="J796" s="58" t="s">
        <v>2246</v>
      </c>
      <c r="K796" s="58" t="s">
        <v>3846</v>
      </c>
      <c r="L796" s="58" t="s">
        <v>3847</v>
      </c>
    </row>
    <row r="797" ht="15.75" customHeight="1">
      <c r="A797" s="25" t="s">
        <v>396</v>
      </c>
      <c r="B797" s="26">
        <v>46116.0</v>
      </c>
      <c r="C797" s="25" t="s">
        <v>291</v>
      </c>
      <c r="D797" s="25" t="s">
        <v>4559</v>
      </c>
      <c r="E797" s="25" t="s">
        <v>190</v>
      </c>
      <c r="F797" s="25" t="s">
        <v>3844</v>
      </c>
      <c r="G797" s="26">
        <v>46105.0</v>
      </c>
      <c r="H797" s="25" t="s">
        <v>4600</v>
      </c>
      <c r="I797" s="25" t="s">
        <v>97</v>
      </c>
      <c r="J797" s="25" t="s">
        <v>2246</v>
      </c>
      <c r="K797" s="25" t="s">
        <v>3846</v>
      </c>
      <c r="L797" s="25" t="s">
        <v>3847</v>
      </c>
    </row>
    <row r="798" ht="15.75" customHeight="1">
      <c r="A798" s="58" t="s">
        <v>1042</v>
      </c>
      <c r="B798" s="59">
        <v>46069.0</v>
      </c>
      <c r="C798" s="58" t="s">
        <v>999</v>
      </c>
      <c r="D798" s="58" t="s">
        <v>4559</v>
      </c>
      <c r="E798" s="58" t="s">
        <v>85</v>
      </c>
      <c r="F798" s="58" t="s">
        <v>3913</v>
      </c>
      <c r="G798" s="59">
        <v>46174.0</v>
      </c>
      <c r="H798" s="58" t="s">
        <v>4601</v>
      </c>
      <c r="I798" s="58" t="s">
        <v>97</v>
      </c>
      <c r="J798" s="58" t="s">
        <v>2247</v>
      </c>
      <c r="K798" s="58" t="s">
        <v>3881</v>
      </c>
      <c r="L798" s="58" t="s">
        <v>3851</v>
      </c>
    </row>
    <row r="799" ht="15.75" customHeight="1">
      <c r="A799" s="25" t="s">
        <v>253</v>
      </c>
      <c r="B799" s="26">
        <v>46131.0</v>
      </c>
      <c r="C799" s="25" t="s">
        <v>184</v>
      </c>
      <c r="D799" s="25" t="s">
        <v>4559</v>
      </c>
      <c r="E799" s="25" t="s">
        <v>85</v>
      </c>
      <c r="F799" s="25" t="s">
        <v>3844</v>
      </c>
      <c r="G799" s="26">
        <v>46277.0</v>
      </c>
      <c r="H799" s="25" t="s">
        <v>4602</v>
      </c>
      <c r="I799" s="25" t="s">
        <v>97</v>
      </c>
      <c r="J799" s="25" t="s">
        <v>2246</v>
      </c>
      <c r="K799" s="25" t="s">
        <v>3846</v>
      </c>
      <c r="L799" s="25" t="s">
        <v>3847</v>
      </c>
    </row>
    <row r="800" ht="15.75" customHeight="1">
      <c r="A800" s="58" t="s">
        <v>411</v>
      </c>
      <c r="B800" s="59">
        <v>46103.0</v>
      </c>
      <c r="C800" s="58" t="s">
        <v>291</v>
      </c>
      <c r="D800" s="58" t="s">
        <v>4559</v>
      </c>
      <c r="E800" s="58" t="s">
        <v>115</v>
      </c>
      <c r="F800" s="58" t="s">
        <v>3844</v>
      </c>
      <c r="G800" s="59">
        <v>46185.0</v>
      </c>
      <c r="H800" s="58" t="s">
        <v>4603</v>
      </c>
      <c r="I800" s="58" t="s">
        <v>97</v>
      </c>
      <c r="J800" s="58" t="s">
        <v>2246</v>
      </c>
      <c r="K800" s="58" t="s">
        <v>3846</v>
      </c>
      <c r="L800" s="58" t="s">
        <v>3847</v>
      </c>
    </row>
    <row r="801" ht="15.75" customHeight="1">
      <c r="A801" s="25" t="s">
        <v>934</v>
      </c>
      <c r="B801" s="26">
        <v>46066.0</v>
      </c>
      <c r="C801" s="25" t="s">
        <v>868</v>
      </c>
      <c r="D801" s="25" t="s">
        <v>4559</v>
      </c>
      <c r="E801" s="25" t="s">
        <v>156</v>
      </c>
      <c r="F801" s="25" t="s">
        <v>3844</v>
      </c>
      <c r="G801" s="26">
        <v>46052.0</v>
      </c>
      <c r="H801" s="25" t="s">
        <v>4604</v>
      </c>
      <c r="I801" s="25" t="s">
        <v>97</v>
      </c>
      <c r="J801" s="25" t="s">
        <v>2246</v>
      </c>
      <c r="K801" s="25" t="s">
        <v>3846</v>
      </c>
      <c r="L801" s="25" t="s">
        <v>3851</v>
      </c>
    </row>
    <row r="802" ht="15.75" customHeight="1">
      <c r="A802" s="58" t="s">
        <v>264</v>
      </c>
      <c r="B802" s="59">
        <v>46023.0</v>
      </c>
      <c r="C802" s="58" t="s">
        <v>184</v>
      </c>
      <c r="D802" s="58" t="s">
        <v>4559</v>
      </c>
      <c r="E802" s="58" t="s">
        <v>154</v>
      </c>
      <c r="F802" s="58" t="s">
        <v>3844</v>
      </c>
      <c r="G802" s="59">
        <v>46155.0</v>
      </c>
      <c r="H802" s="58" t="s">
        <v>4605</v>
      </c>
      <c r="I802" s="58" t="s">
        <v>97</v>
      </c>
      <c r="J802" s="58" t="s">
        <v>2246</v>
      </c>
      <c r="K802" s="58" t="s">
        <v>3846</v>
      </c>
      <c r="L802" s="58" t="s">
        <v>3855</v>
      </c>
    </row>
    <row r="803" ht="15.75" customHeight="1">
      <c r="A803" s="25" t="s">
        <v>1054</v>
      </c>
      <c r="B803" s="26">
        <v>46131.0</v>
      </c>
      <c r="C803" s="25" t="s">
        <v>999</v>
      </c>
      <c r="D803" s="25" t="s">
        <v>4559</v>
      </c>
      <c r="E803" s="25" t="s">
        <v>162</v>
      </c>
      <c r="F803" s="25" t="s">
        <v>3844</v>
      </c>
      <c r="G803" s="26">
        <v>46235.0</v>
      </c>
      <c r="H803" s="25" t="s">
        <v>4606</v>
      </c>
      <c r="I803" s="25" t="s">
        <v>97</v>
      </c>
      <c r="J803" s="25" t="s">
        <v>2246</v>
      </c>
      <c r="K803" s="25" t="s">
        <v>3846</v>
      </c>
      <c r="L803" s="25" t="s">
        <v>3851</v>
      </c>
    </row>
    <row r="804" ht="15.75" customHeight="1">
      <c r="A804" s="58" t="s">
        <v>1056</v>
      </c>
      <c r="B804" s="59">
        <v>46110.0</v>
      </c>
      <c r="C804" s="58" t="s">
        <v>999</v>
      </c>
      <c r="D804" s="58" t="s">
        <v>4559</v>
      </c>
      <c r="E804" s="58" t="s">
        <v>78</v>
      </c>
      <c r="F804" s="58" t="s">
        <v>3844</v>
      </c>
      <c r="G804" s="59">
        <v>46117.0</v>
      </c>
      <c r="H804" s="58" t="s">
        <v>4607</v>
      </c>
      <c r="I804" s="58" t="s">
        <v>97</v>
      </c>
      <c r="J804" s="58" t="s">
        <v>2246</v>
      </c>
      <c r="K804" s="58" t="s">
        <v>3846</v>
      </c>
      <c r="L804" s="58" t="s">
        <v>3851</v>
      </c>
    </row>
    <row r="805" ht="15.75" customHeight="1">
      <c r="A805" s="25" t="s">
        <v>421</v>
      </c>
      <c r="B805" s="26">
        <v>46143.0</v>
      </c>
      <c r="C805" s="25" t="s">
        <v>291</v>
      </c>
      <c r="D805" s="25" t="s">
        <v>4559</v>
      </c>
      <c r="E805" s="25" t="s">
        <v>154</v>
      </c>
      <c r="F805" s="25" t="s">
        <v>3844</v>
      </c>
      <c r="G805" s="26">
        <v>46243.0</v>
      </c>
      <c r="H805" s="25" t="s">
        <v>4608</v>
      </c>
      <c r="I805" s="25" t="s">
        <v>97</v>
      </c>
      <c r="J805" s="25" t="s">
        <v>2246</v>
      </c>
      <c r="K805" s="25" t="s">
        <v>3846</v>
      </c>
      <c r="L805" s="25" t="s">
        <v>3855</v>
      </c>
    </row>
    <row r="806" ht="15.75" customHeight="1">
      <c r="A806" s="58" t="s">
        <v>150</v>
      </c>
      <c r="B806" s="59">
        <v>46075.0</v>
      </c>
      <c r="C806" s="58" t="s">
        <v>77</v>
      </c>
      <c r="D806" s="58" t="s">
        <v>4559</v>
      </c>
      <c r="E806" s="58" t="s">
        <v>108</v>
      </c>
      <c r="F806" s="58" t="s">
        <v>3844</v>
      </c>
      <c r="G806" s="59">
        <v>46057.0</v>
      </c>
      <c r="H806" s="58"/>
      <c r="I806" s="58" t="s">
        <v>97</v>
      </c>
      <c r="J806" s="58" t="s">
        <v>2247</v>
      </c>
      <c r="K806" s="58" t="s">
        <v>3848</v>
      </c>
      <c r="L806" s="58" t="s">
        <v>3855</v>
      </c>
    </row>
    <row r="807" ht="15.75" customHeight="1">
      <c r="A807" s="25" t="s">
        <v>270</v>
      </c>
      <c r="B807" s="26">
        <v>46120.0</v>
      </c>
      <c r="C807" s="25" t="s">
        <v>184</v>
      </c>
      <c r="D807" s="25" t="s">
        <v>4559</v>
      </c>
      <c r="E807" s="25" t="s">
        <v>190</v>
      </c>
      <c r="F807" s="25" t="s">
        <v>3857</v>
      </c>
      <c r="G807" s="26">
        <v>46108.0</v>
      </c>
      <c r="H807" s="25" t="s">
        <v>4609</v>
      </c>
      <c r="I807" s="25" t="s">
        <v>97</v>
      </c>
      <c r="J807" s="25" t="s">
        <v>2246</v>
      </c>
      <c r="K807" s="25" t="s">
        <v>3846</v>
      </c>
      <c r="L807" s="25" t="s">
        <v>3855</v>
      </c>
    </row>
    <row r="808" ht="15.75" customHeight="1">
      <c r="A808" s="58" t="s">
        <v>152</v>
      </c>
      <c r="B808" s="59">
        <v>46071.0</v>
      </c>
      <c r="C808" s="58" t="s">
        <v>114</v>
      </c>
      <c r="D808" s="58" t="s">
        <v>4559</v>
      </c>
      <c r="E808" s="58" t="s">
        <v>74</v>
      </c>
      <c r="F808" s="58" t="s">
        <v>3879</v>
      </c>
      <c r="G808" s="59">
        <v>46062.0</v>
      </c>
      <c r="H808" s="58" t="s">
        <v>4610</v>
      </c>
      <c r="I808" s="58" t="s">
        <v>97</v>
      </c>
      <c r="J808" s="58" t="s">
        <v>2247</v>
      </c>
      <c r="K808" s="58" t="s">
        <v>3881</v>
      </c>
      <c r="L808" s="58" t="s">
        <v>3855</v>
      </c>
    </row>
    <row r="809" ht="15.75" customHeight="1">
      <c r="A809" s="25" t="s">
        <v>941</v>
      </c>
      <c r="B809" s="26">
        <v>46043.0</v>
      </c>
      <c r="C809" s="25" t="s">
        <v>868</v>
      </c>
      <c r="D809" s="25" t="s">
        <v>4559</v>
      </c>
      <c r="E809" s="25" t="s">
        <v>64</v>
      </c>
      <c r="F809" s="25" t="s">
        <v>3844</v>
      </c>
      <c r="G809" s="26">
        <v>46024.0</v>
      </c>
      <c r="H809" s="25" t="s">
        <v>4611</v>
      </c>
      <c r="I809" s="25" t="s">
        <v>97</v>
      </c>
      <c r="J809" s="25" t="s">
        <v>2246</v>
      </c>
      <c r="K809" s="25" t="s">
        <v>3846</v>
      </c>
      <c r="L809" s="25" t="s">
        <v>3855</v>
      </c>
    </row>
    <row r="810" ht="15.75" customHeight="1">
      <c r="A810" s="58" t="s">
        <v>432</v>
      </c>
      <c r="B810" s="59">
        <v>46113.0</v>
      </c>
      <c r="C810" s="58" t="s">
        <v>291</v>
      </c>
      <c r="D810" s="58" t="s">
        <v>4559</v>
      </c>
      <c r="E810" s="58" t="s">
        <v>154</v>
      </c>
      <c r="F810" s="58" t="s">
        <v>3844</v>
      </c>
      <c r="G810" s="59">
        <v>46247.0</v>
      </c>
      <c r="H810" s="58" t="s">
        <v>4612</v>
      </c>
      <c r="I810" s="58" t="s">
        <v>97</v>
      </c>
      <c r="J810" s="58" t="s">
        <v>2246</v>
      </c>
      <c r="K810" s="58" t="s">
        <v>3846</v>
      </c>
      <c r="L810" s="58" t="s">
        <v>3851</v>
      </c>
    </row>
    <row r="811" ht="15.75" customHeight="1">
      <c r="A811" s="25" t="s">
        <v>282</v>
      </c>
      <c r="B811" s="26">
        <v>46058.0</v>
      </c>
      <c r="C811" s="25" t="s">
        <v>184</v>
      </c>
      <c r="D811" s="25" t="s">
        <v>4559</v>
      </c>
      <c r="E811" s="25" t="s">
        <v>106</v>
      </c>
      <c r="F811" s="25" t="s">
        <v>3844</v>
      </c>
      <c r="G811" s="26">
        <v>46113.0</v>
      </c>
      <c r="H811" s="25" t="s">
        <v>4613</v>
      </c>
      <c r="I811" s="25" t="s">
        <v>97</v>
      </c>
      <c r="J811" s="25" t="s">
        <v>2246</v>
      </c>
      <c r="K811" s="25" t="s">
        <v>3846</v>
      </c>
      <c r="L811" s="25" t="s">
        <v>3855</v>
      </c>
    </row>
    <row r="812" ht="15.75" customHeight="1">
      <c r="A812" s="58" t="s">
        <v>284</v>
      </c>
      <c r="B812" s="59">
        <v>46119.0</v>
      </c>
      <c r="C812" s="58" t="s">
        <v>184</v>
      </c>
      <c r="D812" s="58" t="s">
        <v>4559</v>
      </c>
      <c r="E812" s="58"/>
      <c r="F812" s="58" t="s">
        <v>3844</v>
      </c>
      <c r="G812" s="59">
        <v>46157.0</v>
      </c>
      <c r="H812" s="58" t="s">
        <v>4614</v>
      </c>
      <c r="I812" s="58" t="s">
        <v>97</v>
      </c>
      <c r="J812" s="58" t="s">
        <v>2246</v>
      </c>
      <c r="K812" s="58" t="s">
        <v>3846</v>
      </c>
      <c r="L812" s="58" t="s">
        <v>3851</v>
      </c>
    </row>
    <row r="813" ht="15.75" customHeight="1">
      <c r="A813" s="25" t="s">
        <v>160</v>
      </c>
      <c r="B813" s="26">
        <v>46093.0</v>
      </c>
      <c r="C813" s="25" t="s">
        <v>114</v>
      </c>
      <c r="D813" s="25" t="s">
        <v>4559</v>
      </c>
      <c r="E813" s="25" t="s">
        <v>102</v>
      </c>
      <c r="F813" s="25" t="s">
        <v>3844</v>
      </c>
      <c r="G813" s="26">
        <v>46156.0</v>
      </c>
      <c r="H813" s="25" t="s">
        <v>4615</v>
      </c>
      <c r="I813" s="25" t="s">
        <v>97</v>
      </c>
      <c r="J813" s="25" t="s">
        <v>2246</v>
      </c>
      <c r="K813" s="25" t="s">
        <v>3846</v>
      </c>
      <c r="L813" s="25" t="s">
        <v>3847</v>
      </c>
    </row>
    <row r="814" ht="15.75" customHeight="1">
      <c r="A814" s="58" t="s">
        <v>289</v>
      </c>
      <c r="B814" s="59">
        <v>46074.0</v>
      </c>
      <c r="C814" s="58" t="s">
        <v>164</v>
      </c>
      <c r="D814" s="58" t="s">
        <v>4559</v>
      </c>
      <c r="E814" s="58" t="s">
        <v>106</v>
      </c>
      <c r="F814" s="58" t="s">
        <v>3844</v>
      </c>
      <c r="G814" s="59">
        <v>46088.0</v>
      </c>
      <c r="H814" s="58" t="s">
        <v>4616</v>
      </c>
      <c r="I814" s="58" t="s">
        <v>97</v>
      </c>
      <c r="J814" s="58" t="s">
        <v>2246</v>
      </c>
      <c r="K814" s="58" t="s">
        <v>3846</v>
      </c>
      <c r="L814" s="58" t="s">
        <v>3851</v>
      </c>
    </row>
    <row r="815" ht="15.75" customHeight="1">
      <c r="A815" s="25" t="s">
        <v>851</v>
      </c>
      <c r="B815" s="26">
        <v>46041.0</v>
      </c>
      <c r="C815" s="25" t="s">
        <v>727</v>
      </c>
      <c r="D815" s="25" t="s">
        <v>4559</v>
      </c>
      <c r="E815" s="25" t="s">
        <v>108</v>
      </c>
      <c r="F815" s="25" t="s">
        <v>3844</v>
      </c>
      <c r="G815" s="26">
        <v>46070.0</v>
      </c>
      <c r="H815" s="25" t="s">
        <v>4617</v>
      </c>
      <c r="I815" s="25" t="s">
        <v>3906</v>
      </c>
      <c r="J815" s="25" t="s">
        <v>2247</v>
      </c>
      <c r="K815" s="25" t="s">
        <v>3854</v>
      </c>
      <c r="L815" s="25" t="s">
        <v>3851</v>
      </c>
    </row>
    <row r="816" ht="15.75" customHeight="1">
      <c r="A816" s="58" t="s">
        <v>952</v>
      </c>
      <c r="B816" s="59">
        <v>46033.0</v>
      </c>
      <c r="C816" s="58" t="s">
        <v>953</v>
      </c>
      <c r="D816" s="58" t="s">
        <v>4618</v>
      </c>
      <c r="E816" s="58" t="s">
        <v>156</v>
      </c>
      <c r="F816" s="58" t="s">
        <v>3857</v>
      </c>
      <c r="G816" s="59">
        <v>46093.0</v>
      </c>
      <c r="H816" s="58" t="s">
        <v>4619</v>
      </c>
      <c r="I816" s="58" t="s">
        <v>97</v>
      </c>
      <c r="J816" s="58" t="s">
        <v>2246</v>
      </c>
      <c r="K816" s="58" t="s">
        <v>3846</v>
      </c>
      <c r="L816" s="58" t="s">
        <v>3847</v>
      </c>
    </row>
    <row r="817" ht="15.75" customHeight="1">
      <c r="A817" s="25" t="s">
        <v>541</v>
      </c>
      <c r="B817" s="26">
        <v>46053.0</v>
      </c>
      <c r="C817" s="25" t="s">
        <v>542</v>
      </c>
      <c r="D817" s="25" t="s">
        <v>4618</v>
      </c>
      <c r="E817" s="25" t="s">
        <v>110</v>
      </c>
      <c r="F817" s="25" t="s">
        <v>3844</v>
      </c>
      <c r="G817" s="26">
        <v>46139.0</v>
      </c>
      <c r="H817" s="25" t="s">
        <v>4620</v>
      </c>
      <c r="I817" s="25" t="s">
        <v>97</v>
      </c>
      <c r="J817" s="25" t="s">
        <v>2246</v>
      </c>
      <c r="K817" s="25" t="s">
        <v>3846</v>
      </c>
      <c r="L817" s="25" t="s">
        <v>3855</v>
      </c>
    </row>
    <row r="818" ht="15.75" customHeight="1">
      <c r="A818" s="58" t="s">
        <v>705</v>
      </c>
      <c r="B818" s="59">
        <v>46112.0</v>
      </c>
      <c r="C818" s="58" t="s">
        <v>706</v>
      </c>
      <c r="D818" s="58" t="s">
        <v>4618</v>
      </c>
      <c r="E818" s="58" t="s">
        <v>102</v>
      </c>
      <c r="F818" s="58" t="s">
        <v>3844</v>
      </c>
      <c r="G818" s="59">
        <v>46198.0</v>
      </c>
      <c r="H818" s="58" t="s">
        <v>4621</v>
      </c>
      <c r="I818" s="58" t="s">
        <v>97</v>
      </c>
      <c r="J818" s="58" t="s">
        <v>2246</v>
      </c>
      <c r="K818" s="58" t="s">
        <v>3846</v>
      </c>
      <c r="L818" s="58" t="s">
        <v>3847</v>
      </c>
    </row>
    <row r="819" ht="15.75" customHeight="1">
      <c r="A819" s="25" t="s">
        <v>546</v>
      </c>
      <c r="B819" s="26">
        <v>46082.0</v>
      </c>
      <c r="C819" s="25" t="s">
        <v>547</v>
      </c>
      <c r="D819" s="25" t="s">
        <v>4618</v>
      </c>
      <c r="E819" s="25" t="s">
        <v>81</v>
      </c>
      <c r="F819" s="25" t="s">
        <v>3844</v>
      </c>
      <c r="G819" s="26">
        <v>46077.0</v>
      </c>
      <c r="H819" s="25"/>
      <c r="I819" s="25" t="s">
        <v>97</v>
      </c>
      <c r="J819" s="25" t="s">
        <v>2247</v>
      </c>
      <c r="K819" s="25" t="s">
        <v>3848</v>
      </c>
      <c r="L819" s="25" t="s">
        <v>3851</v>
      </c>
    </row>
    <row r="820" ht="15.75" customHeight="1">
      <c r="A820" s="58" t="s">
        <v>854</v>
      </c>
      <c r="B820" s="59">
        <v>46081.0</v>
      </c>
      <c r="C820" s="58" t="s">
        <v>855</v>
      </c>
      <c r="D820" s="58" t="s">
        <v>4618</v>
      </c>
      <c r="E820" s="58" t="s">
        <v>123</v>
      </c>
      <c r="F820" s="58" t="s">
        <v>3844</v>
      </c>
      <c r="G820" s="59">
        <v>46075.0</v>
      </c>
      <c r="H820" s="58" t="s">
        <v>4622</v>
      </c>
      <c r="I820" s="58" t="s">
        <v>97</v>
      </c>
      <c r="J820" s="58" t="s">
        <v>2246</v>
      </c>
      <c r="K820" s="58" t="s">
        <v>3846</v>
      </c>
      <c r="L820" s="58" t="s">
        <v>3855</v>
      </c>
    </row>
    <row r="821" ht="15.75" customHeight="1">
      <c r="A821" s="25" t="s">
        <v>548</v>
      </c>
      <c r="B821" s="26">
        <v>46096.0</v>
      </c>
      <c r="C821" s="25" t="s">
        <v>542</v>
      </c>
      <c r="D821" s="25" t="s">
        <v>4618</v>
      </c>
      <c r="E821" s="25" t="s">
        <v>123</v>
      </c>
      <c r="F821" s="25" t="s">
        <v>3844</v>
      </c>
      <c r="G821" s="26">
        <v>46156.0</v>
      </c>
      <c r="H821" s="25" t="s">
        <v>4623</v>
      </c>
      <c r="I821" s="25" t="s">
        <v>97</v>
      </c>
      <c r="J821" s="25" t="s">
        <v>2246</v>
      </c>
      <c r="K821" s="25" t="s">
        <v>3846</v>
      </c>
      <c r="L821" s="25" t="s">
        <v>3851</v>
      </c>
    </row>
    <row r="822" ht="15.75" customHeight="1">
      <c r="A822" s="58" t="s">
        <v>711</v>
      </c>
      <c r="B822" s="59">
        <v>46136.0</v>
      </c>
      <c r="C822" s="58" t="s">
        <v>712</v>
      </c>
      <c r="D822" s="58" t="s">
        <v>4618</v>
      </c>
      <c r="E822" s="58" t="s">
        <v>123</v>
      </c>
      <c r="F822" s="58" t="s">
        <v>3844</v>
      </c>
      <c r="G822" s="59">
        <v>46126.0</v>
      </c>
      <c r="H822" s="58" t="s">
        <v>4624</v>
      </c>
      <c r="I822" s="58" t="s">
        <v>97</v>
      </c>
      <c r="J822" s="58" t="s">
        <v>2246</v>
      </c>
      <c r="K822" s="58" t="s">
        <v>3846</v>
      </c>
      <c r="L822" s="58" t="s">
        <v>3847</v>
      </c>
    </row>
    <row r="823" ht="15.75" customHeight="1">
      <c r="A823" s="25" t="s">
        <v>715</v>
      </c>
      <c r="B823" s="26">
        <v>46062.0</v>
      </c>
      <c r="C823" s="25" t="s">
        <v>706</v>
      </c>
      <c r="D823" s="25" t="s">
        <v>4618</v>
      </c>
      <c r="E823" s="25" t="s">
        <v>71</v>
      </c>
      <c r="F823" s="25" t="s">
        <v>3879</v>
      </c>
      <c r="G823" s="26">
        <v>46203.0</v>
      </c>
      <c r="H823" s="25" t="s">
        <v>4625</v>
      </c>
      <c r="I823" s="25" t="s">
        <v>97</v>
      </c>
      <c r="J823" s="25" t="s">
        <v>2247</v>
      </c>
      <c r="K823" s="25" t="s">
        <v>3881</v>
      </c>
      <c r="L823" s="25" t="s">
        <v>3855</v>
      </c>
    </row>
    <row r="824" ht="15.75" customHeight="1">
      <c r="A824" s="58" t="s">
        <v>716</v>
      </c>
      <c r="B824" s="59">
        <v>46070.0</v>
      </c>
      <c r="C824" s="58" t="s">
        <v>717</v>
      </c>
      <c r="D824" s="58" t="s">
        <v>4618</v>
      </c>
      <c r="E824" s="58" t="s">
        <v>81</v>
      </c>
      <c r="F824" s="58" t="s">
        <v>3844</v>
      </c>
      <c r="G824" s="59">
        <v>46076.0</v>
      </c>
      <c r="H824" s="58" t="s">
        <v>4626</v>
      </c>
      <c r="I824" s="58" t="s">
        <v>97</v>
      </c>
      <c r="J824" s="58" t="s">
        <v>2246</v>
      </c>
      <c r="K824" s="58" t="s">
        <v>3846</v>
      </c>
      <c r="L824" s="58" t="s">
        <v>3851</v>
      </c>
    </row>
    <row r="825" ht="15.75" customHeight="1">
      <c r="A825" s="25" t="s">
        <v>966</v>
      </c>
      <c r="B825" s="26">
        <v>46033.0</v>
      </c>
      <c r="C825" s="25" t="s">
        <v>953</v>
      </c>
      <c r="D825" s="25" t="s">
        <v>4618</v>
      </c>
      <c r="E825" s="25" t="s">
        <v>71</v>
      </c>
      <c r="F825" s="25" t="s">
        <v>3844</v>
      </c>
      <c r="G825" s="26">
        <v>46083.0</v>
      </c>
      <c r="H825" s="25" t="s">
        <v>4627</v>
      </c>
      <c r="I825" s="25" t="s">
        <v>97</v>
      </c>
      <c r="J825" s="25" t="s">
        <v>2246</v>
      </c>
      <c r="K825" s="25" t="s">
        <v>3846</v>
      </c>
      <c r="L825" s="25" t="s">
        <v>3847</v>
      </c>
    </row>
    <row r="826" ht="15.75" customHeight="1">
      <c r="A826" s="58" t="s">
        <v>725</v>
      </c>
      <c r="B826" s="59">
        <v>46108.0</v>
      </c>
      <c r="C826" s="58" t="s">
        <v>717</v>
      </c>
      <c r="D826" s="58" t="s">
        <v>4618</v>
      </c>
      <c r="E826" s="58" t="s">
        <v>92</v>
      </c>
      <c r="F826" s="58" t="s">
        <v>3844</v>
      </c>
      <c r="G826" s="59">
        <v>46234.0</v>
      </c>
      <c r="H826" s="58" t="s">
        <v>4628</v>
      </c>
      <c r="I826" s="58" t="s">
        <v>3906</v>
      </c>
      <c r="J826" s="58" t="s">
        <v>2247</v>
      </c>
      <c r="K826" s="58" t="s">
        <v>3854</v>
      </c>
      <c r="L826" s="58" t="s">
        <v>3851</v>
      </c>
    </row>
    <row r="827" ht="15.75" customHeight="1">
      <c r="A827" s="25" t="s">
        <v>731</v>
      </c>
      <c r="B827" s="26">
        <v>46070.0</v>
      </c>
      <c r="C827" s="25" t="s">
        <v>712</v>
      </c>
      <c r="D827" s="25" t="s">
        <v>4618</v>
      </c>
      <c r="E827" s="25" t="s">
        <v>106</v>
      </c>
      <c r="F827" s="25" t="s">
        <v>3844</v>
      </c>
      <c r="G827" s="26">
        <v>46177.0</v>
      </c>
      <c r="H827" s="25" t="s">
        <v>4629</v>
      </c>
      <c r="I827" s="25" t="s">
        <v>97</v>
      </c>
      <c r="J827" s="25" t="s">
        <v>2246</v>
      </c>
      <c r="K827" s="25" t="s">
        <v>3846</v>
      </c>
      <c r="L827" s="25" t="s">
        <v>3855</v>
      </c>
    </row>
    <row r="828" ht="15.75" customHeight="1">
      <c r="A828" s="58" t="s">
        <v>734</v>
      </c>
      <c r="B828" s="59">
        <v>46127.0</v>
      </c>
      <c r="C828" s="58" t="s">
        <v>735</v>
      </c>
      <c r="D828" s="58" t="s">
        <v>4618</v>
      </c>
      <c r="E828" s="58" t="s">
        <v>106</v>
      </c>
      <c r="F828" s="58" t="s">
        <v>3844</v>
      </c>
      <c r="G828" s="59">
        <v>46271.0</v>
      </c>
      <c r="H828" s="58" t="s">
        <v>4630</v>
      </c>
      <c r="I828" s="58" t="s">
        <v>3906</v>
      </c>
      <c r="J828" s="58" t="s">
        <v>2247</v>
      </c>
      <c r="K828" s="58" t="s">
        <v>3854</v>
      </c>
      <c r="L828" s="58" t="s">
        <v>3851</v>
      </c>
    </row>
    <row r="829" ht="15.75" customHeight="1">
      <c r="A829" s="25" t="s">
        <v>977</v>
      </c>
      <c r="B829" s="26">
        <v>46036.0</v>
      </c>
      <c r="C829" s="25" t="s">
        <v>953</v>
      </c>
      <c r="D829" s="25" t="s">
        <v>4618</v>
      </c>
      <c r="E829" s="25" t="s">
        <v>71</v>
      </c>
      <c r="F829" s="25" t="s">
        <v>3844</v>
      </c>
      <c r="G829" s="26">
        <v>46073.0</v>
      </c>
      <c r="H829" s="25" t="s">
        <v>4631</v>
      </c>
      <c r="I829" s="25" t="s">
        <v>97</v>
      </c>
      <c r="J829" s="25" t="s">
        <v>2246</v>
      </c>
      <c r="K829" s="25" t="s">
        <v>3846</v>
      </c>
      <c r="L829" s="25" t="s">
        <v>3855</v>
      </c>
    </row>
    <row r="830" ht="15.75" customHeight="1">
      <c r="A830" s="58" t="s">
        <v>742</v>
      </c>
      <c r="B830" s="59">
        <v>46129.0</v>
      </c>
      <c r="C830" s="58" t="s">
        <v>735</v>
      </c>
      <c r="D830" s="58" t="s">
        <v>4618</v>
      </c>
      <c r="E830" s="58" t="s">
        <v>64</v>
      </c>
      <c r="F830" s="58" t="s">
        <v>3879</v>
      </c>
      <c r="G830" s="59">
        <v>46258.0</v>
      </c>
      <c r="H830" s="58" t="s">
        <v>4632</v>
      </c>
      <c r="I830" s="58" t="s">
        <v>97</v>
      </c>
      <c r="J830" s="58" t="s">
        <v>2247</v>
      </c>
      <c r="K830" s="58" t="s">
        <v>3881</v>
      </c>
      <c r="L830" s="58" t="s">
        <v>3851</v>
      </c>
    </row>
    <row r="831" ht="15.75" customHeight="1">
      <c r="A831" s="25" t="s">
        <v>744</v>
      </c>
      <c r="B831" s="26">
        <v>46087.0</v>
      </c>
      <c r="C831" s="25" t="s">
        <v>706</v>
      </c>
      <c r="D831" s="25" t="s">
        <v>4618</v>
      </c>
      <c r="E831" s="25" t="s">
        <v>156</v>
      </c>
      <c r="F831" s="25" t="s">
        <v>3844</v>
      </c>
      <c r="G831" s="26">
        <v>46170.0</v>
      </c>
      <c r="H831" s="25" t="s">
        <v>4633</v>
      </c>
      <c r="I831" s="25" t="s">
        <v>97</v>
      </c>
      <c r="J831" s="25" t="s">
        <v>2246</v>
      </c>
      <c r="K831" s="25" t="s">
        <v>3846</v>
      </c>
      <c r="L831" s="25" t="s">
        <v>3851</v>
      </c>
    </row>
    <row r="832" ht="15.75" customHeight="1">
      <c r="A832" s="58" t="s">
        <v>746</v>
      </c>
      <c r="B832" s="59">
        <v>46046.0</v>
      </c>
      <c r="C832" s="58" t="s">
        <v>735</v>
      </c>
      <c r="D832" s="58" t="s">
        <v>4618</v>
      </c>
      <c r="E832" s="58" t="s">
        <v>108</v>
      </c>
      <c r="F832" s="58" t="s">
        <v>3844</v>
      </c>
      <c r="G832" s="59">
        <v>46072.0</v>
      </c>
      <c r="H832" s="58" t="s">
        <v>4634</v>
      </c>
      <c r="I832" s="58" t="s">
        <v>97</v>
      </c>
      <c r="J832" s="58" t="s">
        <v>2246</v>
      </c>
      <c r="K832" s="58" t="s">
        <v>3846</v>
      </c>
      <c r="L832" s="58" t="s">
        <v>3851</v>
      </c>
    </row>
    <row r="833" ht="15.75" customHeight="1">
      <c r="A833" s="25" t="s">
        <v>752</v>
      </c>
      <c r="B833" s="26">
        <v>46122.0</v>
      </c>
      <c r="C833" s="25" t="s">
        <v>706</v>
      </c>
      <c r="D833" s="25" t="s">
        <v>4618</v>
      </c>
      <c r="E833" s="25" t="s">
        <v>154</v>
      </c>
      <c r="F833" s="25" t="s">
        <v>3844</v>
      </c>
      <c r="G833" s="26">
        <v>46245.0</v>
      </c>
      <c r="H833" s="25" t="s">
        <v>4635</v>
      </c>
      <c r="I833" s="25" t="s">
        <v>97</v>
      </c>
      <c r="J833" s="25" t="s">
        <v>2246</v>
      </c>
      <c r="K833" s="25" t="s">
        <v>3846</v>
      </c>
      <c r="L833" s="25" t="s">
        <v>3855</v>
      </c>
    </row>
    <row r="834" ht="15.75" customHeight="1">
      <c r="A834" s="58" t="s">
        <v>754</v>
      </c>
      <c r="B834" s="59">
        <v>46093.0</v>
      </c>
      <c r="C834" s="58" t="s">
        <v>706</v>
      </c>
      <c r="D834" s="58" t="s">
        <v>4618</v>
      </c>
      <c r="E834" s="58" t="s">
        <v>92</v>
      </c>
      <c r="F834" s="58" t="s">
        <v>3844</v>
      </c>
      <c r="G834" s="59">
        <v>46170.0</v>
      </c>
      <c r="H834" s="58" t="s">
        <v>4636</v>
      </c>
      <c r="I834" s="58" t="s">
        <v>97</v>
      </c>
      <c r="J834" s="58" t="s">
        <v>2246</v>
      </c>
      <c r="K834" s="58" t="s">
        <v>3846</v>
      </c>
      <c r="L834" s="58" t="s">
        <v>3855</v>
      </c>
    </row>
    <row r="835" ht="15.75" customHeight="1">
      <c r="A835" s="25" t="s">
        <v>761</v>
      </c>
      <c r="B835" s="26">
        <v>46045.0</v>
      </c>
      <c r="C835" s="25" t="s">
        <v>717</v>
      </c>
      <c r="D835" s="25" t="s">
        <v>4618</v>
      </c>
      <c r="E835" s="25" t="s">
        <v>154</v>
      </c>
      <c r="F835" s="25" t="s">
        <v>3844</v>
      </c>
      <c r="G835" s="26">
        <v>46193.0</v>
      </c>
      <c r="H835" s="25" t="s">
        <v>4637</v>
      </c>
      <c r="I835" s="25" t="s">
        <v>97</v>
      </c>
      <c r="J835" s="25" t="s">
        <v>2246</v>
      </c>
      <c r="K835" s="25" t="s">
        <v>3846</v>
      </c>
      <c r="L835" s="25" t="s">
        <v>3855</v>
      </c>
    </row>
    <row r="836" ht="15.75" customHeight="1">
      <c r="A836" s="58" t="s">
        <v>993</v>
      </c>
      <c r="B836" s="59">
        <v>46041.0</v>
      </c>
      <c r="C836" s="58" t="s">
        <v>953</v>
      </c>
      <c r="D836" s="58" t="s">
        <v>4618</v>
      </c>
      <c r="E836" s="58" t="s">
        <v>64</v>
      </c>
      <c r="F836" s="58" t="s">
        <v>3844</v>
      </c>
      <c r="G836" s="59">
        <v>46116.0</v>
      </c>
      <c r="H836" s="58" t="s">
        <v>4638</v>
      </c>
      <c r="I836" s="58" t="s">
        <v>97</v>
      </c>
      <c r="J836" s="58" t="s">
        <v>2246</v>
      </c>
      <c r="K836" s="58" t="s">
        <v>3846</v>
      </c>
      <c r="L836" s="58" t="s">
        <v>3855</v>
      </c>
    </row>
    <row r="837" ht="15.75" customHeight="1">
      <c r="A837" s="25" t="s">
        <v>997</v>
      </c>
      <c r="B837" s="26">
        <v>46042.0</v>
      </c>
      <c r="C837" s="25" t="s">
        <v>953</v>
      </c>
      <c r="D837" s="25" t="s">
        <v>4618</v>
      </c>
      <c r="E837" s="25" t="s">
        <v>95</v>
      </c>
      <c r="F837" s="25" t="s">
        <v>3844</v>
      </c>
      <c r="G837" s="26">
        <v>46115.0</v>
      </c>
      <c r="H837" s="25" t="s">
        <v>4639</v>
      </c>
      <c r="I837" s="25" t="s">
        <v>97</v>
      </c>
      <c r="J837" s="25" t="s">
        <v>2246</v>
      </c>
      <c r="K837" s="25" t="s">
        <v>3846</v>
      </c>
      <c r="L837" s="25" t="s">
        <v>3855</v>
      </c>
    </row>
    <row r="838" ht="15.75" customHeight="1">
      <c r="A838" s="58" t="s">
        <v>763</v>
      </c>
      <c r="B838" s="59">
        <v>46135.0</v>
      </c>
      <c r="C838" s="58" t="s">
        <v>706</v>
      </c>
      <c r="D838" s="58" t="s">
        <v>4618</v>
      </c>
      <c r="E838" s="58" t="s">
        <v>81</v>
      </c>
      <c r="F838" s="58" t="s">
        <v>3857</v>
      </c>
      <c r="G838" s="59">
        <v>46227.0</v>
      </c>
      <c r="H838" s="58" t="s">
        <v>4640</v>
      </c>
      <c r="I838" s="58" t="s">
        <v>97</v>
      </c>
      <c r="J838" s="58" t="s">
        <v>2246</v>
      </c>
      <c r="K838" s="58" t="s">
        <v>3846</v>
      </c>
      <c r="L838" s="58" t="s">
        <v>3851</v>
      </c>
    </row>
    <row r="839" ht="15.75" customHeight="1">
      <c r="A839" s="25" t="s">
        <v>889</v>
      </c>
      <c r="B839" s="26">
        <v>46137.0</v>
      </c>
      <c r="C839" s="25" t="s">
        <v>855</v>
      </c>
      <c r="D839" s="25" t="s">
        <v>4618</v>
      </c>
      <c r="E839" s="25" t="s">
        <v>115</v>
      </c>
      <c r="F839" s="25" t="s">
        <v>3844</v>
      </c>
      <c r="G839" s="26">
        <v>46135.0</v>
      </c>
      <c r="H839" s="25" t="s">
        <v>4641</v>
      </c>
      <c r="I839" s="25" t="s">
        <v>3853</v>
      </c>
      <c r="J839" s="25" t="s">
        <v>2247</v>
      </c>
      <c r="K839" s="25" t="s">
        <v>3854</v>
      </c>
      <c r="L839" s="25" t="s">
        <v>3847</v>
      </c>
    </row>
    <row r="840" ht="15.75" customHeight="1">
      <c r="A840" s="58" t="s">
        <v>603</v>
      </c>
      <c r="B840" s="59">
        <v>46130.0</v>
      </c>
      <c r="C840" s="58" t="s">
        <v>542</v>
      </c>
      <c r="D840" s="58" t="s">
        <v>4618</v>
      </c>
      <c r="E840" s="58" t="s">
        <v>162</v>
      </c>
      <c r="F840" s="58" t="s">
        <v>3844</v>
      </c>
      <c r="G840" s="59">
        <v>46287.0</v>
      </c>
      <c r="H840" s="58" t="s">
        <v>4642</v>
      </c>
      <c r="I840" s="58" t="s">
        <v>97</v>
      </c>
      <c r="J840" s="58" t="s">
        <v>2246</v>
      </c>
      <c r="K840" s="58" t="s">
        <v>3846</v>
      </c>
      <c r="L840" s="58" t="s">
        <v>3855</v>
      </c>
    </row>
    <row r="841" ht="15.75" customHeight="1">
      <c r="A841" s="25" t="s">
        <v>764</v>
      </c>
      <c r="B841" s="26">
        <v>46110.0</v>
      </c>
      <c r="C841" s="25" t="s">
        <v>706</v>
      </c>
      <c r="D841" s="25" t="s">
        <v>4618</v>
      </c>
      <c r="E841" s="25" t="s">
        <v>102</v>
      </c>
      <c r="F841" s="25" t="s">
        <v>3844</v>
      </c>
      <c r="G841" s="26">
        <v>46239.0</v>
      </c>
      <c r="H841" s="25" t="s">
        <v>4643</v>
      </c>
      <c r="I841" s="25" t="s">
        <v>97</v>
      </c>
      <c r="J841" s="25" t="s">
        <v>2246</v>
      </c>
      <c r="K841" s="25" t="s">
        <v>3846</v>
      </c>
      <c r="L841" s="25" t="s">
        <v>3847</v>
      </c>
    </row>
    <row r="842" ht="15.75" customHeight="1">
      <c r="A842" s="58" t="s">
        <v>893</v>
      </c>
      <c r="B842" s="59">
        <v>46087.0</v>
      </c>
      <c r="C842" s="58" t="s">
        <v>855</v>
      </c>
      <c r="D842" s="58" t="s">
        <v>4618</v>
      </c>
      <c r="E842" s="58" t="s">
        <v>162</v>
      </c>
      <c r="F842" s="58" t="s">
        <v>3844</v>
      </c>
      <c r="G842" s="59">
        <v>46132.0</v>
      </c>
      <c r="H842" s="58" t="s">
        <v>4644</v>
      </c>
      <c r="I842" s="58" t="s">
        <v>97</v>
      </c>
      <c r="J842" s="58" t="s">
        <v>2246</v>
      </c>
      <c r="K842" s="58" t="s">
        <v>3846</v>
      </c>
      <c r="L842" s="58" t="s">
        <v>3851</v>
      </c>
    </row>
    <row r="843" ht="15.75" customHeight="1">
      <c r="A843" s="25" t="s">
        <v>776</v>
      </c>
      <c r="B843" s="26">
        <v>46128.0</v>
      </c>
      <c r="C843" s="25" t="s">
        <v>735</v>
      </c>
      <c r="D843" s="25" t="s">
        <v>4618</v>
      </c>
      <c r="E843" s="25" t="s">
        <v>106</v>
      </c>
      <c r="F843" s="25" t="s">
        <v>3857</v>
      </c>
      <c r="G843" s="26">
        <v>46146.0</v>
      </c>
      <c r="H843" s="25" t="s">
        <v>4645</v>
      </c>
      <c r="I843" s="25" t="s">
        <v>97</v>
      </c>
      <c r="J843" s="25" t="s">
        <v>2246</v>
      </c>
      <c r="K843" s="25" t="s">
        <v>3846</v>
      </c>
      <c r="L843" s="25" t="s">
        <v>3847</v>
      </c>
    </row>
    <row r="844" ht="15.75" customHeight="1">
      <c r="A844" s="58" t="s">
        <v>609</v>
      </c>
      <c r="B844" s="59">
        <v>46046.0</v>
      </c>
      <c r="C844" s="58" t="s">
        <v>542</v>
      </c>
      <c r="D844" s="58" t="s">
        <v>4618</v>
      </c>
      <c r="E844" s="58" t="s">
        <v>78</v>
      </c>
      <c r="F844" s="58" t="s">
        <v>3844</v>
      </c>
      <c r="G844" s="59">
        <v>46128.0</v>
      </c>
      <c r="H844" s="58" t="s">
        <v>4646</v>
      </c>
      <c r="I844" s="58" t="s">
        <v>97</v>
      </c>
      <c r="J844" s="58" t="s">
        <v>2246</v>
      </c>
      <c r="K844" s="58" t="s">
        <v>3846</v>
      </c>
      <c r="L844" s="58" t="s">
        <v>3855</v>
      </c>
    </row>
    <row r="845" ht="15.75" customHeight="1">
      <c r="A845" s="25" t="s">
        <v>777</v>
      </c>
      <c r="B845" s="26">
        <v>46102.0</v>
      </c>
      <c r="C845" s="25" t="s">
        <v>712</v>
      </c>
      <c r="D845" s="25" t="s">
        <v>4618</v>
      </c>
      <c r="E845" s="25" t="s">
        <v>102</v>
      </c>
      <c r="F845" s="25" t="s">
        <v>3844</v>
      </c>
      <c r="G845" s="26">
        <v>46124.0</v>
      </c>
      <c r="H845" s="25" t="s">
        <v>4647</v>
      </c>
      <c r="I845" s="25" t="s">
        <v>97</v>
      </c>
      <c r="J845" s="25" t="s">
        <v>2246</v>
      </c>
      <c r="K845" s="25" t="s">
        <v>3846</v>
      </c>
      <c r="L845" s="25" t="s">
        <v>3847</v>
      </c>
    </row>
    <row r="846" ht="15.75" customHeight="1">
      <c r="A846" s="58" t="s">
        <v>778</v>
      </c>
      <c r="B846" s="59">
        <v>46110.0</v>
      </c>
      <c r="C846" s="58" t="s">
        <v>717</v>
      </c>
      <c r="D846" s="58" t="s">
        <v>4618</v>
      </c>
      <c r="E846" s="58" t="s">
        <v>71</v>
      </c>
      <c r="F846" s="58" t="s">
        <v>3844</v>
      </c>
      <c r="G846" s="59">
        <v>46093.0</v>
      </c>
      <c r="H846" s="58" t="s">
        <v>4648</v>
      </c>
      <c r="I846" s="58" t="s">
        <v>97</v>
      </c>
      <c r="J846" s="58" t="s">
        <v>2246</v>
      </c>
      <c r="K846" s="58" t="s">
        <v>3846</v>
      </c>
      <c r="L846" s="58" t="s">
        <v>3851</v>
      </c>
    </row>
    <row r="847" ht="15.75" customHeight="1">
      <c r="A847" s="25" t="s">
        <v>1153</v>
      </c>
      <c r="B847" s="26">
        <v>46056.0</v>
      </c>
      <c r="C847" s="25" t="s">
        <v>1154</v>
      </c>
      <c r="D847" s="25" t="s">
        <v>4618</v>
      </c>
      <c r="E847" s="25" t="s">
        <v>190</v>
      </c>
      <c r="F847" s="25" t="s">
        <v>3844</v>
      </c>
      <c r="G847" s="26">
        <v>46155.0</v>
      </c>
      <c r="H847" s="25" t="s">
        <v>4649</v>
      </c>
      <c r="I847" s="25" t="s">
        <v>3853</v>
      </c>
      <c r="J847" s="25" t="s">
        <v>2247</v>
      </c>
      <c r="K847" s="25" t="s">
        <v>3854</v>
      </c>
      <c r="L847" s="25" t="s">
        <v>3851</v>
      </c>
    </row>
    <row r="848" ht="15.75" customHeight="1">
      <c r="A848" s="58" t="s">
        <v>225</v>
      </c>
      <c r="B848" s="59">
        <v>46122.0</v>
      </c>
      <c r="C848" s="58" t="s">
        <v>226</v>
      </c>
      <c r="D848" s="58" t="s">
        <v>4618</v>
      </c>
      <c r="E848" s="58" t="s">
        <v>92</v>
      </c>
      <c r="F848" s="58" t="s">
        <v>3913</v>
      </c>
      <c r="G848" s="59">
        <v>46164.0</v>
      </c>
      <c r="H848" s="58" t="s">
        <v>4650</v>
      </c>
      <c r="I848" s="58" t="s">
        <v>97</v>
      </c>
      <c r="J848" s="58" t="s">
        <v>2247</v>
      </c>
      <c r="K848" s="58" t="s">
        <v>3881</v>
      </c>
      <c r="L848" s="58" t="s">
        <v>3855</v>
      </c>
    </row>
    <row r="849" ht="15.75" customHeight="1">
      <c r="A849" s="25" t="s">
        <v>899</v>
      </c>
      <c r="B849" s="26">
        <v>46080.0</v>
      </c>
      <c r="C849" s="25" t="s">
        <v>855</v>
      </c>
      <c r="D849" s="25" t="s">
        <v>4618</v>
      </c>
      <c r="E849" s="25" t="s">
        <v>78</v>
      </c>
      <c r="F849" s="25" t="s">
        <v>3844</v>
      </c>
      <c r="G849" s="26">
        <v>46113.0</v>
      </c>
      <c r="H849" s="25" t="s">
        <v>4651</v>
      </c>
      <c r="I849" s="25" t="s">
        <v>97</v>
      </c>
      <c r="J849" s="25" t="s">
        <v>2246</v>
      </c>
      <c r="K849" s="25" t="s">
        <v>3846</v>
      </c>
      <c r="L849" s="25" t="s">
        <v>3847</v>
      </c>
    </row>
    <row r="850" ht="15.75" customHeight="1">
      <c r="A850" s="58" t="s">
        <v>783</v>
      </c>
      <c r="B850" s="59">
        <v>46103.0</v>
      </c>
      <c r="C850" s="58" t="s">
        <v>706</v>
      </c>
      <c r="D850" s="58" t="s">
        <v>4618</v>
      </c>
      <c r="E850" s="58" t="s">
        <v>74</v>
      </c>
      <c r="F850" s="58" t="s">
        <v>3844</v>
      </c>
      <c r="G850" s="59">
        <v>46247.0</v>
      </c>
      <c r="H850" s="58" t="s">
        <v>4652</v>
      </c>
      <c r="I850" s="58" t="s">
        <v>97</v>
      </c>
      <c r="J850" s="58" t="s">
        <v>2246</v>
      </c>
      <c r="K850" s="58" t="s">
        <v>3846</v>
      </c>
      <c r="L850" s="58" t="s">
        <v>3847</v>
      </c>
    </row>
    <row r="851" ht="15.75" customHeight="1">
      <c r="A851" s="25" t="s">
        <v>902</v>
      </c>
      <c r="B851" s="26">
        <v>46134.0</v>
      </c>
      <c r="C851" s="25" t="s">
        <v>855</v>
      </c>
      <c r="D851" s="25" t="s">
        <v>4618</v>
      </c>
      <c r="E851" s="25" t="s">
        <v>74</v>
      </c>
      <c r="F851" s="25" t="s">
        <v>3844</v>
      </c>
      <c r="G851" s="26">
        <v>46279.0</v>
      </c>
      <c r="H851" s="25" t="s">
        <v>4653</v>
      </c>
      <c r="I851" s="25" t="s">
        <v>97</v>
      </c>
      <c r="J851" s="25" t="s">
        <v>2246</v>
      </c>
      <c r="K851" s="25" t="s">
        <v>3846</v>
      </c>
      <c r="L851" s="25" t="s">
        <v>3851</v>
      </c>
    </row>
    <row r="852" ht="15.75" customHeight="1">
      <c r="A852" s="58" t="s">
        <v>903</v>
      </c>
      <c r="B852" s="59">
        <v>46110.0</v>
      </c>
      <c r="C852" s="58" t="s">
        <v>855</v>
      </c>
      <c r="D852" s="58" t="s">
        <v>4618</v>
      </c>
      <c r="E852" s="58" t="s">
        <v>106</v>
      </c>
      <c r="F852" s="58" t="s">
        <v>3844</v>
      </c>
      <c r="G852" s="59">
        <v>46206.0</v>
      </c>
      <c r="H852" s="58" t="s">
        <v>4654</v>
      </c>
      <c r="I852" s="58" t="s">
        <v>97</v>
      </c>
      <c r="J852" s="58" t="s">
        <v>2246</v>
      </c>
      <c r="K852" s="58" t="s">
        <v>3846</v>
      </c>
      <c r="L852" s="58" t="s">
        <v>3851</v>
      </c>
    </row>
    <row r="853" ht="15.75" customHeight="1">
      <c r="A853" s="25" t="s">
        <v>1157</v>
      </c>
      <c r="B853" s="26">
        <v>46127.0</v>
      </c>
      <c r="C853" s="25" t="s">
        <v>1154</v>
      </c>
      <c r="D853" s="25" t="s">
        <v>4618</v>
      </c>
      <c r="E853" s="25" t="s">
        <v>81</v>
      </c>
      <c r="F853" s="25" t="s">
        <v>3844</v>
      </c>
      <c r="G853" s="26">
        <v>46282.0</v>
      </c>
      <c r="H853" s="25" t="s">
        <v>4655</v>
      </c>
      <c r="I853" s="25" t="s">
        <v>97</v>
      </c>
      <c r="J853" s="25" t="s">
        <v>2246</v>
      </c>
      <c r="K853" s="25" t="s">
        <v>3846</v>
      </c>
      <c r="L853" s="25" t="s">
        <v>3855</v>
      </c>
    </row>
    <row r="854" ht="15.75" customHeight="1">
      <c r="A854" s="58" t="s">
        <v>908</v>
      </c>
      <c r="B854" s="59">
        <v>46043.0</v>
      </c>
      <c r="C854" s="58" t="s">
        <v>855</v>
      </c>
      <c r="D854" s="58" t="s">
        <v>4618</v>
      </c>
      <c r="E854" s="58" t="s">
        <v>85</v>
      </c>
      <c r="F854" s="58" t="s">
        <v>3844</v>
      </c>
      <c r="G854" s="59">
        <v>46164.0</v>
      </c>
      <c r="H854" s="58" t="s">
        <v>4656</v>
      </c>
      <c r="I854" s="58" t="s">
        <v>97</v>
      </c>
      <c r="J854" s="58" t="s">
        <v>2246</v>
      </c>
      <c r="K854" s="58" t="s">
        <v>3846</v>
      </c>
      <c r="L854" s="58" t="s">
        <v>3847</v>
      </c>
    </row>
    <row r="855" ht="15.75" customHeight="1">
      <c r="A855" s="25" t="s">
        <v>623</v>
      </c>
      <c r="B855" s="26">
        <v>46079.0</v>
      </c>
      <c r="C855" s="25" t="s">
        <v>542</v>
      </c>
      <c r="D855" s="25" t="s">
        <v>4618</v>
      </c>
      <c r="E855" s="25" t="s">
        <v>102</v>
      </c>
      <c r="F855" s="25" t="s">
        <v>3844</v>
      </c>
      <c r="G855" s="26">
        <v>46197.0</v>
      </c>
      <c r="H855" s="25" t="s">
        <v>4657</v>
      </c>
      <c r="I855" s="25" t="s">
        <v>97</v>
      </c>
      <c r="J855" s="25" t="s">
        <v>2246</v>
      </c>
      <c r="K855" s="25" t="s">
        <v>3846</v>
      </c>
      <c r="L855" s="25" t="s">
        <v>3851</v>
      </c>
    </row>
    <row r="856" ht="15.75" customHeight="1">
      <c r="A856" s="58" t="s">
        <v>1162</v>
      </c>
      <c r="B856" s="59">
        <v>46096.0</v>
      </c>
      <c r="C856" s="58" t="s">
        <v>1154</v>
      </c>
      <c r="D856" s="58" t="s">
        <v>4618</v>
      </c>
      <c r="E856" s="58" t="s">
        <v>71</v>
      </c>
      <c r="F856" s="58" t="s">
        <v>3844</v>
      </c>
      <c r="G856" s="59">
        <v>46098.0</v>
      </c>
      <c r="H856" s="58" t="s">
        <v>4658</v>
      </c>
      <c r="I856" s="58" t="s">
        <v>97</v>
      </c>
      <c r="J856" s="58" t="s">
        <v>2246</v>
      </c>
      <c r="K856" s="58" t="s">
        <v>3846</v>
      </c>
      <c r="L856" s="58" t="s">
        <v>3851</v>
      </c>
    </row>
    <row r="857" ht="15.75" customHeight="1">
      <c r="A857" s="25" t="s">
        <v>794</v>
      </c>
      <c r="B857" s="26">
        <v>46134.0</v>
      </c>
      <c r="C857" s="25" t="s">
        <v>717</v>
      </c>
      <c r="D857" s="25" t="s">
        <v>4618</v>
      </c>
      <c r="E857" s="25" t="s">
        <v>71</v>
      </c>
      <c r="F857" s="25" t="s">
        <v>3844</v>
      </c>
      <c r="G857" s="26">
        <v>46208.0</v>
      </c>
      <c r="H857" s="25" t="s">
        <v>4659</v>
      </c>
      <c r="I857" s="25" t="s">
        <v>97</v>
      </c>
      <c r="J857" s="25" t="s">
        <v>2246</v>
      </c>
      <c r="K857" s="25" t="s">
        <v>3846</v>
      </c>
      <c r="L857" s="25" t="s">
        <v>3855</v>
      </c>
    </row>
    <row r="858" ht="15.75" customHeight="1">
      <c r="A858" s="58" t="s">
        <v>911</v>
      </c>
      <c r="B858" s="59">
        <v>46036.0</v>
      </c>
      <c r="C858" s="58" t="s">
        <v>855</v>
      </c>
      <c r="D858" s="58" t="s">
        <v>4618</v>
      </c>
      <c r="E858" s="58" t="s">
        <v>95</v>
      </c>
      <c r="F858" s="58" t="s">
        <v>3844</v>
      </c>
      <c r="G858" s="59">
        <v>46194.0</v>
      </c>
      <c r="H858" s="58" t="s">
        <v>4660</v>
      </c>
      <c r="I858" s="58" t="s">
        <v>97</v>
      </c>
      <c r="J858" s="58" t="s">
        <v>2246</v>
      </c>
      <c r="K858" s="58" t="s">
        <v>3846</v>
      </c>
      <c r="L858" s="58" t="s">
        <v>3855</v>
      </c>
    </row>
    <row r="859" ht="15.75" customHeight="1">
      <c r="A859" s="25" t="s">
        <v>798</v>
      </c>
      <c r="B859" s="26">
        <v>46100.0</v>
      </c>
      <c r="C859" s="25" t="s">
        <v>706</v>
      </c>
      <c r="D859" s="25" t="s">
        <v>4618</v>
      </c>
      <c r="E859" s="25" t="s">
        <v>68</v>
      </c>
      <c r="F859" s="25" t="s">
        <v>3844</v>
      </c>
      <c r="G859" s="26">
        <v>46134.0</v>
      </c>
      <c r="H859" s="25" t="s">
        <v>4661</v>
      </c>
      <c r="I859" s="25" t="s">
        <v>97</v>
      </c>
      <c r="J859" s="25" t="s">
        <v>2246</v>
      </c>
      <c r="K859" s="25" t="s">
        <v>3846</v>
      </c>
      <c r="L859" s="25" t="s">
        <v>3855</v>
      </c>
    </row>
    <row r="860" ht="15.75" customHeight="1">
      <c r="A860" s="58" t="s">
        <v>1164</v>
      </c>
      <c r="B860" s="59">
        <v>46117.0</v>
      </c>
      <c r="C860" s="58" t="s">
        <v>1154</v>
      </c>
      <c r="D860" s="58" t="s">
        <v>4618</v>
      </c>
      <c r="E860" s="58" t="s">
        <v>110</v>
      </c>
      <c r="F860" s="58" t="s">
        <v>3879</v>
      </c>
      <c r="G860" s="59">
        <v>46277.0</v>
      </c>
      <c r="H860" s="58" t="s">
        <v>4662</v>
      </c>
      <c r="I860" s="58" t="s">
        <v>97</v>
      </c>
      <c r="J860" s="58" t="s">
        <v>2247</v>
      </c>
      <c r="K860" s="58" t="s">
        <v>3881</v>
      </c>
      <c r="L860" s="58" t="s">
        <v>3855</v>
      </c>
    </row>
    <row r="861" ht="15.75" customHeight="1">
      <c r="A861" s="25" t="s">
        <v>1167</v>
      </c>
      <c r="B861" s="26">
        <v>46126.0</v>
      </c>
      <c r="C861" s="25" t="s">
        <v>1154</v>
      </c>
      <c r="D861" s="25" t="s">
        <v>4618</v>
      </c>
      <c r="E861" s="25" t="s">
        <v>102</v>
      </c>
      <c r="F861" s="25" t="s">
        <v>3844</v>
      </c>
      <c r="G861" s="26">
        <v>46220.0</v>
      </c>
      <c r="H861" s="25" t="s">
        <v>4663</v>
      </c>
      <c r="I861" s="25" t="s">
        <v>97</v>
      </c>
      <c r="J861" s="25" t="s">
        <v>2246</v>
      </c>
      <c r="K861" s="25" t="s">
        <v>3846</v>
      </c>
      <c r="L861" s="25" t="s">
        <v>3851</v>
      </c>
    </row>
    <row r="862" ht="15.75" customHeight="1">
      <c r="A862" s="58" t="s">
        <v>1168</v>
      </c>
      <c r="B862" s="59">
        <v>46070.0</v>
      </c>
      <c r="C862" s="58" t="s">
        <v>1154</v>
      </c>
      <c r="D862" s="58" t="s">
        <v>4618</v>
      </c>
      <c r="E862" s="58" t="s">
        <v>74</v>
      </c>
      <c r="F862" s="58" t="s">
        <v>3844</v>
      </c>
      <c r="G862" s="59">
        <v>46159.0</v>
      </c>
      <c r="H862" s="58" t="s">
        <v>4664</v>
      </c>
      <c r="I862" s="58" t="s">
        <v>97</v>
      </c>
      <c r="J862" s="58" t="s">
        <v>2246</v>
      </c>
      <c r="K862" s="58" t="s">
        <v>3846</v>
      </c>
      <c r="L862" s="58" t="s">
        <v>3847</v>
      </c>
    </row>
    <row r="863" ht="15.75" customHeight="1">
      <c r="A863" s="25" t="s">
        <v>915</v>
      </c>
      <c r="B863" s="26">
        <v>46083.0</v>
      </c>
      <c r="C863" s="25" t="s">
        <v>855</v>
      </c>
      <c r="D863" s="25" t="s">
        <v>4618</v>
      </c>
      <c r="E863" s="25" t="s">
        <v>102</v>
      </c>
      <c r="F863" s="25" t="s">
        <v>3844</v>
      </c>
      <c r="G863" s="26">
        <v>46209.0</v>
      </c>
      <c r="H863" s="25" t="s">
        <v>4665</v>
      </c>
      <c r="I863" s="25" t="s">
        <v>97</v>
      </c>
      <c r="J863" s="25" t="s">
        <v>2246</v>
      </c>
      <c r="K863" s="25" t="s">
        <v>3846</v>
      </c>
      <c r="L863" s="25" t="s">
        <v>3847</v>
      </c>
    </row>
    <row r="864" ht="15.75" customHeight="1">
      <c r="A864" s="58" t="s">
        <v>636</v>
      </c>
      <c r="B864" s="59">
        <v>46112.0</v>
      </c>
      <c r="C864" s="58" t="s">
        <v>542</v>
      </c>
      <c r="D864" s="58" t="s">
        <v>4618</v>
      </c>
      <c r="E864" s="58" t="s">
        <v>102</v>
      </c>
      <c r="F864" s="58" t="s">
        <v>3844</v>
      </c>
      <c r="G864" s="59">
        <v>46111.0</v>
      </c>
      <c r="H864" s="58" t="s">
        <v>4666</v>
      </c>
      <c r="I864" s="58" t="s">
        <v>97</v>
      </c>
      <c r="J864" s="58" t="s">
        <v>2246</v>
      </c>
      <c r="K864" s="58" t="s">
        <v>3846</v>
      </c>
      <c r="L864" s="58" t="s">
        <v>3855</v>
      </c>
    </row>
    <row r="865" ht="15.75" customHeight="1">
      <c r="A865" s="25" t="s">
        <v>637</v>
      </c>
      <c r="B865" s="26">
        <v>46027.0</v>
      </c>
      <c r="C865" s="25" t="s">
        <v>542</v>
      </c>
      <c r="D865" s="25" t="s">
        <v>4618</v>
      </c>
      <c r="E865" s="25" t="s">
        <v>85</v>
      </c>
      <c r="F865" s="25" t="s">
        <v>3844</v>
      </c>
      <c r="G865" s="26">
        <v>46065.0</v>
      </c>
      <c r="H865" s="25" t="s">
        <v>4667</v>
      </c>
      <c r="I865" s="25" t="s">
        <v>97</v>
      </c>
      <c r="J865" s="25" t="s">
        <v>2246</v>
      </c>
      <c r="K865" s="25" t="s">
        <v>3846</v>
      </c>
      <c r="L865" s="25" t="s">
        <v>3847</v>
      </c>
    </row>
    <row r="866" ht="15.75" customHeight="1">
      <c r="A866" s="58" t="s">
        <v>638</v>
      </c>
      <c r="B866" s="59">
        <v>46045.0</v>
      </c>
      <c r="C866" s="58" t="s">
        <v>547</v>
      </c>
      <c r="D866" s="58" t="s">
        <v>4618</v>
      </c>
      <c r="E866" s="58" t="s">
        <v>156</v>
      </c>
      <c r="F866" s="58" t="s">
        <v>3844</v>
      </c>
      <c r="G866" s="59">
        <v>46085.0</v>
      </c>
      <c r="H866" s="58" t="s">
        <v>4668</v>
      </c>
      <c r="I866" s="58" t="s">
        <v>97</v>
      </c>
      <c r="J866" s="58" t="s">
        <v>2246</v>
      </c>
      <c r="K866" s="58" t="s">
        <v>3846</v>
      </c>
      <c r="L866" s="58" t="s">
        <v>3847</v>
      </c>
    </row>
    <row r="867" ht="15.75" customHeight="1">
      <c r="A867" s="25" t="s">
        <v>918</v>
      </c>
      <c r="B867" s="26">
        <v>46085.0</v>
      </c>
      <c r="C867" s="25" t="s">
        <v>855</v>
      </c>
      <c r="D867" s="25" t="s">
        <v>4618</v>
      </c>
      <c r="E867" s="25" t="s">
        <v>64</v>
      </c>
      <c r="F867" s="25" t="s">
        <v>3844</v>
      </c>
      <c r="G867" s="26">
        <v>46120.0</v>
      </c>
      <c r="H867" s="25" t="s">
        <v>4669</v>
      </c>
      <c r="I867" s="25" t="s">
        <v>97</v>
      </c>
      <c r="J867" s="25" t="s">
        <v>2246</v>
      </c>
      <c r="K867" s="25" t="s">
        <v>3846</v>
      </c>
      <c r="L867" s="25" t="s">
        <v>3855</v>
      </c>
    </row>
    <row r="868" ht="15.75" customHeight="1">
      <c r="A868" s="58" t="s">
        <v>919</v>
      </c>
      <c r="B868" s="59">
        <v>46058.0</v>
      </c>
      <c r="C868" s="58" t="s">
        <v>855</v>
      </c>
      <c r="D868" s="58" t="s">
        <v>4618</v>
      </c>
      <c r="E868" s="58" t="s">
        <v>74</v>
      </c>
      <c r="F868" s="58" t="s">
        <v>3844</v>
      </c>
      <c r="G868" s="59">
        <v>46215.0</v>
      </c>
      <c r="H868" s="58" t="s">
        <v>4670</v>
      </c>
      <c r="I868" s="58" t="s">
        <v>97</v>
      </c>
      <c r="J868" s="58" t="s">
        <v>2246</v>
      </c>
      <c r="K868" s="58" t="s">
        <v>3846</v>
      </c>
      <c r="L868" s="58" t="s">
        <v>3855</v>
      </c>
    </row>
    <row r="869" ht="15.75" customHeight="1">
      <c r="A869" s="25" t="s">
        <v>811</v>
      </c>
      <c r="B869" s="26">
        <v>46045.0</v>
      </c>
      <c r="C869" s="25" t="s">
        <v>706</v>
      </c>
      <c r="D869" s="25" t="s">
        <v>4618</v>
      </c>
      <c r="E869" s="25" t="s">
        <v>154</v>
      </c>
      <c r="F869" s="25" t="s">
        <v>3844</v>
      </c>
      <c r="G869" s="26">
        <v>46105.0</v>
      </c>
      <c r="H869" s="25" t="s">
        <v>4671</v>
      </c>
      <c r="I869" s="25" t="s">
        <v>97</v>
      </c>
      <c r="J869" s="25" t="s">
        <v>2246</v>
      </c>
      <c r="K869" s="25" t="s">
        <v>3846</v>
      </c>
      <c r="L869" s="25" t="s">
        <v>3855</v>
      </c>
    </row>
    <row r="870" ht="15.75" customHeight="1">
      <c r="A870" s="58" t="s">
        <v>247</v>
      </c>
      <c r="B870" s="59">
        <v>46108.0</v>
      </c>
      <c r="C870" s="58" t="s">
        <v>226</v>
      </c>
      <c r="D870" s="58" t="s">
        <v>4618</v>
      </c>
      <c r="E870" s="58" t="s">
        <v>64</v>
      </c>
      <c r="F870" s="58" t="s">
        <v>3844</v>
      </c>
      <c r="G870" s="59">
        <v>46125.0</v>
      </c>
      <c r="H870" s="58" t="s">
        <v>4672</v>
      </c>
      <c r="I870" s="58" t="s">
        <v>97</v>
      </c>
      <c r="J870" s="58" t="s">
        <v>2246</v>
      </c>
      <c r="K870" s="58" t="s">
        <v>3846</v>
      </c>
      <c r="L870" s="58" t="s">
        <v>3851</v>
      </c>
    </row>
    <row r="871" ht="15.75" customHeight="1">
      <c r="A871" s="25" t="s">
        <v>812</v>
      </c>
      <c r="B871" s="26">
        <v>46109.0</v>
      </c>
      <c r="C871" s="25" t="s">
        <v>717</v>
      </c>
      <c r="D871" s="25" t="s">
        <v>4618</v>
      </c>
      <c r="E871" s="25" t="s">
        <v>74</v>
      </c>
      <c r="F871" s="25" t="s">
        <v>3844</v>
      </c>
      <c r="G871" s="26">
        <v>46211.0</v>
      </c>
      <c r="H871" s="25" t="s">
        <v>4673</v>
      </c>
      <c r="I871" s="25" t="s">
        <v>97</v>
      </c>
      <c r="J871" s="25" t="s">
        <v>2246</v>
      </c>
      <c r="K871" s="25" t="s">
        <v>3846</v>
      </c>
      <c r="L871" s="25" t="s">
        <v>3851</v>
      </c>
    </row>
    <row r="872" ht="15.75" customHeight="1">
      <c r="A872" s="58" t="s">
        <v>647</v>
      </c>
      <c r="B872" s="59">
        <v>46101.0</v>
      </c>
      <c r="C872" s="58" t="s">
        <v>542</v>
      </c>
      <c r="D872" s="58" t="s">
        <v>4618</v>
      </c>
      <c r="E872" s="58" t="s">
        <v>81</v>
      </c>
      <c r="F872" s="58" t="s">
        <v>3844</v>
      </c>
      <c r="G872" s="59">
        <v>46103.0</v>
      </c>
      <c r="H872" s="58" t="s">
        <v>4674</v>
      </c>
      <c r="I872" s="58" t="s">
        <v>97</v>
      </c>
      <c r="J872" s="58" t="s">
        <v>2246</v>
      </c>
      <c r="K872" s="58" t="s">
        <v>3846</v>
      </c>
      <c r="L872" s="58" t="s">
        <v>3847</v>
      </c>
    </row>
    <row r="873" ht="15.75" customHeight="1">
      <c r="A873" s="25" t="s">
        <v>816</v>
      </c>
      <c r="B873" s="26">
        <v>46120.0</v>
      </c>
      <c r="C873" s="25" t="s">
        <v>712</v>
      </c>
      <c r="D873" s="25" t="s">
        <v>4618</v>
      </c>
      <c r="E873" s="25" t="s">
        <v>64</v>
      </c>
      <c r="F873" s="25" t="s">
        <v>3844</v>
      </c>
      <c r="G873" s="26">
        <v>46212.0</v>
      </c>
      <c r="H873" s="25" t="s">
        <v>4675</v>
      </c>
      <c r="I873" s="25" t="s">
        <v>97</v>
      </c>
      <c r="J873" s="25" t="s">
        <v>2246</v>
      </c>
      <c r="K873" s="25" t="s">
        <v>3846</v>
      </c>
      <c r="L873" s="25" t="s">
        <v>3851</v>
      </c>
    </row>
    <row r="874" ht="15.75" customHeight="1">
      <c r="A874" s="58" t="s">
        <v>1172</v>
      </c>
      <c r="B874" s="59">
        <v>46085.0</v>
      </c>
      <c r="C874" s="58" t="s">
        <v>1154</v>
      </c>
      <c r="D874" s="58" t="s">
        <v>4618</v>
      </c>
      <c r="E874" s="58" t="s">
        <v>90</v>
      </c>
      <c r="F874" s="58" t="s">
        <v>3844</v>
      </c>
      <c r="G874" s="59">
        <v>46179.0</v>
      </c>
      <c r="H874" s="58" t="s">
        <v>4676</v>
      </c>
      <c r="I874" s="58" t="s">
        <v>97</v>
      </c>
      <c r="J874" s="58" t="s">
        <v>2246</v>
      </c>
      <c r="K874" s="58" t="s">
        <v>3846</v>
      </c>
      <c r="L874" s="58" t="s">
        <v>3847</v>
      </c>
    </row>
    <row r="875" ht="15.75" customHeight="1">
      <c r="A875" s="25" t="s">
        <v>1174</v>
      </c>
      <c r="B875" s="26">
        <v>46063.0</v>
      </c>
      <c r="C875" s="25" t="s">
        <v>1154</v>
      </c>
      <c r="D875" s="25" t="s">
        <v>4618</v>
      </c>
      <c r="E875" s="25" t="s">
        <v>81</v>
      </c>
      <c r="F875" s="25" t="s">
        <v>3844</v>
      </c>
      <c r="G875" s="26">
        <v>46198.0</v>
      </c>
      <c r="H875" s="25" t="s">
        <v>4677</v>
      </c>
      <c r="I875" s="25" t="s">
        <v>97</v>
      </c>
      <c r="J875" s="25" t="s">
        <v>2246</v>
      </c>
      <c r="K875" s="25" t="s">
        <v>3846</v>
      </c>
      <c r="L875" s="25" t="s">
        <v>3847</v>
      </c>
    </row>
    <row r="876" ht="15.75" customHeight="1">
      <c r="A876" s="58" t="s">
        <v>820</v>
      </c>
      <c r="B876" s="59">
        <v>46055.0</v>
      </c>
      <c r="C876" s="58" t="s">
        <v>706</v>
      </c>
      <c r="D876" s="58" t="s">
        <v>4618</v>
      </c>
      <c r="E876" s="58" t="s">
        <v>154</v>
      </c>
      <c r="F876" s="58" t="s">
        <v>3857</v>
      </c>
      <c r="G876" s="59">
        <v>46064.0</v>
      </c>
      <c r="H876" s="58" t="s">
        <v>4678</v>
      </c>
      <c r="I876" s="58" t="s">
        <v>97</v>
      </c>
      <c r="J876" s="58" t="s">
        <v>2246</v>
      </c>
      <c r="K876" s="58" t="s">
        <v>3846</v>
      </c>
      <c r="L876" s="58" t="s">
        <v>3855</v>
      </c>
    </row>
    <row r="877" ht="15.75" customHeight="1">
      <c r="A877" s="25" t="s">
        <v>251</v>
      </c>
      <c r="B877" s="26">
        <v>46061.0</v>
      </c>
      <c r="C877" s="25" t="s">
        <v>226</v>
      </c>
      <c r="D877" s="25" t="s">
        <v>4618</v>
      </c>
      <c r="E877" s="25" t="s">
        <v>123</v>
      </c>
      <c r="F877" s="25" t="s">
        <v>3844</v>
      </c>
      <c r="G877" s="26">
        <v>46193.0</v>
      </c>
      <c r="H877" s="25" t="s">
        <v>4679</v>
      </c>
      <c r="I877" s="25" t="s">
        <v>97</v>
      </c>
      <c r="J877" s="25" t="s">
        <v>2246</v>
      </c>
      <c r="K877" s="25" t="s">
        <v>3846</v>
      </c>
      <c r="L877" s="25" t="s">
        <v>3851</v>
      </c>
    </row>
    <row r="878" ht="15.75" customHeight="1">
      <c r="A878" s="58" t="s">
        <v>1043</v>
      </c>
      <c r="B878" s="59">
        <v>46024.0</v>
      </c>
      <c r="C878" s="58" t="s">
        <v>953</v>
      </c>
      <c r="D878" s="58" t="s">
        <v>4618</v>
      </c>
      <c r="E878" s="58" t="s">
        <v>78</v>
      </c>
      <c r="F878" s="58" t="s">
        <v>3844</v>
      </c>
      <c r="G878" s="59">
        <v>46125.0</v>
      </c>
      <c r="H878" s="58"/>
      <c r="I878" s="58" t="s">
        <v>97</v>
      </c>
      <c r="J878" s="58" t="s">
        <v>2247</v>
      </c>
      <c r="K878" s="58" t="s">
        <v>3848</v>
      </c>
      <c r="L878" s="58" t="s">
        <v>3855</v>
      </c>
    </row>
    <row r="879" ht="15.75" customHeight="1">
      <c r="A879" s="25" t="s">
        <v>656</v>
      </c>
      <c r="B879" s="26">
        <v>46059.0</v>
      </c>
      <c r="C879" s="25" t="s">
        <v>542</v>
      </c>
      <c r="D879" s="25" t="s">
        <v>4618</v>
      </c>
      <c r="E879" s="25" t="s">
        <v>115</v>
      </c>
      <c r="F879" s="25" t="s">
        <v>3879</v>
      </c>
      <c r="G879" s="26">
        <v>46211.0</v>
      </c>
      <c r="H879" s="25" t="s">
        <v>4680</v>
      </c>
      <c r="I879" s="25" t="s">
        <v>3853</v>
      </c>
      <c r="J879" s="25" t="s">
        <v>2247</v>
      </c>
      <c r="K879" s="25" t="s">
        <v>3951</v>
      </c>
      <c r="L879" s="25" t="s">
        <v>3847</v>
      </c>
    </row>
    <row r="880" ht="15.75" customHeight="1">
      <c r="A880" s="58" t="s">
        <v>821</v>
      </c>
      <c r="B880" s="59">
        <v>46073.0</v>
      </c>
      <c r="C880" s="58" t="s">
        <v>735</v>
      </c>
      <c r="D880" s="58" t="s">
        <v>4618</v>
      </c>
      <c r="E880" s="58" t="s">
        <v>102</v>
      </c>
      <c r="F880" s="58" t="s">
        <v>3844</v>
      </c>
      <c r="G880" s="59">
        <v>46153.0</v>
      </c>
      <c r="H880" s="58" t="s">
        <v>4681</v>
      </c>
      <c r="I880" s="58" t="s">
        <v>97</v>
      </c>
      <c r="J880" s="58" t="s">
        <v>2246</v>
      </c>
      <c r="K880" s="58" t="s">
        <v>3846</v>
      </c>
      <c r="L880" s="58" t="s">
        <v>3851</v>
      </c>
    </row>
    <row r="881" ht="15.75" customHeight="1">
      <c r="A881" s="25" t="s">
        <v>1179</v>
      </c>
      <c r="B881" s="26">
        <v>46050.0</v>
      </c>
      <c r="C881" s="25" t="s">
        <v>1154</v>
      </c>
      <c r="D881" s="25" t="s">
        <v>4618</v>
      </c>
      <c r="E881" s="25" t="s">
        <v>64</v>
      </c>
      <c r="F881" s="25" t="s">
        <v>3844</v>
      </c>
      <c r="G881" s="26">
        <v>46152.0</v>
      </c>
      <c r="H881" s="25" t="s">
        <v>4682</v>
      </c>
      <c r="I881" s="25" t="s">
        <v>97</v>
      </c>
      <c r="J881" s="25" t="s">
        <v>2246</v>
      </c>
      <c r="K881" s="25" t="s">
        <v>3846</v>
      </c>
      <c r="L881" s="25" t="s">
        <v>3847</v>
      </c>
    </row>
    <row r="882" ht="15.75" customHeight="1">
      <c r="A882" s="58" t="s">
        <v>1180</v>
      </c>
      <c r="B882" s="59">
        <v>46065.0</v>
      </c>
      <c r="C882" s="58" t="s">
        <v>1154</v>
      </c>
      <c r="D882" s="58" t="s">
        <v>4618</v>
      </c>
      <c r="E882" s="58" t="s">
        <v>156</v>
      </c>
      <c r="F882" s="58" t="s">
        <v>3844</v>
      </c>
      <c r="G882" s="59">
        <v>46189.0</v>
      </c>
      <c r="H882" s="58"/>
      <c r="I882" s="58" t="s">
        <v>97</v>
      </c>
      <c r="J882" s="58" t="s">
        <v>2247</v>
      </c>
      <c r="K882" s="58" t="s">
        <v>3848</v>
      </c>
      <c r="L882" s="58" t="s">
        <v>3847</v>
      </c>
    </row>
    <row r="883" ht="15.75" customHeight="1">
      <c r="A883" s="25" t="s">
        <v>664</v>
      </c>
      <c r="B883" s="26">
        <v>46066.0</v>
      </c>
      <c r="C883" s="25" t="s">
        <v>547</v>
      </c>
      <c r="D883" s="25" t="s">
        <v>4618</v>
      </c>
      <c r="E883" s="25" t="s">
        <v>74</v>
      </c>
      <c r="F883" s="25" t="s">
        <v>3844</v>
      </c>
      <c r="G883" s="26">
        <v>46205.0</v>
      </c>
      <c r="H883" s="25" t="s">
        <v>4683</v>
      </c>
      <c r="I883" s="25" t="s">
        <v>97</v>
      </c>
      <c r="J883" s="25" t="s">
        <v>2246</v>
      </c>
      <c r="K883" s="25" t="s">
        <v>3846</v>
      </c>
      <c r="L883" s="25" t="s">
        <v>3855</v>
      </c>
    </row>
    <row r="884" ht="15.75" customHeight="1">
      <c r="A884" s="58" t="s">
        <v>666</v>
      </c>
      <c r="B884" s="59">
        <v>46081.0</v>
      </c>
      <c r="C884" s="58" t="s">
        <v>542</v>
      </c>
      <c r="D884" s="58" t="s">
        <v>4618</v>
      </c>
      <c r="E884" s="58" t="s">
        <v>68</v>
      </c>
      <c r="F884" s="58" t="s">
        <v>3844</v>
      </c>
      <c r="G884" s="59">
        <v>46097.0</v>
      </c>
      <c r="H884" s="58" t="s">
        <v>4684</v>
      </c>
      <c r="I884" s="58" t="s">
        <v>3906</v>
      </c>
      <c r="J884" s="58" t="s">
        <v>2247</v>
      </c>
      <c r="K884" s="58" t="s">
        <v>3854</v>
      </c>
      <c r="L884" s="58" t="s">
        <v>3847</v>
      </c>
    </row>
    <row r="885" ht="15.75" customHeight="1">
      <c r="A885" s="25" t="s">
        <v>933</v>
      </c>
      <c r="B885" s="26">
        <v>46080.0</v>
      </c>
      <c r="C885" s="25" t="s">
        <v>855</v>
      </c>
      <c r="D885" s="25" t="s">
        <v>4618</v>
      </c>
      <c r="E885" s="25" t="s">
        <v>162</v>
      </c>
      <c r="F885" s="25" t="s">
        <v>3844</v>
      </c>
      <c r="G885" s="26">
        <v>46089.0</v>
      </c>
      <c r="H885" s="25" t="s">
        <v>4685</v>
      </c>
      <c r="I885" s="25" t="s">
        <v>97</v>
      </c>
      <c r="J885" s="25" t="s">
        <v>2246</v>
      </c>
      <c r="K885" s="25" t="s">
        <v>3846</v>
      </c>
      <c r="L885" s="25" t="s">
        <v>3855</v>
      </c>
    </row>
    <row r="886" ht="15.75" customHeight="1">
      <c r="A886" s="58" t="s">
        <v>828</v>
      </c>
      <c r="B886" s="59">
        <v>46129.0</v>
      </c>
      <c r="C886" s="58" t="s">
        <v>735</v>
      </c>
      <c r="D886" s="58" t="s">
        <v>4618</v>
      </c>
      <c r="E886" s="58" t="s">
        <v>90</v>
      </c>
      <c r="F886" s="58" t="s">
        <v>3844</v>
      </c>
      <c r="G886" s="59">
        <v>46149.0</v>
      </c>
      <c r="H886" s="58" t="s">
        <v>4686</v>
      </c>
      <c r="I886" s="58" t="s">
        <v>97</v>
      </c>
      <c r="J886" s="58" t="s">
        <v>2246</v>
      </c>
      <c r="K886" s="58" t="s">
        <v>3846</v>
      </c>
      <c r="L886" s="58" t="s">
        <v>3855</v>
      </c>
    </row>
    <row r="887" ht="15.75" customHeight="1">
      <c r="A887" s="25" t="s">
        <v>1049</v>
      </c>
      <c r="B887" s="26">
        <v>46047.0</v>
      </c>
      <c r="C887" s="25" t="s">
        <v>953</v>
      </c>
      <c r="D887" s="25" t="s">
        <v>4618</v>
      </c>
      <c r="E887" s="25" t="s">
        <v>190</v>
      </c>
      <c r="F887" s="25" t="s">
        <v>3844</v>
      </c>
      <c r="G887" s="26">
        <v>46054.0</v>
      </c>
      <c r="H887" s="25" t="s">
        <v>4687</v>
      </c>
      <c r="I887" s="25" t="s">
        <v>3853</v>
      </c>
      <c r="J887" s="25" t="s">
        <v>2247</v>
      </c>
      <c r="K887" s="25" t="s">
        <v>3854</v>
      </c>
      <c r="L887" s="25" t="s">
        <v>3851</v>
      </c>
    </row>
    <row r="888" ht="15.75" customHeight="1">
      <c r="A888" s="58" t="s">
        <v>829</v>
      </c>
      <c r="B888" s="59">
        <v>46044.0</v>
      </c>
      <c r="C888" s="58" t="s">
        <v>712</v>
      </c>
      <c r="D888" s="58" t="s">
        <v>4618</v>
      </c>
      <c r="E888" s="58" t="s">
        <v>81</v>
      </c>
      <c r="F888" s="58" t="s">
        <v>3844</v>
      </c>
      <c r="G888" s="59">
        <v>46088.0</v>
      </c>
      <c r="H888" s="58" t="s">
        <v>4688</v>
      </c>
      <c r="I888" s="58" t="s">
        <v>97</v>
      </c>
      <c r="J888" s="58" t="s">
        <v>2246</v>
      </c>
      <c r="K888" s="58" t="s">
        <v>3846</v>
      </c>
      <c r="L888" s="58" t="s">
        <v>3851</v>
      </c>
    </row>
    <row r="889" ht="15.75" customHeight="1">
      <c r="A889" s="25" t="s">
        <v>1051</v>
      </c>
      <c r="B889" s="26">
        <v>46080.0</v>
      </c>
      <c r="C889" s="25" t="s">
        <v>953</v>
      </c>
      <c r="D889" s="25" t="s">
        <v>4618</v>
      </c>
      <c r="E889" s="25" t="s">
        <v>108</v>
      </c>
      <c r="F889" s="25" t="s">
        <v>3844</v>
      </c>
      <c r="G889" s="26">
        <v>46111.0</v>
      </c>
      <c r="H889" s="25" t="s">
        <v>4689</v>
      </c>
      <c r="I889" s="25" t="s">
        <v>97</v>
      </c>
      <c r="J889" s="25" t="s">
        <v>2246</v>
      </c>
      <c r="K889" s="25" t="s">
        <v>3846</v>
      </c>
      <c r="L889" s="25" t="s">
        <v>3847</v>
      </c>
    </row>
    <row r="890" ht="15.75" customHeight="1">
      <c r="A890" s="58" t="s">
        <v>832</v>
      </c>
      <c r="B890" s="59">
        <v>46119.0</v>
      </c>
      <c r="C890" s="58" t="s">
        <v>712</v>
      </c>
      <c r="D890" s="58" t="s">
        <v>4618</v>
      </c>
      <c r="E890" s="58" t="s">
        <v>71</v>
      </c>
      <c r="F890" s="58" t="s">
        <v>3844</v>
      </c>
      <c r="G890" s="59">
        <v>46268.0</v>
      </c>
      <c r="H890" s="58"/>
      <c r="I890" s="58" t="s">
        <v>97</v>
      </c>
      <c r="J890" s="58" t="s">
        <v>2247</v>
      </c>
      <c r="K890" s="58" t="s">
        <v>3848</v>
      </c>
      <c r="L890" s="58" t="s">
        <v>3855</v>
      </c>
    </row>
    <row r="891" ht="15.75" customHeight="1">
      <c r="A891" s="25" t="s">
        <v>268</v>
      </c>
      <c r="B891" s="26">
        <v>46060.0</v>
      </c>
      <c r="C891" s="25" t="s">
        <v>226</v>
      </c>
      <c r="D891" s="25" t="s">
        <v>4618</v>
      </c>
      <c r="E891" s="25" t="s">
        <v>110</v>
      </c>
      <c r="F891" s="25" t="s">
        <v>3844</v>
      </c>
      <c r="G891" s="26">
        <v>46082.0</v>
      </c>
      <c r="H891" s="25" t="s">
        <v>4690</v>
      </c>
      <c r="I891" s="25" t="s">
        <v>97</v>
      </c>
      <c r="J891" s="25" t="s">
        <v>2246</v>
      </c>
      <c r="K891" s="25" t="s">
        <v>3846</v>
      </c>
      <c r="L891" s="25" t="s">
        <v>3847</v>
      </c>
    </row>
    <row r="892" ht="15.75" customHeight="1">
      <c r="A892" s="58" t="s">
        <v>835</v>
      </c>
      <c r="B892" s="59">
        <v>46032.0</v>
      </c>
      <c r="C892" s="58" t="s">
        <v>712</v>
      </c>
      <c r="D892" s="58" t="s">
        <v>4618</v>
      </c>
      <c r="E892" s="58" t="s">
        <v>78</v>
      </c>
      <c r="F892" s="58" t="s">
        <v>3844</v>
      </c>
      <c r="G892" s="59">
        <v>46036.0</v>
      </c>
      <c r="H892" s="58" t="s">
        <v>4691</v>
      </c>
      <c r="I892" s="58" t="s">
        <v>97</v>
      </c>
      <c r="J892" s="58" t="s">
        <v>2246</v>
      </c>
      <c r="K892" s="58" t="s">
        <v>3846</v>
      </c>
      <c r="L892" s="58" t="s">
        <v>3851</v>
      </c>
    </row>
    <row r="893" ht="15.75" customHeight="1">
      <c r="A893" s="25" t="s">
        <v>838</v>
      </c>
      <c r="B893" s="26">
        <v>46076.0</v>
      </c>
      <c r="C893" s="25" t="s">
        <v>717</v>
      </c>
      <c r="D893" s="25" t="s">
        <v>4618</v>
      </c>
      <c r="E893" s="25" t="s">
        <v>154</v>
      </c>
      <c r="F893" s="25" t="s">
        <v>3879</v>
      </c>
      <c r="G893" s="26">
        <v>46195.0</v>
      </c>
      <c r="H893" s="25" t="s">
        <v>4692</v>
      </c>
      <c r="I893" s="25" t="s">
        <v>97</v>
      </c>
      <c r="J893" s="25" t="s">
        <v>2247</v>
      </c>
      <c r="K893" s="25" t="s">
        <v>3881</v>
      </c>
      <c r="L893" s="25" t="s">
        <v>3855</v>
      </c>
    </row>
    <row r="894" ht="15.75" customHeight="1">
      <c r="A894" s="58" t="s">
        <v>1058</v>
      </c>
      <c r="B894" s="59">
        <v>46073.0</v>
      </c>
      <c r="C894" s="58" t="s">
        <v>953</v>
      </c>
      <c r="D894" s="58" t="s">
        <v>4618</v>
      </c>
      <c r="E894" s="58" t="s">
        <v>78</v>
      </c>
      <c r="F894" s="58" t="s">
        <v>3844</v>
      </c>
      <c r="G894" s="59">
        <v>46213.0</v>
      </c>
      <c r="H894" s="58" t="s">
        <v>4693</v>
      </c>
      <c r="I894" s="58" t="s">
        <v>97</v>
      </c>
      <c r="J894" s="58" t="s">
        <v>2246</v>
      </c>
      <c r="K894" s="58" t="s">
        <v>3846</v>
      </c>
      <c r="L894" s="58" t="s">
        <v>3851</v>
      </c>
    </row>
    <row r="895" ht="15.75" customHeight="1">
      <c r="A895" s="25" t="s">
        <v>937</v>
      </c>
      <c r="B895" s="26">
        <v>46130.0</v>
      </c>
      <c r="C895" s="25" t="s">
        <v>855</v>
      </c>
      <c r="D895" s="25" t="s">
        <v>4618</v>
      </c>
      <c r="E895" s="25" t="s">
        <v>115</v>
      </c>
      <c r="F895" s="25" t="s">
        <v>3844</v>
      </c>
      <c r="G895" s="26">
        <v>46127.0</v>
      </c>
      <c r="H895" s="25" t="s">
        <v>4694</v>
      </c>
      <c r="I895" s="25" t="s">
        <v>3853</v>
      </c>
      <c r="J895" s="25" t="s">
        <v>2247</v>
      </c>
      <c r="K895" s="25" t="s">
        <v>3854</v>
      </c>
      <c r="L895" s="25" t="s">
        <v>3847</v>
      </c>
    </row>
    <row r="896" ht="15.75" customHeight="1">
      <c r="A896" s="58" t="s">
        <v>273</v>
      </c>
      <c r="B896" s="59">
        <v>46102.0</v>
      </c>
      <c r="C896" s="58" t="s">
        <v>226</v>
      </c>
      <c r="D896" s="58" t="s">
        <v>4618</v>
      </c>
      <c r="E896" s="58" t="s">
        <v>123</v>
      </c>
      <c r="F896" s="58" t="s">
        <v>3844</v>
      </c>
      <c r="G896" s="59">
        <v>46087.0</v>
      </c>
      <c r="H896" s="58" t="s">
        <v>4695</v>
      </c>
      <c r="I896" s="58" t="s">
        <v>97</v>
      </c>
      <c r="J896" s="58" t="s">
        <v>2246</v>
      </c>
      <c r="K896" s="58" t="s">
        <v>3846</v>
      </c>
      <c r="L896" s="58" t="s">
        <v>3847</v>
      </c>
    </row>
    <row r="897" ht="15.75" customHeight="1">
      <c r="A897" s="25" t="s">
        <v>678</v>
      </c>
      <c r="B897" s="26">
        <v>46134.0</v>
      </c>
      <c r="C897" s="25" t="s">
        <v>547</v>
      </c>
      <c r="D897" s="25" t="s">
        <v>4618</v>
      </c>
      <c r="E897" s="25" t="s">
        <v>110</v>
      </c>
      <c r="F897" s="25" t="s">
        <v>3844</v>
      </c>
      <c r="G897" s="26">
        <v>46271.0</v>
      </c>
      <c r="H897" s="25" t="s">
        <v>4696</v>
      </c>
      <c r="I897" s="25" t="s">
        <v>97</v>
      </c>
      <c r="J897" s="25" t="s">
        <v>2246</v>
      </c>
      <c r="K897" s="25" t="s">
        <v>3846</v>
      </c>
      <c r="L897" s="25" t="s">
        <v>3851</v>
      </c>
    </row>
    <row r="898" ht="15.75" customHeight="1">
      <c r="A898" s="58" t="s">
        <v>1195</v>
      </c>
      <c r="B898" s="59">
        <v>46024.0</v>
      </c>
      <c r="C898" s="58" t="s">
        <v>1154</v>
      </c>
      <c r="D898" s="58" t="s">
        <v>4618</v>
      </c>
      <c r="E898" s="58" t="s">
        <v>154</v>
      </c>
      <c r="F898" s="58" t="s">
        <v>3844</v>
      </c>
      <c r="G898" s="59">
        <v>46028.0</v>
      </c>
      <c r="H898" s="58" t="s">
        <v>4697</v>
      </c>
      <c r="I898" s="58" t="s">
        <v>97</v>
      </c>
      <c r="J898" s="58" t="s">
        <v>2246</v>
      </c>
      <c r="K898" s="58" t="s">
        <v>3846</v>
      </c>
      <c r="L898" s="58" t="s">
        <v>3851</v>
      </c>
    </row>
    <row r="899" ht="15.75" customHeight="1">
      <c r="A899" s="25" t="s">
        <v>680</v>
      </c>
      <c r="B899" s="26">
        <v>46100.0</v>
      </c>
      <c r="C899" s="25" t="s">
        <v>547</v>
      </c>
      <c r="D899" s="25" t="s">
        <v>4618</v>
      </c>
      <c r="E899" s="25" t="s">
        <v>106</v>
      </c>
      <c r="F899" s="25" t="s">
        <v>3844</v>
      </c>
      <c r="G899" s="26">
        <v>46104.0</v>
      </c>
      <c r="H899" s="25" t="s">
        <v>4698</v>
      </c>
      <c r="I899" s="25" t="s">
        <v>97</v>
      </c>
      <c r="J899" s="25" t="s">
        <v>2246</v>
      </c>
      <c r="K899" s="25" t="s">
        <v>3846</v>
      </c>
      <c r="L899" s="25" t="s">
        <v>3851</v>
      </c>
    </row>
    <row r="900" ht="15.75" customHeight="1">
      <c r="A900" s="58" t="s">
        <v>681</v>
      </c>
      <c r="B900" s="59">
        <v>46025.0</v>
      </c>
      <c r="C900" s="58" t="s">
        <v>547</v>
      </c>
      <c r="D900" s="58" t="s">
        <v>4618</v>
      </c>
      <c r="E900" s="58" t="s">
        <v>92</v>
      </c>
      <c r="F900" s="58" t="s">
        <v>3844</v>
      </c>
      <c r="G900" s="59">
        <v>46182.0</v>
      </c>
      <c r="H900" s="58" t="s">
        <v>4699</v>
      </c>
      <c r="I900" s="58" t="s">
        <v>97</v>
      </c>
      <c r="J900" s="58" t="s">
        <v>2246</v>
      </c>
      <c r="K900" s="58" t="s">
        <v>3846</v>
      </c>
      <c r="L900" s="58" t="s">
        <v>3847</v>
      </c>
    </row>
    <row r="901" ht="15.75" customHeight="1">
      <c r="A901" s="25" t="s">
        <v>684</v>
      </c>
      <c r="B901" s="26">
        <v>46096.0</v>
      </c>
      <c r="C901" s="25" t="s">
        <v>542</v>
      </c>
      <c r="D901" s="25" t="s">
        <v>4618</v>
      </c>
      <c r="E901" s="25" t="s">
        <v>78</v>
      </c>
      <c r="F901" s="25" t="s">
        <v>3844</v>
      </c>
      <c r="G901" s="26">
        <v>46159.0</v>
      </c>
      <c r="H901" s="25" t="s">
        <v>4700</v>
      </c>
      <c r="I901" s="25" t="s">
        <v>97</v>
      </c>
      <c r="J901" s="25" t="s">
        <v>2246</v>
      </c>
      <c r="K901" s="25" t="s">
        <v>3846</v>
      </c>
      <c r="L901" s="25" t="s">
        <v>3855</v>
      </c>
    </row>
    <row r="902" ht="15.75" customHeight="1">
      <c r="A902" s="58" t="s">
        <v>685</v>
      </c>
      <c r="B902" s="59">
        <v>46077.0</v>
      </c>
      <c r="C902" s="58" t="s">
        <v>542</v>
      </c>
      <c r="D902" s="58" t="s">
        <v>4618</v>
      </c>
      <c r="E902" s="58" t="s">
        <v>106</v>
      </c>
      <c r="F902" s="58" t="s">
        <v>3844</v>
      </c>
      <c r="G902" s="59">
        <v>46130.0</v>
      </c>
      <c r="H902" s="58" t="s">
        <v>4701</v>
      </c>
      <c r="I902" s="58" t="s">
        <v>97</v>
      </c>
      <c r="J902" s="58" t="s">
        <v>2246</v>
      </c>
      <c r="K902" s="58" t="s">
        <v>3846</v>
      </c>
      <c r="L902" s="58" t="s">
        <v>3855</v>
      </c>
    </row>
    <row r="903" ht="15.75" customHeight="1">
      <c r="A903" s="25" t="s">
        <v>691</v>
      </c>
      <c r="B903" s="26">
        <v>46081.0</v>
      </c>
      <c r="C903" s="25" t="s">
        <v>547</v>
      </c>
      <c r="D903" s="25" t="s">
        <v>4618</v>
      </c>
      <c r="E903" s="25" t="s">
        <v>71</v>
      </c>
      <c r="F903" s="25" t="s">
        <v>3844</v>
      </c>
      <c r="G903" s="26">
        <v>46184.0</v>
      </c>
      <c r="H903" s="25" t="s">
        <v>4702</v>
      </c>
      <c r="I903" s="25" t="s">
        <v>97</v>
      </c>
      <c r="J903" s="25" t="s">
        <v>2246</v>
      </c>
      <c r="K903" s="25" t="s">
        <v>3846</v>
      </c>
      <c r="L903" s="25" t="s">
        <v>3847</v>
      </c>
    </row>
    <row r="904" ht="15.75" customHeight="1">
      <c r="A904" s="58" t="s">
        <v>849</v>
      </c>
      <c r="B904" s="59">
        <v>46143.0</v>
      </c>
      <c r="C904" s="58" t="s">
        <v>712</v>
      </c>
      <c r="D904" s="58" t="s">
        <v>4618</v>
      </c>
      <c r="E904" s="58" t="s">
        <v>110</v>
      </c>
      <c r="F904" s="58" t="s">
        <v>3844</v>
      </c>
      <c r="G904" s="59">
        <v>46280.0</v>
      </c>
      <c r="H904" s="58"/>
      <c r="I904" s="58" t="s">
        <v>97</v>
      </c>
      <c r="J904" s="58" t="s">
        <v>2247</v>
      </c>
      <c r="K904" s="58" t="s">
        <v>3848</v>
      </c>
      <c r="L904" s="58" t="s">
        <v>3847</v>
      </c>
    </row>
    <row r="905" ht="15.75" customHeight="1">
      <c r="A905" s="25" t="s">
        <v>693</v>
      </c>
      <c r="B905" s="26">
        <v>46093.0</v>
      </c>
      <c r="C905" s="25" t="s">
        <v>542</v>
      </c>
      <c r="D905" s="25" t="s">
        <v>4618</v>
      </c>
      <c r="E905" s="25" t="s">
        <v>108</v>
      </c>
      <c r="F905" s="25" t="s">
        <v>3844</v>
      </c>
      <c r="G905" s="26">
        <v>46137.0</v>
      </c>
      <c r="H905" s="25" t="s">
        <v>4703</v>
      </c>
      <c r="I905" s="25" t="s">
        <v>97</v>
      </c>
      <c r="J905" s="25" t="s">
        <v>2246</v>
      </c>
      <c r="K905" s="25" t="s">
        <v>3846</v>
      </c>
      <c r="L905" s="25" t="s">
        <v>3851</v>
      </c>
    </row>
    <row r="906" ht="15.75" customHeight="1">
      <c r="A906" s="58" t="s">
        <v>472</v>
      </c>
      <c r="B906" s="59">
        <v>46062.0</v>
      </c>
      <c r="C906" s="58" t="s">
        <v>706</v>
      </c>
      <c r="D906" s="58" t="s">
        <v>4618</v>
      </c>
      <c r="E906" s="58" t="s">
        <v>156</v>
      </c>
      <c r="F906" s="58" t="s">
        <v>3844</v>
      </c>
      <c r="G906" s="59">
        <v>46213.0</v>
      </c>
      <c r="H906" s="58" t="s">
        <v>4704</v>
      </c>
      <c r="I906" s="58" t="s">
        <v>97</v>
      </c>
      <c r="J906" s="58" t="s">
        <v>2246</v>
      </c>
      <c r="K906" s="58" t="s">
        <v>3846</v>
      </c>
      <c r="L906" s="58" t="s">
        <v>3851</v>
      </c>
    </row>
    <row r="907" ht="15.75" customHeight="1">
      <c r="A907" s="25" t="s">
        <v>949</v>
      </c>
      <c r="B907" s="26">
        <v>46112.0</v>
      </c>
      <c r="C907" s="25" t="s">
        <v>950</v>
      </c>
      <c r="D907" s="25" t="s">
        <v>4705</v>
      </c>
      <c r="E907" s="25" t="s">
        <v>64</v>
      </c>
      <c r="F907" s="25" t="s">
        <v>3857</v>
      </c>
      <c r="G907" s="26">
        <v>46179.0</v>
      </c>
      <c r="H907" s="25" t="s">
        <v>4706</v>
      </c>
      <c r="I907" s="25" t="s">
        <v>97</v>
      </c>
      <c r="J907" s="25" t="s">
        <v>2246</v>
      </c>
      <c r="K907" s="25" t="s">
        <v>3846</v>
      </c>
      <c r="L907" s="25" t="s">
        <v>3847</v>
      </c>
    </row>
    <row r="908" ht="15.75" customHeight="1">
      <c r="A908" s="58" t="s">
        <v>951</v>
      </c>
      <c r="B908" s="59">
        <v>46091.0</v>
      </c>
      <c r="C908" s="58" t="s">
        <v>950</v>
      </c>
      <c r="D908" s="58" t="s">
        <v>4705</v>
      </c>
      <c r="E908" s="58" t="s">
        <v>108</v>
      </c>
      <c r="F908" s="58" t="s">
        <v>3844</v>
      </c>
      <c r="G908" s="59">
        <v>46072.0</v>
      </c>
      <c r="H908" s="58" t="s">
        <v>4707</v>
      </c>
      <c r="I908" s="58" t="s">
        <v>97</v>
      </c>
      <c r="J908" s="58" t="s">
        <v>2246</v>
      </c>
      <c r="K908" s="58" t="s">
        <v>3846</v>
      </c>
      <c r="L908" s="58" t="s">
        <v>3851</v>
      </c>
    </row>
    <row r="909" ht="15.75" customHeight="1">
      <c r="A909" s="25" t="s">
        <v>292</v>
      </c>
      <c r="B909" s="26">
        <v>46074.0</v>
      </c>
      <c r="C909" s="25" t="s">
        <v>293</v>
      </c>
      <c r="D909" s="25" t="s">
        <v>4705</v>
      </c>
      <c r="E909" s="25" t="s">
        <v>123</v>
      </c>
      <c r="F909" s="25" t="s">
        <v>3844</v>
      </c>
      <c r="G909" s="26">
        <v>46104.0</v>
      </c>
      <c r="H909" s="25"/>
      <c r="I909" s="25" t="s">
        <v>3853</v>
      </c>
      <c r="J909" s="25" t="s">
        <v>2247</v>
      </c>
      <c r="K909" s="25" t="s">
        <v>3874</v>
      </c>
      <c r="L909" s="25" t="s">
        <v>3851</v>
      </c>
    </row>
    <row r="910" ht="15.75" customHeight="1">
      <c r="A910" s="58" t="s">
        <v>1074</v>
      </c>
      <c r="B910" s="59">
        <v>46047.0</v>
      </c>
      <c r="C910" s="58" t="s">
        <v>1075</v>
      </c>
      <c r="D910" s="58" t="s">
        <v>4705</v>
      </c>
      <c r="E910" s="58" t="s">
        <v>154</v>
      </c>
      <c r="F910" s="58" t="s">
        <v>3844</v>
      </c>
      <c r="G910" s="59">
        <v>46162.0</v>
      </c>
      <c r="H910" s="58" t="s">
        <v>4708</v>
      </c>
      <c r="I910" s="58" t="s">
        <v>97</v>
      </c>
      <c r="J910" s="58" t="s">
        <v>2246</v>
      </c>
      <c r="K910" s="58" t="s">
        <v>3846</v>
      </c>
      <c r="L910" s="58" t="s">
        <v>3851</v>
      </c>
    </row>
    <row r="911" ht="15.75" customHeight="1">
      <c r="A911" s="25" t="s">
        <v>958</v>
      </c>
      <c r="B911" s="26">
        <v>46086.0</v>
      </c>
      <c r="C911" s="25" t="s">
        <v>950</v>
      </c>
      <c r="D911" s="25" t="s">
        <v>4705</v>
      </c>
      <c r="E911" s="25" t="s">
        <v>85</v>
      </c>
      <c r="F911" s="25" t="s">
        <v>3844</v>
      </c>
      <c r="G911" s="26">
        <v>46231.0</v>
      </c>
      <c r="H911" s="25" t="s">
        <v>4709</v>
      </c>
      <c r="I911" s="25" t="s">
        <v>97</v>
      </c>
      <c r="J911" s="25" t="s">
        <v>2246</v>
      </c>
      <c r="K911" s="25" t="s">
        <v>3846</v>
      </c>
      <c r="L911" s="25" t="s">
        <v>3851</v>
      </c>
    </row>
    <row r="912" ht="15.75" customHeight="1">
      <c r="A912" s="58" t="s">
        <v>1130</v>
      </c>
      <c r="B912" s="59">
        <v>46053.0</v>
      </c>
      <c r="C912" s="58" t="s">
        <v>1131</v>
      </c>
      <c r="D912" s="58" t="s">
        <v>4705</v>
      </c>
      <c r="E912" s="58" t="s">
        <v>78</v>
      </c>
      <c r="F912" s="58" t="s">
        <v>3844</v>
      </c>
      <c r="G912" s="59">
        <v>46061.0</v>
      </c>
      <c r="H912" s="58" t="s">
        <v>4710</v>
      </c>
      <c r="I912" s="58" t="s">
        <v>97</v>
      </c>
      <c r="J912" s="58" t="s">
        <v>2246</v>
      </c>
      <c r="K912" s="58" t="s">
        <v>3846</v>
      </c>
      <c r="L912" s="58" t="s">
        <v>3855</v>
      </c>
    </row>
    <row r="913" ht="15.75" customHeight="1">
      <c r="A913" s="25" t="s">
        <v>1085</v>
      </c>
      <c r="B913" s="26">
        <v>46045.0</v>
      </c>
      <c r="C913" s="25" t="s">
        <v>1075</v>
      </c>
      <c r="D913" s="25" t="s">
        <v>4705</v>
      </c>
      <c r="E913" s="25" t="s">
        <v>110</v>
      </c>
      <c r="F913" s="25" t="s">
        <v>3844</v>
      </c>
      <c r="G913" s="26">
        <v>46205.0</v>
      </c>
      <c r="H913" s="25" t="s">
        <v>4711</v>
      </c>
      <c r="I913" s="25" t="s">
        <v>97</v>
      </c>
      <c r="J913" s="25" t="s">
        <v>2246</v>
      </c>
      <c r="K913" s="25" t="s">
        <v>3846</v>
      </c>
      <c r="L913" s="25" t="s">
        <v>3847</v>
      </c>
    </row>
    <row r="914" ht="15.75" customHeight="1">
      <c r="A914" s="58" t="s">
        <v>556</v>
      </c>
      <c r="B914" s="59">
        <v>46101.0</v>
      </c>
      <c r="C914" s="58" t="s">
        <v>557</v>
      </c>
      <c r="D914" s="58" t="s">
        <v>4705</v>
      </c>
      <c r="E914" s="58" t="s">
        <v>110</v>
      </c>
      <c r="F914" s="58" t="s">
        <v>3844</v>
      </c>
      <c r="G914" s="59">
        <v>46175.0</v>
      </c>
      <c r="H914" s="58" t="s">
        <v>4712</v>
      </c>
      <c r="I914" s="58" t="s">
        <v>97</v>
      </c>
      <c r="J914" s="58" t="s">
        <v>2246</v>
      </c>
      <c r="K914" s="58" t="s">
        <v>3846</v>
      </c>
      <c r="L914" s="58" t="s">
        <v>3855</v>
      </c>
    </row>
    <row r="915" ht="15.75" customHeight="1">
      <c r="A915" s="25" t="s">
        <v>1087</v>
      </c>
      <c r="B915" s="26">
        <v>46057.0</v>
      </c>
      <c r="C915" s="25" t="s">
        <v>1075</v>
      </c>
      <c r="D915" s="25" t="s">
        <v>4705</v>
      </c>
      <c r="E915" s="25" t="s">
        <v>154</v>
      </c>
      <c r="F915" s="25" t="s">
        <v>3844</v>
      </c>
      <c r="G915" s="26">
        <v>46215.0</v>
      </c>
      <c r="H915" s="25" t="s">
        <v>4713</v>
      </c>
      <c r="I915" s="25" t="s">
        <v>97</v>
      </c>
      <c r="J915" s="25" t="s">
        <v>2246</v>
      </c>
      <c r="K915" s="25" t="s">
        <v>3846</v>
      </c>
      <c r="L915" s="25" t="s">
        <v>3851</v>
      </c>
    </row>
    <row r="916" ht="15.75" customHeight="1">
      <c r="A916" s="58" t="s">
        <v>311</v>
      </c>
      <c r="B916" s="59">
        <v>46090.0</v>
      </c>
      <c r="C916" s="58" t="s">
        <v>312</v>
      </c>
      <c r="D916" s="58" t="s">
        <v>4705</v>
      </c>
      <c r="E916" s="58" t="s">
        <v>85</v>
      </c>
      <c r="F916" s="58" t="s">
        <v>3844</v>
      </c>
      <c r="G916" s="59">
        <v>46233.0</v>
      </c>
      <c r="H916" s="58"/>
      <c r="I916" s="58" t="s">
        <v>97</v>
      </c>
      <c r="J916" s="58" t="s">
        <v>2247</v>
      </c>
      <c r="K916" s="58" t="s">
        <v>3848</v>
      </c>
      <c r="L916" s="58" t="s">
        <v>3847</v>
      </c>
    </row>
    <row r="917" ht="15.75" customHeight="1">
      <c r="A917" s="25" t="s">
        <v>463</v>
      </c>
      <c r="B917" s="26">
        <v>46053.0</v>
      </c>
      <c r="C917" s="25" t="s">
        <v>464</v>
      </c>
      <c r="D917" s="25" t="s">
        <v>4705</v>
      </c>
      <c r="E917" s="25" t="s">
        <v>92</v>
      </c>
      <c r="F917" s="25" t="s">
        <v>3844</v>
      </c>
      <c r="G917" s="26">
        <v>46199.0</v>
      </c>
      <c r="H917" s="25" t="s">
        <v>4714</v>
      </c>
      <c r="I917" s="25" t="s">
        <v>97</v>
      </c>
      <c r="J917" s="25" t="s">
        <v>2246</v>
      </c>
      <c r="K917" s="25" t="s">
        <v>3846</v>
      </c>
      <c r="L917" s="25" t="s">
        <v>3847</v>
      </c>
    </row>
    <row r="918" ht="15.75" customHeight="1">
      <c r="A918" s="58" t="s">
        <v>465</v>
      </c>
      <c r="B918" s="59">
        <v>46040.0</v>
      </c>
      <c r="C918" s="58" t="s">
        <v>464</v>
      </c>
      <c r="D918" s="58" t="s">
        <v>4705</v>
      </c>
      <c r="E918" s="58" t="s">
        <v>108</v>
      </c>
      <c r="F918" s="58" t="s">
        <v>3857</v>
      </c>
      <c r="G918" s="59">
        <v>46115.0</v>
      </c>
      <c r="H918" s="58" t="s">
        <v>4715</v>
      </c>
      <c r="I918" s="58" t="s">
        <v>97</v>
      </c>
      <c r="J918" s="58" t="s">
        <v>2246</v>
      </c>
      <c r="K918" s="58" t="s">
        <v>3846</v>
      </c>
      <c r="L918" s="58" t="s">
        <v>3847</v>
      </c>
    </row>
    <row r="919" ht="15.75" customHeight="1">
      <c r="A919" s="25" t="s">
        <v>315</v>
      </c>
      <c r="B919" s="26">
        <v>46047.0</v>
      </c>
      <c r="C919" s="25" t="s">
        <v>312</v>
      </c>
      <c r="D919" s="25" t="s">
        <v>4705</v>
      </c>
      <c r="E919" s="25" t="s">
        <v>78</v>
      </c>
      <c r="F919" s="25" t="s">
        <v>3879</v>
      </c>
      <c r="G919" s="26">
        <v>46113.0</v>
      </c>
      <c r="H919" s="25" t="s">
        <v>4716</v>
      </c>
      <c r="I919" s="25" t="s">
        <v>97</v>
      </c>
      <c r="J919" s="25" t="s">
        <v>2247</v>
      </c>
      <c r="K919" s="25" t="s">
        <v>3881</v>
      </c>
      <c r="L919" s="25" t="s">
        <v>3855</v>
      </c>
    </row>
    <row r="920" ht="15.75" customHeight="1">
      <c r="A920" s="58" t="s">
        <v>317</v>
      </c>
      <c r="B920" s="59">
        <v>46091.0</v>
      </c>
      <c r="C920" s="58" t="s">
        <v>312</v>
      </c>
      <c r="D920" s="58" t="s">
        <v>4705</v>
      </c>
      <c r="E920" s="58" t="s">
        <v>123</v>
      </c>
      <c r="F920" s="58" t="s">
        <v>3844</v>
      </c>
      <c r="G920" s="59">
        <v>46214.0</v>
      </c>
      <c r="H920" s="58" t="s">
        <v>4717</v>
      </c>
      <c r="I920" s="58" t="s">
        <v>3853</v>
      </c>
      <c r="J920" s="58" t="s">
        <v>2247</v>
      </c>
      <c r="K920" s="58" t="s">
        <v>3854</v>
      </c>
      <c r="L920" s="58" t="s">
        <v>3851</v>
      </c>
    </row>
    <row r="921" ht="15.75" customHeight="1">
      <c r="A921" s="25" t="s">
        <v>318</v>
      </c>
      <c r="B921" s="26">
        <v>46101.0</v>
      </c>
      <c r="C921" s="25" t="s">
        <v>293</v>
      </c>
      <c r="D921" s="25" t="s">
        <v>4705</v>
      </c>
      <c r="E921" s="25" t="s">
        <v>68</v>
      </c>
      <c r="F921" s="25" t="s">
        <v>3844</v>
      </c>
      <c r="G921" s="26">
        <v>46229.0</v>
      </c>
      <c r="H921" s="25" t="s">
        <v>4718</v>
      </c>
      <c r="I921" s="25" t="s">
        <v>97</v>
      </c>
      <c r="J921" s="25" t="s">
        <v>2246</v>
      </c>
      <c r="K921" s="25" t="s">
        <v>3846</v>
      </c>
      <c r="L921" s="25" t="s">
        <v>3847</v>
      </c>
    </row>
    <row r="922" ht="15.75" customHeight="1">
      <c r="A922" s="58" t="s">
        <v>322</v>
      </c>
      <c r="B922" s="59">
        <v>46096.0</v>
      </c>
      <c r="C922" s="58" t="s">
        <v>312</v>
      </c>
      <c r="D922" s="58" t="s">
        <v>4705</v>
      </c>
      <c r="E922" s="58" t="s">
        <v>92</v>
      </c>
      <c r="F922" s="58" t="s">
        <v>3844</v>
      </c>
      <c r="G922" s="59">
        <v>46153.0</v>
      </c>
      <c r="H922" s="58" t="s">
        <v>4719</v>
      </c>
      <c r="I922" s="58" t="s">
        <v>97</v>
      </c>
      <c r="J922" s="58" t="s">
        <v>2246</v>
      </c>
      <c r="K922" s="58" t="s">
        <v>3846</v>
      </c>
      <c r="L922" s="58" t="s">
        <v>3855</v>
      </c>
    </row>
    <row r="923" ht="15.75" customHeight="1">
      <c r="A923" s="25" t="s">
        <v>1094</v>
      </c>
      <c r="B923" s="26">
        <v>46115.0</v>
      </c>
      <c r="C923" s="25" t="s">
        <v>1075</v>
      </c>
      <c r="D923" s="25" t="s">
        <v>4705</v>
      </c>
      <c r="E923" s="25" t="s">
        <v>64</v>
      </c>
      <c r="F923" s="25" t="s">
        <v>3844</v>
      </c>
      <c r="G923" s="26">
        <v>46158.0</v>
      </c>
      <c r="H923" s="25" t="s">
        <v>4720</v>
      </c>
      <c r="I923" s="25" t="s">
        <v>97</v>
      </c>
      <c r="J923" s="25" t="s">
        <v>2246</v>
      </c>
      <c r="K923" s="25" t="s">
        <v>3846</v>
      </c>
      <c r="L923" s="25" t="s">
        <v>3855</v>
      </c>
    </row>
    <row r="924" ht="15.75" customHeight="1">
      <c r="A924" s="58" t="s">
        <v>578</v>
      </c>
      <c r="B924" s="59">
        <v>46137.0</v>
      </c>
      <c r="C924" s="58" t="s">
        <v>557</v>
      </c>
      <c r="D924" s="58" t="s">
        <v>4705</v>
      </c>
      <c r="E924" s="58" t="s">
        <v>78</v>
      </c>
      <c r="F924" s="58" t="s">
        <v>3844</v>
      </c>
      <c r="G924" s="59">
        <v>46127.0</v>
      </c>
      <c r="H924" s="58" t="s">
        <v>4721</v>
      </c>
      <c r="I924" s="58" t="s">
        <v>97</v>
      </c>
      <c r="J924" s="58" t="s">
        <v>2246</v>
      </c>
      <c r="K924" s="58" t="s">
        <v>3846</v>
      </c>
      <c r="L924" s="58" t="s">
        <v>3855</v>
      </c>
    </row>
    <row r="925" ht="15.75" customHeight="1">
      <c r="A925" s="25" t="s">
        <v>978</v>
      </c>
      <c r="B925" s="26">
        <v>46124.0</v>
      </c>
      <c r="C925" s="25" t="s">
        <v>950</v>
      </c>
      <c r="D925" s="25" t="s">
        <v>4705</v>
      </c>
      <c r="E925" s="25" t="s">
        <v>85</v>
      </c>
      <c r="F925" s="25" t="s">
        <v>3879</v>
      </c>
      <c r="G925" s="26">
        <v>46245.0</v>
      </c>
      <c r="H925" s="25" t="s">
        <v>4722</v>
      </c>
      <c r="I925" s="25" t="s">
        <v>97</v>
      </c>
      <c r="J925" s="25" t="s">
        <v>2247</v>
      </c>
      <c r="K925" s="25" t="s">
        <v>3881</v>
      </c>
      <c r="L925" s="25" t="s">
        <v>3847</v>
      </c>
    </row>
    <row r="926" ht="15.75" customHeight="1">
      <c r="A926" s="58" t="s">
        <v>477</v>
      </c>
      <c r="B926" s="59">
        <v>46107.0</v>
      </c>
      <c r="C926" s="58" t="s">
        <v>464</v>
      </c>
      <c r="D926" s="58" t="s">
        <v>4705</v>
      </c>
      <c r="E926" s="58" t="s">
        <v>123</v>
      </c>
      <c r="F926" s="58" t="s">
        <v>3913</v>
      </c>
      <c r="G926" s="59">
        <v>46213.0</v>
      </c>
      <c r="H926" s="58" t="s">
        <v>4723</v>
      </c>
      <c r="I926" s="58" t="s">
        <v>3853</v>
      </c>
      <c r="J926" s="58" t="s">
        <v>2247</v>
      </c>
      <c r="K926" s="58" t="s">
        <v>3951</v>
      </c>
      <c r="L926" s="58" t="s">
        <v>3847</v>
      </c>
    </row>
    <row r="927" ht="15.75" customHeight="1">
      <c r="A927" s="25" t="s">
        <v>327</v>
      </c>
      <c r="B927" s="26">
        <v>46140.0</v>
      </c>
      <c r="C927" s="25" t="s">
        <v>293</v>
      </c>
      <c r="D927" s="25" t="s">
        <v>4705</v>
      </c>
      <c r="E927" s="25" t="s">
        <v>108</v>
      </c>
      <c r="F927" s="25" t="s">
        <v>3844</v>
      </c>
      <c r="G927" s="26">
        <v>46289.0</v>
      </c>
      <c r="H927" s="25" t="s">
        <v>4724</v>
      </c>
      <c r="I927" s="25" t="s">
        <v>97</v>
      </c>
      <c r="J927" s="25" t="s">
        <v>2246</v>
      </c>
      <c r="K927" s="25" t="s">
        <v>3846</v>
      </c>
      <c r="L927" s="25" t="s">
        <v>3855</v>
      </c>
    </row>
    <row r="928" ht="15.75" customHeight="1">
      <c r="A928" s="58" t="s">
        <v>329</v>
      </c>
      <c r="B928" s="59">
        <v>46040.0</v>
      </c>
      <c r="C928" s="58" t="s">
        <v>330</v>
      </c>
      <c r="D928" s="58" t="s">
        <v>4705</v>
      </c>
      <c r="E928" s="58" t="s">
        <v>90</v>
      </c>
      <c r="F928" s="58" t="s">
        <v>3844</v>
      </c>
      <c r="G928" s="59">
        <v>46183.0</v>
      </c>
      <c r="H928" s="58" t="s">
        <v>4725</v>
      </c>
      <c r="I928" s="58" t="s">
        <v>97</v>
      </c>
      <c r="J928" s="58" t="s">
        <v>2246</v>
      </c>
      <c r="K928" s="58" t="s">
        <v>3846</v>
      </c>
      <c r="L928" s="58" t="s">
        <v>3855</v>
      </c>
    </row>
    <row r="929" ht="15.75" customHeight="1">
      <c r="A929" s="25" t="s">
        <v>480</v>
      </c>
      <c r="B929" s="26">
        <v>46061.0</v>
      </c>
      <c r="C929" s="25" t="s">
        <v>464</v>
      </c>
      <c r="D929" s="25" t="s">
        <v>4705</v>
      </c>
      <c r="E929" s="25" t="s">
        <v>123</v>
      </c>
      <c r="F929" s="25" t="s">
        <v>3844</v>
      </c>
      <c r="G929" s="26">
        <v>46055.0</v>
      </c>
      <c r="H929" s="25" t="s">
        <v>4726</v>
      </c>
      <c r="I929" s="25" t="s">
        <v>3853</v>
      </c>
      <c r="J929" s="25" t="s">
        <v>2247</v>
      </c>
      <c r="K929" s="25" t="s">
        <v>3854</v>
      </c>
      <c r="L929" s="25" t="s">
        <v>3855</v>
      </c>
    </row>
    <row r="930" ht="15.75" customHeight="1">
      <c r="A930" s="58" t="s">
        <v>332</v>
      </c>
      <c r="B930" s="59">
        <v>46057.0</v>
      </c>
      <c r="C930" s="58" t="s">
        <v>293</v>
      </c>
      <c r="D930" s="58" t="s">
        <v>4705</v>
      </c>
      <c r="E930" s="58" t="s">
        <v>64</v>
      </c>
      <c r="F930" s="58" t="s">
        <v>3844</v>
      </c>
      <c r="G930" s="59">
        <v>46217.0</v>
      </c>
      <c r="H930" s="58"/>
      <c r="I930" s="58" t="s">
        <v>97</v>
      </c>
      <c r="J930" s="58" t="s">
        <v>2247</v>
      </c>
      <c r="K930" s="58" t="s">
        <v>3848</v>
      </c>
      <c r="L930" s="58" t="s">
        <v>3847</v>
      </c>
    </row>
    <row r="931" ht="15.75" customHeight="1">
      <c r="A931" s="25" t="s">
        <v>983</v>
      </c>
      <c r="B931" s="26">
        <v>46131.0</v>
      </c>
      <c r="C931" s="25" t="s">
        <v>984</v>
      </c>
      <c r="D931" s="25" t="s">
        <v>4705</v>
      </c>
      <c r="E931" s="25" t="s">
        <v>68</v>
      </c>
      <c r="F931" s="25" t="s">
        <v>3913</v>
      </c>
      <c r="G931" s="26">
        <v>46141.0</v>
      </c>
      <c r="H931" s="25" t="s">
        <v>4727</v>
      </c>
      <c r="I931" s="25" t="s">
        <v>97</v>
      </c>
      <c r="J931" s="25" t="s">
        <v>2247</v>
      </c>
      <c r="K931" s="25" t="s">
        <v>3881</v>
      </c>
      <c r="L931" s="25" t="s">
        <v>3847</v>
      </c>
    </row>
    <row r="932" ht="15.75" customHeight="1">
      <c r="A932" s="58" t="s">
        <v>986</v>
      </c>
      <c r="B932" s="59">
        <v>46077.0</v>
      </c>
      <c r="C932" s="58" t="s">
        <v>950</v>
      </c>
      <c r="D932" s="58" t="s">
        <v>4705</v>
      </c>
      <c r="E932" s="58" t="s">
        <v>68</v>
      </c>
      <c r="F932" s="58" t="s">
        <v>3844</v>
      </c>
      <c r="G932" s="59">
        <v>46108.0</v>
      </c>
      <c r="H932" s="58" t="s">
        <v>4728</v>
      </c>
      <c r="I932" s="58" t="s">
        <v>97</v>
      </c>
      <c r="J932" s="58" t="s">
        <v>2246</v>
      </c>
      <c r="K932" s="58" t="s">
        <v>3846</v>
      </c>
      <c r="L932" s="58" t="s">
        <v>3847</v>
      </c>
    </row>
    <row r="933" ht="15.75" customHeight="1">
      <c r="A933" s="25" t="s">
        <v>990</v>
      </c>
      <c r="B933" s="26">
        <v>46045.0</v>
      </c>
      <c r="C933" s="25" t="s">
        <v>950</v>
      </c>
      <c r="D933" s="25" t="s">
        <v>4705</v>
      </c>
      <c r="E933" s="25" t="s">
        <v>85</v>
      </c>
      <c r="F933" s="25" t="s">
        <v>3844</v>
      </c>
      <c r="G933" s="26">
        <v>46060.0</v>
      </c>
      <c r="H933" s="25" t="s">
        <v>4729</v>
      </c>
      <c r="I933" s="25" t="s">
        <v>97</v>
      </c>
      <c r="J933" s="25" t="s">
        <v>2246</v>
      </c>
      <c r="K933" s="25" t="s">
        <v>3846</v>
      </c>
      <c r="L933" s="25" t="s">
        <v>3851</v>
      </c>
    </row>
    <row r="934" ht="15.75" customHeight="1">
      <c r="A934" s="58" t="s">
        <v>592</v>
      </c>
      <c r="B934" s="59">
        <v>46095.0</v>
      </c>
      <c r="C934" s="58" t="s">
        <v>593</v>
      </c>
      <c r="D934" s="58" t="s">
        <v>4705</v>
      </c>
      <c r="E934" s="58" t="s">
        <v>102</v>
      </c>
      <c r="F934" s="58" t="s">
        <v>3844</v>
      </c>
      <c r="G934" s="59">
        <v>46149.0</v>
      </c>
      <c r="H934" s="58"/>
      <c r="I934" s="58" t="s">
        <v>97</v>
      </c>
      <c r="J934" s="58" t="s">
        <v>2247</v>
      </c>
      <c r="K934" s="58" t="s">
        <v>3848</v>
      </c>
      <c r="L934" s="58" t="s">
        <v>3851</v>
      </c>
    </row>
    <row r="935" ht="15.75" customHeight="1">
      <c r="A935" s="25" t="s">
        <v>601</v>
      </c>
      <c r="B935" s="26">
        <v>46089.0</v>
      </c>
      <c r="C935" s="25" t="s">
        <v>557</v>
      </c>
      <c r="D935" s="25" t="s">
        <v>4705</v>
      </c>
      <c r="E935" s="25" t="s">
        <v>115</v>
      </c>
      <c r="F935" s="25" t="s">
        <v>3844</v>
      </c>
      <c r="G935" s="26">
        <v>46106.0</v>
      </c>
      <c r="H935" s="25" t="s">
        <v>4730</v>
      </c>
      <c r="I935" s="25" t="s">
        <v>97</v>
      </c>
      <c r="J935" s="25" t="s">
        <v>2246</v>
      </c>
      <c r="K935" s="25" t="s">
        <v>3846</v>
      </c>
      <c r="L935" s="25" t="s">
        <v>3847</v>
      </c>
    </row>
    <row r="936" ht="15.75" customHeight="1">
      <c r="A936" s="58" t="s">
        <v>340</v>
      </c>
      <c r="B936" s="59">
        <v>46066.0</v>
      </c>
      <c r="C936" s="58" t="s">
        <v>312</v>
      </c>
      <c r="D936" s="58" t="s">
        <v>4705</v>
      </c>
      <c r="E936" s="58" t="s">
        <v>162</v>
      </c>
      <c r="F936" s="58" t="s">
        <v>3844</v>
      </c>
      <c r="G936" s="59">
        <v>46191.0</v>
      </c>
      <c r="H936" s="58" t="s">
        <v>4731</v>
      </c>
      <c r="I936" s="58" t="s">
        <v>3853</v>
      </c>
      <c r="J936" s="58" t="s">
        <v>2247</v>
      </c>
      <c r="K936" s="58" t="s">
        <v>3854</v>
      </c>
      <c r="L936" s="58" t="s">
        <v>3851</v>
      </c>
    </row>
    <row r="937" ht="15.75" customHeight="1">
      <c r="A937" s="25" t="s">
        <v>604</v>
      </c>
      <c r="B937" s="26">
        <v>46075.0</v>
      </c>
      <c r="C937" s="25" t="s">
        <v>593</v>
      </c>
      <c r="D937" s="25" t="s">
        <v>4705</v>
      </c>
      <c r="E937" s="25" t="s">
        <v>92</v>
      </c>
      <c r="F937" s="25" t="s">
        <v>3844</v>
      </c>
      <c r="G937" s="26">
        <v>46135.0</v>
      </c>
      <c r="H937" s="25" t="s">
        <v>4732</v>
      </c>
      <c r="I937" s="25" t="s">
        <v>97</v>
      </c>
      <c r="J937" s="25" t="s">
        <v>2246</v>
      </c>
      <c r="K937" s="25" t="s">
        <v>3846</v>
      </c>
      <c r="L937" s="25" t="s">
        <v>3847</v>
      </c>
    </row>
    <row r="938" ht="15.75" customHeight="1">
      <c r="A938" s="58" t="s">
        <v>605</v>
      </c>
      <c r="B938" s="59">
        <v>46024.0</v>
      </c>
      <c r="C938" s="58" t="s">
        <v>593</v>
      </c>
      <c r="D938" s="58" t="s">
        <v>4705</v>
      </c>
      <c r="E938" s="58" t="s">
        <v>68</v>
      </c>
      <c r="F938" s="58" t="s">
        <v>3844</v>
      </c>
      <c r="G938" s="59">
        <v>46023.0</v>
      </c>
      <c r="H938" s="58" t="s">
        <v>4733</v>
      </c>
      <c r="I938" s="58" t="s">
        <v>97</v>
      </c>
      <c r="J938" s="58" t="s">
        <v>2246</v>
      </c>
      <c r="K938" s="58" t="s">
        <v>3846</v>
      </c>
      <c r="L938" s="58" t="s">
        <v>3851</v>
      </c>
    </row>
    <row r="939" ht="15.75" customHeight="1">
      <c r="A939" s="25" t="s">
        <v>343</v>
      </c>
      <c r="B939" s="26">
        <v>46116.0</v>
      </c>
      <c r="C939" s="25" t="s">
        <v>293</v>
      </c>
      <c r="D939" s="25" t="s">
        <v>4705</v>
      </c>
      <c r="E939" s="25" t="s">
        <v>74</v>
      </c>
      <c r="F939" s="25" t="s">
        <v>3844</v>
      </c>
      <c r="G939" s="26">
        <v>46270.0</v>
      </c>
      <c r="H939" s="25" t="s">
        <v>4734</v>
      </c>
      <c r="I939" s="25" t="s">
        <v>97</v>
      </c>
      <c r="J939" s="25" t="s">
        <v>2246</v>
      </c>
      <c r="K939" s="25" t="s">
        <v>3846</v>
      </c>
      <c r="L939" s="25" t="s">
        <v>3847</v>
      </c>
    </row>
    <row r="940" ht="15.75" customHeight="1">
      <c r="A940" s="58" t="s">
        <v>1101</v>
      </c>
      <c r="B940" s="59">
        <v>46024.0</v>
      </c>
      <c r="C940" s="58" t="s">
        <v>1075</v>
      </c>
      <c r="D940" s="58" t="s">
        <v>4705</v>
      </c>
      <c r="E940" s="58" t="s">
        <v>95</v>
      </c>
      <c r="F940" s="58" t="s">
        <v>3844</v>
      </c>
      <c r="G940" s="59">
        <v>46103.0</v>
      </c>
      <c r="H940" s="58" t="s">
        <v>4735</v>
      </c>
      <c r="I940" s="58" t="s">
        <v>97</v>
      </c>
      <c r="J940" s="58" t="s">
        <v>2246</v>
      </c>
      <c r="K940" s="58" t="s">
        <v>3846</v>
      </c>
      <c r="L940" s="58" t="s">
        <v>3855</v>
      </c>
    </row>
    <row r="941" ht="15.75" customHeight="1">
      <c r="A941" s="25" t="s">
        <v>1149</v>
      </c>
      <c r="B941" s="26">
        <v>46106.0</v>
      </c>
      <c r="C941" s="25" t="s">
        <v>1131</v>
      </c>
      <c r="D941" s="25" t="s">
        <v>4705</v>
      </c>
      <c r="E941" s="25" t="s">
        <v>108</v>
      </c>
      <c r="F941" s="25" t="s">
        <v>3844</v>
      </c>
      <c r="G941" s="26">
        <v>46127.0</v>
      </c>
      <c r="H941" s="25" t="s">
        <v>4736</v>
      </c>
      <c r="I941" s="25" t="s">
        <v>97</v>
      </c>
      <c r="J941" s="25" t="s">
        <v>2246</v>
      </c>
      <c r="K941" s="25" t="s">
        <v>3846</v>
      </c>
      <c r="L941" s="25" t="s">
        <v>3847</v>
      </c>
    </row>
    <row r="942" ht="15.75" customHeight="1">
      <c r="A942" s="58" t="s">
        <v>1150</v>
      </c>
      <c r="B942" s="59">
        <v>46109.0</v>
      </c>
      <c r="C942" s="58" t="s">
        <v>1131</v>
      </c>
      <c r="D942" s="58" t="s">
        <v>4705</v>
      </c>
      <c r="E942" s="58" t="s">
        <v>64</v>
      </c>
      <c r="F942" s="58" t="s">
        <v>3857</v>
      </c>
      <c r="G942" s="59">
        <v>46207.0</v>
      </c>
      <c r="H942" s="58" t="s">
        <v>4737</v>
      </c>
      <c r="I942" s="58" t="s">
        <v>97</v>
      </c>
      <c r="J942" s="58" t="s">
        <v>2246</v>
      </c>
      <c r="K942" s="58" t="s">
        <v>3846</v>
      </c>
      <c r="L942" s="58" t="s">
        <v>3847</v>
      </c>
    </row>
    <row r="943" ht="15.75" customHeight="1">
      <c r="A943" s="25" t="s">
        <v>349</v>
      </c>
      <c r="B943" s="26">
        <v>46140.0</v>
      </c>
      <c r="C943" s="25" t="s">
        <v>293</v>
      </c>
      <c r="D943" s="25" t="s">
        <v>4705</v>
      </c>
      <c r="E943" s="25" t="s">
        <v>68</v>
      </c>
      <c r="F943" s="25" t="s">
        <v>3844</v>
      </c>
      <c r="G943" s="26">
        <v>46187.0</v>
      </c>
      <c r="H943" s="25"/>
      <c r="I943" s="25" t="s">
        <v>97</v>
      </c>
      <c r="J943" s="25" t="s">
        <v>2247</v>
      </c>
      <c r="K943" s="25" t="s">
        <v>3848</v>
      </c>
      <c r="L943" s="25" t="s">
        <v>3847</v>
      </c>
    </row>
    <row r="944" ht="15.75" customHeight="1">
      <c r="A944" s="58" t="s">
        <v>493</v>
      </c>
      <c r="B944" s="59">
        <v>46091.0</v>
      </c>
      <c r="C944" s="58" t="s">
        <v>464</v>
      </c>
      <c r="D944" s="58" t="s">
        <v>4705</v>
      </c>
      <c r="E944" s="58" t="s">
        <v>162</v>
      </c>
      <c r="F944" s="58" t="s">
        <v>3879</v>
      </c>
      <c r="G944" s="59">
        <v>46146.0</v>
      </c>
      <c r="H944" s="58" t="s">
        <v>4738</v>
      </c>
      <c r="I944" s="58" t="s">
        <v>3853</v>
      </c>
      <c r="J944" s="58" t="s">
        <v>2247</v>
      </c>
      <c r="K944" s="58" t="s">
        <v>3951</v>
      </c>
      <c r="L944" s="58" t="s">
        <v>3855</v>
      </c>
    </row>
    <row r="945" ht="15.75" customHeight="1">
      <c r="A945" s="25" t="s">
        <v>351</v>
      </c>
      <c r="B945" s="26">
        <v>46061.0</v>
      </c>
      <c r="C945" s="25" t="s">
        <v>293</v>
      </c>
      <c r="D945" s="25" t="s">
        <v>4705</v>
      </c>
      <c r="E945" s="25" t="s">
        <v>85</v>
      </c>
      <c r="F945" s="25" t="s">
        <v>3844</v>
      </c>
      <c r="G945" s="26">
        <v>46148.0</v>
      </c>
      <c r="H945" s="25" t="s">
        <v>4739</v>
      </c>
      <c r="I945" s="25" t="s">
        <v>97</v>
      </c>
      <c r="J945" s="25" t="s">
        <v>2246</v>
      </c>
      <c r="K945" s="25" t="s">
        <v>3846</v>
      </c>
      <c r="L945" s="25" t="s">
        <v>3851</v>
      </c>
    </row>
    <row r="946" ht="15.75" customHeight="1">
      <c r="A946" s="58" t="s">
        <v>352</v>
      </c>
      <c r="B946" s="59">
        <v>46055.0</v>
      </c>
      <c r="C946" s="58" t="s">
        <v>293</v>
      </c>
      <c r="D946" s="58" t="s">
        <v>4705</v>
      </c>
      <c r="E946" s="58" t="s">
        <v>110</v>
      </c>
      <c r="F946" s="58" t="s">
        <v>3844</v>
      </c>
      <c r="G946" s="59">
        <v>46169.0</v>
      </c>
      <c r="H946" s="58" t="s">
        <v>4740</v>
      </c>
      <c r="I946" s="58" t="s">
        <v>97</v>
      </c>
      <c r="J946" s="58" t="s">
        <v>2246</v>
      </c>
      <c r="K946" s="58" t="s">
        <v>3846</v>
      </c>
      <c r="L946" s="58" t="s">
        <v>3847</v>
      </c>
    </row>
    <row r="947" ht="15.75" customHeight="1">
      <c r="A947" s="25" t="s">
        <v>354</v>
      </c>
      <c r="B947" s="26">
        <v>46043.0</v>
      </c>
      <c r="C947" s="25" t="s">
        <v>312</v>
      </c>
      <c r="D947" s="25" t="s">
        <v>4705</v>
      </c>
      <c r="E947" s="25" t="s">
        <v>64</v>
      </c>
      <c r="F947" s="25" t="s">
        <v>3857</v>
      </c>
      <c r="G947" s="26">
        <v>46194.0</v>
      </c>
      <c r="H947" s="25" t="s">
        <v>4741</v>
      </c>
      <c r="I947" s="25" t="s">
        <v>97</v>
      </c>
      <c r="J947" s="25" t="s">
        <v>2246</v>
      </c>
      <c r="K947" s="25" t="s">
        <v>3846</v>
      </c>
      <c r="L947" s="25" t="s">
        <v>3851</v>
      </c>
    </row>
    <row r="948" ht="15.75" customHeight="1">
      <c r="A948" s="58" t="s">
        <v>1104</v>
      </c>
      <c r="B948" s="59">
        <v>46035.0</v>
      </c>
      <c r="C948" s="58" t="s">
        <v>1075</v>
      </c>
      <c r="D948" s="58" t="s">
        <v>4705</v>
      </c>
      <c r="E948" s="58" t="s">
        <v>64</v>
      </c>
      <c r="F948" s="58" t="s">
        <v>3844</v>
      </c>
      <c r="G948" s="59">
        <v>46182.0</v>
      </c>
      <c r="H948" s="58" t="s">
        <v>4742</v>
      </c>
      <c r="I948" s="58" t="s">
        <v>3906</v>
      </c>
      <c r="J948" s="58" t="s">
        <v>2247</v>
      </c>
      <c r="K948" s="58" t="s">
        <v>3854</v>
      </c>
      <c r="L948" s="58" t="s">
        <v>3851</v>
      </c>
    </row>
    <row r="949" ht="15.75" customHeight="1">
      <c r="A949" s="25" t="s">
        <v>363</v>
      </c>
      <c r="B949" s="26">
        <v>46119.0</v>
      </c>
      <c r="C949" s="25" t="s">
        <v>330</v>
      </c>
      <c r="D949" s="25" t="s">
        <v>4705</v>
      </c>
      <c r="E949" s="25" t="s">
        <v>90</v>
      </c>
      <c r="F949" s="25" t="s">
        <v>3844</v>
      </c>
      <c r="G949" s="26">
        <v>46141.0</v>
      </c>
      <c r="H949" s="25" t="s">
        <v>4743</v>
      </c>
      <c r="I949" s="25" t="s">
        <v>97</v>
      </c>
      <c r="J949" s="25" t="s">
        <v>2246</v>
      </c>
      <c r="K949" s="25" t="s">
        <v>3846</v>
      </c>
      <c r="L949" s="25" t="s">
        <v>3851</v>
      </c>
    </row>
    <row r="950" ht="15.75" customHeight="1">
      <c r="A950" s="58" t="s">
        <v>367</v>
      </c>
      <c r="B950" s="59">
        <v>46124.0</v>
      </c>
      <c r="C950" s="58" t="s">
        <v>330</v>
      </c>
      <c r="D950" s="58" t="s">
        <v>4705</v>
      </c>
      <c r="E950" s="58" t="s">
        <v>154</v>
      </c>
      <c r="F950" s="58" t="s">
        <v>3844</v>
      </c>
      <c r="G950" s="59">
        <v>46282.0</v>
      </c>
      <c r="H950" s="58" t="s">
        <v>4744</v>
      </c>
      <c r="I950" s="58" t="s">
        <v>97</v>
      </c>
      <c r="J950" s="58" t="s">
        <v>2246</v>
      </c>
      <c r="K950" s="58" t="s">
        <v>3846</v>
      </c>
      <c r="L950" s="58" t="s">
        <v>3855</v>
      </c>
    </row>
    <row r="951" ht="15.75" customHeight="1">
      <c r="A951" s="25" t="s">
        <v>1106</v>
      </c>
      <c r="B951" s="26">
        <v>46030.0</v>
      </c>
      <c r="C951" s="25" t="s">
        <v>1075</v>
      </c>
      <c r="D951" s="25" t="s">
        <v>4705</v>
      </c>
      <c r="E951" s="25" t="s">
        <v>95</v>
      </c>
      <c r="F951" s="25" t="s">
        <v>3844</v>
      </c>
      <c r="G951" s="26">
        <v>46096.0</v>
      </c>
      <c r="H951" s="25" t="s">
        <v>4745</v>
      </c>
      <c r="I951" s="25" t="s">
        <v>97</v>
      </c>
      <c r="J951" s="25" t="s">
        <v>2246</v>
      </c>
      <c r="K951" s="25" t="s">
        <v>3846</v>
      </c>
      <c r="L951" s="25" t="s">
        <v>3851</v>
      </c>
    </row>
    <row r="952" ht="15.75" customHeight="1">
      <c r="A952" s="58" t="s">
        <v>501</v>
      </c>
      <c r="B952" s="59">
        <v>46047.0</v>
      </c>
      <c r="C952" s="58" t="s">
        <v>464</v>
      </c>
      <c r="D952" s="58" t="s">
        <v>4705</v>
      </c>
      <c r="E952" s="58" t="s">
        <v>90</v>
      </c>
      <c r="F952" s="58" t="s">
        <v>3844</v>
      </c>
      <c r="G952" s="59">
        <v>46193.0</v>
      </c>
      <c r="H952" s="58" t="s">
        <v>4746</v>
      </c>
      <c r="I952" s="58" t="s">
        <v>97</v>
      </c>
      <c r="J952" s="58" t="s">
        <v>2246</v>
      </c>
      <c r="K952" s="58" t="s">
        <v>3846</v>
      </c>
      <c r="L952" s="58" t="s">
        <v>3855</v>
      </c>
    </row>
    <row r="953" ht="15.75" customHeight="1">
      <c r="A953" s="25" t="s">
        <v>368</v>
      </c>
      <c r="B953" s="26">
        <v>46034.0</v>
      </c>
      <c r="C953" s="25" t="s">
        <v>312</v>
      </c>
      <c r="D953" s="25" t="s">
        <v>4705</v>
      </c>
      <c r="E953" s="25" t="s">
        <v>190</v>
      </c>
      <c r="F953" s="25" t="s">
        <v>3844</v>
      </c>
      <c r="G953" s="26">
        <v>46135.0</v>
      </c>
      <c r="H953" s="25" t="s">
        <v>4747</v>
      </c>
      <c r="I953" s="25" t="s">
        <v>97</v>
      </c>
      <c r="J953" s="25" t="s">
        <v>2246</v>
      </c>
      <c r="K953" s="25" t="s">
        <v>3846</v>
      </c>
      <c r="L953" s="25" t="s">
        <v>3855</v>
      </c>
    </row>
    <row r="954" ht="15.75" customHeight="1">
      <c r="A954" s="58" t="s">
        <v>620</v>
      </c>
      <c r="B954" s="59">
        <v>46073.0</v>
      </c>
      <c r="C954" s="58" t="s">
        <v>593</v>
      </c>
      <c r="D954" s="58" t="s">
        <v>4705</v>
      </c>
      <c r="E954" s="58" t="s">
        <v>90</v>
      </c>
      <c r="F954" s="58" t="s">
        <v>3857</v>
      </c>
      <c r="G954" s="59">
        <v>46096.0</v>
      </c>
      <c r="H954" s="58" t="s">
        <v>4748</v>
      </c>
      <c r="I954" s="58" t="s">
        <v>97</v>
      </c>
      <c r="J954" s="58" t="s">
        <v>2246</v>
      </c>
      <c r="K954" s="58" t="s">
        <v>3846</v>
      </c>
      <c r="L954" s="58" t="s">
        <v>3847</v>
      </c>
    </row>
    <row r="955" ht="15.75" customHeight="1">
      <c r="A955" s="25" t="s">
        <v>1020</v>
      </c>
      <c r="B955" s="26">
        <v>46119.0</v>
      </c>
      <c r="C955" s="25" t="s">
        <v>984</v>
      </c>
      <c r="D955" s="25" t="s">
        <v>4705</v>
      </c>
      <c r="E955" s="25" t="s">
        <v>162</v>
      </c>
      <c r="F955" s="25" t="s">
        <v>3844</v>
      </c>
      <c r="G955" s="26">
        <v>46230.0</v>
      </c>
      <c r="H955" s="25" t="s">
        <v>4749</v>
      </c>
      <c r="I955" s="25" t="s">
        <v>3853</v>
      </c>
      <c r="J955" s="25" t="s">
        <v>2247</v>
      </c>
      <c r="K955" s="25" t="s">
        <v>3854</v>
      </c>
      <c r="L955" s="25" t="s">
        <v>3847</v>
      </c>
    </row>
    <row r="956" ht="15.75" customHeight="1">
      <c r="A956" s="58" t="s">
        <v>374</v>
      </c>
      <c r="B956" s="59">
        <v>46091.0</v>
      </c>
      <c r="C956" s="58" t="s">
        <v>312</v>
      </c>
      <c r="D956" s="58" t="s">
        <v>4705</v>
      </c>
      <c r="E956" s="58" t="s">
        <v>71</v>
      </c>
      <c r="F956" s="58" t="s">
        <v>3844</v>
      </c>
      <c r="G956" s="59">
        <v>46196.0</v>
      </c>
      <c r="H956" s="58" t="s">
        <v>4750</v>
      </c>
      <c r="I956" s="58" t="s">
        <v>97</v>
      </c>
      <c r="J956" s="58" t="s">
        <v>2246</v>
      </c>
      <c r="K956" s="58" t="s">
        <v>3846</v>
      </c>
      <c r="L956" s="58" t="s">
        <v>3851</v>
      </c>
    </row>
    <row r="957" ht="15.75" customHeight="1">
      <c r="A957" s="25" t="s">
        <v>625</v>
      </c>
      <c r="B957" s="26">
        <v>46102.0</v>
      </c>
      <c r="C957" s="25" t="s">
        <v>593</v>
      </c>
      <c r="D957" s="25" t="s">
        <v>4705</v>
      </c>
      <c r="E957" s="25" t="s">
        <v>156</v>
      </c>
      <c r="F957" s="25" t="s">
        <v>3844</v>
      </c>
      <c r="G957" s="26">
        <v>46240.0</v>
      </c>
      <c r="H957" s="25" t="s">
        <v>4751</v>
      </c>
      <c r="I957" s="25" t="s">
        <v>97</v>
      </c>
      <c r="J957" s="25" t="s">
        <v>2246</v>
      </c>
      <c r="K957" s="25" t="s">
        <v>3846</v>
      </c>
      <c r="L957" s="25" t="s">
        <v>3847</v>
      </c>
    </row>
    <row r="958" ht="15.75" customHeight="1">
      <c r="A958" s="58" t="s">
        <v>377</v>
      </c>
      <c r="B958" s="59">
        <v>46061.0</v>
      </c>
      <c r="C958" s="58" t="s">
        <v>312</v>
      </c>
      <c r="D958" s="58" t="s">
        <v>4705</v>
      </c>
      <c r="E958" s="58" t="s">
        <v>71</v>
      </c>
      <c r="F958" s="58" t="s">
        <v>3844</v>
      </c>
      <c r="G958" s="59">
        <v>46147.0</v>
      </c>
      <c r="H958" s="58" t="s">
        <v>4752</v>
      </c>
      <c r="I958" s="58" t="s">
        <v>97</v>
      </c>
      <c r="J958" s="58" t="s">
        <v>2246</v>
      </c>
      <c r="K958" s="58" t="s">
        <v>3846</v>
      </c>
      <c r="L958" s="58" t="s">
        <v>3847</v>
      </c>
    </row>
    <row r="959" ht="15.75" customHeight="1">
      <c r="A959" s="25" t="s">
        <v>379</v>
      </c>
      <c r="B959" s="26">
        <v>46068.0</v>
      </c>
      <c r="C959" s="25" t="s">
        <v>312</v>
      </c>
      <c r="D959" s="25" t="s">
        <v>4705</v>
      </c>
      <c r="E959" s="25" t="s">
        <v>71</v>
      </c>
      <c r="F959" s="25" t="s">
        <v>3844</v>
      </c>
      <c r="G959" s="26">
        <v>46073.0</v>
      </c>
      <c r="H959" s="25" t="s">
        <v>4753</v>
      </c>
      <c r="I959" s="25" t="s">
        <v>97</v>
      </c>
      <c r="J959" s="25" t="s">
        <v>2246</v>
      </c>
      <c r="K959" s="25" t="s">
        <v>3846</v>
      </c>
      <c r="L959" s="25" t="s">
        <v>3847</v>
      </c>
    </row>
    <row r="960" ht="15.75" customHeight="1">
      <c r="A960" s="58" t="s">
        <v>1025</v>
      </c>
      <c r="B960" s="59">
        <v>46099.0</v>
      </c>
      <c r="C960" s="58" t="s">
        <v>950</v>
      </c>
      <c r="D960" s="58" t="s">
        <v>4705</v>
      </c>
      <c r="E960" s="58" t="s">
        <v>154</v>
      </c>
      <c r="F960" s="58" t="s">
        <v>3844</v>
      </c>
      <c r="G960" s="59">
        <v>46095.0</v>
      </c>
      <c r="H960" s="58" t="s">
        <v>4754</v>
      </c>
      <c r="I960" s="58" t="s">
        <v>97</v>
      </c>
      <c r="J960" s="58" t="s">
        <v>2246</v>
      </c>
      <c r="K960" s="58" t="s">
        <v>3846</v>
      </c>
      <c r="L960" s="58" t="s">
        <v>3847</v>
      </c>
    </row>
    <row r="961" ht="15.75" customHeight="1">
      <c r="A961" s="25" t="s">
        <v>1107</v>
      </c>
      <c r="B961" s="26">
        <v>46095.0</v>
      </c>
      <c r="C961" s="25" t="s">
        <v>1075</v>
      </c>
      <c r="D961" s="25" t="s">
        <v>4705</v>
      </c>
      <c r="E961" s="25" t="s">
        <v>74</v>
      </c>
      <c r="F961" s="25" t="s">
        <v>3844</v>
      </c>
      <c r="G961" s="26">
        <v>46126.0</v>
      </c>
      <c r="H961" s="25" t="s">
        <v>4755</v>
      </c>
      <c r="I961" s="25" t="s">
        <v>97</v>
      </c>
      <c r="J961" s="25" t="s">
        <v>2246</v>
      </c>
      <c r="K961" s="25" t="s">
        <v>3846</v>
      </c>
      <c r="L961" s="25" t="s">
        <v>3855</v>
      </c>
    </row>
    <row r="962" ht="15.75" customHeight="1">
      <c r="A962" s="58" t="s">
        <v>633</v>
      </c>
      <c r="B962" s="59">
        <v>46082.0</v>
      </c>
      <c r="C962" s="58" t="s">
        <v>557</v>
      </c>
      <c r="D962" s="58" t="s">
        <v>4705</v>
      </c>
      <c r="E962" s="58" t="s">
        <v>115</v>
      </c>
      <c r="F962" s="58" t="s">
        <v>3844</v>
      </c>
      <c r="G962" s="59">
        <v>46126.0</v>
      </c>
      <c r="H962" s="58" t="s">
        <v>4756</v>
      </c>
      <c r="I962" s="58" t="s">
        <v>97</v>
      </c>
      <c r="J962" s="58" t="s">
        <v>2246</v>
      </c>
      <c r="K962" s="58" t="s">
        <v>3846</v>
      </c>
      <c r="L962" s="58" t="s">
        <v>3851</v>
      </c>
    </row>
    <row r="963" ht="15.75" customHeight="1">
      <c r="A963" s="25" t="s">
        <v>1029</v>
      </c>
      <c r="B963" s="26">
        <v>46110.0</v>
      </c>
      <c r="C963" s="25" t="s">
        <v>984</v>
      </c>
      <c r="D963" s="25" t="s">
        <v>4705</v>
      </c>
      <c r="E963" s="25" t="s">
        <v>110</v>
      </c>
      <c r="F963" s="25" t="s">
        <v>3844</v>
      </c>
      <c r="G963" s="26">
        <v>46145.0</v>
      </c>
      <c r="H963" s="25" t="s">
        <v>4757</v>
      </c>
      <c r="I963" s="25" t="s">
        <v>97</v>
      </c>
      <c r="J963" s="25" t="s">
        <v>2246</v>
      </c>
      <c r="K963" s="25" t="s">
        <v>3846</v>
      </c>
      <c r="L963" s="25" t="s">
        <v>3851</v>
      </c>
    </row>
    <row r="964" ht="15.75" customHeight="1">
      <c r="A964" s="58" t="s">
        <v>383</v>
      </c>
      <c r="B964" s="59">
        <v>46141.0</v>
      </c>
      <c r="C964" s="58" t="s">
        <v>330</v>
      </c>
      <c r="D964" s="58" t="s">
        <v>4705</v>
      </c>
      <c r="E964" s="58" t="s">
        <v>102</v>
      </c>
      <c r="F964" s="58" t="s">
        <v>3844</v>
      </c>
      <c r="G964" s="59">
        <v>46169.0</v>
      </c>
      <c r="H964" s="58"/>
      <c r="I964" s="58" t="s">
        <v>97</v>
      </c>
      <c r="J964" s="58" t="s">
        <v>2247</v>
      </c>
      <c r="K964" s="58" t="s">
        <v>3848</v>
      </c>
      <c r="L964" s="58" t="s">
        <v>3855</v>
      </c>
    </row>
    <row r="965" ht="15.75" customHeight="1">
      <c r="A965" s="25" t="s">
        <v>384</v>
      </c>
      <c r="B965" s="26">
        <v>46024.0</v>
      </c>
      <c r="C965" s="25" t="s">
        <v>330</v>
      </c>
      <c r="D965" s="25" t="s">
        <v>4705</v>
      </c>
      <c r="E965" s="25" t="s">
        <v>110</v>
      </c>
      <c r="F965" s="25" t="s">
        <v>3857</v>
      </c>
      <c r="G965" s="26">
        <v>46105.0</v>
      </c>
      <c r="H965" s="25" t="s">
        <v>4758</v>
      </c>
      <c r="I965" s="25" t="s">
        <v>97</v>
      </c>
      <c r="J965" s="25" t="s">
        <v>2246</v>
      </c>
      <c r="K965" s="25" t="s">
        <v>3846</v>
      </c>
      <c r="L965" s="25" t="s">
        <v>3847</v>
      </c>
    </row>
    <row r="966" ht="15.75" customHeight="1">
      <c r="A966" s="58" t="s">
        <v>1031</v>
      </c>
      <c r="B966" s="59">
        <v>46055.0</v>
      </c>
      <c r="C966" s="58" t="s">
        <v>984</v>
      </c>
      <c r="D966" s="58" t="s">
        <v>4705</v>
      </c>
      <c r="E966" s="58" t="s">
        <v>92</v>
      </c>
      <c r="F966" s="58" t="s">
        <v>3844</v>
      </c>
      <c r="G966" s="59">
        <v>46054.0</v>
      </c>
      <c r="H966" s="58" t="s">
        <v>4759</v>
      </c>
      <c r="I966" s="58" t="s">
        <v>97</v>
      </c>
      <c r="J966" s="58" t="s">
        <v>2246</v>
      </c>
      <c r="K966" s="58" t="s">
        <v>3846</v>
      </c>
      <c r="L966" s="58" t="s">
        <v>3851</v>
      </c>
    </row>
    <row r="967" ht="15.75" customHeight="1">
      <c r="A967" s="25" t="s">
        <v>385</v>
      </c>
      <c r="B967" s="26">
        <v>46122.0</v>
      </c>
      <c r="C967" s="25" t="s">
        <v>312</v>
      </c>
      <c r="D967" s="25" t="s">
        <v>4705</v>
      </c>
      <c r="E967" s="25" t="s">
        <v>115</v>
      </c>
      <c r="F967" s="25" t="s">
        <v>3844</v>
      </c>
      <c r="G967" s="26">
        <v>46183.0</v>
      </c>
      <c r="H967" s="25" t="s">
        <v>4760</v>
      </c>
      <c r="I967" s="25" t="s">
        <v>97</v>
      </c>
      <c r="J967" s="25" t="s">
        <v>2246</v>
      </c>
      <c r="K967" s="25" t="s">
        <v>3846</v>
      </c>
      <c r="L967" s="25" t="s">
        <v>3855</v>
      </c>
    </row>
    <row r="968" ht="15.75" customHeight="1">
      <c r="A968" s="58" t="s">
        <v>640</v>
      </c>
      <c r="B968" s="59">
        <v>46081.0</v>
      </c>
      <c r="C968" s="58" t="s">
        <v>557</v>
      </c>
      <c r="D968" s="58" t="s">
        <v>4705</v>
      </c>
      <c r="E968" s="58" t="s">
        <v>74</v>
      </c>
      <c r="F968" s="58" t="s">
        <v>3857</v>
      </c>
      <c r="G968" s="59">
        <v>46223.0</v>
      </c>
      <c r="H968" s="58"/>
      <c r="I968" s="58" t="s">
        <v>97</v>
      </c>
      <c r="J968" s="58" t="s">
        <v>2247</v>
      </c>
      <c r="K968" s="58" t="s">
        <v>3848</v>
      </c>
      <c r="L968" s="58" t="s">
        <v>3847</v>
      </c>
    </row>
    <row r="969" ht="15.75" customHeight="1">
      <c r="A969" s="25" t="s">
        <v>391</v>
      </c>
      <c r="B969" s="26">
        <v>46050.0</v>
      </c>
      <c r="C969" s="25" t="s">
        <v>330</v>
      </c>
      <c r="D969" s="25" t="s">
        <v>4705</v>
      </c>
      <c r="E969" s="25" t="s">
        <v>108</v>
      </c>
      <c r="F969" s="25" t="s">
        <v>3844</v>
      </c>
      <c r="G969" s="26">
        <v>46157.0</v>
      </c>
      <c r="H969" s="25" t="s">
        <v>4761</v>
      </c>
      <c r="I969" s="25" t="s">
        <v>97</v>
      </c>
      <c r="J969" s="25" t="s">
        <v>2246</v>
      </c>
      <c r="K969" s="25" t="s">
        <v>3846</v>
      </c>
      <c r="L969" s="25" t="s">
        <v>3847</v>
      </c>
    </row>
    <row r="970" ht="15.75" customHeight="1">
      <c r="A970" s="58" t="s">
        <v>1111</v>
      </c>
      <c r="B970" s="59">
        <v>46045.0</v>
      </c>
      <c r="C970" s="58" t="s">
        <v>1075</v>
      </c>
      <c r="D970" s="58" t="s">
        <v>4705</v>
      </c>
      <c r="E970" s="58" t="s">
        <v>92</v>
      </c>
      <c r="F970" s="58" t="s">
        <v>3844</v>
      </c>
      <c r="G970" s="59">
        <v>46036.0</v>
      </c>
      <c r="H970" s="58" t="s">
        <v>4762</v>
      </c>
      <c r="I970" s="58" t="s">
        <v>97</v>
      </c>
      <c r="J970" s="58" t="s">
        <v>2246</v>
      </c>
      <c r="K970" s="58" t="s">
        <v>3846</v>
      </c>
      <c r="L970" s="58" t="s">
        <v>3855</v>
      </c>
    </row>
    <row r="971" ht="15.75" customHeight="1">
      <c r="A971" s="25" t="s">
        <v>511</v>
      </c>
      <c r="B971" s="26">
        <v>46124.0</v>
      </c>
      <c r="C971" s="25" t="s">
        <v>464</v>
      </c>
      <c r="D971" s="25" t="s">
        <v>4705</v>
      </c>
      <c r="E971" s="25" t="s">
        <v>95</v>
      </c>
      <c r="F971" s="25" t="s">
        <v>3844</v>
      </c>
      <c r="G971" s="26">
        <v>46252.0</v>
      </c>
      <c r="H971" s="25" t="s">
        <v>4763</v>
      </c>
      <c r="I971" s="25" t="s">
        <v>97</v>
      </c>
      <c r="J971" s="25" t="s">
        <v>2246</v>
      </c>
      <c r="K971" s="25" t="s">
        <v>3846</v>
      </c>
      <c r="L971" s="25" t="s">
        <v>3847</v>
      </c>
    </row>
    <row r="972" ht="15.75" customHeight="1">
      <c r="A972" s="58" t="s">
        <v>398</v>
      </c>
      <c r="B972" s="59">
        <v>46123.0</v>
      </c>
      <c r="C972" s="58" t="s">
        <v>330</v>
      </c>
      <c r="D972" s="58" t="s">
        <v>4705</v>
      </c>
      <c r="E972" s="58" t="s">
        <v>78</v>
      </c>
      <c r="F972" s="58" t="s">
        <v>3844</v>
      </c>
      <c r="G972" s="59">
        <v>46172.0</v>
      </c>
      <c r="H972" s="58" t="s">
        <v>4764</v>
      </c>
      <c r="I972" s="58" t="s">
        <v>97</v>
      </c>
      <c r="J972" s="58" t="s">
        <v>2246</v>
      </c>
      <c r="K972" s="58" t="s">
        <v>3846</v>
      </c>
      <c r="L972" s="58" t="s">
        <v>3855</v>
      </c>
    </row>
    <row r="973" ht="15.75" customHeight="1">
      <c r="A973" s="25" t="s">
        <v>512</v>
      </c>
      <c r="B973" s="26">
        <v>46129.0</v>
      </c>
      <c r="C973" s="25" t="s">
        <v>464</v>
      </c>
      <c r="D973" s="25" t="s">
        <v>4705</v>
      </c>
      <c r="E973" s="25" t="s">
        <v>154</v>
      </c>
      <c r="F973" s="25" t="s">
        <v>3844</v>
      </c>
      <c r="G973" s="26">
        <v>46272.0</v>
      </c>
      <c r="H973" s="25" t="s">
        <v>4765</v>
      </c>
      <c r="I973" s="25" t="s">
        <v>97</v>
      </c>
      <c r="J973" s="25" t="s">
        <v>2246</v>
      </c>
      <c r="K973" s="25" t="s">
        <v>3846</v>
      </c>
      <c r="L973" s="25" t="s">
        <v>3847</v>
      </c>
    </row>
    <row r="974" ht="15.75" customHeight="1">
      <c r="A974" s="58" t="s">
        <v>649</v>
      </c>
      <c r="B974" s="59">
        <v>46047.0</v>
      </c>
      <c r="C974" s="58" t="s">
        <v>557</v>
      </c>
      <c r="D974" s="58" t="s">
        <v>4705</v>
      </c>
      <c r="E974" s="58" t="s">
        <v>108</v>
      </c>
      <c r="F974" s="58" t="s">
        <v>3844</v>
      </c>
      <c r="G974" s="59">
        <v>46165.0</v>
      </c>
      <c r="H974" s="58" t="s">
        <v>4766</v>
      </c>
      <c r="I974" s="58" t="s">
        <v>97</v>
      </c>
      <c r="J974" s="58" t="s">
        <v>2246</v>
      </c>
      <c r="K974" s="58" t="s">
        <v>3846</v>
      </c>
      <c r="L974" s="58" t="s">
        <v>3847</v>
      </c>
    </row>
    <row r="975" ht="15.75" customHeight="1">
      <c r="A975" s="25" t="s">
        <v>513</v>
      </c>
      <c r="B975" s="26">
        <v>46031.0</v>
      </c>
      <c r="C975" s="25" t="s">
        <v>464</v>
      </c>
      <c r="D975" s="25" t="s">
        <v>4705</v>
      </c>
      <c r="E975" s="25" t="s">
        <v>154</v>
      </c>
      <c r="F975" s="25" t="s">
        <v>3844</v>
      </c>
      <c r="G975" s="26">
        <v>46046.0</v>
      </c>
      <c r="H975" s="25" t="s">
        <v>4767</v>
      </c>
      <c r="I975" s="25" t="s">
        <v>97</v>
      </c>
      <c r="J975" s="25" t="s">
        <v>2246</v>
      </c>
      <c r="K975" s="25" t="s">
        <v>3846</v>
      </c>
      <c r="L975" s="25" t="s">
        <v>3847</v>
      </c>
    </row>
    <row r="976" ht="15.75" customHeight="1">
      <c r="A976" s="58" t="s">
        <v>655</v>
      </c>
      <c r="B976" s="59">
        <v>46112.0</v>
      </c>
      <c r="C976" s="58" t="s">
        <v>593</v>
      </c>
      <c r="D976" s="58" t="s">
        <v>4705</v>
      </c>
      <c r="E976" s="58" t="s">
        <v>115</v>
      </c>
      <c r="F976" s="58" t="s">
        <v>3844</v>
      </c>
      <c r="G976" s="59">
        <v>46237.0</v>
      </c>
      <c r="H976" s="58" t="s">
        <v>4768</v>
      </c>
      <c r="I976" s="58" t="s">
        <v>97</v>
      </c>
      <c r="J976" s="58" t="s">
        <v>2246</v>
      </c>
      <c r="K976" s="58" t="s">
        <v>3846</v>
      </c>
      <c r="L976" s="58" t="s">
        <v>3851</v>
      </c>
    </row>
    <row r="977" ht="15.75" customHeight="1">
      <c r="A977" s="25" t="s">
        <v>516</v>
      </c>
      <c r="B977" s="26">
        <v>46042.0</v>
      </c>
      <c r="C977" s="25" t="s">
        <v>464</v>
      </c>
      <c r="D977" s="25" t="s">
        <v>4705</v>
      </c>
      <c r="E977" s="25" t="s">
        <v>92</v>
      </c>
      <c r="F977" s="25" t="s">
        <v>3844</v>
      </c>
      <c r="G977" s="26">
        <v>46071.0</v>
      </c>
      <c r="H977" s="25" t="s">
        <v>4769</v>
      </c>
      <c r="I977" s="25" t="s">
        <v>97</v>
      </c>
      <c r="J977" s="25" t="s">
        <v>2246</v>
      </c>
      <c r="K977" s="25" t="s">
        <v>3846</v>
      </c>
      <c r="L977" s="25" t="s">
        <v>3847</v>
      </c>
    </row>
    <row r="978" ht="15.75" customHeight="1">
      <c r="A978" s="58" t="s">
        <v>1181</v>
      </c>
      <c r="B978" s="59">
        <v>46042.0</v>
      </c>
      <c r="C978" s="58" t="s">
        <v>1131</v>
      </c>
      <c r="D978" s="58" t="s">
        <v>4705</v>
      </c>
      <c r="E978" s="58" t="s">
        <v>102</v>
      </c>
      <c r="F978" s="58" t="s">
        <v>3844</v>
      </c>
      <c r="G978" s="59">
        <v>46147.0</v>
      </c>
      <c r="H978" s="58" t="s">
        <v>4770</v>
      </c>
      <c r="I978" s="58" t="s">
        <v>97</v>
      </c>
      <c r="J978" s="58" t="s">
        <v>2246</v>
      </c>
      <c r="K978" s="58" t="s">
        <v>3846</v>
      </c>
      <c r="L978" s="58" t="s">
        <v>3847</v>
      </c>
    </row>
    <row r="979" ht="15.75" customHeight="1">
      <c r="A979" s="25" t="s">
        <v>1185</v>
      </c>
      <c r="B979" s="26">
        <v>46045.0</v>
      </c>
      <c r="C979" s="25" t="s">
        <v>1131</v>
      </c>
      <c r="D979" s="25" t="s">
        <v>4705</v>
      </c>
      <c r="E979" s="25" t="s">
        <v>85</v>
      </c>
      <c r="F979" s="25" t="s">
        <v>3844</v>
      </c>
      <c r="G979" s="26">
        <v>46025.0</v>
      </c>
      <c r="H979" s="25" t="s">
        <v>4771</v>
      </c>
      <c r="I979" s="25" t="s">
        <v>97</v>
      </c>
      <c r="J979" s="25" t="s">
        <v>2246</v>
      </c>
      <c r="K979" s="25" t="s">
        <v>3846</v>
      </c>
      <c r="L979" s="25" t="s">
        <v>3855</v>
      </c>
    </row>
    <row r="980" ht="15.75" customHeight="1">
      <c r="A980" s="58" t="s">
        <v>520</v>
      </c>
      <c r="B980" s="59">
        <v>46103.0</v>
      </c>
      <c r="C980" s="58" t="s">
        <v>464</v>
      </c>
      <c r="D980" s="58" t="s">
        <v>4705</v>
      </c>
      <c r="E980" s="58" t="s">
        <v>154</v>
      </c>
      <c r="F980" s="58" t="s">
        <v>3844</v>
      </c>
      <c r="G980" s="59">
        <v>46115.0</v>
      </c>
      <c r="H980" s="58"/>
      <c r="I980" s="58" t="s">
        <v>97</v>
      </c>
      <c r="J980" s="58" t="s">
        <v>2247</v>
      </c>
      <c r="K980" s="58" t="s">
        <v>3848</v>
      </c>
      <c r="L980" s="58" t="s">
        <v>3847</v>
      </c>
    </row>
    <row r="981" ht="15.75" customHeight="1">
      <c r="A981" s="25" t="s">
        <v>661</v>
      </c>
      <c r="B981" s="26">
        <v>46124.0</v>
      </c>
      <c r="C981" s="25" t="s">
        <v>557</v>
      </c>
      <c r="D981" s="25" t="s">
        <v>4705</v>
      </c>
      <c r="E981" s="25" t="s">
        <v>190</v>
      </c>
      <c r="F981" s="25" t="s">
        <v>3844</v>
      </c>
      <c r="G981" s="26">
        <v>46246.0</v>
      </c>
      <c r="H981" s="25" t="s">
        <v>4772</v>
      </c>
      <c r="I981" s="25" t="s">
        <v>97</v>
      </c>
      <c r="J981" s="25" t="s">
        <v>2246</v>
      </c>
      <c r="K981" s="25" t="s">
        <v>3846</v>
      </c>
      <c r="L981" s="25" t="s">
        <v>3851</v>
      </c>
    </row>
    <row r="982" ht="15.75" customHeight="1">
      <c r="A982" s="58" t="s">
        <v>413</v>
      </c>
      <c r="B982" s="59">
        <v>46089.0</v>
      </c>
      <c r="C982" s="58" t="s">
        <v>293</v>
      </c>
      <c r="D982" s="58" t="s">
        <v>4705</v>
      </c>
      <c r="E982" s="58" t="s">
        <v>95</v>
      </c>
      <c r="F982" s="58" t="s">
        <v>3844</v>
      </c>
      <c r="G982" s="59">
        <v>46193.0</v>
      </c>
      <c r="H982" s="58" t="s">
        <v>4773</v>
      </c>
      <c r="I982" s="58" t="s">
        <v>97</v>
      </c>
      <c r="J982" s="58" t="s">
        <v>2246</v>
      </c>
      <c r="K982" s="58" t="s">
        <v>3846</v>
      </c>
      <c r="L982" s="58" t="s">
        <v>3847</v>
      </c>
    </row>
    <row r="983" ht="15.75" customHeight="1">
      <c r="A983" s="25" t="s">
        <v>1048</v>
      </c>
      <c r="B983" s="26">
        <v>46117.0</v>
      </c>
      <c r="C983" s="25" t="s">
        <v>984</v>
      </c>
      <c r="D983" s="25" t="s">
        <v>4705</v>
      </c>
      <c r="E983" s="25" t="s">
        <v>74</v>
      </c>
      <c r="F983" s="25" t="s">
        <v>3844</v>
      </c>
      <c r="G983" s="26">
        <v>46132.0</v>
      </c>
      <c r="H983" s="25" t="s">
        <v>4774</v>
      </c>
      <c r="I983" s="25" t="s">
        <v>97</v>
      </c>
      <c r="J983" s="25" t="s">
        <v>2246</v>
      </c>
      <c r="K983" s="25" t="s">
        <v>3846</v>
      </c>
      <c r="L983" s="25" t="s">
        <v>3855</v>
      </c>
    </row>
    <row r="984" ht="15.75" customHeight="1">
      <c r="A984" s="58" t="s">
        <v>1050</v>
      </c>
      <c r="B984" s="59">
        <v>46057.0</v>
      </c>
      <c r="C984" s="58" t="s">
        <v>950</v>
      </c>
      <c r="D984" s="58" t="s">
        <v>4705</v>
      </c>
      <c r="E984" s="58" t="s">
        <v>78</v>
      </c>
      <c r="F984" s="58" t="s">
        <v>3844</v>
      </c>
      <c r="G984" s="59">
        <v>46106.0</v>
      </c>
      <c r="H984" s="58" t="s">
        <v>4775</v>
      </c>
      <c r="I984" s="58" t="s">
        <v>97</v>
      </c>
      <c r="J984" s="58" t="s">
        <v>2246</v>
      </c>
      <c r="K984" s="58" t="s">
        <v>3846</v>
      </c>
      <c r="L984" s="58" t="s">
        <v>3847</v>
      </c>
    </row>
    <row r="985" ht="15.75" customHeight="1">
      <c r="A985" s="25" t="s">
        <v>522</v>
      </c>
      <c r="B985" s="26">
        <v>46024.0</v>
      </c>
      <c r="C985" s="25" t="s">
        <v>464</v>
      </c>
      <c r="D985" s="25" t="s">
        <v>4705</v>
      </c>
      <c r="E985" s="25" t="s">
        <v>78</v>
      </c>
      <c r="F985" s="25" t="s">
        <v>3844</v>
      </c>
      <c r="G985" s="26">
        <v>46065.0</v>
      </c>
      <c r="H985" s="25" t="s">
        <v>4776</v>
      </c>
      <c r="I985" s="25" t="s">
        <v>97</v>
      </c>
      <c r="J985" s="25" t="s">
        <v>2246</v>
      </c>
      <c r="K985" s="25" t="s">
        <v>3846</v>
      </c>
      <c r="L985" s="25" t="s">
        <v>3855</v>
      </c>
    </row>
    <row r="986" ht="15.75" customHeight="1">
      <c r="A986" s="58" t="s">
        <v>420</v>
      </c>
      <c r="B986" s="59">
        <v>46098.0</v>
      </c>
      <c r="C986" s="58" t="s">
        <v>330</v>
      </c>
      <c r="D986" s="58" t="s">
        <v>4705</v>
      </c>
      <c r="E986" s="58" t="s">
        <v>190</v>
      </c>
      <c r="F986" s="58" t="s">
        <v>3844</v>
      </c>
      <c r="G986" s="59">
        <v>46250.0</v>
      </c>
      <c r="H986" s="58" t="s">
        <v>4777</v>
      </c>
      <c r="I986" s="58" t="s">
        <v>97</v>
      </c>
      <c r="J986" s="58" t="s">
        <v>2246</v>
      </c>
      <c r="K986" s="58" t="s">
        <v>3846</v>
      </c>
      <c r="L986" s="58" t="s">
        <v>3851</v>
      </c>
    </row>
    <row r="987" ht="15.75" customHeight="1">
      <c r="A987" s="25" t="s">
        <v>674</v>
      </c>
      <c r="B987" s="26">
        <v>46104.0</v>
      </c>
      <c r="C987" s="25" t="s">
        <v>593</v>
      </c>
      <c r="D987" s="25" t="s">
        <v>4705</v>
      </c>
      <c r="E987" s="25" t="s">
        <v>162</v>
      </c>
      <c r="F987" s="25" t="s">
        <v>3844</v>
      </c>
      <c r="G987" s="26">
        <v>46220.0</v>
      </c>
      <c r="H987" s="25" t="s">
        <v>4778</v>
      </c>
      <c r="I987" s="25" t="s">
        <v>3853</v>
      </c>
      <c r="J987" s="25" t="s">
        <v>2247</v>
      </c>
      <c r="K987" s="25" t="s">
        <v>3854</v>
      </c>
      <c r="L987" s="25" t="s">
        <v>3855</v>
      </c>
    </row>
    <row r="988" ht="15.75" customHeight="1">
      <c r="A988" s="58" t="s">
        <v>427</v>
      </c>
      <c r="B988" s="59">
        <v>46117.0</v>
      </c>
      <c r="C988" s="58" t="s">
        <v>312</v>
      </c>
      <c r="D988" s="58" t="s">
        <v>4705</v>
      </c>
      <c r="E988" s="58" t="s">
        <v>95</v>
      </c>
      <c r="F988" s="58" t="s">
        <v>3844</v>
      </c>
      <c r="G988" s="59">
        <v>46187.0</v>
      </c>
      <c r="H988" s="58" t="s">
        <v>4779</v>
      </c>
      <c r="I988" s="58" t="s">
        <v>97</v>
      </c>
      <c r="J988" s="58" t="s">
        <v>2246</v>
      </c>
      <c r="K988" s="58" t="s">
        <v>3846</v>
      </c>
      <c r="L988" s="58" t="s">
        <v>3855</v>
      </c>
    </row>
    <row r="989" ht="15.75" customHeight="1">
      <c r="A989" s="25" t="s">
        <v>430</v>
      </c>
      <c r="B989" s="26">
        <v>46050.0</v>
      </c>
      <c r="C989" s="25" t="s">
        <v>330</v>
      </c>
      <c r="D989" s="25" t="s">
        <v>4705</v>
      </c>
      <c r="E989" s="25" t="s">
        <v>106</v>
      </c>
      <c r="F989" s="25" t="s">
        <v>3844</v>
      </c>
      <c r="G989" s="26">
        <v>46065.0</v>
      </c>
      <c r="H989" s="25" t="s">
        <v>4780</v>
      </c>
      <c r="I989" s="25" t="s">
        <v>97</v>
      </c>
      <c r="J989" s="25" t="s">
        <v>2246</v>
      </c>
      <c r="K989" s="25" t="s">
        <v>3846</v>
      </c>
      <c r="L989" s="25" t="s">
        <v>3847</v>
      </c>
    </row>
    <row r="990" ht="15.75" customHeight="1">
      <c r="A990" s="58" t="s">
        <v>1060</v>
      </c>
      <c r="B990" s="59">
        <v>46125.0</v>
      </c>
      <c r="C990" s="58" t="s">
        <v>984</v>
      </c>
      <c r="D990" s="58" t="s">
        <v>4705</v>
      </c>
      <c r="E990" s="58" t="s">
        <v>123</v>
      </c>
      <c r="F990" s="58" t="s">
        <v>3857</v>
      </c>
      <c r="G990" s="59">
        <v>46269.0</v>
      </c>
      <c r="H990" s="58"/>
      <c r="I990" s="58" t="s">
        <v>3853</v>
      </c>
      <c r="J990" s="58" t="s">
        <v>2247</v>
      </c>
      <c r="K990" s="58" t="s">
        <v>3874</v>
      </c>
      <c r="L990" s="58" t="s">
        <v>3855</v>
      </c>
    </row>
    <row r="991" ht="15.75" customHeight="1">
      <c r="A991" s="25" t="s">
        <v>679</v>
      </c>
      <c r="B991" s="26">
        <v>46118.0</v>
      </c>
      <c r="C991" s="25" t="s">
        <v>593</v>
      </c>
      <c r="D991" s="25" t="s">
        <v>4705</v>
      </c>
      <c r="E991" s="25" t="s">
        <v>95</v>
      </c>
      <c r="F991" s="25" t="s">
        <v>3844</v>
      </c>
      <c r="G991" s="26">
        <v>46151.0</v>
      </c>
      <c r="H991" s="25" t="s">
        <v>4781</v>
      </c>
      <c r="I991" s="25" t="s">
        <v>97</v>
      </c>
      <c r="J991" s="25" t="s">
        <v>2246</v>
      </c>
      <c r="K991" s="25" t="s">
        <v>3846</v>
      </c>
      <c r="L991" s="25" t="s">
        <v>3855</v>
      </c>
    </row>
    <row r="992" ht="15.75" customHeight="1">
      <c r="A992" s="58" t="s">
        <v>528</v>
      </c>
      <c r="B992" s="59">
        <v>46033.0</v>
      </c>
      <c r="C992" s="58" t="s">
        <v>464</v>
      </c>
      <c r="D992" s="58" t="s">
        <v>4705</v>
      </c>
      <c r="E992" s="58" t="s">
        <v>154</v>
      </c>
      <c r="F992" s="58" t="s">
        <v>3844</v>
      </c>
      <c r="G992" s="59">
        <v>46190.0</v>
      </c>
      <c r="H992" s="58" t="s">
        <v>4782</v>
      </c>
      <c r="I992" s="58" t="s">
        <v>97</v>
      </c>
      <c r="J992" s="58" t="s">
        <v>2246</v>
      </c>
      <c r="K992" s="58" t="s">
        <v>3846</v>
      </c>
      <c r="L992" s="58" t="s">
        <v>3851</v>
      </c>
    </row>
    <row r="993" ht="15.75" customHeight="1">
      <c r="A993" s="25" t="s">
        <v>1063</v>
      </c>
      <c r="B993" s="26">
        <v>46108.0</v>
      </c>
      <c r="C993" s="25" t="s">
        <v>984</v>
      </c>
      <c r="D993" s="25" t="s">
        <v>4705</v>
      </c>
      <c r="E993" s="25" t="s">
        <v>78</v>
      </c>
      <c r="F993" s="25" t="s">
        <v>3844</v>
      </c>
      <c r="G993" s="26">
        <v>46167.0</v>
      </c>
      <c r="H993" s="25" t="s">
        <v>4783</v>
      </c>
      <c r="I993" s="25" t="s">
        <v>97</v>
      </c>
      <c r="J993" s="25" t="s">
        <v>2246</v>
      </c>
      <c r="K993" s="25" t="s">
        <v>3846</v>
      </c>
      <c r="L993" s="25" t="s">
        <v>3847</v>
      </c>
    </row>
    <row r="994" ht="15.75" customHeight="1">
      <c r="A994" s="58" t="s">
        <v>683</v>
      </c>
      <c r="B994" s="59">
        <v>46126.0</v>
      </c>
      <c r="C994" s="58" t="s">
        <v>557</v>
      </c>
      <c r="D994" s="58" t="s">
        <v>4705</v>
      </c>
      <c r="E994" s="58" t="s">
        <v>108</v>
      </c>
      <c r="F994" s="58" t="s">
        <v>3844</v>
      </c>
      <c r="G994" s="59">
        <v>46187.0</v>
      </c>
      <c r="H994" s="58" t="s">
        <v>4784</v>
      </c>
      <c r="I994" s="58" t="s">
        <v>97</v>
      </c>
      <c r="J994" s="58" t="s">
        <v>2246</v>
      </c>
      <c r="K994" s="58" t="s">
        <v>3846</v>
      </c>
      <c r="L994" s="58" t="s">
        <v>3851</v>
      </c>
    </row>
    <row r="995" ht="15.75" customHeight="1">
      <c r="A995" s="25" t="s">
        <v>1198</v>
      </c>
      <c r="B995" s="26">
        <v>46061.0</v>
      </c>
      <c r="C995" s="25" t="s">
        <v>1131</v>
      </c>
      <c r="D995" s="25" t="s">
        <v>4705</v>
      </c>
      <c r="E995" s="25" t="s">
        <v>108</v>
      </c>
      <c r="F995" s="25" t="s">
        <v>3844</v>
      </c>
      <c r="G995" s="26">
        <v>46181.0</v>
      </c>
      <c r="H995" s="25" t="s">
        <v>4785</v>
      </c>
      <c r="I995" s="25" t="s">
        <v>97</v>
      </c>
      <c r="J995" s="25" t="s">
        <v>2246</v>
      </c>
      <c r="K995" s="25" t="s">
        <v>3846</v>
      </c>
      <c r="L995" s="25" t="s">
        <v>3855</v>
      </c>
    </row>
    <row r="996" ht="15.75" customHeight="1">
      <c r="A996" s="58" t="s">
        <v>437</v>
      </c>
      <c r="B996" s="59">
        <v>46093.0</v>
      </c>
      <c r="C996" s="58" t="s">
        <v>312</v>
      </c>
      <c r="D996" s="58" t="s">
        <v>4705</v>
      </c>
      <c r="E996" s="58" t="s">
        <v>102</v>
      </c>
      <c r="F996" s="58" t="s">
        <v>3844</v>
      </c>
      <c r="G996" s="59">
        <v>46084.0</v>
      </c>
      <c r="H996" s="58" t="s">
        <v>4786</v>
      </c>
      <c r="I996" s="58" t="s">
        <v>97</v>
      </c>
      <c r="J996" s="58" t="s">
        <v>2246</v>
      </c>
      <c r="K996" s="58" t="s">
        <v>3846</v>
      </c>
      <c r="L996" s="58" t="s">
        <v>3855</v>
      </c>
    </row>
    <row r="997" ht="15.75" customHeight="1">
      <c r="A997" s="25" t="s">
        <v>1120</v>
      </c>
      <c r="B997" s="26">
        <v>46054.0</v>
      </c>
      <c r="C997" s="25" t="s">
        <v>1075</v>
      </c>
      <c r="D997" s="25" t="s">
        <v>4705</v>
      </c>
      <c r="E997" s="25" t="s">
        <v>108</v>
      </c>
      <c r="F997" s="25" t="s">
        <v>3844</v>
      </c>
      <c r="G997" s="26">
        <v>46191.0</v>
      </c>
      <c r="H997" s="25" t="s">
        <v>4787</v>
      </c>
      <c r="I997" s="25" t="s">
        <v>97</v>
      </c>
      <c r="J997" s="25" t="s">
        <v>2246</v>
      </c>
      <c r="K997" s="25" t="s">
        <v>3846</v>
      </c>
      <c r="L997" s="25" t="s">
        <v>3847</v>
      </c>
    </row>
    <row r="998" ht="15.75" customHeight="1">
      <c r="A998" s="58" t="s">
        <v>643</v>
      </c>
      <c r="B998" s="59">
        <v>46136.0</v>
      </c>
      <c r="C998" s="58" t="s">
        <v>950</v>
      </c>
      <c r="D998" s="58" t="s">
        <v>4705</v>
      </c>
      <c r="E998" s="58" t="s">
        <v>110</v>
      </c>
      <c r="F998" s="58" t="s">
        <v>3844</v>
      </c>
      <c r="G998" s="59">
        <v>46243.0</v>
      </c>
      <c r="H998" s="58"/>
      <c r="I998" s="58" t="s">
        <v>97</v>
      </c>
      <c r="J998" s="58" t="s">
        <v>2247</v>
      </c>
      <c r="K998" s="58" t="s">
        <v>3848</v>
      </c>
      <c r="L998" s="58" t="s">
        <v>3855</v>
      </c>
    </row>
    <row r="999" ht="15.75" customHeight="1">
      <c r="A999" s="25" t="s">
        <v>867</v>
      </c>
      <c r="B999" s="26">
        <v>46085.0</v>
      </c>
      <c r="C999" s="25" t="s">
        <v>950</v>
      </c>
      <c r="D999" s="25" t="s">
        <v>4705</v>
      </c>
      <c r="E999" s="25" t="s">
        <v>78</v>
      </c>
      <c r="F999" s="25" t="s">
        <v>3844</v>
      </c>
      <c r="G999" s="26">
        <v>46215.0</v>
      </c>
      <c r="H999" s="25" t="s">
        <v>4788</v>
      </c>
      <c r="I999" s="25" t="s">
        <v>97</v>
      </c>
      <c r="J999" s="25" t="s">
        <v>2246</v>
      </c>
      <c r="K999" s="25" t="s">
        <v>3846</v>
      </c>
      <c r="L999" s="25" t="s">
        <v>3855</v>
      </c>
    </row>
    <row r="1000" ht="15.75" customHeight="1">
      <c r="A1000" s="58" t="s">
        <v>1201</v>
      </c>
      <c r="B1000" s="59">
        <v>46037.0</v>
      </c>
      <c r="C1000" s="58" t="s">
        <v>1131</v>
      </c>
      <c r="D1000" s="58" t="s">
        <v>4705</v>
      </c>
      <c r="E1000" s="58" t="s">
        <v>110</v>
      </c>
      <c r="F1000" s="58" t="s">
        <v>3844</v>
      </c>
      <c r="G1000" s="59">
        <v>46017.0</v>
      </c>
      <c r="H1000" s="58" t="s">
        <v>4789</v>
      </c>
      <c r="I1000" s="58" t="s">
        <v>97</v>
      </c>
      <c r="J1000" s="58" t="s">
        <v>2246</v>
      </c>
      <c r="K1000" s="58" t="s">
        <v>3846</v>
      </c>
      <c r="L1000" s="58" t="s">
        <v>3855</v>
      </c>
    </row>
    <row r="1001" ht="15.75" customHeight="1">
      <c r="A1001" s="25" t="s">
        <v>1202</v>
      </c>
      <c r="B1001" s="26">
        <v>46100.0</v>
      </c>
      <c r="C1001" s="25" t="s">
        <v>1131</v>
      </c>
      <c r="D1001" s="25" t="s">
        <v>4705</v>
      </c>
      <c r="E1001" s="25" t="s">
        <v>108</v>
      </c>
      <c r="F1001" s="25" t="s">
        <v>3857</v>
      </c>
      <c r="G1001" s="26">
        <v>46178.0</v>
      </c>
      <c r="H1001" s="25" t="s">
        <v>4790</v>
      </c>
      <c r="I1001" s="25" t="s">
        <v>97</v>
      </c>
      <c r="J1001" s="25" t="s">
        <v>2246</v>
      </c>
      <c r="K1001" s="25" t="s">
        <v>3846</v>
      </c>
      <c r="L1001" s="25" t="s">
        <v>3847</v>
      </c>
    </row>
  </sheetData>
  <autoFilter ref="$A$1:$L$1001">
    <sortState ref="A1:L1001">
      <sortCondition ref="D1:D1001"/>
    </sortState>
  </autoFilter>
  <conditionalFormatting sqref="J2:J1001">
    <cfRule type="expression" dxfId="1" priority="1">
      <formula>J2="Yes"</formula>
    </cfRule>
  </conditionalFormatting>
  <conditionalFormatting sqref="F2:F1001">
    <cfRule type="expression" dxfId="1" priority="2">
      <formula>OR(F2="Expired",F2="Missing")</formula>
    </cfRule>
  </conditionalFormatting>
  <conditionalFormatting sqref="I2:I1001">
    <cfRule type="expression" dxfId="2" priority="3">
      <formula>I2&lt;&gt;"Approved"</formula>
    </cfRule>
  </conditionalFormatting>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1.0"/>
    <col customWidth="1" min="3" max="3" width="13.0"/>
    <col customWidth="1" min="4" max="6" width="21.0"/>
    <col customWidth="1" min="7" max="7" width="18.0"/>
    <col customWidth="1" min="8" max="8" width="17.0"/>
    <col customWidth="1" min="9" max="9" width="19.0"/>
    <col customWidth="1" min="10" max="10" width="11.0"/>
    <col customWidth="1" min="11" max="11" width="38.0"/>
    <col customWidth="1" min="12" max="12" width="30.0"/>
    <col customWidth="1" min="13" max="13" width="38.0"/>
    <col customWidth="1" min="14" max="26" width="8.71"/>
  </cols>
  <sheetData>
    <row r="1">
      <c r="A1" s="60" t="s">
        <v>4791</v>
      </c>
      <c r="B1" s="60" t="s">
        <v>43</v>
      </c>
      <c r="C1" s="60" t="s">
        <v>45</v>
      </c>
      <c r="D1" s="60" t="s">
        <v>4792</v>
      </c>
      <c r="E1" s="60" t="s">
        <v>4793</v>
      </c>
      <c r="F1" s="60" t="s">
        <v>4794</v>
      </c>
      <c r="G1" s="60" t="s">
        <v>4795</v>
      </c>
      <c r="H1" s="60" t="s">
        <v>4796</v>
      </c>
      <c r="I1" s="60" t="s">
        <v>4797</v>
      </c>
      <c r="J1" s="60" t="s">
        <v>4798</v>
      </c>
      <c r="K1" s="60" t="s">
        <v>4799</v>
      </c>
      <c r="L1" s="60" t="s">
        <v>4800</v>
      </c>
      <c r="M1" s="60" t="s">
        <v>4801</v>
      </c>
    </row>
    <row r="2">
      <c r="A2" s="61" t="s">
        <v>4802</v>
      </c>
      <c r="B2" s="61" t="s">
        <v>574</v>
      </c>
      <c r="C2" s="61" t="s">
        <v>575</v>
      </c>
      <c r="D2" s="61" t="s">
        <v>4803</v>
      </c>
      <c r="E2" s="62">
        <v>46152.0</v>
      </c>
      <c r="F2" s="62">
        <v>46157.58333333334</v>
      </c>
      <c r="G2" s="61" t="s">
        <v>3851</v>
      </c>
      <c r="H2" s="61" t="s">
        <v>2246</v>
      </c>
      <c r="I2" s="61" t="s">
        <v>4804</v>
      </c>
      <c r="J2" s="63">
        <v>24.0</v>
      </c>
      <c r="K2" s="63">
        <f t="shared" ref="K2:K341" si="1">IF(F2="",(TODAY()-E2)*24,(F2-E2)*24)</f>
        <v>134</v>
      </c>
      <c r="L2" s="61" t="str">
        <f t="shared" ref="L2:L341" si="2">IF(K2&gt;J2,"Breach","OK")</f>
        <v>Breach</v>
      </c>
      <c r="M2" s="61" t="s">
        <v>4805</v>
      </c>
    </row>
    <row r="3">
      <c r="A3" s="25" t="s">
        <v>4806</v>
      </c>
      <c r="B3" s="25" t="s">
        <v>576</v>
      </c>
      <c r="C3" s="25" t="s">
        <v>550</v>
      </c>
      <c r="D3" s="25" t="s">
        <v>4807</v>
      </c>
      <c r="E3" s="26">
        <v>46071.0</v>
      </c>
      <c r="F3" s="26">
        <v>46074.45833333334</v>
      </c>
      <c r="G3" s="25" t="s">
        <v>3851</v>
      </c>
      <c r="H3" s="25" t="s">
        <v>2246</v>
      </c>
      <c r="I3" s="25" t="s">
        <v>4804</v>
      </c>
      <c r="J3" s="29">
        <v>24.0</v>
      </c>
      <c r="K3" s="29">
        <f t="shared" si="1"/>
        <v>83</v>
      </c>
      <c r="L3" s="25" t="str">
        <f t="shared" si="2"/>
        <v>Breach</v>
      </c>
      <c r="M3" s="25" t="s">
        <v>4808</v>
      </c>
    </row>
    <row r="4">
      <c r="A4" s="61" t="s">
        <v>4809</v>
      </c>
      <c r="B4" s="61" t="s">
        <v>431</v>
      </c>
      <c r="C4" s="61" t="s">
        <v>295</v>
      </c>
      <c r="D4" s="61" t="s">
        <v>4810</v>
      </c>
      <c r="E4" s="62">
        <v>46113.0</v>
      </c>
      <c r="F4" s="62">
        <v>46115.125</v>
      </c>
      <c r="G4" s="61" t="s">
        <v>4811</v>
      </c>
      <c r="H4" s="61" t="s">
        <v>2246</v>
      </c>
      <c r="I4" s="61" t="s">
        <v>4812</v>
      </c>
      <c r="J4" s="63">
        <v>96.0</v>
      </c>
      <c r="K4" s="63">
        <f t="shared" si="1"/>
        <v>51</v>
      </c>
      <c r="L4" s="61" t="str">
        <f t="shared" si="2"/>
        <v>OK</v>
      </c>
      <c r="M4" s="61" t="s">
        <v>4813</v>
      </c>
    </row>
    <row r="5">
      <c r="A5" s="25" t="s">
        <v>4814</v>
      </c>
      <c r="B5" s="25" t="s">
        <v>1000</v>
      </c>
      <c r="C5" s="25" t="s">
        <v>974</v>
      </c>
      <c r="D5" s="25" t="s">
        <v>4815</v>
      </c>
      <c r="E5" s="26">
        <v>46141.0</v>
      </c>
      <c r="F5" s="26"/>
      <c r="G5" s="25" t="s">
        <v>3847</v>
      </c>
      <c r="H5" s="25" t="s">
        <v>2246</v>
      </c>
      <c r="I5" s="25" t="s">
        <v>4816</v>
      </c>
      <c r="J5" s="29">
        <v>96.0</v>
      </c>
      <c r="K5" s="29">
        <f t="shared" si="1"/>
        <v>408</v>
      </c>
      <c r="L5" s="25" t="str">
        <f t="shared" si="2"/>
        <v>Breach</v>
      </c>
      <c r="M5" s="25" t="s">
        <v>4817</v>
      </c>
    </row>
    <row r="6">
      <c r="A6" s="61" t="s">
        <v>4818</v>
      </c>
      <c r="B6" s="61" t="s">
        <v>187</v>
      </c>
      <c r="C6" s="61" t="s">
        <v>174</v>
      </c>
      <c r="D6" s="61" t="s">
        <v>4807</v>
      </c>
      <c r="E6" s="62">
        <v>46108.0</v>
      </c>
      <c r="F6" s="62">
        <v>46110.25</v>
      </c>
      <c r="G6" s="61" t="s">
        <v>3855</v>
      </c>
      <c r="H6" s="61" t="s">
        <v>2246</v>
      </c>
      <c r="I6" s="61" t="s">
        <v>4812</v>
      </c>
      <c r="J6" s="63">
        <v>48.0</v>
      </c>
      <c r="K6" s="63">
        <f t="shared" si="1"/>
        <v>54</v>
      </c>
      <c r="L6" s="61" t="str">
        <f t="shared" si="2"/>
        <v>Breach</v>
      </c>
      <c r="M6" s="61" t="s">
        <v>4808</v>
      </c>
    </row>
    <row r="7">
      <c r="A7" s="25" t="s">
        <v>4819</v>
      </c>
      <c r="B7" s="25" t="s">
        <v>884</v>
      </c>
      <c r="C7" s="25" t="s">
        <v>859</v>
      </c>
      <c r="D7" s="25" t="s">
        <v>4820</v>
      </c>
      <c r="E7" s="26">
        <v>46110.0</v>
      </c>
      <c r="F7" s="26"/>
      <c r="G7" s="25" t="s">
        <v>3847</v>
      </c>
      <c r="H7" s="25" t="s">
        <v>2246</v>
      </c>
      <c r="I7" s="25" t="s">
        <v>4821</v>
      </c>
      <c r="J7" s="29">
        <v>48.0</v>
      </c>
      <c r="K7" s="29">
        <f t="shared" si="1"/>
        <v>1152</v>
      </c>
      <c r="L7" s="25" t="str">
        <f t="shared" si="2"/>
        <v>Breach</v>
      </c>
      <c r="M7" s="25" t="s">
        <v>4822</v>
      </c>
    </row>
    <row r="8">
      <c r="A8" s="61" t="s">
        <v>4823</v>
      </c>
      <c r="B8" s="61" t="s">
        <v>634</v>
      </c>
      <c r="C8" s="61" t="s">
        <v>553</v>
      </c>
      <c r="D8" s="61" t="s">
        <v>4815</v>
      </c>
      <c r="E8" s="62">
        <v>46041.0</v>
      </c>
      <c r="F8" s="62">
        <v>46044.29166666666</v>
      </c>
      <c r="G8" s="61" t="s">
        <v>4811</v>
      </c>
      <c r="H8" s="61" t="s">
        <v>2246</v>
      </c>
      <c r="I8" s="61" t="s">
        <v>4812</v>
      </c>
      <c r="J8" s="63">
        <v>24.0</v>
      </c>
      <c r="K8" s="63">
        <f t="shared" si="1"/>
        <v>79</v>
      </c>
      <c r="L8" s="61" t="str">
        <f t="shared" si="2"/>
        <v>Breach</v>
      </c>
      <c r="M8" s="61" t="s">
        <v>4817</v>
      </c>
    </row>
    <row r="9">
      <c r="A9" s="25" t="s">
        <v>4824</v>
      </c>
      <c r="B9" s="25" t="s">
        <v>267</v>
      </c>
      <c r="C9" s="25" t="s">
        <v>168</v>
      </c>
      <c r="D9" s="25" t="s">
        <v>4825</v>
      </c>
      <c r="E9" s="26">
        <v>46149.0</v>
      </c>
      <c r="F9" s="26">
        <v>46149.66666666666</v>
      </c>
      <c r="G9" s="25" t="s">
        <v>4826</v>
      </c>
      <c r="H9" s="25" t="s">
        <v>2246</v>
      </c>
      <c r="I9" s="25" t="s">
        <v>4804</v>
      </c>
      <c r="J9" s="29">
        <v>24.0</v>
      </c>
      <c r="K9" s="29">
        <f t="shared" si="1"/>
        <v>16</v>
      </c>
      <c r="L9" s="25" t="str">
        <f t="shared" si="2"/>
        <v>OK</v>
      </c>
      <c r="M9" s="25" t="s">
        <v>4827</v>
      </c>
    </row>
    <row r="10">
      <c r="A10" s="61" t="s">
        <v>4828</v>
      </c>
      <c r="B10" s="61" t="s">
        <v>527</v>
      </c>
      <c r="C10" s="61" t="s">
        <v>446</v>
      </c>
      <c r="D10" s="61" t="s">
        <v>4815</v>
      </c>
      <c r="E10" s="62">
        <v>46064.0</v>
      </c>
      <c r="F10" s="62">
        <v>46065.625</v>
      </c>
      <c r="G10" s="61" t="s">
        <v>4826</v>
      </c>
      <c r="H10" s="61" t="s">
        <v>2246</v>
      </c>
      <c r="I10" s="61" t="s">
        <v>4812</v>
      </c>
      <c r="J10" s="63">
        <v>48.0</v>
      </c>
      <c r="K10" s="63">
        <f t="shared" si="1"/>
        <v>39</v>
      </c>
      <c r="L10" s="61" t="str">
        <f t="shared" si="2"/>
        <v>OK</v>
      </c>
      <c r="M10" s="61" t="s">
        <v>4817</v>
      </c>
    </row>
    <row r="11">
      <c r="A11" s="25" t="s">
        <v>4829</v>
      </c>
      <c r="B11" s="25" t="s">
        <v>825</v>
      </c>
      <c r="C11" s="25" t="s">
        <v>700</v>
      </c>
      <c r="D11" s="25" t="s">
        <v>4820</v>
      </c>
      <c r="E11" s="26">
        <v>46113.0</v>
      </c>
      <c r="F11" s="26">
        <v>46115.79166666666</v>
      </c>
      <c r="G11" s="25" t="s">
        <v>3847</v>
      </c>
      <c r="H11" s="25" t="s">
        <v>2246</v>
      </c>
      <c r="I11" s="25" t="s">
        <v>4812</v>
      </c>
      <c r="J11" s="29">
        <v>96.0</v>
      </c>
      <c r="K11" s="29">
        <f t="shared" si="1"/>
        <v>67</v>
      </c>
      <c r="L11" s="25" t="str">
        <f t="shared" si="2"/>
        <v>OK</v>
      </c>
      <c r="M11" s="25" t="s">
        <v>4822</v>
      </c>
    </row>
    <row r="12">
      <c r="A12" s="61" t="s">
        <v>4830</v>
      </c>
      <c r="B12" s="61" t="s">
        <v>1005</v>
      </c>
      <c r="C12" s="61" t="s">
        <v>980</v>
      </c>
      <c r="D12" s="61" t="s">
        <v>4831</v>
      </c>
      <c r="E12" s="62">
        <v>46074.0</v>
      </c>
      <c r="F12" s="62"/>
      <c r="G12" s="61" t="s">
        <v>4826</v>
      </c>
      <c r="H12" s="61" t="s">
        <v>2246</v>
      </c>
      <c r="I12" s="61" t="s">
        <v>4821</v>
      </c>
      <c r="J12" s="63">
        <v>96.0</v>
      </c>
      <c r="K12" s="63">
        <f t="shared" si="1"/>
        <v>2016</v>
      </c>
      <c r="L12" s="61" t="str">
        <f t="shared" si="2"/>
        <v>Breach</v>
      </c>
      <c r="M12" s="61" t="s">
        <v>4832</v>
      </c>
    </row>
    <row r="13">
      <c r="A13" s="25" t="s">
        <v>4833</v>
      </c>
      <c r="B13" s="25" t="s">
        <v>973</v>
      </c>
      <c r="C13" s="25" t="s">
        <v>974</v>
      </c>
      <c r="D13" s="25" t="s">
        <v>4803</v>
      </c>
      <c r="E13" s="26">
        <v>46079.0</v>
      </c>
      <c r="F13" s="26">
        <v>46083.79166666666</v>
      </c>
      <c r="G13" s="25" t="s">
        <v>3855</v>
      </c>
      <c r="H13" s="25" t="s">
        <v>2247</v>
      </c>
      <c r="I13" s="25" t="s">
        <v>4804</v>
      </c>
      <c r="J13" s="29">
        <v>72.0</v>
      </c>
      <c r="K13" s="29">
        <f t="shared" si="1"/>
        <v>115</v>
      </c>
      <c r="L13" s="25" t="str">
        <f t="shared" si="2"/>
        <v>Breach</v>
      </c>
      <c r="M13" s="25" t="s">
        <v>4805</v>
      </c>
    </row>
    <row r="14">
      <c r="A14" s="61" t="s">
        <v>4834</v>
      </c>
      <c r="B14" s="61" t="s">
        <v>251</v>
      </c>
      <c r="C14" s="61" t="s">
        <v>226</v>
      </c>
      <c r="D14" s="61" t="s">
        <v>4831</v>
      </c>
      <c r="E14" s="62">
        <v>46066.0</v>
      </c>
      <c r="F14" s="62"/>
      <c r="G14" s="61" t="s">
        <v>4811</v>
      </c>
      <c r="H14" s="61" t="s">
        <v>2247</v>
      </c>
      <c r="I14" s="61" t="s">
        <v>4816</v>
      </c>
      <c r="J14" s="63">
        <v>72.0</v>
      </c>
      <c r="K14" s="63">
        <f t="shared" si="1"/>
        <v>2208</v>
      </c>
      <c r="L14" s="61" t="str">
        <f t="shared" si="2"/>
        <v>Breach</v>
      </c>
      <c r="M14" s="61" t="s">
        <v>4832</v>
      </c>
    </row>
    <row r="15">
      <c r="A15" s="25" t="s">
        <v>4835</v>
      </c>
      <c r="B15" s="25" t="s">
        <v>255</v>
      </c>
      <c r="C15" s="25" t="s">
        <v>177</v>
      </c>
      <c r="D15" s="25" t="s">
        <v>4815</v>
      </c>
      <c r="E15" s="26">
        <v>46076.0</v>
      </c>
      <c r="F15" s="26">
        <v>46081.04166666666</v>
      </c>
      <c r="G15" s="25" t="s">
        <v>3847</v>
      </c>
      <c r="H15" s="25" t="s">
        <v>2246</v>
      </c>
      <c r="I15" s="25" t="s">
        <v>4812</v>
      </c>
      <c r="J15" s="29">
        <v>96.0</v>
      </c>
      <c r="K15" s="29">
        <f t="shared" si="1"/>
        <v>121</v>
      </c>
      <c r="L15" s="25" t="str">
        <f t="shared" si="2"/>
        <v>Breach</v>
      </c>
      <c r="M15" s="25" t="s">
        <v>4817</v>
      </c>
    </row>
    <row r="16">
      <c r="A16" s="61" t="s">
        <v>4836</v>
      </c>
      <c r="B16" s="61" t="s">
        <v>336</v>
      </c>
      <c r="C16" s="61" t="s">
        <v>326</v>
      </c>
      <c r="D16" s="61" t="s">
        <v>4831</v>
      </c>
      <c r="E16" s="62">
        <v>46042.0</v>
      </c>
      <c r="F16" s="62"/>
      <c r="G16" s="61" t="s">
        <v>3851</v>
      </c>
      <c r="H16" s="61" t="s">
        <v>2246</v>
      </c>
      <c r="I16" s="61" t="s">
        <v>4816</v>
      </c>
      <c r="J16" s="63">
        <v>72.0</v>
      </c>
      <c r="K16" s="63">
        <f t="shared" si="1"/>
        <v>2784</v>
      </c>
      <c r="L16" s="61" t="str">
        <f t="shared" si="2"/>
        <v>Breach</v>
      </c>
      <c r="M16" s="61" t="s">
        <v>4832</v>
      </c>
    </row>
    <row r="17">
      <c r="A17" s="25" t="s">
        <v>4837</v>
      </c>
      <c r="B17" s="25" t="s">
        <v>1144</v>
      </c>
      <c r="C17" s="25" t="s">
        <v>1139</v>
      </c>
      <c r="D17" s="25" t="s">
        <v>4815</v>
      </c>
      <c r="E17" s="26">
        <v>46083.0</v>
      </c>
      <c r="F17" s="26">
        <v>46083.33333333334</v>
      </c>
      <c r="G17" s="25" t="s">
        <v>4826</v>
      </c>
      <c r="H17" s="25" t="s">
        <v>2246</v>
      </c>
      <c r="I17" s="25" t="s">
        <v>4804</v>
      </c>
      <c r="J17" s="29">
        <v>96.0</v>
      </c>
      <c r="K17" s="29">
        <f t="shared" si="1"/>
        <v>8</v>
      </c>
      <c r="L17" s="25" t="str">
        <f t="shared" si="2"/>
        <v>OK</v>
      </c>
      <c r="M17" s="25" t="s">
        <v>4817</v>
      </c>
    </row>
    <row r="18">
      <c r="A18" s="61" t="s">
        <v>4838</v>
      </c>
      <c r="B18" s="61" t="s">
        <v>325</v>
      </c>
      <c r="C18" s="61" t="s">
        <v>326</v>
      </c>
      <c r="D18" s="61" t="s">
        <v>4807</v>
      </c>
      <c r="E18" s="62">
        <v>46079.0</v>
      </c>
      <c r="F18" s="62">
        <v>46080.0</v>
      </c>
      <c r="G18" s="61" t="s">
        <v>3851</v>
      </c>
      <c r="H18" s="61" t="s">
        <v>2246</v>
      </c>
      <c r="I18" s="61" t="s">
        <v>4804</v>
      </c>
      <c r="J18" s="63">
        <v>72.0</v>
      </c>
      <c r="K18" s="63">
        <f t="shared" si="1"/>
        <v>24</v>
      </c>
      <c r="L18" s="61" t="str">
        <f t="shared" si="2"/>
        <v>OK</v>
      </c>
      <c r="M18" s="61" t="s">
        <v>4808</v>
      </c>
    </row>
    <row r="19">
      <c r="A19" s="25" t="s">
        <v>4839</v>
      </c>
      <c r="B19" s="25" t="s">
        <v>975</v>
      </c>
      <c r="C19" s="25" t="s">
        <v>974</v>
      </c>
      <c r="D19" s="25" t="s">
        <v>4815</v>
      </c>
      <c r="E19" s="26">
        <v>46071.0</v>
      </c>
      <c r="F19" s="26">
        <v>46076.75</v>
      </c>
      <c r="G19" s="25" t="s">
        <v>4826</v>
      </c>
      <c r="H19" s="25" t="s">
        <v>2246</v>
      </c>
      <c r="I19" s="25" t="s">
        <v>4812</v>
      </c>
      <c r="J19" s="29">
        <v>96.0</v>
      </c>
      <c r="K19" s="29">
        <f t="shared" si="1"/>
        <v>138</v>
      </c>
      <c r="L19" s="25" t="str">
        <f t="shared" si="2"/>
        <v>Breach</v>
      </c>
      <c r="M19" s="25" t="s">
        <v>4817</v>
      </c>
    </row>
    <row r="20">
      <c r="A20" s="61" t="s">
        <v>4840</v>
      </c>
      <c r="B20" s="61" t="s">
        <v>674</v>
      </c>
      <c r="C20" s="61" t="s">
        <v>593</v>
      </c>
      <c r="D20" s="61" t="s">
        <v>4807</v>
      </c>
      <c r="E20" s="62">
        <v>46113.0</v>
      </c>
      <c r="F20" s="62">
        <v>46114.625</v>
      </c>
      <c r="G20" s="61" t="s">
        <v>3855</v>
      </c>
      <c r="H20" s="61" t="s">
        <v>2246</v>
      </c>
      <c r="I20" s="61" t="s">
        <v>4804</v>
      </c>
      <c r="J20" s="63">
        <v>24.0</v>
      </c>
      <c r="K20" s="63">
        <f t="shared" si="1"/>
        <v>39</v>
      </c>
      <c r="L20" s="61" t="str">
        <f t="shared" si="2"/>
        <v>Breach</v>
      </c>
      <c r="M20" s="61" t="s">
        <v>4808</v>
      </c>
    </row>
    <row r="21" ht="15.75" customHeight="1">
      <c r="A21" s="25" t="s">
        <v>4841</v>
      </c>
      <c r="B21" s="25" t="s">
        <v>507</v>
      </c>
      <c r="C21" s="25" t="s">
        <v>446</v>
      </c>
      <c r="D21" s="25" t="s">
        <v>4815</v>
      </c>
      <c r="E21" s="26">
        <v>46119.0</v>
      </c>
      <c r="F21" s="26">
        <v>46122.58333333334</v>
      </c>
      <c r="G21" s="25" t="s">
        <v>3855</v>
      </c>
      <c r="H21" s="25" t="s">
        <v>2246</v>
      </c>
      <c r="I21" s="25" t="s">
        <v>4804</v>
      </c>
      <c r="J21" s="29">
        <v>72.0</v>
      </c>
      <c r="K21" s="29">
        <f t="shared" si="1"/>
        <v>86</v>
      </c>
      <c r="L21" s="25" t="str">
        <f t="shared" si="2"/>
        <v>Breach</v>
      </c>
      <c r="M21" s="25" t="s">
        <v>4817</v>
      </c>
    </row>
    <row r="22" ht="15.75" customHeight="1">
      <c r="A22" s="61" t="s">
        <v>4842</v>
      </c>
      <c r="B22" s="61" t="s">
        <v>518</v>
      </c>
      <c r="C22" s="61" t="s">
        <v>457</v>
      </c>
      <c r="D22" s="61" t="s">
        <v>4815</v>
      </c>
      <c r="E22" s="62">
        <v>46098.0</v>
      </c>
      <c r="F22" s="62"/>
      <c r="G22" s="61" t="s">
        <v>4811</v>
      </c>
      <c r="H22" s="61" t="s">
        <v>2247</v>
      </c>
      <c r="I22" s="61" t="s">
        <v>4821</v>
      </c>
      <c r="J22" s="63">
        <v>72.0</v>
      </c>
      <c r="K22" s="63">
        <f t="shared" si="1"/>
        <v>1440</v>
      </c>
      <c r="L22" s="61" t="str">
        <f t="shared" si="2"/>
        <v>Breach</v>
      </c>
      <c r="M22" s="61" t="s">
        <v>4817</v>
      </c>
    </row>
    <row r="23" ht="15.75" customHeight="1">
      <c r="A23" s="25" t="s">
        <v>4843</v>
      </c>
      <c r="B23" s="25" t="s">
        <v>249</v>
      </c>
      <c r="C23" s="25" t="s">
        <v>198</v>
      </c>
      <c r="D23" s="25" t="s">
        <v>4807</v>
      </c>
      <c r="E23" s="26">
        <v>46059.0</v>
      </c>
      <c r="F23" s="26"/>
      <c r="G23" s="25" t="s">
        <v>3847</v>
      </c>
      <c r="H23" s="25" t="s">
        <v>2246</v>
      </c>
      <c r="I23" s="25" t="s">
        <v>4821</v>
      </c>
      <c r="J23" s="29">
        <v>24.0</v>
      </c>
      <c r="K23" s="29">
        <f t="shared" si="1"/>
        <v>2376</v>
      </c>
      <c r="L23" s="25" t="str">
        <f t="shared" si="2"/>
        <v>Breach</v>
      </c>
      <c r="M23" s="25" t="s">
        <v>4808</v>
      </c>
    </row>
    <row r="24" ht="15.75" customHeight="1">
      <c r="A24" s="61" t="s">
        <v>4844</v>
      </c>
      <c r="B24" s="61" t="s">
        <v>909</v>
      </c>
      <c r="C24" s="61" t="s">
        <v>857</v>
      </c>
      <c r="D24" s="61" t="s">
        <v>4831</v>
      </c>
      <c r="E24" s="62">
        <v>46090.0</v>
      </c>
      <c r="F24" s="62">
        <v>46092.0</v>
      </c>
      <c r="G24" s="61" t="s">
        <v>4811</v>
      </c>
      <c r="H24" s="61" t="s">
        <v>2246</v>
      </c>
      <c r="I24" s="61" t="s">
        <v>4804</v>
      </c>
      <c r="J24" s="63">
        <v>24.0</v>
      </c>
      <c r="K24" s="63">
        <f t="shared" si="1"/>
        <v>48</v>
      </c>
      <c r="L24" s="61" t="str">
        <f t="shared" si="2"/>
        <v>Breach</v>
      </c>
      <c r="M24" s="61" t="s">
        <v>4832</v>
      </c>
    </row>
    <row r="25" ht="15.75" customHeight="1">
      <c r="A25" s="25" t="s">
        <v>4845</v>
      </c>
      <c r="B25" s="25" t="s">
        <v>620</v>
      </c>
      <c r="C25" s="25" t="s">
        <v>593</v>
      </c>
      <c r="D25" s="25" t="s">
        <v>4815</v>
      </c>
      <c r="E25" s="26">
        <v>46077.0</v>
      </c>
      <c r="F25" s="26"/>
      <c r="G25" s="25" t="s">
        <v>3851</v>
      </c>
      <c r="H25" s="25" t="s">
        <v>2246</v>
      </c>
      <c r="I25" s="25" t="s">
        <v>4821</v>
      </c>
      <c r="J25" s="29">
        <v>72.0</v>
      </c>
      <c r="K25" s="29">
        <f t="shared" si="1"/>
        <v>1944</v>
      </c>
      <c r="L25" s="25" t="str">
        <f t="shared" si="2"/>
        <v>Breach</v>
      </c>
      <c r="M25" s="25" t="s">
        <v>4817</v>
      </c>
    </row>
    <row r="26" ht="15.75" customHeight="1">
      <c r="A26" s="61" t="s">
        <v>4846</v>
      </c>
      <c r="B26" s="61" t="s">
        <v>1010</v>
      </c>
      <c r="C26" s="61" t="s">
        <v>965</v>
      </c>
      <c r="D26" s="61" t="s">
        <v>4803</v>
      </c>
      <c r="E26" s="62">
        <v>46072.0</v>
      </c>
      <c r="F26" s="62">
        <v>46074.83333333334</v>
      </c>
      <c r="G26" s="61" t="s">
        <v>4826</v>
      </c>
      <c r="H26" s="61" t="s">
        <v>2246</v>
      </c>
      <c r="I26" s="61" t="s">
        <v>4804</v>
      </c>
      <c r="J26" s="63">
        <v>48.0</v>
      </c>
      <c r="K26" s="63">
        <f t="shared" si="1"/>
        <v>68</v>
      </c>
      <c r="L26" s="61" t="str">
        <f t="shared" si="2"/>
        <v>Breach</v>
      </c>
      <c r="M26" s="61" t="s">
        <v>4805</v>
      </c>
    </row>
    <row r="27" ht="15.75" customHeight="1">
      <c r="A27" s="25" t="s">
        <v>4847</v>
      </c>
      <c r="B27" s="25" t="s">
        <v>1196</v>
      </c>
      <c r="C27" s="25" t="s">
        <v>1126</v>
      </c>
      <c r="D27" s="25" t="s">
        <v>4803</v>
      </c>
      <c r="E27" s="26">
        <v>46029.0</v>
      </c>
      <c r="F27" s="26"/>
      <c r="G27" s="25" t="s">
        <v>3847</v>
      </c>
      <c r="H27" s="25" t="s">
        <v>2247</v>
      </c>
      <c r="I27" s="25" t="s">
        <v>4816</v>
      </c>
      <c r="J27" s="29">
        <v>24.0</v>
      </c>
      <c r="K27" s="29">
        <f t="shared" si="1"/>
        <v>3096</v>
      </c>
      <c r="L27" s="25" t="str">
        <f t="shared" si="2"/>
        <v>Breach</v>
      </c>
      <c r="M27" s="25" t="s">
        <v>4805</v>
      </c>
    </row>
    <row r="28" ht="15.75" customHeight="1">
      <c r="A28" s="61" t="s">
        <v>4848</v>
      </c>
      <c r="B28" s="61" t="s">
        <v>313</v>
      </c>
      <c r="C28" s="61" t="s">
        <v>314</v>
      </c>
      <c r="D28" s="61" t="s">
        <v>4807</v>
      </c>
      <c r="E28" s="62">
        <v>46145.0</v>
      </c>
      <c r="F28" s="62">
        <v>46148.91666666666</v>
      </c>
      <c r="G28" s="61" t="s">
        <v>3855</v>
      </c>
      <c r="H28" s="61" t="s">
        <v>2247</v>
      </c>
      <c r="I28" s="61" t="s">
        <v>4812</v>
      </c>
      <c r="J28" s="63">
        <v>48.0</v>
      </c>
      <c r="K28" s="63">
        <f t="shared" si="1"/>
        <v>94</v>
      </c>
      <c r="L28" s="61" t="str">
        <f t="shared" si="2"/>
        <v>Breach</v>
      </c>
      <c r="M28" s="61" t="s">
        <v>4808</v>
      </c>
    </row>
    <row r="29" ht="15.75" customHeight="1">
      <c r="A29" s="25" t="s">
        <v>4849</v>
      </c>
      <c r="B29" s="25" t="s">
        <v>773</v>
      </c>
      <c r="C29" s="25" t="s">
        <v>708</v>
      </c>
      <c r="D29" s="25" t="s">
        <v>4803</v>
      </c>
      <c r="E29" s="26">
        <v>46051.0</v>
      </c>
      <c r="F29" s="26">
        <v>46052.125</v>
      </c>
      <c r="G29" s="25" t="s">
        <v>3855</v>
      </c>
      <c r="H29" s="25" t="s">
        <v>2246</v>
      </c>
      <c r="I29" s="25" t="s">
        <v>4812</v>
      </c>
      <c r="J29" s="29">
        <v>48.0</v>
      </c>
      <c r="K29" s="29">
        <f t="shared" si="1"/>
        <v>27</v>
      </c>
      <c r="L29" s="25" t="str">
        <f t="shared" si="2"/>
        <v>OK</v>
      </c>
      <c r="M29" s="25" t="s">
        <v>4805</v>
      </c>
    </row>
    <row r="30" ht="15.75" customHeight="1">
      <c r="A30" s="61" t="s">
        <v>4850</v>
      </c>
      <c r="B30" s="61" t="s">
        <v>218</v>
      </c>
      <c r="C30" s="61" t="s">
        <v>177</v>
      </c>
      <c r="D30" s="61" t="s">
        <v>4810</v>
      </c>
      <c r="E30" s="62">
        <v>46093.0</v>
      </c>
      <c r="F30" s="62">
        <v>46095.45833333334</v>
      </c>
      <c r="G30" s="61" t="s">
        <v>3851</v>
      </c>
      <c r="H30" s="61" t="s">
        <v>2246</v>
      </c>
      <c r="I30" s="61" t="s">
        <v>4804</v>
      </c>
      <c r="J30" s="63">
        <v>72.0</v>
      </c>
      <c r="K30" s="63">
        <f t="shared" si="1"/>
        <v>59</v>
      </c>
      <c r="L30" s="61" t="str">
        <f t="shared" si="2"/>
        <v>OK</v>
      </c>
      <c r="M30" s="61" t="s">
        <v>4813</v>
      </c>
    </row>
    <row r="31" ht="15.75" customHeight="1">
      <c r="A31" s="25" t="s">
        <v>4851</v>
      </c>
      <c r="B31" s="25" t="s">
        <v>764</v>
      </c>
      <c r="C31" s="25" t="s">
        <v>706</v>
      </c>
      <c r="D31" s="25" t="s">
        <v>4825</v>
      </c>
      <c r="E31" s="26">
        <v>46121.0</v>
      </c>
      <c r="F31" s="26">
        <v>46125.83333333334</v>
      </c>
      <c r="G31" s="25" t="s">
        <v>3855</v>
      </c>
      <c r="H31" s="25" t="s">
        <v>2247</v>
      </c>
      <c r="I31" s="25" t="s">
        <v>4804</v>
      </c>
      <c r="J31" s="29">
        <v>48.0</v>
      </c>
      <c r="K31" s="29">
        <f t="shared" si="1"/>
        <v>116</v>
      </c>
      <c r="L31" s="25" t="str">
        <f t="shared" si="2"/>
        <v>Breach</v>
      </c>
      <c r="M31" s="25" t="s">
        <v>4827</v>
      </c>
    </row>
    <row r="32" ht="15.75" customHeight="1">
      <c r="A32" s="61" t="s">
        <v>4852</v>
      </c>
      <c r="B32" s="61" t="s">
        <v>790</v>
      </c>
      <c r="C32" s="61" t="s">
        <v>733</v>
      </c>
      <c r="D32" s="61" t="s">
        <v>4831</v>
      </c>
      <c r="E32" s="62">
        <v>46111.0</v>
      </c>
      <c r="F32" s="62"/>
      <c r="G32" s="61" t="s">
        <v>4811</v>
      </c>
      <c r="H32" s="61" t="s">
        <v>2246</v>
      </c>
      <c r="I32" s="61" t="s">
        <v>4821</v>
      </c>
      <c r="J32" s="63">
        <v>72.0</v>
      </c>
      <c r="K32" s="63">
        <f t="shared" si="1"/>
        <v>1128</v>
      </c>
      <c r="L32" s="61" t="str">
        <f t="shared" si="2"/>
        <v>Breach</v>
      </c>
      <c r="M32" s="61" t="s">
        <v>4832</v>
      </c>
    </row>
    <row r="33" ht="15.75" customHeight="1">
      <c r="A33" s="25" t="s">
        <v>4853</v>
      </c>
      <c r="B33" s="25" t="s">
        <v>203</v>
      </c>
      <c r="C33" s="25" t="s">
        <v>189</v>
      </c>
      <c r="D33" s="25" t="s">
        <v>4803</v>
      </c>
      <c r="E33" s="26">
        <v>46081.0</v>
      </c>
      <c r="F33" s="26">
        <v>46084.04166666666</v>
      </c>
      <c r="G33" s="25" t="s">
        <v>4811</v>
      </c>
      <c r="H33" s="25" t="s">
        <v>2246</v>
      </c>
      <c r="I33" s="25" t="s">
        <v>4804</v>
      </c>
      <c r="J33" s="29">
        <v>48.0</v>
      </c>
      <c r="K33" s="29">
        <f t="shared" si="1"/>
        <v>73</v>
      </c>
      <c r="L33" s="25" t="str">
        <f t="shared" si="2"/>
        <v>Breach</v>
      </c>
      <c r="M33" s="25" t="s">
        <v>4805</v>
      </c>
    </row>
    <row r="34" ht="15.75" customHeight="1">
      <c r="A34" s="61" t="s">
        <v>4854</v>
      </c>
      <c r="B34" s="61" t="s">
        <v>513</v>
      </c>
      <c r="C34" s="61" t="s">
        <v>464</v>
      </c>
      <c r="D34" s="61" t="s">
        <v>4820</v>
      </c>
      <c r="E34" s="62">
        <v>46038.0</v>
      </c>
      <c r="F34" s="62"/>
      <c r="G34" s="61" t="s">
        <v>3851</v>
      </c>
      <c r="H34" s="61" t="s">
        <v>2246</v>
      </c>
      <c r="I34" s="61" t="s">
        <v>4821</v>
      </c>
      <c r="J34" s="63">
        <v>24.0</v>
      </c>
      <c r="K34" s="63">
        <f t="shared" si="1"/>
        <v>2880</v>
      </c>
      <c r="L34" s="61" t="str">
        <f t="shared" si="2"/>
        <v>Breach</v>
      </c>
      <c r="M34" s="61" t="s">
        <v>4822</v>
      </c>
    </row>
    <row r="35" ht="15.75" customHeight="1">
      <c r="A35" s="25" t="s">
        <v>4855</v>
      </c>
      <c r="B35" s="25" t="s">
        <v>363</v>
      </c>
      <c r="C35" s="25" t="s">
        <v>330</v>
      </c>
      <c r="D35" s="25" t="s">
        <v>4820</v>
      </c>
      <c r="E35" s="26">
        <v>46130.0</v>
      </c>
      <c r="F35" s="26">
        <v>46135.375</v>
      </c>
      <c r="G35" s="25" t="s">
        <v>4811</v>
      </c>
      <c r="H35" s="25" t="s">
        <v>2247</v>
      </c>
      <c r="I35" s="25" t="s">
        <v>4804</v>
      </c>
      <c r="J35" s="29">
        <v>24.0</v>
      </c>
      <c r="K35" s="29">
        <f t="shared" si="1"/>
        <v>129</v>
      </c>
      <c r="L35" s="25" t="str">
        <f t="shared" si="2"/>
        <v>Breach</v>
      </c>
      <c r="M35" s="25" t="s">
        <v>4822</v>
      </c>
    </row>
    <row r="36" ht="15.75" customHeight="1">
      <c r="A36" s="61" t="s">
        <v>4856</v>
      </c>
      <c r="B36" s="61" t="s">
        <v>1087</v>
      </c>
      <c r="C36" s="61" t="s">
        <v>1075</v>
      </c>
      <c r="D36" s="61" t="s">
        <v>4803</v>
      </c>
      <c r="E36" s="62">
        <v>46062.0</v>
      </c>
      <c r="F36" s="62">
        <v>46065.66666666666</v>
      </c>
      <c r="G36" s="61" t="s">
        <v>3851</v>
      </c>
      <c r="H36" s="61" t="s">
        <v>2246</v>
      </c>
      <c r="I36" s="61" t="s">
        <v>4804</v>
      </c>
      <c r="J36" s="63">
        <v>24.0</v>
      </c>
      <c r="K36" s="63">
        <f t="shared" si="1"/>
        <v>88</v>
      </c>
      <c r="L36" s="61" t="str">
        <f t="shared" si="2"/>
        <v>Breach</v>
      </c>
      <c r="M36" s="61" t="s">
        <v>4805</v>
      </c>
    </row>
    <row r="37" ht="15.75" customHeight="1">
      <c r="A37" s="25" t="s">
        <v>4857</v>
      </c>
      <c r="B37" s="25" t="s">
        <v>505</v>
      </c>
      <c r="C37" s="25" t="s">
        <v>466</v>
      </c>
      <c r="D37" s="25" t="s">
        <v>4831</v>
      </c>
      <c r="E37" s="26">
        <v>46145.0</v>
      </c>
      <c r="F37" s="26">
        <v>46147.16666666666</v>
      </c>
      <c r="G37" s="25" t="s">
        <v>4826</v>
      </c>
      <c r="H37" s="25" t="s">
        <v>2246</v>
      </c>
      <c r="I37" s="25" t="s">
        <v>4812</v>
      </c>
      <c r="J37" s="29">
        <v>72.0</v>
      </c>
      <c r="K37" s="29">
        <f t="shared" si="1"/>
        <v>52</v>
      </c>
      <c r="L37" s="25" t="str">
        <f t="shared" si="2"/>
        <v>OK</v>
      </c>
      <c r="M37" s="25" t="s">
        <v>4832</v>
      </c>
    </row>
    <row r="38" ht="15.75" customHeight="1">
      <c r="A38" s="61" t="s">
        <v>4858</v>
      </c>
      <c r="B38" s="61" t="s">
        <v>923</v>
      </c>
      <c r="C38" s="61" t="s">
        <v>868</v>
      </c>
      <c r="D38" s="61" t="s">
        <v>4820</v>
      </c>
      <c r="E38" s="62">
        <v>46099.0</v>
      </c>
      <c r="F38" s="62"/>
      <c r="G38" s="61" t="s">
        <v>3851</v>
      </c>
      <c r="H38" s="61" t="s">
        <v>2246</v>
      </c>
      <c r="I38" s="61" t="s">
        <v>4816</v>
      </c>
      <c r="J38" s="63">
        <v>96.0</v>
      </c>
      <c r="K38" s="63">
        <f t="shared" si="1"/>
        <v>1416</v>
      </c>
      <c r="L38" s="61" t="str">
        <f t="shared" si="2"/>
        <v>Breach</v>
      </c>
      <c r="M38" s="61" t="s">
        <v>4822</v>
      </c>
    </row>
    <row r="39" ht="15.75" customHeight="1">
      <c r="A39" s="25" t="s">
        <v>4859</v>
      </c>
      <c r="B39" s="25" t="s">
        <v>1012</v>
      </c>
      <c r="C39" s="25" t="s">
        <v>961</v>
      </c>
      <c r="D39" s="25" t="s">
        <v>4825</v>
      </c>
      <c r="E39" s="26">
        <v>46127.0</v>
      </c>
      <c r="F39" s="26">
        <v>46131.16666666666</v>
      </c>
      <c r="G39" s="25" t="s">
        <v>3851</v>
      </c>
      <c r="H39" s="25" t="s">
        <v>2246</v>
      </c>
      <c r="I39" s="25" t="s">
        <v>4804</v>
      </c>
      <c r="J39" s="29">
        <v>72.0</v>
      </c>
      <c r="K39" s="29">
        <f t="shared" si="1"/>
        <v>100</v>
      </c>
      <c r="L39" s="25" t="str">
        <f t="shared" si="2"/>
        <v>Breach</v>
      </c>
      <c r="M39" s="25" t="s">
        <v>4827</v>
      </c>
    </row>
    <row r="40" ht="15.75" customHeight="1">
      <c r="A40" s="61" t="s">
        <v>4860</v>
      </c>
      <c r="B40" s="61" t="s">
        <v>493</v>
      </c>
      <c r="C40" s="61" t="s">
        <v>464</v>
      </c>
      <c r="D40" s="61" t="s">
        <v>4803</v>
      </c>
      <c r="E40" s="62">
        <v>46105.0</v>
      </c>
      <c r="F40" s="62"/>
      <c r="G40" s="61" t="s">
        <v>3855</v>
      </c>
      <c r="H40" s="61" t="s">
        <v>2246</v>
      </c>
      <c r="I40" s="61" t="s">
        <v>4821</v>
      </c>
      <c r="J40" s="63">
        <v>48.0</v>
      </c>
      <c r="K40" s="63">
        <f t="shared" si="1"/>
        <v>1272</v>
      </c>
      <c r="L40" s="61" t="str">
        <f t="shared" si="2"/>
        <v>Breach</v>
      </c>
      <c r="M40" s="61" t="s">
        <v>4805</v>
      </c>
    </row>
    <row r="41" ht="15.75" customHeight="1">
      <c r="A41" s="25" t="s">
        <v>4861</v>
      </c>
      <c r="B41" s="25" t="s">
        <v>654</v>
      </c>
      <c r="C41" s="25" t="s">
        <v>588</v>
      </c>
      <c r="D41" s="25" t="s">
        <v>4807</v>
      </c>
      <c r="E41" s="26">
        <v>46156.0</v>
      </c>
      <c r="F41" s="26"/>
      <c r="G41" s="25" t="s">
        <v>3851</v>
      </c>
      <c r="H41" s="25" t="s">
        <v>2247</v>
      </c>
      <c r="I41" s="25" t="s">
        <v>4816</v>
      </c>
      <c r="J41" s="29">
        <v>24.0</v>
      </c>
      <c r="K41" s="29">
        <f t="shared" si="1"/>
        <v>48</v>
      </c>
      <c r="L41" s="25" t="str">
        <f t="shared" si="2"/>
        <v>Breach</v>
      </c>
      <c r="M41" s="25" t="s">
        <v>4808</v>
      </c>
    </row>
    <row r="42" ht="15.75" customHeight="1">
      <c r="A42" s="61" t="s">
        <v>4862</v>
      </c>
      <c r="B42" s="61" t="s">
        <v>408</v>
      </c>
      <c r="C42" s="61" t="s">
        <v>303</v>
      </c>
      <c r="D42" s="61" t="s">
        <v>4815</v>
      </c>
      <c r="E42" s="62">
        <v>46105.0</v>
      </c>
      <c r="F42" s="62">
        <v>46106.58333333334</v>
      </c>
      <c r="G42" s="61" t="s">
        <v>3855</v>
      </c>
      <c r="H42" s="61" t="s">
        <v>2246</v>
      </c>
      <c r="I42" s="61" t="s">
        <v>4804</v>
      </c>
      <c r="J42" s="63">
        <v>48.0</v>
      </c>
      <c r="K42" s="63">
        <f t="shared" si="1"/>
        <v>38</v>
      </c>
      <c r="L42" s="61" t="str">
        <f t="shared" si="2"/>
        <v>OK</v>
      </c>
      <c r="M42" s="61" t="s">
        <v>4817</v>
      </c>
    </row>
    <row r="43" ht="15.75" customHeight="1">
      <c r="A43" s="25" t="s">
        <v>4863</v>
      </c>
      <c r="B43" s="25" t="s">
        <v>155</v>
      </c>
      <c r="C43" s="25" t="s">
        <v>83</v>
      </c>
      <c r="D43" s="25" t="s">
        <v>4820</v>
      </c>
      <c r="E43" s="26">
        <v>46040.0</v>
      </c>
      <c r="F43" s="26">
        <v>46041.16666666666</v>
      </c>
      <c r="G43" s="25" t="s">
        <v>3851</v>
      </c>
      <c r="H43" s="25" t="s">
        <v>2246</v>
      </c>
      <c r="I43" s="25" t="s">
        <v>4804</v>
      </c>
      <c r="J43" s="29">
        <v>24.0</v>
      </c>
      <c r="K43" s="29">
        <f t="shared" si="1"/>
        <v>28</v>
      </c>
      <c r="L43" s="25" t="str">
        <f t="shared" si="2"/>
        <v>Breach</v>
      </c>
      <c r="M43" s="25" t="s">
        <v>4822</v>
      </c>
    </row>
    <row r="44" ht="15.75" customHeight="1">
      <c r="A44" s="61" t="s">
        <v>4864</v>
      </c>
      <c r="B44" s="61" t="s">
        <v>784</v>
      </c>
      <c r="C44" s="61" t="s">
        <v>702</v>
      </c>
      <c r="D44" s="61" t="s">
        <v>4825</v>
      </c>
      <c r="E44" s="62">
        <v>46049.0</v>
      </c>
      <c r="F44" s="62"/>
      <c r="G44" s="61" t="s">
        <v>4811</v>
      </c>
      <c r="H44" s="61" t="s">
        <v>2246</v>
      </c>
      <c r="I44" s="61" t="s">
        <v>4816</v>
      </c>
      <c r="J44" s="63">
        <v>72.0</v>
      </c>
      <c r="K44" s="63">
        <f t="shared" si="1"/>
        <v>2616</v>
      </c>
      <c r="L44" s="61" t="str">
        <f t="shared" si="2"/>
        <v>Breach</v>
      </c>
      <c r="M44" s="61" t="s">
        <v>4827</v>
      </c>
    </row>
    <row r="45" ht="15.75" customHeight="1">
      <c r="A45" s="25" t="s">
        <v>4865</v>
      </c>
      <c r="B45" s="25" t="s">
        <v>1180</v>
      </c>
      <c r="C45" s="25" t="s">
        <v>1154</v>
      </c>
      <c r="D45" s="25" t="s">
        <v>4815</v>
      </c>
      <c r="E45" s="26">
        <v>46082.0</v>
      </c>
      <c r="F45" s="26"/>
      <c r="G45" s="25" t="s">
        <v>4811</v>
      </c>
      <c r="H45" s="25" t="s">
        <v>2246</v>
      </c>
      <c r="I45" s="25" t="s">
        <v>4821</v>
      </c>
      <c r="J45" s="29">
        <v>72.0</v>
      </c>
      <c r="K45" s="29">
        <f t="shared" si="1"/>
        <v>1824</v>
      </c>
      <c r="L45" s="25" t="str">
        <f t="shared" si="2"/>
        <v>Breach</v>
      </c>
      <c r="M45" s="25" t="s">
        <v>4817</v>
      </c>
    </row>
    <row r="46" ht="15.75" customHeight="1">
      <c r="A46" s="61" t="s">
        <v>4866</v>
      </c>
      <c r="B46" s="61" t="s">
        <v>324</v>
      </c>
      <c r="C46" s="61" t="s">
        <v>301</v>
      </c>
      <c r="D46" s="61" t="s">
        <v>4825</v>
      </c>
      <c r="E46" s="62">
        <v>46065.0</v>
      </c>
      <c r="F46" s="62">
        <v>46068.33333333334</v>
      </c>
      <c r="G46" s="61" t="s">
        <v>3855</v>
      </c>
      <c r="H46" s="61" t="s">
        <v>2246</v>
      </c>
      <c r="I46" s="61" t="s">
        <v>4804</v>
      </c>
      <c r="J46" s="63">
        <v>48.0</v>
      </c>
      <c r="K46" s="63">
        <f t="shared" si="1"/>
        <v>80</v>
      </c>
      <c r="L46" s="61" t="str">
        <f t="shared" si="2"/>
        <v>Breach</v>
      </c>
      <c r="M46" s="61" t="s">
        <v>4827</v>
      </c>
    </row>
    <row r="47" ht="15.75" customHeight="1">
      <c r="A47" s="25" t="s">
        <v>4867</v>
      </c>
      <c r="B47" s="25" t="s">
        <v>395</v>
      </c>
      <c r="C47" s="25" t="s">
        <v>314</v>
      </c>
      <c r="D47" s="25" t="s">
        <v>4825</v>
      </c>
      <c r="E47" s="26">
        <v>46131.0</v>
      </c>
      <c r="F47" s="26"/>
      <c r="G47" s="25" t="s">
        <v>3855</v>
      </c>
      <c r="H47" s="25" t="s">
        <v>2246</v>
      </c>
      <c r="I47" s="25" t="s">
        <v>4816</v>
      </c>
      <c r="J47" s="29">
        <v>24.0</v>
      </c>
      <c r="K47" s="29">
        <f t="shared" si="1"/>
        <v>648</v>
      </c>
      <c r="L47" s="25" t="str">
        <f t="shared" si="2"/>
        <v>Breach</v>
      </c>
      <c r="M47" s="25" t="s">
        <v>4827</v>
      </c>
    </row>
    <row r="48" ht="15.75" customHeight="1">
      <c r="A48" s="61" t="s">
        <v>4868</v>
      </c>
      <c r="B48" s="61" t="s">
        <v>552</v>
      </c>
      <c r="C48" s="61" t="s">
        <v>553</v>
      </c>
      <c r="D48" s="61" t="s">
        <v>4803</v>
      </c>
      <c r="E48" s="62">
        <v>46098.0</v>
      </c>
      <c r="F48" s="62">
        <v>46103.79166666666</v>
      </c>
      <c r="G48" s="61" t="s">
        <v>3847</v>
      </c>
      <c r="H48" s="61" t="s">
        <v>2246</v>
      </c>
      <c r="I48" s="61" t="s">
        <v>4812</v>
      </c>
      <c r="J48" s="63">
        <v>48.0</v>
      </c>
      <c r="K48" s="63">
        <f t="shared" si="1"/>
        <v>139</v>
      </c>
      <c r="L48" s="61" t="str">
        <f t="shared" si="2"/>
        <v>Breach</v>
      </c>
      <c r="M48" s="61" t="s">
        <v>4805</v>
      </c>
    </row>
    <row r="49" ht="15.75" customHeight="1">
      <c r="A49" s="25" t="s">
        <v>4869</v>
      </c>
      <c r="B49" s="25" t="s">
        <v>199</v>
      </c>
      <c r="C49" s="25" t="s">
        <v>195</v>
      </c>
      <c r="D49" s="25" t="s">
        <v>4810</v>
      </c>
      <c r="E49" s="26">
        <v>46122.0</v>
      </c>
      <c r="F49" s="26">
        <v>46125.20833333334</v>
      </c>
      <c r="G49" s="25" t="s">
        <v>3851</v>
      </c>
      <c r="H49" s="25" t="s">
        <v>2247</v>
      </c>
      <c r="I49" s="25" t="s">
        <v>4804</v>
      </c>
      <c r="J49" s="29">
        <v>24.0</v>
      </c>
      <c r="K49" s="29">
        <f t="shared" si="1"/>
        <v>77</v>
      </c>
      <c r="L49" s="25" t="str">
        <f t="shared" si="2"/>
        <v>Breach</v>
      </c>
      <c r="M49" s="25" t="s">
        <v>4813</v>
      </c>
    </row>
    <row r="50" ht="15.75" customHeight="1">
      <c r="A50" s="61" t="s">
        <v>4870</v>
      </c>
      <c r="B50" s="61" t="s">
        <v>414</v>
      </c>
      <c r="C50" s="61" t="s">
        <v>310</v>
      </c>
      <c r="D50" s="61" t="s">
        <v>4807</v>
      </c>
      <c r="E50" s="62">
        <v>46055.0</v>
      </c>
      <c r="F50" s="62">
        <v>46059.79166666666</v>
      </c>
      <c r="G50" s="61" t="s">
        <v>3851</v>
      </c>
      <c r="H50" s="61" t="s">
        <v>2246</v>
      </c>
      <c r="I50" s="61" t="s">
        <v>4804</v>
      </c>
      <c r="J50" s="63">
        <v>48.0</v>
      </c>
      <c r="K50" s="63">
        <f t="shared" si="1"/>
        <v>115</v>
      </c>
      <c r="L50" s="61" t="str">
        <f t="shared" si="2"/>
        <v>Breach</v>
      </c>
      <c r="M50" s="61" t="s">
        <v>4808</v>
      </c>
    </row>
    <row r="51" ht="15.75" customHeight="1">
      <c r="A51" s="25" t="s">
        <v>4871</v>
      </c>
      <c r="B51" s="25" t="s">
        <v>306</v>
      </c>
      <c r="C51" s="25" t="s">
        <v>291</v>
      </c>
      <c r="D51" s="25" t="s">
        <v>4807</v>
      </c>
      <c r="E51" s="26">
        <v>46121.0</v>
      </c>
      <c r="F51" s="26">
        <v>46123.20833333334</v>
      </c>
      <c r="G51" s="25" t="s">
        <v>4811</v>
      </c>
      <c r="H51" s="25" t="s">
        <v>2247</v>
      </c>
      <c r="I51" s="25" t="s">
        <v>4804</v>
      </c>
      <c r="J51" s="29">
        <v>72.0</v>
      </c>
      <c r="K51" s="29">
        <f t="shared" si="1"/>
        <v>53</v>
      </c>
      <c r="L51" s="25" t="str">
        <f t="shared" si="2"/>
        <v>OK</v>
      </c>
      <c r="M51" s="25" t="s">
        <v>4808</v>
      </c>
    </row>
    <row r="52" ht="15.75" customHeight="1">
      <c r="A52" s="61" t="s">
        <v>4872</v>
      </c>
      <c r="B52" s="61" t="s">
        <v>232</v>
      </c>
      <c r="C52" s="61" t="s">
        <v>164</v>
      </c>
      <c r="D52" s="61" t="s">
        <v>4815</v>
      </c>
      <c r="E52" s="62">
        <v>46129.0</v>
      </c>
      <c r="F52" s="62">
        <v>46129.375</v>
      </c>
      <c r="G52" s="61" t="s">
        <v>3851</v>
      </c>
      <c r="H52" s="61" t="s">
        <v>2246</v>
      </c>
      <c r="I52" s="61" t="s">
        <v>4812</v>
      </c>
      <c r="J52" s="63">
        <v>24.0</v>
      </c>
      <c r="K52" s="63">
        <f t="shared" si="1"/>
        <v>9</v>
      </c>
      <c r="L52" s="61" t="str">
        <f t="shared" si="2"/>
        <v>OK</v>
      </c>
      <c r="M52" s="61" t="s">
        <v>4817</v>
      </c>
    </row>
    <row r="53" ht="15.75" customHeight="1">
      <c r="A53" s="25" t="s">
        <v>4873</v>
      </c>
      <c r="B53" s="25" t="s">
        <v>670</v>
      </c>
      <c r="C53" s="25" t="s">
        <v>553</v>
      </c>
      <c r="D53" s="25" t="s">
        <v>4831</v>
      </c>
      <c r="E53" s="26">
        <v>46050.0</v>
      </c>
      <c r="F53" s="26"/>
      <c r="G53" s="25" t="s">
        <v>3851</v>
      </c>
      <c r="H53" s="25" t="s">
        <v>2246</v>
      </c>
      <c r="I53" s="25" t="s">
        <v>4816</v>
      </c>
      <c r="J53" s="29">
        <v>96.0</v>
      </c>
      <c r="K53" s="29">
        <f t="shared" si="1"/>
        <v>2592</v>
      </c>
      <c r="L53" s="25" t="str">
        <f t="shared" si="2"/>
        <v>Breach</v>
      </c>
      <c r="M53" s="25" t="s">
        <v>4832</v>
      </c>
    </row>
    <row r="54" ht="15.75" customHeight="1">
      <c r="A54" s="61" t="s">
        <v>4874</v>
      </c>
      <c r="B54" s="61" t="s">
        <v>280</v>
      </c>
      <c r="C54" s="61" t="s">
        <v>181</v>
      </c>
      <c r="D54" s="61" t="s">
        <v>4825</v>
      </c>
      <c r="E54" s="62">
        <v>46040.0</v>
      </c>
      <c r="F54" s="62">
        <v>46041.08333333334</v>
      </c>
      <c r="G54" s="61" t="s">
        <v>4826</v>
      </c>
      <c r="H54" s="61" t="s">
        <v>2246</v>
      </c>
      <c r="I54" s="61" t="s">
        <v>4812</v>
      </c>
      <c r="J54" s="63">
        <v>96.0</v>
      </c>
      <c r="K54" s="63">
        <f t="shared" si="1"/>
        <v>26</v>
      </c>
      <c r="L54" s="61" t="str">
        <f t="shared" si="2"/>
        <v>OK</v>
      </c>
      <c r="M54" s="61" t="s">
        <v>4827</v>
      </c>
    </row>
    <row r="55" ht="15.75" customHeight="1">
      <c r="A55" s="25" t="s">
        <v>4875</v>
      </c>
      <c r="B55" s="25" t="s">
        <v>793</v>
      </c>
      <c r="C55" s="25" t="s">
        <v>720</v>
      </c>
      <c r="D55" s="25" t="s">
        <v>4815</v>
      </c>
      <c r="E55" s="26">
        <v>46115.0</v>
      </c>
      <c r="F55" s="26"/>
      <c r="G55" s="25" t="s">
        <v>3855</v>
      </c>
      <c r="H55" s="25" t="s">
        <v>2246</v>
      </c>
      <c r="I55" s="25" t="s">
        <v>4816</v>
      </c>
      <c r="J55" s="29">
        <v>24.0</v>
      </c>
      <c r="K55" s="29">
        <f t="shared" si="1"/>
        <v>1032</v>
      </c>
      <c r="L55" s="25" t="str">
        <f t="shared" si="2"/>
        <v>Breach</v>
      </c>
      <c r="M55" s="25" t="s">
        <v>4817</v>
      </c>
    </row>
    <row r="56" ht="15.75" customHeight="1">
      <c r="A56" s="61" t="s">
        <v>4876</v>
      </c>
      <c r="B56" s="61" t="s">
        <v>1184</v>
      </c>
      <c r="C56" s="61" t="s">
        <v>1136</v>
      </c>
      <c r="D56" s="61" t="s">
        <v>4825</v>
      </c>
      <c r="E56" s="62">
        <v>46146.0</v>
      </c>
      <c r="F56" s="62"/>
      <c r="G56" s="61" t="s">
        <v>4826</v>
      </c>
      <c r="H56" s="61" t="s">
        <v>2246</v>
      </c>
      <c r="I56" s="61" t="s">
        <v>4821</v>
      </c>
      <c r="J56" s="63">
        <v>24.0</v>
      </c>
      <c r="K56" s="63">
        <f t="shared" si="1"/>
        <v>288</v>
      </c>
      <c r="L56" s="61" t="str">
        <f t="shared" si="2"/>
        <v>Breach</v>
      </c>
      <c r="M56" s="61" t="s">
        <v>4827</v>
      </c>
    </row>
    <row r="57" ht="15.75" customHeight="1">
      <c r="A57" s="25" t="s">
        <v>4877</v>
      </c>
      <c r="B57" s="25" t="s">
        <v>913</v>
      </c>
      <c r="C57" s="25" t="s">
        <v>882</v>
      </c>
      <c r="D57" s="25" t="s">
        <v>4810</v>
      </c>
      <c r="E57" s="26">
        <v>46088.0</v>
      </c>
      <c r="F57" s="26">
        <v>46092.375</v>
      </c>
      <c r="G57" s="25" t="s">
        <v>4811</v>
      </c>
      <c r="H57" s="25" t="s">
        <v>2246</v>
      </c>
      <c r="I57" s="25" t="s">
        <v>4804</v>
      </c>
      <c r="J57" s="29">
        <v>72.0</v>
      </c>
      <c r="K57" s="29">
        <f t="shared" si="1"/>
        <v>105</v>
      </c>
      <c r="L57" s="25" t="str">
        <f t="shared" si="2"/>
        <v>Breach</v>
      </c>
      <c r="M57" s="25" t="s">
        <v>4813</v>
      </c>
    </row>
    <row r="58" ht="15.75" customHeight="1">
      <c r="A58" s="61" t="s">
        <v>4878</v>
      </c>
      <c r="B58" s="61" t="s">
        <v>254</v>
      </c>
      <c r="C58" s="61" t="s">
        <v>181</v>
      </c>
      <c r="D58" s="61" t="s">
        <v>4815</v>
      </c>
      <c r="E58" s="62">
        <v>46110.0</v>
      </c>
      <c r="F58" s="62">
        <v>46111.70833333334</v>
      </c>
      <c r="G58" s="61" t="s">
        <v>3847</v>
      </c>
      <c r="H58" s="61" t="s">
        <v>2246</v>
      </c>
      <c r="I58" s="61" t="s">
        <v>4804</v>
      </c>
      <c r="J58" s="63">
        <v>24.0</v>
      </c>
      <c r="K58" s="63">
        <f t="shared" si="1"/>
        <v>41</v>
      </c>
      <c r="L58" s="61" t="str">
        <f t="shared" si="2"/>
        <v>Breach</v>
      </c>
      <c r="M58" s="61" t="s">
        <v>4817</v>
      </c>
    </row>
    <row r="59" ht="15.75" customHeight="1">
      <c r="A59" s="25" t="s">
        <v>4879</v>
      </c>
      <c r="B59" s="25" t="s">
        <v>935</v>
      </c>
      <c r="C59" s="25" t="s">
        <v>882</v>
      </c>
      <c r="D59" s="25" t="s">
        <v>4820</v>
      </c>
      <c r="E59" s="26">
        <v>46132.0</v>
      </c>
      <c r="F59" s="26"/>
      <c r="G59" s="25" t="s">
        <v>3851</v>
      </c>
      <c r="H59" s="25" t="s">
        <v>2246</v>
      </c>
      <c r="I59" s="25" t="s">
        <v>4816</v>
      </c>
      <c r="J59" s="29">
        <v>96.0</v>
      </c>
      <c r="K59" s="29">
        <f t="shared" si="1"/>
        <v>624</v>
      </c>
      <c r="L59" s="25" t="str">
        <f t="shared" si="2"/>
        <v>Breach</v>
      </c>
      <c r="M59" s="25" t="s">
        <v>4822</v>
      </c>
    </row>
    <row r="60" ht="15.75" customHeight="1">
      <c r="A60" s="61" t="s">
        <v>4880</v>
      </c>
      <c r="B60" s="61" t="s">
        <v>545</v>
      </c>
      <c r="C60" s="61" t="s">
        <v>544</v>
      </c>
      <c r="D60" s="61" t="s">
        <v>4881</v>
      </c>
      <c r="E60" s="62">
        <v>46128.0</v>
      </c>
      <c r="F60" s="62"/>
      <c r="G60" s="61" t="s">
        <v>4811</v>
      </c>
      <c r="H60" s="61" t="s">
        <v>2246</v>
      </c>
      <c r="I60" s="61" t="s">
        <v>4816</v>
      </c>
      <c r="J60" s="63">
        <v>96.0</v>
      </c>
      <c r="K60" s="63">
        <f t="shared" si="1"/>
        <v>720</v>
      </c>
      <c r="L60" s="61" t="str">
        <f t="shared" si="2"/>
        <v>Breach</v>
      </c>
      <c r="M60" s="61" t="s">
        <v>4882</v>
      </c>
    </row>
    <row r="61" ht="15.75" customHeight="1">
      <c r="A61" s="25" t="s">
        <v>4883</v>
      </c>
      <c r="B61" s="25" t="s">
        <v>311</v>
      </c>
      <c r="C61" s="25" t="s">
        <v>312</v>
      </c>
      <c r="D61" s="25" t="s">
        <v>4825</v>
      </c>
      <c r="E61" s="26">
        <v>46095.0</v>
      </c>
      <c r="F61" s="26">
        <v>46096.70833333334</v>
      </c>
      <c r="G61" s="25" t="s">
        <v>3851</v>
      </c>
      <c r="H61" s="25" t="s">
        <v>2246</v>
      </c>
      <c r="I61" s="25" t="s">
        <v>4804</v>
      </c>
      <c r="J61" s="29">
        <v>72.0</v>
      </c>
      <c r="K61" s="29">
        <f t="shared" si="1"/>
        <v>41</v>
      </c>
      <c r="L61" s="25" t="str">
        <f t="shared" si="2"/>
        <v>OK</v>
      </c>
      <c r="M61" s="25" t="s">
        <v>4827</v>
      </c>
    </row>
    <row r="62" ht="15.75" customHeight="1">
      <c r="A62" s="61" t="s">
        <v>4884</v>
      </c>
      <c r="B62" s="61" t="s">
        <v>496</v>
      </c>
      <c r="C62" s="61" t="s">
        <v>446</v>
      </c>
      <c r="D62" s="61" t="s">
        <v>4831</v>
      </c>
      <c r="E62" s="62">
        <v>46096.0</v>
      </c>
      <c r="F62" s="62"/>
      <c r="G62" s="61" t="s">
        <v>3855</v>
      </c>
      <c r="H62" s="61" t="s">
        <v>2246</v>
      </c>
      <c r="I62" s="61" t="s">
        <v>4821</v>
      </c>
      <c r="J62" s="63">
        <v>96.0</v>
      </c>
      <c r="K62" s="63">
        <f t="shared" si="1"/>
        <v>1488</v>
      </c>
      <c r="L62" s="61" t="str">
        <f t="shared" si="2"/>
        <v>Breach</v>
      </c>
      <c r="M62" s="61" t="s">
        <v>4832</v>
      </c>
    </row>
    <row r="63" ht="15.75" customHeight="1">
      <c r="A63" s="25" t="s">
        <v>4885</v>
      </c>
      <c r="B63" s="25" t="s">
        <v>595</v>
      </c>
      <c r="C63" s="25" t="s">
        <v>588</v>
      </c>
      <c r="D63" s="25" t="s">
        <v>4810</v>
      </c>
      <c r="E63" s="26">
        <v>46037.0</v>
      </c>
      <c r="F63" s="26">
        <v>46042.66666666666</v>
      </c>
      <c r="G63" s="25" t="s">
        <v>4826</v>
      </c>
      <c r="H63" s="25" t="s">
        <v>2246</v>
      </c>
      <c r="I63" s="25" t="s">
        <v>4804</v>
      </c>
      <c r="J63" s="29">
        <v>96.0</v>
      </c>
      <c r="K63" s="29">
        <f t="shared" si="1"/>
        <v>136</v>
      </c>
      <c r="L63" s="25" t="str">
        <f t="shared" si="2"/>
        <v>Breach</v>
      </c>
      <c r="M63" s="25" t="s">
        <v>4813</v>
      </c>
    </row>
    <row r="64" ht="15.75" customHeight="1">
      <c r="A64" s="61" t="s">
        <v>4886</v>
      </c>
      <c r="B64" s="61" t="s">
        <v>526</v>
      </c>
      <c r="C64" s="61" t="s">
        <v>448</v>
      </c>
      <c r="D64" s="61" t="s">
        <v>4810</v>
      </c>
      <c r="E64" s="62">
        <v>46122.0</v>
      </c>
      <c r="F64" s="62"/>
      <c r="G64" s="61" t="s">
        <v>4826</v>
      </c>
      <c r="H64" s="61" t="s">
        <v>2247</v>
      </c>
      <c r="I64" s="61" t="s">
        <v>4816</v>
      </c>
      <c r="J64" s="63">
        <v>96.0</v>
      </c>
      <c r="K64" s="63">
        <f t="shared" si="1"/>
        <v>864</v>
      </c>
      <c r="L64" s="61" t="str">
        <f t="shared" si="2"/>
        <v>Breach</v>
      </c>
      <c r="M64" s="61" t="s">
        <v>4813</v>
      </c>
    </row>
    <row r="65" ht="15.75" customHeight="1">
      <c r="A65" s="25" t="s">
        <v>4887</v>
      </c>
      <c r="B65" s="25" t="s">
        <v>266</v>
      </c>
      <c r="C65" s="25" t="s">
        <v>170</v>
      </c>
      <c r="D65" s="25" t="s">
        <v>4815</v>
      </c>
      <c r="E65" s="26">
        <v>46111.0</v>
      </c>
      <c r="F65" s="26">
        <v>46111.66666666666</v>
      </c>
      <c r="G65" s="25" t="s">
        <v>4811</v>
      </c>
      <c r="H65" s="25" t="s">
        <v>2246</v>
      </c>
      <c r="I65" s="25" t="s">
        <v>4812</v>
      </c>
      <c r="J65" s="29">
        <v>24.0</v>
      </c>
      <c r="K65" s="29">
        <f t="shared" si="1"/>
        <v>16</v>
      </c>
      <c r="L65" s="25" t="str">
        <f t="shared" si="2"/>
        <v>OK</v>
      </c>
      <c r="M65" s="25" t="s">
        <v>4817</v>
      </c>
    </row>
    <row r="66" ht="15.75" customHeight="1">
      <c r="A66" s="61" t="s">
        <v>4888</v>
      </c>
      <c r="B66" s="61" t="s">
        <v>577</v>
      </c>
      <c r="C66" s="61" t="s">
        <v>544</v>
      </c>
      <c r="D66" s="61" t="s">
        <v>4815</v>
      </c>
      <c r="E66" s="62">
        <v>46038.0</v>
      </c>
      <c r="F66" s="62">
        <v>46041.0</v>
      </c>
      <c r="G66" s="61" t="s">
        <v>3851</v>
      </c>
      <c r="H66" s="61" t="s">
        <v>2246</v>
      </c>
      <c r="I66" s="61" t="s">
        <v>4812</v>
      </c>
      <c r="J66" s="63">
        <v>24.0</v>
      </c>
      <c r="K66" s="63">
        <f t="shared" si="1"/>
        <v>72</v>
      </c>
      <c r="L66" s="61" t="str">
        <f t="shared" si="2"/>
        <v>Breach</v>
      </c>
      <c r="M66" s="61" t="s">
        <v>4817</v>
      </c>
    </row>
    <row r="67" ht="15.75" customHeight="1">
      <c r="A67" s="25" t="s">
        <v>4889</v>
      </c>
      <c r="B67" s="25" t="s">
        <v>151</v>
      </c>
      <c r="C67" s="25" t="s">
        <v>70</v>
      </c>
      <c r="D67" s="25" t="s">
        <v>4803</v>
      </c>
      <c r="E67" s="26">
        <v>46039.0</v>
      </c>
      <c r="F67" s="26"/>
      <c r="G67" s="25" t="s">
        <v>3855</v>
      </c>
      <c r="H67" s="25" t="s">
        <v>2246</v>
      </c>
      <c r="I67" s="25" t="s">
        <v>4821</v>
      </c>
      <c r="J67" s="29">
        <v>72.0</v>
      </c>
      <c r="K67" s="29">
        <f t="shared" si="1"/>
        <v>2856</v>
      </c>
      <c r="L67" s="25" t="str">
        <f t="shared" si="2"/>
        <v>Breach</v>
      </c>
      <c r="M67" s="25" t="s">
        <v>4805</v>
      </c>
    </row>
    <row r="68" ht="15.75" customHeight="1">
      <c r="A68" s="61" t="s">
        <v>4890</v>
      </c>
      <c r="B68" s="61" t="s">
        <v>165</v>
      </c>
      <c r="C68" s="61" t="s">
        <v>166</v>
      </c>
      <c r="D68" s="61" t="s">
        <v>4881</v>
      </c>
      <c r="E68" s="62">
        <v>46125.0</v>
      </c>
      <c r="F68" s="62"/>
      <c r="G68" s="61" t="s">
        <v>3847</v>
      </c>
      <c r="H68" s="61" t="s">
        <v>2246</v>
      </c>
      <c r="I68" s="61" t="s">
        <v>4821</v>
      </c>
      <c r="J68" s="63">
        <v>72.0</v>
      </c>
      <c r="K68" s="63">
        <f t="shared" si="1"/>
        <v>792</v>
      </c>
      <c r="L68" s="61" t="str">
        <f t="shared" si="2"/>
        <v>Breach</v>
      </c>
      <c r="M68" s="61" t="s">
        <v>4882</v>
      </c>
    </row>
    <row r="69" ht="15.75" customHeight="1">
      <c r="A69" s="25" t="s">
        <v>4891</v>
      </c>
      <c r="B69" s="25" t="s">
        <v>335</v>
      </c>
      <c r="C69" s="25" t="s">
        <v>314</v>
      </c>
      <c r="D69" s="25" t="s">
        <v>4825</v>
      </c>
      <c r="E69" s="26">
        <v>46122.0</v>
      </c>
      <c r="F69" s="26">
        <v>46122.375</v>
      </c>
      <c r="G69" s="25" t="s">
        <v>4826</v>
      </c>
      <c r="H69" s="25" t="s">
        <v>2246</v>
      </c>
      <c r="I69" s="25" t="s">
        <v>4804</v>
      </c>
      <c r="J69" s="29">
        <v>72.0</v>
      </c>
      <c r="K69" s="29">
        <f t="shared" si="1"/>
        <v>9</v>
      </c>
      <c r="L69" s="25" t="str">
        <f t="shared" si="2"/>
        <v>OK</v>
      </c>
      <c r="M69" s="25" t="s">
        <v>4827</v>
      </c>
    </row>
    <row r="70" ht="15.75" customHeight="1">
      <c r="A70" s="61" t="s">
        <v>4892</v>
      </c>
      <c r="B70" s="61" t="s">
        <v>86</v>
      </c>
      <c r="C70" s="61" t="s">
        <v>87</v>
      </c>
      <c r="D70" s="61" t="s">
        <v>4831</v>
      </c>
      <c r="E70" s="62">
        <v>46075.0</v>
      </c>
      <c r="F70" s="62"/>
      <c r="G70" s="61" t="s">
        <v>3851</v>
      </c>
      <c r="H70" s="61" t="s">
        <v>2246</v>
      </c>
      <c r="I70" s="61" t="s">
        <v>4821</v>
      </c>
      <c r="J70" s="63">
        <v>96.0</v>
      </c>
      <c r="K70" s="63">
        <f t="shared" si="1"/>
        <v>1992</v>
      </c>
      <c r="L70" s="61" t="str">
        <f t="shared" si="2"/>
        <v>Breach</v>
      </c>
      <c r="M70" s="61" t="s">
        <v>4832</v>
      </c>
    </row>
    <row r="71" ht="15.75" customHeight="1">
      <c r="A71" s="25" t="s">
        <v>4893</v>
      </c>
      <c r="B71" s="25" t="s">
        <v>221</v>
      </c>
      <c r="C71" s="25" t="s">
        <v>181</v>
      </c>
      <c r="D71" s="25" t="s">
        <v>4807</v>
      </c>
      <c r="E71" s="26">
        <v>46128.0</v>
      </c>
      <c r="F71" s="26"/>
      <c r="G71" s="25" t="s">
        <v>4811</v>
      </c>
      <c r="H71" s="25" t="s">
        <v>2246</v>
      </c>
      <c r="I71" s="25" t="s">
        <v>4816</v>
      </c>
      <c r="J71" s="29">
        <v>48.0</v>
      </c>
      <c r="K71" s="29">
        <f t="shared" si="1"/>
        <v>720</v>
      </c>
      <c r="L71" s="25" t="str">
        <f t="shared" si="2"/>
        <v>Breach</v>
      </c>
      <c r="M71" s="25" t="s">
        <v>4808</v>
      </c>
    </row>
    <row r="72" ht="15.75" customHeight="1">
      <c r="A72" s="61" t="s">
        <v>4894</v>
      </c>
      <c r="B72" s="61" t="s">
        <v>936</v>
      </c>
      <c r="C72" s="61" t="s">
        <v>864</v>
      </c>
      <c r="D72" s="61" t="s">
        <v>4815</v>
      </c>
      <c r="E72" s="62">
        <v>46091.0</v>
      </c>
      <c r="F72" s="62"/>
      <c r="G72" s="61" t="s">
        <v>3855</v>
      </c>
      <c r="H72" s="61" t="s">
        <v>2246</v>
      </c>
      <c r="I72" s="61" t="s">
        <v>4821</v>
      </c>
      <c r="J72" s="63">
        <v>48.0</v>
      </c>
      <c r="K72" s="63">
        <f t="shared" si="1"/>
        <v>1608</v>
      </c>
      <c r="L72" s="61" t="str">
        <f t="shared" si="2"/>
        <v>Breach</v>
      </c>
      <c r="M72" s="61" t="s">
        <v>4817</v>
      </c>
    </row>
    <row r="73" ht="15.75" customHeight="1">
      <c r="A73" s="25" t="s">
        <v>4895</v>
      </c>
      <c r="B73" s="25" t="s">
        <v>567</v>
      </c>
      <c r="C73" s="25" t="s">
        <v>550</v>
      </c>
      <c r="D73" s="25" t="s">
        <v>4810</v>
      </c>
      <c r="E73" s="26">
        <v>46066.0</v>
      </c>
      <c r="F73" s="26"/>
      <c r="G73" s="25" t="s">
        <v>4811</v>
      </c>
      <c r="H73" s="25" t="s">
        <v>2246</v>
      </c>
      <c r="I73" s="25" t="s">
        <v>4821</v>
      </c>
      <c r="J73" s="29">
        <v>72.0</v>
      </c>
      <c r="K73" s="29">
        <f t="shared" si="1"/>
        <v>2208</v>
      </c>
      <c r="L73" s="25" t="str">
        <f t="shared" si="2"/>
        <v>Breach</v>
      </c>
      <c r="M73" s="25" t="s">
        <v>4813</v>
      </c>
    </row>
    <row r="74" ht="15.75" customHeight="1">
      <c r="A74" s="61" t="s">
        <v>4896</v>
      </c>
      <c r="B74" s="61" t="s">
        <v>601</v>
      </c>
      <c r="C74" s="61" t="s">
        <v>557</v>
      </c>
      <c r="D74" s="61" t="s">
        <v>4881</v>
      </c>
      <c r="E74" s="62">
        <v>46091.0</v>
      </c>
      <c r="F74" s="62"/>
      <c r="G74" s="61" t="s">
        <v>4826</v>
      </c>
      <c r="H74" s="61" t="s">
        <v>2246</v>
      </c>
      <c r="I74" s="61" t="s">
        <v>4816</v>
      </c>
      <c r="J74" s="63">
        <v>48.0</v>
      </c>
      <c r="K74" s="63">
        <f t="shared" si="1"/>
        <v>1608</v>
      </c>
      <c r="L74" s="61" t="str">
        <f t="shared" si="2"/>
        <v>Breach</v>
      </c>
      <c r="M74" s="61" t="s">
        <v>4882</v>
      </c>
    </row>
    <row r="75" ht="15.75" customHeight="1">
      <c r="A75" s="25" t="s">
        <v>4897</v>
      </c>
      <c r="B75" s="25" t="s">
        <v>1076</v>
      </c>
      <c r="C75" s="25" t="s">
        <v>1077</v>
      </c>
      <c r="D75" s="25" t="s">
        <v>4825</v>
      </c>
      <c r="E75" s="26">
        <v>46156.0</v>
      </c>
      <c r="F75" s="26"/>
      <c r="G75" s="25" t="s">
        <v>3851</v>
      </c>
      <c r="H75" s="25" t="s">
        <v>2246</v>
      </c>
      <c r="I75" s="25" t="s">
        <v>4821</v>
      </c>
      <c r="J75" s="29">
        <v>24.0</v>
      </c>
      <c r="K75" s="29">
        <f t="shared" si="1"/>
        <v>48</v>
      </c>
      <c r="L75" s="25" t="str">
        <f t="shared" si="2"/>
        <v>Breach</v>
      </c>
      <c r="M75" s="25" t="s">
        <v>4827</v>
      </c>
    </row>
    <row r="76" ht="15.75" customHeight="1">
      <c r="A76" s="61" t="s">
        <v>4898</v>
      </c>
      <c r="B76" s="61" t="s">
        <v>622</v>
      </c>
      <c r="C76" s="61" t="s">
        <v>553</v>
      </c>
      <c r="D76" s="61" t="s">
        <v>4815</v>
      </c>
      <c r="E76" s="62">
        <v>46152.0</v>
      </c>
      <c r="F76" s="62">
        <v>46155.29166666666</v>
      </c>
      <c r="G76" s="61" t="s">
        <v>3847</v>
      </c>
      <c r="H76" s="61" t="s">
        <v>2247</v>
      </c>
      <c r="I76" s="61" t="s">
        <v>4804</v>
      </c>
      <c r="J76" s="63">
        <v>48.0</v>
      </c>
      <c r="K76" s="63">
        <f t="shared" si="1"/>
        <v>79</v>
      </c>
      <c r="L76" s="61" t="str">
        <f t="shared" si="2"/>
        <v>Breach</v>
      </c>
      <c r="M76" s="61" t="s">
        <v>4817</v>
      </c>
    </row>
    <row r="77" ht="15.75" customHeight="1">
      <c r="A77" s="25" t="s">
        <v>4899</v>
      </c>
      <c r="B77" s="25" t="s">
        <v>1164</v>
      </c>
      <c r="C77" s="25" t="s">
        <v>1154</v>
      </c>
      <c r="D77" s="25" t="s">
        <v>4807</v>
      </c>
      <c r="E77" s="26">
        <v>46128.0</v>
      </c>
      <c r="F77" s="26">
        <v>46130.125</v>
      </c>
      <c r="G77" s="25" t="s">
        <v>3855</v>
      </c>
      <c r="H77" s="25" t="s">
        <v>2246</v>
      </c>
      <c r="I77" s="25" t="s">
        <v>4812</v>
      </c>
      <c r="J77" s="29">
        <v>96.0</v>
      </c>
      <c r="K77" s="29">
        <f t="shared" si="1"/>
        <v>51</v>
      </c>
      <c r="L77" s="25" t="str">
        <f t="shared" si="2"/>
        <v>OK</v>
      </c>
      <c r="M77" s="25" t="s">
        <v>4808</v>
      </c>
    </row>
    <row r="78" ht="15.75" customHeight="1">
      <c r="A78" s="61" t="s">
        <v>4900</v>
      </c>
      <c r="B78" s="61" t="s">
        <v>806</v>
      </c>
      <c r="C78" s="61" t="s">
        <v>720</v>
      </c>
      <c r="D78" s="61" t="s">
        <v>4825</v>
      </c>
      <c r="E78" s="62">
        <v>46120.0</v>
      </c>
      <c r="F78" s="62"/>
      <c r="G78" s="61" t="s">
        <v>4811</v>
      </c>
      <c r="H78" s="61" t="s">
        <v>2246</v>
      </c>
      <c r="I78" s="61" t="s">
        <v>4816</v>
      </c>
      <c r="J78" s="63">
        <v>96.0</v>
      </c>
      <c r="K78" s="63">
        <f t="shared" si="1"/>
        <v>912</v>
      </c>
      <c r="L78" s="61" t="str">
        <f t="shared" si="2"/>
        <v>Breach</v>
      </c>
      <c r="M78" s="61" t="s">
        <v>4827</v>
      </c>
    </row>
    <row r="79" ht="15.75" customHeight="1">
      <c r="A79" s="25" t="s">
        <v>4901</v>
      </c>
      <c r="B79" s="25" t="s">
        <v>792</v>
      </c>
      <c r="C79" s="25" t="s">
        <v>714</v>
      </c>
      <c r="D79" s="25" t="s">
        <v>4807</v>
      </c>
      <c r="E79" s="26">
        <v>46089.0</v>
      </c>
      <c r="F79" s="26">
        <v>46089.33333333334</v>
      </c>
      <c r="G79" s="25" t="s">
        <v>4826</v>
      </c>
      <c r="H79" s="25" t="s">
        <v>2247</v>
      </c>
      <c r="I79" s="25" t="s">
        <v>4804</v>
      </c>
      <c r="J79" s="29">
        <v>48.0</v>
      </c>
      <c r="K79" s="29">
        <f t="shared" si="1"/>
        <v>8</v>
      </c>
      <c r="L79" s="25" t="str">
        <f t="shared" si="2"/>
        <v>OK</v>
      </c>
      <c r="M79" s="25" t="s">
        <v>4808</v>
      </c>
    </row>
    <row r="80" ht="15.75" customHeight="1">
      <c r="A80" s="61" t="s">
        <v>4902</v>
      </c>
      <c r="B80" s="61" t="s">
        <v>271</v>
      </c>
      <c r="C80" s="61" t="s">
        <v>195</v>
      </c>
      <c r="D80" s="61" t="s">
        <v>4807</v>
      </c>
      <c r="E80" s="62">
        <v>46106.0</v>
      </c>
      <c r="F80" s="62">
        <v>46106.54166666666</v>
      </c>
      <c r="G80" s="61" t="s">
        <v>4811</v>
      </c>
      <c r="H80" s="61" t="s">
        <v>2246</v>
      </c>
      <c r="I80" s="61" t="s">
        <v>4812</v>
      </c>
      <c r="J80" s="63">
        <v>24.0</v>
      </c>
      <c r="K80" s="63">
        <f t="shared" si="1"/>
        <v>13</v>
      </c>
      <c r="L80" s="61" t="str">
        <f t="shared" si="2"/>
        <v>OK</v>
      </c>
      <c r="M80" s="61" t="s">
        <v>4808</v>
      </c>
    </row>
    <row r="81" ht="15.75" customHeight="1">
      <c r="A81" s="25" t="s">
        <v>4903</v>
      </c>
      <c r="B81" s="25" t="s">
        <v>1155</v>
      </c>
      <c r="C81" s="25" t="s">
        <v>1124</v>
      </c>
      <c r="D81" s="25" t="s">
        <v>4825</v>
      </c>
      <c r="E81" s="26">
        <v>46081.0</v>
      </c>
      <c r="F81" s="26">
        <v>46085.5</v>
      </c>
      <c r="G81" s="25" t="s">
        <v>4811</v>
      </c>
      <c r="H81" s="25" t="s">
        <v>2246</v>
      </c>
      <c r="I81" s="25" t="s">
        <v>4812</v>
      </c>
      <c r="J81" s="29">
        <v>48.0</v>
      </c>
      <c r="K81" s="29">
        <f t="shared" si="1"/>
        <v>108</v>
      </c>
      <c r="L81" s="25" t="str">
        <f t="shared" si="2"/>
        <v>Breach</v>
      </c>
      <c r="M81" s="25" t="s">
        <v>4827</v>
      </c>
    </row>
    <row r="82" ht="15.75" customHeight="1">
      <c r="A82" s="61" t="s">
        <v>4904</v>
      </c>
      <c r="B82" s="61" t="s">
        <v>770</v>
      </c>
      <c r="C82" s="61" t="s">
        <v>704</v>
      </c>
      <c r="D82" s="61" t="s">
        <v>4810</v>
      </c>
      <c r="E82" s="62">
        <v>46132.0</v>
      </c>
      <c r="F82" s="62">
        <v>46136.04166666666</v>
      </c>
      <c r="G82" s="61" t="s">
        <v>3851</v>
      </c>
      <c r="H82" s="61" t="s">
        <v>2247</v>
      </c>
      <c r="I82" s="61" t="s">
        <v>4804</v>
      </c>
      <c r="J82" s="63">
        <v>72.0</v>
      </c>
      <c r="K82" s="63">
        <f t="shared" si="1"/>
        <v>97</v>
      </c>
      <c r="L82" s="61" t="str">
        <f t="shared" si="2"/>
        <v>Breach</v>
      </c>
      <c r="M82" s="61" t="s">
        <v>4813</v>
      </c>
    </row>
    <row r="83" ht="15.75" customHeight="1">
      <c r="A83" s="25" t="s">
        <v>4905</v>
      </c>
      <c r="B83" s="25" t="s">
        <v>663</v>
      </c>
      <c r="C83" s="25" t="s">
        <v>540</v>
      </c>
      <c r="D83" s="25" t="s">
        <v>4807</v>
      </c>
      <c r="E83" s="26">
        <v>46104.0</v>
      </c>
      <c r="F83" s="26">
        <v>46108.66666666666</v>
      </c>
      <c r="G83" s="25" t="s">
        <v>4811</v>
      </c>
      <c r="H83" s="25" t="s">
        <v>2246</v>
      </c>
      <c r="I83" s="25" t="s">
        <v>4804</v>
      </c>
      <c r="J83" s="29">
        <v>72.0</v>
      </c>
      <c r="K83" s="29">
        <f t="shared" si="1"/>
        <v>112</v>
      </c>
      <c r="L83" s="25" t="str">
        <f t="shared" si="2"/>
        <v>Breach</v>
      </c>
      <c r="M83" s="25" t="s">
        <v>4808</v>
      </c>
    </row>
    <row r="84" ht="15.75" customHeight="1">
      <c r="A84" s="61" t="s">
        <v>4906</v>
      </c>
      <c r="B84" s="61" t="s">
        <v>495</v>
      </c>
      <c r="C84" s="61" t="s">
        <v>466</v>
      </c>
      <c r="D84" s="61" t="s">
        <v>4820</v>
      </c>
      <c r="E84" s="62">
        <v>46086.0</v>
      </c>
      <c r="F84" s="62">
        <v>46091.58333333334</v>
      </c>
      <c r="G84" s="61" t="s">
        <v>3847</v>
      </c>
      <c r="H84" s="61" t="s">
        <v>2246</v>
      </c>
      <c r="I84" s="61" t="s">
        <v>4804</v>
      </c>
      <c r="J84" s="63">
        <v>96.0</v>
      </c>
      <c r="K84" s="63">
        <f t="shared" si="1"/>
        <v>134</v>
      </c>
      <c r="L84" s="61" t="str">
        <f t="shared" si="2"/>
        <v>Breach</v>
      </c>
      <c r="M84" s="61" t="s">
        <v>4822</v>
      </c>
    </row>
    <row r="85" ht="15.75" customHeight="1">
      <c r="A85" s="25" t="s">
        <v>4907</v>
      </c>
      <c r="B85" s="25" t="s">
        <v>891</v>
      </c>
      <c r="C85" s="25" t="s">
        <v>859</v>
      </c>
      <c r="D85" s="25" t="s">
        <v>4807</v>
      </c>
      <c r="E85" s="26">
        <v>46052.0</v>
      </c>
      <c r="F85" s="26">
        <v>46057.58333333334</v>
      </c>
      <c r="G85" s="25" t="s">
        <v>4811</v>
      </c>
      <c r="H85" s="25" t="s">
        <v>2246</v>
      </c>
      <c r="I85" s="25" t="s">
        <v>4812</v>
      </c>
      <c r="J85" s="29">
        <v>24.0</v>
      </c>
      <c r="K85" s="29">
        <f t="shared" si="1"/>
        <v>134</v>
      </c>
      <c r="L85" s="25" t="str">
        <f t="shared" si="2"/>
        <v>Breach</v>
      </c>
      <c r="M85" s="25" t="s">
        <v>4808</v>
      </c>
    </row>
    <row r="86" ht="15.75" customHeight="1">
      <c r="A86" s="61" t="s">
        <v>4908</v>
      </c>
      <c r="B86" s="61" t="s">
        <v>229</v>
      </c>
      <c r="C86" s="61" t="s">
        <v>174</v>
      </c>
      <c r="D86" s="61" t="s">
        <v>4881</v>
      </c>
      <c r="E86" s="62">
        <v>46062.0</v>
      </c>
      <c r="F86" s="62"/>
      <c r="G86" s="61" t="s">
        <v>4811</v>
      </c>
      <c r="H86" s="61" t="s">
        <v>2246</v>
      </c>
      <c r="I86" s="61" t="s">
        <v>4816</v>
      </c>
      <c r="J86" s="63">
        <v>48.0</v>
      </c>
      <c r="K86" s="63">
        <f t="shared" si="1"/>
        <v>2304</v>
      </c>
      <c r="L86" s="61" t="str">
        <f t="shared" si="2"/>
        <v>Breach</v>
      </c>
      <c r="M86" s="61" t="s">
        <v>4882</v>
      </c>
    </row>
    <row r="87" ht="15.75" customHeight="1">
      <c r="A87" s="25" t="s">
        <v>4909</v>
      </c>
      <c r="B87" s="25" t="s">
        <v>204</v>
      </c>
      <c r="C87" s="25" t="s">
        <v>170</v>
      </c>
      <c r="D87" s="25" t="s">
        <v>4810</v>
      </c>
      <c r="E87" s="26">
        <v>46075.0</v>
      </c>
      <c r="F87" s="26">
        <v>46075.83333333334</v>
      </c>
      <c r="G87" s="25" t="s">
        <v>3855</v>
      </c>
      <c r="H87" s="25" t="s">
        <v>2246</v>
      </c>
      <c r="I87" s="25" t="s">
        <v>4804</v>
      </c>
      <c r="J87" s="29">
        <v>72.0</v>
      </c>
      <c r="K87" s="29">
        <f t="shared" si="1"/>
        <v>20</v>
      </c>
      <c r="L87" s="25" t="str">
        <f t="shared" si="2"/>
        <v>OK</v>
      </c>
      <c r="M87" s="25" t="s">
        <v>4813</v>
      </c>
    </row>
    <row r="88" ht="15.75" customHeight="1">
      <c r="A88" s="61" t="s">
        <v>4910</v>
      </c>
      <c r="B88" s="61" t="s">
        <v>1174</v>
      </c>
      <c r="C88" s="61" t="s">
        <v>1154</v>
      </c>
      <c r="D88" s="61" t="s">
        <v>4831</v>
      </c>
      <c r="E88" s="62">
        <v>46080.0</v>
      </c>
      <c r="F88" s="62">
        <v>46081.25</v>
      </c>
      <c r="G88" s="61" t="s">
        <v>3851</v>
      </c>
      <c r="H88" s="61" t="s">
        <v>2247</v>
      </c>
      <c r="I88" s="61" t="s">
        <v>4812</v>
      </c>
      <c r="J88" s="63">
        <v>48.0</v>
      </c>
      <c r="K88" s="63">
        <f t="shared" si="1"/>
        <v>30</v>
      </c>
      <c r="L88" s="61" t="str">
        <f t="shared" si="2"/>
        <v>OK</v>
      </c>
      <c r="M88" s="61" t="s">
        <v>4832</v>
      </c>
    </row>
    <row r="89" ht="15.75" customHeight="1">
      <c r="A89" s="25" t="s">
        <v>4911</v>
      </c>
      <c r="B89" s="25" t="s">
        <v>1069</v>
      </c>
      <c r="C89" s="25" t="s">
        <v>955</v>
      </c>
      <c r="D89" s="25" t="s">
        <v>4825</v>
      </c>
      <c r="E89" s="26">
        <v>46105.0</v>
      </c>
      <c r="F89" s="26"/>
      <c r="G89" s="25" t="s">
        <v>4826</v>
      </c>
      <c r="H89" s="25" t="s">
        <v>2247</v>
      </c>
      <c r="I89" s="25" t="s">
        <v>4821</v>
      </c>
      <c r="J89" s="29">
        <v>96.0</v>
      </c>
      <c r="K89" s="29">
        <f t="shared" si="1"/>
        <v>1272</v>
      </c>
      <c r="L89" s="25" t="str">
        <f t="shared" si="2"/>
        <v>Breach</v>
      </c>
      <c r="M89" s="25" t="s">
        <v>4827</v>
      </c>
    </row>
    <row r="90" ht="15.75" customHeight="1">
      <c r="A90" s="61" t="s">
        <v>4912</v>
      </c>
      <c r="B90" s="61" t="s">
        <v>650</v>
      </c>
      <c r="C90" s="61" t="s">
        <v>570</v>
      </c>
      <c r="D90" s="61" t="s">
        <v>4807</v>
      </c>
      <c r="E90" s="62">
        <v>46090.0</v>
      </c>
      <c r="F90" s="62"/>
      <c r="G90" s="61" t="s">
        <v>3851</v>
      </c>
      <c r="H90" s="61" t="s">
        <v>2247</v>
      </c>
      <c r="I90" s="61" t="s">
        <v>4816</v>
      </c>
      <c r="J90" s="63">
        <v>72.0</v>
      </c>
      <c r="K90" s="63">
        <f t="shared" si="1"/>
        <v>1632</v>
      </c>
      <c r="L90" s="61" t="str">
        <f t="shared" si="2"/>
        <v>Breach</v>
      </c>
      <c r="M90" s="61" t="s">
        <v>4808</v>
      </c>
    </row>
    <row r="91" ht="15.75" customHeight="1">
      <c r="A91" s="25" t="s">
        <v>4913</v>
      </c>
      <c r="B91" s="25" t="s">
        <v>631</v>
      </c>
      <c r="C91" s="25" t="s">
        <v>553</v>
      </c>
      <c r="D91" s="25" t="s">
        <v>4831</v>
      </c>
      <c r="E91" s="26">
        <v>46093.0</v>
      </c>
      <c r="F91" s="26"/>
      <c r="G91" s="25" t="s">
        <v>3851</v>
      </c>
      <c r="H91" s="25" t="s">
        <v>2246</v>
      </c>
      <c r="I91" s="25" t="s">
        <v>4816</v>
      </c>
      <c r="J91" s="29">
        <v>96.0</v>
      </c>
      <c r="K91" s="29">
        <f t="shared" si="1"/>
        <v>1560</v>
      </c>
      <c r="L91" s="25" t="str">
        <f t="shared" si="2"/>
        <v>Breach</v>
      </c>
      <c r="M91" s="25" t="s">
        <v>4832</v>
      </c>
    </row>
    <row r="92" ht="15.75" customHeight="1">
      <c r="A92" s="61" t="s">
        <v>4914</v>
      </c>
      <c r="B92" s="61" t="s">
        <v>403</v>
      </c>
      <c r="C92" s="61" t="s">
        <v>314</v>
      </c>
      <c r="D92" s="61" t="s">
        <v>4825</v>
      </c>
      <c r="E92" s="62">
        <v>46066.0</v>
      </c>
      <c r="F92" s="62">
        <v>46069.20833333334</v>
      </c>
      <c r="G92" s="61" t="s">
        <v>3855</v>
      </c>
      <c r="H92" s="61" t="s">
        <v>2246</v>
      </c>
      <c r="I92" s="61" t="s">
        <v>4804</v>
      </c>
      <c r="J92" s="63">
        <v>72.0</v>
      </c>
      <c r="K92" s="63">
        <f t="shared" si="1"/>
        <v>77</v>
      </c>
      <c r="L92" s="61" t="str">
        <f t="shared" si="2"/>
        <v>Breach</v>
      </c>
      <c r="M92" s="61" t="s">
        <v>4827</v>
      </c>
    </row>
    <row r="93" ht="15.75" customHeight="1">
      <c r="A93" s="25" t="s">
        <v>4915</v>
      </c>
      <c r="B93" s="25" t="s">
        <v>241</v>
      </c>
      <c r="C93" s="25" t="s">
        <v>170</v>
      </c>
      <c r="D93" s="25" t="s">
        <v>4807</v>
      </c>
      <c r="E93" s="26">
        <v>46037.0</v>
      </c>
      <c r="F93" s="26"/>
      <c r="G93" s="25" t="s">
        <v>3855</v>
      </c>
      <c r="H93" s="25" t="s">
        <v>2246</v>
      </c>
      <c r="I93" s="25" t="s">
        <v>4816</v>
      </c>
      <c r="J93" s="29">
        <v>96.0</v>
      </c>
      <c r="K93" s="29">
        <f t="shared" si="1"/>
        <v>2904</v>
      </c>
      <c r="L93" s="25" t="str">
        <f t="shared" si="2"/>
        <v>Breach</v>
      </c>
      <c r="M93" s="25" t="s">
        <v>4808</v>
      </c>
    </row>
    <row r="94" ht="15.75" customHeight="1">
      <c r="A94" s="61" t="s">
        <v>4916</v>
      </c>
      <c r="B94" s="61" t="s">
        <v>967</v>
      </c>
      <c r="C94" s="61" t="s">
        <v>968</v>
      </c>
      <c r="D94" s="61" t="s">
        <v>4807</v>
      </c>
      <c r="E94" s="62">
        <v>46079.0</v>
      </c>
      <c r="F94" s="62"/>
      <c r="G94" s="61" t="s">
        <v>4826</v>
      </c>
      <c r="H94" s="61" t="s">
        <v>2246</v>
      </c>
      <c r="I94" s="61" t="s">
        <v>4816</v>
      </c>
      <c r="J94" s="63">
        <v>24.0</v>
      </c>
      <c r="K94" s="63">
        <f t="shared" si="1"/>
        <v>1896</v>
      </c>
      <c r="L94" s="61" t="str">
        <f t="shared" si="2"/>
        <v>Breach</v>
      </c>
      <c r="M94" s="61" t="s">
        <v>4808</v>
      </c>
    </row>
    <row r="95" ht="15.75" customHeight="1">
      <c r="A95" s="25" t="s">
        <v>4917</v>
      </c>
      <c r="B95" s="25" t="s">
        <v>709</v>
      </c>
      <c r="C95" s="25" t="s">
        <v>710</v>
      </c>
      <c r="D95" s="25" t="s">
        <v>4831</v>
      </c>
      <c r="E95" s="26">
        <v>46146.0</v>
      </c>
      <c r="F95" s="26"/>
      <c r="G95" s="25" t="s">
        <v>4826</v>
      </c>
      <c r="H95" s="25" t="s">
        <v>2246</v>
      </c>
      <c r="I95" s="25" t="s">
        <v>4816</v>
      </c>
      <c r="J95" s="29">
        <v>72.0</v>
      </c>
      <c r="K95" s="29">
        <f t="shared" si="1"/>
        <v>288</v>
      </c>
      <c r="L95" s="25" t="str">
        <f t="shared" si="2"/>
        <v>Breach</v>
      </c>
      <c r="M95" s="25" t="s">
        <v>4832</v>
      </c>
    </row>
    <row r="96" ht="15.75" customHeight="1">
      <c r="A96" s="61" t="s">
        <v>4918</v>
      </c>
      <c r="B96" s="61" t="s">
        <v>1060</v>
      </c>
      <c r="C96" s="61" t="s">
        <v>984</v>
      </c>
      <c r="D96" s="61" t="s">
        <v>4825</v>
      </c>
      <c r="E96" s="62">
        <v>46137.0</v>
      </c>
      <c r="F96" s="62"/>
      <c r="G96" s="61" t="s">
        <v>4826</v>
      </c>
      <c r="H96" s="61" t="s">
        <v>2246</v>
      </c>
      <c r="I96" s="61" t="s">
        <v>4816</v>
      </c>
      <c r="J96" s="63">
        <v>48.0</v>
      </c>
      <c r="K96" s="63">
        <f t="shared" si="1"/>
        <v>504</v>
      </c>
      <c r="L96" s="61" t="str">
        <f t="shared" si="2"/>
        <v>Breach</v>
      </c>
      <c r="M96" s="61" t="s">
        <v>4827</v>
      </c>
    </row>
    <row r="97" ht="15.75" customHeight="1">
      <c r="A97" s="25" t="s">
        <v>4919</v>
      </c>
      <c r="B97" s="25" t="s">
        <v>914</v>
      </c>
      <c r="C97" s="25" t="s">
        <v>873</v>
      </c>
      <c r="D97" s="25" t="s">
        <v>4810</v>
      </c>
      <c r="E97" s="26">
        <v>46128.0</v>
      </c>
      <c r="F97" s="26"/>
      <c r="G97" s="25" t="s">
        <v>3847</v>
      </c>
      <c r="H97" s="25" t="s">
        <v>2246</v>
      </c>
      <c r="I97" s="25" t="s">
        <v>4816</v>
      </c>
      <c r="J97" s="29">
        <v>48.0</v>
      </c>
      <c r="K97" s="29">
        <f t="shared" si="1"/>
        <v>720</v>
      </c>
      <c r="L97" s="25" t="str">
        <f t="shared" si="2"/>
        <v>Breach</v>
      </c>
      <c r="M97" s="25" t="s">
        <v>4813</v>
      </c>
    </row>
    <row r="98" ht="15.75" customHeight="1">
      <c r="A98" s="61" t="s">
        <v>4920</v>
      </c>
      <c r="B98" s="61" t="s">
        <v>456</v>
      </c>
      <c r="C98" s="61" t="s">
        <v>457</v>
      </c>
      <c r="D98" s="61" t="s">
        <v>4807</v>
      </c>
      <c r="E98" s="62">
        <v>46111.0</v>
      </c>
      <c r="F98" s="62"/>
      <c r="G98" s="61" t="s">
        <v>4811</v>
      </c>
      <c r="H98" s="61" t="s">
        <v>2246</v>
      </c>
      <c r="I98" s="61" t="s">
        <v>4816</v>
      </c>
      <c r="J98" s="63">
        <v>72.0</v>
      </c>
      <c r="K98" s="63">
        <f t="shared" si="1"/>
        <v>1128</v>
      </c>
      <c r="L98" s="61" t="str">
        <f t="shared" si="2"/>
        <v>Breach</v>
      </c>
      <c r="M98" s="61" t="s">
        <v>4808</v>
      </c>
    </row>
    <row r="99" ht="15.75" customHeight="1">
      <c r="A99" s="25" t="s">
        <v>4921</v>
      </c>
      <c r="B99" s="25" t="s">
        <v>474</v>
      </c>
      <c r="C99" s="25" t="s">
        <v>446</v>
      </c>
      <c r="D99" s="25" t="s">
        <v>4831</v>
      </c>
      <c r="E99" s="26">
        <v>46129.0</v>
      </c>
      <c r="F99" s="26">
        <v>46130.08333333334</v>
      </c>
      <c r="G99" s="25" t="s">
        <v>4826</v>
      </c>
      <c r="H99" s="25" t="s">
        <v>2247</v>
      </c>
      <c r="I99" s="25" t="s">
        <v>4804</v>
      </c>
      <c r="J99" s="29">
        <v>96.0</v>
      </c>
      <c r="K99" s="29">
        <f t="shared" si="1"/>
        <v>26</v>
      </c>
      <c r="L99" s="25" t="str">
        <f t="shared" si="2"/>
        <v>OK</v>
      </c>
      <c r="M99" s="25" t="s">
        <v>4832</v>
      </c>
    </row>
    <row r="100" ht="15.75" customHeight="1">
      <c r="A100" s="61" t="s">
        <v>4922</v>
      </c>
      <c r="B100" s="61" t="s">
        <v>1098</v>
      </c>
      <c r="C100" s="61" t="s">
        <v>1083</v>
      </c>
      <c r="D100" s="61" t="s">
        <v>4807</v>
      </c>
      <c r="E100" s="62">
        <v>46044.0</v>
      </c>
      <c r="F100" s="62">
        <v>46045.45833333334</v>
      </c>
      <c r="G100" s="61" t="s">
        <v>4811</v>
      </c>
      <c r="H100" s="61" t="s">
        <v>2246</v>
      </c>
      <c r="I100" s="61" t="s">
        <v>4804</v>
      </c>
      <c r="J100" s="63">
        <v>48.0</v>
      </c>
      <c r="K100" s="63">
        <f t="shared" si="1"/>
        <v>35</v>
      </c>
      <c r="L100" s="61" t="str">
        <f t="shared" si="2"/>
        <v>OK</v>
      </c>
      <c r="M100" s="61" t="s">
        <v>4808</v>
      </c>
    </row>
    <row r="101" ht="15.75" customHeight="1">
      <c r="A101" s="25" t="s">
        <v>4923</v>
      </c>
      <c r="B101" s="25" t="s">
        <v>528</v>
      </c>
      <c r="C101" s="25" t="s">
        <v>464</v>
      </c>
      <c r="D101" s="25" t="s">
        <v>4803</v>
      </c>
      <c r="E101" s="26">
        <v>46036.0</v>
      </c>
      <c r="F101" s="26">
        <v>46038.08333333334</v>
      </c>
      <c r="G101" s="25" t="s">
        <v>4811</v>
      </c>
      <c r="H101" s="25" t="s">
        <v>2246</v>
      </c>
      <c r="I101" s="25" t="s">
        <v>4804</v>
      </c>
      <c r="J101" s="29">
        <v>72.0</v>
      </c>
      <c r="K101" s="29">
        <f t="shared" si="1"/>
        <v>50</v>
      </c>
      <c r="L101" s="25" t="str">
        <f t="shared" si="2"/>
        <v>OK</v>
      </c>
      <c r="M101" s="25" t="s">
        <v>4805</v>
      </c>
    </row>
    <row r="102" ht="15.75" customHeight="1">
      <c r="A102" s="61" t="s">
        <v>4924</v>
      </c>
      <c r="B102" s="61" t="s">
        <v>1092</v>
      </c>
      <c r="C102" s="61" t="s">
        <v>1079</v>
      </c>
      <c r="D102" s="61" t="s">
        <v>4825</v>
      </c>
      <c r="E102" s="62">
        <v>46072.0</v>
      </c>
      <c r="F102" s="62"/>
      <c r="G102" s="61" t="s">
        <v>3847</v>
      </c>
      <c r="H102" s="61" t="s">
        <v>2246</v>
      </c>
      <c r="I102" s="61" t="s">
        <v>4816</v>
      </c>
      <c r="J102" s="63">
        <v>72.0</v>
      </c>
      <c r="K102" s="63">
        <f t="shared" si="1"/>
        <v>2064</v>
      </c>
      <c r="L102" s="61" t="str">
        <f t="shared" si="2"/>
        <v>Breach</v>
      </c>
      <c r="M102" s="61" t="s">
        <v>4827</v>
      </c>
    </row>
    <row r="103" ht="15.75" customHeight="1">
      <c r="A103" s="25" t="s">
        <v>4925</v>
      </c>
      <c r="B103" s="25" t="s">
        <v>1026</v>
      </c>
      <c r="C103" s="25" t="s">
        <v>988</v>
      </c>
      <c r="D103" s="25" t="s">
        <v>4831</v>
      </c>
      <c r="E103" s="26">
        <v>46044.0</v>
      </c>
      <c r="F103" s="26">
        <v>46049.20833333334</v>
      </c>
      <c r="G103" s="25" t="s">
        <v>4826</v>
      </c>
      <c r="H103" s="25" t="s">
        <v>2247</v>
      </c>
      <c r="I103" s="25" t="s">
        <v>4804</v>
      </c>
      <c r="J103" s="29">
        <v>48.0</v>
      </c>
      <c r="K103" s="29">
        <f t="shared" si="1"/>
        <v>125</v>
      </c>
      <c r="L103" s="25" t="str">
        <f t="shared" si="2"/>
        <v>Breach</v>
      </c>
      <c r="M103" s="25" t="s">
        <v>4832</v>
      </c>
    </row>
    <row r="104" ht="15.75" customHeight="1">
      <c r="A104" s="61" t="s">
        <v>4926</v>
      </c>
      <c r="B104" s="61" t="s">
        <v>521</v>
      </c>
      <c r="C104" s="61" t="s">
        <v>446</v>
      </c>
      <c r="D104" s="61" t="s">
        <v>4807</v>
      </c>
      <c r="E104" s="62">
        <v>46148.0</v>
      </c>
      <c r="F104" s="62">
        <v>46151.375</v>
      </c>
      <c r="G104" s="61" t="s">
        <v>3847</v>
      </c>
      <c r="H104" s="61" t="s">
        <v>2246</v>
      </c>
      <c r="I104" s="61" t="s">
        <v>4804</v>
      </c>
      <c r="J104" s="63">
        <v>24.0</v>
      </c>
      <c r="K104" s="63">
        <f t="shared" si="1"/>
        <v>81</v>
      </c>
      <c r="L104" s="61" t="str">
        <f t="shared" si="2"/>
        <v>Breach</v>
      </c>
      <c r="M104" s="61" t="s">
        <v>4808</v>
      </c>
    </row>
    <row r="105" ht="15.75" customHeight="1">
      <c r="A105" s="25" t="s">
        <v>4927</v>
      </c>
      <c r="B105" s="25" t="s">
        <v>163</v>
      </c>
      <c r="C105" s="25" t="s">
        <v>164</v>
      </c>
      <c r="D105" s="25" t="s">
        <v>4820</v>
      </c>
      <c r="E105" s="26">
        <v>46064.0</v>
      </c>
      <c r="F105" s="26">
        <v>46067.45833333334</v>
      </c>
      <c r="G105" s="25" t="s">
        <v>3851</v>
      </c>
      <c r="H105" s="25" t="s">
        <v>2246</v>
      </c>
      <c r="I105" s="25" t="s">
        <v>4812</v>
      </c>
      <c r="J105" s="29">
        <v>72.0</v>
      </c>
      <c r="K105" s="29">
        <f t="shared" si="1"/>
        <v>83</v>
      </c>
      <c r="L105" s="25" t="str">
        <f t="shared" si="2"/>
        <v>Breach</v>
      </c>
      <c r="M105" s="25" t="s">
        <v>4822</v>
      </c>
    </row>
    <row r="106" ht="15.75" customHeight="1">
      <c r="A106" s="61" t="s">
        <v>4928</v>
      </c>
      <c r="B106" s="61" t="s">
        <v>323</v>
      </c>
      <c r="C106" s="61" t="s">
        <v>297</v>
      </c>
      <c r="D106" s="61" t="s">
        <v>4807</v>
      </c>
      <c r="E106" s="62">
        <v>46065.0</v>
      </c>
      <c r="F106" s="62">
        <v>46069.95833333334</v>
      </c>
      <c r="G106" s="61" t="s">
        <v>3855</v>
      </c>
      <c r="H106" s="61" t="s">
        <v>2246</v>
      </c>
      <c r="I106" s="61" t="s">
        <v>4804</v>
      </c>
      <c r="J106" s="63">
        <v>72.0</v>
      </c>
      <c r="K106" s="63">
        <f t="shared" si="1"/>
        <v>119</v>
      </c>
      <c r="L106" s="61" t="str">
        <f t="shared" si="2"/>
        <v>Breach</v>
      </c>
      <c r="M106" s="61" t="s">
        <v>4808</v>
      </c>
    </row>
    <row r="107" ht="15.75" customHeight="1">
      <c r="A107" s="25" t="s">
        <v>4929</v>
      </c>
      <c r="B107" s="25" t="s">
        <v>129</v>
      </c>
      <c r="C107" s="25" t="s">
        <v>104</v>
      </c>
      <c r="D107" s="25" t="s">
        <v>4820</v>
      </c>
      <c r="E107" s="26">
        <v>46095.0</v>
      </c>
      <c r="F107" s="26"/>
      <c r="G107" s="25" t="s">
        <v>3855</v>
      </c>
      <c r="H107" s="25" t="s">
        <v>2246</v>
      </c>
      <c r="I107" s="25" t="s">
        <v>4821</v>
      </c>
      <c r="J107" s="29">
        <v>48.0</v>
      </c>
      <c r="K107" s="29">
        <f t="shared" si="1"/>
        <v>1512</v>
      </c>
      <c r="L107" s="25" t="str">
        <f t="shared" si="2"/>
        <v>Breach</v>
      </c>
      <c r="M107" s="25" t="s">
        <v>4822</v>
      </c>
    </row>
    <row r="108" ht="15.75" customHeight="1">
      <c r="A108" s="61" t="s">
        <v>4930</v>
      </c>
      <c r="B108" s="61" t="s">
        <v>1023</v>
      </c>
      <c r="C108" s="61" t="s">
        <v>999</v>
      </c>
      <c r="D108" s="61" t="s">
        <v>4820</v>
      </c>
      <c r="E108" s="62">
        <v>46097.0</v>
      </c>
      <c r="F108" s="62">
        <v>46098.25</v>
      </c>
      <c r="G108" s="61" t="s">
        <v>3847</v>
      </c>
      <c r="H108" s="61" t="s">
        <v>2246</v>
      </c>
      <c r="I108" s="61" t="s">
        <v>4804</v>
      </c>
      <c r="J108" s="63">
        <v>72.0</v>
      </c>
      <c r="K108" s="63">
        <f t="shared" si="1"/>
        <v>30</v>
      </c>
      <c r="L108" s="61" t="str">
        <f t="shared" si="2"/>
        <v>OK</v>
      </c>
      <c r="M108" s="61" t="s">
        <v>4822</v>
      </c>
    </row>
    <row r="109" ht="15.75" customHeight="1">
      <c r="A109" s="25" t="s">
        <v>4931</v>
      </c>
      <c r="B109" s="25" t="s">
        <v>624</v>
      </c>
      <c r="C109" s="25" t="s">
        <v>544</v>
      </c>
      <c r="D109" s="25" t="s">
        <v>4820</v>
      </c>
      <c r="E109" s="26">
        <v>46037.0</v>
      </c>
      <c r="F109" s="26">
        <v>46037.58333333334</v>
      </c>
      <c r="G109" s="25" t="s">
        <v>3855</v>
      </c>
      <c r="H109" s="25" t="s">
        <v>2246</v>
      </c>
      <c r="I109" s="25" t="s">
        <v>4804</v>
      </c>
      <c r="J109" s="29">
        <v>24.0</v>
      </c>
      <c r="K109" s="29">
        <f t="shared" si="1"/>
        <v>14</v>
      </c>
      <c r="L109" s="25" t="str">
        <f t="shared" si="2"/>
        <v>OK</v>
      </c>
      <c r="M109" s="25" t="s">
        <v>4822</v>
      </c>
    </row>
    <row r="110" ht="15.75" customHeight="1">
      <c r="A110" s="61" t="s">
        <v>4932</v>
      </c>
      <c r="B110" s="61" t="s">
        <v>292</v>
      </c>
      <c r="C110" s="61" t="s">
        <v>293</v>
      </c>
      <c r="D110" s="61" t="s">
        <v>4831</v>
      </c>
      <c r="E110" s="62">
        <v>46075.0</v>
      </c>
      <c r="F110" s="62"/>
      <c r="G110" s="61" t="s">
        <v>3851</v>
      </c>
      <c r="H110" s="61" t="s">
        <v>2246</v>
      </c>
      <c r="I110" s="61" t="s">
        <v>4816</v>
      </c>
      <c r="J110" s="63">
        <v>96.0</v>
      </c>
      <c r="K110" s="63">
        <f t="shared" si="1"/>
        <v>1992</v>
      </c>
      <c r="L110" s="61" t="str">
        <f t="shared" si="2"/>
        <v>Breach</v>
      </c>
      <c r="M110" s="61" t="s">
        <v>4832</v>
      </c>
    </row>
    <row r="111" ht="15.75" customHeight="1">
      <c r="A111" s="25" t="s">
        <v>4933</v>
      </c>
      <c r="B111" s="25" t="s">
        <v>240</v>
      </c>
      <c r="C111" s="25" t="s">
        <v>179</v>
      </c>
      <c r="D111" s="25" t="s">
        <v>4831</v>
      </c>
      <c r="E111" s="26">
        <v>46112.0</v>
      </c>
      <c r="F111" s="26"/>
      <c r="G111" s="25" t="s">
        <v>3855</v>
      </c>
      <c r="H111" s="25" t="s">
        <v>2246</v>
      </c>
      <c r="I111" s="25" t="s">
        <v>4821</v>
      </c>
      <c r="J111" s="29">
        <v>96.0</v>
      </c>
      <c r="K111" s="29">
        <f t="shared" si="1"/>
        <v>1104</v>
      </c>
      <c r="L111" s="25" t="str">
        <f t="shared" si="2"/>
        <v>Breach</v>
      </c>
      <c r="M111" s="25" t="s">
        <v>4832</v>
      </c>
    </row>
    <row r="112" ht="15.75" customHeight="1">
      <c r="A112" s="61" t="s">
        <v>4934</v>
      </c>
      <c r="B112" s="61" t="s">
        <v>746</v>
      </c>
      <c r="C112" s="61" t="s">
        <v>735</v>
      </c>
      <c r="D112" s="61" t="s">
        <v>4810</v>
      </c>
      <c r="E112" s="62">
        <v>46058.0</v>
      </c>
      <c r="F112" s="62"/>
      <c r="G112" s="61" t="s">
        <v>4811</v>
      </c>
      <c r="H112" s="61" t="s">
        <v>2247</v>
      </c>
      <c r="I112" s="61" t="s">
        <v>4816</v>
      </c>
      <c r="J112" s="63">
        <v>96.0</v>
      </c>
      <c r="K112" s="63">
        <f t="shared" si="1"/>
        <v>2400</v>
      </c>
      <c r="L112" s="61" t="str">
        <f t="shared" si="2"/>
        <v>Breach</v>
      </c>
      <c r="M112" s="61" t="s">
        <v>4813</v>
      </c>
    </row>
    <row r="113" ht="15.75" customHeight="1">
      <c r="A113" s="25" t="s">
        <v>4935</v>
      </c>
      <c r="B113" s="25" t="s">
        <v>119</v>
      </c>
      <c r="C113" s="25" t="s">
        <v>104</v>
      </c>
      <c r="D113" s="25" t="s">
        <v>4810</v>
      </c>
      <c r="E113" s="26">
        <v>46128.0</v>
      </c>
      <c r="F113" s="26"/>
      <c r="G113" s="25" t="s">
        <v>3851</v>
      </c>
      <c r="H113" s="25" t="s">
        <v>2246</v>
      </c>
      <c r="I113" s="25" t="s">
        <v>4816</v>
      </c>
      <c r="J113" s="29">
        <v>96.0</v>
      </c>
      <c r="K113" s="29">
        <f t="shared" si="1"/>
        <v>720</v>
      </c>
      <c r="L113" s="25" t="str">
        <f t="shared" si="2"/>
        <v>Breach</v>
      </c>
      <c r="M113" s="25" t="s">
        <v>4813</v>
      </c>
    </row>
    <row r="114" ht="15.75" customHeight="1">
      <c r="A114" s="61" t="s">
        <v>4936</v>
      </c>
      <c r="B114" s="61" t="s">
        <v>82</v>
      </c>
      <c r="C114" s="61" t="s">
        <v>83</v>
      </c>
      <c r="D114" s="61" t="s">
        <v>4807</v>
      </c>
      <c r="E114" s="62">
        <v>46091.0</v>
      </c>
      <c r="F114" s="62">
        <v>46093.75</v>
      </c>
      <c r="G114" s="61" t="s">
        <v>3851</v>
      </c>
      <c r="H114" s="61" t="s">
        <v>2246</v>
      </c>
      <c r="I114" s="61" t="s">
        <v>4812</v>
      </c>
      <c r="J114" s="63">
        <v>24.0</v>
      </c>
      <c r="K114" s="63">
        <f t="shared" si="1"/>
        <v>66</v>
      </c>
      <c r="L114" s="61" t="str">
        <f t="shared" si="2"/>
        <v>Breach</v>
      </c>
      <c r="M114" s="61" t="s">
        <v>4808</v>
      </c>
    </row>
    <row r="115" ht="15.75" customHeight="1">
      <c r="A115" s="25" t="s">
        <v>4937</v>
      </c>
      <c r="B115" s="25" t="s">
        <v>699</v>
      </c>
      <c r="C115" s="25" t="s">
        <v>700</v>
      </c>
      <c r="D115" s="25" t="s">
        <v>4807</v>
      </c>
      <c r="E115" s="26">
        <v>46060.0</v>
      </c>
      <c r="F115" s="26">
        <v>46061.875</v>
      </c>
      <c r="G115" s="25" t="s">
        <v>3855</v>
      </c>
      <c r="H115" s="25" t="s">
        <v>2246</v>
      </c>
      <c r="I115" s="25" t="s">
        <v>4812</v>
      </c>
      <c r="J115" s="29">
        <v>24.0</v>
      </c>
      <c r="K115" s="29">
        <f t="shared" si="1"/>
        <v>45</v>
      </c>
      <c r="L115" s="25" t="str">
        <f t="shared" si="2"/>
        <v>Breach</v>
      </c>
      <c r="M115" s="25" t="s">
        <v>4808</v>
      </c>
    </row>
    <row r="116" ht="15.75" customHeight="1">
      <c r="A116" s="61" t="s">
        <v>4938</v>
      </c>
      <c r="B116" s="61" t="s">
        <v>789</v>
      </c>
      <c r="C116" s="61" t="s">
        <v>729</v>
      </c>
      <c r="D116" s="61" t="s">
        <v>4803</v>
      </c>
      <c r="E116" s="62">
        <v>46152.0</v>
      </c>
      <c r="F116" s="62">
        <v>46155.25</v>
      </c>
      <c r="G116" s="61" t="s">
        <v>3847</v>
      </c>
      <c r="H116" s="61" t="s">
        <v>2247</v>
      </c>
      <c r="I116" s="61" t="s">
        <v>4804</v>
      </c>
      <c r="J116" s="63">
        <v>48.0</v>
      </c>
      <c r="K116" s="63">
        <f t="shared" si="1"/>
        <v>78</v>
      </c>
      <c r="L116" s="61" t="str">
        <f t="shared" si="2"/>
        <v>Breach</v>
      </c>
      <c r="M116" s="61" t="s">
        <v>4805</v>
      </c>
    </row>
    <row r="117" ht="15.75" customHeight="1">
      <c r="A117" s="25" t="s">
        <v>4939</v>
      </c>
      <c r="B117" s="25" t="s">
        <v>630</v>
      </c>
      <c r="C117" s="25" t="s">
        <v>566</v>
      </c>
      <c r="D117" s="25" t="s">
        <v>4820</v>
      </c>
      <c r="E117" s="26">
        <v>46105.0</v>
      </c>
      <c r="F117" s="26">
        <v>46106.95833333334</v>
      </c>
      <c r="G117" s="25" t="s">
        <v>4826</v>
      </c>
      <c r="H117" s="25" t="s">
        <v>2246</v>
      </c>
      <c r="I117" s="25" t="s">
        <v>4804</v>
      </c>
      <c r="J117" s="29">
        <v>48.0</v>
      </c>
      <c r="K117" s="29">
        <f t="shared" si="1"/>
        <v>47</v>
      </c>
      <c r="L117" s="25" t="str">
        <f t="shared" si="2"/>
        <v>OK</v>
      </c>
      <c r="M117" s="25" t="s">
        <v>4822</v>
      </c>
    </row>
    <row r="118" ht="15.75" customHeight="1">
      <c r="A118" s="61" t="s">
        <v>4940</v>
      </c>
      <c r="B118" s="61" t="s">
        <v>143</v>
      </c>
      <c r="C118" s="61" t="s">
        <v>73</v>
      </c>
      <c r="D118" s="61" t="s">
        <v>4820</v>
      </c>
      <c r="E118" s="62">
        <v>46048.0</v>
      </c>
      <c r="F118" s="62"/>
      <c r="G118" s="61" t="s">
        <v>3855</v>
      </c>
      <c r="H118" s="61" t="s">
        <v>2246</v>
      </c>
      <c r="I118" s="61" t="s">
        <v>4816</v>
      </c>
      <c r="J118" s="63">
        <v>48.0</v>
      </c>
      <c r="K118" s="63">
        <f t="shared" si="1"/>
        <v>2640</v>
      </c>
      <c r="L118" s="61" t="str">
        <f t="shared" si="2"/>
        <v>Breach</v>
      </c>
      <c r="M118" s="61" t="s">
        <v>4822</v>
      </c>
    </row>
    <row r="119" ht="15.75" customHeight="1">
      <c r="A119" s="25" t="s">
        <v>4941</v>
      </c>
      <c r="B119" s="25" t="s">
        <v>353</v>
      </c>
      <c r="C119" s="25" t="s">
        <v>299</v>
      </c>
      <c r="D119" s="25" t="s">
        <v>4803</v>
      </c>
      <c r="E119" s="26">
        <v>46142.0</v>
      </c>
      <c r="F119" s="26"/>
      <c r="G119" s="25" t="s">
        <v>4811</v>
      </c>
      <c r="H119" s="25" t="s">
        <v>2246</v>
      </c>
      <c r="I119" s="25" t="s">
        <v>4821</v>
      </c>
      <c r="J119" s="29">
        <v>96.0</v>
      </c>
      <c r="K119" s="29">
        <f t="shared" si="1"/>
        <v>384</v>
      </c>
      <c r="L119" s="25" t="str">
        <f t="shared" si="2"/>
        <v>Breach</v>
      </c>
      <c r="M119" s="25" t="s">
        <v>4805</v>
      </c>
    </row>
    <row r="120" ht="15.75" customHeight="1">
      <c r="A120" s="61" t="s">
        <v>4942</v>
      </c>
      <c r="B120" s="61" t="s">
        <v>1038</v>
      </c>
      <c r="C120" s="61" t="s">
        <v>1039</v>
      </c>
      <c r="D120" s="61" t="s">
        <v>4810</v>
      </c>
      <c r="E120" s="62">
        <v>46061.0</v>
      </c>
      <c r="F120" s="62"/>
      <c r="G120" s="61" t="s">
        <v>4811</v>
      </c>
      <c r="H120" s="61" t="s">
        <v>2246</v>
      </c>
      <c r="I120" s="61" t="s">
        <v>4821</v>
      </c>
      <c r="J120" s="63">
        <v>24.0</v>
      </c>
      <c r="K120" s="63">
        <f t="shared" si="1"/>
        <v>2328</v>
      </c>
      <c r="L120" s="61" t="str">
        <f t="shared" si="2"/>
        <v>Breach</v>
      </c>
      <c r="M120" s="61" t="s">
        <v>4813</v>
      </c>
    </row>
    <row r="121" ht="15.75" customHeight="1">
      <c r="A121" s="25" t="s">
        <v>4943</v>
      </c>
      <c r="B121" s="25" t="s">
        <v>959</v>
      </c>
      <c r="C121" s="25" t="s">
        <v>957</v>
      </c>
      <c r="D121" s="25" t="s">
        <v>4810</v>
      </c>
      <c r="E121" s="26">
        <v>46074.0</v>
      </c>
      <c r="F121" s="26">
        <v>46078.375</v>
      </c>
      <c r="G121" s="25" t="s">
        <v>3851</v>
      </c>
      <c r="H121" s="25" t="s">
        <v>2246</v>
      </c>
      <c r="I121" s="25" t="s">
        <v>4804</v>
      </c>
      <c r="J121" s="29">
        <v>96.0</v>
      </c>
      <c r="K121" s="29">
        <f t="shared" si="1"/>
        <v>105</v>
      </c>
      <c r="L121" s="25" t="str">
        <f t="shared" si="2"/>
        <v>Breach</v>
      </c>
      <c r="M121" s="25" t="s">
        <v>4813</v>
      </c>
    </row>
    <row r="122" ht="15.75" customHeight="1">
      <c r="A122" s="61" t="s">
        <v>4944</v>
      </c>
      <c r="B122" s="61" t="s">
        <v>433</v>
      </c>
      <c r="C122" s="61" t="s">
        <v>314</v>
      </c>
      <c r="D122" s="61" t="s">
        <v>4825</v>
      </c>
      <c r="E122" s="62">
        <v>46044.0</v>
      </c>
      <c r="F122" s="62"/>
      <c r="G122" s="61" t="s">
        <v>3855</v>
      </c>
      <c r="H122" s="61" t="s">
        <v>2246</v>
      </c>
      <c r="I122" s="61" t="s">
        <v>4821</v>
      </c>
      <c r="J122" s="63">
        <v>48.0</v>
      </c>
      <c r="K122" s="63">
        <f t="shared" si="1"/>
        <v>2736</v>
      </c>
      <c r="L122" s="61" t="str">
        <f t="shared" si="2"/>
        <v>Breach</v>
      </c>
      <c r="M122" s="61" t="s">
        <v>4827</v>
      </c>
    </row>
    <row r="123" ht="15.75" customHeight="1">
      <c r="A123" s="25" t="s">
        <v>4945</v>
      </c>
      <c r="B123" s="25" t="s">
        <v>889</v>
      </c>
      <c r="C123" s="25" t="s">
        <v>855</v>
      </c>
      <c r="D123" s="25" t="s">
        <v>4831</v>
      </c>
      <c r="E123" s="26">
        <v>46152.0</v>
      </c>
      <c r="F123" s="26"/>
      <c r="G123" s="25" t="s">
        <v>4811</v>
      </c>
      <c r="H123" s="25" t="s">
        <v>2246</v>
      </c>
      <c r="I123" s="25" t="s">
        <v>4821</v>
      </c>
      <c r="J123" s="29">
        <v>48.0</v>
      </c>
      <c r="K123" s="29">
        <f t="shared" si="1"/>
        <v>144</v>
      </c>
      <c r="L123" s="25" t="str">
        <f t="shared" si="2"/>
        <v>Breach</v>
      </c>
      <c r="M123" s="25" t="s">
        <v>4832</v>
      </c>
    </row>
    <row r="124" ht="15.75" customHeight="1">
      <c r="A124" s="61" t="s">
        <v>4946</v>
      </c>
      <c r="B124" s="61" t="s">
        <v>762</v>
      </c>
      <c r="C124" s="61" t="s">
        <v>729</v>
      </c>
      <c r="D124" s="61" t="s">
        <v>4810</v>
      </c>
      <c r="E124" s="62">
        <v>46058.0</v>
      </c>
      <c r="F124" s="62"/>
      <c r="G124" s="61" t="s">
        <v>4826</v>
      </c>
      <c r="H124" s="61" t="s">
        <v>2246</v>
      </c>
      <c r="I124" s="61" t="s">
        <v>4821</v>
      </c>
      <c r="J124" s="63">
        <v>24.0</v>
      </c>
      <c r="K124" s="63">
        <f t="shared" si="1"/>
        <v>2400</v>
      </c>
      <c r="L124" s="61" t="str">
        <f t="shared" si="2"/>
        <v>Breach</v>
      </c>
      <c r="M124" s="61" t="s">
        <v>4813</v>
      </c>
    </row>
    <row r="125" ht="15.75" customHeight="1">
      <c r="A125" s="25" t="s">
        <v>4947</v>
      </c>
      <c r="B125" s="25" t="s">
        <v>501</v>
      </c>
      <c r="C125" s="25" t="s">
        <v>464</v>
      </c>
      <c r="D125" s="25" t="s">
        <v>4831</v>
      </c>
      <c r="E125" s="26">
        <v>46061.0</v>
      </c>
      <c r="F125" s="26"/>
      <c r="G125" s="25" t="s">
        <v>3855</v>
      </c>
      <c r="H125" s="25" t="s">
        <v>2246</v>
      </c>
      <c r="I125" s="25" t="s">
        <v>4816</v>
      </c>
      <c r="J125" s="29">
        <v>72.0</v>
      </c>
      <c r="K125" s="29">
        <f t="shared" si="1"/>
        <v>2328</v>
      </c>
      <c r="L125" s="25" t="str">
        <f t="shared" si="2"/>
        <v>Breach</v>
      </c>
      <c r="M125" s="25" t="s">
        <v>4832</v>
      </c>
    </row>
    <row r="126" ht="15.75" customHeight="1">
      <c r="A126" s="61" t="s">
        <v>4948</v>
      </c>
      <c r="B126" s="61" t="s">
        <v>632</v>
      </c>
      <c r="C126" s="61" t="s">
        <v>575</v>
      </c>
      <c r="D126" s="61" t="s">
        <v>4803</v>
      </c>
      <c r="E126" s="62">
        <v>46052.0</v>
      </c>
      <c r="F126" s="62">
        <v>46052.75</v>
      </c>
      <c r="G126" s="61" t="s">
        <v>3847</v>
      </c>
      <c r="H126" s="61" t="s">
        <v>2246</v>
      </c>
      <c r="I126" s="61" t="s">
        <v>4804</v>
      </c>
      <c r="J126" s="63">
        <v>24.0</v>
      </c>
      <c r="K126" s="63">
        <f t="shared" si="1"/>
        <v>18</v>
      </c>
      <c r="L126" s="61" t="str">
        <f t="shared" si="2"/>
        <v>OK</v>
      </c>
      <c r="M126" s="61" t="s">
        <v>4805</v>
      </c>
    </row>
    <row r="127" ht="15.75" customHeight="1">
      <c r="A127" s="25" t="s">
        <v>4949</v>
      </c>
      <c r="B127" s="25" t="s">
        <v>777</v>
      </c>
      <c r="C127" s="25" t="s">
        <v>712</v>
      </c>
      <c r="D127" s="25" t="s">
        <v>4831</v>
      </c>
      <c r="E127" s="26">
        <v>46115.0</v>
      </c>
      <c r="F127" s="26"/>
      <c r="G127" s="25" t="s">
        <v>3855</v>
      </c>
      <c r="H127" s="25" t="s">
        <v>2246</v>
      </c>
      <c r="I127" s="25" t="s">
        <v>4816</v>
      </c>
      <c r="J127" s="29">
        <v>48.0</v>
      </c>
      <c r="K127" s="29">
        <f t="shared" si="1"/>
        <v>1032</v>
      </c>
      <c r="L127" s="25" t="str">
        <f t="shared" si="2"/>
        <v>Breach</v>
      </c>
      <c r="M127" s="25" t="s">
        <v>4832</v>
      </c>
    </row>
    <row r="128" ht="15.75" customHeight="1">
      <c r="A128" s="61" t="s">
        <v>4950</v>
      </c>
      <c r="B128" s="61" t="s">
        <v>1015</v>
      </c>
      <c r="C128" s="61" t="s">
        <v>999</v>
      </c>
      <c r="D128" s="61" t="s">
        <v>4815</v>
      </c>
      <c r="E128" s="62">
        <v>46152.0</v>
      </c>
      <c r="F128" s="62">
        <v>46153.45833333334</v>
      </c>
      <c r="G128" s="61" t="s">
        <v>3851</v>
      </c>
      <c r="H128" s="61" t="s">
        <v>2246</v>
      </c>
      <c r="I128" s="61" t="s">
        <v>4812</v>
      </c>
      <c r="J128" s="63">
        <v>48.0</v>
      </c>
      <c r="K128" s="63">
        <f t="shared" si="1"/>
        <v>35</v>
      </c>
      <c r="L128" s="61" t="str">
        <f t="shared" si="2"/>
        <v>OK</v>
      </c>
      <c r="M128" s="61" t="s">
        <v>4817</v>
      </c>
    </row>
    <row r="129" ht="15.75" customHeight="1">
      <c r="A129" s="25" t="s">
        <v>4951</v>
      </c>
      <c r="B129" s="25" t="s">
        <v>130</v>
      </c>
      <c r="C129" s="25" t="s">
        <v>87</v>
      </c>
      <c r="D129" s="25" t="s">
        <v>4803</v>
      </c>
      <c r="E129" s="26">
        <v>46109.0</v>
      </c>
      <c r="F129" s="26">
        <v>46109.45833333334</v>
      </c>
      <c r="G129" s="25" t="s">
        <v>3855</v>
      </c>
      <c r="H129" s="25" t="s">
        <v>2246</v>
      </c>
      <c r="I129" s="25" t="s">
        <v>4804</v>
      </c>
      <c r="J129" s="29">
        <v>96.0</v>
      </c>
      <c r="K129" s="29">
        <f t="shared" si="1"/>
        <v>11</v>
      </c>
      <c r="L129" s="25" t="str">
        <f t="shared" si="2"/>
        <v>OK</v>
      </c>
      <c r="M129" s="25" t="s">
        <v>4805</v>
      </c>
    </row>
    <row r="130" ht="15.75" customHeight="1">
      <c r="A130" s="61" t="s">
        <v>4952</v>
      </c>
      <c r="B130" s="61" t="s">
        <v>1002</v>
      </c>
      <c r="C130" s="61" t="s">
        <v>988</v>
      </c>
      <c r="D130" s="61" t="s">
        <v>4810</v>
      </c>
      <c r="E130" s="62">
        <v>46132.0</v>
      </c>
      <c r="F130" s="62">
        <v>46136.29166666666</v>
      </c>
      <c r="G130" s="61" t="s">
        <v>3851</v>
      </c>
      <c r="H130" s="61" t="s">
        <v>2247</v>
      </c>
      <c r="I130" s="61" t="s">
        <v>4804</v>
      </c>
      <c r="J130" s="63">
        <v>96.0</v>
      </c>
      <c r="K130" s="63">
        <f t="shared" si="1"/>
        <v>103</v>
      </c>
      <c r="L130" s="61" t="str">
        <f t="shared" si="2"/>
        <v>Breach</v>
      </c>
      <c r="M130" s="61" t="s">
        <v>4813</v>
      </c>
    </row>
    <row r="131" ht="15.75" customHeight="1">
      <c r="A131" s="25" t="s">
        <v>4953</v>
      </c>
      <c r="B131" s="25" t="s">
        <v>1163</v>
      </c>
      <c r="C131" s="25" t="s">
        <v>1126</v>
      </c>
      <c r="D131" s="25" t="s">
        <v>4831</v>
      </c>
      <c r="E131" s="26">
        <v>46060.0</v>
      </c>
      <c r="F131" s="26">
        <v>46063.04166666666</v>
      </c>
      <c r="G131" s="25" t="s">
        <v>3847</v>
      </c>
      <c r="H131" s="25" t="s">
        <v>2247</v>
      </c>
      <c r="I131" s="25" t="s">
        <v>4812</v>
      </c>
      <c r="J131" s="29">
        <v>24.0</v>
      </c>
      <c r="K131" s="29">
        <f t="shared" si="1"/>
        <v>73</v>
      </c>
      <c r="L131" s="25" t="str">
        <f t="shared" si="2"/>
        <v>Breach</v>
      </c>
      <c r="M131" s="25" t="s">
        <v>4832</v>
      </c>
    </row>
    <row r="132" ht="15.75" customHeight="1">
      <c r="A132" s="61" t="s">
        <v>4954</v>
      </c>
      <c r="B132" s="61" t="s">
        <v>851</v>
      </c>
      <c r="C132" s="61" t="s">
        <v>1133</v>
      </c>
      <c r="D132" s="61" t="s">
        <v>4810</v>
      </c>
      <c r="E132" s="62">
        <v>46135.0</v>
      </c>
      <c r="F132" s="62"/>
      <c r="G132" s="61" t="s">
        <v>3855</v>
      </c>
      <c r="H132" s="61" t="s">
        <v>2246</v>
      </c>
      <c r="I132" s="61" t="s">
        <v>4821</v>
      </c>
      <c r="J132" s="63">
        <v>48.0</v>
      </c>
      <c r="K132" s="63">
        <f t="shared" si="1"/>
        <v>552</v>
      </c>
      <c r="L132" s="61" t="str">
        <f t="shared" si="2"/>
        <v>Breach</v>
      </c>
      <c r="M132" s="61" t="s">
        <v>4813</v>
      </c>
    </row>
    <row r="133" ht="15.75" customHeight="1">
      <c r="A133" s="25" t="s">
        <v>4955</v>
      </c>
      <c r="B133" s="25" t="s">
        <v>225</v>
      </c>
      <c r="C133" s="25" t="s">
        <v>226</v>
      </c>
      <c r="D133" s="25" t="s">
        <v>4815</v>
      </c>
      <c r="E133" s="26">
        <v>46127.0</v>
      </c>
      <c r="F133" s="26">
        <v>46131.125</v>
      </c>
      <c r="G133" s="25" t="s">
        <v>3851</v>
      </c>
      <c r="H133" s="25" t="s">
        <v>2247</v>
      </c>
      <c r="I133" s="25" t="s">
        <v>4804</v>
      </c>
      <c r="J133" s="29">
        <v>96.0</v>
      </c>
      <c r="K133" s="29">
        <f t="shared" si="1"/>
        <v>99</v>
      </c>
      <c r="L133" s="25" t="str">
        <f t="shared" si="2"/>
        <v>Breach</v>
      </c>
      <c r="M133" s="25" t="s">
        <v>4817</v>
      </c>
    </row>
    <row r="134" ht="15.75" customHeight="1">
      <c r="A134" s="61" t="s">
        <v>4956</v>
      </c>
      <c r="B134" s="61" t="s">
        <v>146</v>
      </c>
      <c r="C134" s="61" t="s">
        <v>87</v>
      </c>
      <c r="D134" s="61" t="s">
        <v>4803</v>
      </c>
      <c r="E134" s="62">
        <v>46106.0</v>
      </c>
      <c r="F134" s="62">
        <v>46109.125</v>
      </c>
      <c r="G134" s="61" t="s">
        <v>4811</v>
      </c>
      <c r="H134" s="61" t="s">
        <v>2246</v>
      </c>
      <c r="I134" s="61" t="s">
        <v>4804</v>
      </c>
      <c r="J134" s="63">
        <v>24.0</v>
      </c>
      <c r="K134" s="63">
        <f t="shared" si="1"/>
        <v>75</v>
      </c>
      <c r="L134" s="61" t="str">
        <f t="shared" si="2"/>
        <v>Breach</v>
      </c>
      <c r="M134" s="61" t="s">
        <v>4805</v>
      </c>
    </row>
    <row r="135" ht="15.75" customHeight="1">
      <c r="A135" s="25" t="s">
        <v>4957</v>
      </c>
      <c r="B135" s="25" t="s">
        <v>131</v>
      </c>
      <c r="C135" s="25" t="s">
        <v>80</v>
      </c>
      <c r="D135" s="25" t="s">
        <v>4815</v>
      </c>
      <c r="E135" s="26">
        <v>46056.0</v>
      </c>
      <c r="F135" s="26">
        <v>46056.58333333334</v>
      </c>
      <c r="G135" s="25" t="s">
        <v>4811</v>
      </c>
      <c r="H135" s="25" t="s">
        <v>2246</v>
      </c>
      <c r="I135" s="25" t="s">
        <v>4812</v>
      </c>
      <c r="J135" s="29">
        <v>48.0</v>
      </c>
      <c r="K135" s="29">
        <f t="shared" si="1"/>
        <v>14</v>
      </c>
      <c r="L135" s="25" t="str">
        <f t="shared" si="2"/>
        <v>OK</v>
      </c>
      <c r="M135" s="25" t="s">
        <v>4817</v>
      </c>
    </row>
    <row r="136" ht="15.75" customHeight="1">
      <c r="A136" s="61" t="s">
        <v>4958</v>
      </c>
      <c r="B136" s="61" t="s">
        <v>754</v>
      </c>
      <c r="C136" s="61" t="s">
        <v>706</v>
      </c>
      <c r="D136" s="61" t="s">
        <v>4825</v>
      </c>
      <c r="E136" s="62">
        <v>46111.0</v>
      </c>
      <c r="F136" s="62"/>
      <c r="G136" s="61" t="s">
        <v>3851</v>
      </c>
      <c r="H136" s="61" t="s">
        <v>2247</v>
      </c>
      <c r="I136" s="61" t="s">
        <v>4821</v>
      </c>
      <c r="J136" s="63">
        <v>48.0</v>
      </c>
      <c r="K136" s="63">
        <f t="shared" si="1"/>
        <v>1128</v>
      </c>
      <c r="L136" s="61" t="str">
        <f t="shared" si="2"/>
        <v>Breach</v>
      </c>
      <c r="M136" s="61" t="s">
        <v>4827</v>
      </c>
    </row>
    <row r="137" ht="15.75" customHeight="1">
      <c r="A137" s="25" t="s">
        <v>4959</v>
      </c>
      <c r="B137" s="25" t="s">
        <v>176</v>
      </c>
      <c r="C137" s="25" t="s">
        <v>177</v>
      </c>
      <c r="D137" s="25" t="s">
        <v>4815</v>
      </c>
      <c r="E137" s="26">
        <v>46121.0</v>
      </c>
      <c r="F137" s="26">
        <v>46123.0</v>
      </c>
      <c r="G137" s="25" t="s">
        <v>3847</v>
      </c>
      <c r="H137" s="25" t="s">
        <v>2247</v>
      </c>
      <c r="I137" s="25" t="s">
        <v>4812</v>
      </c>
      <c r="J137" s="29">
        <v>96.0</v>
      </c>
      <c r="K137" s="29">
        <f t="shared" si="1"/>
        <v>48</v>
      </c>
      <c r="L137" s="25" t="str">
        <f t="shared" si="2"/>
        <v>OK</v>
      </c>
      <c r="M137" s="25" t="s">
        <v>4817</v>
      </c>
    </row>
    <row r="138" ht="15.75" customHeight="1">
      <c r="A138" s="61" t="s">
        <v>4960</v>
      </c>
      <c r="B138" s="61" t="s">
        <v>506</v>
      </c>
      <c r="C138" s="61" t="s">
        <v>466</v>
      </c>
      <c r="D138" s="61" t="s">
        <v>4810</v>
      </c>
      <c r="E138" s="62">
        <v>46100.0</v>
      </c>
      <c r="F138" s="62"/>
      <c r="G138" s="61" t="s">
        <v>4826</v>
      </c>
      <c r="H138" s="61" t="s">
        <v>2247</v>
      </c>
      <c r="I138" s="61" t="s">
        <v>4816</v>
      </c>
      <c r="J138" s="63">
        <v>24.0</v>
      </c>
      <c r="K138" s="63">
        <f t="shared" si="1"/>
        <v>1392</v>
      </c>
      <c r="L138" s="61" t="str">
        <f t="shared" si="2"/>
        <v>Breach</v>
      </c>
      <c r="M138" s="61" t="s">
        <v>4813</v>
      </c>
    </row>
    <row r="139" ht="15.75" customHeight="1">
      <c r="A139" s="25" t="s">
        <v>4961</v>
      </c>
      <c r="B139" s="25" t="s">
        <v>966</v>
      </c>
      <c r="C139" s="25" t="s">
        <v>953</v>
      </c>
      <c r="D139" s="25" t="s">
        <v>4825</v>
      </c>
      <c r="E139" s="26">
        <v>46039.0</v>
      </c>
      <c r="F139" s="26"/>
      <c r="G139" s="25" t="s">
        <v>3847</v>
      </c>
      <c r="H139" s="25" t="s">
        <v>2247</v>
      </c>
      <c r="I139" s="25" t="s">
        <v>4821</v>
      </c>
      <c r="J139" s="29">
        <v>96.0</v>
      </c>
      <c r="K139" s="29">
        <f t="shared" si="1"/>
        <v>2856</v>
      </c>
      <c r="L139" s="25" t="str">
        <f t="shared" si="2"/>
        <v>Breach</v>
      </c>
      <c r="M139" s="25" t="s">
        <v>4827</v>
      </c>
    </row>
    <row r="140" ht="15.75" customHeight="1">
      <c r="A140" s="61" t="s">
        <v>4962</v>
      </c>
      <c r="B140" s="61" t="s">
        <v>952</v>
      </c>
      <c r="C140" s="61" t="s">
        <v>953</v>
      </c>
      <c r="D140" s="61" t="s">
        <v>4807</v>
      </c>
      <c r="E140" s="62">
        <v>46038.0</v>
      </c>
      <c r="F140" s="62">
        <v>46041.45833333334</v>
      </c>
      <c r="G140" s="61" t="s">
        <v>4811</v>
      </c>
      <c r="H140" s="61" t="s">
        <v>2246</v>
      </c>
      <c r="I140" s="61" t="s">
        <v>4804</v>
      </c>
      <c r="J140" s="63">
        <v>24.0</v>
      </c>
      <c r="K140" s="63">
        <f t="shared" si="1"/>
        <v>83</v>
      </c>
      <c r="L140" s="61" t="str">
        <f t="shared" si="2"/>
        <v>Breach</v>
      </c>
      <c r="M140" s="61" t="s">
        <v>4808</v>
      </c>
    </row>
    <row r="141" ht="15.75" customHeight="1">
      <c r="A141" s="25" t="s">
        <v>4963</v>
      </c>
      <c r="B141" s="25" t="s">
        <v>284</v>
      </c>
      <c r="C141" s="25" t="s">
        <v>184</v>
      </c>
      <c r="D141" s="25" t="s">
        <v>4810</v>
      </c>
      <c r="E141" s="26">
        <v>46129.0</v>
      </c>
      <c r="F141" s="26"/>
      <c r="G141" s="25" t="s">
        <v>4811</v>
      </c>
      <c r="H141" s="25" t="s">
        <v>2246</v>
      </c>
      <c r="I141" s="25" t="s">
        <v>4816</v>
      </c>
      <c r="J141" s="29">
        <v>96.0</v>
      </c>
      <c r="K141" s="29">
        <f t="shared" si="1"/>
        <v>696</v>
      </c>
      <c r="L141" s="25" t="str">
        <f t="shared" si="2"/>
        <v>Breach</v>
      </c>
      <c r="M141" s="25" t="s">
        <v>4813</v>
      </c>
    </row>
    <row r="142" ht="15.75" customHeight="1">
      <c r="A142" s="61" t="s">
        <v>4964</v>
      </c>
      <c r="B142" s="61" t="s">
        <v>413</v>
      </c>
      <c r="C142" s="61" t="s">
        <v>293</v>
      </c>
      <c r="D142" s="61" t="s">
        <v>4807</v>
      </c>
      <c r="E142" s="62">
        <v>46093.0</v>
      </c>
      <c r="F142" s="62"/>
      <c r="G142" s="61" t="s">
        <v>4811</v>
      </c>
      <c r="H142" s="61" t="s">
        <v>2246</v>
      </c>
      <c r="I142" s="61" t="s">
        <v>4821</v>
      </c>
      <c r="J142" s="63">
        <v>96.0</v>
      </c>
      <c r="K142" s="63">
        <f t="shared" si="1"/>
        <v>1560</v>
      </c>
      <c r="L142" s="61" t="str">
        <f t="shared" si="2"/>
        <v>Breach</v>
      </c>
      <c r="M142" s="61" t="s">
        <v>4808</v>
      </c>
    </row>
    <row r="143" ht="15.75" customHeight="1">
      <c r="A143" s="25" t="s">
        <v>4965</v>
      </c>
      <c r="B143" s="25" t="s">
        <v>227</v>
      </c>
      <c r="C143" s="25" t="s">
        <v>174</v>
      </c>
      <c r="D143" s="25" t="s">
        <v>4815</v>
      </c>
      <c r="E143" s="26">
        <v>46113.0</v>
      </c>
      <c r="F143" s="26"/>
      <c r="G143" s="25" t="s">
        <v>4811</v>
      </c>
      <c r="H143" s="25" t="s">
        <v>2246</v>
      </c>
      <c r="I143" s="25" t="s">
        <v>4821</v>
      </c>
      <c r="J143" s="29">
        <v>48.0</v>
      </c>
      <c r="K143" s="29">
        <f t="shared" si="1"/>
        <v>1080</v>
      </c>
      <c r="L143" s="25" t="str">
        <f t="shared" si="2"/>
        <v>Breach</v>
      </c>
      <c r="M143" s="25" t="s">
        <v>4817</v>
      </c>
    </row>
    <row r="144" ht="15.75" customHeight="1">
      <c r="A144" s="61" t="s">
        <v>4966</v>
      </c>
      <c r="B144" s="61" t="s">
        <v>834</v>
      </c>
      <c r="C144" s="61" t="s">
        <v>702</v>
      </c>
      <c r="D144" s="61" t="s">
        <v>4825</v>
      </c>
      <c r="E144" s="62">
        <v>46121.0</v>
      </c>
      <c r="F144" s="62"/>
      <c r="G144" s="61" t="s">
        <v>3851</v>
      </c>
      <c r="H144" s="61" t="s">
        <v>2246</v>
      </c>
      <c r="I144" s="61" t="s">
        <v>4816</v>
      </c>
      <c r="J144" s="63">
        <v>96.0</v>
      </c>
      <c r="K144" s="63">
        <f t="shared" si="1"/>
        <v>888</v>
      </c>
      <c r="L144" s="61" t="str">
        <f t="shared" si="2"/>
        <v>Breach</v>
      </c>
      <c r="M144" s="61" t="s">
        <v>4827</v>
      </c>
    </row>
    <row r="145" ht="15.75" customHeight="1">
      <c r="A145" s="25" t="s">
        <v>4967</v>
      </c>
      <c r="B145" s="25" t="s">
        <v>627</v>
      </c>
      <c r="C145" s="25" t="s">
        <v>550</v>
      </c>
      <c r="D145" s="25" t="s">
        <v>4810</v>
      </c>
      <c r="E145" s="26">
        <v>46084.0</v>
      </c>
      <c r="F145" s="26">
        <v>46085.45833333334</v>
      </c>
      <c r="G145" s="25" t="s">
        <v>4826</v>
      </c>
      <c r="H145" s="25" t="s">
        <v>2246</v>
      </c>
      <c r="I145" s="25" t="s">
        <v>4812</v>
      </c>
      <c r="J145" s="29">
        <v>48.0</v>
      </c>
      <c r="K145" s="29">
        <f t="shared" si="1"/>
        <v>35</v>
      </c>
      <c r="L145" s="25" t="str">
        <f t="shared" si="2"/>
        <v>OK</v>
      </c>
      <c r="M145" s="25" t="s">
        <v>4813</v>
      </c>
    </row>
    <row r="146" ht="15.75" customHeight="1">
      <c r="A146" s="61" t="s">
        <v>4968</v>
      </c>
      <c r="B146" s="61" t="s">
        <v>392</v>
      </c>
      <c r="C146" s="61" t="s">
        <v>301</v>
      </c>
      <c r="D146" s="61" t="s">
        <v>4820</v>
      </c>
      <c r="E146" s="62">
        <v>46079.0</v>
      </c>
      <c r="F146" s="62">
        <v>46079.29166666666</v>
      </c>
      <c r="G146" s="61" t="s">
        <v>3851</v>
      </c>
      <c r="H146" s="61" t="s">
        <v>2246</v>
      </c>
      <c r="I146" s="61" t="s">
        <v>4812</v>
      </c>
      <c r="J146" s="63">
        <v>48.0</v>
      </c>
      <c r="K146" s="63">
        <f t="shared" si="1"/>
        <v>7</v>
      </c>
      <c r="L146" s="61" t="str">
        <f t="shared" si="2"/>
        <v>OK</v>
      </c>
      <c r="M146" s="61" t="s">
        <v>4822</v>
      </c>
    </row>
    <row r="147" ht="15.75" customHeight="1">
      <c r="A147" s="25" t="s">
        <v>4969</v>
      </c>
      <c r="B147" s="25" t="s">
        <v>821</v>
      </c>
      <c r="C147" s="25" t="s">
        <v>735</v>
      </c>
      <c r="D147" s="25" t="s">
        <v>4881</v>
      </c>
      <c r="E147" s="26">
        <v>46075.0</v>
      </c>
      <c r="F147" s="26">
        <v>46076.125</v>
      </c>
      <c r="G147" s="25" t="s">
        <v>3851</v>
      </c>
      <c r="H147" s="25" t="s">
        <v>2246</v>
      </c>
      <c r="I147" s="25" t="s">
        <v>4812</v>
      </c>
      <c r="J147" s="29">
        <v>96.0</v>
      </c>
      <c r="K147" s="29">
        <f t="shared" si="1"/>
        <v>27</v>
      </c>
      <c r="L147" s="25" t="str">
        <f t="shared" si="2"/>
        <v>OK</v>
      </c>
      <c r="M147" s="25" t="s">
        <v>4882</v>
      </c>
    </row>
    <row r="148" ht="15.75" customHeight="1">
      <c r="A148" s="61" t="s">
        <v>4970</v>
      </c>
      <c r="B148" s="61" t="s">
        <v>445</v>
      </c>
      <c r="C148" s="61" t="s">
        <v>446</v>
      </c>
      <c r="D148" s="61" t="s">
        <v>4820</v>
      </c>
      <c r="E148" s="62">
        <v>46133.0</v>
      </c>
      <c r="F148" s="62">
        <v>46133.54166666666</v>
      </c>
      <c r="G148" s="61" t="s">
        <v>3847</v>
      </c>
      <c r="H148" s="61" t="s">
        <v>2246</v>
      </c>
      <c r="I148" s="61" t="s">
        <v>4804</v>
      </c>
      <c r="J148" s="63">
        <v>48.0</v>
      </c>
      <c r="K148" s="63">
        <f t="shared" si="1"/>
        <v>13</v>
      </c>
      <c r="L148" s="61" t="str">
        <f t="shared" si="2"/>
        <v>OK</v>
      </c>
      <c r="M148" s="61" t="s">
        <v>4822</v>
      </c>
    </row>
    <row r="149" ht="15.75" customHeight="1">
      <c r="A149" s="25" t="s">
        <v>4971</v>
      </c>
      <c r="B149" s="25" t="s">
        <v>772</v>
      </c>
      <c r="C149" s="25" t="s">
        <v>700</v>
      </c>
      <c r="D149" s="25" t="s">
        <v>4810</v>
      </c>
      <c r="E149" s="26">
        <v>46091.0</v>
      </c>
      <c r="F149" s="26"/>
      <c r="G149" s="25" t="s">
        <v>4826</v>
      </c>
      <c r="H149" s="25" t="s">
        <v>2246</v>
      </c>
      <c r="I149" s="25" t="s">
        <v>4821</v>
      </c>
      <c r="J149" s="29">
        <v>48.0</v>
      </c>
      <c r="K149" s="29">
        <f t="shared" si="1"/>
        <v>1608</v>
      </c>
      <c r="L149" s="25" t="str">
        <f t="shared" si="2"/>
        <v>Breach</v>
      </c>
      <c r="M149" s="25" t="s">
        <v>4813</v>
      </c>
    </row>
    <row r="150" ht="15.75" customHeight="1">
      <c r="A150" s="61" t="s">
        <v>4972</v>
      </c>
      <c r="B150" s="61" t="s">
        <v>611</v>
      </c>
      <c r="C150" s="61" t="s">
        <v>553</v>
      </c>
      <c r="D150" s="61" t="s">
        <v>4807</v>
      </c>
      <c r="E150" s="62">
        <v>46114.0</v>
      </c>
      <c r="F150" s="62"/>
      <c r="G150" s="61" t="s">
        <v>3851</v>
      </c>
      <c r="H150" s="61" t="s">
        <v>2246</v>
      </c>
      <c r="I150" s="61" t="s">
        <v>4821</v>
      </c>
      <c r="J150" s="63">
        <v>72.0</v>
      </c>
      <c r="K150" s="63">
        <f t="shared" si="1"/>
        <v>1056</v>
      </c>
      <c r="L150" s="61" t="str">
        <f t="shared" si="2"/>
        <v>Breach</v>
      </c>
      <c r="M150" s="61" t="s">
        <v>4808</v>
      </c>
    </row>
    <row r="151" ht="15.75" customHeight="1">
      <c r="A151" s="25" t="s">
        <v>4973</v>
      </c>
      <c r="B151" s="25" t="s">
        <v>473</v>
      </c>
      <c r="C151" s="25" t="s">
        <v>444</v>
      </c>
      <c r="D151" s="25" t="s">
        <v>4831</v>
      </c>
      <c r="E151" s="26">
        <v>46103.0</v>
      </c>
      <c r="F151" s="26">
        <v>46105.875</v>
      </c>
      <c r="G151" s="25" t="s">
        <v>3851</v>
      </c>
      <c r="H151" s="25" t="s">
        <v>2246</v>
      </c>
      <c r="I151" s="25" t="s">
        <v>4804</v>
      </c>
      <c r="J151" s="29">
        <v>48.0</v>
      </c>
      <c r="K151" s="29">
        <f t="shared" si="1"/>
        <v>69</v>
      </c>
      <c r="L151" s="25" t="str">
        <f t="shared" si="2"/>
        <v>Breach</v>
      </c>
      <c r="M151" s="25" t="s">
        <v>4832</v>
      </c>
    </row>
    <row r="152" ht="15.75" customHeight="1">
      <c r="A152" s="61" t="s">
        <v>4974</v>
      </c>
      <c r="B152" s="61" t="s">
        <v>173</v>
      </c>
      <c r="C152" s="61" t="s">
        <v>174</v>
      </c>
      <c r="D152" s="61" t="s">
        <v>4831</v>
      </c>
      <c r="E152" s="62">
        <v>46059.0</v>
      </c>
      <c r="F152" s="62">
        <v>46063.41666666666</v>
      </c>
      <c r="G152" s="61" t="s">
        <v>3847</v>
      </c>
      <c r="H152" s="61" t="s">
        <v>2246</v>
      </c>
      <c r="I152" s="61" t="s">
        <v>4812</v>
      </c>
      <c r="J152" s="63">
        <v>24.0</v>
      </c>
      <c r="K152" s="63">
        <f t="shared" si="1"/>
        <v>106</v>
      </c>
      <c r="L152" s="61" t="str">
        <f t="shared" si="2"/>
        <v>Breach</v>
      </c>
      <c r="M152" s="61" t="s">
        <v>4832</v>
      </c>
    </row>
    <row r="153" ht="15.75" customHeight="1">
      <c r="A153" s="25" t="s">
        <v>4975</v>
      </c>
      <c r="B153" s="25" t="s">
        <v>375</v>
      </c>
      <c r="C153" s="25" t="s">
        <v>314</v>
      </c>
      <c r="D153" s="25" t="s">
        <v>4807</v>
      </c>
      <c r="E153" s="26">
        <v>46046.0</v>
      </c>
      <c r="F153" s="26"/>
      <c r="G153" s="25" t="s">
        <v>3847</v>
      </c>
      <c r="H153" s="25" t="s">
        <v>2247</v>
      </c>
      <c r="I153" s="25" t="s">
        <v>4821</v>
      </c>
      <c r="J153" s="29">
        <v>24.0</v>
      </c>
      <c r="K153" s="29">
        <f t="shared" si="1"/>
        <v>2688</v>
      </c>
      <c r="L153" s="25" t="str">
        <f t="shared" si="2"/>
        <v>Breach</v>
      </c>
      <c r="M153" s="25" t="s">
        <v>4808</v>
      </c>
    </row>
    <row r="154" ht="15.75" customHeight="1">
      <c r="A154" s="61" t="s">
        <v>4976</v>
      </c>
      <c r="B154" s="61" t="s">
        <v>1149</v>
      </c>
      <c r="C154" s="61" t="s">
        <v>1131</v>
      </c>
      <c r="D154" s="61" t="s">
        <v>4810</v>
      </c>
      <c r="E154" s="62">
        <v>46114.0</v>
      </c>
      <c r="F154" s="62">
        <v>46117.375</v>
      </c>
      <c r="G154" s="61" t="s">
        <v>4811</v>
      </c>
      <c r="H154" s="61" t="s">
        <v>2246</v>
      </c>
      <c r="I154" s="61" t="s">
        <v>4812</v>
      </c>
      <c r="J154" s="63">
        <v>72.0</v>
      </c>
      <c r="K154" s="63">
        <f t="shared" si="1"/>
        <v>81</v>
      </c>
      <c r="L154" s="61" t="str">
        <f t="shared" si="2"/>
        <v>Breach</v>
      </c>
      <c r="M154" s="61" t="s">
        <v>4813</v>
      </c>
    </row>
    <row r="155" ht="15.75" customHeight="1">
      <c r="A155" s="25" t="s">
        <v>4977</v>
      </c>
      <c r="B155" s="25" t="s">
        <v>1103</v>
      </c>
      <c r="C155" s="25" t="s">
        <v>1077</v>
      </c>
      <c r="D155" s="25" t="s">
        <v>4881</v>
      </c>
      <c r="E155" s="26">
        <v>46100.0</v>
      </c>
      <c r="F155" s="26"/>
      <c r="G155" s="25" t="s">
        <v>4826</v>
      </c>
      <c r="H155" s="25" t="s">
        <v>2247</v>
      </c>
      <c r="I155" s="25" t="s">
        <v>4816</v>
      </c>
      <c r="J155" s="29">
        <v>72.0</v>
      </c>
      <c r="K155" s="29">
        <f t="shared" si="1"/>
        <v>1392</v>
      </c>
      <c r="L155" s="25" t="str">
        <f t="shared" si="2"/>
        <v>Breach</v>
      </c>
      <c r="M155" s="25" t="s">
        <v>4882</v>
      </c>
    </row>
    <row r="156" ht="15.75" customHeight="1">
      <c r="A156" s="61" t="s">
        <v>4978</v>
      </c>
      <c r="B156" s="61" t="s">
        <v>951</v>
      </c>
      <c r="C156" s="61" t="s">
        <v>950</v>
      </c>
      <c r="D156" s="61" t="s">
        <v>4810</v>
      </c>
      <c r="E156" s="62">
        <v>46097.0</v>
      </c>
      <c r="F156" s="62">
        <v>46101.66666666666</v>
      </c>
      <c r="G156" s="61" t="s">
        <v>3851</v>
      </c>
      <c r="H156" s="61" t="s">
        <v>2246</v>
      </c>
      <c r="I156" s="61" t="s">
        <v>4804</v>
      </c>
      <c r="J156" s="63">
        <v>24.0</v>
      </c>
      <c r="K156" s="63">
        <f t="shared" si="1"/>
        <v>112</v>
      </c>
      <c r="L156" s="61" t="str">
        <f t="shared" si="2"/>
        <v>Breach</v>
      </c>
      <c r="M156" s="61" t="s">
        <v>4813</v>
      </c>
    </row>
    <row r="157" ht="15.75" customHeight="1">
      <c r="A157" s="25" t="s">
        <v>4979</v>
      </c>
      <c r="B157" s="25" t="s">
        <v>1111</v>
      </c>
      <c r="C157" s="25" t="s">
        <v>1075</v>
      </c>
      <c r="D157" s="25" t="s">
        <v>4831</v>
      </c>
      <c r="E157" s="26">
        <v>46056.0</v>
      </c>
      <c r="F157" s="26">
        <v>46057.625</v>
      </c>
      <c r="G157" s="25" t="s">
        <v>4811</v>
      </c>
      <c r="H157" s="25" t="s">
        <v>2246</v>
      </c>
      <c r="I157" s="25" t="s">
        <v>4804</v>
      </c>
      <c r="J157" s="29">
        <v>24.0</v>
      </c>
      <c r="K157" s="29">
        <f t="shared" si="1"/>
        <v>39</v>
      </c>
      <c r="L157" s="25" t="str">
        <f t="shared" si="2"/>
        <v>Breach</v>
      </c>
      <c r="M157" s="25" t="s">
        <v>4832</v>
      </c>
    </row>
    <row r="158" ht="15.75" customHeight="1">
      <c r="A158" s="61" t="s">
        <v>4980</v>
      </c>
      <c r="B158" s="61" t="s">
        <v>405</v>
      </c>
      <c r="C158" s="61" t="s">
        <v>297</v>
      </c>
      <c r="D158" s="61" t="s">
        <v>4825</v>
      </c>
      <c r="E158" s="62">
        <v>46071.0</v>
      </c>
      <c r="F158" s="62"/>
      <c r="G158" s="61" t="s">
        <v>4811</v>
      </c>
      <c r="H158" s="61" t="s">
        <v>2246</v>
      </c>
      <c r="I158" s="61" t="s">
        <v>4816</v>
      </c>
      <c r="J158" s="63">
        <v>96.0</v>
      </c>
      <c r="K158" s="63">
        <f t="shared" si="1"/>
        <v>2088</v>
      </c>
      <c r="L158" s="61" t="str">
        <f t="shared" si="2"/>
        <v>Breach</v>
      </c>
      <c r="M158" s="61" t="s">
        <v>4827</v>
      </c>
    </row>
    <row r="159" ht="15.75" customHeight="1">
      <c r="A159" s="25" t="s">
        <v>4981</v>
      </c>
      <c r="B159" s="25" t="s">
        <v>386</v>
      </c>
      <c r="C159" s="25" t="s">
        <v>305</v>
      </c>
      <c r="D159" s="25" t="s">
        <v>4815</v>
      </c>
      <c r="E159" s="26">
        <v>46057.0</v>
      </c>
      <c r="F159" s="26">
        <v>46058.375</v>
      </c>
      <c r="G159" s="25" t="s">
        <v>4811</v>
      </c>
      <c r="H159" s="25" t="s">
        <v>2246</v>
      </c>
      <c r="I159" s="25" t="s">
        <v>4804</v>
      </c>
      <c r="J159" s="29">
        <v>24.0</v>
      </c>
      <c r="K159" s="29">
        <f t="shared" si="1"/>
        <v>33</v>
      </c>
      <c r="L159" s="25" t="str">
        <f t="shared" si="2"/>
        <v>Breach</v>
      </c>
      <c r="M159" s="25" t="s">
        <v>4817</v>
      </c>
    </row>
    <row r="160" ht="15.75" customHeight="1">
      <c r="A160" s="61" t="s">
        <v>4982</v>
      </c>
      <c r="B160" s="61" t="s">
        <v>416</v>
      </c>
      <c r="C160" s="61" t="s">
        <v>310</v>
      </c>
      <c r="D160" s="61" t="s">
        <v>4825</v>
      </c>
      <c r="E160" s="62">
        <v>46097.0</v>
      </c>
      <c r="F160" s="62">
        <v>46100.08333333334</v>
      </c>
      <c r="G160" s="61" t="s">
        <v>4826</v>
      </c>
      <c r="H160" s="61" t="s">
        <v>2247</v>
      </c>
      <c r="I160" s="61" t="s">
        <v>4804</v>
      </c>
      <c r="J160" s="63">
        <v>96.0</v>
      </c>
      <c r="K160" s="63">
        <f t="shared" si="1"/>
        <v>74</v>
      </c>
      <c r="L160" s="61" t="str">
        <f t="shared" si="2"/>
        <v>OK</v>
      </c>
      <c r="M160" s="61" t="s">
        <v>4827</v>
      </c>
    </row>
    <row r="161" ht="15.75" customHeight="1">
      <c r="A161" s="25" t="s">
        <v>4983</v>
      </c>
      <c r="B161" s="25" t="s">
        <v>1100</v>
      </c>
      <c r="C161" s="25" t="s">
        <v>1081</v>
      </c>
      <c r="D161" s="25" t="s">
        <v>4881</v>
      </c>
      <c r="E161" s="26">
        <v>46127.0</v>
      </c>
      <c r="F161" s="26">
        <v>46127.75</v>
      </c>
      <c r="G161" s="25" t="s">
        <v>4826</v>
      </c>
      <c r="H161" s="25" t="s">
        <v>2246</v>
      </c>
      <c r="I161" s="25" t="s">
        <v>4812</v>
      </c>
      <c r="J161" s="29">
        <v>24.0</v>
      </c>
      <c r="K161" s="29">
        <f t="shared" si="1"/>
        <v>18</v>
      </c>
      <c r="L161" s="25" t="str">
        <f t="shared" si="2"/>
        <v>OK</v>
      </c>
      <c r="M161" s="25" t="s">
        <v>4882</v>
      </c>
    </row>
    <row r="162" ht="15.75" customHeight="1">
      <c r="A162" s="61" t="s">
        <v>4984</v>
      </c>
      <c r="B162" s="61" t="s">
        <v>524</v>
      </c>
      <c r="C162" s="61" t="s">
        <v>457</v>
      </c>
      <c r="D162" s="61" t="s">
        <v>4825</v>
      </c>
      <c r="E162" s="62">
        <v>46141.0</v>
      </c>
      <c r="F162" s="62"/>
      <c r="G162" s="61" t="s">
        <v>3851</v>
      </c>
      <c r="H162" s="61" t="s">
        <v>2247</v>
      </c>
      <c r="I162" s="61" t="s">
        <v>4816</v>
      </c>
      <c r="J162" s="63">
        <v>24.0</v>
      </c>
      <c r="K162" s="63">
        <f t="shared" si="1"/>
        <v>408</v>
      </c>
      <c r="L162" s="61" t="str">
        <f t="shared" si="2"/>
        <v>Breach</v>
      </c>
      <c r="M162" s="61" t="s">
        <v>4827</v>
      </c>
    </row>
    <row r="163" ht="15.75" customHeight="1">
      <c r="A163" s="25" t="s">
        <v>4985</v>
      </c>
      <c r="B163" s="25" t="s">
        <v>428</v>
      </c>
      <c r="C163" s="25" t="s">
        <v>320</v>
      </c>
      <c r="D163" s="25" t="s">
        <v>4820</v>
      </c>
      <c r="E163" s="26">
        <v>46093.0</v>
      </c>
      <c r="F163" s="26">
        <v>46097.83333333334</v>
      </c>
      <c r="G163" s="25" t="s">
        <v>3855</v>
      </c>
      <c r="H163" s="25" t="s">
        <v>2246</v>
      </c>
      <c r="I163" s="25" t="s">
        <v>4804</v>
      </c>
      <c r="J163" s="29">
        <v>72.0</v>
      </c>
      <c r="K163" s="29">
        <f t="shared" si="1"/>
        <v>116</v>
      </c>
      <c r="L163" s="25" t="str">
        <f t="shared" si="2"/>
        <v>Breach</v>
      </c>
      <c r="M163" s="25" t="s">
        <v>4822</v>
      </c>
    </row>
    <row r="164" ht="15.75" customHeight="1">
      <c r="A164" s="61" t="s">
        <v>4986</v>
      </c>
      <c r="B164" s="61" t="s">
        <v>1104</v>
      </c>
      <c r="C164" s="61" t="s">
        <v>1075</v>
      </c>
      <c r="D164" s="61" t="s">
        <v>4881</v>
      </c>
      <c r="E164" s="62">
        <v>46052.0</v>
      </c>
      <c r="F164" s="62"/>
      <c r="G164" s="61" t="s">
        <v>3851</v>
      </c>
      <c r="H164" s="61" t="s">
        <v>2246</v>
      </c>
      <c r="I164" s="61" t="s">
        <v>4821</v>
      </c>
      <c r="J164" s="63">
        <v>72.0</v>
      </c>
      <c r="K164" s="63">
        <f t="shared" si="1"/>
        <v>2544</v>
      </c>
      <c r="L164" s="61" t="str">
        <f t="shared" si="2"/>
        <v>Breach</v>
      </c>
      <c r="M164" s="61" t="s">
        <v>4882</v>
      </c>
    </row>
    <row r="165" ht="15.75" customHeight="1">
      <c r="A165" s="25" t="s">
        <v>4987</v>
      </c>
      <c r="B165" s="25" t="s">
        <v>175</v>
      </c>
      <c r="C165" s="25" t="s">
        <v>170</v>
      </c>
      <c r="D165" s="25" t="s">
        <v>4825</v>
      </c>
      <c r="E165" s="26">
        <v>46101.0</v>
      </c>
      <c r="F165" s="26"/>
      <c r="G165" s="25" t="s">
        <v>4811</v>
      </c>
      <c r="H165" s="25" t="s">
        <v>2247</v>
      </c>
      <c r="I165" s="25" t="s">
        <v>4816</v>
      </c>
      <c r="J165" s="29">
        <v>72.0</v>
      </c>
      <c r="K165" s="29">
        <f t="shared" si="1"/>
        <v>1368</v>
      </c>
      <c r="L165" s="25" t="str">
        <f t="shared" si="2"/>
        <v>Breach</v>
      </c>
      <c r="M165" s="25" t="s">
        <v>4827</v>
      </c>
    </row>
    <row r="166" ht="15.75" customHeight="1">
      <c r="A166" s="61" t="s">
        <v>4988</v>
      </c>
      <c r="B166" s="61" t="s">
        <v>989</v>
      </c>
      <c r="C166" s="61" t="s">
        <v>980</v>
      </c>
      <c r="D166" s="61" t="s">
        <v>4807</v>
      </c>
      <c r="E166" s="62">
        <v>46139.0</v>
      </c>
      <c r="F166" s="62"/>
      <c r="G166" s="61" t="s">
        <v>3847</v>
      </c>
      <c r="H166" s="61" t="s">
        <v>2246</v>
      </c>
      <c r="I166" s="61" t="s">
        <v>4821</v>
      </c>
      <c r="J166" s="63">
        <v>24.0</v>
      </c>
      <c r="K166" s="63">
        <f t="shared" si="1"/>
        <v>456</v>
      </c>
      <c r="L166" s="61" t="str">
        <f t="shared" si="2"/>
        <v>Breach</v>
      </c>
      <c r="M166" s="61" t="s">
        <v>4808</v>
      </c>
    </row>
    <row r="167" ht="15.75" customHeight="1">
      <c r="A167" s="25" t="s">
        <v>4989</v>
      </c>
      <c r="B167" s="25" t="s">
        <v>200</v>
      </c>
      <c r="C167" s="25" t="s">
        <v>174</v>
      </c>
      <c r="D167" s="25" t="s">
        <v>4831</v>
      </c>
      <c r="E167" s="26">
        <v>46043.0</v>
      </c>
      <c r="F167" s="26">
        <v>46048.375</v>
      </c>
      <c r="G167" s="25" t="s">
        <v>4826</v>
      </c>
      <c r="H167" s="25" t="s">
        <v>2246</v>
      </c>
      <c r="I167" s="25" t="s">
        <v>4804</v>
      </c>
      <c r="J167" s="29">
        <v>72.0</v>
      </c>
      <c r="K167" s="29">
        <f t="shared" si="1"/>
        <v>129</v>
      </c>
      <c r="L167" s="25" t="str">
        <f t="shared" si="2"/>
        <v>Breach</v>
      </c>
      <c r="M167" s="25" t="s">
        <v>4832</v>
      </c>
    </row>
    <row r="168" ht="15.75" customHeight="1">
      <c r="A168" s="61" t="s">
        <v>4990</v>
      </c>
      <c r="B168" s="61" t="s">
        <v>253</v>
      </c>
      <c r="C168" s="61" t="s">
        <v>184</v>
      </c>
      <c r="D168" s="61" t="s">
        <v>4807</v>
      </c>
      <c r="E168" s="62">
        <v>46137.0</v>
      </c>
      <c r="F168" s="62">
        <v>46138.66666666666</v>
      </c>
      <c r="G168" s="61" t="s">
        <v>4826</v>
      </c>
      <c r="H168" s="61" t="s">
        <v>2246</v>
      </c>
      <c r="I168" s="61" t="s">
        <v>4812</v>
      </c>
      <c r="J168" s="63">
        <v>48.0</v>
      </c>
      <c r="K168" s="63">
        <f t="shared" si="1"/>
        <v>40</v>
      </c>
      <c r="L168" s="61" t="str">
        <f t="shared" si="2"/>
        <v>OK</v>
      </c>
      <c r="M168" s="61" t="s">
        <v>4808</v>
      </c>
    </row>
    <row r="169" ht="15.75" customHeight="1">
      <c r="A169" s="25" t="s">
        <v>4991</v>
      </c>
      <c r="B169" s="25" t="s">
        <v>478</v>
      </c>
      <c r="C169" s="25" t="s">
        <v>469</v>
      </c>
      <c r="D169" s="25" t="s">
        <v>4820</v>
      </c>
      <c r="E169" s="26">
        <v>46087.0</v>
      </c>
      <c r="F169" s="26">
        <v>46089.625</v>
      </c>
      <c r="G169" s="25" t="s">
        <v>4826</v>
      </c>
      <c r="H169" s="25" t="s">
        <v>2246</v>
      </c>
      <c r="I169" s="25" t="s">
        <v>4804</v>
      </c>
      <c r="J169" s="29">
        <v>48.0</v>
      </c>
      <c r="K169" s="29">
        <f t="shared" si="1"/>
        <v>63</v>
      </c>
      <c r="L169" s="25" t="str">
        <f t="shared" si="2"/>
        <v>Breach</v>
      </c>
      <c r="M169" s="25" t="s">
        <v>4822</v>
      </c>
    </row>
    <row r="170" ht="15.75" customHeight="1">
      <c r="A170" s="61" t="s">
        <v>4992</v>
      </c>
      <c r="B170" s="61" t="s">
        <v>1068</v>
      </c>
      <c r="C170" s="61" t="s">
        <v>988</v>
      </c>
      <c r="D170" s="61" t="s">
        <v>4825</v>
      </c>
      <c r="E170" s="62">
        <v>46092.0</v>
      </c>
      <c r="F170" s="62"/>
      <c r="G170" s="61" t="s">
        <v>3847</v>
      </c>
      <c r="H170" s="61" t="s">
        <v>2246</v>
      </c>
      <c r="I170" s="61" t="s">
        <v>4821</v>
      </c>
      <c r="J170" s="63">
        <v>72.0</v>
      </c>
      <c r="K170" s="63">
        <f t="shared" si="1"/>
        <v>1584</v>
      </c>
      <c r="L170" s="61" t="str">
        <f t="shared" si="2"/>
        <v>Breach</v>
      </c>
      <c r="M170" s="61" t="s">
        <v>4827</v>
      </c>
    </row>
    <row r="171" ht="15.75" customHeight="1">
      <c r="A171" s="25" t="s">
        <v>4993</v>
      </c>
      <c r="B171" s="25" t="s">
        <v>756</v>
      </c>
      <c r="C171" s="25" t="s">
        <v>723</v>
      </c>
      <c r="D171" s="25" t="s">
        <v>4815</v>
      </c>
      <c r="E171" s="26">
        <v>46049.0</v>
      </c>
      <c r="F171" s="26">
        <v>46052.70833333334</v>
      </c>
      <c r="G171" s="25" t="s">
        <v>3851</v>
      </c>
      <c r="H171" s="25" t="s">
        <v>2246</v>
      </c>
      <c r="I171" s="25" t="s">
        <v>4804</v>
      </c>
      <c r="J171" s="29">
        <v>96.0</v>
      </c>
      <c r="K171" s="29">
        <f t="shared" si="1"/>
        <v>89</v>
      </c>
      <c r="L171" s="25" t="str">
        <f t="shared" si="2"/>
        <v>OK</v>
      </c>
      <c r="M171" s="25" t="s">
        <v>4817</v>
      </c>
    </row>
    <row r="172" ht="15.75" customHeight="1">
      <c r="A172" s="61" t="s">
        <v>4994</v>
      </c>
      <c r="B172" s="61" t="s">
        <v>956</v>
      </c>
      <c r="C172" s="61" t="s">
        <v>957</v>
      </c>
      <c r="D172" s="61" t="s">
        <v>4881</v>
      </c>
      <c r="E172" s="62">
        <v>46079.0</v>
      </c>
      <c r="F172" s="62">
        <v>46082.83333333334</v>
      </c>
      <c r="G172" s="61" t="s">
        <v>3851</v>
      </c>
      <c r="H172" s="61" t="s">
        <v>2247</v>
      </c>
      <c r="I172" s="61" t="s">
        <v>4804</v>
      </c>
      <c r="J172" s="63">
        <v>96.0</v>
      </c>
      <c r="K172" s="63">
        <f t="shared" si="1"/>
        <v>92</v>
      </c>
      <c r="L172" s="61" t="str">
        <f t="shared" si="2"/>
        <v>OK</v>
      </c>
      <c r="M172" s="61" t="s">
        <v>4882</v>
      </c>
    </row>
    <row r="173" ht="15.75" customHeight="1">
      <c r="A173" s="25" t="s">
        <v>4995</v>
      </c>
      <c r="B173" s="25" t="s">
        <v>904</v>
      </c>
      <c r="C173" s="25" t="s">
        <v>879</v>
      </c>
      <c r="D173" s="25" t="s">
        <v>4810</v>
      </c>
      <c r="E173" s="26">
        <v>46078.0</v>
      </c>
      <c r="F173" s="26"/>
      <c r="G173" s="25" t="s">
        <v>3851</v>
      </c>
      <c r="H173" s="25" t="s">
        <v>2246</v>
      </c>
      <c r="I173" s="25" t="s">
        <v>4816</v>
      </c>
      <c r="J173" s="29">
        <v>96.0</v>
      </c>
      <c r="K173" s="29">
        <f t="shared" si="1"/>
        <v>1920</v>
      </c>
      <c r="L173" s="25" t="str">
        <f t="shared" si="2"/>
        <v>Breach</v>
      </c>
      <c r="M173" s="25" t="s">
        <v>4813</v>
      </c>
    </row>
    <row r="174" ht="15.75" customHeight="1">
      <c r="A174" s="61" t="s">
        <v>4996</v>
      </c>
      <c r="B174" s="61" t="s">
        <v>905</v>
      </c>
      <c r="C174" s="61" t="s">
        <v>873</v>
      </c>
      <c r="D174" s="61" t="s">
        <v>4881</v>
      </c>
      <c r="E174" s="62">
        <v>46055.0</v>
      </c>
      <c r="F174" s="62"/>
      <c r="G174" s="61" t="s">
        <v>4826</v>
      </c>
      <c r="H174" s="61" t="s">
        <v>2246</v>
      </c>
      <c r="I174" s="61" t="s">
        <v>4816</v>
      </c>
      <c r="J174" s="63">
        <v>24.0</v>
      </c>
      <c r="K174" s="63">
        <f t="shared" si="1"/>
        <v>2472</v>
      </c>
      <c r="L174" s="61" t="str">
        <f t="shared" si="2"/>
        <v>Breach</v>
      </c>
      <c r="M174" s="61" t="s">
        <v>4882</v>
      </c>
    </row>
    <row r="175" ht="15.75" customHeight="1">
      <c r="A175" s="25" t="s">
        <v>4997</v>
      </c>
      <c r="B175" s="25" t="s">
        <v>893</v>
      </c>
      <c r="C175" s="25" t="s">
        <v>855</v>
      </c>
      <c r="D175" s="25" t="s">
        <v>4810</v>
      </c>
      <c r="E175" s="26">
        <v>46104.0</v>
      </c>
      <c r="F175" s="26"/>
      <c r="G175" s="25" t="s">
        <v>3851</v>
      </c>
      <c r="H175" s="25" t="s">
        <v>2246</v>
      </c>
      <c r="I175" s="25" t="s">
        <v>4816</v>
      </c>
      <c r="J175" s="29">
        <v>48.0</v>
      </c>
      <c r="K175" s="29">
        <f t="shared" si="1"/>
        <v>1296</v>
      </c>
      <c r="L175" s="25" t="str">
        <f t="shared" si="2"/>
        <v>Breach</v>
      </c>
      <c r="M175" s="25" t="s">
        <v>4813</v>
      </c>
    </row>
    <row r="176" ht="15.75" customHeight="1">
      <c r="A176" s="61" t="s">
        <v>4998</v>
      </c>
      <c r="B176" s="61" t="s">
        <v>912</v>
      </c>
      <c r="C176" s="61" t="s">
        <v>882</v>
      </c>
      <c r="D176" s="61" t="s">
        <v>4820</v>
      </c>
      <c r="E176" s="62">
        <v>46144.0</v>
      </c>
      <c r="F176" s="62">
        <v>46147.16666666666</v>
      </c>
      <c r="G176" s="61" t="s">
        <v>3847</v>
      </c>
      <c r="H176" s="61" t="s">
        <v>2246</v>
      </c>
      <c r="I176" s="61" t="s">
        <v>4804</v>
      </c>
      <c r="J176" s="63">
        <v>48.0</v>
      </c>
      <c r="K176" s="63">
        <f t="shared" si="1"/>
        <v>76</v>
      </c>
      <c r="L176" s="61" t="str">
        <f t="shared" si="2"/>
        <v>Breach</v>
      </c>
      <c r="M176" s="61" t="s">
        <v>4822</v>
      </c>
    </row>
    <row r="177" ht="15.75" customHeight="1">
      <c r="A177" s="25" t="s">
        <v>4999</v>
      </c>
      <c r="B177" s="25" t="s">
        <v>737</v>
      </c>
      <c r="C177" s="25" t="s">
        <v>727</v>
      </c>
      <c r="D177" s="25" t="s">
        <v>4831</v>
      </c>
      <c r="E177" s="26">
        <v>46126.0</v>
      </c>
      <c r="F177" s="26"/>
      <c r="G177" s="25" t="s">
        <v>3851</v>
      </c>
      <c r="H177" s="25" t="s">
        <v>2247</v>
      </c>
      <c r="I177" s="25" t="s">
        <v>4816</v>
      </c>
      <c r="J177" s="29">
        <v>96.0</v>
      </c>
      <c r="K177" s="29">
        <f t="shared" si="1"/>
        <v>768</v>
      </c>
      <c r="L177" s="25" t="str">
        <f t="shared" si="2"/>
        <v>Breach</v>
      </c>
      <c r="M177" s="25" t="s">
        <v>4832</v>
      </c>
    </row>
    <row r="178" ht="15.75" customHeight="1">
      <c r="A178" s="61" t="s">
        <v>5000</v>
      </c>
      <c r="B178" s="61" t="s">
        <v>341</v>
      </c>
      <c r="C178" s="61" t="s">
        <v>339</v>
      </c>
      <c r="D178" s="61" t="s">
        <v>4825</v>
      </c>
      <c r="E178" s="62">
        <v>46071.0</v>
      </c>
      <c r="F178" s="62"/>
      <c r="G178" s="61" t="s">
        <v>4826</v>
      </c>
      <c r="H178" s="61" t="s">
        <v>2247</v>
      </c>
      <c r="I178" s="61" t="s">
        <v>4821</v>
      </c>
      <c r="J178" s="63">
        <v>72.0</v>
      </c>
      <c r="K178" s="63">
        <f t="shared" si="1"/>
        <v>2088</v>
      </c>
      <c r="L178" s="61" t="str">
        <f t="shared" si="2"/>
        <v>Breach</v>
      </c>
      <c r="M178" s="61" t="s">
        <v>4827</v>
      </c>
    </row>
    <row r="179" ht="15.75" customHeight="1">
      <c r="A179" s="25" t="s">
        <v>5001</v>
      </c>
      <c r="B179" s="25" t="s">
        <v>830</v>
      </c>
      <c r="C179" s="25" t="s">
        <v>708</v>
      </c>
      <c r="D179" s="25" t="s">
        <v>4807</v>
      </c>
      <c r="E179" s="26">
        <v>46111.0</v>
      </c>
      <c r="F179" s="26">
        <v>46113.5</v>
      </c>
      <c r="G179" s="25" t="s">
        <v>3855</v>
      </c>
      <c r="H179" s="25" t="s">
        <v>2246</v>
      </c>
      <c r="I179" s="25" t="s">
        <v>4812</v>
      </c>
      <c r="J179" s="29">
        <v>48.0</v>
      </c>
      <c r="K179" s="29">
        <f t="shared" si="1"/>
        <v>60</v>
      </c>
      <c r="L179" s="25" t="str">
        <f t="shared" si="2"/>
        <v>Breach</v>
      </c>
      <c r="M179" s="25" t="s">
        <v>4808</v>
      </c>
    </row>
    <row r="180" ht="15.75" customHeight="1">
      <c r="A180" s="61" t="s">
        <v>5002</v>
      </c>
      <c r="B180" s="61" t="s">
        <v>436</v>
      </c>
      <c r="C180" s="61" t="s">
        <v>299</v>
      </c>
      <c r="D180" s="61" t="s">
        <v>4815</v>
      </c>
      <c r="E180" s="62">
        <v>46110.0</v>
      </c>
      <c r="F180" s="62">
        <v>46113.66666666666</v>
      </c>
      <c r="G180" s="61" t="s">
        <v>3847</v>
      </c>
      <c r="H180" s="61" t="s">
        <v>2246</v>
      </c>
      <c r="I180" s="61" t="s">
        <v>4804</v>
      </c>
      <c r="J180" s="63">
        <v>24.0</v>
      </c>
      <c r="K180" s="63">
        <f t="shared" si="1"/>
        <v>88</v>
      </c>
      <c r="L180" s="61" t="str">
        <f t="shared" si="2"/>
        <v>Breach</v>
      </c>
      <c r="M180" s="61" t="s">
        <v>4817</v>
      </c>
    </row>
    <row r="181" ht="15.75" customHeight="1">
      <c r="A181" s="25" t="s">
        <v>5003</v>
      </c>
      <c r="B181" s="25" t="s">
        <v>376</v>
      </c>
      <c r="C181" s="25" t="s">
        <v>301</v>
      </c>
      <c r="D181" s="25" t="s">
        <v>4825</v>
      </c>
      <c r="E181" s="26">
        <v>46131.0</v>
      </c>
      <c r="F181" s="26">
        <v>46135.25</v>
      </c>
      <c r="G181" s="25" t="s">
        <v>4826</v>
      </c>
      <c r="H181" s="25" t="s">
        <v>2246</v>
      </c>
      <c r="I181" s="25" t="s">
        <v>4804</v>
      </c>
      <c r="J181" s="29">
        <v>48.0</v>
      </c>
      <c r="K181" s="29">
        <f t="shared" si="1"/>
        <v>102</v>
      </c>
      <c r="L181" s="25" t="str">
        <f t="shared" si="2"/>
        <v>Breach</v>
      </c>
      <c r="M181" s="25" t="s">
        <v>4827</v>
      </c>
    </row>
    <row r="182" ht="15.75" customHeight="1">
      <c r="A182" s="61" t="s">
        <v>5004</v>
      </c>
      <c r="B182" s="61" t="s">
        <v>237</v>
      </c>
      <c r="C182" s="61" t="s">
        <v>181</v>
      </c>
      <c r="D182" s="61" t="s">
        <v>4825</v>
      </c>
      <c r="E182" s="62">
        <v>46085.0</v>
      </c>
      <c r="F182" s="62"/>
      <c r="G182" s="61" t="s">
        <v>3851</v>
      </c>
      <c r="H182" s="61" t="s">
        <v>2247</v>
      </c>
      <c r="I182" s="61" t="s">
        <v>4816</v>
      </c>
      <c r="J182" s="63">
        <v>72.0</v>
      </c>
      <c r="K182" s="63">
        <f t="shared" si="1"/>
        <v>1752</v>
      </c>
      <c r="L182" s="61" t="str">
        <f t="shared" si="2"/>
        <v>Breach</v>
      </c>
      <c r="M182" s="61" t="s">
        <v>4827</v>
      </c>
    </row>
    <row r="183" ht="15.75" customHeight="1">
      <c r="A183" s="25" t="s">
        <v>5005</v>
      </c>
      <c r="B183" s="25" t="s">
        <v>919</v>
      </c>
      <c r="C183" s="25" t="s">
        <v>855</v>
      </c>
      <c r="D183" s="25" t="s">
        <v>4807</v>
      </c>
      <c r="E183" s="26">
        <v>46061.0</v>
      </c>
      <c r="F183" s="26"/>
      <c r="G183" s="25" t="s">
        <v>4811</v>
      </c>
      <c r="H183" s="25" t="s">
        <v>2246</v>
      </c>
      <c r="I183" s="25" t="s">
        <v>4821</v>
      </c>
      <c r="J183" s="29">
        <v>72.0</v>
      </c>
      <c r="K183" s="29">
        <f t="shared" si="1"/>
        <v>2328</v>
      </c>
      <c r="L183" s="25" t="str">
        <f t="shared" si="2"/>
        <v>Breach</v>
      </c>
      <c r="M183" s="25" t="s">
        <v>4808</v>
      </c>
    </row>
    <row r="184" ht="15.75" customHeight="1">
      <c r="A184" s="61" t="s">
        <v>5006</v>
      </c>
      <c r="B184" s="61" t="s">
        <v>618</v>
      </c>
      <c r="C184" s="61" t="s">
        <v>575</v>
      </c>
      <c r="D184" s="61" t="s">
        <v>4820</v>
      </c>
      <c r="E184" s="62">
        <v>46068.0</v>
      </c>
      <c r="F184" s="62"/>
      <c r="G184" s="61" t="s">
        <v>4826</v>
      </c>
      <c r="H184" s="61" t="s">
        <v>2246</v>
      </c>
      <c r="I184" s="61" t="s">
        <v>4821</v>
      </c>
      <c r="J184" s="63">
        <v>48.0</v>
      </c>
      <c r="K184" s="63">
        <f t="shared" si="1"/>
        <v>2160</v>
      </c>
      <c r="L184" s="61" t="str">
        <f t="shared" si="2"/>
        <v>Breach</v>
      </c>
      <c r="M184" s="61" t="s">
        <v>4822</v>
      </c>
    </row>
    <row r="185" ht="15.75" customHeight="1">
      <c r="A185" s="25" t="s">
        <v>5007</v>
      </c>
      <c r="B185" s="25" t="s">
        <v>847</v>
      </c>
      <c r="C185" s="25" t="s">
        <v>700</v>
      </c>
      <c r="D185" s="25" t="s">
        <v>4831</v>
      </c>
      <c r="E185" s="26">
        <v>46099.0</v>
      </c>
      <c r="F185" s="26">
        <v>46104.20833333334</v>
      </c>
      <c r="G185" s="25" t="s">
        <v>4826</v>
      </c>
      <c r="H185" s="25" t="s">
        <v>2246</v>
      </c>
      <c r="I185" s="25" t="s">
        <v>4804</v>
      </c>
      <c r="J185" s="29">
        <v>72.0</v>
      </c>
      <c r="K185" s="29">
        <f t="shared" si="1"/>
        <v>125</v>
      </c>
      <c r="L185" s="25" t="str">
        <f t="shared" si="2"/>
        <v>Breach</v>
      </c>
      <c r="M185" s="25" t="s">
        <v>4832</v>
      </c>
    </row>
    <row r="186" ht="15.75" customHeight="1">
      <c r="A186" s="61" t="s">
        <v>5008</v>
      </c>
      <c r="B186" s="61" t="s">
        <v>248</v>
      </c>
      <c r="C186" s="61" t="s">
        <v>198</v>
      </c>
      <c r="D186" s="61" t="s">
        <v>4825</v>
      </c>
      <c r="E186" s="62">
        <v>46149.0</v>
      </c>
      <c r="F186" s="62"/>
      <c r="G186" s="61" t="s">
        <v>4826</v>
      </c>
      <c r="H186" s="61" t="s">
        <v>2246</v>
      </c>
      <c r="I186" s="61" t="s">
        <v>4821</v>
      </c>
      <c r="J186" s="63">
        <v>24.0</v>
      </c>
      <c r="K186" s="63">
        <f t="shared" si="1"/>
        <v>216</v>
      </c>
      <c r="L186" s="61" t="str">
        <f t="shared" si="2"/>
        <v>Breach</v>
      </c>
      <c r="M186" s="61" t="s">
        <v>4827</v>
      </c>
    </row>
    <row r="187" ht="15.75" customHeight="1">
      <c r="A187" s="25" t="s">
        <v>5009</v>
      </c>
      <c r="B187" s="25" t="s">
        <v>234</v>
      </c>
      <c r="C187" s="25" t="s">
        <v>207</v>
      </c>
      <c r="D187" s="25" t="s">
        <v>4810</v>
      </c>
      <c r="E187" s="26">
        <v>46112.0</v>
      </c>
      <c r="F187" s="26">
        <v>46113.08333333334</v>
      </c>
      <c r="G187" s="25" t="s">
        <v>3847</v>
      </c>
      <c r="H187" s="25" t="s">
        <v>2247</v>
      </c>
      <c r="I187" s="25" t="s">
        <v>4804</v>
      </c>
      <c r="J187" s="29">
        <v>96.0</v>
      </c>
      <c r="K187" s="29">
        <f t="shared" si="1"/>
        <v>26</v>
      </c>
      <c r="L187" s="25" t="str">
        <f t="shared" si="2"/>
        <v>OK</v>
      </c>
      <c r="M187" s="25" t="s">
        <v>4813</v>
      </c>
    </row>
    <row r="188" ht="15.75" customHeight="1">
      <c r="A188" s="61" t="s">
        <v>5010</v>
      </c>
      <c r="B188" s="61" t="s">
        <v>571</v>
      </c>
      <c r="C188" s="61" t="s">
        <v>555</v>
      </c>
      <c r="D188" s="61" t="s">
        <v>4831</v>
      </c>
      <c r="E188" s="62">
        <v>46116.0</v>
      </c>
      <c r="F188" s="62">
        <v>46119.16666666666</v>
      </c>
      <c r="G188" s="61" t="s">
        <v>4811</v>
      </c>
      <c r="H188" s="61" t="s">
        <v>2246</v>
      </c>
      <c r="I188" s="61" t="s">
        <v>4804</v>
      </c>
      <c r="J188" s="63">
        <v>24.0</v>
      </c>
      <c r="K188" s="63">
        <f t="shared" si="1"/>
        <v>76</v>
      </c>
      <c r="L188" s="61" t="str">
        <f t="shared" si="2"/>
        <v>Breach</v>
      </c>
      <c r="M188" s="61" t="s">
        <v>4832</v>
      </c>
    </row>
    <row r="189" ht="15.75" customHeight="1">
      <c r="A189" s="25" t="s">
        <v>5011</v>
      </c>
      <c r="B189" s="25" t="s">
        <v>441</v>
      </c>
      <c r="C189" s="25" t="s">
        <v>320</v>
      </c>
      <c r="D189" s="25" t="s">
        <v>4810</v>
      </c>
      <c r="E189" s="26">
        <v>46049.0</v>
      </c>
      <c r="F189" s="26">
        <v>46051.75</v>
      </c>
      <c r="G189" s="25" t="s">
        <v>4811</v>
      </c>
      <c r="H189" s="25" t="s">
        <v>2246</v>
      </c>
      <c r="I189" s="25" t="s">
        <v>4804</v>
      </c>
      <c r="J189" s="29">
        <v>72.0</v>
      </c>
      <c r="K189" s="29">
        <f t="shared" si="1"/>
        <v>66</v>
      </c>
      <c r="L189" s="25" t="str">
        <f t="shared" si="2"/>
        <v>OK</v>
      </c>
      <c r="M189" s="25" t="s">
        <v>4813</v>
      </c>
    </row>
    <row r="190" ht="15.75" customHeight="1">
      <c r="A190" s="61" t="s">
        <v>5012</v>
      </c>
      <c r="B190" s="61" t="s">
        <v>1189</v>
      </c>
      <c r="C190" s="61" t="s">
        <v>1124</v>
      </c>
      <c r="D190" s="61" t="s">
        <v>4803</v>
      </c>
      <c r="E190" s="62">
        <v>46106.0</v>
      </c>
      <c r="F190" s="62"/>
      <c r="G190" s="61" t="s">
        <v>3847</v>
      </c>
      <c r="H190" s="61" t="s">
        <v>2247</v>
      </c>
      <c r="I190" s="61" t="s">
        <v>4816</v>
      </c>
      <c r="J190" s="63">
        <v>96.0</v>
      </c>
      <c r="K190" s="63">
        <f t="shared" si="1"/>
        <v>1248</v>
      </c>
      <c r="L190" s="61" t="str">
        <f t="shared" si="2"/>
        <v>Breach</v>
      </c>
      <c r="M190" s="61" t="s">
        <v>4805</v>
      </c>
    </row>
    <row r="191" ht="15.75" customHeight="1">
      <c r="A191" s="25" t="s">
        <v>5013</v>
      </c>
      <c r="B191" s="25" t="s">
        <v>803</v>
      </c>
      <c r="C191" s="25" t="s">
        <v>702</v>
      </c>
      <c r="D191" s="25" t="s">
        <v>4881</v>
      </c>
      <c r="E191" s="26">
        <v>46052.0</v>
      </c>
      <c r="F191" s="26"/>
      <c r="G191" s="25" t="s">
        <v>3851</v>
      </c>
      <c r="H191" s="25" t="s">
        <v>2247</v>
      </c>
      <c r="I191" s="25" t="s">
        <v>4816</v>
      </c>
      <c r="J191" s="29">
        <v>24.0</v>
      </c>
      <c r="K191" s="29">
        <f t="shared" si="1"/>
        <v>2544</v>
      </c>
      <c r="L191" s="25" t="str">
        <f t="shared" si="2"/>
        <v>Breach</v>
      </c>
      <c r="M191" s="25" t="s">
        <v>4882</v>
      </c>
    </row>
    <row r="192" ht="15.75" customHeight="1">
      <c r="A192" s="61" t="s">
        <v>5014</v>
      </c>
      <c r="B192" s="61" t="s">
        <v>592</v>
      </c>
      <c r="C192" s="61" t="s">
        <v>593</v>
      </c>
      <c r="D192" s="61" t="s">
        <v>4825</v>
      </c>
      <c r="E192" s="62">
        <v>46100.0</v>
      </c>
      <c r="F192" s="62"/>
      <c r="G192" s="61" t="s">
        <v>4826</v>
      </c>
      <c r="H192" s="61" t="s">
        <v>2246</v>
      </c>
      <c r="I192" s="61" t="s">
        <v>4816</v>
      </c>
      <c r="J192" s="63">
        <v>48.0</v>
      </c>
      <c r="K192" s="63">
        <f t="shared" si="1"/>
        <v>1392</v>
      </c>
      <c r="L192" s="61" t="str">
        <f t="shared" si="2"/>
        <v>Breach</v>
      </c>
      <c r="M192" s="61" t="s">
        <v>4827</v>
      </c>
    </row>
    <row r="193" ht="15.75" customHeight="1">
      <c r="A193" s="25" t="s">
        <v>5015</v>
      </c>
      <c r="B193" s="25" t="s">
        <v>619</v>
      </c>
      <c r="C193" s="25" t="s">
        <v>544</v>
      </c>
      <c r="D193" s="25" t="s">
        <v>4881</v>
      </c>
      <c r="E193" s="26">
        <v>46147.0</v>
      </c>
      <c r="F193" s="26">
        <v>46152.20833333334</v>
      </c>
      <c r="G193" s="25" t="s">
        <v>3855</v>
      </c>
      <c r="H193" s="25" t="s">
        <v>2246</v>
      </c>
      <c r="I193" s="25" t="s">
        <v>4804</v>
      </c>
      <c r="J193" s="29">
        <v>72.0</v>
      </c>
      <c r="K193" s="29">
        <f t="shared" si="1"/>
        <v>125</v>
      </c>
      <c r="L193" s="25" t="str">
        <f t="shared" si="2"/>
        <v>Breach</v>
      </c>
      <c r="M193" s="25" t="s">
        <v>4882</v>
      </c>
    </row>
    <row r="194" ht="15.75" customHeight="1">
      <c r="A194" s="61" t="s">
        <v>5016</v>
      </c>
      <c r="B194" s="61" t="s">
        <v>854</v>
      </c>
      <c r="C194" s="61" t="s">
        <v>855</v>
      </c>
      <c r="D194" s="61" t="s">
        <v>4825</v>
      </c>
      <c r="E194" s="62">
        <v>46082.0</v>
      </c>
      <c r="F194" s="62">
        <v>46086.54166666666</v>
      </c>
      <c r="G194" s="61" t="s">
        <v>4811</v>
      </c>
      <c r="H194" s="61" t="s">
        <v>2247</v>
      </c>
      <c r="I194" s="61" t="s">
        <v>4812</v>
      </c>
      <c r="J194" s="63">
        <v>48.0</v>
      </c>
      <c r="K194" s="63">
        <f t="shared" si="1"/>
        <v>109</v>
      </c>
      <c r="L194" s="61" t="str">
        <f t="shared" si="2"/>
        <v>Breach</v>
      </c>
      <c r="M194" s="61" t="s">
        <v>4827</v>
      </c>
    </row>
    <row r="195" ht="15.75" customHeight="1">
      <c r="A195" s="25" t="s">
        <v>5017</v>
      </c>
      <c r="B195" s="25" t="s">
        <v>277</v>
      </c>
      <c r="C195" s="25" t="s">
        <v>179</v>
      </c>
      <c r="D195" s="25" t="s">
        <v>4807</v>
      </c>
      <c r="E195" s="26">
        <v>46105.0</v>
      </c>
      <c r="F195" s="26"/>
      <c r="G195" s="25" t="s">
        <v>3855</v>
      </c>
      <c r="H195" s="25" t="s">
        <v>2247</v>
      </c>
      <c r="I195" s="25" t="s">
        <v>4821</v>
      </c>
      <c r="J195" s="29">
        <v>72.0</v>
      </c>
      <c r="K195" s="29">
        <f t="shared" si="1"/>
        <v>1272</v>
      </c>
      <c r="L195" s="25" t="str">
        <f t="shared" si="2"/>
        <v>Breach</v>
      </c>
      <c r="M195" s="25" t="s">
        <v>4808</v>
      </c>
    </row>
    <row r="196" ht="15.75" customHeight="1">
      <c r="A196" s="61" t="s">
        <v>5018</v>
      </c>
      <c r="B196" s="61" t="s">
        <v>350</v>
      </c>
      <c r="C196" s="61" t="s">
        <v>320</v>
      </c>
      <c r="D196" s="61" t="s">
        <v>4815</v>
      </c>
      <c r="E196" s="62">
        <v>46144.0</v>
      </c>
      <c r="F196" s="62">
        <v>46148.25</v>
      </c>
      <c r="G196" s="61" t="s">
        <v>4811</v>
      </c>
      <c r="H196" s="61" t="s">
        <v>2246</v>
      </c>
      <c r="I196" s="61" t="s">
        <v>4804</v>
      </c>
      <c r="J196" s="63">
        <v>72.0</v>
      </c>
      <c r="K196" s="63">
        <f t="shared" si="1"/>
        <v>102</v>
      </c>
      <c r="L196" s="61" t="str">
        <f t="shared" si="2"/>
        <v>Breach</v>
      </c>
      <c r="M196" s="61" t="s">
        <v>4817</v>
      </c>
    </row>
    <row r="197" ht="15.75" customHeight="1">
      <c r="A197" s="25" t="s">
        <v>5019</v>
      </c>
      <c r="B197" s="25" t="s">
        <v>1044</v>
      </c>
      <c r="C197" s="25" t="s">
        <v>968</v>
      </c>
      <c r="D197" s="25" t="s">
        <v>4810</v>
      </c>
      <c r="E197" s="26">
        <v>46148.0</v>
      </c>
      <c r="F197" s="26">
        <v>46149.83333333334</v>
      </c>
      <c r="G197" s="25" t="s">
        <v>4826</v>
      </c>
      <c r="H197" s="25" t="s">
        <v>2246</v>
      </c>
      <c r="I197" s="25" t="s">
        <v>4804</v>
      </c>
      <c r="J197" s="29">
        <v>48.0</v>
      </c>
      <c r="K197" s="29">
        <f t="shared" si="1"/>
        <v>44</v>
      </c>
      <c r="L197" s="25" t="str">
        <f t="shared" si="2"/>
        <v>OK</v>
      </c>
      <c r="M197" s="25" t="s">
        <v>4813</v>
      </c>
    </row>
    <row r="198" ht="15.75" customHeight="1">
      <c r="A198" s="61" t="s">
        <v>5020</v>
      </c>
      <c r="B198" s="61" t="s">
        <v>816</v>
      </c>
      <c r="C198" s="61" t="s">
        <v>712</v>
      </c>
      <c r="D198" s="61" t="s">
        <v>4820</v>
      </c>
      <c r="E198" s="62">
        <v>46135.0</v>
      </c>
      <c r="F198" s="62">
        <v>46139.45833333334</v>
      </c>
      <c r="G198" s="61" t="s">
        <v>3851</v>
      </c>
      <c r="H198" s="61" t="s">
        <v>2246</v>
      </c>
      <c r="I198" s="61" t="s">
        <v>4812</v>
      </c>
      <c r="J198" s="63">
        <v>96.0</v>
      </c>
      <c r="K198" s="63">
        <f t="shared" si="1"/>
        <v>107</v>
      </c>
      <c r="L198" s="61" t="str">
        <f t="shared" si="2"/>
        <v>Breach</v>
      </c>
      <c r="M198" s="61" t="s">
        <v>4822</v>
      </c>
    </row>
    <row r="199" ht="15.75" customHeight="1">
      <c r="A199" s="25" t="s">
        <v>5021</v>
      </c>
      <c r="B199" s="25" t="s">
        <v>481</v>
      </c>
      <c r="C199" s="25" t="s">
        <v>457</v>
      </c>
      <c r="D199" s="25" t="s">
        <v>4825</v>
      </c>
      <c r="E199" s="26">
        <v>46093.0</v>
      </c>
      <c r="F199" s="26"/>
      <c r="G199" s="25" t="s">
        <v>4826</v>
      </c>
      <c r="H199" s="25" t="s">
        <v>2246</v>
      </c>
      <c r="I199" s="25" t="s">
        <v>4816</v>
      </c>
      <c r="J199" s="29">
        <v>72.0</v>
      </c>
      <c r="K199" s="29">
        <f t="shared" si="1"/>
        <v>1560</v>
      </c>
      <c r="L199" s="25" t="str">
        <f t="shared" si="2"/>
        <v>Breach</v>
      </c>
      <c r="M199" s="25" t="s">
        <v>4827</v>
      </c>
    </row>
    <row r="200" ht="15.75" customHeight="1">
      <c r="A200" s="61" t="s">
        <v>5022</v>
      </c>
      <c r="B200" s="61" t="s">
        <v>238</v>
      </c>
      <c r="C200" s="61" t="s">
        <v>189</v>
      </c>
      <c r="D200" s="61" t="s">
        <v>4820</v>
      </c>
      <c r="E200" s="62">
        <v>46152.0</v>
      </c>
      <c r="F200" s="62">
        <v>46153.0</v>
      </c>
      <c r="G200" s="61" t="s">
        <v>3847</v>
      </c>
      <c r="H200" s="61" t="s">
        <v>2246</v>
      </c>
      <c r="I200" s="61" t="s">
        <v>4804</v>
      </c>
      <c r="J200" s="63">
        <v>24.0</v>
      </c>
      <c r="K200" s="63">
        <f t="shared" si="1"/>
        <v>24</v>
      </c>
      <c r="L200" s="61" t="str">
        <f t="shared" si="2"/>
        <v>OK</v>
      </c>
      <c r="M200" s="61" t="s">
        <v>4822</v>
      </c>
    </row>
    <row r="201" ht="15.75" customHeight="1">
      <c r="A201" s="25" t="s">
        <v>5023</v>
      </c>
      <c r="B201" s="25" t="s">
        <v>633</v>
      </c>
      <c r="C201" s="25" t="s">
        <v>557</v>
      </c>
      <c r="D201" s="25" t="s">
        <v>4815</v>
      </c>
      <c r="E201" s="26">
        <v>46099.0</v>
      </c>
      <c r="F201" s="26">
        <v>46101.54166666666</v>
      </c>
      <c r="G201" s="25" t="s">
        <v>4811</v>
      </c>
      <c r="H201" s="25" t="s">
        <v>2246</v>
      </c>
      <c r="I201" s="25" t="s">
        <v>4804</v>
      </c>
      <c r="J201" s="29">
        <v>72.0</v>
      </c>
      <c r="K201" s="29">
        <f t="shared" si="1"/>
        <v>61</v>
      </c>
      <c r="L201" s="25" t="str">
        <f t="shared" si="2"/>
        <v>OK</v>
      </c>
      <c r="M201" s="25" t="s">
        <v>4817</v>
      </c>
    </row>
    <row r="202" ht="15.75" customHeight="1">
      <c r="A202" s="61" t="s">
        <v>5024</v>
      </c>
      <c r="B202" s="61" t="s">
        <v>400</v>
      </c>
      <c r="C202" s="61" t="s">
        <v>297</v>
      </c>
      <c r="D202" s="61" t="s">
        <v>4881</v>
      </c>
      <c r="E202" s="62">
        <v>46033.0</v>
      </c>
      <c r="F202" s="62">
        <v>46036.625</v>
      </c>
      <c r="G202" s="61" t="s">
        <v>3855</v>
      </c>
      <c r="H202" s="61" t="s">
        <v>2246</v>
      </c>
      <c r="I202" s="61" t="s">
        <v>4804</v>
      </c>
      <c r="J202" s="63">
        <v>48.0</v>
      </c>
      <c r="K202" s="63">
        <f t="shared" si="1"/>
        <v>87</v>
      </c>
      <c r="L202" s="61" t="str">
        <f t="shared" si="2"/>
        <v>Breach</v>
      </c>
      <c r="M202" s="61" t="s">
        <v>4882</v>
      </c>
    </row>
    <row r="203" ht="15.75" customHeight="1">
      <c r="A203" s="25" t="s">
        <v>5025</v>
      </c>
      <c r="B203" s="25" t="s">
        <v>217</v>
      </c>
      <c r="C203" s="25" t="s">
        <v>179</v>
      </c>
      <c r="D203" s="25" t="s">
        <v>4803</v>
      </c>
      <c r="E203" s="26">
        <v>46080.0</v>
      </c>
      <c r="F203" s="26">
        <v>46080.54166666666</v>
      </c>
      <c r="G203" s="25" t="s">
        <v>4826</v>
      </c>
      <c r="H203" s="25" t="s">
        <v>2246</v>
      </c>
      <c r="I203" s="25" t="s">
        <v>4812</v>
      </c>
      <c r="J203" s="29">
        <v>72.0</v>
      </c>
      <c r="K203" s="29">
        <f t="shared" si="1"/>
        <v>13</v>
      </c>
      <c r="L203" s="25" t="str">
        <f t="shared" si="2"/>
        <v>OK</v>
      </c>
      <c r="M203" s="25" t="s">
        <v>4805</v>
      </c>
    </row>
    <row r="204" ht="15.75" customHeight="1">
      <c r="A204" s="61" t="s">
        <v>5026</v>
      </c>
      <c r="B204" s="61" t="s">
        <v>1170</v>
      </c>
      <c r="C204" s="61" t="s">
        <v>1139</v>
      </c>
      <c r="D204" s="61" t="s">
        <v>4825</v>
      </c>
      <c r="E204" s="62">
        <v>46119.0</v>
      </c>
      <c r="F204" s="62">
        <v>46122.04166666666</v>
      </c>
      <c r="G204" s="61" t="s">
        <v>3855</v>
      </c>
      <c r="H204" s="61" t="s">
        <v>2246</v>
      </c>
      <c r="I204" s="61" t="s">
        <v>4812</v>
      </c>
      <c r="J204" s="63">
        <v>48.0</v>
      </c>
      <c r="K204" s="63">
        <f t="shared" si="1"/>
        <v>73</v>
      </c>
      <c r="L204" s="61" t="str">
        <f t="shared" si="2"/>
        <v>Breach</v>
      </c>
      <c r="M204" s="61" t="s">
        <v>4827</v>
      </c>
    </row>
    <row r="205" ht="15.75" customHeight="1">
      <c r="A205" s="25" t="s">
        <v>5027</v>
      </c>
      <c r="B205" s="25" t="s">
        <v>136</v>
      </c>
      <c r="C205" s="25" t="s">
        <v>83</v>
      </c>
      <c r="D205" s="25" t="s">
        <v>4820</v>
      </c>
      <c r="E205" s="26">
        <v>46112.0</v>
      </c>
      <c r="F205" s="26"/>
      <c r="G205" s="25" t="s">
        <v>4811</v>
      </c>
      <c r="H205" s="25" t="s">
        <v>2246</v>
      </c>
      <c r="I205" s="25" t="s">
        <v>4821</v>
      </c>
      <c r="J205" s="29">
        <v>96.0</v>
      </c>
      <c r="K205" s="29">
        <f t="shared" si="1"/>
        <v>1104</v>
      </c>
      <c r="L205" s="25" t="str">
        <f t="shared" si="2"/>
        <v>Breach</v>
      </c>
      <c r="M205" s="25" t="s">
        <v>4822</v>
      </c>
    </row>
    <row r="206" ht="15.75" customHeight="1">
      <c r="A206" s="61" t="s">
        <v>5028</v>
      </c>
      <c r="B206" s="61" t="s">
        <v>409</v>
      </c>
      <c r="C206" s="61" t="s">
        <v>310</v>
      </c>
      <c r="D206" s="61" t="s">
        <v>4825</v>
      </c>
      <c r="E206" s="62">
        <v>46127.0</v>
      </c>
      <c r="F206" s="62">
        <v>46128.70833333334</v>
      </c>
      <c r="G206" s="61" t="s">
        <v>3855</v>
      </c>
      <c r="H206" s="61" t="s">
        <v>2246</v>
      </c>
      <c r="I206" s="61" t="s">
        <v>4804</v>
      </c>
      <c r="J206" s="63">
        <v>96.0</v>
      </c>
      <c r="K206" s="63">
        <f t="shared" si="1"/>
        <v>41</v>
      </c>
      <c r="L206" s="61" t="str">
        <f t="shared" si="2"/>
        <v>OK</v>
      </c>
      <c r="M206" s="61" t="s">
        <v>4827</v>
      </c>
    </row>
    <row r="207" ht="15.75" customHeight="1">
      <c r="A207" s="25" t="s">
        <v>5029</v>
      </c>
      <c r="B207" s="25" t="s">
        <v>1200</v>
      </c>
      <c r="C207" s="25" t="s">
        <v>1133</v>
      </c>
      <c r="D207" s="25" t="s">
        <v>4807</v>
      </c>
      <c r="E207" s="26">
        <v>46121.0</v>
      </c>
      <c r="F207" s="26"/>
      <c r="G207" s="25" t="s">
        <v>4811</v>
      </c>
      <c r="H207" s="25" t="s">
        <v>2246</v>
      </c>
      <c r="I207" s="25" t="s">
        <v>4816</v>
      </c>
      <c r="J207" s="29">
        <v>24.0</v>
      </c>
      <c r="K207" s="29">
        <f t="shared" si="1"/>
        <v>888</v>
      </c>
      <c r="L207" s="25" t="str">
        <f t="shared" si="2"/>
        <v>Breach</v>
      </c>
      <c r="M207" s="25" t="s">
        <v>4808</v>
      </c>
    </row>
    <row r="208" ht="15.75" customHeight="1">
      <c r="A208" s="61" t="s">
        <v>5030</v>
      </c>
      <c r="B208" s="61" t="s">
        <v>910</v>
      </c>
      <c r="C208" s="61" t="s">
        <v>873</v>
      </c>
      <c r="D208" s="61" t="s">
        <v>4881</v>
      </c>
      <c r="E208" s="62">
        <v>46138.0</v>
      </c>
      <c r="F208" s="62">
        <v>46139.08333333334</v>
      </c>
      <c r="G208" s="61" t="s">
        <v>4811</v>
      </c>
      <c r="H208" s="61" t="s">
        <v>2246</v>
      </c>
      <c r="I208" s="61" t="s">
        <v>4812</v>
      </c>
      <c r="J208" s="63">
        <v>48.0</v>
      </c>
      <c r="K208" s="63">
        <f t="shared" si="1"/>
        <v>26</v>
      </c>
      <c r="L208" s="61" t="str">
        <f t="shared" si="2"/>
        <v>OK</v>
      </c>
      <c r="M208" s="61" t="s">
        <v>4882</v>
      </c>
    </row>
    <row r="209" ht="15.75" customHeight="1">
      <c r="A209" s="25" t="s">
        <v>5031</v>
      </c>
      <c r="B209" s="25" t="s">
        <v>231</v>
      </c>
      <c r="C209" s="25" t="s">
        <v>174</v>
      </c>
      <c r="D209" s="25" t="s">
        <v>4825</v>
      </c>
      <c r="E209" s="26">
        <v>46104.0</v>
      </c>
      <c r="F209" s="26">
        <v>46107.29166666666</v>
      </c>
      <c r="G209" s="25" t="s">
        <v>4811</v>
      </c>
      <c r="H209" s="25" t="s">
        <v>2246</v>
      </c>
      <c r="I209" s="25" t="s">
        <v>4812</v>
      </c>
      <c r="J209" s="29">
        <v>96.0</v>
      </c>
      <c r="K209" s="29">
        <f t="shared" si="1"/>
        <v>79</v>
      </c>
      <c r="L209" s="25" t="str">
        <f t="shared" si="2"/>
        <v>OK</v>
      </c>
      <c r="M209" s="25" t="s">
        <v>4827</v>
      </c>
    </row>
    <row r="210" ht="15.75" customHeight="1">
      <c r="A210" s="61" t="s">
        <v>5032</v>
      </c>
      <c r="B210" s="61" t="s">
        <v>745</v>
      </c>
      <c r="C210" s="61" t="s">
        <v>714</v>
      </c>
      <c r="D210" s="61" t="s">
        <v>4815</v>
      </c>
      <c r="E210" s="62">
        <v>46072.0</v>
      </c>
      <c r="F210" s="62">
        <v>46076.75</v>
      </c>
      <c r="G210" s="61" t="s">
        <v>3847</v>
      </c>
      <c r="H210" s="61" t="s">
        <v>2246</v>
      </c>
      <c r="I210" s="61" t="s">
        <v>4804</v>
      </c>
      <c r="J210" s="63">
        <v>96.0</v>
      </c>
      <c r="K210" s="63">
        <f t="shared" si="1"/>
        <v>114</v>
      </c>
      <c r="L210" s="61" t="str">
        <f t="shared" si="2"/>
        <v>Breach</v>
      </c>
      <c r="M210" s="61" t="s">
        <v>4817</v>
      </c>
    </row>
    <row r="211" ht="15.75" customHeight="1">
      <c r="A211" s="25" t="s">
        <v>5033</v>
      </c>
      <c r="B211" s="25" t="s">
        <v>827</v>
      </c>
      <c r="C211" s="25" t="s">
        <v>710</v>
      </c>
      <c r="D211" s="25" t="s">
        <v>4820</v>
      </c>
      <c r="E211" s="26">
        <v>46079.0</v>
      </c>
      <c r="F211" s="26"/>
      <c r="G211" s="25" t="s">
        <v>3847</v>
      </c>
      <c r="H211" s="25" t="s">
        <v>2246</v>
      </c>
      <c r="I211" s="25" t="s">
        <v>4816</v>
      </c>
      <c r="J211" s="29">
        <v>72.0</v>
      </c>
      <c r="K211" s="29">
        <f t="shared" si="1"/>
        <v>1896</v>
      </c>
      <c r="L211" s="25" t="str">
        <f t="shared" si="2"/>
        <v>Breach</v>
      </c>
      <c r="M211" s="25" t="s">
        <v>4822</v>
      </c>
    </row>
    <row r="212" ht="15.75" customHeight="1">
      <c r="A212" s="61" t="s">
        <v>5034</v>
      </c>
      <c r="B212" s="61" t="s">
        <v>1022</v>
      </c>
      <c r="C212" s="61" t="s">
        <v>955</v>
      </c>
      <c r="D212" s="61" t="s">
        <v>4810</v>
      </c>
      <c r="E212" s="62">
        <v>46049.0</v>
      </c>
      <c r="F212" s="62">
        <v>46053.29166666666</v>
      </c>
      <c r="G212" s="61" t="s">
        <v>3851</v>
      </c>
      <c r="H212" s="61" t="s">
        <v>2247</v>
      </c>
      <c r="I212" s="61" t="s">
        <v>4812</v>
      </c>
      <c r="J212" s="63">
        <v>96.0</v>
      </c>
      <c r="K212" s="63">
        <f t="shared" si="1"/>
        <v>103</v>
      </c>
      <c r="L212" s="61" t="str">
        <f t="shared" si="2"/>
        <v>Breach</v>
      </c>
      <c r="M212" s="61" t="s">
        <v>4813</v>
      </c>
    </row>
    <row r="213" ht="15.75" customHeight="1">
      <c r="A213" s="25" t="s">
        <v>5035</v>
      </c>
      <c r="B213" s="25" t="s">
        <v>467</v>
      </c>
      <c r="C213" s="25" t="s">
        <v>454</v>
      </c>
      <c r="D213" s="25" t="s">
        <v>4831</v>
      </c>
      <c r="E213" s="26">
        <v>46152.0</v>
      </c>
      <c r="F213" s="26"/>
      <c r="G213" s="25" t="s">
        <v>4811</v>
      </c>
      <c r="H213" s="25" t="s">
        <v>2246</v>
      </c>
      <c r="I213" s="25" t="s">
        <v>4821</v>
      </c>
      <c r="J213" s="29">
        <v>24.0</v>
      </c>
      <c r="K213" s="29">
        <f t="shared" si="1"/>
        <v>144</v>
      </c>
      <c r="L213" s="25" t="str">
        <f t="shared" si="2"/>
        <v>Breach</v>
      </c>
      <c r="M213" s="25" t="s">
        <v>4832</v>
      </c>
    </row>
    <row r="214" ht="15.75" customHeight="1">
      <c r="A214" s="61" t="s">
        <v>5036</v>
      </c>
      <c r="B214" s="61" t="s">
        <v>903</v>
      </c>
      <c r="C214" s="61" t="s">
        <v>855</v>
      </c>
      <c r="D214" s="61" t="s">
        <v>4803</v>
      </c>
      <c r="E214" s="62">
        <v>46120.0</v>
      </c>
      <c r="F214" s="62">
        <v>46123.41666666666</v>
      </c>
      <c r="G214" s="61" t="s">
        <v>3847</v>
      </c>
      <c r="H214" s="61" t="s">
        <v>2247</v>
      </c>
      <c r="I214" s="61" t="s">
        <v>4804</v>
      </c>
      <c r="J214" s="63">
        <v>24.0</v>
      </c>
      <c r="K214" s="63">
        <f t="shared" si="1"/>
        <v>82</v>
      </c>
      <c r="L214" s="61" t="str">
        <f t="shared" si="2"/>
        <v>Breach</v>
      </c>
      <c r="M214" s="61" t="s">
        <v>4805</v>
      </c>
    </row>
    <row r="215" ht="15.75" customHeight="1">
      <c r="A215" s="25" t="s">
        <v>5037</v>
      </c>
      <c r="B215" s="25" t="s">
        <v>404</v>
      </c>
      <c r="C215" s="25" t="s">
        <v>320</v>
      </c>
      <c r="D215" s="25" t="s">
        <v>4825</v>
      </c>
      <c r="E215" s="26">
        <v>46140.0</v>
      </c>
      <c r="F215" s="26">
        <v>46144.58333333334</v>
      </c>
      <c r="G215" s="25" t="s">
        <v>3851</v>
      </c>
      <c r="H215" s="25" t="s">
        <v>2246</v>
      </c>
      <c r="I215" s="25" t="s">
        <v>4804</v>
      </c>
      <c r="J215" s="29">
        <v>24.0</v>
      </c>
      <c r="K215" s="29">
        <f t="shared" si="1"/>
        <v>110</v>
      </c>
      <c r="L215" s="25" t="str">
        <f t="shared" si="2"/>
        <v>Breach</v>
      </c>
      <c r="M215" s="25" t="s">
        <v>4827</v>
      </c>
    </row>
    <row r="216" ht="15.75" customHeight="1">
      <c r="A216" s="61" t="s">
        <v>5038</v>
      </c>
      <c r="B216" s="61" t="s">
        <v>713</v>
      </c>
      <c r="C216" s="61" t="s">
        <v>714</v>
      </c>
      <c r="D216" s="61" t="s">
        <v>4881</v>
      </c>
      <c r="E216" s="62">
        <v>46140.0</v>
      </c>
      <c r="F216" s="62">
        <v>46140.95833333334</v>
      </c>
      <c r="G216" s="61" t="s">
        <v>3851</v>
      </c>
      <c r="H216" s="61" t="s">
        <v>2247</v>
      </c>
      <c r="I216" s="61" t="s">
        <v>4812</v>
      </c>
      <c r="J216" s="63">
        <v>48.0</v>
      </c>
      <c r="K216" s="63">
        <f t="shared" si="1"/>
        <v>23</v>
      </c>
      <c r="L216" s="61" t="str">
        <f t="shared" si="2"/>
        <v>OK</v>
      </c>
      <c r="M216" s="61" t="s">
        <v>4882</v>
      </c>
    </row>
    <row r="217" ht="15.75" customHeight="1">
      <c r="A217" s="25" t="s">
        <v>5039</v>
      </c>
      <c r="B217" s="25" t="s">
        <v>228</v>
      </c>
      <c r="C217" s="25" t="s">
        <v>170</v>
      </c>
      <c r="D217" s="25" t="s">
        <v>4807</v>
      </c>
      <c r="E217" s="26">
        <v>46089.0</v>
      </c>
      <c r="F217" s="26">
        <v>46092.54166666666</v>
      </c>
      <c r="G217" s="25" t="s">
        <v>3855</v>
      </c>
      <c r="H217" s="25" t="s">
        <v>2246</v>
      </c>
      <c r="I217" s="25" t="s">
        <v>4812</v>
      </c>
      <c r="J217" s="29">
        <v>72.0</v>
      </c>
      <c r="K217" s="29">
        <f t="shared" si="1"/>
        <v>85</v>
      </c>
      <c r="L217" s="25" t="str">
        <f t="shared" si="2"/>
        <v>Breach</v>
      </c>
      <c r="M217" s="25" t="s">
        <v>4808</v>
      </c>
    </row>
    <row r="218" ht="15.75" customHeight="1">
      <c r="A218" s="61" t="s">
        <v>5040</v>
      </c>
      <c r="B218" s="61" t="s">
        <v>993</v>
      </c>
      <c r="C218" s="61" t="s">
        <v>953</v>
      </c>
      <c r="D218" s="61" t="s">
        <v>4807</v>
      </c>
      <c r="E218" s="62">
        <v>46054.0</v>
      </c>
      <c r="F218" s="62"/>
      <c r="G218" s="61" t="s">
        <v>4811</v>
      </c>
      <c r="H218" s="61" t="s">
        <v>2246</v>
      </c>
      <c r="I218" s="61" t="s">
        <v>4816</v>
      </c>
      <c r="J218" s="63">
        <v>48.0</v>
      </c>
      <c r="K218" s="63">
        <f t="shared" si="1"/>
        <v>2496</v>
      </c>
      <c r="L218" s="61" t="str">
        <f t="shared" si="2"/>
        <v>Breach</v>
      </c>
      <c r="M218" s="61" t="s">
        <v>4808</v>
      </c>
    </row>
    <row r="219" ht="15.75" customHeight="1">
      <c r="A219" s="25" t="s">
        <v>5041</v>
      </c>
      <c r="B219" s="25" t="s">
        <v>1171</v>
      </c>
      <c r="C219" s="25" t="s">
        <v>1133</v>
      </c>
      <c r="D219" s="25" t="s">
        <v>4807</v>
      </c>
      <c r="E219" s="26">
        <v>46151.0</v>
      </c>
      <c r="F219" s="26">
        <v>46153.25</v>
      </c>
      <c r="G219" s="25" t="s">
        <v>4811</v>
      </c>
      <c r="H219" s="25" t="s">
        <v>2246</v>
      </c>
      <c r="I219" s="25" t="s">
        <v>4804</v>
      </c>
      <c r="J219" s="29">
        <v>24.0</v>
      </c>
      <c r="K219" s="29">
        <f t="shared" si="1"/>
        <v>54</v>
      </c>
      <c r="L219" s="25" t="str">
        <f t="shared" si="2"/>
        <v>Breach</v>
      </c>
      <c r="M219" s="25" t="s">
        <v>4808</v>
      </c>
    </row>
    <row r="220" ht="15.75" customHeight="1">
      <c r="A220" s="61" t="s">
        <v>5042</v>
      </c>
      <c r="B220" s="61" t="s">
        <v>443</v>
      </c>
      <c r="C220" s="61" t="s">
        <v>444</v>
      </c>
      <c r="D220" s="61" t="s">
        <v>4820</v>
      </c>
      <c r="E220" s="62">
        <v>46118.0</v>
      </c>
      <c r="F220" s="62">
        <v>46121.875</v>
      </c>
      <c r="G220" s="61" t="s">
        <v>3847</v>
      </c>
      <c r="H220" s="61" t="s">
        <v>2246</v>
      </c>
      <c r="I220" s="61" t="s">
        <v>4812</v>
      </c>
      <c r="J220" s="63">
        <v>96.0</v>
      </c>
      <c r="K220" s="63">
        <f t="shared" si="1"/>
        <v>93</v>
      </c>
      <c r="L220" s="61" t="str">
        <f t="shared" si="2"/>
        <v>OK</v>
      </c>
      <c r="M220" s="61" t="s">
        <v>4822</v>
      </c>
    </row>
    <row r="221" ht="15.75" customHeight="1">
      <c r="A221" s="25" t="s">
        <v>5043</v>
      </c>
      <c r="B221" s="25" t="s">
        <v>1072</v>
      </c>
      <c r="C221" s="25" t="s">
        <v>957</v>
      </c>
      <c r="D221" s="25" t="s">
        <v>4807</v>
      </c>
      <c r="E221" s="26">
        <v>46123.0</v>
      </c>
      <c r="F221" s="26">
        <v>46125.58333333334</v>
      </c>
      <c r="G221" s="25" t="s">
        <v>4826</v>
      </c>
      <c r="H221" s="25" t="s">
        <v>2246</v>
      </c>
      <c r="I221" s="25" t="s">
        <v>4804</v>
      </c>
      <c r="J221" s="29">
        <v>48.0</v>
      </c>
      <c r="K221" s="29">
        <f t="shared" si="1"/>
        <v>62</v>
      </c>
      <c r="L221" s="25" t="str">
        <f t="shared" si="2"/>
        <v>Breach</v>
      </c>
      <c r="M221" s="25" t="s">
        <v>4808</v>
      </c>
    </row>
    <row r="222" ht="15.75" customHeight="1">
      <c r="A222" s="61" t="s">
        <v>5044</v>
      </c>
      <c r="B222" s="61" t="s">
        <v>475</v>
      </c>
      <c r="C222" s="61" t="s">
        <v>1083</v>
      </c>
      <c r="D222" s="61" t="s">
        <v>4815</v>
      </c>
      <c r="E222" s="62">
        <v>46088.0</v>
      </c>
      <c r="F222" s="62"/>
      <c r="G222" s="61" t="s">
        <v>3847</v>
      </c>
      <c r="H222" s="61" t="s">
        <v>2246</v>
      </c>
      <c r="I222" s="61" t="s">
        <v>4821</v>
      </c>
      <c r="J222" s="63">
        <v>48.0</v>
      </c>
      <c r="K222" s="63">
        <f t="shared" si="1"/>
        <v>1680</v>
      </c>
      <c r="L222" s="61" t="str">
        <f t="shared" si="2"/>
        <v>Breach</v>
      </c>
      <c r="M222" s="61" t="s">
        <v>4817</v>
      </c>
    </row>
    <row r="223" ht="15.75" customHeight="1">
      <c r="A223" s="25" t="s">
        <v>5045</v>
      </c>
      <c r="B223" s="25" t="s">
        <v>1141</v>
      </c>
      <c r="C223" s="25" t="s">
        <v>1139</v>
      </c>
      <c r="D223" s="25" t="s">
        <v>4807</v>
      </c>
      <c r="E223" s="26">
        <v>46095.0</v>
      </c>
      <c r="F223" s="26"/>
      <c r="G223" s="25" t="s">
        <v>4826</v>
      </c>
      <c r="H223" s="25" t="s">
        <v>2246</v>
      </c>
      <c r="I223" s="25" t="s">
        <v>4816</v>
      </c>
      <c r="J223" s="29">
        <v>72.0</v>
      </c>
      <c r="K223" s="29">
        <f t="shared" si="1"/>
        <v>1512</v>
      </c>
      <c r="L223" s="25" t="str">
        <f t="shared" si="2"/>
        <v>Breach</v>
      </c>
      <c r="M223" s="25" t="s">
        <v>4808</v>
      </c>
    </row>
    <row r="224" ht="15.75" customHeight="1">
      <c r="A224" s="61" t="s">
        <v>5046</v>
      </c>
      <c r="B224" s="61" t="s">
        <v>580</v>
      </c>
      <c r="C224" s="61" t="s">
        <v>540</v>
      </c>
      <c r="D224" s="61" t="s">
        <v>4810</v>
      </c>
      <c r="E224" s="62">
        <v>46071.0</v>
      </c>
      <c r="F224" s="62">
        <v>46072.83333333334</v>
      </c>
      <c r="G224" s="61" t="s">
        <v>3847</v>
      </c>
      <c r="H224" s="61" t="s">
        <v>2247</v>
      </c>
      <c r="I224" s="61" t="s">
        <v>4804</v>
      </c>
      <c r="J224" s="63">
        <v>48.0</v>
      </c>
      <c r="K224" s="63">
        <f t="shared" si="1"/>
        <v>44</v>
      </c>
      <c r="L224" s="61" t="str">
        <f t="shared" si="2"/>
        <v>OK</v>
      </c>
      <c r="M224" s="61" t="s">
        <v>4813</v>
      </c>
    </row>
    <row r="225" ht="15.75" customHeight="1">
      <c r="A225" s="25" t="s">
        <v>5047</v>
      </c>
      <c r="B225" s="25" t="s">
        <v>819</v>
      </c>
      <c r="C225" s="25" t="s">
        <v>710</v>
      </c>
      <c r="D225" s="25" t="s">
        <v>4831</v>
      </c>
      <c r="E225" s="26">
        <v>46130.0</v>
      </c>
      <c r="F225" s="26">
        <v>46135.29166666666</v>
      </c>
      <c r="G225" s="25" t="s">
        <v>4826</v>
      </c>
      <c r="H225" s="25" t="s">
        <v>2247</v>
      </c>
      <c r="I225" s="25" t="s">
        <v>4804</v>
      </c>
      <c r="J225" s="29">
        <v>96.0</v>
      </c>
      <c r="K225" s="29">
        <f t="shared" si="1"/>
        <v>127</v>
      </c>
      <c r="L225" s="25" t="str">
        <f t="shared" si="2"/>
        <v>Breach</v>
      </c>
      <c r="M225" s="25" t="s">
        <v>4832</v>
      </c>
    </row>
    <row r="226" ht="15.75" customHeight="1">
      <c r="A226" s="61" t="s">
        <v>5048</v>
      </c>
      <c r="B226" s="61" t="s">
        <v>721</v>
      </c>
      <c r="C226" s="61" t="s">
        <v>710</v>
      </c>
      <c r="D226" s="61" t="s">
        <v>4815</v>
      </c>
      <c r="E226" s="62">
        <v>46049.0</v>
      </c>
      <c r="F226" s="62"/>
      <c r="G226" s="61" t="s">
        <v>3847</v>
      </c>
      <c r="H226" s="61" t="s">
        <v>2246</v>
      </c>
      <c r="I226" s="61" t="s">
        <v>4821</v>
      </c>
      <c r="J226" s="63">
        <v>48.0</v>
      </c>
      <c r="K226" s="63">
        <f t="shared" si="1"/>
        <v>2616</v>
      </c>
      <c r="L226" s="61" t="str">
        <f t="shared" si="2"/>
        <v>Breach</v>
      </c>
      <c r="M226" s="61" t="s">
        <v>4817</v>
      </c>
    </row>
    <row r="227" ht="15.75" customHeight="1">
      <c r="A227" s="25" t="s">
        <v>5049</v>
      </c>
      <c r="B227" s="25" t="s">
        <v>202</v>
      </c>
      <c r="C227" s="25" t="s">
        <v>198</v>
      </c>
      <c r="D227" s="25" t="s">
        <v>4831</v>
      </c>
      <c r="E227" s="26">
        <v>46093.0</v>
      </c>
      <c r="F227" s="26">
        <v>46098.0</v>
      </c>
      <c r="G227" s="25" t="s">
        <v>4826</v>
      </c>
      <c r="H227" s="25" t="s">
        <v>2246</v>
      </c>
      <c r="I227" s="25" t="s">
        <v>4804</v>
      </c>
      <c r="J227" s="29">
        <v>48.0</v>
      </c>
      <c r="K227" s="29">
        <f t="shared" si="1"/>
        <v>120</v>
      </c>
      <c r="L227" s="25" t="str">
        <f t="shared" si="2"/>
        <v>Breach</v>
      </c>
      <c r="M227" s="25" t="s">
        <v>4832</v>
      </c>
    </row>
    <row r="228" ht="15.75" customHeight="1">
      <c r="A228" s="61" t="s">
        <v>5050</v>
      </c>
      <c r="B228" s="61" t="s">
        <v>648</v>
      </c>
      <c r="C228" s="61" t="s">
        <v>566</v>
      </c>
      <c r="D228" s="61" t="s">
        <v>4803</v>
      </c>
      <c r="E228" s="62">
        <v>46103.0</v>
      </c>
      <c r="F228" s="62">
        <v>46108.04166666666</v>
      </c>
      <c r="G228" s="61" t="s">
        <v>4826</v>
      </c>
      <c r="H228" s="61" t="s">
        <v>2246</v>
      </c>
      <c r="I228" s="61" t="s">
        <v>4812</v>
      </c>
      <c r="J228" s="63">
        <v>96.0</v>
      </c>
      <c r="K228" s="63">
        <f t="shared" si="1"/>
        <v>121</v>
      </c>
      <c r="L228" s="61" t="str">
        <f t="shared" si="2"/>
        <v>Breach</v>
      </c>
      <c r="M228" s="61" t="s">
        <v>4805</v>
      </c>
    </row>
    <row r="229" ht="15.75" customHeight="1">
      <c r="A229" s="25" t="s">
        <v>5051</v>
      </c>
      <c r="B229" s="25" t="s">
        <v>145</v>
      </c>
      <c r="C229" s="25" t="s">
        <v>104</v>
      </c>
      <c r="D229" s="25" t="s">
        <v>4810</v>
      </c>
      <c r="E229" s="26">
        <v>46052.0</v>
      </c>
      <c r="F229" s="26"/>
      <c r="G229" s="25" t="s">
        <v>3855</v>
      </c>
      <c r="H229" s="25" t="s">
        <v>2246</v>
      </c>
      <c r="I229" s="25" t="s">
        <v>4821</v>
      </c>
      <c r="J229" s="29">
        <v>48.0</v>
      </c>
      <c r="K229" s="29">
        <f t="shared" si="1"/>
        <v>2544</v>
      </c>
      <c r="L229" s="25" t="str">
        <f t="shared" si="2"/>
        <v>Breach</v>
      </c>
      <c r="M229" s="25" t="s">
        <v>4813</v>
      </c>
    </row>
    <row r="230" ht="15.75" customHeight="1">
      <c r="A230" s="61" t="s">
        <v>5052</v>
      </c>
      <c r="B230" s="61" t="s">
        <v>458</v>
      </c>
      <c r="C230" s="61" t="s">
        <v>459</v>
      </c>
      <c r="D230" s="61" t="s">
        <v>4831</v>
      </c>
      <c r="E230" s="62">
        <v>46091.0</v>
      </c>
      <c r="F230" s="62"/>
      <c r="G230" s="61" t="s">
        <v>4811</v>
      </c>
      <c r="H230" s="61" t="s">
        <v>2247</v>
      </c>
      <c r="I230" s="61" t="s">
        <v>4816</v>
      </c>
      <c r="J230" s="63">
        <v>72.0</v>
      </c>
      <c r="K230" s="63">
        <f t="shared" si="1"/>
        <v>1608</v>
      </c>
      <c r="L230" s="61" t="str">
        <f t="shared" si="2"/>
        <v>Breach</v>
      </c>
      <c r="M230" s="61" t="s">
        <v>4832</v>
      </c>
    </row>
    <row r="231" ht="15.75" customHeight="1">
      <c r="A231" s="25" t="s">
        <v>5053</v>
      </c>
      <c r="B231" s="25" t="s">
        <v>964</v>
      </c>
      <c r="C231" s="25" t="s">
        <v>965</v>
      </c>
      <c r="D231" s="25" t="s">
        <v>4820</v>
      </c>
      <c r="E231" s="26">
        <v>46132.0</v>
      </c>
      <c r="F231" s="26">
        <v>46137.79166666666</v>
      </c>
      <c r="G231" s="25" t="s">
        <v>4811</v>
      </c>
      <c r="H231" s="25" t="s">
        <v>2246</v>
      </c>
      <c r="I231" s="25" t="s">
        <v>4812</v>
      </c>
      <c r="J231" s="29">
        <v>24.0</v>
      </c>
      <c r="K231" s="29">
        <f t="shared" si="1"/>
        <v>139</v>
      </c>
      <c r="L231" s="25" t="str">
        <f t="shared" si="2"/>
        <v>Breach</v>
      </c>
      <c r="M231" s="25" t="s">
        <v>4822</v>
      </c>
    </row>
    <row r="232" ht="15.75" customHeight="1">
      <c r="A232" s="61" t="s">
        <v>5054</v>
      </c>
      <c r="B232" s="61" t="s">
        <v>252</v>
      </c>
      <c r="C232" s="61" t="s">
        <v>170</v>
      </c>
      <c r="D232" s="61" t="s">
        <v>4825</v>
      </c>
      <c r="E232" s="62">
        <v>46129.0</v>
      </c>
      <c r="F232" s="62">
        <v>46131.58333333334</v>
      </c>
      <c r="G232" s="61" t="s">
        <v>4826</v>
      </c>
      <c r="H232" s="61" t="s">
        <v>2246</v>
      </c>
      <c r="I232" s="61" t="s">
        <v>4804</v>
      </c>
      <c r="J232" s="63">
        <v>96.0</v>
      </c>
      <c r="K232" s="63">
        <f t="shared" si="1"/>
        <v>62</v>
      </c>
      <c r="L232" s="61" t="str">
        <f t="shared" si="2"/>
        <v>OK</v>
      </c>
      <c r="M232" s="61" t="s">
        <v>4827</v>
      </c>
    </row>
    <row r="233" ht="15.75" customHeight="1">
      <c r="A233" s="25" t="s">
        <v>5055</v>
      </c>
      <c r="B233" s="25" t="s">
        <v>321</v>
      </c>
      <c r="C233" s="25" t="s">
        <v>320</v>
      </c>
      <c r="D233" s="25" t="s">
        <v>4810</v>
      </c>
      <c r="E233" s="26">
        <v>46131.0</v>
      </c>
      <c r="F233" s="26">
        <v>46135.29166666666</v>
      </c>
      <c r="G233" s="25" t="s">
        <v>4826</v>
      </c>
      <c r="H233" s="25" t="s">
        <v>2246</v>
      </c>
      <c r="I233" s="25" t="s">
        <v>4812</v>
      </c>
      <c r="J233" s="29">
        <v>96.0</v>
      </c>
      <c r="K233" s="29">
        <f t="shared" si="1"/>
        <v>103</v>
      </c>
      <c r="L233" s="25" t="str">
        <f t="shared" si="2"/>
        <v>Breach</v>
      </c>
      <c r="M233" s="25" t="s">
        <v>4813</v>
      </c>
    </row>
    <row r="234" ht="15.75" customHeight="1">
      <c r="A234" s="61" t="s">
        <v>5056</v>
      </c>
      <c r="B234" s="61" t="s">
        <v>813</v>
      </c>
      <c r="C234" s="61" t="s">
        <v>702</v>
      </c>
      <c r="D234" s="61" t="s">
        <v>4803</v>
      </c>
      <c r="E234" s="62">
        <v>46047.0</v>
      </c>
      <c r="F234" s="62">
        <v>46047.25</v>
      </c>
      <c r="G234" s="61" t="s">
        <v>3851</v>
      </c>
      <c r="H234" s="61" t="s">
        <v>2247</v>
      </c>
      <c r="I234" s="61" t="s">
        <v>4804</v>
      </c>
      <c r="J234" s="63">
        <v>72.0</v>
      </c>
      <c r="K234" s="63">
        <f t="shared" si="1"/>
        <v>6</v>
      </c>
      <c r="L234" s="61" t="str">
        <f t="shared" si="2"/>
        <v>OK</v>
      </c>
      <c r="M234" s="61" t="s">
        <v>4805</v>
      </c>
    </row>
    <row r="235" ht="15.75" customHeight="1">
      <c r="A235" s="25" t="s">
        <v>5057</v>
      </c>
      <c r="B235" s="25" t="s">
        <v>983</v>
      </c>
      <c r="C235" s="25" t="s">
        <v>984</v>
      </c>
      <c r="D235" s="25" t="s">
        <v>4820</v>
      </c>
      <c r="E235" s="26">
        <v>46149.0</v>
      </c>
      <c r="F235" s="26">
        <v>46153.04166666666</v>
      </c>
      <c r="G235" s="25" t="s">
        <v>3847</v>
      </c>
      <c r="H235" s="25" t="s">
        <v>2246</v>
      </c>
      <c r="I235" s="25" t="s">
        <v>4804</v>
      </c>
      <c r="J235" s="29">
        <v>96.0</v>
      </c>
      <c r="K235" s="29">
        <f t="shared" si="1"/>
        <v>97</v>
      </c>
      <c r="L235" s="25" t="str">
        <f t="shared" si="2"/>
        <v>Breach</v>
      </c>
      <c r="M235" s="25" t="s">
        <v>4822</v>
      </c>
    </row>
    <row r="236" ht="15.75" customHeight="1">
      <c r="A236" s="61" t="s">
        <v>5058</v>
      </c>
      <c r="B236" s="61" t="s">
        <v>759</v>
      </c>
      <c r="C236" s="61" t="s">
        <v>704</v>
      </c>
      <c r="D236" s="61" t="s">
        <v>4831</v>
      </c>
      <c r="E236" s="62">
        <v>46054.0</v>
      </c>
      <c r="F236" s="62">
        <v>46055.58333333334</v>
      </c>
      <c r="G236" s="61" t="s">
        <v>4826</v>
      </c>
      <c r="H236" s="61" t="s">
        <v>2246</v>
      </c>
      <c r="I236" s="61" t="s">
        <v>4804</v>
      </c>
      <c r="J236" s="63">
        <v>24.0</v>
      </c>
      <c r="K236" s="63">
        <f t="shared" si="1"/>
        <v>38</v>
      </c>
      <c r="L236" s="61" t="str">
        <f t="shared" si="2"/>
        <v>Breach</v>
      </c>
      <c r="M236" s="61" t="s">
        <v>4832</v>
      </c>
    </row>
    <row r="237" ht="15.75" customHeight="1">
      <c r="A237" s="25" t="s">
        <v>5059</v>
      </c>
      <c r="B237" s="25" t="s">
        <v>690</v>
      </c>
      <c r="C237" s="25" t="s">
        <v>573</v>
      </c>
      <c r="D237" s="25" t="s">
        <v>4807</v>
      </c>
      <c r="E237" s="26">
        <v>46121.0</v>
      </c>
      <c r="F237" s="26">
        <v>46124.95833333334</v>
      </c>
      <c r="G237" s="25" t="s">
        <v>3847</v>
      </c>
      <c r="H237" s="25" t="s">
        <v>2246</v>
      </c>
      <c r="I237" s="25" t="s">
        <v>4804</v>
      </c>
      <c r="J237" s="29">
        <v>48.0</v>
      </c>
      <c r="K237" s="29">
        <f t="shared" si="1"/>
        <v>95</v>
      </c>
      <c r="L237" s="25" t="str">
        <f t="shared" si="2"/>
        <v>Breach</v>
      </c>
      <c r="M237" s="25" t="s">
        <v>4808</v>
      </c>
    </row>
    <row r="238" ht="15.75" customHeight="1">
      <c r="A238" s="61" t="s">
        <v>5060</v>
      </c>
      <c r="B238" s="61" t="s">
        <v>1109</v>
      </c>
      <c r="C238" s="61" t="s">
        <v>1081</v>
      </c>
      <c r="D238" s="61" t="s">
        <v>4831</v>
      </c>
      <c r="E238" s="62">
        <v>46131.0</v>
      </c>
      <c r="F238" s="62">
        <v>46134.66666666666</v>
      </c>
      <c r="G238" s="61" t="s">
        <v>3855</v>
      </c>
      <c r="H238" s="61" t="s">
        <v>2247</v>
      </c>
      <c r="I238" s="61" t="s">
        <v>4804</v>
      </c>
      <c r="J238" s="63">
        <v>48.0</v>
      </c>
      <c r="K238" s="63">
        <f t="shared" si="1"/>
        <v>88</v>
      </c>
      <c r="L238" s="61" t="str">
        <f t="shared" si="2"/>
        <v>Breach</v>
      </c>
      <c r="M238" s="61" t="s">
        <v>4832</v>
      </c>
    </row>
    <row r="239" ht="15.75" customHeight="1">
      <c r="A239" s="25" t="s">
        <v>5061</v>
      </c>
      <c r="B239" s="25" t="s">
        <v>672</v>
      </c>
      <c r="C239" s="25" t="s">
        <v>575</v>
      </c>
      <c r="D239" s="25" t="s">
        <v>4825</v>
      </c>
      <c r="E239" s="26">
        <v>46113.0</v>
      </c>
      <c r="F239" s="26"/>
      <c r="G239" s="25" t="s">
        <v>4811</v>
      </c>
      <c r="H239" s="25" t="s">
        <v>2246</v>
      </c>
      <c r="I239" s="25" t="s">
        <v>4821</v>
      </c>
      <c r="J239" s="29">
        <v>96.0</v>
      </c>
      <c r="K239" s="29">
        <f t="shared" si="1"/>
        <v>1080</v>
      </c>
      <c r="L239" s="25" t="str">
        <f t="shared" si="2"/>
        <v>Breach</v>
      </c>
      <c r="M239" s="25" t="s">
        <v>4827</v>
      </c>
    </row>
    <row r="240" ht="15.75" customHeight="1">
      <c r="A240" s="61" t="s">
        <v>5062</v>
      </c>
      <c r="B240" s="61" t="s">
        <v>1112</v>
      </c>
      <c r="C240" s="61" t="s">
        <v>1083</v>
      </c>
      <c r="D240" s="61" t="s">
        <v>4881</v>
      </c>
      <c r="E240" s="62">
        <v>46054.0</v>
      </c>
      <c r="F240" s="62">
        <v>46059.66666666666</v>
      </c>
      <c r="G240" s="61" t="s">
        <v>3855</v>
      </c>
      <c r="H240" s="61" t="s">
        <v>2246</v>
      </c>
      <c r="I240" s="61" t="s">
        <v>4812</v>
      </c>
      <c r="J240" s="63">
        <v>72.0</v>
      </c>
      <c r="K240" s="63">
        <f t="shared" si="1"/>
        <v>136</v>
      </c>
      <c r="L240" s="61" t="str">
        <f t="shared" si="2"/>
        <v>Breach</v>
      </c>
      <c r="M240" s="61" t="s">
        <v>4882</v>
      </c>
    </row>
    <row r="241" ht="15.75" customHeight="1">
      <c r="A241" s="25" t="s">
        <v>5063</v>
      </c>
      <c r="B241" s="25" t="s">
        <v>383</v>
      </c>
      <c r="C241" s="25" t="s">
        <v>330</v>
      </c>
      <c r="D241" s="25" t="s">
        <v>4803</v>
      </c>
      <c r="E241" s="26">
        <v>46147.0</v>
      </c>
      <c r="F241" s="26"/>
      <c r="G241" s="25" t="s">
        <v>4811</v>
      </c>
      <c r="H241" s="25" t="s">
        <v>2246</v>
      </c>
      <c r="I241" s="25" t="s">
        <v>4816</v>
      </c>
      <c r="J241" s="29">
        <v>24.0</v>
      </c>
      <c r="K241" s="29">
        <f t="shared" si="1"/>
        <v>264</v>
      </c>
      <c r="L241" s="25" t="str">
        <f t="shared" si="2"/>
        <v>Breach</v>
      </c>
      <c r="M241" s="25" t="s">
        <v>4805</v>
      </c>
    </row>
    <row r="242" ht="15.75" customHeight="1">
      <c r="A242" s="61" t="s">
        <v>5064</v>
      </c>
      <c r="B242" s="61" t="s">
        <v>901</v>
      </c>
      <c r="C242" s="61" t="s">
        <v>857</v>
      </c>
      <c r="D242" s="61" t="s">
        <v>4881</v>
      </c>
      <c r="E242" s="62">
        <v>46046.0</v>
      </c>
      <c r="F242" s="62"/>
      <c r="G242" s="61" t="s">
        <v>3851</v>
      </c>
      <c r="H242" s="61" t="s">
        <v>2246</v>
      </c>
      <c r="I242" s="61" t="s">
        <v>4816</v>
      </c>
      <c r="J242" s="63">
        <v>24.0</v>
      </c>
      <c r="K242" s="63">
        <f t="shared" si="1"/>
        <v>2688</v>
      </c>
      <c r="L242" s="61" t="str">
        <f t="shared" si="2"/>
        <v>Breach</v>
      </c>
      <c r="M242" s="61" t="s">
        <v>4882</v>
      </c>
    </row>
    <row r="243" ht="15.75" customHeight="1">
      <c r="A243" s="25" t="s">
        <v>5065</v>
      </c>
      <c r="B243" s="25" t="s">
        <v>785</v>
      </c>
      <c r="C243" s="25" t="s">
        <v>698</v>
      </c>
      <c r="D243" s="25" t="s">
        <v>4810</v>
      </c>
      <c r="E243" s="26">
        <v>46045.0</v>
      </c>
      <c r="F243" s="26"/>
      <c r="G243" s="25" t="s">
        <v>3847</v>
      </c>
      <c r="H243" s="25" t="s">
        <v>2247</v>
      </c>
      <c r="I243" s="25" t="s">
        <v>4816</v>
      </c>
      <c r="J243" s="29">
        <v>48.0</v>
      </c>
      <c r="K243" s="29">
        <f t="shared" si="1"/>
        <v>2712</v>
      </c>
      <c r="L243" s="25" t="str">
        <f t="shared" si="2"/>
        <v>Breach</v>
      </c>
      <c r="M243" s="25" t="s">
        <v>4813</v>
      </c>
    </row>
    <row r="244" ht="15.75" customHeight="1">
      <c r="A244" s="61" t="s">
        <v>5066</v>
      </c>
      <c r="B244" s="61" t="s">
        <v>512</v>
      </c>
      <c r="C244" s="61" t="s">
        <v>464</v>
      </c>
      <c r="D244" s="61" t="s">
        <v>4831</v>
      </c>
      <c r="E244" s="62">
        <v>46143.0</v>
      </c>
      <c r="F244" s="62"/>
      <c r="G244" s="61" t="s">
        <v>4811</v>
      </c>
      <c r="H244" s="61" t="s">
        <v>2246</v>
      </c>
      <c r="I244" s="61" t="s">
        <v>4821</v>
      </c>
      <c r="J244" s="63">
        <v>24.0</v>
      </c>
      <c r="K244" s="63">
        <f t="shared" si="1"/>
        <v>360</v>
      </c>
      <c r="L244" s="61" t="str">
        <f t="shared" si="2"/>
        <v>Breach</v>
      </c>
      <c r="M244" s="61" t="s">
        <v>4832</v>
      </c>
    </row>
    <row r="245" ht="15.75" customHeight="1">
      <c r="A245" s="25" t="s">
        <v>5067</v>
      </c>
      <c r="B245" s="25" t="s">
        <v>500</v>
      </c>
      <c r="C245" s="25" t="s">
        <v>444</v>
      </c>
      <c r="D245" s="25" t="s">
        <v>4807</v>
      </c>
      <c r="E245" s="26">
        <v>46087.0</v>
      </c>
      <c r="F245" s="26">
        <v>46091.20833333334</v>
      </c>
      <c r="G245" s="25" t="s">
        <v>4811</v>
      </c>
      <c r="H245" s="25" t="s">
        <v>2246</v>
      </c>
      <c r="I245" s="25" t="s">
        <v>4812</v>
      </c>
      <c r="J245" s="29">
        <v>96.0</v>
      </c>
      <c r="K245" s="29">
        <f t="shared" si="1"/>
        <v>101</v>
      </c>
      <c r="L245" s="25" t="str">
        <f t="shared" si="2"/>
        <v>Breach</v>
      </c>
      <c r="M245" s="25" t="s">
        <v>4808</v>
      </c>
    </row>
    <row r="246" ht="15.75" customHeight="1">
      <c r="A246" s="61" t="s">
        <v>5068</v>
      </c>
      <c r="B246" s="61" t="s">
        <v>681</v>
      </c>
      <c r="C246" s="61" t="s">
        <v>547</v>
      </c>
      <c r="D246" s="61" t="s">
        <v>4810</v>
      </c>
      <c r="E246" s="62">
        <v>46038.0</v>
      </c>
      <c r="F246" s="62">
        <v>46043.66666666666</v>
      </c>
      <c r="G246" s="61" t="s">
        <v>3847</v>
      </c>
      <c r="H246" s="61" t="s">
        <v>2246</v>
      </c>
      <c r="I246" s="61" t="s">
        <v>4804</v>
      </c>
      <c r="J246" s="63">
        <v>96.0</v>
      </c>
      <c r="K246" s="63">
        <f t="shared" si="1"/>
        <v>136</v>
      </c>
      <c r="L246" s="61" t="str">
        <f t="shared" si="2"/>
        <v>Breach</v>
      </c>
      <c r="M246" s="61" t="s">
        <v>4813</v>
      </c>
    </row>
    <row r="247" ht="15.75" customHeight="1">
      <c r="A247" s="25" t="s">
        <v>5069</v>
      </c>
      <c r="B247" s="25" t="s">
        <v>584</v>
      </c>
      <c r="C247" s="25" t="s">
        <v>570</v>
      </c>
      <c r="D247" s="25" t="s">
        <v>4820</v>
      </c>
      <c r="E247" s="26">
        <v>46059.0</v>
      </c>
      <c r="F247" s="26">
        <v>46063.125</v>
      </c>
      <c r="G247" s="25" t="s">
        <v>4826</v>
      </c>
      <c r="H247" s="25" t="s">
        <v>2246</v>
      </c>
      <c r="I247" s="25" t="s">
        <v>4804</v>
      </c>
      <c r="J247" s="29">
        <v>48.0</v>
      </c>
      <c r="K247" s="29">
        <f t="shared" si="1"/>
        <v>99</v>
      </c>
      <c r="L247" s="25" t="str">
        <f t="shared" si="2"/>
        <v>Breach</v>
      </c>
      <c r="M247" s="25" t="s">
        <v>4822</v>
      </c>
    </row>
    <row r="248" ht="15.75" customHeight="1">
      <c r="A248" s="61" t="s">
        <v>5070</v>
      </c>
      <c r="B248" s="61" t="s">
        <v>304</v>
      </c>
      <c r="C248" s="61" t="s">
        <v>305</v>
      </c>
      <c r="D248" s="61" t="s">
        <v>4807</v>
      </c>
      <c r="E248" s="62">
        <v>46153.0</v>
      </c>
      <c r="F248" s="62"/>
      <c r="G248" s="61" t="s">
        <v>4811</v>
      </c>
      <c r="H248" s="61" t="s">
        <v>2246</v>
      </c>
      <c r="I248" s="61" t="s">
        <v>4816</v>
      </c>
      <c r="J248" s="63">
        <v>48.0</v>
      </c>
      <c r="K248" s="63">
        <f t="shared" si="1"/>
        <v>120</v>
      </c>
      <c r="L248" s="61" t="str">
        <f t="shared" si="2"/>
        <v>Breach</v>
      </c>
      <c r="M248" s="61" t="s">
        <v>4808</v>
      </c>
    </row>
    <row r="249" ht="15.75" customHeight="1">
      <c r="A249" s="25" t="s">
        <v>5071</v>
      </c>
      <c r="B249" s="25" t="s">
        <v>664</v>
      </c>
      <c r="C249" s="25" t="s">
        <v>547</v>
      </c>
      <c r="D249" s="25" t="s">
        <v>4807</v>
      </c>
      <c r="E249" s="26">
        <v>46077.0</v>
      </c>
      <c r="F249" s="26">
        <v>46080.20833333334</v>
      </c>
      <c r="G249" s="25" t="s">
        <v>3851</v>
      </c>
      <c r="H249" s="25" t="s">
        <v>2246</v>
      </c>
      <c r="I249" s="25" t="s">
        <v>4804</v>
      </c>
      <c r="J249" s="29">
        <v>24.0</v>
      </c>
      <c r="K249" s="29">
        <f t="shared" si="1"/>
        <v>77</v>
      </c>
      <c r="L249" s="25" t="str">
        <f t="shared" si="2"/>
        <v>Breach</v>
      </c>
      <c r="M249" s="25" t="s">
        <v>4808</v>
      </c>
    </row>
    <row r="250" ht="15.75" customHeight="1">
      <c r="A250" s="61" t="s">
        <v>5072</v>
      </c>
      <c r="B250" s="61" t="s">
        <v>1101</v>
      </c>
      <c r="C250" s="61" t="s">
        <v>1075</v>
      </c>
      <c r="D250" s="61" t="s">
        <v>4825</v>
      </c>
      <c r="E250" s="62">
        <v>46030.0</v>
      </c>
      <c r="F250" s="62">
        <v>46030.625</v>
      </c>
      <c r="G250" s="61" t="s">
        <v>4826</v>
      </c>
      <c r="H250" s="61" t="s">
        <v>2247</v>
      </c>
      <c r="I250" s="61" t="s">
        <v>4804</v>
      </c>
      <c r="J250" s="63">
        <v>96.0</v>
      </c>
      <c r="K250" s="63">
        <f t="shared" si="1"/>
        <v>15</v>
      </c>
      <c r="L250" s="61" t="str">
        <f t="shared" si="2"/>
        <v>OK</v>
      </c>
      <c r="M250" s="61" t="s">
        <v>4827</v>
      </c>
    </row>
    <row r="251" ht="15.75" customHeight="1">
      <c r="A251" s="25" t="s">
        <v>5073</v>
      </c>
      <c r="B251" s="25" t="s">
        <v>1172</v>
      </c>
      <c r="C251" s="25" t="s">
        <v>1154</v>
      </c>
      <c r="D251" s="25" t="s">
        <v>4881</v>
      </c>
      <c r="E251" s="26">
        <v>46094.0</v>
      </c>
      <c r="F251" s="26">
        <v>46096.66666666666</v>
      </c>
      <c r="G251" s="25" t="s">
        <v>4826</v>
      </c>
      <c r="H251" s="25" t="s">
        <v>2246</v>
      </c>
      <c r="I251" s="25" t="s">
        <v>4812</v>
      </c>
      <c r="J251" s="29">
        <v>24.0</v>
      </c>
      <c r="K251" s="29">
        <f t="shared" si="1"/>
        <v>64</v>
      </c>
      <c r="L251" s="25" t="str">
        <f t="shared" si="2"/>
        <v>Breach</v>
      </c>
      <c r="M251" s="25" t="s">
        <v>4882</v>
      </c>
    </row>
    <row r="252" ht="15.75" customHeight="1">
      <c r="A252" s="61" t="s">
        <v>5074</v>
      </c>
      <c r="B252" s="61" t="s">
        <v>682</v>
      </c>
      <c r="C252" s="61" t="s">
        <v>540</v>
      </c>
      <c r="D252" s="61" t="s">
        <v>4815</v>
      </c>
      <c r="E252" s="62">
        <v>46156.0</v>
      </c>
      <c r="F252" s="62">
        <v>46159.45833333334</v>
      </c>
      <c r="G252" s="61" t="s">
        <v>3855</v>
      </c>
      <c r="H252" s="61" t="s">
        <v>2246</v>
      </c>
      <c r="I252" s="61" t="s">
        <v>4804</v>
      </c>
      <c r="J252" s="63">
        <v>24.0</v>
      </c>
      <c r="K252" s="63">
        <f t="shared" si="1"/>
        <v>83</v>
      </c>
      <c r="L252" s="61" t="str">
        <f t="shared" si="2"/>
        <v>Breach</v>
      </c>
      <c r="M252" s="61" t="s">
        <v>4817</v>
      </c>
    </row>
    <row r="253" ht="15.75" customHeight="1">
      <c r="A253" s="25" t="s">
        <v>5075</v>
      </c>
      <c r="B253" s="25" t="s">
        <v>161</v>
      </c>
      <c r="C253" s="25" t="s">
        <v>83</v>
      </c>
      <c r="D253" s="25" t="s">
        <v>4803</v>
      </c>
      <c r="E253" s="26">
        <v>46051.0</v>
      </c>
      <c r="F253" s="26">
        <v>46053.75</v>
      </c>
      <c r="G253" s="25" t="s">
        <v>3847</v>
      </c>
      <c r="H253" s="25" t="s">
        <v>2247</v>
      </c>
      <c r="I253" s="25" t="s">
        <v>4812</v>
      </c>
      <c r="J253" s="29">
        <v>72.0</v>
      </c>
      <c r="K253" s="29">
        <f t="shared" si="1"/>
        <v>66</v>
      </c>
      <c r="L253" s="25" t="str">
        <f t="shared" si="2"/>
        <v>OK</v>
      </c>
      <c r="M253" s="25" t="s">
        <v>4805</v>
      </c>
    </row>
    <row r="254" ht="15.75" customHeight="1">
      <c r="A254" s="61" t="s">
        <v>5076</v>
      </c>
      <c r="B254" s="61" t="s">
        <v>776</v>
      </c>
      <c r="C254" s="61" t="s">
        <v>735</v>
      </c>
      <c r="D254" s="61" t="s">
        <v>4820</v>
      </c>
      <c r="E254" s="62">
        <v>46141.0</v>
      </c>
      <c r="F254" s="62">
        <v>46146.75</v>
      </c>
      <c r="G254" s="61" t="s">
        <v>4826</v>
      </c>
      <c r="H254" s="61" t="s">
        <v>2246</v>
      </c>
      <c r="I254" s="61" t="s">
        <v>4804</v>
      </c>
      <c r="J254" s="63">
        <v>72.0</v>
      </c>
      <c r="K254" s="63">
        <f t="shared" si="1"/>
        <v>138</v>
      </c>
      <c r="L254" s="61" t="str">
        <f t="shared" si="2"/>
        <v>Breach</v>
      </c>
      <c r="M254" s="61" t="s">
        <v>4822</v>
      </c>
    </row>
    <row r="255" ht="15.75" customHeight="1">
      <c r="A255" s="25" t="s">
        <v>5077</v>
      </c>
      <c r="B255" s="25" t="s">
        <v>208</v>
      </c>
      <c r="C255" s="25" t="s">
        <v>179</v>
      </c>
      <c r="D255" s="25" t="s">
        <v>4803</v>
      </c>
      <c r="E255" s="26">
        <v>46141.0</v>
      </c>
      <c r="F255" s="26">
        <v>46142.91666666666</v>
      </c>
      <c r="G255" s="25" t="s">
        <v>3851</v>
      </c>
      <c r="H255" s="25" t="s">
        <v>2247</v>
      </c>
      <c r="I255" s="25" t="s">
        <v>4804</v>
      </c>
      <c r="J255" s="29">
        <v>48.0</v>
      </c>
      <c r="K255" s="29">
        <f t="shared" si="1"/>
        <v>46</v>
      </c>
      <c r="L255" s="25" t="str">
        <f t="shared" si="2"/>
        <v>OK</v>
      </c>
      <c r="M255" s="25" t="s">
        <v>4805</v>
      </c>
    </row>
    <row r="256" ht="15.75" customHeight="1">
      <c r="A256" s="61" t="s">
        <v>5078</v>
      </c>
      <c r="B256" s="61" t="s">
        <v>429</v>
      </c>
      <c r="C256" s="61" t="s">
        <v>299</v>
      </c>
      <c r="D256" s="61" t="s">
        <v>4803</v>
      </c>
      <c r="E256" s="62">
        <v>46076.0</v>
      </c>
      <c r="F256" s="62">
        <v>46080.79166666666</v>
      </c>
      <c r="G256" s="61" t="s">
        <v>4811</v>
      </c>
      <c r="H256" s="61" t="s">
        <v>2246</v>
      </c>
      <c r="I256" s="61" t="s">
        <v>4804</v>
      </c>
      <c r="J256" s="63">
        <v>72.0</v>
      </c>
      <c r="K256" s="63">
        <f t="shared" si="1"/>
        <v>115</v>
      </c>
      <c r="L256" s="61" t="str">
        <f t="shared" si="2"/>
        <v>Breach</v>
      </c>
      <c r="M256" s="61" t="s">
        <v>4805</v>
      </c>
    </row>
    <row r="257" ht="15.75" customHeight="1">
      <c r="A257" s="25" t="s">
        <v>5079</v>
      </c>
      <c r="B257" s="25" t="s">
        <v>1105</v>
      </c>
      <c r="C257" s="25" t="s">
        <v>1081</v>
      </c>
      <c r="D257" s="25" t="s">
        <v>4825</v>
      </c>
      <c r="E257" s="26">
        <v>46132.0</v>
      </c>
      <c r="F257" s="26"/>
      <c r="G257" s="25" t="s">
        <v>4811</v>
      </c>
      <c r="H257" s="25" t="s">
        <v>2246</v>
      </c>
      <c r="I257" s="25" t="s">
        <v>4816</v>
      </c>
      <c r="J257" s="29">
        <v>72.0</v>
      </c>
      <c r="K257" s="29">
        <f t="shared" si="1"/>
        <v>624</v>
      </c>
      <c r="L257" s="25" t="str">
        <f t="shared" si="2"/>
        <v>Breach</v>
      </c>
      <c r="M257" s="25" t="s">
        <v>4827</v>
      </c>
    </row>
    <row r="258" ht="15.75" customHeight="1">
      <c r="A258" s="61" t="s">
        <v>5080</v>
      </c>
      <c r="B258" s="61" t="s">
        <v>732</v>
      </c>
      <c r="C258" s="61" t="s">
        <v>733</v>
      </c>
      <c r="D258" s="61" t="s">
        <v>4810</v>
      </c>
      <c r="E258" s="62">
        <v>46088.0</v>
      </c>
      <c r="F258" s="62"/>
      <c r="G258" s="61" t="s">
        <v>4826</v>
      </c>
      <c r="H258" s="61" t="s">
        <v>2247</v>
      </c>
      <c r="I258" s="61" t="s">
        <v>4816</v>
      </c>
      <c r="J258" s="63">
        <v>96.0</v>
      </c>
      <c r="K258" s="63">
        <f t="shared" si="1"/>
        <v>1680</v>
      </c>
      <c r="L258" s="61" t="str">
        <f t="shared" si="2"/>
        <v>Breach</v>
      </c>
      <c r="M258" s="61" t="s">
        <v>4813</v>
      </c>
    </row>
    <row r="259" ht="15.75" customHeight="1">
      <c r="A259" s="25" t="s">
        <v>5081</v>
      </c>
      <c r="B259" s="25" t="s">
        <v>490</v>
      </c>
      <c r="C259" s="25" t="s">
        <v>452</v>
      </c>
      <c r="D259" s="25" t="s">
        <v>4807</v>
      </c>
      <c r="E259" s="26">
        <v>46078.0</v>
      </c>
      <c r="F259" s="26">
        <v>46078.79166666666</v>
      </c>
      <c r="G259" s="25" t="s">
        <v>4826</v>
      </c>
      <c r="H259" s="25" t="s">
        <v>2247</v>
      </c>
      <c r="I259" s="25" t="s">
        <v>4804</v>
      </c>
      <c r="J259" s="29">
        <v>24.0</v>
      </c>
      <c r="K259" s="29">
        <f t="shared" si="1"/>
        <v>19</v>
      </c>
      <c r="L259" s="25" t="str">
        <f t="shared" si="2"/>
        <v>OK</v>
      </c>
      <c r="M259" s="25" t="s">
        <v>4808</v>
      </c>
    </row>
    <row r="260" ht="15.75" customHeight="1">
      <c r="A260" s="61" t="s">
        <v>5082</v>
      </c>
      <c r="B260" s="61" t="s">
        <v>1041</v>
      </c>
      <c r="C260" s="61" t="s">
        <v>980</v>
      </c>
      <c r="D260" s="61" t="s">
        <v>4820</v>
      </c>
      <c r="E260" s="62">
        <v>46115.0</v>
      </c>
      <c r="F260" s="62"/>
      <c r="G260" s="61" t="s">
        <v>4811</v>
      </c>
      <c r="H260" s="61" t="s">
        <v>2246</v>
      </c>
      <c r="I260" s="61" t="s">
        <v>4816</v>
      </c>
      <c r="J260" s="63">
        <v>48.0</v>
      </c>
      <c r="K260" s="63">
        <f t="shared" si="1"/>
        <v>1032</v>
      </c>
      <c r="L260" s="61" t="str">
        <f t="shared" si="2"/>
        <v>Breach</v>
      </c>
      <c r="M260" s="61" t="s">
        <v>4822</v>
      </c>
    </row>
    <row r="261" ht="15.75" customHeight="1">
      <c r="A261" s="25" t="s">
        <v>5083</v>
      </c>
      <c r="B261" s="25" t="s">
        <v>370</v>
      </c>
      <c r="C261" s="25" t="s">
        <v>301</v>
      </c>
      <c r="D261" s="25" t="s">
        <v>4825</v>
      </c>
      <c r="E261" s="26">
        <v>46040.0</v>
      </c>
      <c r="F261" s="26">
        <v>46041.70833333334</v>
      </c>
      <c r="G261" s="25" t="s">
        <v>3847</v>
      </c>
      <c r="H261" s="25" t="s">
        <v>2246</v>
      </c>
      <c r="I261" s="25" t="s">
        <v>4804</v>
      </c>
      <c r="J261" s="29">
        <v>24.0</v>
      </c>
      <c r="K261" s="29">
        <f t="shared" si="1"/>
        <v>41</v>
      </c>
      <c r="L261" s="25" t="str">
        <f t="shared" si="2"/>
        <v>Breach</v>
      </c>
      <c r="M261" s="25" t="s">
        <v>4827</v>
      </c>
    </row>
    <row r="262" ht="15.75" customHeight="1">
      <c r="A262" s="61" t="s">
        <v>5084</v>
      </c>
      <c r="B262" s="61" t="s">
        <v>316</v>
      </c>
      <c r="C262" s="61" t="s">
        <v>297</v>
      </c>
      <c r="D262" s="61" t="s">
        <v>4815</v>
      </c>
      <c r="E262" s="62">
        <v>46130.0</v>
      </c>
      <c r="F262" s="62">
        <v>46134.125</v>
      </c>
      <c r="G262" s="61" t="s">
        <v>3855</v>
      </c>
      <c r="H262" s="61" t="s">
        <v>2246</v>
      </c>
      <c r="I262" s="61" t="s">
        <v>4812</v>
      </c>
      <c r="J262" s="63">
        <v>72.0</v>
      </c>
      <c r="K262" s="63">
        <f t="shared" si="1"/>
        <v>99</v>
      </c>
      <c r="L262" s="61" t="str">
        <f t="shared" si="2"/>
        <v>Breach</v>
      </c>
      <c r="M262" s="61" t="s">
        <v>4817</v>
      </c>
    </row>
    <row r="263" ht="15.75" customHeight="1">
      <c r="A263" s="25" t="s">
        <v>5085</v>
      </c>
      <c r="B263" s="25" t="s">
        <v>585</v>
      </c>
      <c r="C263" s="25" t="s">
        <v>553</v>
      </c>
      <c r="D263" s="25" t="s">
        <v>4803</v>
      </c>
      <c r="E263" s="26">
        <v>46156.0</v>
      </c>
      <c r="F263" s="26">
        <v>46159.125</v>
      </c>
      <c r="G263" s="25" t="s">
        <v>3851</v>
      </c>
      <c r="H263" s="25" t="s">
        <v>2246</v>
      </c>
      <c r="I263" s="25" t="s">
        <v>4804</v>
      </c>
      <c r="J263" s="29">
        <v>48.0</v>
      </c>
      <c r="K263" s="29">
        <f t="shared" si="1"/>
        <v>75</v>
      </c>
      <c r="L263" s="25" t="str">
        <f t="shared" si="2"/>
        <v>Breach</v>
      </c>
      <c r="M263" s="25" t="s">
        <v>4805</v>
      </c>
    </row>
    <row r="264" ht="15.75" customHeight="1">
      <c r="A264" s="61" t="s">
        <v>5086</v>
      </c>
      <c r="B264" s="61" t="s">
        <v>1040</v>
      </c>
      <c r="C264" s="61" t="s">
        <v>965</v>
      </c>
      <c r="D264" s="61" t="s">
        <v>4825</v>
      </c>
      <c r="E264" s="62">
        <v>46136.0</v>
      </c>
      <c r="F264" s="62"/>
      <c r="G264" s="61" t="s">
        <v>4826</v>
      </c>
      <c r="H264" s="61" t="s">
        <v>2246</v>
      </c>
      <c r="I264" s="61" t="s">
        <v>4821</v>
      </c>
      <c r="J264" s="63">
        <v>48.0</v>
      </c>
      <c r="K264" s="63">
        <f t="shared" si="1"/>
        <v>528</v>
      </c>
      <c r="L264" s="61" t="str">
        <f t="shared" si="2"/>
        <v>Breach</v>
      </c>
      <c r="M264" s="61" t="s">
        <v>4827</v>
      </c>
    </row>
    <row r="265" ht="15.75" customHeight="1">
      <c r="A265" s="25" t="s">
        <v>5087</v>
      </c>
      <c r="B265" s="25" t="s">
        <v>180</v>
      </c>
      <c r="C265" s="25" t="s">
        <v>181</v>
      </c>
      <c r="D265" s="25" t="s">
        <v>4825</v>
      </c>
      <c r="E265" s="26">
        <v>46118.0</v>
      </c>
      <c r="F265" s="26">
        <v>46118.16666666666</v>
      </c>
      <c r="G265" s="25" t="s">
        <v>4811</v>
      </c>
      <c r="H265" s="25" t="s">
        <v>2246</v>
      </c>
      <c r="I265" s="25" t="s">
        <v>4812</v>
      </c>
      <c r="J265" s="29">
        <v>48.0</v>
      </c>
      <c r="K265" s="29">
        <f t="shared" si="1"/>
        <v>4</v>
      </c>
      <c r="L265" s="25" t="str">
        <f t="shared" si="2"/>
        <v>OK</v>
      </c>
      <c r="M265" s="25" t="s">
        <v>4827</v>
      </c>
    </row>
    <row r="266" ht="15.75" customHeight="1">
      <c r="A266" s="61" t="s">
        <v>5088</v>
      </c>
      <c r="B266" s="61" t="s">
        <v>895</v>
      </c>
      <c r="C266" s="61" t="s">
        <v>853</v>
      </c>
      <c r="D266" s="61" t="s">
        <v>4807</v>
      </c>
      <c r="E266" s="62">
        <v>46134.0</v>
      </c>
      <c r="F266" s="62"/>
      <c r="G266" s="61" t="s">
        <v>3855</v>
      </c>
      <c r="H266" s="61" t="s">
        <v>2246</v>
      </c>
      <c r="I266" s="61" t="s">
        <v>4821</v>
      </c>
      <c r="J266" s="63">
        <v>24.0</v>
      </c>
      <c r="K266" s="63">
        <f t="shared" si="1"/>
        <v>576</v>
      </c>
      <c r="L266" s="61" t="str">
        <f t="shared" si="2"/>
        <v>Breach</v>
      </c>
      <c r="M266" s="61" t="s">
        <v>4808</v>
      </c>
    </row>
    <row r="267" ht="15.75" customHeight="1">
      <c r="A267" s="25" t="s">
        <v>5089</v>
      </c>
      <c r="B267" s="25" t="s">
        <v>587</v>
      </c>
      <c r="C267" s="25" t="s">
        <v>588</v>
      </c>
      <c r="D267" s="25" t="s">
        <v>4810</v>
      </c>
      <c r="E267" s="26">
        <v>46059.0</v>
      </c>
      <c r="F267" s="26">
        <v>46062.41666666666</v>
      </c>
      <c r="G267" s="25" t="s">
        <v>4826</v>
      </c>
      <c r="H267" s="25" t="s">
        <v>2246</v>
      </c>
      <c r="I267" s="25" t="s">
        <v>4812</v>
      </c>
      <c r="J267" s="29">
        <v>72.0</v>
      </c>
      <c r="K267" s="29">
        <f t="shared" si="1"/>
        <v>82</v>
      </c>
      <c r="L267" s="25" t="str">
        <f t="shared" si="2"/>
        <v>Breach</v>
      </c>
      <c r="M267" s="25" t="s">
        <v>4813</v>
      </c>
    </row>
    <row r="268" ht="15.75" customHeight="1">
      <c r="A268" s="61" t="s">
        <v>5090</v>
      </c>
      <c r="B268" s="61" t="s">
        <v>99</v>
      </c>
      <c r="C268" s="61" t="s">
        <v>87</v>
      </c>
      <c r="D268" s="61" t="s">
        <v>4815</v>
      </c>
      <c r="E268" s="62">
        <v>46075.0</v>
      </c>
      <c r="F268" s="62"/>
      <c r="G268" s="61" t="s">
        <v>3851</v>
      </c>
      <c r="H268" s="61" t="s">
        <v>2246</v>
      </c>
      <c r="I268" s="61" t="s">
        <v>4821</v>
      </c>
      <c r="J268" s="63">
        <v>48.0</v>
      </c>
      <c r="K268" s="63">
        <f t="shared" si="1"/>
        <v>1992</v>
      </c>
      <c r="L268" s="61" t="str">
        <f t="shared" si="2"/>
        <v>Breach</v>
      </c>
      <c r="M268" s="61" t="s">
        <v>4817</v>
      </c>
    </row>
    <row r="269" ht="15.75" customHeight="1">
      <c r="A269" s="25" t="s">
        <v>5091</v>
      </c>
      <c r="B269" s="25" t="s">
        <v>319</v>
      </c>
      <c r="C269" s="25" t="s">
        <v>320</v>
      </c>
      <c r="D269" s="25" t="s">
        <v>4815</v>
      </c>
      <c r="E269" s="26">
        <v>46054.0</v>
      </c>
      <c r="F269" s="26">
        <v>46055.75</v>
      </c>
      <c r="G269" s="25" t="s">
        <v>4811</v>
      </c>
      <c r="H269" s="25" t="s">
        <v>2246</v>
      </c>
      <c r="I269" s="25" t="s">
        <v>4804</v>
      </c>
      <c r="J269" s="29">
        <v>24.0</v>
      </c>
      <c r="K269" s="29">
        <f t="shared" si="1"/>
        <v>42</v>
      </c>
      <c r="L269" s="25" t="str">
        <f t="shared" si="2"/>
        <v>Breach</v>
      </c>
      <c r="M269" s="25" t="s">
        <v>4817</v>
      </c>
    </row>
    <row r="270" ht="15.75" customHeight="1">
      <c r="A270" s="61" t="s">
        <v>5092</v>
      </c>
      <c r="B270" s="61" t="s">
        <v>1073</v>
      </c>
      <c r="C270" s="61" t="s">
        <v>961</v>
      </c>
      <c r="D270" s="61" t="s">
        <v>4807</v>
      </c>
      <c r="E270" s="62">
        <v>46130.0</v>
      </c>
      <c r="F270" s="62">
        <v>46131.25</v>
      </c>
      <c r="G270" s="61" t="s">
        <v>3851</v>
      </c>
      <c r="H270" s="61" t="s">
        <v>2246</v>
      </c>
      <c r="I270" s="61" t="s">
        <v>4804</v>
      </c>
      <c r="J270" s="63">
        <v>96.0</v>
      </c>
      <c r="K270" s="63">
        <f t="shared" si="1"/>
        <v>30</v>
      </c>
      <c r="L270" s="61" t="str">
        <f t="shared" si="2"/>
        <v>OK</v>
      </c>
      <c r="M270" s="61" t="s">
        <v>4808</v>
      </c>
    </row>
    <row r="271" ht="15.75" customHeight="1">
      <c r="A271" s="25" t="s">
        <v>5093</v>
      </c>
      <c r="B271" s="25" t="s">
        <v>1190</v>
      </c>
      <c r="C271" s="25" t="s">
        <v>1129</v>
      </c>
      <c r="D271" s="25" t="s">
        <v>4881</v>
      </c>
      <c r="E271" s="26">
        <v>46138.0</v>
      </c>
      <c r="F271" s="26">
        <v>46140.875</v>
      </c>
      <c r="G271" s="25" t="s">
        <v>3847</v>
      </c>
      <c r="H271" s="25" t="s">
        <v>2246</v>
      </c>
      <c r="I271" s="25" t="s">
        <v>4804</v>
      </c>
      <c r="J271" s="29">
        <v>48.0</v>
      </c>
      <c r="K271" s="29">
        <f t="shared" si="1"/>
        <v>69</v>
      </c>
      <c r="L271" s="25" t="str">
        <f t="shared" si="2"/>
        <v>Breach</v>
      </c>
      <c r="M271" s="25" t="s">
        <v>4882</v>
      </c>
    </row>
    <row r="272" ht="15.75" customHeight="1">
      <c r="A272" s="61" t="s">
        <v>5094</v>
      </c>
      <c r="B272" s="61" t="s">
        <v>771</v>
      </c>
      <c r="C272" s="61" t="s">
        <v>708</v>
      </c>
      <c r="D272" s="61" t="s">
        <v>4815</v>
      </c>
      <c r="E272" s="62">
        <v>46147.0</v>
      </c>
      <c r="F272" s="62"/>
      <c r="G272" s="61" t="s">
        <v>4811</v>
      </c>
      <c r="H272" s="61" t="s">
        <v>2246</v>
      </c>
      <c r="I272" s="61" t="s">
        <v>4821</v>
      </c>
      <c r="J272" s="63">
        <v>48.0</v>
      </c>
      <c r="K272" s="63">
        <f t="shared" si="1"/>
        <v>264</v>
      </c>
      <c r="L272" s="61" t="str">
        <f t="shared" si="2"/>
        <v>Breach</v>
      </c>
      <c r="M272" s="61" t="s">
        <v>4817</v>
      </c>
    </row>
    <row r="273" ht="15.75" customHeight="1">
      <c r="A273" s="25" t="s">
        <v>5095</v>
      </c>
      <c r="B273" s="25" t="s">
        <v>845</v>
      </c>
      <c r="C273" s="25" t="s">
        <v>720</v>
      </c>
      <c r="D273" s="25" t="s">
        <v>4831</v>
      </c>
      <c r="E273" s="26">
        <v>46139.0</v>
      </c>
      <c r="F273" s="26">
        <v>46139.79166666666</v>
      </c>
      <c r="G273" s="25" t="s">
        <v>3847</v>
      </c>
      <c r="H273" s="25" t="s">
        <v>2247</v>
      </c>
      <c r="I273" s="25" t="s">
        <v>4812</v>
      </c>
      <c r="J273" s="29">
        <v>24.0</v>
      </c>
      <c r="K273" s="29">
        <f t="shared" si="1"/>
        <v>19</v>
      </c>
      <c r="L273" s="25" t="str">
        <f t="shared" si="2"/>
        <v>OK</v>
      </c>
      <c r="M273" s="25" t="s">
        <v>4832</v>
      </c>
    </row>
    <row r="274" ht="15.75" customHeight="1">
      <c r="A274" s="61" t="s">
        <v>5096</v>
      </c>
      <c r="B274" s="61" t="s">
        <v>1177</v>
      </c>
      <c r="C274" s="61" t="s">
        <v>1126</v>
      </c>
      <c r="D274" s="61" t="s">
        <v>4803</v>
      </c>
      <c r="E274" s="62">
        <v>46088.0</v>
      </c>
      <c r="F274" s="62"/>
      <c r="G274" s="61" t="s">
        <v>4826</v>
      </c>
      <c r="H274" s="61" t="s">
        <v>2246</v>
      </c>
      <c r="I274" s="61" t="s">
        <v>4816</v>
      </c>
      <c r="J274" s="63">
        <v>96.0</v>
      </c>
      <c r="K274" s="63">
        <f t="shared" si="1"/>
        <v>1680</v>
      </c>
      <c r="L274" s="61" t="str">
        <f t="shared" si="2"/>
        <v>Breach</v>
      </c>
      <c r="M274" s="61" t="s">
        <v>4805</v>
      </c>
    </row>
    <row r="275" ht="15.75" customHeight="1">
      <c r="A275" s="25" t="s">
        <v>5097</v>
      </c>
      <c r="B275" s="25" t="s">
        <v>257</v>
      </c>
      <c r="C275" s="25" t="s">
        <v>170</v>
      </c>
      <c r="D275" s="25" t="s">
        <v>4803</v>
      </c>
      <c r="E275" s="26">
        <v>46106.0</v>
      </c>
      <c r="F275" s="26"/>
      <c r="G275" s="25" t="s">
        <v>3851</v>
      </c>
      <c r="H275" s="25" t="s">
        <v>2246</v>
      </c>
      <c r="I275" s="25" t="s">
        <v>4821</v>
      </c>
      <c r="J275" s="29">
        <v>48.0</v>
      </c>
      <c r="K275" s="29">
        <f t="shared" si="1"/>
        <v>1248</v>
      </c>
      <c r="L275" s="25" t="str">
        <f t="shared" si="2"/>
        <v>Breach</v>
      </c>
      <c r="M275" s="25" t="s">
        <v>4805</v>
      </c>
    </row>
    <row r="276" ht="15.75" customHeight="1">
      <c r="A276" s="61" t="s">
        <v>5098</v>
      </c>
      <c r="B276" s="61" t="s">
        <v>1036</v>
      </c>
      <c r="C276" s="61" t="s">
        <v>955</v>
      </c>
      <c r="D276" s="61" t="s">
        <v>4825</v>
      </c>
      <c r="E276" s="62">
        <v>46118.0</v>
      </c>
      <c r="F276" s="62">
        <v>46121.29166666666</v>
      </c>
      <c r="G276" s="61" t="s">
        <v>4811</v>
      </c>
      <c r="H276" s="61" t="s">
        <v>2246</v>
      </c>
      <c r="I276" s="61" t="s">
        <v>4812</v>
      </c>
      <c r="J276" s="63">
        <v>48.0</v>
      </c>
      <c r="K276" s="63">
        <f t="shared" si="1"/>
        <v>79</v>
      </c>
      <c r="L276" s="61" t="str">
        <f t="shared" si="2"/>
        <v>Breach</v>
      </c>
      <c r="M276" s="61" t="s">
        <v>4827</v>
      </c>
    </row>
    <row r="277" ht="15.75" customHeight="1">
      <c r="A277" s="25" t="s">
        <v>5099</v>
      </c>
      <c r="B277" s="25" t="s">
        <v>558</v>
      </c>
      <c r="C277" s="25" t="s">
        <v>559</v>
      </c>
      <c r="D277" s="25" t="s">
        <v>4815</v>
      </c>
      <c r="E277" s="26">
        <v>46039.0</v>
      </c>
      <c r="F277" s="26">
        <v>46044.625</v>
      </c>
      <c r="G277" s="25" t="s">
        <v>4826</v>
      </c>
      <c r="H277" s="25" t="s">
        <v>2246</v>
      </c>
      <c r="I277" s="25" t="s">
        <v>4812</v>
      </c>
      <c r="J277" s="29">
        <v>96.0</v>
      </c>
      <c r="K277" s="29">
        <f t="shared" si="1"/>
        <v>135</v>
      </c>
      <c r="L277" s="25" t="str">
        <f t="shared" si="2"/>
        <v>Breach</v>
      </c>
      <c r="M277" s="25" t="s">
        <v>4817</v>
      </c>
    </row>
    <row r="278" ht="15.75" customHeight="1">
      <c r="A278" s="61" t="s">
        <v>5100</v>
      </c>
      <c r="B278" s="61" t="s">
        <v>860</v>
      </c>
      <c r="C278" s="61" t="s">
        <v>861</v>
      </c>
      <c r="D278" s="61" t="s">
        <v>4815</v>
      </c>
      <c r="E278" s="62">
        <v>46125.0</v>
      </c>
      <c r="F278" s="62"/>
      <c r="G278" s="61" t="s">
        <v>3855</v>
      </c>
      <c r="H278" s="61" t="s">
        <v>2246</v>
      </c>
      <c r="I278" s="61" t="s">
        <v>4821</v>
      </c>
      <c r="J278" s="63">
        <v>48.0</v>
      </c>
      <c r="K278" s="63">
        <f t="shared" si="1"/>
        <v>792</v>
      </c>
      <c r="L278" s="61" t="str">
        <f t="shared" si="2"/>
        <v>Breach</v>
      </c>
      <c r="M278" s="61" t="s">
        <v>4817</v>
      </c>
    </row>
    <row r="279" ht="15.75" customHeight="1">
      <c r="A279" s="25" t="s">
        <v>5101</v>
      </c>
      <c r="B279" s="25" t="s">
        <v>272</v>
      </c>
      <c r="C279" s="25" t="s">
        <v>181</v>
      </c>
      <c r="D279" s="25" t="s">
        <v>4810</v>
      </c>
      <c r="E279" s="26">
        <v>46092.0</v>
      </c>
      <c r="F279" s="26"/>
      <c r="G279" s="25" t="s">
        <v>3851</v>
      </c>
      <c r="H279" s="25" t="s">
        <v>2246</v>
      </c>
      <c r="I279" s="25" t="s">
        <v>4821</v>
      </c>
      <c r="J279" s="29">
        <v>96.0</v>
      </c>
      <c r="K279" s="29">
        <f t="shared" si="1"/>
        <v>1584</v>
      </c>
      <c r="L279" s="25" t="str">
        <f t="shared" si="2"/>
        <v>Breach</v>
      </c>
      <c r="M279" s="25" t="s">
        <v>4813</v>
      </c>
    </row>
    <row r="280" ht="15.75" customHeight="1">
      <c r="A280" s="61" t="s">
        <v>5102</v>
      </c>
      <c r="B280" s="61" t="s">
        <v>897</v>
      </c>
      <c r="C280" s="61" t="s">
        <v>861</v>
      </c>
      <c r="D280" s="61" t="s">
        <v>4831</v>
      </c>
      <c r="E280" s="62">
        <v>46107.0</v>
      </c>
      <c r="F280" s="62"/>
      <c r="G280" s="61" t="s">
        <v>3851</v>
      </c>
      <c r="H280" s="61" t="s">
        <v>2246</v>
      </c>
      <c r="I280" s="61" t="s">
        <v>4816</v>
      </c>
      <c r="J280" s="63">
        <v>72.0</v>
      </c>
      <c r="K280" s="63">
        <f t="shared" si="1"/>
        <v>1224</v>
      </c>
      <c r="L280" s="61" t="str">
        <f t="shared" si="2"/>
        <v>Breach</v>
      </c>
      <c r="M280" s="61" t="s">
        <v>4832</v>
      </c>
    </row>
    <row r="281" ht="15.75" customHeight="1">
      <c r="A281" s="25" t="s">
        <v>5103</v>
      </c>
      <c r="B281" s="25" t="s">
        <v>302</v>
      </c>
      <c r="C281" s="25" t="s">
        <v>303</v>
      </c>
      <c r="D281" s="25" t="s">
        <v>4810</v>
      </c>
      <c r="E281" s="26">
        <v>46122.0</v>
      </c>
      <c r="F281" s="26"/>
      <c r="G281" s="25" t="s">
        <v>3851</v>
      </c>
      <c r="H281" s="25" t="s">
        <v>2246</v>
      </c>
      <c r="I281" s="25" t="s">
        <v>4816</v>
      </c>
      <c r="J281" s="29">
        <v>24.0</v>
      </c>
      <c r="K281" s="29">
        <f t="shared" si="1"/>
        <v>864</v>
      </c>
      <c r="L281" s="25" t="str">
        <f t="shared" si="2"/>
        <v>Breach</v>
      </c>
      <c r="M281" s="25" t="s">
        <v>4813</v>
      </c>
    </row>
    <row r="282" ht="15.75" customHeight="1">
      <c r="A282" s="61" t="s">
        <v>5104</v>
      </c>
      <c r="B282" s="61" t="s">
        <v>602</v>
      </c>
      <c r="C282" s="61" t="s">
        <v>559</v>
      </c>
      <c r="D282" s="61" t="s">
        <v>4820</v>
      </c>
      <c r="E282" s="62">
        <v>46044.0</v>
      </c>
      <c r="F282" s="62"/>
      <c r="G282" s="61" t="s">
        <v>4826</v>
      </c>
      <c r="H282" s="61" t="s">
        <v>2246</v>
      </c>
      <c r="I282" s="61" t="s">
        <v>4821</v>
      </c>
      <c r="J282" s="63">
        <v>96.0</v>
      </c>
      <c r="K282" s="63">
        <f t="shared" si="1"/>
        <v>2736</v>
      </c>
      <c r="L282" s="61" t="str">
        <f t="shared" si="2"/>
        <v>Breach</v>
      </c>
      <c r="M282" s="61" t="s">
        <v>4822</v>
      </c>
    </row>
    <row r="283" ht="15.75" customHeight="1">
      <c r="A283" s="25" t="s">
        <v>5105</v>
      </c>
      <c r="B283" s="25" t="s">
        <v>394</v>
      </c>
      <c r="C283" s="25" t="s">
        <v>291</v>
      </c>
      <c r="D283" s="25" t="s">
        <v>4807</v>
      </c>
      <c r="E283" s="26">
        <v>46060.0</v>
      </c>
      <c r="F283" s="26"/>
      <c r="G283" s="25" t="s">
        <v>3851</v>
      </c>
      <c r="H283" s="25" t="s">
        <v>2246</v>
      </c>
      <c r="I283" s="25" t="s">
        <v>4816</v>
      </c>
      <c r="J283" s="29">
        <v>72.0</v>
      </c>
      <c r="K283" s="29">
        <f t="shared" si="1"/>
        <v>2352</v>
      </c>
      <c r="L283" s="25" t="str">
        <f t="shared" si="2"/>
        <v>Breach</v>
      </c>
      <c r="M283" s="25" t="s">
        <v>4808</v>
      </c>
    </row>
    <row r="284" ht="15.75" customHeight="1">
      <c r="A284" s="61" t="s">
        <v>5106</v>
      </c>
      <c r="B284" s="61" t="s">
        <v>693</v>
      </c>
      <c r="C284" s="61" t="s">
        <v>542</v>
      </c>
      <c r="D284" s="61" t="s">
        <v>4825</v>
      </c>
      <c r="E284" s="62">
        <v>46109.0</v>
      </c>
      <c r="F284" s="62">
        <v>46111.08333333334</v>
      </c>
      <c r="G284" s="61" t="s">
        <v>3851</v>
      </c>
      <c r="H284" s="61" t="s">
        <v>2247</v>
      </c>
      <c r="I284" s="61" t="s">
        <v>4812</v>
      </c>
      <c r="J284" s="63">
        <v>24.0</v>
      </c>
      <c r="K284" s="63">
        <f t="shared" si="1"/>
        <v>50</v>
      </c>
      <c r="L284" s="61" t="str">
        <f t="shared" si="2"/>
        <v>Breach</v>
      </c>
      <c r="M284" s="61" t="s">
        <v>4827</v>
      </c>
    </row>
    <row r="285" ht="15.75" customHeight="1">
      <c r="A285" s="25" t="s">
        <v>5107</v>
      </c>
      <c r="B285" s="25" t="s">
        <v>1173</v>
      </c>
      <c r="C285" s="25" t="s">
        <v>1136</v>
      </c>
      <c r="D285" s="25" t="s">
        <v>4831</v>
      </c>
      <c r="E285" s="26">
        <v>46118.0</v>
      </c>
      <c r="F285" s="26">
        <v>46118.33333333334</v>
      </c>
      <c r="G285" s="25" t="s">
        <v>3855</v>
      </c>
      <c r="H285" s="25" t="s">
        <v>2246</v>
      </c>
      <c r="I285" s="25" t="s">
        <v>4804</v>
      </c>
      <c r="J285" s="29">
        <v>96.0</v>
      </c>
      <c r="K285" s="29">
        <f t="shared" si="1"/>
        <v>8</v>
      </c>
      <c r="L285" s="25" t="str">
        <f t="shared" si="2"/>
        <v>OK</v>
      </c>
      <c r="M285" s="25" t="s">
        <v>4832</v>
      </c>
    </row>
    <row r="286" ht="15.75" customHeight="1">
      <c r="A286" s="61" t="s">
        <v>5108</v>
      </c>
      <c r="B286" s="61" t="s">
        <v>565</v>
      </c>
      <c r="C286" s="61" t="s">
        <v>566</v>
      </c>
      <c r="D286" s="61" t="s">
        <v>4807</v>
      </c>
      <c r="E286" s="62">
        <v>46148.0</v>
      </c>
      <c r="F286" s="62">
        <v>46152.625</v>
      </c>
      <c r="G286" s="61" t="s">
        <v>4811</v>
      </c>
      <c r="H286" s="61" t="s">
        <v>2246</v>
      </c>
      <c r="I286" s="61" t="s">
        <v>4812</v>
      </c>
      <c r="J286" s="63">
        <v>96.0</v>
      </c>
      <c r="K286" s="63">
        <f t="shared" si="1"/>
        <v>111</v>
      </c>
      <c r="L286" s="61" t="str">
        <f t="shared" si="2"/>
        <v>Breach</v>
      </c>
      <c r="M286" s="61" t="s">
        <v>4808</v>
      </c>
    </row>
    <row r="287" ht="15.75" customHeight="1">
      <c r="A287" s="25" t="s">
        <v>5109</v>
      </c>
      <c r="B287" s="25" t="s">
        <v>686</v>
      </c>
      <c r="C287" s="25" t="s">
        <v>570</v>
      </c>
      <c r="D287" s="25" t="s">
        <v>4881</v>
      </c>
      <c r="E287" s="26">
        <v>46039.0</v>
      </c>
      <c r="F287" s="26">
        <v>46040.375</v>
      </c>
      <c r="G287" s="25" t="s">
        <v>4811</v>
      </c>
      <c r="H287" s="25" t="s">
        <v>2246</v>
      </c>
      <c r="I287" s="25" t="s">
        <v>4804</v>
      </c>
      <c r="J287" s="29">
        <v>72.0</v>
      </c>
      <c r="K287" s="29">
        <f t="shared" si="1"/>
        <v>33</v>
      </c>
      <c r="L287" s="25" t="str">
        <f t="shared" si="2"/>
        <v>OK</v>
      </c>
      <c r="M287" s="25" t="s">
        <v>4882</v>
      </c>
    </row>
    <row r="288" ht="15.75" customHeight="1">
      <c r="A288" s="61" t="s">
        <v>5110</v>
      </c>
      <c r="B288" s="61" t="s">
        <v>691</v>
      </c>
      <c r="C288" s="61" t="s">
        <v>547</v>
      </c>
      <c r="D288" s="61" t="s">
        <v>4815</v>
      </c>
      <c r="E288" s="62">
        <v>46095.0</v>
      </c>
      <c r="F288" s="62">
        <v>46096.41666666666</v>
      </c>
      <c r="G288" s="61" t="s">
        <v>4826</v>
      </c>
      <c r="H288" s="61" t="s">
        <v>2246</v>
      </c>
      <c r="I288" s="61" t="s">
        <v>4804</v>
      </c>
      <c r="J288" s="63">
        <v>72.0</v>
      </c>
      <c r="K288" s="63">
        <f t="shared" si="1"/>
        <v>34</v>
      </c>
      <c r="L288" s="61" t="str">
        <f t="shared" si="2"/>
        <v>OK</v>
      </c>
      <c r="M288" s="61" t="s">
        <v>4817</v>
      </c>
    </row>
    <row r="289" ht="15.75" customHeight="1">
      <c r="A289" s="25" t="s">
        <v>5111</v>
      </c>
      <c r="B289" s="25" t="s">
        <v>453</v>
      </c>
      <c r="C289" s="25" t="s">
        <v>454</v>
      </c>
      <c r="D289" s="25" t="s">
        <v>4810</v>
      </c>
      <c r="E289" s="26">
        <v>46080.0</v>
      </c>
      <c r="F289" s="26">
        <v>46085.33333333334</v>
      </c>
      <c r="G289" s="25" t="s">
        <v>3855</v>
      </c>
      <c r="H289" s="25" t="s">
        <v>2246</v>
      </c>
      <c r="I289" s="25" t="s">
        <v>4804</v>
      </c>
      <c r="J289" s="29">
        <v>24.0</v>
      </c>
      <c r="K289" s="29">
        <f t="shared" si="1"/>
        <v>128</v>
      </c>
      <c r="L289" s="25" t="str">
        <f t="shared" si="2"/>
        <v>Breach</v>
      </c>
      <c r="M289" s="25" t="s">
        <v>4813</v>
      </c>
    </row>
    <row r="290" ht="15.75" customHeight="1">
      <c r="A290" s="61" t="s">
        <v>5112</v>
      </c>
      <c r="B290" s="61" t="s">
        <v>536</v>
      </c>
      <c r="C290" s="61" t="s">
        <v>452</v>
      </c>
      <c r="D290" s="61" t="s">
        <v>4831</v>
      </c>
      <c r="E290" s="62">
        <v>46066.0</v>
      </c>
      <c r="F290" s="62"/>
      <c r="G290" s="61" t="s">
        <v>4826</v>
      </c>
      <c r="H290" s="61" t="s">
        <v>2246</v>
      </c>
      <c r="I290" s="61" t="s">
        <v>4816</v>
      </c>
      <c r="J290" s="63">
        <v>96.0</v>
      </c>
      <c r="K290" s="63">
        <f t="shared" si="1"/>
        <v>2208</v>
      </c>
      <c r="L290" s="61" t="str">
        <f t="shared" si="2"/>
        <v>Breach</v>
      </c>
      <c r="M290" s="61" t="s">
        <v>4832</v>
      </c>
    </row>
    <row r="291" ht="15.75" customHeight="1">
      <c r="A291" s="25" t="s">
        <v>5113</v>
      </c>
      <c r="B291" s="25" t="s">
        <v>543</v>
      </c>
      <c r="C291" s="25" t="s">
        <v>544</v>
      </c>
      <c r="D291" s="25" t="s">
        <v>4820</v>
      </c>
      <c r="E291" s="26">
        <v>46075.0</v>
      </c>
      <c r="F291" s="26">
        <v>46076.125</v>
      </c>
      <c r="G291" s="25" t="s">
        <v>3847</v>
      </c>
      <c r="H291" s="25" t="s">
        <v>2246</v>
      </c>
      <c r="I291" s="25" t="s">
        <v>4804</v>
      </c>
      <c r="J291" s="29">
        <v>24.0</v>
      </c>
      <c r="K291" s="29">
        <f t="shared" si="1"/>
        <v>27</v>
      </c>
      <c r="L291" s="25" t="str">
        <f t="shared" si="2"/>
        <v>Breach</v>
      </c>
      <c r="M291" s="25" t="s">
        <v>4822</v>
      </c>
    </row>
    <row r="292" ht="15.75" customHeight="1">
      <c r="A292" s="61" t="s">
        <v>5114</v>
      </c>
      <c r="B292" s="61" t="s">
        <v>1049</v>
      </c>
      <c r="C292" s="61" t="s">
        <v>953</v>
      </c>
      <c r="D292" s="61" t="s">
        <v>4831</v>
      </c>
      <c r="E292" s="62">
        <v>46055.0</v>
      </c>
      <c r="F292" s="62">
        <v>46058.95833333334</v>
      </c>
      <c r="G292" s="61" t="s">
        <v>4811</v>
      </c>
      <c r="H292" s="61" t="s">
        <v>2246</v>
      </c>
      <c r="I292" s="61" t="s">
        <v>4804</v>
      </c>
      <c r="J292" s="63">
        <v>24.0</v>
      </c>
      <c r="K292" s="63">
        <f t="shared" si="1"/>
        <v>95</v>
      </c>
      <c r="L292" s="61" t="str">
        <f t="shared" si="2"/>
        <v>Breach</v>
      </c>
      <c r="M292" s="61" t="s">
        <v>4832</v>
      </c>
    </row>
    <row r="293" ht="15.75" customHeight="1">
      <c r="A293" s="25" t="s">
        <v>5115</v>
      </c>
      <c r="B293" s="25" t="s">
        <v>696</v>
      </c>
      <c r="C293" s="25" t="s">
        <v>570</v>
      </c>
      <c r="D293" s="25" t="s">
        <v>4815</v>
      </c>
      <c r="E293" s="26">
        <v>46132.0</v>
      </c>
      <c r="F293" s="26">
        <v>46135.16666666666</v>
      </c>
      <c r="G293" s="25" t="s">
        <v>4826</v>
      </c>
      <c r="H293" s="25" t="s">
        <v>2247</v>
      </c>
      <c r="I293" s="25" t="s">
        <v>4804</v>
      </c>
      <c r="J293" s="29">
        <v>48.0</v>
      </c>
      <c r="K293" s="29">
        <f t="shared" si="1"/>
        <v>76</v>
      </c>
      <c r="L293" s="25" t="str">
        <f t="shared" si="2"/>
        <v>Breach</v>
      </c>
      <c r="M293" s="25" t="s">
        <v>4817</v>
      </c>
    </row>
    <row r="294" ht="15.75" customHeight="1">
      <c r="A294" s="61" t="s">
        <v>5116</v>
      </c>
      <c r="B294" s="61" t="s">
        <v>368</v>
      </c>
      <c r="C294" s="61" t="s">
        <v>312</v>
      </c>
      <c r="D294" s="61" t="s">
        <v>4825</v>
      </c>
      <c r="E294" s="62">
        <v>46044.0</v>
      </c>
      <c r="F294" s="62">
        <v>46048.25</v>
      </c>
      <c r="G294" s="61" t="s">
        <v>3851</v>
      </c>
      <c r="H294" s="61" t="s">
        <v>2246</v>
      </c>
      <c r="I294" s="61" t="s">
        <v>4804</v>
      </c>
      <c r="J294" s="63">
        <v>48.0</v>
      </c>
      <c r="K294" s="63">
        <f t="shared" si="1"/>
        <v>102</v>
      </c>
      <c r="L294" s="61" t="str">
        <f t="shared" si="2"/>
        <v>Breach</v>
      </c>
      <c r="M294" s="61" t="s">
        <v>4827</v>
      </c>
    </row>
    <row r="295" ht="15.75" customHeight="1">
      <c r="A295" s="25" t="s">
        <v>5117</v>
      </c>
      <c r="B295" s="25" t="s">
        <v>669</v>
      </c>
      <c r="C295" s="25" t="s">
        <v>588</v>
      </c>
      <c r="D295" s="25" t="s">
        <v>4815</v>
      </c>
      <c r="E295" s="26">
        <v>46049.0</v>
      </c>
      <c r="F295" s="26">
        <v>46054.5</v>
      </c>
      <c r="G295" s="25" t="s">
        <v>4826</v>
      </c>
      <c r="H295" s="25" t="s">
        <v>2247</v>
      </c>
      <c r="I295" s="25" t="s">
        <v>4804</v>
      </c>
      <c r="J295" s="29">
        <v>72.0</v>
      </c>
      <c r="K295" s="29">
        <f t="shared" si="1"/>
        <v>132</v>
      </c>
      <c r="L295" s="25" t="str">
        <f t="shared" si="2"/>
        <v>Breach</v>
      </c>
      <c r="M295" s="25" t="s">
        <v>4817</v>
      </c>
    </row>
    <row r="296" ht="15.75" customHeight="1">
      <c r="A296" s="61" t="s">
        <v>5118</v>
      </c>
      <c r="B296" s="61" t="s">
        <v>1110</v>
      </c>
      <c r="C296" s="61" t="s">
        <v>1077</v>
      </c>
      <c r="D296" s="61" t="s">
        <v>4815</v>
      </c>
      <c r="E296" s="62">
        <v>46087.0</v>
      </c>
      <c r="F296" s="62"/>
      <c r="G296" s="61" t="s">
        <v>3855</v>
      </c>
      <c r="H296" s="61" t="s">
        <v>2246</v>
      </c>
      <c r="I296" s="61" t="s">
        <v>4816</v>
      </c>
      <c r="J296" s="63">
        <v>24.0</v>
      </c>
      <c r="K296" s="63">
        <f t="shared" si="1"/>
        <v>1704</v>
      </c>
      <c r="L296" s="61" t="str">
        <f t="shared" si="2"/>
        <v>Breach</v>
      </c>
      <c r="M296" s="61" t="s">
        <v>4817</v>
      </c>
    </row>
    <row r="297" ht="15.75" customHeight="1">
      <c r="A297" s="25" t="s">
        <v>5119</v>
      </c>
      <c r="B297" s="25" t="s">
        <v>359</v>
      </c>
      <c r="C297" s="25" t="s">
        <v>295</v>
      </c>
      <c r="D297" s="25" t="s">
        <v>4810</v>
      </c>
      <c r="E297" s="26">
        <v>46100.0</v>
      </c>
      <c r="F297" s="26"/>
      <c r="G297" s="25" t="s">
        <v>3847</v>
      </c>
      <c r="H297" s="25" t="s">
        <v>2247</v>
      </c>
      <c r="I297" s="25" t="s">
        <v>4816</v>
      </c>
      <c r="J297" s="29">
        <v>48.0</v>
      </c>
      <c r="K297" s="29">
        <f t="shared" si="1"/>
        <v>1392</v>
      </c>
      <c r="L297" s="25" t="str">
        <f t="shared" si="2"/>
        <v>Breach</v>
      </c>
      <c r="M297" s="25" t="s">
        <v>4813</v>
      </c>
    </row>
    <row r="298" ht="15.75" customHeight="1">
      <c r="A298" s="61" t="s">
        <v>5120</v>
      </c>
      <c r="B298" s="61" t="s">
        <v>1056</v>
      </c>
      <c r="C298" s="61" t="s">
        <v>999</v>
      </c>
      <c r="D298" s="61" t="s">
        <v>4807</v>
      </c>
      <c r="E298" s="62">
        <v>46117.0</v>
      </c>
      <c r="F298" s="62">
        <v>46122.66666666666</v>
      </c>
      <c r="G298" s="61" t="s">
        <v>4811</v>
      </c>
      <c r="H298" s="61" t="s">
        <v>2246</v>
      </c>
      <c r="I298" s="61" t="s">
        <v>4804</v>
      </c>
      <c r="J298" s="63">
        <v>96.0</v>
      </c>
      <c r="K298" s="63">
        <f t="shared" si="1"/>
        <v>136</v>
      </c>
      <c r="L298" s="61" t="str">
        <f t="shared" si="2"/>
        <v>Breach</v>
      </c>
      <c r="M298" s="61" t="s">
        <v>4808</v>
      </c>
    </row>
    <row r="299" ht="15.75" customHeight="1">
      <c r="A299" s="25" t="s">
        <v>5121</v>
      </c>
      <c r="B299" s="25" t="s">
        <v>685</v>
      </c>
      <c r="C299" s="25" t="s">
        <v>542</v>
      </c>
      <c r="D299" s="25" t="s">
        <v>4820</v>
      </c>
      <c r="E299" s="26">
        <v>46086.0</v>
      </c>
      <c r="F299" s="26">
        <v>46087.66666666666</v>
      </c>
      <c r="G299" s="25" t="s">
        <v>4811</v>
      </c>
      <c r="H299" s="25" t="s">
        <v>2246</v>
      </c>
      <c r="I299" s="25" t="s">
        <v>4804</v>
      </c>
      <c r="J299" s="29">
        <v>24.0</v>
      </c>
      <c r="K299" s="29">
        <f t="shared" si="1"/>
        <v>40</v>
      </c>
      <c r="L299" s="25" t="str">
        <f t="shared" si="2"/>
        <v>Breach</v>
      </c>
      <c r="M299" s="25" t="s">
        <v>4822</v>
      </c>
    </row>
    <row r="300" ht="15.75" customHeight="1">
      <c r="A300" s="61" t="s">
        <v>5122</v>
      </c>
      <c r="B300" s="61" t="s">
        <v>643</v>
      </c>
      <c r="C300" s="61" t="s">
        <v>561</v>
      </c>
      <c r="D300" s="61" t="s">
        <v>4820</v>
      </c>
      <c r="E300" s="62">
        <v>46121.0</v>
      </c>
      <c r="F300" s="62"/>
      <c r="G300" s="61" t="s">
        <v>3851</v>
      </c>
      <c r="H300" s="61" t="s">
        <v>2246</v>
      </c>
      <c r="I300" s="61" t="s">
        <v>4816</v>
      </c>
      <c r="J300" s="63">
        <v>24.0</v>
      </c>
      <c r="K300" s="63">
        <f t="shared" si="1"/>
        <v>888</v>
      </c>
      <c r="L300" s="61" t="str">
        <f t="shared" si="2"/>
        <v>Breach</v>
      </c>
      <c r="M300" s="61" t="s">
        <v>4822</v>
      </c>
    </row>
    <row r="301" ht="15.75" customHeight="1">
      <c r="A301" s="25" t="s">
        <v>5123</v>
      </c>
      <c r="B301" s="25" t="s">
        <v>411</v>
      </c>
      <c r="C301" s="25" t="s">
        <v>291</v>
      </c>
      <c r="D301" s="25" t="s">
        <v>4820</v>
      </c>
      <c r="E301" s="26">
        <v>46120.0</v>
      </c>
      <c r="F301" s="26">
        <v>46121.0</v>
      </c>
      <c r="G301" s="25" t="s">
        <v>3855</v>
      </c>
      <c r="H301" s="25" t="s">
        <v>2246</v>
      </c>
      <c r="I301" s="25" t="s">
        <v>4804</v>
      </c>
      <c r="J301" s="29">
        <v>72.0</v>
      </c>
      <c r="K301" s="29">
        <f t="shared" si="1"/>
        <v>24</v>
      </c>
      <c r="L301" s="25" t="str">
        <f t="shared" si="2"/>
        <v>OK</v>
      </c>
      <c r="M301" s="25" t="s">
        <v>4822</v>
      </c>
    </row>
    <row r="302" ht="15.75" customHeight="1">
      <c r="A302" s="61" t="s">
        <v>5124</v>
      </c>
      <c r="B302" s="61" t="s">
        <v>103</v>
      </c>
      <c r="C302" s="61" t="s">
        <v>104</v>
      </c>
      <c r="D302" s="61" t="s">
        <v>4820</v>
      </c>
      <c r="E302" s="62">
        <v>46137.0</v>
      </c>
      <c r="F302" s="62"/>
      <c r="G302" s="61" t="s">
        <v>3847</v>
      </c>
      <c r="H302" s="61" t="s">
        <v>2246</v>
      </c>
      <c r="I302" s="61" t="s">
        <v>4816</v>
      </c>
      <c r="J302" s="63">
        <v>72.0</v>
      </c>
      <c r="K302" s="63">
        <f t="shared" si="1"/>
        <v>504</v>
      </c>
      <c r="L302" s="61" t="str">
        <f t="shared" si="2"/>
        <v>Breach</v>
      </c>
      <c r="M302" s="61" t="s">
        <v>4822</v>
      </c>
    </row>
    <row r="303" ht="15.75" customHeight="1">
      <c r="A303" s="25" t="s">
        <v>5125</v>
      </c>
      <c r="B303" s="25" t="s">
        <v>472</v>
      </c>
      <c r="C303" s="25" t="s">
        <v>706</v>
      </c>
      <c r="D303" s="25" t="s">
        <v>4831</v>
      </c>
      <c r="E303" s="26">
        <v>46065.0</v>
      </c>
      <c r="F303" s="26"/>
      <c r="G303" s="25" t="s">
        <v>4826</v>
      </c>
      <c r="H303" s="25" t="s">
        <v>2246</v>
      </c>
      <c r="I303" s="25" t="s">
        <v>4821</v>
      </c>
      <c r="J303" s="29">
        <v>72.0</v>
      </c>
      <c r="K303" s="29">
        <f t="shared" si="1"/>
        <v>2232</v>
      </c>
      <c r="L303" s="25" t="str">
        <f t="shared" si="2"/>
        <v>Breach</v>
      </c>
      <c r="M303" s="25" t="s">
        <v>4832</v>
      </c>
    </row>
    <row r="304" ht="15.75" customHeight="1">
      <c r="A304" s="61" t="s">
        <v>5126</v>
      </c>
      <c r="B304" s="61" t="s">
        <v>841</v>
      </c>
      <c r="C304" s="61" t="s">
        <v>700</v>
      </c>
      <c r="D304" s="61" t="s">
        <v>4820</v>
      </c>
      <c r="E304" s="62">
        <v>46041.0</v>
      </c>
      <c r="F304" s="62">
        <v>46041.79166666666</v>
      </c>
      <c r="G304" s="61" t="s">
        <v>4811</v>
      </c>
      <c r="H304" s="61" t="s">
        <v>2246</v>
      </c>
      <c r="I304" s="61" t="s">
        <v>4812</v>
      </c>
      <c r="J304" s="63">
        <v>96.0</v>
      </c>
      <c r="K304" s="63">
        <f t="shared" si="1"/>
        <v>19</v>
      </c>
      <c r="L304" s="61" t="str">
        <f t="shared" si="2"/>
        <v>OK</v>
      </c>
      <c r="M304" s="61" t="s">
        <v>4822</v>
      </c>
    </row>
    <row r="305" ht="15.75" customHeight="1">
      <c r="A305" s="25" t="s">
        <v>5127</v>
      </c>
      <c r="B305" s="25" t="s">
        <v>728</v>
      </c>
      <c r="C305" s="25" t="s">
        <v>729</v>
      </c>
      <c r="D305" s="25" t="s">
        <v>4825</v>
      </c>
      <c r="E305" s="26">
        <v>46121.0</v>
      </c>
      <c r="F305" s="26">
        <v>46121.79166666666</v>
      </c>
      <c r="G305" s="25" t="s">
        <v>3855</v>
      </c>
      <c r="H305" s="25" t="s">
        <v>2246</v>
      </c>
      <c r="I305" s="25" t="s">
        <v>4804</v>
      </c>
      <c r="J305" s="29">
        <v>72.0</v>
      </c>
      <c r="K305" s="29">
        <f t="shared" si="1"/>
        <v>19</v>
      </c>
      <c r="L305" s="25" t="str">
        <f t="shared" si="2"/>
        <v>OK</v>
      </c>
      <c r="M305" s="25" t="s">
        <v>4827</v>
      </c>
    </row>
    <row r="306" ht="15.75" customHeight="1">
      <c r="A306" s="61" t="s">
        <v>5128</v>
      </c>
      <c r="B306" s="61" t="s">
        <v>286</v>
      </c>
      <c r="C306" s="61" t="s">
        <v>181</v>
      </c>
      <c r="D306" s="61" t="s">
        <v>4803</v>
      </c>
      <c r="E306" s="62">
        <v>46032.0</v>
      </c>
      <c r="F306" s="62">
        <v>46034.625</v>
      </c>
      <c r="G306" s="61" t="s">
        <v>4811</v>
      </c>
      <c r="H306" s="61" t="s">
        <v>2247</v>
      </c>
      <c r="I306" s="61" t="s">
        <v>4804</v>
      </c>
      <c r="J306" s="63">
        <v>48.0</v>
      </c>
      <c r="K306" s="63">
        <f t="shared" si="1"/>
        <v>63</v>
      </c>
      <c r="L306" s="61" t="str">
        <f t="shared" si="2"/>
        <v>Breach</v>
      </c>
      <c r="M306" s="61" t="s">
        <v>4805</v>
      </c>
    </row>
    <row r="307" ht="15.75" customHeight="1">
      <c r="A307" s="25" t="s">
        <v>5129</v>
      </c>
      <c r="B307" s="25" t="s">
        <v>809</v>
      </c>
      <c r="C307" s="25" t="s">
        <v>698</v>
      </c>
      <c r="D307" s="25" t="s">
        <v>4825</v>
      </c>
      <c r="E307" s="26">
        <v>46049.0</v>
      </c>
      <c r="F307" s="26">
        <v>46052.5</v>
      </c>
      <c r="G307" s="25" t="s">
        <v>3851</v>
      </c>
      <c r="H307" s="25" t="s">
        <v>2246</v>
      </c>
      <c r="I307" s="25" t="s">
        <v>4804</v>
      </c>
      <c r="J307" s="29">
        <v>24.0</v>
      </c>
      <c r="K307" s="29">
        <f t="shared" si="1"/>
        <v>84</v>
      </c>
      <c r="L307" s="25" t="str">
        <f t="shared" si="2"/>
        <v>Breach</v>
      </c>
      <c r="M307" s="25" t="s">
        <v>4827</v>
      </c>
    </row>
    <row r="308" ht="15.75" customHeight="1">
      <c r="A308" s="61" t="s">
        <v>5130</v>
      </c>
      <c r="B308" s="61" t="s">
        <v>1046</v>
      </c>
      <c r="C308" s="61" t="s">
        <v>968</v>
      </c>
      <c r="D308" s="61" t="s">
        <v>4815</v>
      </c>
      <c r="E308" s="62">
        <v>46097.0</v>
      </c>
      <c r="F308" s="62"/>
      <c r="G308" s="61" t="s">
        <v>3847</v>
      </c>
      <c r="H308" s="61" t="s">
        <v>2246</v>
      </c>
      <c r="I308" s="61" t="s">
        <v>4816</v>
      </c>
      <c r="J308" s="63">
        <v>24.0</v>
      </c>
      <c r="K308" s="63">
        <f t="shared" si="1"/>
        <v>1464</v>
      </c>
      <c r="L308" s="61" t="str">
        <f t="shared" si="2"/>
        <v>Breach</v>
      </c>
      <c r="M308" s="61" t="s">
        <v>4817</v>
      </c>
    </row>
    <row r="309" ht="15.75" customHeight="1">
      <c r="A309" s="25" t="s">
        <v>5131</v>
      </c>
      <c r="B309" s="25" t="s">
        <v>758</v>
      </c>
      <c r="C309" s="25" t="s">
        <v>741</v>
      </c>
      <c r="D309" s="25" t="s">
        <v>4820</v>
      </c>
      <c r="E309" s="26">
        <v>46089.0</v>
      </c>
      <c r="F309" s="26">
        <v>46093.58333333334</v>
      </c>
      <c r="G309" s="25" t="s">
        <v>3855</v>
      </c>
      <c r="H309" s="25" t="s">
        <v>2247</v>
      </c>
      <c r="I309" s="25" t="s">
        <v>4804</v>
      </c>
      <c r="J309" s="29">
        <v>48.0</v>
      </c>
      <c r="K309" s="29">
        <f t="shared" si="1"/>
        <v>110</v>
      </c>
      <c r="L309" s="25" t="str">
        <f t="shared" si="2"/>
        <v>Breach</v>
      </c>
      <c r="M309" s="25" t="s">
        <v>4822</v>
      </c>
    </row>
    <row r="310" ht="15.75" customHeight="1">
      <c r="A310" s="61" t="s">
        <v>5132</v>
      </c>
      <c r="B310" s="61" t="s">
        <v>722</v>
      </c>
      <c r="C310" s="61" t="s">
        <v>723</v>
      </c>
      <c r="D310" s="61" t="s">
        <v>4815</v>
      </c>
      <c r="E310" s="62">
        <v>46035.0</v>
      </c>
      <c r="F310" s="62">
        <v>46039.95833333334</v>
      </c>
      <c r="G310" s="61" t="s">
        <v>3855</v>
      </c>
      <c r="H310" s="61" t="s">
        <v>2246</v>
      </c>
      <c r="I310" s="61" t="s">
        <v>4804</v>
      </c>
      <c r="J310" s="63">
        <v>72.0</v>
      </c>
      <c r="K310" s="63">
        <f t="shared" si="1"/>
        <v>119</v>
      </c>
      <c r="L310" s="61" t="str">
        <f t="shared" si="2"/>
        <v>Breach</v>
      </c>
      <c r="M310" s="61" t="s">
        <v>4817</v>
      </c>
    </row>
    <row r="311" ht="15.75" customHeight="1">
      <c r="A311" s="25" t="s">
        <v>5133</v>
      </c>
      <c r="B311" s="25" t="s">
        <v>1175</v>
      </c>
      <c r="C311" s="25" t="s">
        <v>1136</v>
      </c>
      <c r="D311" s="25" t="s">
        <v>4881</v>
      </c>
      <c r="E311" s="26">
        <v>46094.0</v>
      </c>
      <c r="F311" s="26"/>
      <c r="G311" s="25" t="s">
        <v>4811</v>
      </c>
      <c r="H311" s="25" t="s">
        <v>2246</v>
      </c>
      <c r="I311" s="25" t="s">
        <v>4821</v>
      </c>
      <c r="J311" s="29">
        <v>72.0</v>
      </c>
      <c r="K311" s="29">
        <f t="shared" si="1"/>
        <v>1536</v>
      </c>
      <c r="L311" s="25" t="str">
        <f t="shared" si="2"/>
        <v>Breach</v>
      </c>
      <c r="M311" s="25" t="s">
        <v>4882</v>
      </c>
    </row>
    <row r="312" ht="15.75" customHeight="1">
      <c r="A312" s="61" t="s">
        <v>5134</v>
      </c>
      <c r="B312" s="61" t="s">
        <v>109</v>
      </c>
      <c r="C312" s="61" t="s">
        <v>104</v>
      </c>
      <c r="D312" s="61" t="s">
        <v>4831</v>
      </c>
      <c r="E312" s="62">
        <v>46075.0</v>
      </c>
      <c r="F312" s="62">
        <v>46075.20833333334</v>
      </c>
      <c r="G312" s="61" t="s">
        <v>4811</v>
      </c>
      <c r="H312" s="61" t="s">
        <v>2246</v>
      </c>
      <c r="I312" s="61" t="s">
        <v>4812</v>
      </c>
      <c r="J312" s="63">
        <v>48.0</v>
      </c>
      <c r="K312" s="63">
        <f t="shared" si="1"/>
        <v>5</v>
      </c>
      <c r="L312" s="61" t="str">
        <f t="shared" si="2"/>
        <v>OK</v>
      </c>
      <c r="M312" s="61" t="s">
        <v>4832</v>
      </c>
    </row>
    <row r="313" ht="15.75" customHeight="1">
      <c r="A313" s="25" t="s">
        <v>5135</v>
      </c>
      <c r="B313" s="25" t="s">
        <v>121</v>
      </c>
      <c r="C313" s="25" t="s">
        <v>70</v>
      </c>
      <c r="D313" s="25" t="s">
        <v>4881</v>
      </c>
      <c r="E313" s="26">
        <v>46142.0</v>
      </c>
      <c r="F313" s="26">
        <v>46143.95833333334</v>
      </c>
      <c r="G313" s="25" t="s">
        <v>4811</v>
      </c>
      <c r="H313" s="25" t="s">
        <v>2246</v>
      </c>
      <c r="I313" s="25" t="s">
        <v>4812</v>
      </c>
      <c r="J313" s="29">
        <v>96.0</v>
      </c>
      <c r="K313" s="29">
        <f t="shared" si="1"/>
        <v>47</v>
      </c>
      <c r="L313" s="25" t="str">
        <f t="shared" si="2"/>
        <v>OK</v>
      </c>
      <c r="M313" s="25" t="s">
        <v>4882</v>
      </c>
    </row>
    <row r="314" ht="15.75" customHeight="1">
      <c r="A314" s="61" t="s">
        <v>5136</v>
      </c>
      <c r="B314" s="61" t="s">
        <v>488</v>
      </c>
      <c r="C314" s="61" t="s">
        <v>469</v>
      </c>
      <c r="D314" s="61" t="s">
        <v>4810</v>
      </c>
      <c r="E314" s="62">
        <v>46056.0</v>
      </c>
      <c r="F314" s="62">
        <v>46059.625</v>
      </c>
      <c r="G314" s="61" t="s">
        <v>4826</v>
      </c>
      <c r="H314" s="61" t="s">
        <v>2246</v>
      </c>
      <c r="I314" s="61" t="s">
        <v>4804</v>
      </c>
      <c r="J314" s="63">
        <v>48.0</v>
      </c>
      <c r="K314" s="63">
        <f t="shared" si="1"/>
        <v>87</v>
      </c>
      <c r="L314" s="61" t="str">
        <f t="shared" si="2"/>
        <v>Breach</v>
      </c>
      <c r="M314" s="61" t="s">
        <v>4813</v>
      </c>
    </row>
    <row r="315" ht="15.75" customHeight="1">
      <c r="A315" s="25" t="s">
        <v>5137</v>
      </c>
      <c r="B315" s="25" t="s">
        <v>437</v>
      </c>
      <c r="C315" s="25" t="s">
        <v>312</v>
      </c>
      <c r="D315" s="25" t="s">
        <v>4825</v>
      </c>
      <c r="E315" s="26">
        <v>46094.0</v>
      </c>
      <c r="F315" s="26"/>
      <c r="G315" s="25" t="s">
        <v>3847</v>
      </c>
      <c r="H315" s="25" t="s">
        <v>2247</v>
      </c>
      <c r="I315" s="25" t="s">
        <v>4816</v>
      </c>
      <c r="J315" s="29">
        <v>48.0</v>
      </c>
      <c r="K315" s="29">
        <f t="shared" si="1"/>
        <v>1536</v>
      </c>
      <c r="L315" s="25" t="str">
        <f t="shared" si="2"/>
        <v>Breach</v>
      </c>
      <c r="M315" s="25" t="s">
        <v>4827</v>
      </c>
    </row>
    <row r="316" ht="15.75" customHeight="1">
      <c r="A316" s="61" t="s">
        <v>5138</v>
      </c>
      <c r="B316" s="61" t="s">
        <v>387</v>
      </c>
      <c r="C316" s="61" t="s">
        <v>326</v>
      </c>
      <c r="D316" s="61" t="s">
        <v>4881</v>
      </c>
      <c r="E316" s="62">
        <v>46051.0</v>
      </c>
      <c r="F316" s="62"/>
      <c r="G316" s="61" t="s">
        <v>3851</v>
      </c>
      <c r="H316" s="61" t="s">
        <v>2246</v>
      </c>
      <c r="I316" s="61" t="s">
        <v>4816</v>
      </c>
      <c r="J316" s="63">
        <v>48.0</v>
      </c>
      <c r="K316" s="63">
        <f t="shared" si="1"/>
        <v>2568</v>
      </c>
      <c r="L316" s="61" t="str">
        <f t="shared" si="2"/>
        <v>Breach</v>
      </c>
      <c r="M316" s="61" t="s">
        <v>4882</v>
      </c>
    </row>
    <row r="317" ht="15.75" customHeight="1">
      <c r="A317" s="25" t="s">
        <v>5139</v>
      </c>
      <c r="B317" s="25" t="s">
        <v>1108</v>
      </c>
      <c r="C317" s="25" t="s">
        <v>1083</v>
      </c>
      <c r="D317" s="25" t="s">
        <v>4807</v>
      </c>
      <c r="E317" s="26">
        <v>46143.0</v>
      </c>
      <c r="F317" s="26"/>
      <c r="G317" s="25" t="s">
        <v>4811</v>
      </c>
      <c r="H317" s="25" t="s">
        <v>2246</v>
      </c>
      <c r="I317" s="25" t="s">
        <v>4816</v>
      </c>
      <c r="J317" s="29">
        <v>72.0</v>
      </c>
      <c r="K317" s="29">
        <f t="shared" si="1"/>
        <v>360</v>
      </c>
      <c r="L317" s="25" t="str">
        <f t="shared" si="2"/>
        <v>Breach</v>
      </c>
      <c r="M317" s="25" t="s">
        <v>4808</v>
      </c>
    </row>
    <row r="318" ht="15.75" customHeight="1">
      <c r="A318" s="61" t="s">
        <v>5140</v>
      </c>
      <c r="B318" s="61" t="s">
        <v>718</v>
      </c>
      <c r="C318" s="61" t="s">
        <v>704</v>
      </c>
      <c r="D318" s="61" t="s">
        <v>4825</v>
      </c>
      <c r="E318" s="62">
        <v>46072.0</v>
      </c>
      <c r="F318" s="62">
        <v>46077.70833333334</v>
      </c>
      <c r="G318" s="61" t="s">
        <v>3851</v>
      </c>
      <c r="H318" s="61" t="s">
        <v>2246</v>
      </c>
      <c r="I318" s="61" t="s">
        <v>4804</v>
      </c>
      <c r="J318" s="63">
        <v>96.0</v>
      </c>
      <c r="K318" s="63">
        <f t="shared" si="1"/>
        <v>137</v>
      </c>
      <c r="L318" s="61" t="str">
        <f t="shared" si="2"/>
        <v>Breach</v>
      </c>
      <c r="M318" s="61" t="s">
        <v>4827</v>
      </c>
    </row>
    <row r="319" ht="15.75" customHeight="1">
      <c r="A319" s="25" t="s">
        <v>5141</v>
      </c>
      <c r="B319" s="25" t="s">
        <v>144</v>
      </c>
      <c r="C319" s="25" t="s">
        <v>80</v>
      </c>
      <c r="D319" s="25" t="s">
        <v>4831</v>
      </c>
      <c r="E319" s="26">
        <v>46109.0</v>
      </c>
      <c r="F319" s="26">
        <v>46113.75</v>
      </c>
      <c r="G319" s="25" t="s">
        <v>4826</v>
      </c>
      <c r="H319" s="25" t="s">
        <v>2246</v>
      </c>
      <c r="I319" s="25" t="s">
        <v>4804</v>
      </c>
      <c r="J319" s="29">
        <v>24.0</v>
      </c>
      <c r="K319" s="29">
        <f t="shared" si="1"/>
        <v>114</v>
      </c>
      <c r="L319" s="25" t="str">
        <f t="shared" si="2"/>
        <v>Breach</v>
      </c>
      <c r="M319" s="25" t="s">
        <v>4832</v>
      </c>
    </row>
    <row r="320" ht="15.75" customHeight="1">
      <c r="A320" s="61" t="s">
        <v>5142</v>
      </c>
      <c r="B320" s="61" t="s">
        <v>1058</v>
      </c>
      <c r="C320" s="61" t="s">
        <v>953</v>
      </c>
      <c r="D320" s="61" t="s">
        <v>4815</v>
      </c>
      <c r="E320" s="62">
        <v>46077.0</v>
      </c>
      <c r="F320" s="62"/>
      <c r="G320" s="61" t="s">
        <v>3851</v>
      </c>
      <c r="H320" s="61" t="s">
        <v>2246</v>
      </c>
      <c r="I320" s="61" t="s">
        <v>4821</v>
      </c>
      <c r="J320" s="63">
        <v>96.0</v>
      </c>
      <c r="K320" s="63">
        <f t="shared" si="1"/>
        <v>1944</v>
      </c>
      <c r="L320" s="61" t="str">
        <f t="shared" si="2"/>
        <v>Breach</v>
      </c>
      <c r="M320" s="61" t="s">
        <v>4817</v>
      </c>
    </row>
    <row r="321" ht="15.75" customHeight="1">
      <c r="A321" s="25" t="s">
        <v>5143</v>
      </c>
      <c r="B321" s="25" t="s">
        <v>1037</v>
      </c>
      <c r="C321" s="25" t="s">
        <v>988</v>
      </c>
      <c r="D321" s="25" t="s">
        <v>4820</v>
      </c>
      <c r="E321" s="26">
        <v>46072.0</v>
      </c>
      <c r="F321" s="26">
        <v>46074.79166666666</v>
      </c>
      <c r="G321" s="25" t="s">
        <v>3855</v>
      </c>
      <c r="H321" s="25" t="s">
        <v>2246</v>
      </c>
      <c r="I321" s="25" t="s">
        <v>4804</v>
      </c>
      <c r="J321" s="29">
        <v>48.0</v>
      </c>
      <c r="K321" s="29">
        <f t="shared" si="1"/>
        <v>67</v>
      </c>
      <c r="L321" s="25" t="str">
        <f t="shared" si="2"/>
        <v>Breach</v>
      </c>
      <c r="M321" s="25" t="s">
        <v>4822</v>
      </c>
    </row>
    <row r="322" ht="15.75" customHeight="1">
      <c r="A322" s="61" t="s">
        <v>5144</v>
      </c>
      <c r="B322" s="61" t="s">
        <v>807</v>
      </c>
      <c r="C322" s="61" t="s">
        <v>710</v>
      </c>
      <c r="D322" s="61" t="s">
        <v>4807</v>
      </c>
      <c r="E322" s="62">
        <v>46055.0</v>
      </c>
      <c r="F322" s="62">
        <v>46056.20833333334</v>
      </c>
      <c r="G322" s="61" t="s">
        <v>4811</v>
      </c>
      <c r="H322" s="61" t="s">
        <v>2246</v>
      </c>
      <c r="I322" s="61" t="s">
        <v>4804</v>
      </c>
      <c r="J322" s="63">
        <v>24.0</v>
      </c>
      <c r="K322" s="63">
        <f t="shared" si="1"/>
        <v>29</v>
      </c>
      <c r="L322" s="61" t="str">
        <f t="shared" si="2"/>
        <v>Breach</v>
      </c>
      <c r="M322" s="61" t="s">
        <v>4808</v>
      </c>
    </row>
    <row r="323" ht="15.75" customHeight="1">
      <c r="A323" s="25" t="s">
        <v>5145</v>
      </c>
      <c r="B323" s="25" t="s">
        <v>328</v>
      </c>
      <c r="C323" s="25" t="s">
        <v>326</v>
      </c>
      <c r="D323" s="25" t="s">
        <v>4820</v>
      </c>
      <c r="E323" s="26">
        <v>46086.0</v>
      </c>
      <c r="F323" s="26">
        <v>46091.25</v>
      </c>
      <c r="G323" s="25" t="s">
        <v>3851</v>
      </c>
      <c r="H323" s="25" t="s">
        <v>2247</v>
      </c>
      <c r="I323" s="25" t="s">
        <v>4812</v>
      </c>
      <c r="J323" s="29">
        <v>48.0</v>
      </c>
      <c r="K323" s="29">
        <f t="shared" si="1"/>
        <v>126</v>
      </c>
      <c r="L323" s="25" t="str">
        <f t="shared" si="2"/>
        <v>Breach</v>
      </c>
      <c r="M323" s="25" t="s">
        <v>4822</v>
      </c>
    </row>
    <row r="324" ht="15.75" customHeight="1">
      <c r="A324" s="61" t="s">
        <v>5146</v>
      </c>
      <c r="B324" s="61" t="s">
        <v>480</v>
      </c>
      <c r="C324" s="61" t="s">
        <v>464</v>
      </c>
      <c r="D324" s="61" t="s">
        <v>4815</v>
      </c>
      <c r="E324" s="62">
        <v>46070.0</v>
      </c>
      <c r="F324" s="62"/>
      <c r="G324" s="61" t="s">
        <v>3855</v>
      </c>
      <c r="H324" s="61" t="s">
        <v>2247</v>
      </c>
      <c r="I324" s="61" t="s">
        <v>4816</v>
      </c>
      <c r="J324" s="63">
        <v>48.0</v>
      </c>
      <c r="K324" s="63">
        <f t="shared" si="1"/>
        <v>2112</v>
      </c>
      <c r="L324" s="61" t="str">
        <f t="shared" si="2"/>
        <v>Breach</v>
      </c>
      <c r="M324" s="61" t="s">
        <v>4817</v>
      </c>
    </row>
    <row r="325" ht="15.75" customHeight="1">
      <c r="A325" s="25" t="s">
        <v>5147</v>
      </c>
      <c r="B325" s="25" t="s">
        <v>616</v>
      </c>
      <c r="C325" s="25" t="s">
        <v>553</v>
      </c>
      <c r="D325" s="25" t="s">
        <v>4820</v>
      </c>
      <c r="E325" s="26">
        <v>46108.0</v>
      </c>
      <c r="F325" s="26">
        <v>46108.41666666666</v>
      </c>
      <c r="G325" s="25" t="s">
        <v>4811</v>
      </c>
      <c r="H325" s="25" t="s">
        <v>2246</v>
      </c>
      <c r="I325" s="25" t="s">
        <v>4812</v>
      </c>
      <c r="J325" s="29">
        <v>96.0</v>
      </c>
      <c r="K325" s="29">
        <f t="shared" si="1"/>
        <v>10</v>
      </c>
      <c r="L325" s="25" t="str">
        <f t="shared" si="2"/>
        <v>OK</v>
      </c>
      <c r="M325" s="25" t="s">
        <v>4822</v>
      </c>
    </row>
    <row r="326" ht="15.75" customHeight="1">
      <c r="A326" s="61" t="s">
        <v>5148</v>
      </c>
      <c r="B326" s="61" t="s">
        <v>1179</v>
      </c>
      <c r="C326" s="61" t="s">
        <v>1154</v>
      </c>
      <c r="D326" s="61" t="s">
        <v>4810</v>
      </c>
      <c r="E326" s="62">
        <v>46052.0</v>
      </c>
      <c r="F326" s="62"/>
      <c r="G326" s="61" t="s">
        <v>3855</v>
      </c>
      <c r="H326" s="61" t="s">
        <v>2247</v>
      </c>
      <c r="I326" s="61" t="s">
        <v>4816</v>
      </c>
      <c r="J326" s="63">
        <v>72.0</v>
      </c>
      <c r="K326" s="63">
        <f t="shared" si="1"/>
        <v>2544</v>
      </c>
      <c r="L326" s="61" t="str">
        <f t="shared" si="2"/>
        <v>Breach</v>
      </c>
      <c r="M326" s="61" t="s">
        <v>4813</v>
      </c>
    </row>
    <row r="327" ht="15.75" customHeight="1">
      <c r="A327" s="25" t="s">
        <v>5149</v>
      </c>
      <c r="B327" s="25" t="s">
        <v>491</v>
      </c>
      <c r="C327" s="25" t="s">
        <v>452</v>
      </c>
      <c r="D327" s="25" t="s">
        <v>4803</v>
      </c>
      <c r="E327" s="26">
        <v>46107.0</v>
      </c>
      <c r="F327" s="26">
        <v>46112.41666666666</v>
      </c>
      <c r="G327" s="25" t="s">
        <v>4826</v>
      </c>
      <c r="H327" s="25" t="s">
        <v>2247</v>
      </c>
      <c r="I327" s="25" t="s">
        <v>4812</v>
      </c>
      <c r="J327" s="29">
        <v>24.0</v>
      </c>
      <c r="K327" s="29">
        <f t="shared" si="1"/>
        <v>130</v>
      </c>
      <c r="L327" s="25" t="str">
        <f t="shared" si="2"/>
        <v>Breach</v>
      </c>
      <c r="M327" s="25" t="s">
        <v>4805</v>
      </c>
    </row>
    <row r="328" ht="15.75" customHeight="1">
      <c r="A328" s="61" t="s">
        <v>5150</v>
      </c>
      <c r="B328" s="61" t="s">
        <v>1166</v>
      </c>
      <c r="C328" s="61" t="s">
        <v>1126</v>
      </c>
      <c r="D328" s="61" t="s">
        <v>4803</v>
      </c>
      <c r="E328" s="62">
        <v>46155.0</v>
      </c>
      <c r="F328" s="62">
        <v>46158.375</v>
      </c>
      <c r="G328" s="61" t="s">
        <v>4826</v>
      </c>
      <c r="H328" s="61" t="s">
        <v>2246</v>
      </c>
      <c r="I328" s="61" t="s">
        <v>4812</v>
      </c>
      <c r="J328" s="63">
        <v>72.0</v>
      </c>
      <c r="K328" s="63">
        <f t="shared" si="1"/>
        <v>81</v>
      </c>
      <c r="L328" s="61" t="str">
        <f t="shared" si="2"/>
        <v>Breach</v>
      </c>
      <c r="M328" s="61" t="s">
        <v>4805</v>
      </c>
    </row>
    <row r="329" ht="15.75" customHeight="1">
      <c r="A329" s="25" t="s">
        <v>5151</v>
      </c>
      <c r="B329" s="25" t="s">
        <v>591</v>
      </c>
      <c r="C329" s="25" t="s">
        <v>550</v>
      </c>
      <c r="D329" s="25" t="s">
        <v>4825</v>
      </c>
      <c r="E329" s="26">
        <v>46037.0</v>
      </c>
      <c r="F329" s="26">
        <v>46041.875</v>
      </c>
      <c r="G329" s="25" t="s">
        <v>4826</v>
      </c>
      <c r="H329" s="25" t="s">
        <v>2246</v>
      </c>
      <c r="I329" s="25" t="s">
        <v>4804</v>
      </c>
      <c r="J329" s="29">
        <v>96.0</v>
      </c>
      <c r="K329" s="29">
        <f t="shared" si="1"/>
        <v>117</v>
      </c>
      <c r="L329" s="25" t="str">
        <f t="shared" si="2"/>
        <v>Breach</v>
      </c>
      <c r="M329" s="25" t="s">
        <v>4827</v>
      </c>
    </row>
    <row r="330" ht="15.75" customHeight="1">
      <c r="A330" s="61" t="s">
        <v>5152</v>
      </c>
      <c r="B330" s="61" t="s">
        <v>1201</v>
      </c>
      <c r="C330" s="61" t="s">
        <v>1131</v>
      </c>
      <c r="D330" s="61" t="s">
        <v>4820</v>
      </c>
      <c r="E330" s="62">
        <v>46045.0</v>
      </c>
      <c r="F330" s="62">
        <v>46047.16666666666</v>
      </c>
      <c r="G330" s="61" t="s">
        <v>4826</v>
      </c>
      <c r="H330" s="61" t="s">
        <v>2246</v>
      </c>
      <c r="I330" s="61" t="s">
        <v>4804</v>
      </c>
      <c r="J330" s="63">
        <v>24.0</v>
      </c>
      <c r="K330" s="63">
        <f t="shared" si="1"/>
        <v>52</v>
      </c>
      <c r="L330" s="61" t="str">
        <f t="shared" si="2"/>
        <v>Breach</v>
      </c>
      <c r="M330" s="61" t="s">
        <v>4822</v>
      </c>
    </row>
    <row r="331" ht="15.75" customHeight="1">
      <c r="A331" s="25" t="s">
        <v>5153</v>
      </c>
      <c r="B331" s="25" t="s">
        <v>1003</v>
      </c>
      <c r="C331" s="25" t="s">
        <v>974</v>
      </c>
      <c r="D331" s="25" t="s">
        <v>4831</v>
      </c>
      <c r="E331" s="26">
        <v>46122.0</v>
      </c>
      <c r="F331" s="26">
        <v>46126.91666666666</v>
      </c>
      <c r="G331" s="25" t="s">
        <v>3851</v>
      </c>
      <c r="H331" s="25" t="s">
        <v>2247</v>
      </c>
      <c r="I331" s="25" t="s">
        <v>4804</v>
      </c>
      <c r="J331" s="29">
        <v>96.0</v>
      </c>
      <c r="K331" s="29">
        <f t="shared" si="1"/>
        <v>118</v>
      </c>
      <c r="L331" s="25" t="str">
        <f t="shared" si="2"/>
        <v>Breach</v>
      </c>
      <c r="M331" s="25" t="s">
        <v>4832</v>
      </c>
    </row>
    <row r="332" ht="15.75" customHeight="1">
      <c r="A332" s="61" t="s">
        <v>5154</v>
      </c>
      <c r="B332" s="61" t="s">
        <v>511</v>
      </c>
      <c r="C332" s="61" t="s">
        <v>464</v>
      </c>
      <c r="D332" s="61" t="s">
        <v>4803</v>
      </c>
      <c r="E332" s="62">
        <v>46128.0</v>
      </c>
      <c r="F332" s="62"/>
      <c r="G332" s="61" t="s">
        <v>3851</v>
      </c>
      <c r="H332" s="61" t="s">
        <v>2246</v>
      </c>
      <c r="I332" s="61" t="s">
        <v>4821</v>
      </c>
      <c r="J332" s="63">
        <v>48.0</v>
      </c>
      <c r="K332" s="63">
        <f t="shared" si="1"/>
        <v>720</v>
      </c>
      <c r="L332" s="61" t="str">
        <f t="shared" si="2"/>
        <v>Breach</v>
      </c>
      <c r="M332" s="61" t="s">
        <v>4805</v>
      </c>
    </row>
    <row r="333" ht="15.75" customHeight="1">
      <c r="A333" s="25" t="s">
        <v>5155</v>
      </c>
      <c r="B333" s="25" t="s">
        <v>487</v>
      </c>
      <c r="C333" s="25" t="s">
        <v>459</v>
      </c>
      <c r="D333" s="25" t="s">
        <v>4815</v>
      </c>
      <c r="E333" s="26">
        <v>46145.0</v>
      </c>
      <c r="F333" s="26"/>
      <c r="G333" s="25" t="s">
        <v>3851</v>
      </c>
      <c r="H333" s="25" t="s">
        <v>2247</v>
      </c>
      <c r="I333" s="25" t="s">
        <v>4821</v>
      </c>
      <c r="J333" s="29">
        <v>72.0</v>
      </c>
      <c r="K333" s="29">
        <f t="shared" si="1"/>
        <v>312</v>
      </c>
      <c r="L333" s="25" t="str">
        <f t="shared" si="2"/>
        <v>Breach</v>
      </c>
      <c r="M333" s="25" t="s">
        <v>4817</v>
      </c>
    </row>
    <row r="334" ht="15.75" customHeight="1">
      <c r="A334" s="61" t="s">
        <v>5156</v>
      </c>
      <c r="B334" s="61" t="s">
        <v>987</v>
      </c>
      <c r="C334" s="61" t="s">
        <v>988</v>
      </c>
      <c r="D334" s="61" t="s">
        <v>4803</v>
      </c>
      <c r="E334" s="62">
        <v>46083.0</v>
      </c>
      <c r="F334" s="62"/>
      <c r="G334" s="61" t="s">
        <v>4826</v>
      </c>
      <c r="H334" s="61" t="s">
        <v>2246</v>
      </c>
      <c r="I334" s="61" t="s">
        <v>4816</v>
      </c>
      <c r="J334" s="63">
        <v>24.0</v>
      </c>
      <c r="K334" s="63">
        <f t="shared" si="1"/>
        <v>1800</v>
      </c>
      <c r="L334" s="61" t="str">
        <f t="shared" si="2"/>
        <v>Breach</v>
      </c>
      <c r="M334" s="61" t="s">
        <v>4805</v>
      </c>
    </row>
    <row r="335" ht="15.75" customHeight="1">
      <c r="A335" s="25" t="s">
        <v>5157</v>
      </c>
      <c r="B335" s="25" t="s">
        <v>1135</v>
      </c>
      <c r="C335" s="25" t="s">
        <v>1136</v>
      </c>
      <c r="D335" s="25" t="s">
        <v>4815</v>
      </c>
      <c r="E335" s="26">
        <v>46104.0</v>
      </c>
      <c r="F335" s="26">
        <v>46105.0</v>
      </c>
      <c r="G335" s="25" t="s">
        <v>3847</v>
      </c>
      <c r="H335" s="25" t="s">
        <v>2246</v>
      </c>
      <c r="I335" s="25" t="s">
        <v>4804</v>
      </c>
      <c r="J335" s="29">
        <v>96.0</v>
      </c>
      <c r="K335" s="29">
        <f t="shared" si="1"/>
        <v>24</v>
      </c>
      <c r="L335" s="25" t="str">
        <f t="shared" si="2"/>
        <v>OK</v>
      </c>
      <c r="M335" s="25" t="s">
        <v>4817</v>
      </c>
    </row>
    <row r="336" ht="15.75" customHeight="1">
      <c r="A336" s="61" t="s">
        <v>5158</v>
      </c>
      <c r="B336" s="61" t="s">
        <v>522</v>
      </c>
      <c r="C336" s="61" t="s">
        <v>464</v>
      </c>
      <c r="D336" s="61" t="s">
        <v>4810</v>
      </c>
      <c r="E336" s="62">
        <v>46033.0</v>
      </c>
      <c r="F336" s="62"/>
      <c r="G336" s="61" t="s">
        <v>3847</v>
      </c>
      <c r="H336" s="61" t="s">
        <v>2246</v>
      </c>
      <c r="I336" s="61" t="s">
        <v>4821</v>
      </c>
      <c r="J336" s="63">
        <v>48.0</v>
      </c>
      <c r="K336" s="63">
        <f t="shared" si="1"/>
        <v>3000</v>
      </c>
      <c r="L336" s="61" t="str">
        <f t="shared" si="2"/>
        <v>Breach</v>
      </c>
      <c r="M336" s="61" t="s">
        <v>4813</v>
      </c>
    </row>
    <row r="337" ht="15.75" customHeight="1">
      <c r="A337" s="25" t="s">
        <v>5159</v>
      </c>
      <c r="B337" s="25" t="s">
        <v>761</v>
      </c>
      <c r="C337" s="25" t="s">
        <v>717</v>
      </c>
      <c r="D337" s="25" t="s">
        <v>4807</v>
      </c>
      <c r="E337" s="26">
        <v>46058.0</v>
      </c>
      <c r="F337" s="26"/>
      <c r="G337" s="25" t="s">
        <v>4811</v>
      </c>
      <c r="H337" s="25" t="s">
        <v>2246</v>
      </c>
      <c r="I337" s="25" t="s">
        <v>4821</v>
      </c>
      <c r="J337" s="29">
        <v>72.0</v>
      </c>
      <c r="K337" s="29">
        <f t="shared" si="1"/>
        <v>2400</v>
      </c>
      <c r="L337" s="25" t="str">
        <f t="shared" si="2"/>
        <v>Breach</v>
      </c>
      <c r="M337" s="25" t="s">
        <v>4808</v>
      </c>
    </row>
    <row r="338" ht="15.75" customHeight="1">
      <c r="A338" s="61" t="s">
        <v>5160</v>
      </c>
      <c r="B338" s="61" t="s">
        <v>242</v>
      </c>
      <c r="C338" s="61" t="s">
        <v>174</v>
      </c>
      <c r="D338" s="61" t="s">
        <v>4803</v>
      </c>
      <c r="E338" s="62">
        <v>46110.0</v>
      </c>
      <c r="F338" s="62"/>
      <c r="G338" s="61" t="s">
        <v>3847</v>
      </c>
      <c r="H338" s="61" t="s">
        <v>2246</v>
      </c>
      <c r="I338" s="61" t="s">
        <v>4821</v>
      </c>
      <c r="J338" s="63">
        <v>72.0</v>
      </c>
      <c r="K338" s="63">
        <f t="shared" si="1"/>
        <v>1152</v>
      </c>
      <c r="L338" s="61" t="str">
        <f t="shared" si="2"/>
        <v>Breach</v>
      </c>
      <c r="M338" s="61" t="s">
        <v>4805</v>
      </c>
    </row>
    <row r="339" ht="15.75" customHeight="1">
      <c r="A339" s="25" t="s">
        <v>5161</v>
      </c>
      <c r="B339" s="25" t="s">
        <v>676</v>
      </c>
      <c r="C339" s="25" t="s">
        <v>570</v>
      </c>
      <c r="D339" s="25" t="s">
        <v>4810</v>
      </c>
      <c r="E339" s="26">
        <v>46109.0</v>
      </c>
      <c r="F339" s="26">
        <v>46112.33333333334</v>
      </c>
      <c r="G339" s="25" t="s">
        <v>4811</v>
      </c>
      <c r="H339" s="25" t="s">
        <v>2246</v>
      </c>
      <c r="I339" s="25" t="s">
        <v>4804</v>
      </c>
      <c r="J339" s="29">
        <v>24.0</v>
      </c>
      <c r="K339" s="29">
        <f t="shared" si="1"/>
        <v>80</v>
      </c>
      <c r="L339" s="25" t="str">
        <f t="shared" si="2"/>
        <v>Breach</v>
      </c>
      <c r="M339" s="25" t="s">
        <v>4813</v>
      </c>
    </row>
    <row r="340" ht="15.75" customHeight="1">
      <c r="A340" s="61" t="s">
        <v>5162</v>
      </c>
      <c r="B340" s="61" t="s">
        <v>167</v>
      </c>
      <c r="C340" s="61" t="s">
        <v>168</v>
      </c>
      <c r="D340" s="61" t="s">
        <v>4810</v>
      </c>
      <c r="E340" s="62">
        <v>46042.0</v>
      </c>
      <c r="F340" s="62"/>
      <c r="G340" s="61" t="s">
        <v>3851</v>
      </c>
      <c r="H340" s="61" t="s">
        <v>2246</v>
      </c>
      <c r="I340" s="61" t="s">
        <v>4816</v>
      </c>
      <c r="J340" s="63">
        <v>96.0</v>
      </c>
      <c r="K340" s="63">
        <f t="shared" si="1"/>
        <v>2784</v>
      </c>
      <c r="L340" s="61" t="str">
        <f t="shared" si="2"/>
        <v>Breach</v>
      </c>
      <c r="M340" s="61" t="s">
        <v>4813</v>
      </c>
    </row>
    <row r="341" ht="15.75" customHeight="1">
      <c r="A341" s="25" t="s">
        <v>5163</v>
      </c>
      <c r="B341" s="25" t="s">
        <v>417</v>
      </c>
      <c r="C341" s="25" t="s">
        <v>295</v>
      </c>
      <c r="D341" s="25" t="s">
        <v>4831</v>
      </c>
      <c r="E341" s="26">
        <v>46029.0</v>
      </c>
      <c r="F341" s="26"/>
      <c r="G341" s="25" t="s">
        <v>4811</v>
      </c>
      <c r="H341" s="25" t="s">
        <v>2246</v>
      </c>
      <c r="I341" s="25" t="s">
        <v>4816</v>
      </c>
      <c r="J341" s="29">
        <v>72.0</v>
      </c>
      <c r="K341" s="29">
        <f t="shared" si="1"/>
        <v>3096</v>
      </c>
      <c r="L341" s="25" t="str">
        <f t="shared" si="2"/>
        <v>Breach</v>
      </c>
      <c r="M341" s="25" t="s">
        <v>4832</v>
      </c>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41"/>
  <conditionalFormatting sqref="L2:L341">
    <cfRule type="expression" dxfId="1" priority="1">
      <formula>L2="Breach"</formula>
    </cfRule>
  </conditionalFormatting>
  <conditionalFormatting sqref="H2:H341">
    <cfRule type="expression" dxfId="2" priority="2">
      <formula>H2="Yes"</formula>
    </cfRule>
  </conditionalFormatting>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9.0"/>
    <col customWidth="1" min="3" max="3" width="13.0"/>
    <col customWidth="1" min="4" max="4" width="22.0"/>
    <col customWidth="1" min="5" max="5" width="15.0"/>
    <col customWidth="1" min="6" max="6" width="10.0"/>
    <col customWidth="1" min="7" max="7" width="32.0"/>
    <col customWidth="1" min="8" max="26" width="8.71"/>
  </cols>
  <sheetData>
    <row r="1">
      <c r="A1" s="16" t="s">
        <v>5164</v>
      </c>
      <c r="B1" s="16" t="s">
        <v>5165</v>
      </c>
      <c r="C1" s="16" t="s">
        <v>5166</v>
      </c>
      <c r="D1" s="16" t="s">
        <v>5167</v>
      </c>
      <c r="E1" s="16" t="s">
        <v>5168</v>
      </c>
      <c r="F1" s="16" t="s">
        <v>5169</v>
      </c>
      <c r="G1" s="16" t="s">
        <v>5170</v>
      </c>
    </row>
    <row r="2">
      <c r="A2" s="22" t="s">
        <v>5171</v>
      </c>
      <c r="B2" s="17" t="s">
        <v>699</v>
      </c>
      <c r="C2" s="18">
        <v>46132.0</v>
      </c>
      <c r="D2" s="17" t="s">
        <v>5172</v>
      </c>
      <c r="E2" s="22">
        <v>-107.72</v>
      </c>
      <c r="F2" s="17" t="s">
        <v>97</v>
      </c>
      <c r="G2" s="17" t="str">
        <f>IF(COUNTIF(erp_invoices!$B:$B,B2)&gt;0,"Yes","No")</f>
        <v>Yes</v>
      </c>
    </row>
    <row r="3">
      <c r="A3" s="30" t="s">
        <v>5173</v>
      </c>
      <c r="B3" s="25" t="s">
        <v>954</v>
      </c>
      <c r="C3" s="26">
        <v>46128.0</v>
      </c>
      <c r="D3" s="25" t="s">
        <v>5174</v>
      </c>
      <c r="E3" s="30">
        <v>-154.63</v>
      </c>
      <c r="F3" s="25" t="s">
        <v>1214</v>
      </c>
      <c r="G3" s="25" t="str">
        <f>IF(COUNTIF(erp_invoices!$B:$B,B3)&gt;0,"Yes","No")</f>
        <v>Yes</v>
      </c>
    </row>
    <row r="4">
      <c r="A4" s="22" t="s">
        <v>5175</v>
      </c>
      <c r="B4" s="17" t="s">
        <v>854</v>
      </c>
      <c r="C4" s="18">
        <v>46103.0</v>
      </c>
      <c r="D4" s="17" t="s">
        <v>5174</v>
      </c>
      <c r="E4" s="22">
        <v>-32.1</v>
      </c>
      <c r="F4" s="17" t="s">
        <v>97</v>
      </c>
      <c r="G4" s="17" t="str">
        <f>IF(COUNTIF(erp_invoices!$B:$B,B4)&gt;0,"Yes","No")</f>
        <v>Yes</v>
      </c>
    </row>
    <row r="5">
      <c r="A5" s="30" t="s">
        <v>5176</v>
      </c>
      <c r="B5" s="25" t="s">
        <v>1134</v>
      </c>
      <c r="C5" s="26">
        <v>46084.0</v>
      </c>
      <c r="D5" s="25" t="s">
        <v>4825</v>
      </c>
      <c r="E5" s="30">
        <v>-214.76</v>
      </c>
      <c r="F5" s="25" t="s">
        <v>1214</v>
      </c>
      <c r="G5" s="25" t="str">
        <f>IF(COUNTIF(erp_invoices!$B:$B,B5)&gt;0,"Yes","No")</f>
        <v>Yes</v>
      </c>
    </row>
    <row r="6">
      <c r="A6" s="22" t="s">
        <v>5177</v>
      </c>
      <c r="B6" s="17" t="s">
        <v>1137</v>
      </c>
      <c r="C6" s="18">
        <v>46140.0</v>
      </c>
      <c r="D6" s="17" t="s">
        <v>5178</v>
      </c>
      <c r="E6" s="22">
        <v>-92.08</v>
      </c>
      <c r="F6" s="17" t="s">
        <v>1214</v>
      </c>
      <c r="G6" s="17" t="str">
        <f>IF(COUNTIF(erp_invoices!$B:$B,B6)&gt;0,"Yes","No")</f>
        <v>Yes</v>
      </c>
    </row>
    <row r="7">
      <c r="A7" s="30" t="s">
        <v>5179</v>
      </c>
      <c r="B7" s="25" t="s">
        <v>554</v>
      </c>
      <c r="C7" s="26">
        <v>46098.0</v>
      </c>
      <c r="D7" s="25" t="s">
        <v>5174</v>
      </c>
      <c r="E7" s="30">
        <v>-123.42</v>
      </c>
      <c r="F7" s="25" t="s">
        <v>75</v>
      </c>
      <c r="G7" s="25" t="str">
        <f>IF(COUNTIF(erp_invoices!$B:$B,B7)&gt;0,"Yes","No")</f>
        <v>No</v>
      </c>
    </row>
    <row r="8">
      <c r="A8" s="22" t="s">
        <v>5180</v>
      </c>
      <c r="B8" s="17" t="s">
        <v>1086</v>
      </c>
      <c r="C8" s="18">
        <v>46056.0</v>
      </c>
      <c r="D8" s="17" t="s">
        <v>5174</v>
      </c>
      <c r="E8" s="22">
        <v>-168.64</v>
      </c>
      <c r="F8" s="17" t="s">
        <v>97</v>
      </c>
      <c r="G8" s="17" t="str">
        <f>IF(COUNTIF(erp_invoices!$B:$B,B8)&gt;0,"Yes","No")</f>
        <v>Yes</v>
      </c>
    </row>
    <row r="9">
      <c r="A9" s="30" t="s">
        <v>5181</v>
      </c>
      <c r="B9" s="25" t="s">
        <v>867</v>
      </c>
      <c r="C9" s="26">
        <v>46153.0</v>
      </c>
      <c r="D9" s="25" t="s">
        <v>4825</v>
      </c>
      <c r="E9" s="30">
        <v>-63.2</v>
      </c>
      <c r="F9" s="25" t="s">
        <v>97</v>
      </c>
      <c r="G9" s="25" t="str">
        <f>IF(COUNTIF(erp_invoices!$B:$B,B9)&gt;0,"Yes","No")</f>
        <v>Yes</v>
      </c>
    </row>
    <row r="10">
      <c r="A10" s="22" t="s">
        <v>5182</v>
      </c>
      <c r="B10" s="17" t="s">
        <v>869</v>
      </c>
      <c r="C10" s="18">
        <v>46111.0</v>
      </c>
      <c r="D10" s="17" t="s">
        <v>5183</v>
      </c>
      <c r="E10" s="22">
        <v>-117.43</v>
      </c>
      <c r="F10" s="17" t="s">
        <v>75</v>
      </c>
      <c r="G10" s="17" t="str">
        <f>IF(COUNTIF(erp_invoices!$B:$B,B10)&gt;0,"Yes","No")</f>
        <v>Yes</v>
      </c>
    </row>
    <row r="11">
      <c r="A11" s="30" t="s">
        <v>5184</v>
      </c>
      <c r="B11" s="25" t="s">
        <v>562</v>
      </c>
      <c r="C11" s="26">
        <v>46113.0</v>
      </c>
      <c r="D11" s="25" t="s">
        <v>5185</v>
      </c>
      <c r="E11" s="30">
        <v>-33.6</v>
      </c>
      <c r="F11" s="25" t="s">
        <v>97</v>
      </c>
      <c r="G11" s="25" t="str">
        <f>IF(COUNTIF(erp_invoices!$B:$B,B11)&gt;0,"Yes","No")</f>
        <v>Yes</v>
      </c>
    </row>
    <row r="12">
      <c r="A12" s="22" t="s">
        <v>5186</v>
      </c>
      <c r="B12" s="17" t="s">
        <v>724</v>
      </c>
      <c r="C12" s="18">
        <v>46070.0</v>
      </c>
      <c r="D12" s="17" t="s">
        <v>5178</v>
      </c>
      <c r="E12" s="22">
        <v>-60.77</v>
      </c>
      <c r="F12" s="17" t="s">
        <v>1214</v>
      </c>
      <c r="G12" s="17" t="str">
        <f>IF(COUNTIF(erp_invoices!$B:$B,B12)&gt;0,"Yes","No")</f>
        <v>Yes</v>
      </c>
    </row>
    <row r="13">
      <c r="A13" s="30" t="s">
        <v>5187</v>
      </c>
      <c r="B13" s="25" t="s">
        <v>186</v>
      </c>
      <c r="C13" s="26">
        <v>46075.0</v>
      </c>
      <c r="D13" s="25" t="s">
        <v>4825</v>
      </c>
      <c r="E13" s="30">
        <v>-32.28</v>
      </c>
      <c r="F13" s="25" t="s">
        <v>137</v>
      </c>
      <c r="G13" s="25" t="str">
        <f>IF(COUNTIF(erp_invoices!$B:$B,B13)&gt;0,"Yes","No")</f>
        <v>Yes</v>
      </c>
    </row>
    <row r="14">
      <c r="A14" s="22" t="s">
        <v>5188</v>
      </c>
      <c r="B14" s="17" t="s">
        <v>1138</v>
      </c>
      <c r="C14" s="18">
        <v>46078.0</v>
      </c>
      <c r="D14" s="17" t="s">
        <v>5183</v>
      </c>
      <c r="E14" s="22">
        <v>-37.66</v>
      </c>
      <c r="F14" s="17" t="s">
        <v>137</v>
      </c>
      <c r="G14" s="17" t="str">
        <f>IF(COUNTIF(erp_invoices!$B:$B,B14)&gt;0,"Yes","No")</f>
        <v>Yes</v>
      </c>
    </row>
    <row r="15">
      <c r="A15" s="30" t="s">
        <v>5189</v>
      </c>
      <c r="B15" s="25" t="s">
        <v>1089</v>
      </c>
      <c r="C15" s="26">
        <v>46054.0</v>
      </c>
      <c r="D15" s="25" t="s">
        <v>5172</v>
      </c>
      <c r="E15" s="30">
        <v>-215.41</v>
      </c>
      <c r="F15" s="25" t="s">
        <v>97</v>
      </c>
      <c r="G15" s="25" t="str">
        <f>IF(COUNTIF(erp_invoices!$B:$B,B15)&gt;0,"Yes","No")</f>
        <v>Yes</v>
      </c>
    </row>
    <row r="16">
      <c r="A16" s="22" t="s">
        <v>5190</v>
      </c>
      <c r="B16" s="17" t="s">
        <v>972</v>
      </c>
      <c r="C16" s="18">
        <v>46054.0</v>
      </c>
      <c r="D16" s="17" t="s">
        <v>5172</v>
      </c>
      <c r="E16" s="22">
        <v>-150.71</v>
      </c>
      <c r="F16" s="17" t="s">
        <v>97</v>
      </c>
      <c r="G16" s="17" t="str">
        <f>IF(COUNTIF(erp_invoices!$B:$B,B16)&gt;0,"Yes","No")</f>
        <v>Yes</v>
      </c>
    </row>
    <row r="17">
      <c r="A17" s="30" t="s">
        <v>5191</v>
      </c>
      <c r="B17" s="25" t="s">
        <v>728</v>
      </c>
      <c r="C17" s="26">
        <v>46131.0</v>
      </c>
      <c r="D17" s="25" t="s">
        <v>5172</v>
      </c>
      <c r="E17" s="30">
        <v>-20.16</v>
      </c>
      <c r="F17" s="25" t="s">
        <v>97</v>
      </c>
      <c r="G17" s="25" t="str">
        <f>IF(COUNTIF(erp_invoices!$B:$B,B17)&gt;0,"Yes","No")</f>
        <v>Yes</v>
      </c>
    </row>
    <row r="18">
      <c r="A18" s="22" t="s">
        <v>5192</v>
      </c>
      <c r="B18" s="17" t="s">
        <v>88</v>
      </c>
      <c r="C18" s="18">
        <v>46132.0</v>
      </c>
      <c r="D18" s="17" t="s">
        <v>5183</v>
      </c>
      <c r="E18" s="22">
        <v>-161.18</v>
      </c>
      <c r="F18" s="17" t="s">
        <v>75</v>
      </c>
      <c r="G18" s="17" t="str">
        <f>IF(COUNTIF(erp_invoices!$B:$B,B18)&gt;0,"Yes","No")</f>
        <v>Yes</v>
      </c>
    </row>
    <row r="19">
      <c r="A19" s="30" t="s">
        <v>5193</v>
      </c>
      <c r="B19" s="25" t="s">
        <v>1092</v>
      </c>
      <c r="C19" s="26">
        <v>46105.0</v>
      </c>
      <c r="D19" s="25" t="s">
        <v>5178</v>
      </c>
      <c r="E19" s="30">
        <v>-223.03</v>
      </c>
      <c r="F19" s="25" t="s">
        <v>137</v>
      </c>
      <c r="G19" s="25" t="str">
        <f>IF(COUNTIF(erp_invoices!$B:$B,B19)&gt;0,"Yes","No")</f>
        <v>No</v>
      </c>
    </row>
    <row r="20">
      <c r="A20" s="22" t="s">
        <v>5194</v>
      </c>
      <c r="B20" s="17" t="s">
        <v>470</v>
      </c>
      <c r="C20" s="18">
        <v>46055.0</v>
      </c>
      <c r="D20" s="17" t="s">
        <v>4825</v>
      </c>
      <c r="E20" s="22">
        <v>-214.12</v>
      </c>
      <c r="F20" s="17" t="s">
        <v>97</v>
      </c>
      <c r="G20" s="17" t="str">
        <f>IF(COUNTIF(erp_invoices!$B:$B,B20)&gt;0,"Yes","No")</f>
        <v>Yes</v>
      </c>
    </row>
    <row r="21" ht="15.75" customHeight="1">
      <c r="A21" s="30" t="s">
        <v>5195</v>
      </c>
      <c r="B21" s="25" t="s">
        <v>877</v>
      </c>
      <c r="C21" s="26">
        <v>46078.0</v>
      </c>
      <c r="D21" s="25" t="s">
        <v>4825</v>
      </c>
      <c r="E21" s="30">
        <v>-222.71</v>
      </c>
      <c r="F21" s="25" t="s">
        <v>137</v>
      </c>
      <c r="G21" s="25" t="str">
        <f>IF(COUNTIF(erp_invoices!$B:$B,B21)&gt;0,"Yes","No")</f>
        <v>Yes</v>
      </c>
    </row>
    <row r="22" ht="15.75" customHeight="1">
      <c r="A22" s="22" t="s">
        <v>5196</v>
      </c>
      <c r="B22" s="17" t="s">
        <v>197</v>
      </c>
      <c r="C22" s="18">
        <v>46162.0</v>
      </c>
      <c r="D22" s="17" t="s">
        <v>5172</v>
      </c>
      <c r="E22" s="22">
        <v>-170.17</v>
      </c>
      <c r="F22" s="17" t="s">
        <v>137</v>
      </c>
      <c r="G22" s="17" t="str">
        <f>IF(COUNTIF(erp_invoices!$B:$B,B22)&gt;0,"Yes","No")</f>
        <v>Yes</v>
      </c>
    </row>
    <row r="23" ht="15.75" customHeight="1">
      <c r="A23" s="30" t="s">
        <v>5197</v>
      </c>
      <c r="B23" s="25" t="s">
        <v>743</v>
      </c>
      <c r="C23" s="26">
        <v>46064.0</v>
      </c>
      <c r="D23" s="25" t="s">
        <v>4825</v>
      </c>
      <c r="E23" s="30">
        <v>-137.95</v>
      </c>
      <c r="F23" s="25" t="s">
        <v>75</v>
      </c>
      <c r="G23" s="25" t="str">
        <f>IF(COUNTIF(erp_invoices!$B:$B,B23)&gt;0,"Yes","No")</f>
        <v>Yes</v>
      </c>
    </row>
    <row r="24" ht="15.75" customHeight="1">
      <c r="A24" s="22" t="s">
        <v>5198</v>
      </c>
      <c r="B24" s="17" t="s">
        <v>324</v>
      </c>
      <c r="C24" s="18">
        <v>46116.0</v>
      </c>
      <c r="D24" s="17" t="s">
        <v>4825</v>
      </c>
      <c r="E24" s="22">
        <v>-235.56</v>
      </c>
      <c r="F24" s="17" t="s">
        <v>1214</v>
      </c>
      <c r="G24" s="17" t="str">
        <f>IF(COUNTIF(erp_invoices!$B:$B,B24)&gt;0,"Yes","No")</f>
        <v>Yes</v>
      </c>
    </row>
    <row r="25" ht="15.75" customHeight="1">
      <c r="A25" s="30" t="s">
        <v>5199</v>
      </c>
      <c r="B25" s="25" t="s">
        <v>325</v>
      </c>
      <c r="C25" s="26">
        <v>46148.0</v>
      </c>
      <c r="D25" s="25" t="s">
        <v>5178</v>
      </c>
      <c r="E25" s="30">
        <v>-54.29</v>
      </c>
      <c r="F25" s="25" t="s">
        <v>97</v>
      </c>
      <c r="G25" s="25" t="str">
        <f>IF(COUNTIF(erp_invoices!$B:$B,B25)&gt;0,"Yes","No")</f>
        <v>Yes</v>
      </c>
    </row>
    <row r="26" ht="15.75" customHeight="1">
      <c r="A26" s="22" t="s">
        <v>5200</v>
      </c>
      <c r="B26" s="17" t="s">
        <v>880</v>
      </c>
      <c r="C26" s="18">
        <v>46136.0</v>
      </c>
      <c r="D26" s="17" t="s">
        <v>5178</v>
      </c>
      <c r="E26" s="22">
        <v>-179.62</v>
      </c>
      <c r="F26" s="17" t="s">
        <v>97</v>
      </c>
      <c r="G26" s="17" t="str">
        <f>IF(COUNTIF(erp_invoices!$B:$B,B26)&gt;0,"Yes","No")</f>
        <v>Yes</v>
      </c>
    </row>
    <row r="27" ht="15.75" customHeight="1">
      <c r="A27" s="30" t="s">
        <v>5201</v>
      </c>
      <c r="B27" s="25" t="s">
        <v>479</v>
      </c>
      <c r="C27" s="26">
        <v>46068.0</v>
      </c>
      <c r="D27" s="25" t="s">
        <v>5178</v>
      </c>
      <c r="E27" s="30">
        <v>-200.27</v>
      </c>
      <c r="F27" s="25" t="s">
        <v>1214</v>
      </c>
      <c r="G27" s="25" t="str">
        <f>IF(COUNTIF(erp_invoices!$B:$B,B27)&gt;0,"Yes","No")</f>
        <v>Yes</v>
      </c>
    </row>
    <row r="28" ht="15.75" customHeight="1">
      <c r="A28" s="22" t="s">
        <v>5202</v>
      </c>
      <c r="B28" s="17" t="s">
        <v>983</v>
      </c>
      <c r="C28" s="18">
        <v>46127.0</v>
      </c>
      <c r="D28" s="17" t="s">
        <v>5185</v>
      </c>
      <c r="E28" s="22">
        <v>-116.0</v>
      </c>
      <c r="F28" s="17" t="s">
        <v>97</v>
      </c>
      <c r="G28" s="17" t="str">
        <f>IF(COUNTIF(erp_invoices!$B:$B,B28)&gt;0,"Yes","No")</f>
        <v>Yes</v>
      </c>
    </row>
    <row r="29" ht="15.75" customHeight="1">
      <c r="A29" s="30" t="s">
        <v>5203</v>
      </c>
      <c r="B29" s="25" t="s">
        <v>333</v>
      </c>
      <c r="C29" s="26">
        <v>46047.0</v>
      </c>
      <c r="D29" s="25" t="s">
        <v>4825</v>
      </c>
      <c r="E29" s="30">
        <v>-152.29</v>
      </c>
      <c r="F29" s="25" t="s">
        <v>97</v>
      </c>
      <c r="G29" s="25" t="str">
        <f>IF(COUNTIF(erp_invoices!$B:$B,B29)&gt;0,"Yes","No")</f>
        <v>Yes</v>
      </c>
    </row>
    <row r="30" ht="15.75" customHeight="1">
      <c r="A30" s="22" t="s">
        <v>5204</v>
      </c>
      <c r="B30" s="17" t="s">
        <v>486</v>
      </c>
      <c r="C30" s="18">
        <v>46139.0</v>
      </c>
      <c r="D30" s="17" t="s">
        <v>5172</v>
      </c>
      <c r="E30" s="22">
        <v>-94.33</v>
      </c>
      <c r="F30" s="17" t="s">
        <v>137</v>
      </c>
      <c r="G30" s="17" t="str">
        <f>IF(COUNTIF(erp_invoices!$B:$B,B30)&gt;0,"Yes","No")</f>
        <v>Yes</v>
      </c>
    </row>
    <row r="31" ht="15.75" customHeight="1">
      <c r="A31" s="30" t="s">
        <v>5205</v>
      </c>
      <c r="B31" s="25" t="s">
        <v>995</v>
      </c>
      <c r="C31" s="26">
        <v>46051.0</v>
      </c>
      <c r="D31" s="25" t="s">
        <v>5178</v>
      </c>
      <c r="E31" s="30">
        <v>-45.4</v>
      </c>
      <c r="F31" s="25" t="s">
        <v>137</v>
      </c>
      <c r="G31" s="25" t="str">
        <f>IF(COUNTIF(erp_invoices!$B:$B,B31)&gt;0,"Yes","No")</f>
        <v>Yes</v>
      </c>
    </row>
    <row r="32" ht="15.75" customHeight="1">
      <c r="A32" s="22" t="s">
        <v>5206</v>
      </c>
      <c r="B32" s="17" t="s">
        <v>996</v>
      </c>
      <c r="C32" s="18">
        <v>46064.0</v>
      </c>
      <c r="D32" s="17" t="s">
        <v>5172</v>
      </c>
      <c r="E32" s="22">
        <v>-96.96</v>
      </c>
      <c r="F32" s="17" t="s">
        <v>75</v>
      </c>
      <c r="G32" s="17" t="str">
        <f>IF(COUNTIF(erp_invoices!$B:$B,B32)&gt;0,"Yes","No")</f>
        <v>Yes</v>
      </c>
    </row>
    <row r="33" ht="15.75" customHeight="1">
      <c r="A33" s="30" t="s">
        <v>5207</v>
      </c>
      <c r="B33" s="25" t="s">
        <v>209</v>
      </c>
      <c r="C33" s="26">
        <v>46130.0</v>
      </c>
      <c r="D33" s="25" t="s">
        <v>5185</v>
      </c>
      <c r="E33" s="30">
        <v>-132.6</v>
      </c>
      <c r="F33" s="25" t="s">
        <v>75</v>
      </c>
      <c r="G33" s="25" t="str">
        <f>IF(COUNTIF(erp_invoices!$B:$B,B33)&gt;0,"Yes","No")</f>
        <v>Yes</v>
      </c>
    </row>
    <row r="34" ht="15.75" customHeight="1">
      <c r="A34" s="22" t="s">
        <v>5208</v>
      </c>
      <c r="B34" s="17" t="s">
        <v>598</v>
      </c>
      <c r="C34" s="18">
        <v>46063.0</v>
      </c>
      <c r="D34" s="17" t="s">
        <v>5178</v>
      </c>
      <c r="E34" s="22">
        <v>-29.51</v>
      </c>
      <c r="F34" s="17" t="s">
        <v>75</v>
      </c>
      <c r="G34" s="17" t="str">
        <f>IF(COUNTIF(erp_invoices!$B:$B,B34)&gt;0,"Yes","No")</f>
        <v>Yes</v>
      </c>
    </row>
    <row r="35" ht="15.75" customHeight="1">
      <c r="A35" s="30" t="s">
        <v>5209</v>
      </c>
      <c r="B35" s="25" t="s">
        <v>341</v>
      </c>
      <c r="C35" s="26">
        <v>46056.0</v>
      </c>
      <c r="D35" s="25" t="s">
        <v>5185</v>
      </c>
      <c r="E35" s="30">
        <v>-45.36</v>
      </c>
      <c r="F35" s="25" t="s">
        <v>97</v>
      </c>
      <c r="G35" s="25" t="str">
        <f>IF(COUNTIF(erp_invoices!$B:$B,B35)&gt;0,"Yes","No")</f>
        <v>Yes</v>
      </c>
    </row>
    <row r="36" ht="15.75" customHeight="1">
      <c r="A36" s="22" t="s">
        <v>5210</v>
      </c>
      <c r="B36" s="17" t="s">
        <v>767</v>
      </c>
      <c r="C36" s="18">
        <v>46064.0</v>
      </c>
      <c r="D36" s="17" t="s">
        <v>5172</v>
      </c>
      <c r="E36" s="22">
        <v>-170.93</v>
      </c>
      <c r="F36" s="17" t="s">
        <v>1214</v>
      </c>
      <c r="G36" s="17" t="str">
        <f>IF(COUNTIF(erp_invoices!$B:$B,B36)&gt;0,"Yes","No")</f>
        <v>Yes</v>
      </c>
    </row>
    <row r="37" ht="15.75" customHeight="1">
      <c r="A37" s="30" t="s">
        <v>5211</v>
      </c>
      <c r="B37" s="25" t="s">
        <v>1148</v>
      </c>
      <c r="C37" s="26">
        <v>46063.0</v>
      </c>
      <c r="D37" s="25" t="s">
        <v>5174</v>
      </c>
      <c r="E37" s="30">
        <v>-213.87</v>
      </c>
      <c r="F37" s="25" t="s">
        <v>97</v>
      </c>
      <c r="G37" s="25" t="str">
        <f>IF(COUNTIF(erp_invoices!$B:$B,B37)&gt;0,"Yes","No")</f>
        <v>Yes</v>
      </c>
    </row>
    <row r="38" ht="15.75" customHeight="1">
      <c r="A38" s="22" t="s">
        <v>5212</v>
      </c>
      <c r="B38" s="17" t="s">
        <v>770</v>
      </c>
      <c r="C38" s="18">
        <v>46097.0</v>
      </c>
      <c r="D38" s="17" t="s">
        <v>5178</v>
      </c>
      <c r="E38" s="22">
        <v>-229.33</v>
      </c>
      <c r="F38" s="17" t="s">
        <v>137</v>
      </c>
      <c r="G38" s="17" t="str">
        <f>IF(COUNTIF(erp_invoices!$B:$B,B38)&gt;0,"Yes","No")</f>
        <v>Yes</v>
      </c>
    </row>
    <row r="39" ht="15.75" customHeight="1">
      <c r="A39" s="30" t="s">
        <v>5213</v>
      </c>
      <c r="B39" s="25" t="s">
        <v>1101</v>
      </c>
      <c r="C39" s="26">
        <v>46076.0</v>
      </c>
      <c r="D39" s="25" t="s">
        <v>5174</v>
      </c>
      <c r="E39" s="30">
        <v>-74.21</v>
      </c>
      <c r="F39" s="25" t="s">
        <v>97</v>
      </c>
      <c r="G39" s="25" t="str">
        <f>IF(COUNTIF(erp_invoices!$B:$B,B39)&gt;0,"Yes","No")</f>
        <v>Yes</v>
      </c>
    </row>
    <row r="40" ht="15.75" customHeight="1">
      <c r="A40" s="22" t="s">
        <v>5214</v>
      </c>
      <c r="B40" s="17" t="s">
        <v>109</v>
      </c>
      <c r="C40" s="18">
        <v>46145.0</v>
      </c>
      <c r="D40" s="17" t="s">
        <v>4825</v>
      </c>
      <c r="E40" s="22">
        <v>-223.03</v>
      </c>
      <c r="F40" s="17" t="s">
        <v>97</v>
      </c>
      <c r="G40" s="17" t="str">
        <f>IF(COUNTIF(erp_invoices!$B:$B,B40)&gt;0,"Yes","No")</f>
        <v>Yes</v>
      </c>
    </row>
    <row r="41" ht="15.75" customHeight="1">
      <c r="A41" s="30" t="s">
        <v>5215</v>
      </c>
      <c r="B41" s="25" t="s">
        <v>111</v>
      </c>
      <c r="C41" s="26">
        <v>46091.0</v>
      </c>
      <c r="D41" s="25" t="s">
        <v>5174</v>
      </c>
      <c r="E41" s="30">
        <v>-103.34</v>
      </c>
      <c r="F41" s="25" t="s">
        <v>137</v>
      </c>
      <c r="G41" s="25" t="str">
        <f>IF(COUNTIF(erp_invoices!$B:$B,B41)&gt;0,"Yes","No")</f>
        <v>Yes</v>
      </c>
    </row>
    <row r="42" ht="15.75" customHeight="1">
      <c r="A42" s="22" t="s">
        <v>5216</v>
      </c>
      <c r="B42" s="17" t="s">
        <v>219</v>
      </c>
      <c r="C42" s="18">
        <v>46154.0</v>
      </c>
      <c r="D42" s="17" t="s">
        <v>5174</v>
      </c>
      <c r="E42" s="22">
        <v>-223.27</v>
      </c>
      <c r="F42" s="17" t="s">
        <v>75</v>
      </c>
      <c r="G42" s="17" t="str">
        <f>IF(COUNTIF(erp_invoices!$B:$B,B42)&gt;0,"Yes","No")</f>
        <v>Yes</v>
      </c>
    </row>
    <row r="43" ht="15.75" customHeight="1">
      <c r="A43" s="30" t="s">
        <v>5217</v>
      </c>
      <c r="B43" s="25" t="s">
        <v>493</v>
      </c>
      <c r="C43" s="26">
        <v>46059.0</v>
      </c>
      <c r="D43" s="25" t="s">
        <v>4825</v>
      </c>
      <c r="E43" s="30">
        <v>-193.22</v>
      </c>
      <c r="F43" s="25" t="s">
        <v>97</v>
      </c>
      <c r="G43" s="25" t="str">
        <f>IF(COUNTIF(erp_invoices!$B:$B,B43)&gt;0,"Yes","No")</f>
        <v>Yes</v>
      </c>
    </row>
    <row r="44" ht="15.75" customHeight="1">
      <c r="A44" s="22" t="s">
        <v>5218</v>
      </c>
      <c r="B44" s="17" t="s">
        <v>896</v>
      </c>
      <c r="C44" s="18">
        <v>46111.0</v>
      </c>
      <c r="D44" s="17" t="s">
        <v>4825</v>
      </c>
      <c r="E44" s="22">
        <v>-179.51</v>
      </c>
      <c r="F44" s="17" t="s">
        <v>137</v>
      </c>
      <c r="G44" s="17" t="str">
        <f>IF(COUNTIF(erp_invoices!$B:$B,B44)&gt;0,"Yes","No")</f>
        <v>Yes</v>
      </c>
    </row>
    <row r="45" ht="15.75" customHeight="1">
      <c r="A45" s="30" t="s">
        <v>5219</v>
      </c>
      <c r="B45" s="25" t="s">
        <v>353</v>
      </c>
      <c r="C45" s="26">
        <v>46126.0</v>
      </c>
      <c r="D45" s="25" t="s">
        <v>5174</v>
      </c>
      <c r="E45" s="30">
        <v>-100.76</v>
      </c>
      <c r="F45" s="25" t="s">
        <v>97</v>
      </c>
      <c r="G45" s="25" t="str">
        <f>IF(COUNTIF(erp_invoices!$B:$B,B45)&gt;0,"Yes","No")</f>
        <v>Yes</v>
      </c>
    </row>
    <row r="46" ht="15.75" customHeight="1">
      <c r="A46" s="22" t="s">
        <v>5220</v>
      </c>
      <c r="B46" s="17" t="s">
        <v>358</v>
      </c>
      <c r="C46" s="18">
        <v>46066.0</v>
      </c>
      <c r="D46" s="17" t="s">
        <v>5174</v>
      </c>
      <c r="E46" s="22">
        <v>-22.15</v>
      </c>
      <c r="F46" s="17" t="s">
        <v>97</v>
      </c>
      <c r="G46" s="17" t="str">
        <f>IF(COUNTIF(erp_invoices!$B:$B,B46)&gt;0,"Yes","No")</f>
        <v>Yes</v>
      </c>
    </row>
    <row r="47" ht="15.75" customHeight="1">
      <c r="A47" s="30" t="s">
        <v>5221</v>
      </c>
      <c r="B47" s="25" t="s">
        <v>781</v>
      </c>
      <c r="C47" s="26">
        <v>46073.0</v>
      </c>
      <c r="D47" s="25" t="s">
        <v>4825</v>
      </c>
      <c r="E47" s="30">
        <v>-193.76</v>
      </c>
      <c r="F47" s="25" t="s">
        <v>75</v>
      </c>
      <c r="G47" s="25" t="str">
        <f>IF(COUNTIF(erp_invoices!$B:$B,B47)&gt;0,"Yes","No")</f>
        <v>Yes</v>
      </c>
    </row>
    <row r="48" ht="15.75" customHeight="1">
      <c r="A48" s="22" t="s">
        <v>5222</v>
      </c>
      <c r="B48" s="17" t="s">
        <v>230</v>
      </c>
      <c r="C48" s="18">
        <v>46113.0</v>
      </c>
      <c r="D48" s="17" t="s">
        <v>4825</v>
      </c>
      <c r="E48" s="22">
        <v>-65.54</v>
      </c>
      <c r="F48" s="17" t="s">
        <v>1214</v>
      </c>
      <c r="G48" s="17" t="str">
        <f>IF(COUNTIF(erp_invoices!$B:$B,B48)&gt;0,"Yes","No")</f>
        <v>Yes</v>
      </c>
    </row>
    <row r="49" ht="15.75" customHeight="1">
      <c r="A49" s="30" t="s">
        <v>5223</v>
      </c>
      <c r="B49" s="25" t="s">
        <v>1016</v>
      </c>
      <c r="C49" s="26">
        <v>46054.0</v>
      </c>
      <c r="D49" s="25" t="s">
        <v>5172</v>
      </c>
      <c r="E49" s="30">
        <v>-130.77</v>
      </c>
      <c r="F49" s="25" t="s">
        <v>1214</v>
      </c>
      <c r="G49" s="25" t="str">
        <f>IF(COUNTIF(erp_invoices!$B:$B,B49)&gt;0,"Yes","No")</f>
        <v>No</v>
      </c>
    </row>
    <row r="50" ht="15.75" customHeight="1">
      <c r="A50" s="22" t="s">
        <v>5224</v>
      </c>
      <c r="B50" s="17" t="s">
        <v>501</v>
      </c>
      <c r="C50" s="18">
        <v>46060.0</v>
      </c>
      <c r="D50" s="17" t="s">
        <v>5178</v>
      </c>
      <c r="E50" s="22">
        <v>-86.38</v>
      </c>
      <c r="F50" s="17" t="s">
        <v>75</v>
      </c>
      <c r="G50" s="17" t="str">
        <f>IF(COUNTIF(erp_invoices!$B:$B,B50)&gt;0,"Yes","No")</f>
        <v>Yes</v>
      </c>
    </row>
    <row r="51" ht="15.75" customHeight="1">
      <c r="A51" s="30" t="s">
        <v>5225</v>
      </c>
      <c r="B51" s="25" t="s">
        <v>234</v>
      </c>
      <c r="C51" s="26">
        <v>46151.0</v>
      </c>
      <c r="D51" s="25" t="s">
        <v>5178</v>
      </c>
      <c r="E51" s="30">
        <v>-108.38</v>
      </c>
      <c r="F51" s="25" t="s">
        <v>97</v>
      </c>
      <c r="G51" s="25" t="str">
        <f>IF(COUNTIF(erp_invoices!$B:$B,B51)&gt;0,"Yes","No")</f>
        <v>No</v>
      </c>
    </row>
    <row r="52" ht="15.75" customHeight="1">
      <c r="A52" s="22" t="s">
        <v>5226</v>
      </c>
      <c r="B52" s="17" t="s">
        <v>788</v>
      </c>
      <c r="C52" s="18">
        <v>46071.0</v>
      </c>
      <c r="D52" s="17" t="s">
        <v>5183</v>
      </c>
      <c r="E52" s="22">
        <v>-194.66</v>
      </c>
      <c r="F52" s="17" t="s">
        <v>75</v>
      </c>
      <c r="G52" s="17" t="str">
        <f>IF(COUNTIF(erp_invoices!$B:$B,B52)&gt;0,"Yes","No")</f>
        <v>Yes</v>
      </c>
    </row>
    <row r="53" ht="15.75" customHeight="1">
      <c r="A53" s="30" t="s">
        <v>5227</v>
      </c>
      <c r="B53" s="25" t="s">
        <v>620</v>
      </c>
      <c r="C53" s="26">
        <v>46122.0</v>
      </c>
      <c r="D53" s="25" t="s">
        <v>5185</v>
      </c>
      <c r="E53" s="30">
        <v>-129.13</v>
      </c>
      <c r="F53" s="25" t="s">
        <v>75</v>
      </c>
      <c r="G53" s="25" t="str">
        <f>IF(COUNTIF(erp_invoices!$B:$B,B53)&gt;0,"Yes","No")</f>
        <v>Yes</v>
      </c>
    </row>
    <row r="54" ht="15.75" customHeight="1">
      <c r="A54" s="22" t="s">
        <v>5228</v>
      </c>
      <c r="B54" s="17" t="s">
        <v>905</v>
      </c>
      <c r="C54" s="18">
        <v>46124.0</v>
      </c>
      <c r="D54" s="17" t="s">
        <v>5174</v>
      </c>
      <c r="E54" s="22">
        <v>-107.09</v>
      </c>
      <c r="F54" s="17" t="s">
        <v>75</v>
      </c>
      <c r="G54" s="17" t="str">
        <f>IF(COUNTIF(erp_invoices!$B:$B,B54)&gt;0,"Yes","No")</f>
        <v>Yes</v>
      </c>
    </row>
    <row r="55" ht="15.75" customHeight="1">
      <c r="A55" s="30" t="s">
        <v>5229</v>
      </c>
      <c r="B55" s="25" t="s">
        <v>906</v>
      </c>
      <c r="C55" s="26">
        <v>46084.0</v>
      </c>
      <c r="D55" s="25" t="s">
        <v>5185</v>
      </c>
      <c r="E55" s="30">
        <v>-179.68</v>
      </c>
      <c r="F55" s="25" t="s">
        <v>97</v>
      </c>
      <c r="G55" s="25" t="str">
        <f>IF(COUNTIF(erp_invoices!$B:$B,B55)&gt;0,"Yes","No")</f>
        <v>Yes</v>
      </c>
    </row>
    <row r="56" ht="15.75" customHeight="1">
      <c r="A56" s="22" t="s">
        <v>5230</v>
      </c>
      <c r="B56" s="17" t="s">
        <v>792</v>
      </c>
      <c r="C56" s="18">
        <v>46151.0</v>
      </c>
      <c r="D56" s="17" t="s">
        <v>5172</v>
      </c>
      <c r="E56" s="22">
        <v>-166.71</v>
      </c>
      <c r="F56" s="17" t="s">
        <v>75</v>
      </c>
      <c r="G56" s="17" t="str">
        <f>IF(COUNTIF(erp_invoices!$B:$B,B56)&gt;0,"Yes","No")</f>
        <v>Yes</v>
      </c>
    </row>
    <row r="57" ht="15.75" customHeight="1">
      <c r="A57" s="30" t="s">
        <v>5231</v>
      </c>
      <c r="B57" s="25" t="s">
        <v>370</v>
      </c>
      <c r="C57" s="26">
        <v>46044.0</v>
      </c>
      <c r="D57" s="25" t="s">
        <v>4825</v>
      </c>
      <c r="E57" s="30">
        <v>-17.61</v>
      </c>
      <c r="F57" s="25" t="s">
        <v>75</v>
      </c>
      <c r="G57" s="25" t="str">
        <f>IF(COUNTIF(erp_invoices!$B:$B,B57)&gt;0,"Yes","No")</f>
        <v>Yes</v>
      </c>
    </row>
    <row r="58" ht="15.75" customHeight="1">
      <c r="A58" s="22" t="s">
        <v>5232</v>
      </c>
      <c r="B58" s="17" t="s">
        <v>236</v>
      </c>
      <c r="C58" s="18">
        <v>46135.0</v>
      </c>
      <c r="D58" s="17" t="s">
        <v>4825</v>
      </c>
      <c r="E58" s="22">
        <v>-208.46</v>
      </c>
      <c r="F58" s="17" t="s">
        <v>75</v>
      </c>
      <c r="G58" s="17" t="str">
        <f>IF(COUNTIF(erp_invoices!$B:$B,B58)&gt;0,"Yes","No")</f>
        <v>Yes</v>
      </c>
    </row>
    <row r="59" ht="15.75" customHeight="1">
      <c r="A59" s="30" t="s">
        <v>5233</v>
      </c>
      <c r="B59" s="25" t="s">
        <v>629</v>
      </c>
      <c r="C59" s="26">
        <v>46139.0</v>
      </c>
      <c r="D59" s="25" t="s">
        <v>5183</v>
      </c>
      <c r="E59" s="30">
        <v>-84.17</v>
      </c>
      <c r="F59" s="25" t="s">
        <v>75</v>
      </c>
      <c r="G59" s="25" t="str">
        <f>IF(COUNTIF(erp_invoices!$B:$B,B59)&gt;0,"Yes","No")</f>
        <v>Yes</v>
      </c>
    </row>
    <row r="60" ht="15.75" customHeight="1">
      <c r="A60" s="22" t="s">
        <v>5234</v>
      </c>
      <c r="B60" s="17" t="s">
        <v>1024</v>
      </c>
      <c r="C60" s="18">
        <v>46067.0</v>
      </c>
      <c r="D60" s="17" t="s">
        <v>5185</v>
      </c>
      <c r="E60" s="22">
        <v>-29.01</v>
      </c>
      <c r="F60" s="17" t="s">
        <v>75</v>
      </c>
      <c r="G60" s="17" t="str">
        <f>IF(COUNTIF(erp_invoices!$B:$B,B60)&gt;0,"Yes","No")</f>
        <v>Yes</v>
      </c>
    </row>
    <row r="61" ht="15.75" customHeight="1">
      <c r="A61" s="30" t="s">
        <v>5235</v>
      </c>
      <c r="B61" s="25" t="s">
        <v>508</v>
      </c>
      <c r="C61" s="26">
        <v>46157.0</v>
      </c>
      <c r="D61" s="25" t="s">
        <v>5174</v>
      </c>
      <c r="E61" s="30">
        <v>-110.97</v>
      </c>
      <c r="F61" s="25" t="s">
        <v>1214</v>
      </c>
      <c r="G61" s="25" t="str">
        <f>IF(COUNTIF(erp_invoices!$B:$B,B61)&gt;0,"Yes","No")</f>
        <v>Yes</v>
      </c>
    </row>
    <row r="62" ht="15.75" customHeight="1">
      <c r="A62" s="22" t="s">
        <v>5236</v>
      </c>
      <c r="B62" s="17" t="s">
        <v>804</v>
      </c>
      <c r="C62" s="18">
        <v>46123.0</v>
      </c>
      <c r="D62" s="17" t="s">
        <v>5183</v>
      </c>
      <c r="E62" s="22">
        <v>-23.17</v>
      </c>
      <c r="F62" s="17" t="s">
        <v>75</v>
      </c>
      <c r="G62" s="17" t="str">
        <f>IF(COUNTIF(erp_invoices!$B:$B,B62)&gt;0,"Yes","No")</f>
        <v>Yes</v>
      </c>
    </row>
    <row r="63" ht="15.75" customHeight="1">
      <c r="A63" s="30" t="s">
        <v>5237</v>
      </c>
      <c r="B63" s="25" t="s">
        <v>243</v>
      </c>
      <c r="C63" s="26">
        <v>46088.0</v>
      </c>
      <c r="D63" s="25" t="s">
        <v>5172</v>
      </c>
      <c r="E63" s="30">
        <v>-175.42</v>
      </c>
      <c r="F63" s="25" t="s">
        <v>137</v>
      </c>
      <c r="G63" s="25" t="str">
        <f>IF(COUNTIF(erp_invoices!$B:$B,B63)&gt;0,"Yes","No")</f>
        <v>Yes</v>
      </c>
    </row>
    <row r="64" ht="15.75" customHeight="1">
      <c r="A64" s="22" t="s">
        <v>5238</v>
      </c>
      <c r="B64" s="17" t="s">
        <v>1032</v>
      </c>
      <c r="C64" s="18">
        <v>46144.0</v>
      </c>
      <c r="D64" s="17" t="s">
        <v>5174</v>
      </c>
      <c r="E64" s="22">
        <v>-164.6</v>
      </c>
      <c r="F64" s="17" t="s">
        <v>1214</v>
      </c>
      <c r="G64" s="17" t="str">
        <f>IF(COUNTIF(erp_invoices!$B:$B,B64)&gt;0,"Yes","No")</f>
        <v>Yes</v>
      </c>
    </row>
    <row r="65" ht="15.75" customHeight="1">
      <c r="A65" s="30" t="s">
        <v>5239</v>
      </c>
      <c r="B65" s="25" t="s">
        <v>129</v>
      </c>
      <c r="C65" s="26">
        <v>46076.0</v>
      </c>
      <c r="D65" s="25" t="s">
        <v>5178</v>
      </c>
      <c r="E65" s="30">
        <v>-183.08</v>
      </c>
      <c r="F65" s="25" t="s">
        <v>75</v>
      </c>
      <c r="G65" s="25" t="str">
        <f>IF(COUNTIF(erp_invoices!$B:$B,B65)&gt;0,"Yes","No")</f>
        <v>Yes</v>
      </c>
    </row>
    <row r="66" ht="15.75" customHeight="1">
      <c r="A66" s="22" t="s">
        <v>5240</v>
      </c>
      <c r="B66" s="17" t="s">
        <v>130</v>
      </c>
      <c r="C66" s="18">
        <v>46061.0</v>
      </c>
      <c r="D66" s="17" t="s">
        <v>5174</v>
      </c>
      <c r="E66" s="22">
        <v>-135.53</v>
      </c>
      <c r="F66" s="17" t="s">
        <v>137</v>
      </c>
      <c r="G66" s="17" t="str">
        <f>IF(COUNTIF(erp_invoices!$B:$B,B66)&gt;0,"Yes","No")</f>
        <v>Yes</v>
      </c>
    </row>
    <row r="67" ht="15.75" customHeight="1">
      <c r="A67" s="30" t="s">
        <v>5241</v>
      </c>
      <c r="B67" s="25" t="s">
        <v>918</v>
      </c>
      <c r="C67" s="26">
        <v>46109.0</v>
      </c>
      <c r="D67" s="25" t="s">
        <v>4825</v>
      </c>
      <c r="E67" s="30">
        <v>-76.05</v>
      </c>
      <c r="F67" s="25" t="s">
        <v>97</v>
      </c>
      <c r="G67" s="25" t="str">
        <f>IF(COUNTIF(erp_invoices!$B:$B,B67)&gt;0,"Yes","No")</f>
        <v>Yes</v>
      </c>
    </row>
    <row r="68" ht="15.75" customHeight="1">
      <c r="A68" s="22" t="s">
        <v>5242</v>
      </c>
      <c r="B68" s="17" t="s">
        <v>391</v>
      </c>
      <c r="C68" s="18">
        <v>46140.0</v>
      </c>
      <c r="D68" s="17" t="s">
        <v>5172</v>
      </c>
      <c r="E68" s="22">
        <v>-50.42</v>
      </c>
      <c r="F68" s="17" t="s">
        <v>75</v>
      </c>
      <c r="G68" s="17" t="str">
        <f>IF(COUNTIF(erp_invoices!$B:$B,B68)&gt;0,"Yes","No")</f>
        <v>No</v>
      </c>
    </row>
    <row r="69" ht="15.75" customHeight="1">
      <c r="A69" s="30" t="s">
        <v>5243</v>
      </c>
      <c r="B69" s="25" t="s">
        <v>246</v>
      </c>
      <c r="C69" s="26">
        <v>46103.0</v>
      </c>
      <c r="D69" s="25" t="s">
        <v>4825</v>
      </c>
      <c r="E69" s="30">
        <v>-82.25</v>
      </c>
      <c r="F69" s="25" t="s">
        <v>137</v>
      </c>
      <c r="G69" s="25" t="str">
        <f>IF(COUNTIF(erp_invoices!$B:$B,B69)&gt;0,"Yes","No")</f>
        <v>No</v>
      </c>
    </row>
    <row r="70" ht="15.75" customHeight="1">
      <c r="A70" s="22" t="s">
        <v>5244</v>
      </c>
      <c r="B70" s="17" t="s">
        <v>247</v>
      </c>
      <c r="C70" s="18">
        <v>46048.0</v>
      </c>
      <c r="D70" s="17" t="s">
        <v>5174</v>
      </c>
      <c r="E70" s="22">
        <v>-117.48</v>
      </c>
      <c r="F70" s="17" t="s">
        <v>75</v>
      </c>
      <c r="G70" s="17" t="str">
        <f>IF(COUNTIF(erp_invoices!$B:$B,B70)&gt;0,"Yes","No")</f>
        <v>Yes</v>
      </c>
    </row>
    <row r="71" ht="15.75" customHeight="1">
      <c r="A71" s="30" t="s">
        <v>5245</v>
      </c>
      <c r="B71" s="25" t="s">
        <v>509</v>
      </c>
      <c r="C71" s="26">
        <v>46076.0</v>
      </c>
      <c r="D71" s="25" t="s">
        <v>5178</v>
      </c>
      <c r="E71" s="30">
        <v>-10.64</v>
      </c>
      <c r="F71" s="25" t="s">
        <v>137</v>
      </c>
      <c r="G71" s="25" t="str">
        <f>IF(COUNTIF(erp_invoices!$B:$B,B71)&gt;0,"Yes","No")</f>
        <v>Yes</v>
      </c>
    </row>
    <row r="72" ht="15.75" customHeight="1">
      <c r="A72" s="22" t="s">
        <v>5246</v>
      </c>
      <c r="B72" s="17" t="s">
        <v>395</v>
      </c>
      <c r="C72" s="18">
        <v>46086.0</v>
      </c>
      <c r="D72" s="17" t="s">
        <v>4825</v>
      </c>
      <c r="E72" s="22">
        <v>-89.43</v>
      </c>
      <c r="F72" s="17" t="s">
        <v>1214</v>
      </c>
      <c r="G72" s="17" t="str">
        <f>IF(COUNTIF(erp_invoices!$B:$B,B72)&gt;0,"Yes","No")</f>
        <v>Yes</v>
      </c>
    </row>
    <row r="73" ht="15.75" customHeight="1">
      <c r="A73" s="30" t="s">
        <v>5247</v>
      </c>
      <c r="B73" s="25" t="s">
        <v>926</v>
      </c>
      <c r="C73" s="26">
        <v>46078.0</v>
      </c>
      <c r="D73" s="25" t="s">
        <v>5174</v>
      </c>
      <c r="E73" s="30">
        <v>-176.5</v>
      </c>
      <c r="F73" s="25" t="s">
        <v>97</v>
      </c>
      <c r="G73" s="25" t="str">
        <f>IF(COUNTIF(erp_invoices!$B:$B,B73)&gt;0,"Yes","No")</f>
        <v>Yes</v>
      </c>
    </row>
    <row r="74" ht="15.75" customHeight="1">
      <c r="A74" s="22" t="s">
        <v>5248</v>
      </c>
      <c r="B74" s="17" t="s">
        <v>396</v>
      </c>
      <c r="C74" s="18">
        <v>46115.0</v>
      </c>
      <c r="D74" s="17" t="s">
        <v>4825</v>
      </c>
      <c r="E74" s="22">
        <v>-103.19</v>
      </c>
      <c r="F74" s="17" t="s">
        <v>97</v>
      </c>
      <c r="G74" s="17" t="str">
        <f>IF(COUNTIF(erp_invoices!$B:$B,B74)&gt;0,"Yes","No")</f>
        <v>Yes</v>
      </c>
    </row>
    <row r="75" ht="15.75" customHeight="1">
      <c r="A75" s="30" t="s">
        <v>5249</v>
      </c>
      <c r="B75" s="25" t="s">
        <v>135</v>
      </c>
      <c r="C75" s="26">
        <v>46145.0</v>
      </c>
      <c r="D75" s="25" t="s">
        <v>5172</v>
      </c>
      <c r="E75" s="30">
        <v>-104.98</v>
      </c>
      <c r="F75" s="25" t="s">
        <v>97</v>
      </c>
      <c r="G75" s="25" t="str">
        <f>IF(COUNTIF(erp_invoices!$B:$B,B75)&gt;0,"Yes","No")</f>
        <v>Yes</v>
      </c>
    </row>
    <row r="76" ht="15.75" customHeight="1">
      <c r="A76" s="22" t="s">
        <v>5250</v>
      </c>
      <c r="B76" s="17" t="s">
        <v>1113</v>
      </c>
      <c r="C76" s="18">
        <v>46090.0</v>
      </c>
      <c r="D76" s="17" t="s">
        <v>5183</v>
      </c>
      <c r="E76" s="22">
        <v>-237.85</v>
      </c>
      <c r="F76" s="17" t="s">
        <v>75</v>
      </c>
      <c r="G76" s="17" t="str">
        <f>IF(COUNTIF(erp_invoices!$B:$B,B76)&gt;0,"Yes","No")</f>
        <v>Yes</v>
      </c>
    </row>
    <row r="77" ht="15.75" customHeight="1">
      <c r="A77" s="30" t="s">
        <v>5251</v>
      </c>
      <c r="B77" s="25" t="s">
        <v>651</v>
      </c>
      <c r="C77" s="26">
        <v>46148.0</v>
      </c>
      <c r="D77" s="25" t="s">
        <v>5178</v>
      </c>
      <c r="E77" s="30">
        <v>-94.23</v>
      </c>
      <c r="F77" s="25" t="s">
        <v>137</v>
      </c>
      <c r="G77" s="25" t="str">
        <f>IF(COUNTIF(erp_invoices!$B:$B,B77)&gt;0,"Yes","No")</f>
        <v>Yes</v>
      </c>
    </row>
    <row r="78" ht="15.75" customHeight="1">
      <c r="A78" s="22" t="s">
        <v>5252</v>
      </c>
      <c r="B78" s="17" t="s">
        <v>402</v>
      </c>
      <c r="C78" s="18">
        <v>46113.0</v>
      </c>
      <c r="D78" s="17" t="s">
        <v>5183</v>
      </c>
      <c r="E78" s="22">
        <v>-177.81</v>
      </c>
      <c r="F78" s="17" t="s">
        <v>75</v>
      </c>
      <c r="G78" s="17" t="str">
        <f>IF(COUNTIF(erp_invoices!$B:$B,B78)&gt;0,"Yes","No")</f>
        <v>Yes</v>
      </c>
    </row>
    <row r="79" ht="15.75" customHeight="1">
      <c r="A79" s="30" t="s">
        <v>5253</v>
      </c>
      <c r="B79" s="25" t="s">
        <v>1176</v>
      </c>
      <c r="C79" s="26">
        <v>46049.0</v>
      </c>
      <c r="D79" s="25" t="s">
        <v>5185</v>
      </c>
      <c r="E79" s="30">
        <v>-153.75</v>
      </c>
      <c r="F79" s="25" t="s">
        <v>97</v>
      </c>
      <c r="G79" s="25" t="str">
        <f>IF(COUNTIF(erp_invoices!$B:$B,B79)&gt;0,"Yes","No")</f>
        <v>Yes</v>
      </c>
    </row>
    <row r="80" ht="15.75" customHeight="1">
      <c r="A80" s="22" t="s">
        <v>5254</v>
      </c>
      <c r="B80" s="17" t="s">
        <v>1177</v>
      </c>
      <c r="C80" s="18">
        <v>46120.0</v>
      </c>
      <c r="D80" s="17" t="s">
        <v>5174</v>
      </c>
      <c r="E80" s="22">
        <v>-65.29</v>
      </c>
      <c r="F80" s="17" t="s">
        <v>137</v>
      </c>
      <c r="G80" s="17" t="str">
        <f>IF(COUNTIF(erp_invoices!$B:$B,B80)&gt;0,"Yes","No")</f>
        <v>Yes</v>
      </c>
    </row>
    <row r="81" ht="15.75" customHeight="1">
      <c r="A81" s="30" t="s">
        <v>5255</v>
      </c>
      <c r="B81" s="25" t="s">
        <v>821</v>
      </c>
      <c r="C81" s="26">
        <v>46143.0</v>
      </c>
      <c r="D81" s="25" t="s">
        <v>4825</v>
      </c>
      <c r="E81" s="30">
        <v>-152.16</v>
      </c>
      <c r="F81" s="25" t="s">
        <v>97</v>
      </c>
      <c r="G81" s="25" t="str">
        <f>IF(COUNTIF(erp_invoices!$B:$B,B81)&gt;0,"Yes","No")</f>
        <v>Yes</v>
      </c>
    </row>
    <row r="82" ht="15.75" customHeight="1">
      <c r="A82" s="22" t="s">
        <v>5256</v>
      </c>
      <c r="B82" s="17" t="s">
        <v>141</v>
      </c>
      <c r="C82" s="18">
        <v>46050.0</v>
      </c>
      <c r="D82" s="17" t="s">
        <v>5172</v>
      </c>
      <c r="E82" s="22">
        <v>-38.93</v>
      </c>
      <c r="F82" s="17" t="s">
        <v>75</v>
      </c>
      <c r="G82" s="17" t="str">
        <f>IF(COUNTIF(erp_invoices!$B:$B,B82)&gt;0,"Yes","No")</f>
        <v>Yes</v>
      </c>
    </row>
    <row r="83" ht="15.75" customHeight="1">
      <c r="A83" s="30" t="s">
        <v>5257</v>
      </c>
      <c r="B83" s="25" t="s">
        <v>516</v>
      </c>
      <c r="C83" s="26">
        <v>46153.0</v>
      </c>
      <c r="D83" s="25" t="s">
        <v>5185</v>
      </c>
      <c r="E83" s="30">
        <v>-223.47</v>
      </c>
      <c r="F83" s="25" t="s">
        <v>1214</v>
      </c>
      <c r="G83" s="25" t="str">
        <f>IF(COUNTIF(erp_invoices!$B:$B,B83)&gt;0,"Yes","No")</f>
        <v>Yes</v>
      </c>
    </row>
    <row r="84" ht="15.75" customHeight="1">
      <c r="A84" s="22" t="s">
        <v>5258</v>
      </c>
      <c r="B84" s="17" t="s">
        <v>1184</v>
      </c>
      <c r="C84" s="18">
        <v>46058.0</v>
      </c>
      <c r="D84" s="17" t="s">
        <v>5174</v>
      </c>
      <c r="E84" s="22">
        <v>-202.03</v>
      </c>
      <c r="F84" s="17" t="s">
        <v>75</v>
      </c>
      <c r="G84" s="17" t="str">
        <f>IF(COUNTIF(erp_invoices!$B:$B,B84)&gt;0,"Yes","No")</f>
        <v>Yes</v>
      </c>
    </row>
    <row r="85" ht="15.75" customHeight="1">
      <c r="A85" s="30" t="s">
        <v>5259</v>
      </c>
      <c r="B85" s="25" t="s">
        <v>1186</v>
      </c>
      <c r="C85" s="26">
        <v>46136.0</v>
      </c>
      <c r="D85" s="25" t="s">
        <v>5172</v>
      </c>
      <c r="E85" s="30">
        <v>-70.17</v>
      </c>
      <c r="F85" s="25" t="s">
        <v>97</v>
      </c>
      <c r="G85" s="25" t="str">
        <f>IF(COUNTIF(erp_invoices!$B:$B,B85)&gt;0,"Yes","No")</f>
        <v>No</v>
      </c>
    </row>
    <row r="86" ht="15.75" customHeight="1">
      <c r="A86" s="22" t="s">
        <v>5260</v>
      </c>
      <c r="B86" s="17" t="s">
        <v>143</v>
      </c>
      <c r="C86" s="18">
        <v>46103.0</v>
      </c>
      <c r="D86" s="17" t="s">
        <v>5185</v>
      </c>
      <c r="E86" s="22">
        <v>-135.92</v>
      </c>
      <c r="F86" s="17" t="s">
        <v>97</v>
      </c>
      <c r="G86" s="17" t="str">
        <f>IF(COUNTIF(erp_invoices!$B:$B,B86)&gt;0,"Yes","No")</f>
        <v>Yes</v>
      </c>
    </row>
    <row r="87" ht="15.75" customHeight="1">
      <c r="A87" s="30" t="s">
        <v>5261</v>
      </c>
      <c r="B87" s="25" t="s">
        <v>827</v>
      </c>
      <c r="C87" s="26">
        <v>46091.0</v>
      </c>
      <c r="D87" s="25" t="s">
        <v>5183</v>
      </c>
      <c r="E87" s="30">
        <v>-128.6</v>
      </c>
      <c r="F87" s="25" t="s">
        <v>97</v>
      </c>
      <c r="G87" s="25" t="str">
        <f>IF(COUNTIF(erp_invoices!$B:$B,B87)&gt;0,"Yes","No")</f>
        <v>Yes</v>
      </c>
    </row>
    <row r="88" ht="15.75" customHeight="1">
      <c r="A88" s="22" t="s">
        <v>5262</v>
      </c>
      <c r="B88" s="17" t="s">
        <v>664</v>
      </c>
      <c r="C88" s="18">
        <v>46051.0</v>
      </c>
      <c r="D88" s="17" t="s">
        <v>5185</v>
      </c>
      <c r="E88" s="22">
        <v>-131.51</v>
      </c>
      <c r="F88" s="17" t="s">
        <v>1214</v>
      </c>
      <c r="G88" s="17" t="str">
        <f>IF(COUNTIF(erp_invoices!$B:$B,B88)&gt;0,"Yes","No")</f>
        <v>Yes</v>
      </c>
    </row>
    <row r="89" ht="15.75" customHeight="1">
      <c r="A89" s="30" t="s">
        <v>5263</v>
      </c>
      <c r="B89" s="25" t="s">
        <v>413</v>
      </c>
      <c r="C89" s="26">
        <v>46129.0</v>
      </c>
      <c r="D89" s="25" t="s">
        <v>4825</v>
      </c>
      <c r="E89" s="30">
        <v>-65.71</v>
      </c>
      <c r="F89" s="25" t="s">
        <v>97</v>
      </c>
      <c r="G89" s="25" t="str">
        <f>IF(COUNTIF(erp_invoices!$B:$B,B89)&gt;0,"Yes","No")</f>
        <v>Yes</v>
      </c>
    </row>
    <row r="90" ht="15.75" customHeight="1">
      <c r="A90" s="22" t="s">
        <v>5264</v>
      </c>
      <c r="B90" s="17" t="s">
        <v>667</v>
      </c>
      <c r="C90" s="18">
        <v>46122.0</v>
      </c>
      <c r="D90" s="17" t="s">
        <v>5183</v>
      </c>
      <c r="E90" s="22">
        <v>-170.23</v>
      </c>
      <c r="F90" s="17" t="s">
        <v>1214</v>
      </c>
      <c r="G90" s="17" t="str">
        <f>IF(COUNTIF(erp_invoices!$B:$B,B90)&gt;0,"Yes","No")</f>
        <v>Yes</v>
      </c>
    </row>
    <row r="91" ht="15.75" customHeight="1">
      <c r="A91" s="30" t="s">
        <v>5265</v>
      </c>
      <c r="B91" s="25" t="s">
        <v>416</v>
      </c>
      <c r="C91" s="26">
        <v>46109.0</v>
      </c>
      <c r="D91" s="25" t="s">
        <v>5174</v>
      </c>
      <c r="E91" s="30">
        <v>-176.98</v>
      </c>
      <c r="F91" s="25" t="s">
        <v>1214</v>
      </c>
      <c r="G91" s="25" t="str">
        <f>IF(COUNTIF(erp_invoices!$B:$B,B91)&gt;0,"Yes","No")</f>
        <v>Yes</v>
      </c>
    </row>
    <row r="92" ht="15.75" customHeight="1">
      <c r="A92" s="22" t="s">
        <v>5266</v>
      </c>
      <c r="B92" s="17" t="s">
        <v>1117</v>
      </c>
      <c r="C92" s="18">
        <v>46063.0</v>
      </c>
      <c r="D92" s="17" t="s">
        <v>4825</v>
      </c>
      <c r="E92" s="22">
        <v>-103.76</v>
      </c>
      <c r="F92" s="17" t="s">
        <v>97</v>
      </c>
      <c r="G92" s="17" t="str">
        <f>IF(COUNTIF(erp_invoices!$B:$B,B92)&gt;0,"Yes","No")</f>
        <v>Yes</v>
      </c>
    </row>
    <row r="93" ht="15.75" customHeight="1">
      <c r="A93" s="30" t="s">
        <v>5267</v>
      </c>
      <c r="B93" s="25" t="s">
        <v>830</v>
      </c>
      <c r="C93" s="26">
        <v>46139.0</v>
      </c>
      <c r="D93" s="25" t="s">
        <v>5183</v>
      </c>
      <c r="E93" s="30">
        <v>-212.27</v>
      </c>
      <c r="F93" s="25" t="s">
        <v>97</v>
      </c>
      <c r="G93" s="25" t="str">
        <f>IF(COUNTIF(erp_invoices!$B:$B,B93)&gt;0,"Yes","No")</f>
        <v>Yes</v>
      </c>
    </row>
    <row r="94" ht="15.75" customHeight="1">
      <c r="A94" s="22" t="s">
        <v>5268</v>
      </c>
      <c r="B94" s="17" t="s">
        <v>669</v>
      </c>
      <c r="C94" s="18">
        <v>46135.0</v>
      </c>
      <c r="D94" s="17" t="s">
        <v>5174</v>
      </c>
      <c r="E94" s="22">
        <v>-94.7</v>
      </c>
      <c r="F94" s="17" t="s">
        <v>137</v>
      </c>
      <c r="G94" s="17" t="str">
        <f>IF(COUNTIF(erp_invoices!$B:$B,B94)&gt;0,"Yes","No")</f>
        <v>Yes</v>
      </c>
    </row>
    <row r="95" ht="15.75" customHeight="1">
      <c r="A95" s="30" t="s">
        <v>5269</v>
      </c>
      <c r="B95" s="25" t="s">
        <v>1056</v>
      </c>
      <c r="C95" s="26">
        <v>46082.0</v>
      </c>
      <c r="D95" s="25" t="s">
        <v>5172</v>
      </c>
      <c r="E95" s="30">
        <v>-59.19</v>
      </c>
      <c r="F95" s="25" t="s">
        <v>75</v>
      </c>
      <c r="G95" s="25" t="str">
        <f>IF(COUNTIF(erp_invoices!$B:$B,B95)&gt;0,"Yes","No")</f>
        <v>Yes</v>
      </c>
    </row>
    <row r="96" ht="15.75" customHeight="1">
      <c r="A96" s="22" t="s">
        <v>5270</v>
      </c>
      <c r="B96" s="17" t="s">
        <v>419</v>
      </c>
      <c r="C96" s="18">
        <v>46048.0</v>
      </c>
      <c r="D96" s="17" t="s">
        <v>5185</v>
      </c>
      <c r="E96" s="22">
        <v>-116.25</v>
      </c>
      <c r="F96" s="17" t="s">
        <v>1214</v>
      </c>
      <c r="G96" s="17" t="str">
        <f>IF(COUNTIF(erp_invoices!$B:$B,B96)&gt;0,"Yes","No")</f>
        <v>Yes</v>
      </c>
    </row>
    <row r="97" ht="15.75" customHeight="1">
      <c r="A97" s="30" t="s">
        <v>5271</v>
      </c>
      <c r="B97" s="25" t="s">
        <v>672</v>
      </c>
      <c r="C97" s="26">
        <v>46123.0</v>
      </c>
      <c r="D97" s="25" t="s">
        <v>5185</v>
      </c>
      <c r="E97" s="30">
        <v>-227.45</v>
      </c>
      <c r="F97" s="25" t="s">
        <v>97</v>
      </c>
      <c r="G97" s="25" t="str">
        <f>IF(COUNTIF(erp_invoices!$B:$B,B97)&gt;0,"Yes","No")</f>
        <v>No</v>
      </c>
    </row>
    <row r="98" ht="15.75" customHeight="1">
      <c r="A98" s="22" t="s">
        <v>5272</v>
      </c>
      <c r="B98" s="17" t="s">
        <v>674</v>
      </c>
      <c r="C98" s="18">
        <v>46139.0</v>
      </c>
      <c r="D98" s="17" t="s">
        <v>5172</v>
      </c>
      <c r="E98" s="22">
        <v>-91.58</v>
      </c>
      <c r="F98" s="17" t="s">
        <v>1214</v>
      </c>
      <c r="G98" s="17" t="str">
        <f>IF(COUNTIF(erp_invoices!$B:$B,B98)&gt;0,"Yes","No")</f>
        <v>Yes</v>
      </c>
    </row>
    <row r="99" ht="15.75" customHeight="1">
      <c r="A99" s="30" t="s">
        <v>5273</v>
      </c>
      <c r="B99" s="25" t="s">
        <v>1190</v>
      </c>
      <c r="C99" s="26">
        <v>46048.0</v>
      </c>
      <c r="D99" s="25" t="s">
        <v>5178</v>
      </c>
      <c r="E99" s="30">
        <v>-209.24</v>
      </c>
      <c r="F99" s="25" t="s">
        <v>137</v>
      </c>
      <c r="G99" s="25" t="str">
        <f>IF(COUNTIF(erp_invoices!$B:$B,B99)&gt;0,"Yes","No")</f>
        <v>Yes</v>
      </c>
    </row>
    <row r="100" ht="15.75" customHeight="1">
      <c r="A100" s="22" t="s">
        <v>5274</v>
      </c>
      <c r="B100" s="17" t="s">
        <v>1192</v>
      </c>
      <c r="C100" s="18">
        <v>46135.0</v>
      </c>
      <c r="D100" s="17" t="s">
        <v>5183</v>
      </c>
      <c r="E100" s="22">
        <v>-191.39</v>
      </c>
      <c r="F100" s="17" t="s">
        <v>1214</v>
      </c>
      <c r="G100" s="17" t="str">
        <f>IF(COUNTIF(erp_invoices!$B:$B,B100)&gt;0,"Yes","No")</f>
        <v>Yes</v>
      </c>
    </row>
    <row r="101" ht="15.75" customHeight="1">
      <c r="A101" s="30" t="s">
        <v>5275</v>
      </c>
      <c r="B101" s="25" t="s">
        <v>1057</v>
      </c>
      <c r="C101" s="26">
        <v>46130.0</v>
      </c>
      <c r="D101" s="25" t="s">
        <v>5178</v>
      </c>
      <c r="E101" s="30">
        <v>-88.18</v>
      </c>
      <c r="F101" s="25" t="s">
        <v>1214</v>
      </c>
      <c r="G101" s="25" t="str">
        <f>IF(COUNTIF(erp_invoices!$B:$B,B101)&gt;0,"Yes","No")</f>
        <v>Yes</v>
      </c>
    </row>
    <row r="102" ht="15.75" customHeight="1">
      <c r="A102" s="22" t="s">
        <v>5276</v>
      </c>
      <c r="B102" s="17" t="s">
        <v>523</v>
      </c>
      <c r="C102" s="18">
        <v>46153.0</v>
      </c>
      <c r="D102" s="17" t="s">
        <v>5183</v>
      </c>
      <c r="E102" s="22">
        <v>-54.08</v>
      </c>
      <c r="F102" s="17" t="s">
        <v>75</v>
      </c>
      <c r="G102" s="17" t="str">
        <f>IF(COUNTIF(erp_invoices!$B:$B,B102)&gt;0,"Yes","No")</f>
        <v>Yes</v>
      </c>
    </row>
    <row r="103" ht="15.75" customHeight="1">
      <c r="A103" s="30" t="s">
        <v>5277</v>
      </c>
      <c r="B103" s="25" t="s">
        <v>524</v>
      </c>
      <c r="C103" s="26">
        <v>46103.0</v>
      </c>
      <c r="D103" s="25" t="s">
        <v>5185</v>
      </c>
      <c r="E103" s="30">
        <v>-163.79</v>
      </c>
      <c r="F103" s="25" t="s">
        <v>1214</v>
      </c>
      <c r="G103" s="25" t="str">
        <f>IF(COUNTIF(erp_invoices!$B:$B,B103)&gt;0,"Yes","No")</f>
        <v>Yes</v>
      </c>
    </row>
    <row r="104" ht="15.75" customHeight="1">
      <c r="A104" s="22" t="s">
        <v>5278</v>
      </c>
      <c r="B104" s="17" t="s">
        <v>271</v>
      </c>
      <c r="C104" s="18">
        <v>46078.0</v>
      </c>
      <c r="D104" s="17" t="s">
        <v>5172</v>
      </c>
      <c r="E104" s="22">
        <v>-104.57</v>
      </c>
      <c r="F104" s="17" t="s">
        <v>75</v>
      </c>
      <c r="G104" s="17" t="str">
        <f>IF(COUNTIF(erp_invoices!$B:$B,B104)&gt;0,"Yes","No")</f>
        <v>Yes</v>
      </c>
    </row>
    <row r="105" ht="15.75" customHeight="1">
      <c r="A105" s="30" t="s">
        <v>5279</v>
      </c>
      <c r="B105" s="25" t="s">
        <v>274</v>
      </c>
      <c r="C105" s="26">
        <v>46136.0</v>
      </c>
      <c r="D105" s="25" t="s">
        <v>4825</v>
      </c>
      <c r="E105" s="30">
        <v>-187.57</v>
      </c>
      <c r="F105" s="25" t="s">
        <v>1214</v>
      </c>
      <c r="G105" s="25" t="str">
        <f>IF(COUNTIF(erp_invoices!$B:$B,B105)&gt;0,"Yes","No")</f>
        <v>Yes</v>
      </c>
    </row>
    <row r="106" ht="15.75" customHeight="1">
      <c r="A106" s="22" t="s">
        <v>5280</v>
      </c>
      <c r="B106" s="17" t="s">
        <v>275</v>
      </c>
      <c r="C106" s="18">
        <v>46132.0</v>
      </c>
      <c r="D106" s="17" t="s">
        <v>5174</v>
      </c>
      <c r="E106" s="22">
        <v>-65.53</v>
      </c>
      <c r="F106" s="17" t="s">
        <v>97</v>
      </c>
      <c r="G106" s="17" t="str">
        <f>IF(COUNTIF(erp_invoices!$B:$B,B106)&gt;0,"Yes","No")</f>
        <v>Yes</v>
      </c>
    </row>
    <row r="107" ht="15.75" customHeight="1">
      <c r="A107" s="30" t="s">
        <v>5281</v>
      </c>
      <c r="B107" s="25" t="s">
        <v>155</v>
      </c>
      <c r="C107" s="26">
        <v>46078.0</v>
      </c>
      <c r="D107" s="25" t="s">
        <v>5172</v>
      </c>
      <c r="E107" s="30">
        <v>-201.0</v>
      </c>
      <c r="F107" s="25" t="s">
        <v>97</v>
      </c>
      <c r="G107" s="25" t="str">
        <f>IF(COUNTIF(erp_invoices!$B:$B,B107)&gt;0,"Yes","No")</f>
        <v>Yes</v>
      </c>
    </row>
    <row r="108" ht="15.75" customHeight="1">
      <c r="A108" s="22" t="s">
        <v>5282</v>
      </c>
      <c r="B108" s="17" t="s">
        <v>432</v>
      </c>
      <c r="C108" s="18">
        <v>46149.0</v>
      </c>
      <c r="D108" s="17" t="s">
        <v>5183</v>
      </c>
      <c r="E108" s="22">
        <v>-117.11</v>
      </c>
      <c r="F108" s="17" t="s">
        <v>75</v>
      </c>
      <c r="G108" s="17" t="str">
        <f>IF(COUNTIF(erp_invoices!$B:$B,B108)&gt;0,"Yes","No")</f>
        <v>Yes</v>
      </c>
    </row>
    <row r="109" ht="15.75" customHeight="1">
      <c r="A109" s="30" t="s">
        <v>5283</v>
      </c>
      <c r="B109" s="25" t="s">
        <v>680</v>
      </c>
      <c r="C109" s="26">
        <v>46086.0</v>
      </c>
      <c r="D109" s="25" t="s">
        <v>4825</v>
      </c>
      <c r="E109" s="30">
        <v>-164.95</v>
      </c>
      <c r="F109" s="25" t="s">
        <v>1214</v>
      </c>
      <c r="G109" s="25" t="str">
        <f>IF(COUNTIF(erp_invoices!$B:$B,B109)&gt;0,"Yes","No")</f>
        <v>Yes</v>
      </c>
    </row>
    <row r="110" ht="15.75" customHeight="1">
      <c r="A110" s="22" t="s">
        <v>5284</v>
      </c>
      <c r="B110" s="17" t="s">
        <v>279</v>
      </c>
      <c r="C110" s="18">
        <v>46050.0</v>
      </c>
      <c r="D110" s="17" t="s">
        <v>5172</v>
      </c>
      <c r="E110" s="22">
        <v>-167.97</v>
      </c>
      <c r="F110" s="17" t="s">
        <v>97</v>
      </c>
      <c r="G110" s="17" t="str">
        <f>IF(COUNTIF(erp_invoices!$B:$B,B110)&gt;0,"Yes","No")</f>
        <v>Yes</v>
      </c>
    </row>
    <row r="111" ht="15.75" customHeight="1">
      <c r="A111" s="30" t="s">
        <v>5285</v>
      </c>
      <c r="B111" s="25" t="s">
        <v>942</v>
      </c>
      <c r="C111" s="26">
        <v>46070.0</v>
      </c>
      <c r="D111" s="25" t="s">
        <v>5178</v>
      </c>
      <c r="E111" s="30">
        <v>-57.07</v>
      </c>
      <c r="F111" s="25" t="s">
        <v>1214</v>
      </c>
      <c r="G111" s="25" t="str">
        <f>IF(COUNTIF(erp_invoices!$B:$B,B111)&gt;0,"Yes","No")</f>
        <v>Yes</v>
      </c>
    </row>
    <row r="112" ht="15.75" customHeight="1">
      <c r="A112" s="22" t="s">
        <v>5286</v>
      </c>
      <c r="B112" s="17" t="s">
        <v>282</v>
      </c>
      <c r="C112" s="18">
        <v>46110.0</v>
      </c>
      <c r="D112" s="17" t="s">
        <v>5172</v>
      </c>
      <c r="E112" s="22">
        <v>-54.7</v>
      </c>
      <c r="F112" s="17" t="s">
        <v>1214</v>
      </c>
      <c r="G112" s="17" t="str">
        <f>IF(COUNTIF(erp_invoices!$B:$B,B112)&gt;0,"Yes","No")</f>
        <v>Yes</v>
      </c>
    </row>
    <row r="113" ht="15.75" customHeight="1">
      <c r="A113" s="30" t="s">
        <v>5287</v>
      </c>
      <c r="B113" s="25" t="s">
        <v>283</v>
      </c>
      <c r="C113" s="26">
        <v>46058.0</v>
      </c>
      <c r="D113" s="25" t="s">
        <v>5185</v>
      </c>
      <c r="E113" s="30">
        <v>-213.2</v>
      </c>
      <c r="F113" s="25" t="s">
        <v>97</v>
      </c>
      <c r="G113" s="25" t="str">
        <f>IF(COUNTIF(erp_invoices!$B:$B,B113)&gt;0,"Yes","No")</f>
        <v>Yes</v>
      </c>
    </row>
    <row r="114" ht="15.75" customHeight="1">
      <c r="A114" s="22" t="s">
        <v>5288</v>
      </c>
      <c r="B114" s="17" t="s">
        <v>847</v>
      </c>
      <c r="C114" s="18">
        <v>46146.0</v>
      </c>
      <c r="D114" s="17" t="s">
        <v>4825</v>
      </c>
      <c r="E114" s="22">
        <v>-195.54</v>
      </c>
      <c r="F114" s="17" t="s">
        <v>75</v>
      </c>
      <c r="G114" s="17" t="str">
        <f>IF(COUNTIF(erp_invoices!$B:$B,B114)&gt;0,"Yes","No")</f>
        <v>Yes</v>
      </c>
    </row>
    <row r="115" ht="15.75" customHeight="1">
      <c r="A115" s="30" t="s">
        <v>5289</v>
      </c>
      <c r="B115" s="25" t="s">
        <v>531</v>
      </c>
      <c r="C115" s="26">
        <v>46119.0</v>
      </c>
      <c r="D115" s="25" t="s">
        <v>5185</v>
      </c>
      <c r="E115" s="30">
        <v>-31.75</v>
      </c>
      <c r="F115" s="25" t="s">
        <v>137</v>
      </c>
      <c r="G115" s="25" t="str">
        <f>IF(COUNTIF(erp_invoices!$B:$B,B115)&gt;0,"Yes","No")</f>
        <v>Yes</v>
      </c>
    </row>
    <row r="116" ht="15.75" customHeight="1">
      <c r="A116" s="22" t="s">
        <v>5290</v>
      </c>
      <c r="B116" s="17" t="s">
        <v>533</v>
      </c>
      <c r="C116" s="18">
        <v>46143.0</v>
      </c>
      <c r="D116" s="17" t="s">
        <v>4825</v>
      </c>
      <c r="E116" s="22">
        <v>-175.89</v>
      </c>
      <c r="F116" s="17" t="s">
        <v>75</v>
      </c>
      <c r="G116" s="17" t="str">
        <f>IF(COUNTIF(erp_invoices!$B:$B,B116)&gt;0,"Yes","No")</f>
        <v>Yes</v>
      </c>
    </row>
    <row r="117" ht="15.75" customHeight="1">
      <c r="A117" s="30" t="s">
        <v>5291</v>
      </c>
      <c r="B117" s="25" t="s">
        <v>691</v>
      </c>
      <c r="C117" s="26">
        <v>46068.0</v>
      </c>
      <c r="D117" s="25" t="s">
        <v>5178</v>
      </c>
      <c r="E117" s="30">
        <v>-149.48</v>
      </c>
      <c r="F117" s="25" t="s">
        <v>75</v>
      </c>
      <c r="G117" s="25" t="str">
        <f>IF(COUNTIF(erp_invoices!$B:$B,B117)&gt;0,"Yes","No")</f>
        <v>Yes</v>
      </c>
    </row>
    <row r="118" ht="15.75" customHeight="1">
      <c r="A118" s="22" t="s">
        <v>5292</v>
      </c>
      <c r="B118" s="17" t="s">
        <v>1120</v>
      </c>
      <c r="C118" s="18">
        <v>46068.0</v>
      </c>
      <c r="D118" s="17" t="s">
        <v>5185</v>
      </c>
      <c r="E118" s="22">
        <v>-155.1</v>
      </c>
      <c r="F118" s="17" t="s">
        <v>97</v>
      </c>
      <c r="G118" s="17" t="str">
        <f>IF(COUNTIF(erp_invoices!$B:$B,B118)&gt;0,"Yes","No")</f>
        <v>Yes</v>
      </c>
    </row>
    <row r="119" ht="15.75" customHeight="1">
      <c r="A119" s="30" t="s">
        <v>5293</v>
      </c>
      <c r="B119" s="25" t="s">
        <v>849</v>
      </c>
      <c r="C119" s="26">
        <v>46125.0</v>
      </c>
      <c r="D119" s="25" t="s">
        <v>5172</v>
      </c>
      <c r="E119" s="30">
        <v>-40.98</v>
      </c>
      <c r="F119" s="25" t="s">
        <v>97</v>
      </c>
      <c r="G119" s="25" t="str">
        <f>IF(COUNTIF(erp_invoices!$B:$B,B119)&gt;0,"Yes","No")</f>
        <v>Yes</v>
      </c>
    </row>
    <row r="120" ht="15.75" customHeight="1">
      <c r="A120" s="22" t="s">
        <v>5294</v>
      </c>
      <c r="B120" s="17" t="s">
        <v>695</v>
      </c>
      <c r="C120" s="18">
        <v>46095.0</v>
      </c>
      <c r="D120" s="17" t="s">
        <v>4825</v>
      </c>
      <c r="E120" s="22">
        <v>-19.02</v>
      </c>
      <c r="F120" s="17" t="s">
        <v>75</v>
      </c>
      <c r="G120" s="17" t="str">
        <f>IF(COUNTIF(erp_invoices!$B:$B,B120)&gt;0,"Yes","No")</f>
        <v>Yes</v>
      </c>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20"/>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0.0"/>
    <col customWidth="1" min="3" max="3" width="11.0"/>
    <col customWidth="1" min="4" max="4" width="13.0"/>
    <col customWidth="1" min="5" max="6" width="15.0"/>
    <col customWidth="1" min="7" max="26" width="8.71"/>
  </cols>
  <sheetData>
    <row r="1">
      <c r="A1" s="52" t="s">
        <v>5295</v>
      </c>
      <c r="B1" s="52" t="s">
        <v>50</v>
      </c>
      <c r="C1" s="52" t="s">
        <v>2231</v>
      </c>
      <c r="D1" s="52" t="s">
        <v>5296</v>
      </c>
      <c r="E1" s="52" t="s">
        <v>5297</v>
      </c>
      <c r="F1" s="52" t="s">
        <v>5298</v>
      </c>
    </row>
    <row r="2">
      <c r="A2" s="54">
        <v>46143.0</v>
      </c>
      <c r="B2" s="53" t="s">
        <v>156</v>
      </c>
      <c r="C2" s="53" t="s">
        <v>2243</v>
      </c>
      <c r="D2" s="56">
        <v>456.0</v>
      </c>
      <c r="E2" s="56">
        <v>408.0</v>
      </c>
      <c r="F2" s="56">
        <v>48.0</v>
      </c>
    </row>
    <row r="3">
      <c r="A3" s="26">
        <v>46143.0</v>
      </c>
      <c r="B3" s="25" t="s">
        <v>156</v>
      </c>
      <c r="C3" s="25" t="s">
        <v>2269</v>
      </c>
      <c r="D3" s="29">
        <v>481.0</v>
      </c>
      <c r="E3" s="29">
        <v>391.0</v>
      </c>
      <c r="F3" s="29">
        <v>90.0</v>
      </c>
    </row>
    <row r="4">
      <c r="A4" s="54">
        <v>46143.0</v>
      </c>
      <c r="B4" s="53" t="s">
        <v>156</v>
      </c>
      <c r="C4" s="53" t="s">
        <v>2250</v>
      </c>
      <c r="D4" s="56">
        <v>518.0</v>
      </c>
      <c r="E4" s="56">
        <v>297.0</v>
      </c>
      <c r="F4" s="56">
        <v>221.0</v>
      </c>
    </row>
    <row r="5">
      <c r="A5" s="26">
        <v>46143.0</v>
      </c>
      <c r="B5" s="25" t="s">
        <v>156</v>
      </c>
      <c r="C5" s="25" t="s">
        <v>2260</v>
      </c>
      <c r="D5" s="29">
        <v>140.0</v>
      </c>
      <c r="E5" s="29">
        <v>133.0</v>
      </c>
      <c r="F5" s="29">
        <v>7.0</v>
      </c>
    </row>
    <row r="6">
      <c r="A6" s="54">
        <v>46143.0</v>
      </c>
      <c r="B6" s="53" t="s">
        <v>156</v>
      </c>
      <c r="C6" s="53" t="s">
        <v>2254</v>
      </c>
      <c r="D6" s="56">
        <v>387.0</v>
      </c>
      <c r="E6" s="56">
        <v>360.0</v>
      </c>
      <c r="F6" s="56">
        <v>27.0</v>
      </c>
    </row>
    <row r="7">
      <c r="A7" s="26">
        <v>46143.0</v>
      </c>
      <c r="B7" s="25" t="s">
        <v>95</v>
      </c>
      <c r="C7" s="25" t="s">
        <v>2243</v>
      </c>
      <c r="D7" s="29">
        <v>234.0</v>
      </c>
      <c r="E7" s="29">
        <v>166.0</v>
      </c>
      <c r="F7" s="29">
        <v>68.0</v>
      </c>
    </row>
    <row r="8">
      <c r="A8" s="54">
        <v>46143.0</v>
      </c>
      <c r="B8" s="53" t="s">
        <v>95</v>
      </c>
      <c r="C8" s="53" t="s">
        <v>2269</v>
      </c>
      <c r="D8" s="56">
        <v>472.0</v>
      </c>
      <c r="E8" s="56">
        <v>426.0</v>
      </c>
      <c r="F8" s="56">
        <v>46.0</v>
      </c>
    </row>
    <row r="9">
      <c r="A9" s="26">
        <v>46143.0</v>
      </c>
      <c r="B9" s="25" t="s">
        <v>95</v>
      </c>
      <c r="C9" s="25" t="s">
        <v>2250</v>
      </c>
      <c r="D9" s="29">
        <v>295.0</v>
      </c>
      <c r="E9" s="29">
        <v>276.0</v>
      </c>
      <c r="F9" s="29">
        <v>19.0</v>
      </c>
    </row>
    <row r="10">
      <c r="A10" s="54">
        <v>46143.0</v>
      </c>
      <c r="B10" s="53" t="s">
        <v>95</v>
      </c>
      <c r="C10" s="53" t="s">
        <v>2260</v>
      </c>
      <c r="D10" s="56">
        <v>603.0</v>
      </c>
      <c r="E10" s="56">
        <v>553.0</v>
      </c>
      <c r="F10" s="56">
        <v>50.0</v>
      </c>
    </row>
    <row r="11">
      <c r="A11" s="26">
        <v>46143.0</v>
      </c>
      <c r="B11" s="25" t="s">
        <v>95</v>
      </c>
      <c r="C11" s="25" t="s">
        <v>2254</v>
      </c>
      <c r="D11" s="29">
        <v>593.0</v>
      </c>
      <c r="E11" s="29">
        <v>586.0</v>
      </c>
      <c r="F11" s="29">
        <v>7.0</v>
      </c>
    </row>
    <row r="12">
      <c r="A12" s="54">
        <v>46143.0</v>
      </c>
      <c r="B12" s="53" t="s">
        <v>110</v>
      </c>
      <c r="C12" s="53" t="s">
        <v>2243</v>
      </c>
      <c r="D12" s="56">
        <v>282.0</v>
      </c>
      <c r="E12" s="56">
        <v>261.0</v>
      </c>
      <c r="F12" s="56">
        <v>21.0</v>
      </c>
    </row>
    <row r="13">
      <c r="A13" s="26">
        <v>46143.0</v>
      </c>
      <c r="B13" s="25" t="s">
        <v>110</v>
      </c>
      <c r="C13" s="25" t="s">
        <v>2269</v>
      </c>
      <c r="D13" s="29">
        <v>532.0</v>
      </c>
      <c r="E13" s="29">
        <v>478.0</v>
      </c>
      <c r="F13" s="29">
        <v>54.0</v>
      </c>
    </row>
    <row r="14">
      <c r="A14" s="54">
        <v>46143.0</v>
      </c>
      <c r="B14" s="53" t="s">
        <v>110</v>
      </c>
      <c r="C14" s="53" t="s">
        <v>2250</v>
      </c>
      <c r="D14" s="56">
        <v>100.0</v>
      </c>
      <c r="E14" s="56">
        <v>90.0</v>
      </c>
      <c r="F14" s="56">
        <v>10.0</v>
      </c>
    </row>
    <row r="15">
      <c r="A15" s="26">
        <v>46143.0</v>
      </c>
      <c r="B15" s="25" t="s">
        <v>110</v>
      </c>
      <c r="C15" s="25" t="s">
        <v>2260</v>
      </c>
      <c r="D15" s="29">
        <v>439.0</v>
      </c>
      <c r="E15" s="29">
        <v>372.0</v>
      </c>
      <c r="F15" s="29">
        <v>67.0</v>
      </c>
    </row>
    <row r="16">
      <c r="A16" s="54">
        <v>46143.0</v>
      </c>
      <c r="B16" s="53" t="s">
        <v>110</v>
      </c>
      <c r="C16" s="53" t="s">
        <v>2254</v>
      </c>
      <c r="D16" s="56">
        <v>505.0</v>
      </c>
      <c r="E16" s="56">
        <v>432.0</v>
      </c>
      <c r="F16" s="56">
        <v>73.0</v>
      </c>
    </row>
    <row r="17">
      <c r="A17" s="26">
        <v>46143.0</v>
      </c>
      <c r="B17" s="25" t="s">
        <v>78</v>
      </c>
      <c r="C17" s="25" t="s">
        <v>2243</v>
      </c>
      <c r="D17" s="29">
        <v>609.0</v>
      </c>
      <c r="E17" s="29">
        <v>360.0</v>
      </c>
      <c r="F17" s="29">
        <v>249.0</v>
      </c>
    </row>
    <row r="18">
      <c r="A18" s="54">
        <v>46143.0</v>
      </c>
      <c r="B18" s="53" t="s">
        <v>78</v>
      </c>
      <c r="C18" s="53" t="s">
        <v>2269</v>
      </c>
      <c r="D18" s="56">
        <v>343.0</v>
      </c>
      <c r="E18" s="56">
        <v>288.0</v>
      </c>
      <c r="F18" s="56">
        <v>55.0</v>
      </c>
    </row>
    <row r="19">
      <c r="A19" s="26">
        <v>46143.0</v>
      </c>
      <c r="B19" s="25" t="s">
        <v>78</v>
      </c>
      <c r="C19" s="25" t="s">
        <v>2250</v>
      </c>
      <c r="D19" s="29">
        <v>633.0</v>
      </c>
      <c r="E19" s="29">
        <v>356.0</v>
      </c>
      <c r="F19" s="29">
        <v>277.0</v>
      </c>
    </row>
    <row r="20">
      <c r="A20" s="54">
        <v>46143.0</v>
      </c>
      <c r="B20" s="53" t="s">
        <v>78</v>
      </c>
      <c r="C20" s="53" t="s">
        <v>2260</v>
      </c>
      <c r="D20" s="56">
        <v>361.0</v>
      </c>
      <c r="E20" s="56">
        <v>347.0</v>
      </c>
      <c r="F20" s="56">
        <v>14.0</v>
      </c>
    </row>
    <row r="21" ht="15.75" customHeight="1">
      <c r="A21" s="26">
        <v>46143.0</v>
      </c>
      <c r="B21" s="25" t="s">
        <v>78</v>
      </c>
      <c r="C21" s="25" t="s">
        <v>2254</v>
      </c>
      <c r="D21" s="29">
        <v>528.0</v>
      </c>
      <c r="E21" s="29">
        <v>400.0</v>
      </c>
      <c r="F21" s="29">
        <v>128.0</v>
      </c>
    </row>
    <row r="22" ht="15.75" customHeight="1">
      <c r="A22" s="54">
        <v>46143.0</v>
      </c>
      <c r="B22" s="53" t="s">
        <v>85</v>
      </c>
      <c r="C22" s="53" t="s">
        <v>2243</v>
      </c>
      <c r="D22" s="56">
        <v>583.0</v>
      </c>
      <c r="E22" s="56">
        <v>503.0</v>
      </c>
      <c r="F22" s="56">
        <v>80.0</v>
      </c>
    </row>
    <row r="23" ht="15.75" customHeight="1">
      <c r="A23" s="26">
        <v>46143.0</v>
      </c>
      <c r="B23" s="25" t="s">
        <v>85</v>
      </c>
      <c r="C23" s="25" t="s">
        <v>2269</v>
      </c>
      <c r="D23" s="29">
        <v>560.0</v>
      </c>
      <c r="E23" s="29">
        <v>540.0</v>
      </c>
      <c r="F23" s="29">
        <v>20.0</v>
      </c>
    </row>
    <row r="24" ht="15.75" customHeight="1">
      <c r="A24" s="54">
        <v>46143.0</v>
      </c>
      <c r="B24" s="53" t="s">
        <v>85</v>
      </c>
      <c r="C24" s="53" t="s">
        <v>2250</v>
      </c>
      <c r="D24" s="56">
        <v>110.0</v>
      </c>
      <c r="E24" s="56">
        <v>72.0</v>
      </c>
      <c r="F24" s="56">
        <v>38.0</v>
      </c>
    </row>
    <row r="25" ht="15.75" customHeight="1">
      <c r="A25" s="26">
        <v>46143.0</v>
      </c>
      <c r="B25" s="25" t="s">
        <v>85</v>
      </c>
      <c r="C25" s="25" t="s">
        <v>2260</v>
      </c>
      <c r="D25" s="29">
        <v>280.0</v>
      </c>
      <c r="E25" s="29">
        <v>229.0</v>
      </c>
      <c r="F25" s="29">
        <v>51.0</v>
      </c>
    </row>
    <row r="26" ht="15.75" customHeight="1">
      <c r="A26" s="54">
        <v>46143.0</v>
      </c>
      <c r="B26" s="53" t="s">
        <v>85</v>
      </c>
      <c r="C26" s="53" t="s">
        <v>2254</v>
      </c>
      <c r="D26" s="56">
        <v>623.0</v>
      </c>
      <c r="E26" s="56">
        <v>497.0</v>
      </c>
      <c r="F26" s="56">
        <v>126.0</v>
      </c>
    </row>
    <row r="27" ht="15.75" customHeight="1">
      <c r="A27" s="26">
        <v>46143.0</v>
      </c>
      <c r="B27" s="25" t="s">
        <v>154</v>
      </c>
      <c r="C27" s="25" t="s">
        <v>2243</v>
      </c>
      <c r="D27" s="29">
        <v>80.0</v>
      </c>
      <c r="E27" s="29">
        <v>75.0</v>
      </c>
      <c r="F27" s="29">
        <v>5.0</v>
      </c>
    </row>
    <row r="28" ht="15.75" customHeight="1">
      <c r="A28" s="54">
        <v>46143.0</v>
      </c>
      <c r="B28" s="53" t="s">
        <v>154</v>
      </c>
      <c r="C28" s="53" t="s">
        <v>2269</v>
      </c>
      <c r="D28" s="56">
        <v>637.0</v>
      </c>
      <c r="E28" s="56">
        <v>370.0</v>
      </c>
      <c r="F28" s="56">
        <v>267.0</v>
      </c>
    </row>
    <row r="29" ht="15.75" customHeight="1">
      <c r="A29" s="26">
        <v>46143.0</v>
      </c>
      <c r="B29" s="25" t="s">
        <v>154</v>
      </c>
      <c r="C29" s="25" t="s">
        <v>2250</v>
      </c>
      <c r="D29" s="29">
        <v>307.0</v>
      </c>
      <c r="E29" s="29">
        <v>255.0</v>
      </c>
      <c r="F29" s="29">
        <v>52.0</v>
      </c>
    </row>
    <row r="30" ht="15.75" customHeight="1">
      <c r="A30" s="54">
        <v>46143.0</v>
      </c>
      <c r="B30" s="53" t="s">
        <v>154</v>
      </c>
      <c r="C30" s="53" t="s">
        <v>2260</v>
      </c>
      <c r="D30" s="56">
        <v>361.0</v>
      </c>
      <c r="E30" s="56">
        <v>300.0</v>
      </c>
      <c r="F30" s="56">
        <v>61.0</v>
      </c>
    </row>
    <row r="31" ht="15.75" customHeight="1">
      <c r="A31" s="26">
        <v>46143.0</v>
      </c>
      <c r="B31" s="25" t="s">
        <v>154</v>
      </c>
      <c r="C31" s="25" t="s">
        <v>2254</v>
      </c>
      <c r="D31" s="29">
        <v>174.0</v>
      </c>
      <c r="E31" s="29">
        <v>136.0</v>
      </c>
      <c r="F31" s="29">
        <v>38.0</v>
      </c>
    </row>
    <row r="32" ht="15.75" customHeight="1">
      <c r="A32" s="54">
        <v>46143.0</v>
      </c>
      <c r="B32" s="53" t="s">
        <v>162</v>
      </c>
      <c r="C32" s="53" t="s">
        <v>2243</v>
      </c>
      <c r="D32" s="56">
        <v>114.0</v>
      </c>
      <c r="E32" s="56">
        <v>114.0</v>
      </c>
      <c r="F32" s="56">
        <v>0.0</v>
      </c>
    </row>
    <row r="33" ht="15.75" customHeight="1">
      <c r="A33" s="26">
        <v>46143.0</v>
      </c>
      <c r="B33" s="25" t="s">
        <v>162</v>
      </c>
      <c r="C33" s="25" t="s">
        <v>2269</v>
      </c>
      <c r="D33" s="29">
        <v>616.0</v>
      </c>
      <c r="E33" s="29">
        <v>565.0</v>
      </c>
      <c r="F33" s="29">
        <v>51.0</v>
      </c>
    </row>
    <row r="34" ht="15.75" customHeight="1">
      <c r="A34" s="54">
        <v>46143.0</v>
      </c>
      <c r="B34" s="53" t="s">
        <v>162</v>
      </c>
      <c r="C34" s="53" t="s">
        <v>2250</v>
      </c>
      <c r="D34" s="56">
        <v>258.0</v>
      </c>
      <c r="E34" s="56">
        <v>194.0</v>
      </c>
      <c r="F34" s="56">
        <v>64.0</v>
      </c>
    </row>
    <row r="35" ht="15.75" customHeight="1">
      <c r="A35" s="26">
        <v>46143.0</v>
      </c>
      <c r="B35" s="25" t="s">
        <v>162</v>
      </c>
      <c r="C35" s="25" t="s">
        <v>2260</v>
      </c>
      <c r="D35" s="29">
        <v>397.0</v>
      </c>
      <c r="E35" s="29">
        <v>380.0</v>
      </c>
      <c r="F35" s="29">
        <v>17.0</v>
      </c>
    </row>
    <row r="36" ht="15.75" customHeight="1">
      <c r="A36" s="54">
        <v>46143.0</v>
      </c>
      <c r="B36" s="53" t="s">
        <v>162</v>
      </c>
      <c r="C36" s="53" t="s">
        <v>2254</v>
      </c>
      <c r="D36" s="56">
        <v>418.0</v>
      </c>
      <c r="E36" s="56">
        <v>346.0</v>
      </c>
      <c r="F36" s="56">
        <v>72.0</v>
      </c>
    </row>
    <row r="37" ht="15.75" customHeight="1">
      <c r="A37" s="26">
        <v>46143.0</v>
      </c>
      <c r="B37" s="25" t="s">
        <v>123</v>
      </c>
      <c r="C37" s="25" t="s">
        <v>2243</v>
      </c>
      <c r="D37" s="29">
        <v>596.0</v>
      </c>
      <c r="E37" s="29">
        <v>442.0</v>
      </c>
      <c r="F37" s="29">
        <v>154.0</v>
      </c>
    </row>
    <row r="38" ht="15.75" customHeight="1">
      <c r="A38" s="54">
        <v>46143.0</v>
      </c>
      <c r="B38" s="53" t="s">
        <v>123</v>
      </c>
      <c r="C38" s="53" t="s">
        <v>2269</v>
      </c>
      <c r="D38" s="56">
        <v>581.0</v>
      </c>
      <c r="E38" s="56">
        <v>577.0</v>
      </c>
      <c r="F38" s="56">
        <v>4.0</v>
      </c>
    </row>
    <row r="39" ht="15.75" customHeight="1">
      <c r="A39" s="26">
        <v>46143.0</v>
      </c>
      <c r="B39" s="25" t="s">
        <v>123</v>
      </c>
      <c r="C39" s="25" t="s">
        <v>2250</v>
      </c>
      <c r="D39" s="29">
        <v>607.0</v>
      </c>
      <c r="E39" s="29">
        <v>454.0</v>
      </c>
      <c r="F39" s="29">
        <v>153.0</v>
      </c>
    </row>
    <row r="40" ht="15.75" customHeight="1">
      <c r="A40" s="54">
        <v>46143.0</v>
      </c>
      <c r="B40" s="53" t="s">
        <v>123</v>
      </c>
      <c r="C40" s="53" t="s">
        <v>2260</v>
      </c>
      <c r="D40" s="56">
        <v>146.0</v>
      </c>
      <c r="E40" s="56">
        <v>129.0</v>
      </c>
      <c r="F40" s="56">
        <v>17.0</v>
      </c>
    </row>
    <row r="41" ht="15.75" customHeight="1">
      <c r="A41" s="26">
        <v>46143.0</v>
      </c>
      <c r="B41" s="25" t="s">
        <v>123</v>
      </c>
      <c r="C41" s="25" t="s">
        <v>2254</v>
      </c>
      <c r="D41" s="29">
        <v>149.0</v>
      </c>
      <c r="E41" s="29">
        <v>130.0</v>
      </c>
      <c r="F41" s="29">
        <v>19.0</v>
      </c>
    </row>
    <row r="42" ht="15.75" customHeight="1">
      <c r="A42" s="54">
        <v>46143.0</v>
      </c>
      <c r="B42" s="53" t="s">
        <v>115</v>
      </c>
      <c r="C42" s="53" t="s">
        <v>2243</v>
      </c>
      <c r="D42" s="56">
        <v>659.0</v>
      </c>
      <c r="E42" s="56">
        <v>552.0</v>
      </c>
      <c r="F42" s="56">
        <v>107.0</v>
      </c>
    </row>
    <row r="43" ht="15.75" customHeight="1">
      <c r="A43" s="26">
        <v>46143.0</v>
      </c>
      <c r="B43" s="25" t="s">
        <v>115</v>
      </c>
      <c r="C43" s="25" t="s">
        <v>2269</v>
      </c>
      <c r="D43" s="29">
        <v>248.0</v>
      </c>
      <c r="E43" s="29">
        <v>161.0</v>
      </c>
      <c r="F43" s="29">
        <v>87.0</v>
      </c>
    </row>
    <row r="44" ht="15.75" customHeight="1">
      <c r="A44" s="54">
        <v>46143.0</v>
      </c>
      <c r="B44" s="53" t="s">
        <v>115</v>
      </c>
      <c r="C44" s="53" t="s">
        <v>2250</v>
      </c>
      <c r="D44" s="56">
        <v>310.0</v>
      </c>
      <c r="E44" s="56">
        <v>181.0</v>
      </c>
      <c r="F44" s="56">
        <v>129.0</v>
      </c>
    </row>
    <row r="45" ht="15.75" customHeight="1">
      <c r="A45" s="26">
        <v>46143.0</v>
      </c>
      <c r="B45" s="25" t="s">
        <v>115</v>
      </c>
      <c r="C45" s="25" t="s">
        <v>2260</v>
      </c>
      <c r="D45" s="29">
        <v>92.0</v>
      </c>
      <c r="E45" s="29">
        <v>87.0</v>
      </c>
      <c r="F45" s="29">
        <v>5.0</v>
      </c>
    </row>
    <row r="46" ht="15.75" customHeight="1">
      <c r="A46" s="54">
        <v>46143.0</v>
      </c>
      <c r="B46" s="53" t="s">
        <v>115</v>
      </c>
      <c r="C46" s="53" t="s">
        <v>2254</v>
      </c>
      <c r="D46" s="56">
        <v>-25.0</v>
      </c>
      <c r="E46" s="56">
        <v>0.0</v>
      </c>
      <c r="F46" s="56">
        <v>11.0</v>
      </c>
    </row>
    <row r="47" ht="15.75" customHeight="1">
      <c r="A47" s="26">
        <v>46143.0</v>
      </c>
      <c r="B47" s="25" t="s">
        <v>102</v>
      </c>
      <c r="C47" s="25" t="s">
        <v>2243</v>
      </c>
      <c r="D47" s="29">
        <v>173.0</v>
      </c>
      <c r="E47" s="29">
        <v>140.0</v>
      </c>
      <c r="F47" s="29">
        <v>33.0</v>
      </c>
    </row>
    <row r="48" ht="15.75" customHeight="1">
      <c r="A48" s="54">
        <v>46143.0</v>
      </c>
      <c r="B48" s="53" t="s">
        <v>102</v>
      </c>
      <c r="C48" s="53" t="s">
        <v>2269</v>
      </c>
      <c r="D48" s="56">
        <v>492.0</v>
      </c>
      <c r="E48" s="56">
        <v>351.0</v>
      </c>
      <c r="F48" s="56">
        <v>141.0</v>
      </c>
    </row>
    <row r="49" ht="15.75" customHeight="1">
      <c r="A49" s="26">
        <v>46143.0</v>
      </c>
      <c r="B49" s="25" t="s">
        <v>102</v>
      </c>
      <c r="C49" s="25" t="s">
        <v>2250</v>
      </c>
      <c r="D49" s="29">
        <v>614.0</v>
      </c>
      <c r="E49" s="29">
        <v>610.0</v>
      </c>
      <c r="F49" s="29">
        <v>4.0</v>
      </c>
    </row>
    <row r="50" ht="15.75" customHeight="1">
      <c r="A50" s="54">
        <v>46143.0</v>
      </c>
      <c r="B50" s="53" t="s">
        <v>102</v>
      </c>
      <c r="C50" s="53" t="s">
        <v>2260</v>
      </c>
      <c r="D50" s="56">
        <v>192.0</v>
      </c>
      <c r="E50" s="56">
        <v>123.0</v>
      </c>
      <c r="F50" s="56">
        <v>69.0</v>
      </c>
    </row>
    <row r="51" ht="15.75" customHeight="1">
      <c r="A51" s="26">
        <v>46143.0</v>
      </c>
      <c r="B51" s="25" t="s">
        <v>102</v>
      </c>
      <c r="C51" s="25" t="s">
        <v>2254</v>
      </c>
      <c r="D51" s="29">
        <v>418.0</v>
      </c>
      <c r="E51" s="29">
        <v>269.0</v>
      </c>
      <c r="F51" s="29">
        <v>149.0</v>
      </c>
    </row>
    <row r="52" ht="15.75" customHeight="1">
      <c r="A52" s="54">
        <v>46143.0</v>
      </c>
      <c r="B52" s="53" t="s">
        <v>92</v>
      </c>
      <c r="C52" s="53" t="s">
        <v>2243</v>
      </c>
      <c r="D52" s="56">
        <v>480.0</v>
      </c>
      <c r="E52" s="56">
        <v>448.0</v>
      </c>
      <c r="F52" s="56">
        <v>32.0</v>
      </c>
    </row>
    <row r="53" ht="15.75" customHeight="1">
      <c r="A53" s="26">
        <v>46143.0</v>
      </c>
      <c r="B53" s="25" t="s">
        <v>92</v>
      </c>
      <c r="C53" s="25" t="s">
        <v>2269</v>
      </c>
      <c r="D53" s="29">
        <v>413.0</v>
      </c>
      <c r="E53" s="29">
        <v>403.0</v>
      </c>
      <c r="F53" s="29">
        <v>10.0</v>
      </c>
    </row>
    <row r="54" ht="15.75" customHeight="1">
      <c r="A54" s="54">
        <v>46143.0</v>
      </c>
      <c r="B54" s="53" t="s">
        <v>92</v>
      </c>
      <c r="C54" s="53" t="s">
        <v>2250</v>
      </c>
      <c r="D54" s="56">
        <v>255.0</v>
      </c>
      <c r="E54" s="56">
        <v>168.0</v>
      </c>
      <c r="F54" s="56">
        <v>87.0</v>
      </c>
    </row>
    <row r="55" ht="15.75" customHeight="1">
      <c r="A55" s="26">
        <v>46143.0</v>
      </c>
      <c r="B55" s="25" t="s">
        <v>92</v>
      </c>
      <c r="C55" s="25" t="s">
        <v>2260</v>
      </c>
      <c r="D55" s="29">
        <v>145.0</v>
      </c>
      <c r="E55" s="29">
        <v>100.0</v>
      </c>
      <c r="F55" s="29">
        <v>45.0</v>
      </c>
    </row>
    <row r="56" ht="15.75" customHeight="1">
      <c r="A56" s="54">
        <v>46143.0</v>
      </c>
      <c r="B56" s="53" t="s">
        <v>92</v>
      </c>
      <c r="C56" s="53" t="s">
        <v>2254</v>
      </c>
      <c r="D56" s="56">
        <v>456.0</v>
      </c>
      <c r="E56" s="56">
        <v>298.0</v>
      </c>
      <c r="F56" s="56">
        <v>158.0</v>
      </c>
    </row>
    <row r="57" ht="15.75" customHeight="1">
      <c r="A57" s="26">
        <v>46143.0</v>
      </c>
      <c r="B57" s="25" t="s">
        <v>68</v>
      </c>
      <c r="C57" s="25" t="s">
        <v>2243</v>
      </c>
      <c r="D57" s="29">
        <v>282.0</v>
      </c>
      <c r="E57" s="29">
        <v>172.0</v>
      </c>
      <c r="F57" s="29">
        <v>110.0</v>
      </c>
    </row>
    <row r="58" ht="15.75" customHeight="1">
      <c r="A58" s="54">
        <v>46143.0</v>
      </c>
      <c r="B58" s="53" t="s">
        <v>68</v>
      </c>
      <c r="C58" s="53" t="s">
        <v>2269</v>
      </c>
      <c r="D58" s="56">
        <v>-24.0</v>
      </c>
      <c r="E58" s="56">
        <v>0.0</v>
      </c>
      <c r="F58" s="56">
        <v>52.0</v>
      </c>
    </row>
    <row r="59" ht="15.75" customHeight="1">
      <c r="A59" s="26">
        <v>46143.0</v>
      </c>
      <c r="B59" s="25" t="s">
        <v>68</v>
      </c>
      <c r="C59" s="25" t="s">
        <v>2250</v>
      </c>
      <c r="D59" s="29">
        <v>380.0</v>
      </c>
      <c r="E59" s="29">
        <v>275.0</v>
      </c>
      <c r="F59" s="29">
        <v>105.0</v>
      </c>
    </row>
    <row r="60" ht="15.75" customHeight="1">
      <c r="A60" s="54">
        <v>46143.0</v>
      </c>
      <c r="B60" s="53" t="s">
        <v>68</v>
      </c>
      <c r="C60" s="53" t="s">
        <v>2260</v>
      </c>
      <c r="D60" s="56">
        <v>294.0</v>
      </c>
      <c r="E60" s="56">
        <v>226.0</v>
      </c>
      <c r="F60" s="56">
        <v>68.0</v>
      </c>
    </row>
    <row r="61" ht="15.75" customHeight="1">
      <c r="A61" s="26">
        <v>46143.0</v>
      </c>
      <c r="B61" s="25" t="s">
        <v>68</v>
      </c>
      <c r="C61" s="25" t="s">
        <v>2254</v>
      </c>
      <c r="D61" s="29">
        <v>150.0</v>
      </c>
      <c r="E61" s="29">
        <v>102.0</v>
      </c>
      <c r="F61" s="29">
        <v>48.0</v>
      </c>
    </row>
    <row r="62" ht="15.75" customHeight="1">
      <c r="A62" s="54">
        <v>46143.0</v>
      </c>
      <c r="B62" s="53" t="s">
        <v>106</v>
      </c>
      <c r="C62" s="53" t="s">
        <v>2243</v>
      </c>
      <c r="D62" s="56">
        <v>521.0</v>
      </c>
      <c r="E62" s="56">
        <v>465.0</v>
      </c>
      <c r="F62" s="56">
        <v>56.0</v>
      </c>
    </row>
    <row r="63" ht="15.75" customHeight="1">
      <c r="A63" s="26">
        <v>46143.0</v>
      </c>
      <c r="B63" s="25" t="s">
        <v>106</v>
      </c>
      <c r="C63" s="25" t="s">
        <v>2269</v>
      </c>
      <c r="D63" s="29">
        <v>511.0</v>
      </c>
      <c r="E63" s="29">
        <v>422.0</v>
      </c>
      <c r="F63" s="29">
        <v>89.0</v>
      </c>
    </row>
    <row r="64" ht="15.75" customHeight="1">
      <c r="A64" s="54">
        <v>46143.0</v>
      </c>
      <c r="B64" s="53" t="s">
        <v>106</v>
      </c>
      <c r="C64" s="53" t="s">
        <v>2250</v>
      </c>
      <c r="D64" s="56">
        <v>-7.0</v>
      </c>
      <c r="E64" s="56">
        <v>0.0</v>
      </c>
      <c r="F64" s="56">
        <v>28.0</v>
      </c>
    </row>
    <row r="65" ht="15.75" customHeight="1">
      <c r="A65" s="26">
        <v>46143.0</v>
      </c>
      <c r="B65" s="25" t="s">
        <v>106</v>
      </c>
      <c r="C65" s="25" t="s">
        <v>2260</v>
      </c>
      <c r="D65" s="29">
        <v>448.0</v>
      </c>
      <c r="E65" s="29">
        <v>364.0</v>
      </c>
      <c r="F65" s="29">
        <v>84.0</v>
      </c>
    </row>
    <row r="66" ht="15.75" customHeight="1">
      <c r="A66" s="54">
        <v>46143.0</v>
      </c>
      <c r="B66" s="53" t="s">
        <v>106</v>
      </c>
      <c r="C66" s="53" t="s">
        <v>2254</v>
      </c>
      <c r="D66" s="56">
        <v>111.0</v>
      </c>
      <c r="E66" s="56">
        <v>62.0</v>
      </c>
      <c r="F66" s="56">
        <v>49.0</v>
      </c>
    </row>
    <row r="67" ht="15.75" customHeight="1">
      <c r="A67" s="26">
        <v>46143.0</v>
      </c>
      <c r="B67" s="25" t="s">
        <v>108</v>
      </c>
      <c r="C67" s="25" t="s">
        <v>2243</v>
      </c>
      <c r="D67" s="29">
        <v>696.0</v>
      </c>
      <c r="E67" s="29">
        <v>436.0</v>
      </c>
      <c r="F67" s="29">
        <v>260.0</v>
      </c>
    </row>
    <row r="68" ht="15.75" customHeight="1">
      <c r="A68" s="54">
        <v>46143.0</v>
      </c>
      <c r="B68" s="53" t="s">
        <v>108</v>
      </c>
      <c r="C68" s="53" t="s">
        <v>2269</v>
      </c>
      <c r="D68" s="56">
        <v>589.0</v>
      </c>
      <c r="E68" s="56">
        <v>420.0</v>
      </c>
      <c r="F68" s="56">
        <v>169.0</v>
      </c>
    </row>
    <row r="69" ht="15.75" customHeight="1">
      <c r="A69" s="26">
        <v>46143.0</v>
      </c>
      <c r="B69" s="25" t="s">
        <v>108</v>
      </c>
      <c r="C69" s="25" t="s">
        <v>2250</v>
      </c>
      <c r="D69" s="29">
        <v>158.0</v>
      </c>
      <c r="E69" s="29">
        <v>125.0</v>
      </c>
      <c r="F69" s="29">
        <v>33.0</v>
      </c>
    </row>
    <row r="70" ht="15.75" customHeight="1">
      <c r="A70" s="54">
        <v>46143.0</v>
      </c>
      <c r="B70" s="53" t="s">
        <v>108</v>
      </c>
      <c r="C70" s="53" t="s">
        <v>2260</v>
      </c>
      <c r="D70" s="56">
        <v>311.0</v>
      </c>
      <c r="E70" s="56">
        <v>302.0</v>
      </c>
      <c r="F70" s="56">
        <v>9.0</v>
      </c>
    </row>
    <row r="71" ht="15.75" customHeight="1">
      <c r="A71" s="26">
        <v>46143.0</v>
      </c>
      <c r="B71" s="25" t="s">
        <v>108</v>
      </c>
      <c r="C71" s="25" t="s">
        <v>2254</v>
      </c>
      <c r="D71" s="29">
        <v>484.0</v>
      </c>
      <c r="E71" s="29">
        <v>396.0</v>
      </c>
      <c r="F71" s="29">
        <v>88.0</v>
      </c>
    </row>
    <row r="72" ht="15.75" customHeight="1">
      <c r="A72" s="54">
        <v>46143.0</v>
      </c>
      <c r="B72" s="53" t="s">
        <v>74</v>
      </c>
      <c r="C72" s="53" t="s">
        <v>2243</v>
      </c>
      <c r="D72" s="56">
        <v>361.0</v>
      </c>
      <c r="E72" s="56">
        <v>250.0</v>
      </c>
      <c r="F72" s="56">
        <v>111.0</v>
      </c>
    </row>
    <row r="73" ht="15.75" customHeight="1">
      <c r="A73" s="26">
        <v>46143.0</v>
      </c>
      <c r="B73" s="25" t="s">
        <v>74</v>
      </c>
      <c r="C73" s="25" t="s">
        <v>2269</v>
      </c>
      <c r="D73" s="29">
        <v>563.0</v>
      </c>
      <c r="E73" s="29">
        <v>534.0</v>
      </c>
      <c r="F73" s="29">
        <v>29.0</v>
      </c>
    </row>
    <row r="74" ht="15.75" customHeight="1">
      <c r="A74" s="54">
        <v>46143.0</v>
      </c>
      <c r="B74" s="53" t="s">
        <v>74</v>
      </c>
      <c r="C74" s="53" t="s">
        <v>2250</v>
      </c>
      <c r="D74" s="56">
        <v>630.0</v>
      </c>
      <c r="E74" s="56">
        <v>533.0</v>
      </c>
      <c r="F74" s="56">
        <v>97.0</v>
      </c>
    </row>
    <row r="75" ht="15.75" customHeight="1">
      <c r="A75" s="26">
        <v>46143.0</v>
      </c>
      <c r="B75" s="25" t="s">
        <v>74</v>
      </c>
      <c r="C75" s="25" t="s">
        <v>2260</v>
      </c>
      <c r="D75" s="29">
        <v>486.0</v>
      </c>
      <c r="E75" s="29">
        <v>486.0</v>
      </c>
      <c r="F75" s="29">
        <v>0.0</v>
      </c>
    </row>
    <row r="76" ht="15.75" customHeight="1">
      <c r="A76" s="54">
        <v>46143.0</v>
      </c>
      <c r="B76" s="53" t="s">
        <v>74</v>
      </c>
      <c r="C76" s="53" t="s">
        <v>2254</v>
      </c>
      <c r="D76" s="56">
        <v>591.0</v>
      </c>
      <c r="E76" s="56">
        <v>491.0</v>
      </c>
      <c r="F76" s="56">
        <v>100.0</v>
      </c>
    </row>
    <row r="77" ht="15.75" customHeight="1">
      <c r="A77" s="26">
        <v>46143.0</v>
      </c>
      <c r="B77" s="25" t="s">
        <v>90</v>
      </c>
      <c r="C77" s="25" t="s">
        <v>2243</v>
      </c>
      <c r="D77" s="29">
        <v>111.0</v>
      </c>
      <c r="E77" s="29">
        <v>69.0</v>
      </c>
      <c r="F77" s="29">
        <v>42.0</v>
      </c>
    </row>
    <row r="78" ht="15.75" customHeight="1">
      <c r="A78" s="54">
        <v>46143.0</v>
      </c>
      <c r="B78" s="53" t="s">
        <v>90</v>
      </c>
      <c r="C78" s="53" t="s">
        <v>2269</v>
      </c>
      <c r="D78" s="56">
        <v>678.0</v>
      </c>
      <c r="E78" s="56">
        <v>518.0</v>
      </c>
      <c r="F78" s="56">
        <v>160.0</v>
      </c>
    </row>
    <row r="79" ht="15.75" customHeight="1">
      <c r="A79" s="26">
        <v>46143.0</v>
      </c>
      <c r="B79" s="25" t="s">
        <v>90</v>
      </c>
      <c r="C79" s="25" t="s">
        <v>2250</v>
      </c>
      <c r="D79" s="29">
        <v>167.0</v>
      </c>
      <c r="E79" s="29">
        <v>129.0</v>
      </c>
      <c r="F79" s="29">
        <v>38.0</v>
      </c>
    </row>
    <row r="80" ht="15.75" customHeight="1">
      <c r="A80" s="54">
        <v>46143.0</v>
      </c>
      <c r="B80" s="53" t="s">
        <v>90</v>
      </c>
      <c r="C80" s="53" t="s">
        <v>2260</v>
      </c>
      <c r="D80" s="56">
        <v>458.0</v>
      </c>
      <c r="E80" s="56">
        <v>375.0</v>
      </c>
      <c r="F80" s="56">
        <v>83.0</v>
      </c>
    </row>
    <row r="81" ht="15.75" customHeight="1">
      <c r="A81" s="26">
        <v>46143.0</v>
      </c>
      <c r="B81" s="25" t="s">
        <v>90</v>
      </c>
      <c r="C81" s="25" t="s">
        <v>2254</v>
      </c>
      <c r="D81" s="29">
        <v>342.0</v>
      </c>
      <c r="E81" s="29">
        <v>201.0</v>
      </c>
      <c r="F81" s="29">
        <v>141.0</v>
      </c>
    </row>
    <row r="82" ht="15.75" customHeight="1">
      <c r="A82" s="54">
        <v>46143.0</v>
      </c>
      <c r="B82" s="53" t="s">
        <v>190</v>
      </c>
      <c r="C82" s="53" t="s">
        <v>2243</v>
      </c>
      <c r="D82" s="56">
        <v>470.0</v>
      </c>
      <c r="E82" s="56">
        <v>300.0</v>
      </c>
      <c r="F82" s="56">
        <v>170.0</v>
      </c>
    </row>
    <row r="83" ht="15.75" customHeight="1">
      <c r="A83" s="26">
        <v>46143.0</v>
      </c>
      <c r="B83" s="25" t="s">
        <v>190</v>
      </c>
      <c r="C83" s="25" t="s">
        <v>2269</v>
      </c>
      <c r="D83" s="29">
        <v>218.0</v>
      </c>
      <c r="E83" s="29">
        <v>140.0</v>
      </c>
      <c r="F83" s="29">
        <v>78.0</v>
      </c>
    </row>
    <row r="84" ht="15.75" customHeight="1">
      <c r="A84" s="54">
        <v>46143.0</v>
      </c>
      <c r="B84" s="53" t="s">
        <v>190</v>
      </c>
      <c r="C84" s="53" t="s">
        <v>2250</v>
      </c>
      <c r="D84" s="56">
        <v>455.0</v>
      </c>
      <c r="E84" s="56">
        <v>315.0</v>
      </c>
      <c r="F84" s="56">
        <v>140.0</v>
      </c>
    </row>
    <row r="85" ht="15.75" customHeight="1">
      <c r="A85" s="26">
        <v>46143.0</v>
      </c>
      <c r="B85" s="25" t="s">
        <v>190</v>
      </c>
      <c r="C85" s="25" t="s">
        <v>2260</v>
      </c>
      <c r="D85" s="29">
        <v>351.0</v>
      </c>
      <c r="E85" s="29">
        <v>278.0</v>
      </c>
      <c r="F85" s="29">
        <v>73.0</v>
      </c>
    </row>
    <row r="86" ht="15.75" customHeight="1">
      <c r="A86" s="54">
        <v>46143.0</v>
      </c>
      <c r="B86" s="53" t="s">
        <v>190</v>
      </c>
      <c r="C86" s="53" t="s">
        <v>2254</v>
      </c>
      <c r="D86" s="56">
        <v>633.0</v>
      </c>
      <c r="E86" s="56">
        <v>469.0</v>
      </c>
      <c r="F86" s="56">
        <v>164.0</v>
      </c>
    </row>
    <row r="87" ht="15.75" customHeight="1">
      <c r="A87" s="26">
        <v>46143.0</v>
      </c>
      <c r="B87" s="25" t="s">
        <v>81</v>
      </c>
      <c r="C87" s="25" t="s">
        <v>2243</v>
      </c>
      <c r="D87" s="29">
        <v>492.0</v>
      </c>
      <c r="E87" s="29">
        <v>320.0</v>
      </c>
      <c r="F87" s="29">
        <v>172.0</v>
      </c>
    </row>
    <row r="88" ht="15.75" customHeight="1">
      <c r="A88" s="54">
        <v>46143.0</v>
      </c>
      <c r="B88" s="53" t="s">
        <v>81</v>
      </c>
      <c r="C88" s="53" t="s">
        <v>2269</v>
      </c>
      <c r="D88" s="56">
        <v>524.0</v>
      </c>
      <c r="E88" s="56">
        <v>321.0</v>
      </c>
      <c r="F88" s="56">
        <v>203.0</v>
      </c>
    </row>
    <row r="89" ht="15.75" customHeight="1">
      <c r="A89" s="26">
        <v>46143.0</v>
      </c>
      <c r="B89" s="25" t="s">
        <v>81</v>
      </c>
      <c r="C89" s="25" t="s">
        <v>2250</v>
      </c>
      <c r="D89" s="29">
        <v>213.0</v>
      </c>
      <c r="E89" s="29">
        <v>129.0</v>
      </c>
      <c r="F89" s="29">
        <v>84.0</v>
      </c>
    </row>
    <row r="90" ht="15.75" customHeight="1">
      <c r="A90" s="54">
        <v>46143.0</v>
      </c>
      <c r="B90" s="53" t="s">
        <v>81</v>
      </c>
      <c r="C90" s="53" t="s">
        <v>2260</v>
      </c>
      <c r="D90" s="56">
        <v>567.0</v>
      </c>
      <c r="E90" s="56">
        <v>396.0</v>
      </c>
      <c r="F90" s="56">
        <v>171.0</v>
      </c>
    </row>
    <row r="91" ht="15.75" customHeight="1">
      <c r="A91" s="26">
        <v>46143.0</v>
      </c>
      <c r="B91" s="25" t="s">
        <v>81</v>
      </c>
      <c r="C91" s="25" t="s">
        <v>2254</v>
      </c>
      <c r="D91" s="29">
        <v>280.0</v>
      </c>
      <c r="E91" s="29">
        <v>194.0</v>
      </c>
      <c r="F91" s="29">
        <v>86.0</v>
      </c>
    </row>
    <row r="92" ht="15.75" customHeight="1">
      <c r="A92" s="54">
        <v>46143.0</v>
      </c>
      <c r="B92" s="53" t="s">
        <v>64</v>
      </c>
      <c r="C92" s="53" t="s">
        <v>2243</v>
      </c>
      <c r="D92" s="56">
        <v>-8.0</v>
      </c>
      <c r="E92" s="56">
        <v>0.0</v>
      </c>
      <c r="F92" s="56">
        <v>18.0</v>
      </c>
    </row>
    <row r="93" ht="15.75" customHeight="1">
      <c r="A93" s="26">
        <v>46143.0</v>
      </c>
      <c r="B93" s="25" t="s">
        <v>64</v>
      </c>
      <c r="C93" s="25" t="s">
        <v>2269</v>
      </c>
      <c r="D93" s="29">
        <v>526.0</v>
      </c>
      <c r="E93" s="29">
        <v>370.0</v>
      </c>
      <c r="F93" s="29">
        <v>156.0</v>
      </c>
    </row>
    <row r="94" ht="15.75" customHeight="1">
      <c r="A94" s="54">
        <v>46143.0</v>
      </c>
      <c r="B94" s="53" t="s">
        <v>64</v>
      </c>
      <c r="C94" s="53" t="s">
        <v>2250</v>
      </c>
      <c r="D94" s="56">
        <v>114.0</v>
      </c>
      <c r="E94" s="56">
        <v>85.0</v>
      </c>
      <c r="F94" s="56">
        <v>29.0</v>
      </c>
    </row>
    <row r="95" ht="15.75" customHeight="1">
      <c r="A95" s="26">
        <v>46143.0</v>
      </c>
      <c r="B95" s="25" t="s">
        <v>64</v>
      </c>
      <c r="C95" s="25" t="s">
        <v>2260</v>
      </c>
      <c r="D95" s="29">
        <v>684.0</v>
      </c>
      <c r="E95" s="29">
        <v>390.0</v>
      </c>
      <c r="F95" s="29">
        <v>294.0</v>
      </c>
    </row>
    <row r="96" ht="15.75" customHeight="1">
      <c r="A96" s="54">
        <v>46143.0</v>
      </c>
      <c r="B96" s="53" t="s">
        <v>64</v>
      </c>
      <c r="C96" s="53" t="s">
        <v>2254</v>
      </c>
      <c r="D96" s="56">
        <v>433.0</v>
      </c>
      <c r="E96" s="56">
        <v>307.0</v>
      </c>
      <c r="F96" s="56">
        <v>126.0</v>
      </c>
    </row>
    <row r="97" ht="15.75" customHeight="1">
      <c r="A97" s="26">
        <v>46143.0</v>
      </c>
      <c r="B97" s="25" t="s">
        <v>71</v>
      </c>
      <c r="C97" s="25" t="s">
        <v>2243</v>
      </c>
      <c r="D97" s="29">
        <v>191.0</v>
      </c>
      <c r="E97" s="29">
        <v>108.0</v>
      </c>
      <c r="F97" s="29">
        <v>83.0</v>
      </c>
    </row>
    <row r="98" ht="15.75" customHeight="1">
      <c r="A98" s="54">
        <v>46143.0</v>
      </c>
      <c r="B98" s="53" t="s">
        <v>71</v>
      </c>
      <c r="C98" s="53" t="s">
        <v>2269</v>
      </c>
      <c r="D98" s="56">
        <v>149.0</v>
      </c>
      <c r="E98" s="56">
        <v>95.0</v>
      </c>
      <c r="F98" s="56">
        <v>54.0</v>
      </c>
    </row>
    <row r="99" ht="15.75" customHeight="1">
      <c r="A99" s="26">
        <v>46143.0</v>
      </c>
      <c r="B99" s="25" t="s">
        <v>71</v>
      </c>
      <c r="C99" s="25" t="s">
        <v>2250</v>
      </c>
      <c r="D99" s="29">
        <v>570.0</v>
      </c>
      <c r="E99" s="29">
        <v>333.0</v>
      </c>
      <c r="F99" s="29">
        <v>237.0</v>
      </c>
    </row>
    <row r="100" ht="15.75" customHeight="1">
      <c r="A100" s="54">
        <v>46143.0</v>
      </c>
      <c r="B100" s="53" t="s">
        <v>71</v>
      </c>
      <c r="C100" s="53" t="s">
        <v>2260</v>
      </c>
      <c r="D100" s="56">
        <v>295.0</v>
      </c>
      <c r="E100" s="56">
        <v>264.0</v>
      </c>
      <c r="F100" s="56">
        <v>31.0</v>
      </c>
    </row>
    <row r="101" ht="15.75" customHeight="1">
      <c r="A101" s="26">
        <v>46143.0</v>
      </c>
      <c r="B101" s="25" t="s">
        <v>71</v>
      </c>
      <c r="C101" s="25" t="s">
        <v>2254</v>
      </c>
      <c r="D101" s="29">
        <v>515.0</v>
      </c>
      <c r="E101" s="29">
        <v>345.0</v>
      </c>
      <c r="F101" s="29">
        <v>170.0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01"/>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0.0"/>
    <col customWidth="1" min="3" max="3" width="13.0"/>
    <col customWidth="1" min="4" max="4" width="10.0"/>
    <col customWidth="1" min="5" max="5" width="16.0"/>
    <col customWidth="1" min="6" max="7" width="30.0"/>
    <col customWidth="1" min="8" max="8" width="25.0"/>
    <col customWidth="1" min="9" max="9" width="30.0"/>
    <col customWidth="1" min="10" max="10" width="24.0"/>
    <col customWidth="1" min="11" max="26" width="8.71"/>
  </cols>
  <sheetData>
    <row r="1">
      <c r="A1" s="16" t="s">
        <v>5299</v>
      </c>
      <c r="B1" s="16" t="s">
        <v>47</v>
      </c>
      <c r="C1" s="16" t="s">
        <v>49</v>
      </c>
      <c r="D1" s="16" t="s">
        <v>50</v>
      </c>
      <c r="E1" s="16" t="s">
        <v>5300</v>
      </c>
      <c r="F1" s="16" t="s">
        <v>5301</v>
      </c>
      <c r="G1" s="16" t="s">
        <v>5302</v>
      </c>
      <c r="H1" s="16" t="s">
        <v>5303</v>
      </c>
      <c r="I1" s="16" t="s">
        <v>5304</v>
      </c>
      <c r="J1" s="16" t="s">
        <v>5305</v>
      </c>
    </row>
    <row r="2">
      <c r="A2" s="18">
        <v>46023.0</v>
      </c>
      <c r="B2" s="17" t="s">
        <v>3849</v>
      </c>
      <c r="C2" s="17" t="s">
        <v>63</v>
      </c>
      <c r="D2" s="17" t="s">
        <v>81</v>
      </c>
      <c r="E2" s="21">
        <v>359.0</v>
      </c>
      <c r="F2" s="21">
        <f>SUMIFS(crm_orders!$J:$J,crm_orders!$B:$B,"&gt;="&amp;A2,crm_orders!$B:$B,"&lt;"&amp;DATE(YEAR(A2),MONTH(A2)+1,1),crm_orders!$E:$E,B2,crm_orders!$G:$G,C2,crm_orders!$H:$H,D2)</f>
        <v>0</v>
      </c>
      <c r="G2" s="21">
        <f>SUMIFS(warehouse_shipments!$H:$H,warehouse_shipments!$C:$C,"&gt;="&amp;A2,warehouse_shipments!$C:$C,"&lt;"&amp;DATE(YEAR(A2),MONTH(A2)+1,1),warehouse_shipments!$P:$P,B2,warehouse_shipments!$Q:$Q,C2,warehouse_shipments!$R:$R,D2)</f>
        <v>0</v>
      </c>
      <c r="H2" s="22">
        <f t="shared" ref="H2:H1441" si="1">F2-E2</f>
        <v>-359</v>
      </c>
      <c r="I2" s="64">
        <f t="shared" ref="I2:I1441" si="2">IFERROR(1-ABS(H2)/E2,0)</f>
        <v>0</v>
      </c>
      <c r="J2" s="22" t="s">
        <v>5306</v>
      </c>
    </row>
    <row r="3">
      <c r="A3" s="26">
        <v>46023.0</v>
      </c>
      <c r="B3" s="25" t="s">
        <v>3849</v>
      </c>
      <c r="C3" s="25" t="s">
        <v>63</v>
      </c>
      <c r="D3" s="25" t="s">
        <v>92</v>
      </c>
      <c r="E3" s="29">
        <v>438.0</v>
      </c>
      <c r="F3" s="29">
        <f>SUMIFS(crm_orders!$J:$J,crm_orders!$B:$B,"&gt;="&amp;A3,crm_orders!$B:$B,"&lt;"&amp;DATE(YEAR(A3),MONTH(A3)+1,1),crm_orders!$E:$E,B3,crm_orders!$G:$G,C3,crm_orders!$H:$H,D3)</f>
        <v>18</v>
      </c>
      <c r="G3" s="29">
        <f>SUMIFS(warehouse_shipments!$H:$H,warehouse_shipments!$C:$C,"&gt;="&amp;A3,warehouse_shipments!$C:$C,"&lt;"&amp;DATE(YEAR(A3),MONTH(A3)+1,1),warehouse_shipments!$P:$P,B3,warehouse_shipments!$Q:$Q,C3,warehouse_shipments!$R:$R,D3)</f>
        <v>0</v>
      </c>
      <c r="H3" s="30">
        <f t="shared" si="1"/>
        <v>-420</v>
      </c>
      <c r="I3" s="65">
        <f t="shared" si="2"/>
        <v>0.04109589041</v>
      </c>
      <c r="J3" s="30" t="s">
        <v>5307</v>
      </c>
    </row>
    <row r="4">
      <c r="A4" s="18">
        <v>46023.0</v>
      </c>
      <c r="B4" s="17" t="s">
        <v>3849</v>
      </c>
      <c r="C4" s="17" t="s">
        <v>63</v>
      </c>
      <c r="D4" s="17" t="s">
        <v>110</v>
      </c>
      <c r="E4" s="21">
        <v>89.0</v>
      </c>
      <c r="F4" s="21">
        <f>SUMIFS(crm_orders!$J:$J,crm_orders!$B:$B,"&gt;="&amp;A4,crm_orders!$B:$B,"&lt;"&amp;DATE(YEAR(A4),MONTH(A4)+1,1),crm_orders!$E:$E,B4,crm_orders!$G:$G,C4,crm_orders!$H:$H,D4)</f>
        <v>186</v>
      </c>
      <c r="G4" s="21">
        <f>SUMIFS(warehouse_shipments!$H:$H,warehouse_shipments!$C:$C,"&gt;="&amp;A4,warehouse_shipments!$C:$C,"&lt;"&amp;DATE(YEAR(A4),MONTH(A4)+1,1),warehouse_shipments!$P:$P,B4,warehouse_shipments!$Q:$Q,C4,warehouse_shipments!$R:$R,D4)</f>
        <v>24</v>
      </c>
      <c r="H4" s="22">
        <f t="shared" si="1"/>
        <v>97</v>
      </c>
      <c r="I4" s="64">
        <f t="shared" si="2"/>
        <v>-0.08988764045</v>
      </c>
      <c r="J4" s="22" t="s">
        <v>5307</v>
      </c>
    </row>
    <row r="5">
      <c r="A5" s="26">
        <v>46023.0</v>
      </c>
      <c r="B5" s="25" t="s">
        <v>3849</v>
      </c>
      <c r="C5" s="25" t="s">
        <v>63</v>
      </c>
      <c r="D5" s="25" t="s">
        <v>154</v>
      </c>
      <c r="E5" s="29">
        <v>319.0</v>
      </c>
      <c r="F5" s="29">
        <f>SUMIFS(crm_orders!$J:$J,crm_orders!$B:$B,"&gt;="&amp;A5,crm_orders!$B:$B,"&lt;"&amp;DATE(YEAR(A5),MONTH(A5)+1,1),crm_orders!$E:$E,B5,crm_orders!$G:$G,C5,crm_orders!$H:$H,D5)</f>
        <v>96</v>
      </c>
      <c r="G5" s="29">
        <f>SUMIFS(warehouse_shipments!$H:$H,warehouse_shipments!$C:$C,"&gt;="&amp;A5,warehouse_shipments!$C:$C,"&lt;"&amp;DATE(YEAR(A5),MONTH(A5)+1,1),warehouse_shipments!$P:$P,B5,warehouse_shipments!$Q:$Q,C5,warehouse_shipments!$R:$R,D5)</f>
        <v>96</v>
      </c>
      <c r="H5" s="30">
        <f t="shared" si="1"/>
        <v>-223</v>
      </c>
      <c r="I5" s="65">
        <f t="shared" si="2"/>
        <v>0.3009404389</v>
      </c>
      <c r="J5" s="30" t="s">
        <v>5307</v>
      </c>
    </row>
    <row r="6">
      <c r="A6" s="18">
        <v>46023.0</v>
      </c>
      <c r="B6" s="17" t="s">
        <v>3849</v>
      </c>
      <c r="C6" s="17" t="s">
        <v>63</v>
      </c>
      <c r="D6" s="17" t="s">
        <v>68</v>
      </c>
      <c r="E6" s="21">
        <v>318.0</v>
      </c>
      <c r="F6" s="21">
        <f>SUMIFS(crm_orders!$J:$J,crm_orders!$B:$B,"&gt;="&amp;A6,crm_orders!$B:$B,"&lt;"&amp;DATE(YEAR(A6),MONTH(A6)+1,1),crm_orders!$E:$E,B6,crm_orders!$G:$G,C6,crm_orders!$H:$H,D6)</f>
        <v>120</v>
      </c>
      <c r="G6" s="21">
        <f>SUMIFS(warehouse_shipments!$H:$H,warehouse_shipments!$C:$C,"&gt;="&amp;A6,warehouse_shipments!$C:$C,"&lt;"&amp;DATE(YEAR(A6),MONTH(A6)+1,1),warehouse_shipments!$P:$P,B6,warehouse_shipments!$Q:$Q,C6,warehouse_shipments!$R:$R,D6)</f>
        <v>0</v>
      </c>
      <c r="H6" s="22">
        <f t="shared" si="1"/>
        <v>-198</v>
      </c>
      <c r="I6" s="64">
        <f t="shared" si="2"/>
        <v>0.3773584906</v>
      </c>
      <c r="J6" s="22" t="s">
        <v>5308</v>
      </c>
    </row>
    <row r="7">
      <c r="A7" s="26">
        <v>46023.0</v>
      </c>
      <c r="B7" s="25" t="s">
        <v>3849</v>
      </c>
      <c r="C7" s="25" t="s">
        <v>63</v>
      </c>
      <c r="D7" s="25" t="s">
        <v>102</v>
      </c>
      <c r="E7" s="29">
        <v>346.0</v>
      </c>
      <c r="F7" s="29">
        <f>SUMIFS(crm_orders!$J:$J,crm_orders!$B:$B,"&gt;="&amp;A7,crm_orders!$B:$B,"&lt;"&amp;DATE(YEAR(A7),MONTH(A7)+1,1),crm_orders!$E:$E,B7,crm_orders!$G:$G,C7,crm_orders!$H:$H,D7)</f>
        <v>30</v>
      </c>
      <c r="G7" s="29">
        <f>SUMIFS(warehouse_shipments!$H:$H,warehouse_shipments!$C:$C,"&gt;="&amp;A7,warehouse_shipments!$C:$C,"&lt;"&amp;DATE(YEAR(A7),MONTH(A7)+1,1),warehouse_shipments!$P:$P,B7,warehouse_shipments!$Q:$Q,C7,warehouse_shipments!$R:$R,D7)</f>
        <v>30</v>
      </c>
      <c r="H7" s="30">
        <f t="shared" si="1"/>
        <v>-316</v>
      </c>
      <c r="I7" s="65">
        <f t="shared" si="2"/>
        <v>0.08670520231</v>
      </c>
      <c r="J7" s="30" t="s">
        <v>5308</v>
      </c>
    </row>
    <row r="8">
      <c r="A8" s="18">
        <v>46023.0</v>
      </c>
      <c r="B8" s="17" t="s">
        <v>3849</v>
      </c>
      <c r="C8" s="17" t="s">
        <v>63</v>
      </c>
      <c r="D8" s="17" t="s">
        <v>156</v>
      </c>
      <c r="E8" s="21">
        <v>329.0</v>
      </c>
      <c r="F8" s="21">
        <f>SUMIFS(crm_orders!$J:$J,crm_orders!$B:$B,"&gt;="&amp;A8,crm_orders!$B:$B,"&lt;"&amp;DATE(YEAR(A8),MONTH(A8)+1,1),crm_orders!$E:$E,B8,crm_orders!$G:$G,C8,crm_orders!$H:$H,D8)</f>
        <v>0</v>
      </c>
      <c r="G8" s="21">
        <f>SUMIFS(warehouse_shipments!$H:$H,warehouse_shipments!$C:$C,"&gt;="&amp;A8,warehouse_shipments!$C:$C,"&lt;"&amp;DATE(YEAR(A8),MONTH(A8)+1,1),warehouse_shipments!$P:$P,B8,warehouse_shipments!$Q:$Q,C8,warehouse_shipments!$R:$R,D8)</f>
        <v>0</v>
      </c>
      <c r="H8" s="22">
        <f t="shared" si="1"/>
        <v>-329</v>
      </c>
      <c r="I8" s="64">
        <f t="shared" si="2"/>
        <v>0</v>
      </c>
      <c r="J8" s="22" t="s">
        <v>5309</v>
      </c>
    </row>
    <row r="9">
      <c r="A9" s="26">
        <v>46023.0</v>
      </c>
      <c r="B9" s="25" t="s">
        <v>3849</v>
      </c>
      <c r="C9" s="25" t="s">
        <v>63</v>
      </c>
      <c r="D9" s="25" t="s">
        <v>115</v>
      </c>
      <c r="E9" s="29">
        <v>354.0</v>
      </c>
      <c r="F9" s="29">
        <f>SUMIFS(crm_orders!$J:$J,crm_orders!$B:$B,"&gt;="&amp;A9,crm_orders!$B:$B,"&lt;"&amp;DATE(YEAR(A9),MONTH(A9)+1,1),crm_orders!$E:$E,B9,crm_orders!$G:$G,C9,crm_orders!$H:$H,D9)</f>
        <v>6</v>
      </c>
      <c r="G9" s="29">
        <f>SUMIFS(warehouse_shipments!$H:$H,warehouse_shipments!$C:$C,"&gt;="&amp;A9,warehouse_shipments!$C:$C,"&lt;"&amp;DATE(YEAR(A9),MONTH(A9)+1,1),warehouse_shipments!$P:$P,B9,warehouse_shipments!$Q:$Q,C9,warehouse_shipments!$R:$R,D9)</f>
        <v>6</v>
      </c>
      <c r="H9" s="30">
        <f t="shared" si="1"/>
        <v>-348</v>
      </c>
      <c r="I9" s="65">
        <f t="shared" si="2"/>
        <v>0.01694915254</v>
      </c>
      <c r="J9" s="30" t="s">
        <v>5309</v>
      </c>
    </row>
    <row r="10">
      <c r="A10" s="18">
        <v>46023.0</v>
      </c>
      <c r="B10" s="17" t="s">
        <v>3849</v>
      </c>
      <c r="C10" s="17" t="s">
        <v>67</v>
      </c>
      <c r="D10" s="17" t="s">
        <v>115</v>
      </c>
      <c r="E10" s="21">
        <v>105.0</v>
      </c>
      <c r="F10" s="21">
        <f>SUMIFS(crm_orders!$J:$J,crm_orders!$B:$B,"&gt;="&amp;A10,crm_orders!$B:$B,"&lt;"&amp;DATE(YEAR(A10),MONTH(A10)+1,1),crm_orders!$E:$E,B10,crm_orders!$G:$G,C10,crm_orders!$H:$H,D10)</f>
        <v>0</v>
      </c>
      <c r="G10" s="21">
        <f>SUMIFS(warehouse_shipments!$H:$H,warehouse_shipments!$C:$C,"&gt;="&amp;A10,warehouse_shipments!$C:$C,"&lt;"&amp;DATE(YEAR(A10),MONTH(A10)+1,1),warehouse_shipments!$P:$P,B10,warehouse_shipments!$Q:$Q,C10,warehouse_shipments!$R:$R,D10)</f>
        <v>0</v>
      </c>
      <c r="H10" s="22">
        <f t="shared" si="1"/>
        <v>-105</v>
      </c>
      <c r="I10" s="64">
        <f t="shared" si="2"/>
        <v>0</v>
      </c>
      <c r="J10" s="22" t="s">
        <v>5306</v>
      </c>
    </row>
    <row r="11">
      <c r="A11" s="26">
        <v>46023.0</v>
      </c>
      <c r="B11" s="25" t="s">
        <v>3849</v>
      </c>
      <c r="C11" s="25" t="s">
        <v>67</v>
      </c>
      <c r="D11" s="25" t="s">
        <v>102</v>
      </c>
      <c r="E11" s="29">
        <v>299.0</v>
      </c>
      <c r="F11" s="29">
        <f>SUMIFS(crm_orders!$J:$J,crm_orders!$B:$B,"&gt;="&amp;A11,crm_orders!$B:$B,"&lt;"&amp;DATE(YEAR(A11),MONTH(A11)+1,1),crm_orders!$E:$E,B11,crm_orders!$G:$G,C11,crm_orders!$H:$H,D11)</f>
        <v>0</v>
      </c>
      <c r="G11" s="29">
        <f>SUMIFS(warehouse_shipments!$H:$H,warehouse_shipments!$C:$C,"&gt;="&amp;A11,warehouse_shipments!$C:$C,"&lt;"&amp;DATE(YEAR(A11),MONTH(A11)+1,1),warehouse_shipments!$P:$P,B11,warehouse_shipments!$Q:$Q,C11,warehouse_shipments!$R:$R,D11)</f>
        <v>0</v>
      </c>
      <c r="H11" s="30">
        <f t="shared" si="1"/>
        <v>-299</v>
      </c>
      <c r="I11" s="65">
        <f t="shared" si="2"/>
        <v>0</v>
      </c>
      <c r="J11" s="30" t="s">
        <v>5306</v>
      </c>
    </row>
    <row r="12">
      <c r="A12" s="18">
        <v>46023.0</v>
      </c>
      <c r="B12" s="17" t="s">
        <v>3849</v>
      </c>
      <c r="C12" s="17" t="s">
        <v>67</v>
      </c>
      <c r="D12" s="17" t="s">
        <v>108</v>
      </c>
      <c r="E12" s="21">
        <v>103.0</v>
      </c>
      <c r="F12" s="21">
        <f>SUMIFS(crm_orders!$J:$J,crm_orders!$B:$B,"&gt;="&amp;A12,crm_orders!$B:$B,"&lt;"&amp;DATE(YEAR(A12),MONTH(A12)+1,1),crm_orders!$E:$E,B12,crm_orders!$G:$G,C12,crm_orders!$H:$H,D12)</f>
        <v>0</v>
      </c>
      <c r="G12" s="21">
        <f>SUMIFS(warehouse_shipments!$H:$H,warehouse_shipments!$C:$C,"&gt;="&amp;A12,warehouse_shipments!$C:$C,"&lt;"&amp;DATE(YEAR(A12),MONTH(A12)+1,1),warehouse_shipments!$P:$P,B12,warehouse_shipments!$Q:$Q,C12,warehouse_shipments!$R:$R,D12)</f>
        <v>0</v>
      </c>
      <c r="H12" s="22">
        <f t="shared" si="1"/>
        <v>-103</v>
      </c>
      <c r="I12" s="64">
        <f t="shared" si="2"/>
        <v>0</v>
      </c>
      <c r="J12" s="22" t="s">
        <v>5307</v>
      </c>
    </row>
    <row r="13">
      <c r="A13" s="26">
        <v>46023.0</v>
      </c>
      <c r="B13" s="25" t="s">
        <v>3849</v>
      </c>
      <c r="C13" s="25" t="s">
        <v>67</v>
      </c>
      <c r="D13" s="25" t="s">
        <v>190</v>
      </c>
      <c r="E13" s="29">
        <v>393.0</v>
      </c>
      <c r="F13" s="29">
        <f>SUMIFS(crm_orders!$J:$J,crm_orders!$B:$B,"&gt;="&amp;A13,crm_orders!$B:$B,"&lt;"&amp;DATE(YEAR(A13),MONTH(A13)+1,1),crm_orders!$E:$E,B13,crm_orders!$G:$G,C13,crm_orders!$H:$H,D13)</f>
        <v>0</v>
      </c>
      <c r="G13" s="29">
        <f>SUMIFS(warehouse_shipments!$H:$H,warehouse_shipments!$C:$C,"&gt;="&amp;A13,warehouse_shipments!$C:$C,"&lt;"&amp;DATE(YEAR(A13),MONTH(A13)+1,1),warehouse_shipments!$P:$P,B13,warehouse_shipments!$Q:$Q,C13,warehouse_shipments!$R:$R,D13)</f>
        <v>0</v>
      </c>
      <c r="H13" s="30">
        <f t="shared" si="1"/>
        <v>-393</v>
      </c>
      <c r="I13" s="65">
        <f t="shared" si="2"/>
        <v>0</v>
      </c>
      <c r="J13" s="30" t="s">
        <v>5307</v>
      </c>
    </row>
    <row r="14">
      <c r="A14" s="18">
        <v>46023.0</v>
      </c>
      <c r="B14" s="17" t="s">
        <v>3849</v>
      </c>
      <c r="C14" s="17" t="s">
        <v>67</v>
      </c>
      <c r="D14" s="17" t="s">
        <v>162</v>
      </c>
      <c r="E14" s="21">
        <v>423.0</v>
      </c>
      <c r="F14" s="21">
        <f>SUMIFS(crm_orders!$J:$J,crm_orders!$B:$B,"&gt;="&amp;A14,crm_orders!$B:$B,"&lt;"&amp;DATE(YEAR(A14),MONTH(A14)+1,1),crm_orders!$E:$E,B14,crm_orders!$G:$G,C14,crm_orders!$H:$H,D14)</f>
        <v>0</v>
      </c>
      <c r="G14" s="21">
        <f>SUMIFS(warehouse_shipments!$H:$H,warehouse_shipments!$C:$C,"&gt;="&amp;A14,warehouse_shipments!$C:$C,"&lt;"&amp;DATE(YEAR(A14),MONTH(A14)+1,1),warehouse_shipments!$P:$P,B14,warehouse_shipments!$Q:$Q,C14,warehouse_shipments!$R:$R,D14)</f>
        <v>0</v>
      </c>
      <c r="H14" s="22">
        <f t="shared" si="1"/>
        <v>-423</v>
      </c>
      <c r="I14" s="64">
        <f t="shared" si="2"/>
        <v>0</v>
      </c>
      <c r="J14" s="22" t="s">
        <v>5310</v>
      </c>
    </row>
    <row r="15">
      <c r="A15" s="26">
        <v>46023.0</v>
      </c>
      <c r="B15" s="25" t="s">
        <v>3849</v>
      </c>
      <c r="C15" s="25" t="s">
        <v>67</v>
      </c>
      <c r="D15" s="25" t="s">
        <v>64</v>
      </c>
      <c r="E15" s="29">
        <v>105.0</v>
      </c>
      <c r="F15" s="29">
        <f>SUMIFS(crm_orders!$J:$J,crm_orders!$B:$B,"&gt;="&amp;A15,crm_orders!$B:$B,"&lt;"&amp;DATE(YEAR(A15),MONTH(A15)+1,1),crm_orders!$E:$E,B15,crm_orders!$G:$G,C15,crm_orders!$H:$H,D15)</f>
        <v>0</v>
      </c>
      <c r="G15" s="29">
        <f>SUMIFS(warehouse_shipments!$H:$H,warehouse_shipments!$C:$C,"&gt;="&amp;A15,warehouse_shipments!$C:$C,"&lt;"&amp;DATE(YEAR(A15),MONTH(A15)+1,1),warehouse_shipments!$P:$P,B15,warehouse_shipments!$Q:$Q,C15,warehouse_shipments!$R:$R,D15)</f>
        <v>0</v>
      </c>
      <c r="H15" s="30">
        <f t="shared" si="1"/>
        <v>-105</v>
      </c>
      <c r="I15" s="65">
        <f t="shared" si="2"/>
        <v>0</v>
      </c>
      <c r="J15" s="30" t="s">
        <v>5307</v>
      </c>
    </row>
    <row r="16">
      <c r="A16" s="18">
        <v>46023.0</v>
      </c>
      <c r="B16" s="17" t="s">
        <v>3849</v>
      </c>
      <c r="C16" s="17" t="s">
        <v>67</v>
      </c>
      <c r="D16" s="17" t="s">
        <v>90</v>
      </c>
      <c r="E16" s="21">
        <v>514.0</v>
      </c>
      <c r="F16" s="21">
        <f>SUMIFS(crm_orders!$J:$J,crm_orders!$B:$B,"&gt;="&amp;A16,crm_orders!$B:$B,"&lt;"&amp;DATE(YEAR(A16),MONTH(A16)+1,1),crm_orders!$E:$E,B16,crm_orders!$G:$G,C16,crm_orders!$H:$H,D16)</f>
        <v>0</v>
      </c>
      <c r="G16" s="21">
        <f>SUMIFS(warehouse_shipments!$H:$H,warehouse_shipments!$C:$C,"&gt;="&amp;A16,warehouse_shipments!$C:$C,"&lt;"&amp;DATE(YEAR(A16),MONTH(A16)+1,1),warehouse_shipments!$P:$P,B16,warehouse_shipments!$Q:$Q,C16,warehouse_shipments!$R:$R,D16)</f>
        <v>0</v>
      </c>
      <c r="H16" s="22">
        <f t="shared" si="1"/>
        <v>-514</v>
      </c>
      <c r="I16" s="64">
        <f t="shared" si="2"/>
        <v>0</v>
      </c>
      <c r="J16" s="22" t="s">
        <v>5311</v>
      </c>
    </row>
    <row r="17">
      <c r="A17" s="26">
        <v>46023.0</v>
      </c>
      <c r="B17" s="25" t="s">
        <v>3849</v>
      </c>
      <c r="C17" s="25" t="s">
        <v>67</v>
      </c>
      <c r="D17" s="25" t="s">
        <v>123</v>
      </c>
      <c r="E17" s="29">
        <v>385.0</v>
      </c>
      <c r="F17" s="29">
        <f>SUMIFS(crm_orders!$J:$J,crm_orders!$B:$B,"&gt;="&amp;A17,crm_orders!$B:$B,"&lt;"&amp;DATE(YEAR(A17),MONTH(A17)+1,1),crm_orders!$E:$E,B17,crm_orders!$G:$G,C17,crm_orders!$H:$H,D17)</f>
        <v>0</v>
      </c>
      <c r="G17" s="29">
        <f>SUMIFS(warehouse_shipments!$H:$H,warehouse_shipments!$C:$C,"&gt;="&amp;A17,warehouse_shipments!$C:$C,"&lt;"&amp;DATE(YEAR(A17),MONTH(A17)+1,1),warehouse_shipments!$P:$P,B17,warehouse_shipments!$Q:$Q,C17,warehouse_shipments!$R:$R,D17)</f>
        <v>0</v>
      </c>
      <c r="H17" s="30">
        <f t="shared" si="1"/>
        <v>-385</v>
      </c>
      <c r="I17" s="65">
        <f t="shared" si="2"/>
        <v>0</v>
      </c>
      <c r="J17" s="30" t="s">
        <v>5308</v>
      </c>
    </row>
    <row r="18">
      <c r="A18" s="18">
        <v>46023.0</v>
      </c>
      <c r="B18" s="17" t="s">
        <v>3849</v>
      </c>
      <c r="C18" s="17" t="s">
        <v>89</v>
      </c>
      <c r="D18" s="17" t="s">
        <v>64</v>
      </c>
      <c r="E18" s="21">
        <v>241.0</v>
      </c>
      <c r="F18" s="21">
        <f>SUMIFS(crm_orders!$J:$J,crm_orders!$B:$B,"&gt;="&amp;A18,crm_orders!$B:$B,"&lt;"&amp;DATE(YEAR(A18),MONTH(A18)+1,1),crm_orders!$E:$E,B18,crm_orders!$G:$G,C18,crm_orders!$H:$H,D18)</f>
        <v>0</v>
      </c>
      <c r="G18" s="21">
        <f>SUMIFS(warehouse_shipments!$H:$H,warehouse_shipments!$C:$C,"&gt;="&amp;A18,warehouse_shipments!$C:$C,"&lt;"&amp;DATE(YEAR(A18),MONTH(A18)+1,1),warehouse_shipments!$P:$P,B18,warehouse_shipments!$Q:$Q,C18,warehouse_shipments!$R:$R,D18)</f>
        <v>0</v>
      </c>
      <c r="H18" s="22">
        <f t="shared" si="1"/>
        <v>-241</v>
      </c>
      <c r="I18" s="64">
        <f t="shared" si="2"/>
        <v>0</v>
      </c>
      <c r="J18" s="22" t="s">
        <v>5308</v>
      </c>
    </row>
    <row r="19">
      <c r="A19" s="26">
        <v>46023.0</v>
      </c>
      <c r="B19" s="25" t="s">
        <v>3849</v>
      </c>
      <c r="C19" s="25" t="s">
        <v>89</v>
      </c>
      <c r="D19" s="25" t="s">
        <v>190</v>
      </c>
      <c r="E19" s="29">
        <v>232.0</v>
      </c>
      <c r="F19" s="29">
        <f>SUMIFS(crm_orders!$J:$J,crm_orders!$B:$B,"&gt;="&amp;A19,crm_orders!$B:$B,"&lt;"&amp;DATE(YEAR(A19),MONTH(A19)+1,1),crm_orders!$E:$E,B19,crm_orders!$G:$G,C19,crm_orders!$H:$H,D19)</f>
        <v>0</v>
      </c>
      <c r="G19" s="29">
        <f>SUMIFS(warehouse_shipments!$H:$H,warehouse_shipments!$C:$C,"&gt;="&amp;A19,warehouse_shipments!$C:$C,"&lt;"&amp;DATE(YEAR(A19),MONTH(A19)+1,1),warehouse_shipments!$P:$P,B19,warehouse_shipments!$Q:$Q,C19,warehouse_shipments!$R:$R,D19)</f>
        <v>0</v>
      </c>
      <c r="H19" s="30">
        <f t="shared" si="1"/>
        <v>-232</v>
      </c>
      <c r="I19" s="65">
        <f t="shared" si="2"/>
        <v>0</v>
      </c>
      <c r="J19" s="30" t="s">
        <v>5311</v>
      </c>
    </row>
    <row r="20">
      <c r="A20" s="18">
        <v>46023.0</v>
      </c>
      <c r="B20" s="17" t="s">
        <v>3849</v>
      </c>
      <c r="C20" s="17" t="s">
        <v>89</v>
      </c>
      <c r="D20" s="17" t="s">
        <v>154</v>
      </c>
      <c r="E20" s="21">
        <v>176.0</v>
      </c>
      <c r="F20" s="21">
        <f>SUMIFS(crm_orders!$J:$J,crm_orders!$B:$B,"&gt;="&amp;A20,crm_orders!$B:$B,"&lt;"&amp;DATE(YEAR(A20),MONTH(A20)+1,1),crm_orders!$E:$E,B20,crm_orders!$G:$G,C20,crm_orders!$H:$H,D20)</f>
        <v>0</v>
      </c>
      <c r="G20" s="21">
        <f>SUMIFS(warehouse_shipments!$H:$H,warehouse_shipments!$C:$C,"&gt;="&amp;A20,warehouse_shipments!$C:$C,"&lt;"&amp;DATE(YEAR(A20),MONTH(A20)+1,1),warehouse_shipments!$P:$P,B20,warehouse_shipments!$Q:$Q,C20,warehouse_shipments!$R:$R,D20)</f>
        <v>0</v>
      </c>
      <c r="H20" s="22">
        <f t="shared" si="1"/>
        <v>-176</v>
      </c>
      <c r="I20" s="64">
        <f t="shared" si="2"/>
        <v>0</v>
      </c>
      <c r="J20" s="22" t="s">
        <v>5310</v>
      </c>
    </row>
    <row r="21" ht="15.75" customHeight="1">
      <c r="A21" s="26">
        <v>46023.0</v>
      </c>
      <c r="B21" s="25" t="s">
        <v>3849</v>
      </c>
      <c r="C21" s="25" t="s">
        <v>89</v>
      </c>
      <c r="D21" s="25" t="s">
        <v>115</v>
      </c>
      <c r="E21" s="29">
        <v>340.0</v>
      </c>
      <c r="F21" s="29">
        <f>SUMIFS(crm_orders!$J:$J,crm_orders!$B:$B,"&gt;="&amp;A21,crm_orders!$B:$B,"&lt;"&amp;DATE(YEAR(A21),MONTH(A21)+1,1),crm_orders!$E:$E,B21,crm_orders!$G:$G,C21,crm_orders!$H:$H,D21)</f>
        <v>0</v>
      </c>
      <c r="G21" s="29">
        <f>SUMIFS(warehouse_shipments!$H:$H,warehouse_shipments!$C:$C,"&gt;="&amp;A21,warehouse_shipments!$C:$C,"&lt;"&amp;DATE(YEAR(A21),MONTH(A21)+1,1),warehouse_shipments!$P:$P,B21,warehouse_shipments!$Q:$Q,C21,warehouse_shipments!$R:$R,D21)</f>
        <v>0</v>
      </c>
      <c r="H21" s="30">
        <f t="shared" si="1"/>
        <v>-340</v>
      </c>
      <c r="I21" s="65">
        <f t="shared" si="2"/>
        <v>0</v>
      </c>
      <c r="J21" s="30" t="s">
        <v>5307</v>
      </c>
    </row>
    <row r="22" ht="15.75" customHeight="1">
      <c r="A22" s="18">
        <v>46023.0</v>
      </c>
      <c r="B22" s="17" t="s">
        <v>3849</v>
      </c>
      <c r="C22" s="17" t="s">
        <v>89</v>
      </c>
      <c r="D22" s="17" t="s">
        <v>123</v>
      </c>
      <c r="E22" s="21">
        <v>144.0</v>
      </c>
      <c r="F22" s="21">
        <f>SUMIFS(crm_orders!$J:$J,crm_orders!$B:$B,"&gt;="&amp;A22,crm_orders!$B:$B,"&lt;"&amp;DATE(YEAR(A22),MONTH(A22)+1,1),crm_orders!$E:$E,B22,crm_orders!$G:$G,C22,crm_orders!$H:$H,D22)</f>
        <v>0</v>
      </c>
      <c r="G22" s="21">
        <f>SUMIFS(warehouse_shipments!$H:$H,warehouse_shipments!$C:$C,"&gt;="&amp;A22,warehouse_shipments!$C:$C,"&lt;"&amp;DATE(YEAR(A22),MONTH(A22)+1,1),warehouse_shipments!$P:$P,B22,warehouse_shipments!$Q:$Q,C22,warehouse_shipments!$R:$R,D22)</f>
        <v>0</v>
      </c>
      <c r="H22" s="22">
        <f t="shared" si="1"/>
        <v>-144</v>
      </c>
      <c r="I22" s="64">
        <f t="shared" si="2"/>
        <v>0</v>
      </c>
      <c r="J22" s="22" t="s">
        <v>5309</v>
      </c>
    </row>
    <row r="23" ht="15.75" customHeight="1">
      <c r="A23" s="26">
        <v>46023.0</v>
      </c>
      <c r="B23" s="25" t="s">
        <v>3849</v>
      </c>
      <c r="C23" s="25" t="s">
        <v>89</v>
      </c>
      <c r="D23" s="25" t="s">
        <v>110</v>
      </c>
      <c r="E23" s="29">
        <v>155.0</v>
      </c>
      <c r="F23" s="29">
        <f>SUMIFS(crm_orders!$J:$J,crm_orders!$B:$B,"&gt;="&amp;A23,crm_orders!$B:$B,"&lt;"&amp;DATE(YEAR(A23),MONTH(A23)+1,1),crm_orders!$E:$E,B23,crm_orders!$G:$G,C23,crm_orders!$H:$H,D23)</f>
        <v>0</v>
      </c>
      <c r="G23" s="29">
        <f>SUMIFS(warehouse_shipments!$H:$H,warehouse_shipments!$C:$C,"&gt;="&amp;A23,warehouse_shipments!$C:$C,"&lt;"&amp;DATE(YEAR(A23),MONTH(A23)+1,1),warehouse_shipments!$P:$P,B23,warehouse_shipments!$Q:$Q,C23,warehouse_shipments!$R:$R,D23)</f>
        <v>0</v>
      </c>
      <c r="H23" s="30">
        <f t="shared" si="1"/>
        <v>-155</v>
      </c>
      <c r="I23" s="65">
        <f t="shared" si="2"/>
        <v>0</v>
      </c>
      <c r="J23" s="30" t="s">
        <v>5311</v>
      </c>
    </row>
    <row r="24" ht="15.75" customHeight="1">
      <c r="A24" s="18">
        <v>46023.0</v>
      </c>
      <c r="B24" s="17" t="s">
        <v>3849</v>
      </c>
      <c r="C24" s="17" t="s">
        <v>89</v>
      </c>
      <c r="D24" s="17" t="s">
        <v>74</v>
      </c>
      <c r="E24" s="21">
        <v>301.0</v>
      </c>
      <c r="F24" s="21">
        <f>SUMIFS(crm_orders!$J:$J,crm_orders!$B:$B,"&gt;="&amp;A24,crm_orders!$B:$B,"&lt;"&amp;DATE(YEAR(A24),MONTH(A24)+1,1),crm_orders!$E:$E,B24,crm_orders!$G:$G,C24,crm_orders!$H:$H,D24)</f>
        <v>0</v>
      </c>
      <c r="G24" s="21">
        <f>SUMIFS(warehouse_shipments!$H:$H,warehouse_shipments!$C:$C,"&gt;="&amp;A24,warehouse_shipments!$C:$C,"&lt;"&amp;DATE(YEAR(A24),MONTH(A24)+1,1),warehouse_shipments!$P:$P,B24,warehouse_shipments!$Q:$Q,C24,warehouse_shipments!$R:$R,D24)</f>
        <v>0</v>
      </c>
      <c r="H24" s="22">
        <f t="shared" si="1"/>
        <v>-301</v>
      </c>
      <c r="I24" s="64">
        <f t="shared" si="2"/>
        <v>0</v>
      </c>
      <c r="J24" s="22" t="s">
        <v>5308</v>
      </c>
    </row>
    <row r="25" ht="15.75" customHeight="1">
      <c r="A25" s="26">
        <v>46023.0</v>
      </c>
      <c r="B25" s="25" t="s">
        <v>3849</v>
      </c>
      <c r="C25" s="25" t="s">
        <v>89</v>
      </c>
      <c r="D25" s="25" t="s">
        <v>81</v>
      </c>
      <c r="E25" s="29">
        <v>417.0</v>
      </c>
      <c r="F25" s="29">
        <f>SUMIFS(crm_orders!$J:$J,crm_orders!$B:$B,"&gt;="&amp;A25,crm_orders!$B:$B,"&lt;"&amp;DATE(YEAR(A25),MONTH(A25)+1,1),crm_orders!$E:$E,B25,crm_orders!$G:$G,C25,crm_orders!$H:$H,D25)</f>
        <v>0</v>
      </c>
      <c r="G25" s="29">
        <f>SUMIFS(warehouse_shipments!$H:$H,warehouse_shipments!$C:$C,"&gt;="&amp;A25,warehouse_shipments!$C:$C,"&lt;"&amp;DATE(YEAR(A25),MONTH(A25)+1,1),warehouse_shipments!$P:$P,B25,warehouse_shipments!$Q:$Q,C25,warehouse_shipments!$R:$R,D25)</f>
        <v>0</v>
      </c>
      <c r="H25" s="30">
        <f t="shared" si="1"/>
        <v>-417</v>
      </c>
      <c r="I25" s="65">
        <f t="shared" si="2"/>
        <v>0</v>
      </c>
      <c r="J25" s="30" t="s">
        <v>5309</v>
      </c>
    </row>
    <row r="26" ht="15.75" customHeight="1">
      <c r="A26" s="18">
        <v>46023.0</v>
      </c>
      <c r="B26" s="17" t="s">
        <v>3934</v>
      </c>
      <c r="C26" s="17" t="s">
        <v>63</v>
      </c>
      <c r="D26" s="17" t="s">
        <v>95</v>
      </c>
      <c r="E26" s="21">
        <v>468.0</v>
      </c>
      <c r="F26" s="21">
        <f>SUMIFS(crm_orders!$J:$J,crm_orders!$B:$B,"&gt;="&amp;A26,crm_orders!$B:$B,"&lt;"&amp;DATE(YEAR(A26),MONTH(A26)+1,1),crm_orders!$E:$E,B26,crm_orders!$G:$G,C26,crm_orders!$H:$H,D26)</f>
        <v>12</v>
      </c>
      <c r="G26" s="21">
        <f>SUMIFS(warehouse_shipments!$H:$H,warehouse_shipments!$C:$C,"&gt;="&amp;A26,warehouse_shipments!$C:$C,"&lt;"&amp;DATE(YEAR(A26),MONTH(A26)+1,1),warehouse_shipments!$P:$P,B26,warehouse_shipments!$Q:$Q,C26,warehouse_shipments!$R:$R,D26)</f>
        <v>12</v>
      </c>
      <c r="H26" s="22">
        <f t="shared" si="1"/>
        <v>-456</v>
      </c>
      <c r="I26" s="64">
        <f t="shared" si="2"/>
        <v>0.02564102564</v>
      </c>
      <c r="J26" s="22" t="s">
        <v>5308</v>
      </c>
    </row>
    <row r="27" ht="15.75" customHeight="1">
      <c r="A27" s="26">
        <v>46023.0</v>
      </c>
      <c r="B27" s="25" t="s">
        <v>3934</v>
      </c>
      <c r="C27" s="25" t="s">
        <v>63</v>
      </c>
      <c r="D27" s="25" t="s">
        <v>106</v>
      </c>
      <c r="E27" s="29">
        <v>354.0</v>
      </c>
      <c r="F27" s="29">
        <f>SUMIFS(crm_orders!$J:$J,crm_orders!$B:$B,"&gt;="&amp;A27,crm_orders!$B:$B,"&lt;"&amp;DATE(YEAR(A27),MONTH(A27)+1,1),crm_orders!$E:$E,B27,crm_orders!$G:$G,C27,crm_orders!$H:$H,D27)</f>
        <v>0</v>
      </c>
      <c r="G27" s="29">
        <f>SUMIFS(warehouse_shipments!$H:$H,warehouse_shipments!$C:$C,"&gt;="&amp;A27,warehouse_shipments!$C:$C,"&lt;"&amp;DATE(YEAR(A27),MONTH(A27)+1,1),warehouse_shipments!$P:$P,B27,warehouse_shipments!$Q:$Q,C27,warehouse_shipments!$R:$R,D27)</f>
        <v>0</v>
      </c>
      <c r="H27" s="30">
        <f t="shared" si="1"/>
        <v>-354</v>
      </c>
      <c r="I27" s="65">
        <f t="shared" si="2"/>
        <v>0</v>
      </c>
      <c r="J27" s="30" t="s">
        <v>5306</v>
      </c>
    </row>
    <row r="28" ht="15.75" customHeight="1">
      <c r="A28" s="18">
        <v>46023.0</v>
      </c>
      <c r="B28" s="17" t="s">
        <v>3934</v>
      </c>
      <c r="C28" s="17" t="s">
        <v>63</v>
      </c>
      <c r="D28" s="17" t="s">
        <v>81</v>
      </c>
      <c r="E28" s="21">
        <v>370.0</v>
      </c>
      <c r="F28" s="21">
        <f>SUMIFS(crm_orders!$J:$J,crm_orders!$B:$B,"&gt;="&amp;A28,crm_orders!$B:$B,"&lt;"&amp;DATE(YEAR(A28),MONTH(A28)+1,1),crm_orders!$E:$E,B28,crm_orders!$G:$G,C28,crm_orders!$H:$H,D28)</f>
        <v>18</v>
      </c>
      <c r="G28" s="21">
        <f>SUMIFS(warehouse_shipments!$H:$H,warehouse_shipments!$C:$C,"&gt;="&amp;A28,warehouse_shipments!$C:$C,"&lt;"&amp;DATE(YEAR(A28),MONTH(A28)+1,1),warehouse_shipments!$P:$P,B28,warehouse_shipments!$Q:$Q,C28,warehouse_shipments!$R:$R,D28)</f>
        <v>18</v>
      </c>
      <c r="H28" s="22">
        <f t="shared" si="1"/>
        <v>-352</v>
      </c>
      <c r="I28" s="64">
        <f t="shared" si="2"/>
        <v>0.04864864865</v>
      </c>
      <c r="J28" s="22" t="s">
        <v>5311</v>
      </c>
    </row>
    <row r="29" ht="15.75" customHeight="1">
      <c r="A29" s="26">
        <v>46023.0</v>
      </c>
      <c r="B29" s="25" t="s">
        <v>3934</v>
      </c>
      <c r="C29" s="25" t="s">
        <v>63</v>
      </c>
      <c r="D29" s="25" t="s">
        <v>92</v>
      </c>
      <c r="E29" s="29">
        <v>94.0</v>
      </c>
      <c r="F29" s="29">
        <f>SUMIFS(crm_orders!$J:$J,crm_orders!$B:$B,"&gt;="&amp;A29,crm_orders!$B:$B,"&lt;"&amp;DATE(YEAR(A29),MONTH(A29)+1,1),crm_orders!$E:$E,B29,crm_orders!$G:$G,C29,crm_orders!$H:$H,D29)</f>
        <v>36</v>
      </c>
      <c r="G29" s="29">
        <f>SUMIFS(warehouse_shipments!$H:$H,warehouse_shipments!$C:$C,"&gt;="&amp;A29,warehouse_shipments!$C:$C,"&lt;"&amp;DATE(YEAR(A29),MONTH(A29)+1,1),warehouse_shipments!$P:$P,B29,warehouse_shipments!$Q:$Q,C29,warehouse_shipments!$R:$R,D29)</f>
        <v>0</v>
      </c>
      <c r="H29" s="30">
        <f t="shared" si="1"/>
        <v>-58</v>
      </c>
      <c r="I29" s="65">
        <f t="shared" si="2"/>
        <v>0.3829787234</v>
      </c>
      <c r="J29" s="30" t="s">
        <v>5309</v>
      </c>
    </row>
    <row r="30" ht="15.75" customHeight="1">
      <c r="A30" s="18">
        <v>46023.0</v>
      </c>
      <c r="B30" s="17" t="s">
        <v>3934</v>
      </c>
      <c r="C30" s="17" t="s">
        <v>63</v>
      </c>
      <c r="D30" s="17" t="s">
        <v>154</v>
      </c>
      <c r="E30" s="21">
        <v>440.0</v>
      </c>
      <c r="F30" s="21">
        <f>SUMIFS(crm_orders!$J:$J,crm_orders!$B:$B,"&gt;="&amp;A30,crm_orders!$B:$B,"&lt;"&amp;DATE(YEAR(A30),MONTH(A30)+1,1),crm_orders!$E:$E,B30,crm_orders!$G:$G,C30,crm_orders!$H:$H,D30)</f>
        <v>72</v>
      </c>
      <c r="G30" s="21">
        <f>SUMIFS(warehouse_shipments!$H:$H,warehouse_shipments!$C:$C,"&gt;="&amp;A30,warehouse_shipments!$C:$C,"&lt;"&amp;DATE(YEAR(A30),MONTH(A30)+1,1),warehouse_shipments!$P:$P,B30,warehouse_shipments!$Q:$Q,C30,warehouse_shipments!$R:$R,D30)</f>
        <v>0</v>
      </c>
      <c r="H30" s="22">
        <f t="shared" si="1"/>
        <v>-368</v>
      </c>
      <c r="I30" s="64">
        <f t="shared" si="2"/>
        <v>0.1636363636</v>
      </c>
      <c r="J30" s="22" t="s">
        <v>5310</v>
      </c>
    </row>
    <row r="31" ht="15.75" customHeight="1">
      <c r="A31" s="26">
        <v>46023.0</v>
      </c>
      <c r="B31" s="25" t="s">
        <v>3934</v>
      </c>
      <c r="C31" s="25" t="s">
        <v>63</v>
      </c>
      <c r="D31" s="25" t="s">
        <v>190</v>
      </c>
      <c r="E31" s="29">
        <v>328.0</v>
      </c>
      <c r="F31" s="29">
        <f>SUMIFS(crm_orders!$J:$J,crm_orders!$B:$B,"&gt;="&amp;A31,crm_orders!$B:$B,"&lt;"&amp;DATE(YEAR(A31),MONTH(A31)+1,1),crm_orders!$E:$E,B31,crm_orders!$G:$G,C31,crm_orders!$H:$H,D31)</f>
        <v>0</v>
      </c>
      <c r="G31" s="29">
        <f>SUMIFS(warehouse_shipments!$H:$H,warehouse_shipments!$C:$C,"&gt;="&amp;A31,warehouse_shipments!$C:$C,"&lt;"&amp;DATE(YEAR(A31),MONTH(A31)+1,1),warehouse_shipments!$P:$P,B31,warehouse_shipments!$Q:$Q,C31,warehouse_shipments!$R:$R,D31)</f>
        <v>0</v>
      </c>
      <c r="H31" s="30">
        <f t="shared" si="1"/>
        <v>-328</v>
      </c>
      <c r="I31" s="65">
        <f t="shared" si="2"/>
        <v>0</v>
      </c>
      <c r="J31" s="30" t="s">
        <v>5309</v>
      </c>
    </row>
    <row r="32" ht="15.75" customHeight="1">
      <c r="A32" s="18">
        <v>46023.0</v>
      </c>
      <c r="B32" s="17" t="s">
        <v>3934</v>
      </c>
      <c r="C32" s="17" t="s">
        <v>63</v>
      </c>
      <c r="D32" s="17" t="s">
        <v>108</v>
      </c>
      <c r="E32" s="21">
        <v>147.0</v>
      </c>
      <c r="F32" s="21">
        <f>SUMIFS(crm_orders!$J:$J,crm_orders!$B:$B,"&gt;="&amp;A32,crm_orders!$B:$B,"&lt;"&amp;DATE(YEAR(A32),MONTH(A32)+1,1),crm_orders!$E:$E,B32,crm_orders!$G:$G,C32,crm_orders!$H:$H,D32)</f>
        <v>0</v>
      </c>
      <c r="G32" s="21">
        <f>SUMIFS(warehouse_shipments!$H:$H,warehouse_shipments!$C:$C,"&gt;="&amp;A32,warehouse_shipments!$C:$C,"&lt;"&amp;DATE(YEAR(A32),MONTH(A32)+1,1),warehouse_shipments!$P:$P,B32,warehouse_shipments!$Q:$Q,C32,warehouse_shipments!$R:$R,D32)</f>
        <v>0</v>
      </c>
      <c r="H32" s="22">
        <f t="shared" si="1"/>
        <v>-147</v>
      </c>
      <c r="I32" s="64">
        <f t="shared" si="2"/>
        <v>0</v>
      </c>
      <c r="J32" s="22" t="s">
        <v>5307</v>
      </c>
    </row>
    <row r="33" ht="15.75" customHeight="1">
      <c r="A33" s="26">
        <v>46023.0</v>
      </c>
      <c r="B33" s="25" t="s">
        <v>3934</v>
      </c>
      <c r="C33" s="25" t="s">
        <v>63</v>
      </c>
      <c r="D33" s="25" t="s">
        <v>78</v>
      </c>
      <c r="E33" s="29">
        <v>229.0</v>
      </c>
      <c r="F33" s="29">
        <f>SUMIFS(crm_orders!$J:$J,crm_orders!$B:$B,"&gt;="&amp;A33,crm_orders!$B:$B,"&lt;"&amp;DATE(YEAR(A33),MONTH(A33)+1,1),crm_orders!$E:$E,B33,crm_orders!$G:$G,C33,crm_orders!$H:$H,D33)</f>
        <v>18</v>
      </c>
      <c r="G33" s="29">
        <f>SUMIFS(warehouse_shipments!$H:$H,warehouse_shipments!$C:$C,"&gt;="&amp;A33,warehouse_shipments!$C:$C,"&lt;"&amp;DATE(YEAR(A33),MONTH(A33)+1,1),warehouse_shipments!$P:$P,B33,warehouse_shipments!$Q:$Q,C33,warehouse_shipments!$R:$R,D33)</f>
        <v>0</v>
      </c>
      <c r="H33" s="30">
        <f t="shared" si="1"/>
        <v>-211</v>
      </c>
      <c r="I33" s="65">
        <f t="shared" si="2"/>
        <v>0.07860262009</v>
      </c>
      <c r="J33" s="30" t="s">
        <v>5309</v>
      </c>
    </row>
    <row r="34" ht="15.75" customHeight="1">
      <c r="A34" s="18">
        <v>46023.0</v>
      </c>
      <c r="B34" s="17" t="s">
        <v>3934</v>
      </c>
      <c r="C34" s="17" t="s">
        <v>67</v>
      </c>
      <c r="D34" s="17" t="s">
        <v>81</v>
      </c>
      <c r="E34" s="21">
        <v>251.0</v>
      </c>
      <c r="F34" s="21">
        <f>SUMIFS(crm_orders!$J:$J,crm_orders!$B:$B,"&gt;="&amp;A34,crm_orders!$B:$B,"&lt;"&amp;DATE(YEAR(A34),MONTH(A34)+1,1),crm_orders!$E:$E,B34,crm_orders!$G:$G,C34,crm_orders!$H:$H,D34)</f>
        <v>0</v>
      </c>
      <c r="G34" s="21">
        <f>SUMIFS(warehouse_shipments!$H:$H,warehouse_shipments!$C:$C,"&gt;="&amp;A34,warehouse_shipments!$C:$C,"&lt;"&amp;DATE(YEAR(A34),MONTH(A34)+1,1),warehouse_shipments!$P:$P,B34,warehouse_shipments!$Q:$Q,C34,warehouse_shipments!$R:$R,D34)</f>
        <v>0</v>
      </c>
      <c r="H34" s="22">
        <f t="shared" si="1"/>
        <v>-251</v>
      </c>
      <c r="I34" s="64">
        <f t="shared" si="2"/>
        <v>0</v>
      </c>
      <c r="J34" s="22" t="s">
        <v>5308</v>
      </c>
    </row>
    <row r="35" ht="15.75" customHeight="1">
      <c r="A35" s="26">
        <v>46023.0</v>
      </c>
      <c r="B35" s="25" t="s">
        <v>3934</v>
      </c>
      <c r="C35" s="25" t="s">
        <v>67</v>
      </c>
      <c r="D35" s="25" t="s">
        <v>74</v>
      </c>
      <c r="E35" s="29">
        <v>385.0</v>
      </c>
      <c r="F35" s="29">
        <f>SUMIFS(crm_orders!$J:$J,crm_orders!$B:$B,"&gt;="&amp;A35,crm_orders!$B:$B,"&lt;"&amp;DATE(YEAR(A35),MONTH(A35)+1,1),crm_orders!$E:$E,B35,crm_orders!$G:$G,C35,crm_orders!$H:$H,D35)</f>
        <v>18</v>
      </c>
      <c r="G35" s="29">
        <f>SUMIFS(warehouse_shipments!$H:$H,warehouse_shipments!$C:$C,"&gt;="&amp;A35,warehouse_shipments!$C:$C,"&lt;"&amp;DATE(YEAR(A35),MONTH(A35)+1,1),warehouse_shipments!$P:$P,B35,warehouse_shipments!$Q:$Q,C35,warehouse_shipments!$R:$R,D35)</f>
        <v>0</v>
      </c>
      <c r="H35" s="30">
        <f t="shared" si="1"/>
        <v>-367</v>
      </c>
      <c r="I35" s="65">
        <f t="shared" si="2"/>
        <v>0.04675324675</v>
      </c>
      <c r="J35" s="30" t="s">
        <v>5307</v>
      </c>
    </row>
    <row r="36" ht="15.75" customHeight="1">
      <c r="A36" s="18">
        <v>46023.0</v>
      </c>
      <c r="B36" s="17" t="s">
        <v>3934</v>
      </c>
      <c r="C36" s="17" t="s">
        <v>67</v>
      </c>
      <c r="D36" s="17" t="s">
        <v>64</v>
      </c>
      <c r="E36" s="21">
        <v>286.0</v>
      </c>
      <c r="F36" s="21">
        <f>SUMIFS(crm_orders!$J:$J,crm_orders!$B:$B,"&gt;="&amp;A36,crm_orders!$B:$B,"&lt;"&amp;DATE(YEAR(A36),MONTH(A36)+1,1),crm_orders!$E:$E,B36,crm_orders!$G:$G,C36,crm_orders!$H:$H,D36)</f>
        <v>0</v>
      </c>
      <c r="G36" s="21">
        <f>SUMIFS(warehouse_shipments!$H:$H,warehouse_shipments!$C:$C,"&gt;="&amp;A36,warehouse_shipments!$C:$C,"&lt;"&amp;DATE(YEAR(A36),MONTH(A36)+1,1),warehouse_shipments!$P:$P,B36,warehouse_shipments!$Q:$Q,C36,warehouse_shipments!$R:$R,D36)</f>
        <v>0</v>
      </c>
      <c r="H36" s="22">
        <f t="shared" si="1"/>
        <v>-286</v>
      </c>
      <c r="I36" s="64">
        <f t="shared" si="2"/>
        <v>0</v>
      </c>
      <c r="J36" s="22" t="s">
        <v>5306</v>
      </c>
    </row>
    <row r="37" ht="15.75" customHeight="1">
      <c r="A37" s="26">
        <v>46023.0</v>
      </c>
      <c r="B37" s="25" t="s">
        <v>3934</v>
      </c>
      <c r="C37" s="25" t="s">
        <v>67</v>
      </c>
      <c r="D37" s="25" t="s">
        <v>71</v>
      </c>
      <c r="E37" s="29">
        <v>483.0</v>
      </c>
      <c r="F37" s="29">
        <f>SUMIFS(crm_orders!$J:$J,crm_orders!$B:$B,"&gt;="&amp;A37,crm_orders!$B:$B,"&lt;"&amp;DATE(YEAR(A37),MONTH(A37)+1,1),crm_orders!$E:$E,B37,crm_orders!$G:$G,C37,crm_orders!$H:$H,D37)</f>
        <v>120</v>
      </c>
      <c r="G37" s="29">
        <f>SUMIFS(warehouse_shipments!$H:$H,warehouse_shipments!$C:$C,"&gt;="&amp;A37,warehouse_shipments!$C:$C,"&lt;"&amp;DATE(YEAR(A37),MONTH(A37)+1,1),warehouse_shipments!$P:$P,B37,warehouse_shipments!$Q:$Q,C37,warehouse_shipments!$R:$R,D37)</f>
        <v>120</v>
      </c>
      <c r="H37" s="30">
        <f t="shared" si="1"/>
        <v>-363</v>
      </c>
      <c r="I37" s="65">
        <f t="shared" si="2"/>
        <v>0.248447205</v>
      </c>
      <c r="J37" s="30" t="s">
        <v>5311</v>
      </c>
    </row>
    <row r="38" ht="15.75" customHeight="1">
      <c r="A38" s="18">
        <v>46023.0</v>
      </c>
      <c r="B38" s="17" t="s">
        <v>3934</v>
      </c>
      <c r="C38" s="17" t="s">
        <v>67</v>
      </c>
      <c r="D38" s="17" t="s">
        <v>123</v>
      </c>
      <c r="E38" s="21">
        <v>136.0</v>
      </c>
      <c r="F38" s="21">
        <f>SUMIFS(crm_orders!$J:$J,crm_orders!$B:$B,"&gt;="&amp;A38,crm_orders!$B:$B,"&lt;"&amp;DATE(YEAR(A38),MONTH(A38)+1,1),crm_orders!$E:$E,B38,crm_orders!$G:$G,C38,crm_orders!$H:$H,D38)</f>
        <v>0</v>
      </c>
      <c r="G38" s="21">
        <f>SUMIFS(warehouse_shipments!$H:$H,warehouse_shipments!$C:$C,"&gt;="&amp;A38,warehouse_shipments!$C:$C,"&lt;"&amp;DATE(YEAR(A38),MONTH(A38)+1,1),warehouse_shipments!$P:$P,B38,warehouse_shipments!$Q:$Q,C38,warehouse_shipments!$R:$R,D38)</f>
        <v>0</v>
      </c>
      <c r="H38" s="22">
        <f t="shared" si="1"/>
        <v>-136</v>
      </c>
      <c r="I38" s="64">
        <f t="shared" si="2"/>
        <v>0</v>
      </c>
      <c r="J38" s="22" t="s">
        <v>5306</v>
      </c>
    </row>
    <row r="39" ht="15.75" customHeight="1">
      <c r="A39" s="26">
        <v>46023.0</v>
      </c>
      <c r="B39" s="25" t="s">
        <v>3934</v>
      </c>
      <c r="C39" s="25" t="s">
        <v>67</v>
      </c>
      <c r="D39" s="25" t="s">
        <v>162</v>
      </c>
      <c r="E39" s="29">
        <v>461.0</v>
      </c>
      <c r="F39" s="29">
        <f>SUMIFS(crm_orders!$J:$J,crm_orders!$B:$B,"&gt;="&amp;A39,crm_orders!$B:$B,"&lt;"&amp;DATE(YEAR(A39),MONTH(A39)+1,1),crm_orders!$E:$E,B39,crm_orders!$G:$G,C39,crm_orders!$H:$H,D39)</f>
        <v>0</v>
      </c>
      <c r="G39" s="29">
        <f>SUMIFS(warehouse_shipments!$H:$H,warehouse_shipments!$C:$C,"&gt;="&amp;A39,warehouse_shipments!$C:$C,"&lt;"&amp;DATE(YEAR(A39),MONTH(A39)+1,1),warehouse_shipments!$P:$P,B39,warehouse_shipments!$Q:$Q,C39,warehouse_shipments!$R:$R,D39)</f>
        <v>0</v>
      </c>
      <c r="H39" s="30">
        <f t="shared" si="1"/>
        <v>-461</v>
      </c>
      <c r="I39" s="65">
        <f t="shared" si="2"/>
        <v>0</v>
      </c>
      <c r="J39" s="30" t="s">
        <v>5311</v>
      </c>
    </row>
    <row r="40" ht="15.75" customHeight="1">
      <c r="A40" s="18">
        <v>46023.0</v>
      </c>
      <c r="B40" s="17" t="s">
        <v>3934</v>
      </c>
      <c r="C40" s="17" t="s">
        <v>67</v>
      </c>
      <c r="D40" s="17" t="s">
        <v>95</v>
      </c>
      <c r="E40" s="21">
        <v>492.0</v>
      </c>
      <c r="F40" s="21">
        <f>SUMIFS(crm_orders!$J:$J,crm_orders!$B:$B,"&gt;="&amp;A40,crm_orders!$B:$B,"&lt;"&amp;DATE(YEAR(A40),MONTH(A40)+1,1),crm_orders!$E:$E,B40,crm_orders!$G:$G,C40,crm_orders!$H:$H,D40)</f>
        <v>0</v>
      </c>
      <c r="G40" s="21">
        <f>SUMIFS(warehouse_shipments!$H:$H,warehouse_shipments!$C:$C,"&gt;="&amp;A40,warehouse_shipments!$C:$C,"&lt;"&amp;DATE(YEAR(A40),MONTH(A40)+1,1),warehouse_shipments!$P:$P,B40,warehouse_shipments!$Q:$Q,C40,warehouse_shipments!$R:$R,D40)</f>
        <v>0</v>
      </c>
      <c r="H40" s="22">
        <f t="shared" si="1"/>
        <v>-492</v>
      </c>
      <c r="I40" s="64">
        <f t="shared" si="2"/>
        <v>0</v>
      </c>
      <c r="J40" s="22" t="s">
        <v>5309</v>
      </c>
    </row>
    <row r="41" ht="15.75" customHeight="1">
      <c r="A41" s="26">
        <v>46023.0</v>
      </c>
      <c r="B41" s="25" t="s">
        <v>3934</v>
      </c>
      <c r="C41" s="25" t="s">
        <v>67</v>
      </c>
      <c r="D41" s="25" t="s">
        <v>110</v>
      </c>
      <c r="E41" s="29">
        <v>318.0</v>
      </c>
      <c r="F41" s="29">
        <f>SUMIFS(crm_orders!$J:$J,crm_orders!$B:$B,"&gt;="&amp;A41,crm_orders!$B:$B,"&lt;"&amp;DATE(YEAR(A41),MONTH(A41)+1,1),crm_orders!$E:$E,B41,crm_orders!$G:$G,C41,crm_orders!$H:$H,D41)</f>
        <v>0</v>
      </c>
      <c r="G41" s="29">
        <f>SUMIFS(warehouse_shipments!$H:$H,warehouse_shipments!$C:$C,"&gt;="&amp;A41,warehouse_shipments!$C:$C,"&lt;"&amp;DATE(YEAR(A41),MONTH(A41)+1,1),warehouse_shipments!$P:$P,B41,warehouse_shipments!$Q:$Q,C41,warehouse_shipments!$R:$R,D41)</f>
        <v>0</v>
      </c>
      <c r="H41" s="30">
        <f t="shared" si="1"/>
        <v>-318</v>
      </c>
      <c r="I41" s="65">
        <f t="shared" si="2"/>
        <v>0</v>
      </c>
      <c r="J41" s="30" t="s">
        <v>5308</v>
      </c>
    </row>
    <row r="42" ht="15.75" customHeight="1">
      <c r="A42" s="18">
        <v>46023.0</v>
      </c>
      <c r="B42" s="17" t="s">
        <v>3934</v>
      </c>
      <c r="C42" s="17" t="s">
        <v>89</v>
      </c>
      <c r="D42" s="17" t="s">
        <v>106</v>
      </c>
      <c r="E42" s="21">
        <v>432.0</v>
      </c>
      <c r="F42" s="21">
        <f>SUMIFS(crm_orders!$J:$J,crm_orders!$B:$B,"&gt;="&amp;A42,crm_orders!$B:$B,"&lt;"&amp;DATE(YEAR(A42),MONTH(A42)+1,1),crm_orders!$E:$E,B42,crm_orders!$G:$G,C42,crm_orders!$H:$H,D42)</f>
        <v>0</v>
      </c>
      <c r="G42" s="21">
        <f>SUMIFS(warehouse_shipments!$H:$H,warehouse_shipments!$C:$C,"&gt;="&amp;A42,warehouse_shipments!$C:$C,"&lt;"&amp;DATE(YEAR(A42),MONTH(A42)+1,1),warehouse_shipments!$P:$P,B42,warehouse_shipments!$Q:$Q,C42,warehouse_shipments!$R:$R,D42)</f>
        <v>0</v>
      </c>
      <c r="H42" s="22">
        <f t="shared" si="1"/>
        <v>-432</v>
      </c>
      <c r="I42" s="64">
        <f t="shared" si="2"/>
        <v>0</v>
      </c>
      <c r="J42" s="22" t="s">
        <v>5310</v>
      </c>
    </row>
    <row r="43" ht="15.75" customHeight="1">
      <c r="A43" s="26">
        <v>46023.0</v>
      </c>
      <c r="B43" s="25" t="s">
        <v>3934</v>
      </c>
      <c r="C43" s="25" t="s">
        <v>89</v>
      </c>
      <c r="D43" s="25" t="s">
        <v>190</v>
      </c>
      <c r="E43" s="29">
        <v>132.0</v>
      </c>
      <c r="F43" s="29">
        <f>SUMIFS(crm_orders!$J:$J,crm_orders!$B:$B,"&gt;="&amp;A43,crm_orders!$B:$B,"&lt;"&amp;DATE(YEAR(A43),MONTH(A43)+1,1),crm_orders!$E:$E,B43,crm_orders!$G:$G,C43,crm_orders!$H:$H,D43)</f>
        <v>24</v>
      </c>
      <c r="G43" s="29">
        <f>SUMIFS(warehouse_shipments!$H:$H,warehouse_shipments!$C:$C,"&gt;="&amp;A43,warehouse_shipments!$C:$C,"&lt;"&amp;DATE(YEAR(A43),MONTH(A43)+1,1),warehouse_shipments!$P:$P,B43,warehouse_shipments!$Q:$Q,C43,warehouse_shipments!$R:$R,D43)</f>
        <v>0</v>
      </c>
      <c r="H43" s="30">
        <f t="shared" si="1"/>
        <v>-108</v>
      </c>
      <c r="I43" s="65">
        <f t="shared" si="2"/>
        <v>0.1818181818</v>
      </c>
      <c r="J43" s="30" t="s">
        <v>5308</v>
      </c>
    </row>
    <row r="44" ht="15.75" customHeight="1">
      <c r="A44" s="18">
        <v>46023.0</v>
      </c>
      <c r="B44" s="17" t="s">
        <v>3934</v>
      </c>
      <c r="C44" s="17" t="s">
        <v>89</v>
      </c>
      <c r="D44" s="17" t="s">
        <v>90</v>
      </c>
      <c r="E44" s="21">
        <v>235.0</v>
      </c>
      <c r="F44" s="21">
        <f>SUMIFS(crm_orders!$J:$J,crm_orders!$B:$B,"&gt;="&amp;A44,crm_orders!$B:$B,"&lt;"&amp;DATE(YEAR(A44),MONTH(A44)+1,1),crm_orders!$E:$E,B44,crm_orders!$G:$G,C44,crm_orders!$H:$H,D44)</f>
        <v>72</v>
      </c>
      <c r="G44" s="21">
        <f>SUMIFS(warehouse_shipments!$H:$H,warehouse_shipments!$C:$C,"&gt;="&amp;A44,warehouse_shipments!$C:$C,"&lt;"&amp;DATE(YEAR(A44),MONTH(A44)+1,1),warehouse_shipments!$P:$P,B44,warehouse_shipments!$Q:$Q,C44,warehouse_shipments!$R:$R,D44)</f>
        <v>66</v>
      </c>
      <c r="H44" s="22">
        <f t="shared" si="1"/>
        <v>-163</v>
      </c>
      <c r="I44" s="64">
        <f t="shared" si="2"/>
        <v>0.3063829787</v>
      </c>
      <c r="J44" s="22" t="s">
        <v>5309</v>
      </c>
    </row>
    <row r="45" ht="15.75" customHeight="1">
      <c r="A45" s="26">
        <v>46023.0</v>
      </c>
      <c r="B45" s="25" t="s">
        <v>3934</v>
      </c>
      <c r="C45" s="25" t="s">
        <v>89</v>
      </c>
      <c r="D45" s="25" t="s">
        <v>95</v>
      </c>
      <c r="E45" s="29">
        <v>114.0</v>
      </c>
      <c r="F45" s="29">
        <f>SUMIFS(crm_orders!$J:$J,crm_orders!$B:$B,"&gt;="&amp;A45,crm_orders!$B:$B,"&lt;"&amp;DATE(YEAR(A45),MONTH(A45)+1,1),crm_orders!$E:$E,B45,crm_orders!$G:$G,C45,crm_orders!$H:$H,D45)</f>
        <v>0</v>
      </c>
      <c r="G45" s="29">
        <f>SUMIFS(warehouse_shipments!$H:$H,warehouse_shipments!$C:$C,"&gt;="&amp;A45,warehouse_shipments!$C:$C,"&lt;"&amp;DATE(YEAR(A45),MONTH(A45)+1,1),warehouse_shipments!$P:$P,B45,warehouse_shipments!$Q:$Q,C45,warehouse_shipments!$R:$R,D45)</f>
        <v>0</v>
      </c>
      <c r="H45" s="30">
        <f t="shared" si="1"/>
        <v>-114</v>
      </c>
      <c r="I45" s="65">
        <f t="shared" si="2"/>
        <v>0</v>
      </c>
      <c r="J45" s="30" t="s">
        <v>5310</v>
      </c>
    </row>
    <row r="46" ht="15.75" customHeight="1">
      <c r="A46" s="18">
        <v>46023.0</v>
      </c>
      <c r="B46" s="17" t="s">
        <v>3934</v>
      </c>
      <c r="C46" s="17" t="s">
        <v>89</v>
      </c>
      <c r="D46" s="17" t="s">
        <v>92</v>
      </c>
      <c r="E46" s="21">
        <v>281.0</v>
      </c>
      <c r="F46" s="21">
        <f>SUMIFS(crm_orders!$J:$J,crm_orders!$B:$B,"&gt;="&amp;A46,crm_orders!$B:$B,"&lt;"&amp;DATE(YEAR(A46),MONTH(A46)+1,1),crm_orders!$E:$E,B46,crm_orders!$G:$G,C46,crm_orders!$H:$H,D46)</f>
        <v>0</v>
      </c>
      <c r="G46" s="21">
        <f>SUMIFS(warehouse_shipments!$H:$H,warehouse_shipments!$C:$C,"&gt;="&amp;A46,warehouse_shipments!$C:$C,"&lt;"&amp;DATE(YEAR(A46),MONTH(A46)+1,1),warehouse_shipments!$P:$P,B46,warehouse_shipments!$Q:$Q,C46,warehouse_shipments!$R:$R,D46)</f>
        <v>0</v>
      </c>
      <c r="H46" s="22">
        <f t="shared" si="1"/>
        <v>-281</v>
      </c>
      <c r="I46" s="64">
        <f t="shared" si="2"/>
        <v>0</v>
      </c>
      <c r="J46" s="22" t="s">
        <v>5309</v>
      </c>
    </row>
    <row r="47" ht="15.75" customHeight="1">
      <c r="A47" s="26">
        <v>46023.0</v>
      </c>
      <c r="B47" s="25" t="s">
        <v>3934</v>
      </c>
      <c r="C47" s="25" t="s">
        <v>89</v>
      </c>
      <c r="D47" s="25" t="s">
        <v>68</v>
      </c>
      <c r="E47" s="29">
        <v>487.0</v>
      </c>
      <c r="F47" s="29">
        <f>SUMIFS(crm_orders!$J:$J,crm_orders!$B:$B,"&gt;="&amp;A47,crm_orders!$B:$B,"&lt;"&amp;DATE(YEAR(A47),MONTH(A47)+1,1),crm_orders!$E:$E,B47,crm_orders!$G:$G,C47,crm_orders!$H:$H,D47)</f>
        <v>0</v>
      </c>
      <c r="G47" s="29">
        <f>SUMIFS(warehouse_shipments!$H:$H,warehouse_shipments!$C:$C,"&gt;="&amp;A47,warehouse_shipments!$C:$C,"&lt;"&amp;DATE(YEAR(A47),MONTH(A47)+1,1),warehouse_shipments!$P:$P,B47,warehouse_shipments!$Q:$Q,C47,warehouse_shipments!$R:$R,D47)</f>
        <v>0</v>
      </c>
      <c r="H47" s="30">
        <f t="shared" si="1"/>
        <v>-487</v>
      </c>
      <c r="I47" s="65">
        <f t="shared" si="2"/>
        <v>0</v>
      </c>
      <c r="J47" s="30" t="s">
        <v>5307</v>
      </c>
    </row>
    <row r="48" ht="15.75" customHeight="1">
      <c r="A48" s="18">
        <v>46023.0</v>
      </c>
      <c r="B48" s="17" t="s">
        <v>3934</v>
      </c>
      <c r="C48" s="17" t="s">
        <v>89</v>
      </c>
      <c r="D48" s="17" t="s">
        <v>115</v>
      </c>
      <c r="E48" s="21">
        <v>213.0</v>
      </c>
      <c r="F48" s="21">
        <f>SUMIFS(crm_orders!$J:$J,crm_orders!$B:$B,"&gt;="&amp;A48,crm_orders!$B:$B,"&lt;"&amp;DATE(YEAR(A48),MONTH(A48)+1,1),crm_orders!$E:$E,B48,crm_orders!$G:$G,C48,crm_orders!$H:$H,D48)</f>
        <v>96</v>
      </c>
      <c r="G48" s="21">
        <f>SUMIFS(warehouse_shipments!$H:$H,warehouse_shipments!$C:$C,"&gt;="&amp;A48,warehouse_shipments!$C:$C,"&lt;"&amp;DATE(YEAR(A48),MONTH(A48)+1,1),warehouse_shipments!$P:$P,B48,warehouse_shipments!$Q:$Q,C48,warehouse_shipments!$R:$R,D48)</f>
        <v>96</v>
      </c>
      <c r="H48" s="22">
        <f t="shared" si="1"/>
        <v>-117</v>
      </c>
      <c r="I48" s="64">
        <f t="shared" si="2"/>
        <v>0.4507042254</v>
      </c>
      <c r="J48" s="22" t="s">
        <v>5307</v>
      </c>
    </row>
    <row r="49" ht="15.75" customHeight="1">
      <c r="A49" s="26">
        <v>46023.0</v>
      </c>
      <c r="B49" s="25" t="s">
        <v>3934</v>
      </c>
      <c r="C49" s="25" t="s">
        <v>89</v>
      </c>
      <c r="D49" s="25" t="s">
        <v>123</v>
      </c>
      <c r="E49" s="29">
        <v>223.0</v>
      </c>
      <c r="F49" s="29">
        <f>SUMIFS(crm_orders!$J:$J,crm_orders!$B:$B,"&gt;="&amp;A49,crm_orders!$B:$B,"&lt;"&amp;DATE(YEAR(A49),MONTH(A49)+1,1),crm_orders!$E:$E,B49,crm_orders!$G:$G,C49,crm_orders!$H:$H,D49)</f>
        <v>0</v>
      </c>
      <c r="G49" s="29">
        <f>SUMIFS(warehouse_shipments!$H:$H,warehouse_shipments!$C:$C,"&gt;="&amp;A49,warehouse_shipments!$C:$C,"&lt;"&amp;DATE(YEAR(A49),MONTH(A49)+1,1),warehouse_shipments!$P:$P,B49,warehouse_shipments!$Q:$Q,C49,warehouse_shipments!$R:$R,D49)</f>
        <v>0</v>
      </c>
      <c r="H49" s="30">
        <f t="shared" si="1"/>
        <v>-223</v>
      </c>
      <c r="I49" s="65">
        <f t="shared" si="2"/>
        <v>0</v>
      </c>
      <c r="J49" s="30" t="s">
        <v>5311</v>
      </c>
    </row>
    <row r="50" ht="15.75" customHeight="1">
      <c r="A50" s="18">
        <v>46023.0</v>
      </c>
      <c r="B50" s="17" t="s">
        <v>4020</v>
      </c>
      <c r="C50" s="17" t="s">
        <v>63</v>
      </c>
      <c r="D50" s="17" t="s">
        <v>81</v>
      </c>
      <c r="E50" s="21">
        <v>184.0</v>
      </c>
      <c r="F50" s="21">
        <f>SUMIFS(crm_orders!$J:$J,crm_orders!$B:$B,"&gt;="&amp;A50,crm_orders!$B:$B,"&lt;"&amp;DATE(YEAR(A50),MONTH(A50)+1,1),crm_orders!$E:$E,B50,crm_orders!$G:$G,C50,crm_orders!$H:$H,D50)</f>
        <v>12</v>
      </c>
      <c r="G50" s="21">
        <f>SUMIFS(warehouse_shipments!$H:$H,warehouse_shipments!$C:$C,"&gt;="&amp;A50,warehouse_shipments!$C:$C,"&lt;"&amp;DATE(YEAR(A50),MONTH(A50)+1,1),warehouse_shipments!$P:$P,B50,warehouse_shipments!$Q:$Q,C50,warehouse_shipments!$R:$R,D50)</f>
        <v>12</v>
      </c>
      <c r="H50" s="22">
        <f t="shared" si="1"/>
        <v>-172</v>
      </c>
      <c r="I50" s="64">
        <f t="shared" si="2"/>
        <v>0.0652173913</v>
      </c>
      <c r="J50" s="22" t="s">
        <v>5311</v>
      </c>
    </row>
    <row r="51" ht="15.75" customHeight="1">
      <c r="A51" s="26">
        <v>46023.0</v>
      </c>
      <c r="B51" s="25" t="s">
        <v>4020</v>
      </c>
      <c r="C51" s="25" t="s">
        <v>63</v>
      </c>
      <c r="D51" s="25" t="s">
        <v>115</v>
      </c>
      <c r="E51" s="29">
        <v>340.0</v>
      </c>
      <c r="F51" s="29">
        <f>SUMIFS(crm_orders!$J:$J,crm_orders!$B:$B,"&gt;="&amp;A51,crm_orders!$B:$B,"&lt;"&amp;DATE(YEAR(A51),MONTH(A51)+1,1),crm_orders!$E:$E,B51,crm_orders!$G:$G,C51,crm_orders!$H:$H,D51)</f>
        <v>0</v>
      </c>
      <c r="G51" s="29">
        <f>SUMIFS(warehouse_shipments!$H:$H,warehouse_shipments!$C:$C,"&gt;="&amp;A51,warehouse_shipments!$C:$C,"&lt;"&amp;DATE(YEAR(A51),MONTH(A51)+1,1),warehouse_shipments!$P:$P,B51,warehouse_shipments!$Q:$Q,C51,warehouse_shipments!$R:$R,D51)</f>
        <v>0</v>
      </c>
      <c r="H51" s="30">
        <f t="shared" si="1"/>
        <v>-340</v>
      </c>
      <c r="I51" s="65">
        <f t="shared" si="2"/>
        <v>0</v>
      </c>
      <c r="J51" s="30" t="s">
        <v>5307</v>
      </c>
    </row>
    <row r="52" ht="15.75" customHeight="1">
      <c r="A52" s="18">
        <v>46023.0</v>
      </c>
      <c r="B52" s="17" t="s">
        <v>4020</v>
      </c>
      <c r="C52" s="17" t="s">
        <v>63</v>
      </c>
      <c r="D52" s="17" t="s">
        <v>64</v>
      </c>
      <c r="E52" s="21">
        <v>366.0</v>
      </c>
      <c r="F52" s="21">
        <f>SUMIFS(crm_orders!$J:$J,crm_orders!$B:$B,"&gt;="&amp;A52,crm_orders!$B:$B,"&lt;"&amp;DATE(YEAR(A52),MONTH(A52)+1,1),crm_orders!$E:$E,B52,crm_orders!$G:$G,C52,crm_orders!$H:$H,D52)</f>
        <v>30</v>
      </c>
      <c r="G52" s="21">
        <f>SUMIFS(warehouse_shipments!$H:$H,warehouse_shipments!$C:$C,"&gt;="&amp;A52,warehouse_shipments!$C:$C,"&lt;"&amp;DATE(YEAR(A52),MONTH(A52)+1,1),warehouse_shipments!$P:$P,B52,warehouse_shipments!$Q:$Q,C52,warehouse_shipments!$R:$R,D52)</f>
        <v>30</v>
      </c>
      <c r="H52" s="22">
        <f t="shared" si="1"/>
        <v>-336</v>
      </c>
      <c r="I52" s="64">
        <f t="shared" si="2"/>
        <v>0.08196721311</v>
      </c>
      <c r="J52" s="22" t="s">
        <v>5311</v>
      </c>
    </row>
    <row r="53" ht="15.75" customHeight="1">
      <c r="A53" s="26">
        <v>46023.0</v>
      </c>
      <c r="B53" s="25" t="s">
        <v>4020</v>
      </c>
      <c r="C53" s="25" t="s">
        <v>63</v>
      </c>
      <c r="D53" s="25" t="s">
        <v>95</v>
      </c>
      <c r="E53" s="29">
        <v>223.0</v>
      </c>
      <c r="F53" s="29">
        <f>SUMIFS(crm_orders!$J:$J,crm_orders!$B:$B,"&gt;="&amp;A53,crm_orders!$B:$B,"&lt;"&amp;DATE(YEAR(A53),MONTH(A53)+1,1),crm_orders!$E:$E,B53,crm_orders!$G:$G,C53,crm_orders!$H:$H,D53)</f>
        <v>0</v>
      </c>
      <c r="G53" s="29">
        <f>SUMIFS(warehouse_shipments!$H:$H,warehouse_shipments!$C:$C,"&gt;="&amp;A53,warehouse_shipments!$C:$C,"&lt;"&amp;DATE(YEAR(A53),MONTH(A53)+1,1),warehouse_shipments!$P:$P,B53,warehouse_shipments!$Q:$Q,C53,warehouse_shipments!$R:$R,D53)</f>
        <v>0</v>
      </c>
      <c r="H53" s="30">
        <f t="shared" si="1"/>
        <v>-223</v>
      </c>
      <c r="I53" s="65">
        <f t="shared" si="2"/>
        <v>0</v>
      </c>
      <c r="J53" s="30" t="s">
        <v>5308</v>
      </c>
    </row>
    <row r="54" ht="15.75" customHeight="1">
      <c r="A54" s="18">
        <v>46023.0</v>
      </c>
      <c r="B54" s="17" t="s">
        <v>4020</v>
      </c>
      <c r="C54" s="17" t="s">
        <v>63</v>
      </c>
      <c r="D54" s="17" t="s">
        <v>74</v>
      </c>
      <c r="E54" s="21">
        <v>255.0</v>
      </c>
      <c r="F54" s="21">
        <f>SUMIFS(crm_orders!$J:$J,crm_orders!$B:$B,"&gt;="&amp;A54,crm_orders!$B:$B,"&lt;"&amp;DATE(YEAR(A54),MONTH(A54)+1,1),crm_orders!$E:$E,B54,crm_orders!$G:$G,C54,crm_orders!$H:$H,D54)</f>
        <v>96</v>
      </c>
      <c r="G54" s="21">
        <f>SUMIFS(warehouse_shipments!$H:$H,warehouse_shipments!$C:$C,"&gt;="&amp;A54,warehouse_shipments!$C:$C,"&lt;"&amp;DATE(YEAR(A54),MONTH(A54)+1,1),warehouse_shipments!$P:$P,B54,warehouse_shipments!$Q:$Q,C54,warehouse_shipments!$R:$R,D54)</f>
        <v>0</v>
      </c>
      <c r="H54" s="22">
        <f t="shared" si="1"/>
        <v>-159</v>
      </c>
      <c r="I54" s="64">
        <f t="shared" si="2"/>
        <v>0.3764705882</v>
      </c>
      <c r="J54" s="22" t="s">
        <v>5308</v>
      </c>
    </row>
    <row r="55" ht="15.75" customHeight="1">
      <c r="A55" s="26">
        <v>46023.0</v>
      </c>
      <c r="B55" s="25" t="s">
        <v>4020</v>
      </c>
      <c r="C55" s="25" t="s">
        <v>63</v>
      </c>
      <c r="D55" s="25" t="s">
        <v>110</v>
      </c>
      <c r="E55" s="29">
        <v>341.0</v>
      </c>
      <c r="F55" s="29">
        <f>SUMIFS(crm_orders!$J:$J,crm_orders!$B:$B,"&gt;="&amp;A55,crm_orders!$B:$B,"&lt;"&amp;DATE(YEAR(A55),MONTH(A55)+1,1),crm_orders!$E:$E,B55,crm_orders!$G:$G,C55,crm_orders!$H:$H,D55)</f>
        <v>138</v>
      </c>
      <c r="G55" s="29">
        <f>SUMIFS(warehouse_shipments!$H:$H,warehouse_shipments!$C:$C,"&gt;="&amp;A55,warehouse_shipments!$C:$C,"&lt;"&amp;DATE(YEAR(A55),MONTH(A55)+1,1),warehouse_shipments!$P:$P,B55,warehouse_shipments!$Q:$Q,C55,warehouse_shipments!$R:$R,D55)</f>
        <v>120</v>
      </c>
      <c r="H55" s="30">
        <f t="shared" si="1"/>
        <v>-203</v>
      </c>
      <c r="I55" s="65">
        <f t="shared" si="2"/>
        <v>0.4046920821</v>
      </c>
      <c r="J55" s="30" t="s">
        <v>5306</v>
      </c>
    </row>
    <row r="56" ht="15.75" customHeight="1">
      <c r="A56" s="18">
        <v>46023.0</v>
      </c>
      <c r="B56" s="17" t="s">
        <v>4020</v>
      </c>
      <c r="C56" s="17" t="s">
        <v>63</v>
      </c>
      <c r="D56" s="17" t="s">
        <v>90</v>
      </c>
      <c r="E56" s="21">
        <v>134.0</v>
      </c>
      <c r="F56" s="21">
        <f>SUMIFS(crm_orders!$J:$J,crm_orders!$B:$B,"&gt;="&amp;A56,crm_orders!$B:$B,"&lt;"&amp;DATE(YEAR(A56),MONTH(A56)+1,1),crm_orders!$E:$E,B56,crm_orders!$G:$G,C56,crm_orders!$H:$H,D56)</f>
        <v>0</v>
      </c>
      <c r="G56" s="21">
        <f>SUMIFS(warehouse_shipments!$H:$H,warehouse_shipments!$C:$C,"&gt;="&amp;A56,warehouse_shipments!$C:$C,"&lt;"&amp;DATE(YEAR(A56),MONTH(A56)+1,1),warehouse_shipments!$P:$P,B56,warehouse_shipments!$Q:$Q,C56,warehouse_shipments!$R:$R,D56)</f>
        <v>0</v>
      </c>
      <c r="H56" s="22">
        <f t="shared" si="1"/>
        <v>-134</v>
      </c>
      <c r="I56" s="64">
        <f t="shared" si="2"/>
        <v>0</v>
      </c>
      <c r="J56" s="22" t="s">
        <v>5309</v>
      </c>
    </row>
    <row r="57" ht="15.75" customHeight="1">
      <c r="A57" s="26">
        <v>46023.0</v>
      </c>
      <c r="B57" s="25" t="s">
        <v>4020</v>
      </c>
      <c r="C57" s="25" t="s">
        <v>63</v>
      </c>
      <c r="D57" s="25" t="s">
        <v>85</v>
      </c>
      <c r="E57" s="29">
        <v>380.0</v>
      </c>
      <c r="F57" s="29">
        <f>SUMIFS(crm_orders!$J:$J,crm_orders!$B:$B,"&gt;="&amp;A57,crm_orders!$B:$B,"&lt;"&amp;DATE(YEAR(A57),MONTH(A57)+1,1),crm_orders!$E:$E,B57,crm_orders!$G:$G,C57,crm_orders!$H:$H,D57)</f>
        <v>18</v>
      </c>
      <c r="G57" s="29">
        <f>SUMIFS(warehouse_shipments!$H:$H,warehouse_shipments!$C:$C,"&gt;="&amp;A57,warehouse_shipments!$C:$C,"&lt;"&amp;DATE(YEAR(A57),MONTH(A57)+1,1),warehouse_shipments!$P:$P,B57,warehouse_shipments!$Q:$Q,C57,warehouse_shipments!$R:$R,D57)</f>
        <v>18</v>
      </c>
      <c r="H57" s="30">
        <f t="shared" si="1"/>
        <v>-362</v>
      </c>
      <c r="I57" s="65">
        <f t="shared" si="2"/>
        <v>0.04736842105</v>
      </c>
      <c r="J57" s="30" t="s">
        <v>5310</v>
      </c>
    </row>
    <row r="58" ht="15.75" customHeight="1">
      <c r="A58" s="18">
        <v>46023.0</v>
      </c>
      <c r="B58" s="17" t="s">
        <v>4020</v>
      </c>
      <c r="C58" s="17" t="s">
        <v>67</v>
      </c>
      <c r="D58" s="17" t="s">
        <v>90</v>
      </c>
      <c r="E58" s="21">
        <v>219.0</v>
      </c>
      <c r="F58" s="21">
        <f>SUMIFS(crm_orders!$J:$J,crm_orders!$B:$B,"&gt;="&amp;A58,crm_orders!$B:$B,"&lt;"&amp;DATE(YEAR(A58),MONTH(A58)+1,1),crm_orders!$E:$E,B58,crm_orders!$G:$G,C58,crm_orders!$H:$H,D58)</f>
        <v>0</v>
      </c>
      <c r="G58" s="21">
        <f>SUMIFS(warehouse_shipments!$H:$H,warehouse_shipments!$C:$C,"&gt;="&amp;A58,warehouse_shipments!$C:$C,"&lt;"&amp;DATE(YEAR(A58),MONTH(A58)+1,1),warehouse_shipments!$P:$P,B58,warehouse_shipments!$Q:$Q,C58,warehouse_shipments!$R:$R,D58)</f>
        <v>0</v>
      </c>
      <c r="H58" s="22">
        <f t="shared" si="1"/>
        <v>-219</v>
      </c>
      <c r="I58" s="64">
        <f t="shared" si="2"/>
        <v>0</v>
      </c>
      <c r="J58" s="22" t="s">
        <v>5309</v>
      </c>
    </row>
    <row r="59" ht="15.75" customHeight="1">
      <c r="A59" s="26">
        <v>46023.0</v>
      </c>
      <c r="B59" s="25" t="s">
        <v>4020</v>
      </c>
      <c r="C59" s="25" t="s">
        <v>67</v>
      </c>
      <c r="D59" s="25" t="s">
        <v>102</v>
      </c>
      <c r="E59" s="29">
        <v>244.0</v>
      </c>
      <c r="F59" s="29">
        <f>SUMIFS(crm_orders!$J:$J,crm_orders!$B:$B,"&gt;="&amp;A59,crm_orders!$B:$B,"&lt;"&amp;DATE(YEAR(A59),MONTH(A59)+1,1),crm_orders!$E:$E,B59,crm_orders!$G:$G,C59,crm_orders!$H:$H,D59)</f>
        <v>0</v>
      </c>
      <c r="G59" s="29">
        <f>SUMIFS(warehouse_shipments!$H:$H,warehouse_shipments!$C:$C,"&gt;="&amp;A59,warehouse_shipments!$C:$C,"&lt;"&amp;DATE(YEAR(A59),MONTH(A59)+1,1),warehouse_shipments!$P:$P,B59,warehouse_shipments!$Q:$Q,C59,warehouse_shipments!$R:$R,D59)</f>
        <v>0</v>
      </c>
      <c r="H59" s="30">
        <f t="shared" si="1"/>
        <v>-244</v>
      </c>
      <c r="I59" s="65">
        <f t="shared" si="2"/>
        <v>0</v>
      </c>
      <c r="J59" s="30" t="s">
        <v>5311</v>
      </c>
    </row>
    <row r="60" ht="15.75" customHeight="1">
      <c r="A60" s="18">
        <v>46023.0</v>
      </c>
      <c r="B60" s="17" t="s">
        <v>4020</v>
      </c>
      <c r="C60" s="17" t="s">
        <v>67</v>
      </c>
      <c r="D60" s="17" t="s">
        <v>81</v>
      </c>
      <c r="E60" s="21">
        <v>202.0</v>
      </c>
      <c r="F60" s="21">
        <f>SUMIFS(crm_orders!$J:$J,crm_orders!$B:$B,"&gt;="&amp;A60,crm_orders!$B:$B,"&lt;"&amp;DATE(YEAR(A60),MONTH(A60)+1,1),crm_orders!$E:$E,B60,crm_orders!$G:$G,C60,crm_orders!$H:$H,D60)</f>
        <v>0</v>
      </c>
      <c r="G60" s="21">
        <f>SUMIFS(warehouse_shipments!$H:$H,warehouse_shipments!$C:$C,"&gt;="&amp;A60,warehouse_shipments!$C:$C,"&lt;"&amp;DATE(YEAR(A60),MONTH(A60)+1,1),warehouse_shipments!$P:$P,B60,warehouse_shipments!$Q:$Q,C60,warehouse_shipments!$R:$R,D60)</f>
        <v>0</v>
      </c>
      <c r="H60" s="22">
        <f t="shared" si="1"/>
        <v>-202</v>
      </c>
      <c r="I60" s="64">
        <f t="shared" si="2"/>
        <v>0</v>
      </c>
      <c r="J60" s="22" t="s">
        <v>5310</v>
      </c>
    </row>
    <row r="61" ht="15.75" customHeight="1">
      <c r="A61" s="26">
        <v>46023.0</v>
      </c>
      <c r="B61" s="25" t="s">
        <v>4020</v>
      </c>
      <c r="C61" s="25" t="s">
        <v>67</v>
      </c>
      <c r="D61" s="25" t="s">
        <v>71</v>
      </c>
      <c r="E61" s="29">
        <v>361.0</v>
      </c>
      <c r="F61" s="29">
        <f>SUMIFS(crm_orders!$J:$J,crm_orders!$B:$B,"&gt;="&amp;A61,crm_orders!$B:$B,"&lt;"&amp;DATE(YEAR(A61),MONTH(A61)+1,1),crm_orders!$E:$E,B61,crm_orders!$G:$G,C61,crm_orders!$H:$H,D61)</f>
        <v>0</v>
      </c>
      <c r="G61" s="29">
        <f>SUMIFS(warehouse_shipments!$H:$H,warehouse_shipments!$C:$C,"&gt;="&amp;A61,warehouse_shipments!$C:$C,"&lt;"&amp;DATE(YEAR(A61),MONTH(A61)+1,1),warehouse_shipments!$P:$P,B61,warehouse_shipments!$Q:$Q,C61,warehouse_shipments!$R:$R,D61)</f>
        <v>0</v>
      </c>
      <c r="H61" s="30">
        <f t="shared" si="1"/>
        <v>-361</v>
      </c>
      <c r="I61" s="65">
        <f t="shared" si="2"/>
        <v>0</v>
      </c>
      <c r="J61" s="30" t="s">
        <v>5310</v>
      </c>
    </row>
    <row r="62" ht="15.75" customHeight="1">
      <c r="A62" s="18">
        <v>46023.0</v>
      </c>
      <c r="B62" s="17" t="s">
        <v>4020</v>
      </c>
      <c r="C62" s="17" t="s">
        <v>67</v>
      </c>
      <c r="D62" s="17" t="s">
        <v>64</v>
      </c>
      <c r="E62" s="21">
        <v>461.0</v>
      </c>
      <c r="F62" s="21">
        <f>SUMIFS(crm_orders!$J:$J,crm_orders!$B:$B,"&gt;="&amp;A62,crm_orders!$B:$B,"&lt;"&amp;DATE(YEAR(A62),MONTH(A62)+1,1),crm_orders!$E:$E,B62,crm_orders!$G:$G,C62,crm_orders!$H:$H,D62)</f>
        <v>0</v>
      </c>
      <c r="G62" s="21">
        <f>SUMIFS(warehouse_shipments!$H:$H,warehouse_shipments!$C:$C,"&gt;="&amp;A62,warehouse_shipments!$C:$C,"&lt;"&amp;DATE(YEAR(A62),MONTH(A62)+1,1),warehouse_shipments!$P:$P,B62,warehouse_shipments!$Q:$Q,C62,warehouse_shipments!$R:$R,D62)</f>
        <v>0</v>
      </c>
      <c r="H62" s="22">
        <f t="shared" si="1"/>
        <v>-461</v>
      </c>
      <c r="I62" s="64">
        <f t="shared" si="2"/>
        <v>0</v>
      </c>
      <c r="J62" s="22" t="s">
        <v>5307</v>
      </c>
    </row>
    <row r="63" ht="15.75" customHeight="1">
      <c r="A63" s="26">
        <v>46023.0</v>
      </c>
      <c r="B63" s="25" t="s">
        <v>4020</v>
      </c>
      <c r="C63" s="25" t="s">
        <v>67</v>
      </c>
      <c r="D63" s="25" t="s">
        <v>95</v>
      </c>
      <c r="E63" s="29">
        <v>414.0</v>
      </c>
      <c r="F63" s="29">
        <f>SUMIFS(crm_orders!$J:$J,crm_orders!$B:$B,"&gt;="&amp;A63,crm_orders!$B:$B,"&lt;"&amp;DATE(YEAR(A63),MONTH(A63)+1,1),crm_orders!$E:$E,B63,crm_orders!$G:$G,C63,crm_orders!$H:$H,D63)</f>
        <v>0</v>
      </c>
      <c r="G63" s="29">
        <f>SUMIFS(warehouse_shipments!$H:$H,warehouse_shipments!$C:$C,"&gt;="&amp;A63,warehouse_shipments!$C:$C,"&lt;"&amp;DATE(YEAR(A63),MONTH(A63)+1,1),warehouse_shipments!$P:$P,B63,warehouse_shipments!$Q:$Q,C63,warehouse_shipments!$R:$R,D63)</f>
        <v>0</v>
      </c>
      <c r="H63" s="30">
        <f t="shared" si="1"/>
        <v>-414</v>
      </c>
      <c r="I63" s="65">
        <f t="shared" si="2"/>
        <v>0</v>
      </c>
      <c r="J63" s="30" t="s">
        <v>5306</v>
      </c>
    </row>
    <row r="64" ht="15.75" customHeight="1">
      <c r="A64" s="18">
        <v>46023.0</v>
      </c>
      <c r="B64" s="17" t="s">
        <v>4020</v>
      </c>
      <c r="C64" s="17" t="s">
        <v>67</v>
      </c>
      <c r="D64" s="17" t="s">
        <v>162</v>
      </c>
      <c r="E64" s="21">
        <v>390.0</v>
      </c>
      <c r="F64" s="21">
        <f>SUMIFS(crm_orders!$J:$J,crm_orders!$B:$B,"&gt;="&amp;A64,crm_orders!$B:$B,"&lt;"&amp;DATE(YEAR(A64),MONTH(A64)+1,1),crm_orders!$E:$E,B64,crm_orders!$G:$G,C64,crm_orders!$H:$H,D64)</f>
        <v>0</v>
      </c>
      <c r="G64" s="21">
        <f>SUMIFS(warehouse_shipments!$H:$H,warehouse_shipments!$C:$C,"&gt;="&amp;A64,warehouse_shipments!$C:$C,"&lt;"&amp;DATE(YEAR(A64),MONTH(A64)+1,1),warehouse_shipments!$P:$P,B64,warehouse_shipments!$Q:$Q,C64,warehouse_shipments!$R:$R,D64)</f>
        <v>0</v>
      </c>
      <c r="H64" s="22">
        <f t="shared" si="1"/>
        <v>-390</v>
      </c>
      <c r="I64" s="64">
        <f t="shared" si="2"/>
        <v>0</v>
      </c>
      <c r="J64" s="22" t="s">
        <v>5310</v>
      </c>
    </row>
    <row r="65" ht="15.75" customHeight="1">
      <c r="A65" s="26">
        <v>46023.0</v>
      </c>
      <c r="B65" s="25" t="s">
        <v>4020</v>
      </c>
      <c r="C65" s="25" t="s">
        <v>67</v>
      </c>
      <c r="D65" s="25" t="s">
        <v>106</v>
      </c>
      <c r="E65" s="29">
        <v>241.0</v>
      </c>
      <c r="F65" s="29">
        <f>SUMIFS(crm_orders!$J:$J,crm_orders!$B:$B,"&gt;="&amp;A65,crm_orders!$B:$B,"&lt;"&amp;DATE(YEAR(A65),MONTH(A65)+1,1),crm_orders!$E:$E,B65,crm_orders!$G:$G,C65,crm_orders!$H:$H,D65)</f>
        <v>0</v>
      </c>
      <c r="G65" s="29">
        <f>SUMIFS(warehouse_shipments!$H:$H,warehouse_shipments!$C:$C,"&gt;="&amp;A65,warehouse_shipments!$C:$C,"&lt;"&amp;DATE(YEAR(A65),MONTH(A65)+1,1),warehouse_shipments!$P:$P,B65,warehouse_shipments!$Q:$Q,C65,warehouse_shipments!$R:$R,D65)</f>
        <v>0</v>
      </c>
      <c r="H65" s="30">
        <f t="shared" si="1"/>
        <v>-241</v>
      </c>
      <c r="I65" s="65">
        <f t="shared" si="2"/>
        <v>0</v>
      </c>
      <c r="J65" s="30" t="s">
        <v>5309</v>
      </c>
    </row>
    <row r="66" ht="15.75" customHeight="1">
      <c r="A66" s="18">
        <v>46023.0</v>
      </c>
      <c r="B66" s="17" t="s">
        <v>4020</v>
      </c>
      <c r="C66" s="17" t="s">
        <v>89</v>
      </c>
      <c r="D66" s="17" t="s">
        <v>115</v>
      </c>
      <c r="E66" s="21">
        <v>356.0</v>
      </c>
      <c r="F66" s="21">
        <f>SUMIFS(crm_orders!$J:$J,crm_orders!$B:$B,"&gt;="&amp;A66,crm_orders!$B:$B,"&lt;"&amp;DATE(YEAR(A66),MONTH(A66)+1,1),crm_orders!$E:$E,B66,crm_orders!$G:$G,C66,crm_orders!$H:$H,D66)</f>
        <v>0</v>
      </c>
      <c r="G66" s="21">
        <f>SUMIFS(warehouse_shipments!$H:$H,warehouse_shipments!$C:$C,"&gt;="&amp;A66,warehouse_shipments!$C:$C,"&lt;"&amp;DATE(YEAR(A66),MONTH(A66)+1,1),warehouse_shipments!$P:$P,B66,warehouse_shipments!$Q:$Q,C66,warehouse_shipments!$R:$R,D66)</f>
        <v>0</v>
      </c>
      <c r="H66" s="22">
        <f t="shared" si="1"/>
        <v>-356</v>
      </c>
      <c r="I66" s="64">
        <f t="shared" si="2"/>
        <v>0</v>
      </c>
      <c r="J66" s="22" t="s">
        <v>5311</v>
      </c>
    </row>
    <row r="67" ht="15.75" customHeight="1">
      <c r="A67" s="26">
        <v>46023.0</v>
      </c>
      <c r="B67" s="25" t="s">
        <v>4020</v>
      </c>
      <c r="C67" s="25" t="s">
        <v>89</v>
      </c>
      <c r="D67" s="25" t="s">
        <v>71</v>
      </c>
      <c r="E67" s="29">
        <v>286.0</v>
      </c>
      <c r="F67" s="29">
        <f>SUMIFS(crm_orders!$J:$J,crm_orders!$B:$B,"&gt;="&amp;A67,crm_orders!$B:$B,"&lt;"&amp;DATE(YEAR(A67),MONTH(A67)+1,1),crm_orders!$E:$E,B67,crm_orders!$G:$G,C67,crm_orders!$H:$H,D67)</f>
        <v>0</v>
      </c>
      <c r="G67" s="29">
        <f>SUMIFS(warehouse_shipments!$H:$H,warehouse_shipments!$C:$C,"&gt;="&amp;A67,warehouse_shipments!$C:$C,"&lt;"&amp;DATE(YEAR(A67),MONTH(A67)+1,1),warehouse_shipments!$P:$P,B67,warehouse_shipments!$Q:$Q,C67,warehouse_shipments!$R:$R,D67)</f>
        <v>0</v>
      </c>
      <c r="H67" s="30">
        <f t="shared" si="1"/>
        <v>-286</v>
      </c>
      <c r="I67" s="65">
        <f t="shared" si="2"/>
        <v>0</v>
      </c>
      <c r="J67" s="30" t="s">
        <v>5310</v>
      </c>
    </row>
    <row r="68" ht="15.75" customHeight="1">
      <c r="A68" s="18">
        <v>46023.0</v>
      </c>
      <c r="B68" s="17" t="s">
        <v>4020</v>
      </c>
      <c r="C68" s="17" t="s">
        <v>89</v>
      </c>
      <c r="D68" s="17" t="s">
        <v>74</v>
      </c>
      <c r="E68" s="21">
        <v>313.0</v>
      </c>
      <c r="F68" s="21">
        <f>SUMIFS(crm_orders!$J:$J,crm_orders!$B:$B,"&gt;="&amp;A68,crm_orders!$B:$B,"&lt;"&amp;DATE(YEAR(A68),MONTH(A68)+1,1),crm_orders!$E:$E,B68,crm_orders!$G:$G,C68,crm_orders!$H:$H,D68)</f>
        <v>126</v>
      </c>
      <c r="G68" s="21">
        <f>SUMIFS(warehouse_shipments!$H:$H,warehouse_shipments!$C:$C,"&gt;="&amp;A68,warehouse_shipments!$C:$C,"&lt;"&amp;DATE(YEAR(A68),MONTH(A68)+1,1),warehouse_shipments!$P:$P,B68,warehouse_shipments!$Q:$Q,C68,warehouse_shipments!$R:$R,D68)</f>
        <v>126</v>
      </c>
      <c r="H68" s="22">
        <f t="shared" si="1"/>
        <v>-187</v>
      </c>
      <c r="I68" s="64">
        <f t="shared" si="2"/>
        <v>0.4025559105</v>
      </c>
      <c r="J68" s="22" t="s">
        <v>5306</v>
      </c>
    </row>
    <row r="69" ht="15.75" customHeight="1">
      <c r="A69" s="26">
        <v>46023.0</v>
      </c>
      <c r="B69" s="25" t="s">
        <v>4020</v>
      </c>
      <c r="C69" s="25" t="s">
        <v>89</v>
      </c>
      <c r="D69" s="25" t="s">
        <v>162</v>
      </c>
      <c r="E69" s="29">
        <v>502.0</v>
      </c>
      <c r="F69" s="29">
        <f>SUMIFS(crm_orders!$J:$J,crm_orders!$B:$B,"&gt;="&amp;A69,crm_orders!$B:$B,"&lt;"&amp;DATE(YEAR(A69),MONTH(A69)+1,1),crm_orders!$E:$E,B69,crm_orders!$G:$G,C69,crm_orders!$H:$H,D69)</f>
        <v>0</v>
      </c>
      <c r="G69" s="29">
        <f>SUMIFS(warehouse_shipments!$H:$H,warehouse_shipments!$C:$C,"&gt;="&amp;A69,warehouse_shipments!$C:$C,"&lt;"&amp;DATE(YEAR(A69),MONTH(A69)+1,1),warehouse_shipments!$P:$P,B69,warehouse_shipments!$Q:$Q,C69,warehouse_shipments!$R:$R,D69)</f>
        <v>0</v>
      </c>
      <c r="H69" s="30">
        <f t="shared" si="1"/>
        <v>-502</v>
      </c>
      <c r="I69" s="65">
        <f t="shared" si="2"/>
        <v>0</v>
      </c>
      <c r="J69" s="30" t="s">
        <v>5311</v>
      </c>
    </row>
    <row r="70" ht="15.75" customHeight="1">
      <c r="A70" s="18">
        <v>46023.0</v>
      </c>
      <c r="B70" s="17" t="s">
        <v>4020</v>
      </c>
      <c r="C70" s="17" t="s">
        <v>89</v>
      </c>
      <c r="D70" s="17" t="s">
        <v>95</v>
      </c>
      <c r="E70" s="21">
        <v>82.0</v>
      </c>
      <c r="F70" s="21">
        <f>SUMIFS(crm_orders!$J:$J,crm_orders!$B:$B,"&gt;="&amp;A70,crm_orders!$B:$B,"&lt;"&amp;DATE(YEAR(A70),MONTH(A70)+1,1),crm_orders!$E:$E,B70,crm_orders!$G:$G,C70,crm_orders!$H:$H,D70)</f>
        <v>0</v>
      </c>
      <c r="G70" s="21">
        <f>SUMIFS(warehouse_shipments!$H:$H,warehouse_shipments!$C:$C,"&gt;="&amp;A70,warehouse_shipments!$C:$C,"&lt;"&amp;DATE(YEAR(A70),MONTH(A70)+1,1),warehouse_shipments!$P:$P,B70,warehouse_shipments!$Q:$Q,C70,warehouse_shipments!$R:$R,D70)</f>
        <v>0</v>
      </c>
      <c r="H70" s="22">
        <f t="shared" si="1"/>
        <v>-82</v>
      </c>
      <c r="I70" s="64">
        <f t="shared" si="2"/>
        <v>0</v>
      </c>
      <c r="J70" s="22" t="s">
        <v>5311</v>
      </c>
    </row>
    <row r="71" ht="15.75" customHeight="1">
      <c r="A71" s="26">
        <v>46023.0</v>
      </c>
      <c r="B71" s="25" t="s">
        <v>4020</v>
      </c>
      <c r="C71" s="25" t="s">
        <v>89</v>
      </c>
      <c r="D71" s="25" t="s">
        <v>123</v>
      </c>
      <c r="E71" s="29">
        <v>264.0</v>
      </c>
      <c r="F71" s="29">
        <f>SUMIFS(crm_orders!$J:$J,crm_orders!$B:$B,"&gt;="&amp;A71,crm_orders!$B:$B,"&lt;"&amp;DATE(YEAR(A71),MONTH(A71)+1,1),crm_orders!$E:$E,B71,crm_orders!$G:$G,C71,crm_orders!$H:$H,D71)</f>
        <v>0</v>
      </c>
      <c r="G71" s="29">
        <f>SUMIFS(warehouse_shipments!$H:$H,warehouse_shipments!$C:$C,"&gt;="&amp;A71,warehouse_shipments!$C:$C,"&lt;"&amp;DATE(YEAR(A71),MONTH(A71)+1,1),warehouse_shipments!$P:$P,B71,warehouse_shipments!$Q:$Q,C71,warehouse_shipments!$R:$R,D71)</f>
        <v>0</v>
      </c>
      <c r="H71" s="30">
        <f t="shared" si="1"/>
        <v>-264</v>
      </c>
      <c r="I71" s="65">
        <f t="shared" si="2"/>
        <v>0</v>
      </c>
      <c r="J71" s="30" t="s">
        <v>5310</v>
      </c>
    </row>
    <row r="72" ht="15.75" customHeight="1">
      <c r="A72" s="18">
        <v>46023.0</v>
      </c>
      <c r="B72" s="17" t="s">
        <v>4020</v>
      </c>
      <c r="C72" s="17" t="s">
        <v>89</v>
      </c>
      <c r="D72" s="17" t="s">
        <v>190</v>
      </c>
      <c r="E72" s="21">
        <v>259.0</v>
      </c>
      <c r="F72" s="21">
        <f>SUMIFS(crm_orders!$J:$J,crm_orders!$B:$B,"&gt;="&amp;A72,crm_orders!$B:$B,"&lt;"&amp;DATE(YEAR(A72),MONTH(A72)+1,1),crm_orders!$E:$E,B72,crm_orders!$G:$G,C72,crm_orders!$H:$H,D72)</f>
        <v>0</v>
      </c>
      <c r="G72" s="21">
        <f>SUMIFS(warehouse_shipments!$H:$H,warehouse_shipments!$C:$C,"&gt;="&amp;A72,warehouse_shipments!$C:$C,"&lt;"&amp;DATE(YEAR(A72),MONTH(A72)+1,1),warehouse_shipments!$P:$P,B72,warehouse_shipments!$Q:$Q,C72,warehouse_shipments!$R:$R,D72)</f>
        <v>0</v>
      </c>
      <c r="H72" s="22">
        <f t="shared" si="1"/>
        <v>-259</v>
      </c>
      <c r="I72" s="64">
        <f t="shared" si="2"/>
        <v>0</v>
      </c>
      <c r="J72" s="22" t="s">
        <v>5307</v>
      </c>
    </row>
    <row r="73" ht="15.75" customHeight="1">
      <c r="A73" s="26">
        <v>46023.0</v>
      </c>
      <c r="B73" s="25" t="s">
        <v>4020</v>
      </c>
      <c r="C73" s="25" t="s">
        <v>89</v>
      </c>
      <c r="D73" s="25" t="s">
        <v>92</v>
      </c>
      <c r="E73" s="29">
        <v>435.0</v>
      </c>
      <c r="F73" s="29">
        <f>SUMIFS(crm_orders!$J:$J,crm_orders!$B:$B,"&gt;="&amp;A73,crm_orders!$B:$B,"&lt;"&amp;DATE(YEAR(A73),MONTH(A73)+1,1),crm_orders!$E:$E,B73,crm_orders!$G:$G,C73,crm_orders!$H:$H,D73)</f>
        <v>0</v>
      </c>
      <c r="G73" s="29">
        <f>SUMIFS(warehouse_shipments!$H:$H,warehouse_shipments!$C:$C,"&gt;="&amp;A73,warehouse_shipments!$C:$C,"&lt;"&amp;DATE(YEAR(A73),MONTH(A73)+1,1),warehouse_shipments!$P:$P,B73,warehouse_shipments!$Q:$Q,C73,warehouse_shipments!$R:$R,D73)</f>
        <v>0</v>
      </c>
      <c r="H73" s="30">
        <f t="shared" si="1"/>
        <v>-435</v>
      </c>
      <c r="I73" s="65">
        <f t="shared" si="2"/>
        <v>0</v>
      </c>
      <c r="J73" s="30" t="s">
        <v>5309</v>
      </c>
    </row>
    <row r="74" ht="15.75" customHeight="1">
      <c r="A74" s="18">
        <v>46023.0</v>
      </c>
      <c r="B74" s="17" t="s">
        <v>4097</v>
      </c>
      <c r="C74" s="17" t="s">
        <v>63</v>
      </c>
      <c r="D74" s="17" t="s">
        <v>95</v>
      </c>
      <c r="E74" s="21">
        <v>423.0</v>
      </c>
      <c r="F74" s="21">
        <f>SUMIFS(crm_orders!$J:$J,crm_orders!$B:$B,"&gt;="&amp;A74,crm_orders!$B:$B,"&lt;"&amp;DATE(YEAR(A74),MONTH(A74)+1,1),crm_orders!$E:$E,B74,crm_orders!$G:$G,C74,crm_orders!$H:$H,D74)</f>
        <v>0</v>
      </c>
      <c r="G74" s="21">
        <f>SUMIFS(warehouse_shipments!$H:$H,warehouse_shipments!$C:$C,"&gt;="&amp;A74,warehouse_shipments!$C:$C,"&lt;"&amp;DATE(YEAR(A74),MONTH(A74)+1,1),warehouse_shipments!$P:$P,B74,warehouse_shipments!$Q:$Q,C74,warehouse_shipments!$R:$R,D74)</f>
        <v>0</v>
      </c>
      <c r="H74" s="22">
        <f t="shared" si="1"/>
        <v>-423</v>
      </c>
      <c r="I74" s="64">
        <f t="shared" si="2"/>
        <v>0</v>
      </c>
      <c r="J74" s="22" t="s">
        <v>5311</v>
      </c>
    </row>
    <row r="75" ht="15.75" customHeight="1">
      <c r="A75" s="26">
        <v>46023.0</v>
      </c>
      <c r="B75" s="25" t="s">
        <v>4097</v>
      </c>
      <c r="C75" s="25" t="s">
        <v>63</v>
      </c>
      <c r="D75" s="25" t="s">
        <v>90</v>
      </c>
      <c r="E75" s="29">
        <v>463.0</v>
      </c>
      <c r="F75" s="29">
        <f>SUMIFS(crm_orders!$J:$J,crm_orders!$B:$B,"&gt;="&amp;A75,crm_orders!$B:$B,"&lt;"&amp;DATE(YEAR(A75),MONTH(A75)+1,1),crm_orders!$E:$E,B75,crm_orders!$G:$G,C75,crm_orders!$H:$H,D75)</f>
        <v>60</v>
      </c>
      <c r="G75" s="29">
        <f>SUMIFS(warehouse_shipments!$H:$H,warehouse_shipments!$C:$C,"&gt;="&amp;A75,warehouse_shipments!$C:$C,"&lt;"&amp;DATE(YEAR(A75),MONTH(A75)+1,1),warehouse_shipments!$P:$P,B75,warehouse_shipments!$Q:$Q,C75,warehouse_shipments!$R:$R,D75)</f>
        <v>42</v>
      </c>
      <c r="H75" s="30">
        <f t="shared" si="1"/>
        <v>-403</v>
      </c>
      <c r="I75" s="65">
        <f t="shared" si="2"/>
        <v>0.1295896328</v>
      </c>
      <c r="J75" s="30" t="s">
        <v>5306</v>
      </c>
    </row>
    <row r="76" ht="15.75" customHeight="1">
      <c r="A76" s="18">
        <v>46023.0</v>
      </c>
      <c r="B76" s="17" t="s">
        <v>4097</v>
      </c>
      <c r="C76" s="17" t="s">
        <v>63</v>
      </c>
      <c r="D76" s="17" t="s">
        <v>68</v>
      </c>
      <c r="E76" s="21">
        <v>378.0</v>
      </c>
      <c r="F76" s="21">
        <f>SUMIFS(crm_orders!$J:$J,crm_orders!$B:$B,"&gt;="&amp;A76,crm_orders!$B:$B,"&lt;"&amp;DATE(YEAR(A76),MONTH(A76)+1,1),crm_orders!$E:$E,B76,crm_orders!$G:$G,C76,crm_orders!$H:$H,D76)</f>
        <v>192</v>
      </c>
      <c r="G76" s="21">
        <f>SUMIFS(warehouse_shipments!$H:$H,warehouse_shipments!$C:$C,"&gt;="&amp;A76,warehouse_shipments!$C:$C,"&lt;"&amp;DATE(YEAR(A76),MONTH(A76)+1,1),warehouse_shipments!$P:$P,B76,warehouse_shipments!$Q:$Q,C76,warehouse_shipments!$R:$R,D76)</f>
        <v>0</v>
      </c>
      <c r="H76" s="22">
        <f t="shared" si="1"/>
        <v>-186</v>
      </c>
      <c r="I76" s="64">
        <f t="shared" si="2"/>
        <v>0.5079365079</v>
      </c>
      <c r="J76" s="22" t="s">
        <v>5307</v>
      </c>
    </row>
    <row r="77" ht="15.75" customHeight="1">
      <c r="A77" s="26">
        <v>46023.0</v>
      </c>
      <c r="B77" s="25" t="s">
        <v>4097</v>
      </c>
      <c r="C77" s="25" t="s">
        <v>63</v>
      </c>
      <c r="D77" s="25" t="s">
        <v>71</v>
      </c>
      <c r="E77" s="29">
        <v>105.0</v>
      </c>
      <c r="F77" s="29">
        <f>SUMIFS(crm_orders!$J:$J,crm_orders!$B:$B,"&gt;="&amp;A77,crm_orders!$B:$B,"&lt;"&amp;DATE(YEAR(A77),MONTH(A77)+1,1),crm_orders!$E:$E,B77,crm_orders!$G:$G,C77,crm_orders!$H:$H,D77)</f>
        <v>30</v>
      </c>
      <c r="G77" s="29">
        <f>SUMIFS(warehouse_shipments!$H:$H,warehouse_shipments!$C:$C,"&gt;="&amp;A77,warehouse_shipments!$C:$C,"&lt;"&amp;DATE(YEAR(A77),MONTH(A77)+1,1),warehouse_shipments!$P:$P,B77,warehouse_shipments!$Q:$Q,C77,warehouse_shipments!$R:$R,D77)</f>
        <v>30</v>
      </c>
      <c r="H77" s="30">
        <f t="shared" si="1"/>
        <v>-75</v>
      </c>
      <c r="I77" s="65">
        <f t="shared" si="2"/>
        <v>0.2857142857</v>
      </c>
      <c r="J77" s="30" t="s">
        <v>5306</v>
      </c>
    </row>
    <row r="78" ht="15.75" customHeight="1">
      <c r="A78" s="18">
        <v>46023.0</v>
      </c>
      <c r="B78" s="17" t="s">
        <v>4097</v>
      </c>
      <c r="C78" s="17" t="s">
        <v>63</v>
      </c>
      <c r="D78" s="17" t="s">
        <v>154</v>
      </c>
      <c r="E78" s="21">
        <v>348.0</v>
      </c>
      <c r="F78" s="21">
        <f>SUMIFS(crm_orders!$J:$J,crm_orders!$B:$B,"&gt;="&amp;A78,crm_orders!$B:$B,"&lt;"&amp;DATE(YEAR(A78),MONTH(A78)+1,1),crm_orders!$E:$E,B78,crm_orders!$G:$G,C78,crm_orders!$H:$H,D78)</f>
        <v>0</v>
      </c>
      <c r="G78" s="21">
        <f>SUMIFS(warehouse_shipments!$H:$H,warehouse_shipments!$C:$C,"&gt;="&amp;A78,warehouse_shipments!$C:$C,"&lt;"&amp;DATE(YEAR(A78),MONTH(A78)+1,1),warehouse_shipments!$P:$P,B78,warehouse_shipments!$Q:$Q,C78,warehouse_shipments!$R:$R,D78)</f>
        <v>0</v>
      </c>
      <c r="H78" s="22">
        <f t="shared" si="1"/>
        <v>-348</v>
      </c>
      <c r="I78" s="64">
        <f t="shared" si="2"/>
        <v>0</v>
      </c>
      <c r="J78" s="22" t="s">
        <v>5308</v>
      </c>
    </row>
    <row r="79" ht="15.75" customHeight="1">
      <c r="A79" s="26">
        <v>46023.0</v>
      </c>
      <c r="B79" s="25" t="s">
        <v>4097</v>
      </c>
      <c r="C79" s="25" t="s">
        <v>63</v>
      </c>
      <c r="D79" s="25" t="s">
        <v>108</v>
      </c>
      <c r="E79" s="29">
        <v>358.0</v>
      </c>
      <c r="F79" s="29">
        <f>SUMIFS(crm_orders!$J:$J,crm_orders!$B:$B,"&gt;="&amp;A79,crm_orders!$B:$B,"&lt;"&amp;DATE(YEAR(A79),MONTH(A79)+1,1),crm_orders!$E:$E,B79,crm_orders!$G:$G,C79,crm_orders!$H:$H,D79)</f>
        <v>0</v>
      </c>
      <c r="G79" s="29">
        <f>SUMIFS(warehouse_shipments!$H:$H,warehouse_shipments!$C:$C,"&gt;="&amp;A79,warehouse_shipments!$C:$C,"&lt;"&amp;DATE(YEAR(A79),MONTH(A79)+1,1),warehouse_shipments!$P:$P,B79,warehouse_shipments!$Q:$Q,C79,warehouse_shipments!$R:$R,D79)</f>
        <v>0</v>
      </c>
      <c r="H79" s="30">
        <f t="shared" si="1"/>
        <v>-358</v>
      </c>
      <c r="I79" s="65">
        <f t="shared" si="2"/>
        <v>0</v>
      </c>
      <c r="J79" s="30" t="s">
        <v>5306</v>
      </c>
    </row>
    <row r="80" ht="15.75" customHeight="1">
      <c r="A80" s="18">
        <v>46023.0</v>
      </c>
      <c r="B80" s="17" t="s">
        <v>4097</v>
      </c>
      <c r="C80" s="17" t="s">
        <v>63</v>
      </c>
      <c r="D80" s="17" t="s">
        <v>190</v>
      </c>
      <c r="E80" s="21">
        <v>431.0</v>
      </c>
      <c r="F80" s="21">
        <f>SUMIFS(crm_orders!$J:$J,crm_orders!$B:$B,"&gt;="&amp;A80,crm_orders!$B:$B,"&lt;"&amp;DATE(YEAR(A80),MONTH(A80)+1,1),crm_orders!$E:$E,B80,crm_orders!$G:$G,C80,crm_orders!$H:$H,D80)</f>
        <v>0</v>
      </c>
      <c r="G80" s="21">
        <f>SUMIFS(warehouse_shipments!$H:$H,warehouse_shipments!$C:$C,"&gt;="&amp;A80,warehouse_shipments!$C:$C,"&lt;"&amp;DATE(YEAR(A80),MONTH(A80)+1,1),warehouse_shipments!$P:$P,B80,warehouse_shipments!$Q:$Q,C80,warehouse_shipments!$R:$R,D80)</f>
        <v>0</v>
      </c>
      <c r="H80" s="22">
        <f t="shared" si="1"/>
        <v>-431</v>
      </c>
      <c r="I80" s="64">
        <f t="shared" si="2"/>
        <v>0</v>
      </c>
      <c r="J80" s="22" t="s">
        <v>5307</v>
      </c>
    </row>
    <row r="81" ht="15.75" customHeight="1">
      <c r="A81" s="26">
        <v>46023.0</v>
      </c>
      <c r="B81" s="25" t="s">
        <v>4097</v>
      </c>
      <c r="C81" s="25" t="s">
        <v>63</v>
      </c>
      <c r="D81" s="25" t="s">
        <v>123</v>
      </c>
      <c r="E81" s="29">
        <v>170.0</v>
      </c>
      <c r="F81" s="29">
        <f>SUMIFS(crm_orders!$J:$J,crm_orders!$B:$B,"&gt;="&amp;A81,crm_orders!$B:$B,"&lt;"&amp;DATE(YEAR(A81),MONTH(A81)+1,1),crm_orders!$E:$E,B81,crm_orders!$G:$G,C81,crm_orders!$H:$H,D81)</f>
        <v>0</v>
      </c>
      <c r="G81" s="29">
        <f>SUMIFS(warehouse_shipments!$H:$H,warehouse_shipments!$C:$C,"&gt;="&amp;A81,warehouse_shipments!$C:$C,"&lt;"&amp;DATE(YEAR(A81),MONTH(A81)+1,1),warehouse_shipments!$P:$P,B81,warehouse_shipments!$Q:$Q,C81,warehouse_shipments!$R:$R,D81)</f>
        <v>0</v>
      </c>
      <c r="H81" s="30">
        <f t="shared" si="1"/>
        <v>-170</v>
      </c>
      <c r="I81" s="65">
        <f t="shared" si="2"/>
        <v>0</v>
      </c>
      <c r="J81" s="30" t="s">
        <v>5311</v>
      </c>
    </row>
    <row r="82" ht="15.75" customHeight="1">
      <c r="A82" s="18">
        <v>46023.0</v>
      </c>
      <c r="B82" s="17" t="s">
        <v>4097</v>
      </c>
      <c r="C82" s="17" t="s">
        <v>67</v>
      </c>
      <c r="D82" s="17" t="s">
        <v>190</v>
      </c>
      <c r="E82" s="21">
        <v>463.0</v>
      </c>
      <c r="F82" s="21">
        <f>SUMIFS(crm_orders!$J:$J,crm_orders!$B:$B,"&gt;="&amp;A82,crm_orders!$B:$B,"&lt;"&amp;DATE(YEAR(A82),MONTH(A82)+1,1),crm_orders!$E:$E,B82,crm_orders!$G:$G,C82,crm_orders!$H:$H,D82)</f>
        <v>0</v>
      </c>
      <c r="G82" s="21">
        <f>SUMIFS(warehouse_shipments!$H:$H,warehouse_shipments!$C:$C,"&gt;="&amp;A82,warehouse_shipments!$C:$C,"&lt;"&amp;DATE(YEAR(A82),MONTH(A82)+1,1),warehouse_shipments!$P:$P,B82,warehouse_shipments!$Q:$Q,C82,warehouse_shipments!$R:$R,D82)</f>
        <v>0</v>
      </c>
      <c r="H82" s="22">
        <f t="shared" si="1"/>
        <v>-463</v>
      </c>
      <c r="I82" s="64">
        <f t="shared" si="2"/>
        <v>0</v>
      </c>
      <c r="J82" s="22" t="s">
        <v>5310</v>
      </c>
    </row>
    <row r="83" ht="15.75" customHeight="1">
      <c r="A83" s="26">
        <v>46023.0</v>
      </c>
      <c r="B83" s="25" t="s">
        <v>4097</v>
      </c>
      <c r="C83" s="25" t="s">
        <v>67</v>
      </c>
      <c r="D83" s="25" t="s">
        <v>64</v>
      </c>
      <c r="E83" s="29">
        <v>482.0</v>
      </c>
      <c r="F83" s="29">
        <f>SUMIFS(crm_orders!$J:$J,crm_orders!$B:$B,"&gt;="&amp;A83,crm_orders!$B:$B,"&lt;"&amp;DATE(YEAR(A83),MONTH(A83)+1,1),crm_orders!$E:$E,B83,crm_orders!$G:$G,C83,crm_orders!$H:$H,D83)</f>
        <v>0</v>
      </c>
      <c r="G83" s="29">
        <f>SUMIFS(warehouse_shipments!$H:$H,warehouse_shipments!$C:$C,"&gt;="&amp;A83,warehouse_shipments!$C:$C,"&lt;"&amp;DATE(YEAR(A83),MONTH(A83)+1,1),warehouse_shipments!$P:$P,B83,warehouse_shipments!$Q:$Q,C83,warehouse_shipments!$R:$R,D83)</f>
        <v>0</v>
      </c>
      <c r="H83" s="30">
        <f t="shared" si="1"/>
        <v>-482</v>
      </c>
      <c r="I83" s="65">
        <f t="shared" si="2"/>
        <v>0</v>
      </c>
      <c r="J83" s="30" t="s">
        <v>5310</v>
      </c>
    </row>
    <row r="84" ht="15.75" customHeight="1">
      <c r="A84" s="18">
        <v>46023.0</v>
      </c>
      <c r="B84" s="17" t="s">
        <v>4097</v>
      </c>
      <c r="C84" s="17" t="s">
        <v>67</v>
      </c>
      <c r="D84" s="17" t="s">
        <v>92</v>
      </c>
      <c r="E84" s="21">
        <v>365.0</v>
      </c>
      <c r="F84" s="21">
        <f>SUMIFS(crm_orders!$J:$J,crm_orders!$B:$B,"&gt;="&amp;A84,crm_orders!$B:$B,"&lt;"&amp;DATE(YEAR(A84),MONTH(A84)+1,1),crm_orders!$E:$E,B84,crm_orders!$G:$G,C84,crm_orders!$H:$H,D84)</f>
        <v>0</v>
      </c>
      <c r="G84" s="21">
        <f>SUMIFS(warehouse_shipments!$H:$H,warehouse_shipments!$C:$C,"&gt;="&amp;A84,warehouse_shipments!$C:$C,"&lt;"&amp;DATE(YEAR(A84),MONTH(A84)+1,1),warehouse_shipments!$P:$P,B84,warehouse_shipments!$Q:$Q,C84,warehouse_shipments!$R:$R,D84)</f>
        <v>0</v>
      </c>
      <c r="H84" s="22">
        <f t="shared" si="1"/>
        <v>-365</v>
      </c>
      <c r="I84" s="64">
        <f t="shared" si="2"/>
        <v>0</v>
      </c>
      <c r="J84" s="22" t="s">
        <v>5306</v>
      </c>
    </row>
    <row r="85" ht="15.75" customHeight="1">
      <c r="A85" s="26">
        <v>46023.0</v>
      </c>
      <c r="B85" s="25" t="s">
        <v>4097</v>
      </c>
      <c r="C85" s="25" t="s">
        <v>67</v>
      </c>
      <c r="D85" s="25" t="s">
        <v>68</v>
      </c>
      <c r="E85" s="29">
        <v>290.0</v>
      </c>
      <c r="F85" s="29">
        <f>SUMIFS(crm_orders!$J:$J,crm_orders!$B:$B,"&gt;="&amp;A85,crm_orders!$B:$B,"&lt;"&amp;DATE(YEAR(A85),MONTH(A85)+1,1),crm_orders!$E:$E,B85,crm_orders!$G:$G,C85,crm_orders!$H:$H,D85)</f>
        <v>0</v>
      </c>
      <c r="G85" s="29">
        <f>SUMIFS(warehouse_shipments!$H:$H,warehouse_shipments!$C:$C,"&gt;="&amp;A85,warehouse_shipments!$C:$C,"&lt;"&amp;DATE(YEAR(A85),MONTH(A85)+1,1),warehouse_shipments!$P:$P,B85,warehouse_shipments!$Q:$Q,C85,warehouse_shipments!$R:$R,D85)</f>
        <v>0</v>
      </c>
      <c r="H85" s="30">
        <f t="shared" si="1"/>
        <v>-290</v>
      </c>
      <c r="I85" s="65">
        <f t="shared" si="2"/>
        <v>0</v>
      </c>
      <c r="J85" s="30" t="s">
        <v>5309</v>
      </c>
    </row>
    <row r="86" ht="15.75" customHeight="1">
      <c r="A86" s="18">
        <v>46023.0</v>
      </c>
      <c r="B86" s="17" t="s">
        <v>4097</v>
      </c>
      <c r="C86" s="17" t="s">
        <v>67</v>
      </c>
      <c r="D86" s="17" t="s">
        <v>108</v>
      </c>
      <c r="E86" s="21">
        <v>508.0</v>
      </c>
      <c r="F86" s="21">
        <f>SUMIFS(crm_orders!$J:$J,crm_orders!$B:$B,"&gt;="&amp;A86,crm_orders!$B:$B,"&lt;"&amp;DATE(YEAR(A86),MONTH(A86)+1,1),crm_orders!$E:$E,B86,crm_orders!$G:$G,C86,crm_orders!$H:$H,D86)</f>
        <v>0</v>
      </c>
      <c r="G86" s="21">
        <f>SUMIFS(warehouse_shipments!$H:$H,warehouse_shipments!$C:$C,"&gt;="&amp;A86,warehouse_shipments!$C:$C,"&lt;"&amp;DATE(YEAR(A86),MONTH(A86)+1,1),warehouse_shipments!$P:$P,B86,warehouse_shipments!$Q:$Q,C86,warehouse_shipments!$R:$R,D86)</f>
        <v>0</v>
      </c>
      <c r="H86" s="22">
        <f t="shared" si="1"/>
        <v>-508</v>
      </c>
      <c r="I86" s="64">
        <f t="shared" si="2"/>
        <v>0</v>
      </c>
      <c r="J86" s="22" t="s">
        <v>5306</v>
      </c>
    </row>
    <row r="87" ht="15.75" customHeight="1">
      <c r="A87" s="26">
        <v>46023.0</v>
      </c>
      <c r="B87" s="25" t="s">
        <v>4097</v>
      </c>
      <c r="C87" s="25" t="s">
        <v>67</v>
      </c>
      <c r="D87" s="25" t="s">
        <v>162</v>
      </c>
      <c r="E87" s="29">
        <v>221.0</v>
      </c>
      <c r="F87" s="29">
        <f>SUMIFS(crm_orders!$J:$J,crm_orders!$B:$B,"&gt;="&amp;A87,crm_orders!$B:$B,"&lt;"&amp;DATE(YEAR(A87),MONTH(A87)+1,1),crm_orders!$E:$E,B87,crm_orders!$G:$G,C87,crm_orders!$H:$H,D87)</f>
        <v>0</v>
      </c>
      <c r="G87" s="29">
        <f>SUMIFS(warehouse_shipments!$H:$H,warehouse_shipments!$C:$C,"&gt;="&amp;A87,warehouse_shipments!$C:$C,"&lt;"&amp;DATE(YEAR(A87),MONTH(A87)+1,1),warehouse_shipments!$P:$P,B87,warehouse_shipments!$Q:$Q,C87,warehouse_shipments!$R:$R,D87)</f>
        <v>0</v>
      </c>
      <c r="H87" s="30">
        <f t="shared" si="1"/>
        <v>-221</v>
      </c>
      <c r="I87" s="65">
        <f t="shared" si="2"/>
        <v>0</v>
      </c>
      <c r="J87" s="30" t="s">
        <v>5308</v>
      </c>
    </row>
    <row r="88" ht="15.75" customHeight="1">
      <c r="A88" s="18">
        <v>46023.0</v>
      </c>
      <c r="B88" s="17" t="s">
        <v>4097</v>
      </c>
      <c r="C88" s="17" t="s">
        <v>67</v>
      </c>
      <c r="D88" s="17" t="s">
        <v>156</v>
      </c>
      <c r="E88" s="21">
        <v>244.0</v>
      </c>
      <c r="F88" s="21">
        <f>SUMIFS(crm_orders!$J:$J,crm_orders!$B:$B,"&gt;="&amp;A88,crm_orders!$B:$B,"&lt;"&amp;DATE(YEAR(A88),MONTH(A88)+1,1),crm_orders!$E:$E,B88,crm_orders!$G:$G,C88,crm_orders!$H:$H,D88)</f>
        <v>0</v>
      </c>
      <c r="G88" s="21">
        <f>SUMIFS(warehouse_shipments!$H:$H,warehouse_shipments!$C:$C,"&gt;="&amp;A88,warehouse_shipments!$C:$C,"&lt;"&amp;DATE(YEAR(A88),MONTH(A88)+1,1),warehouse_shipments!$P:$P,B88,warehouse_shipments!$Q:$Q,C88,warehouse_shipments!$R:$R,D88)</f>
        <v>0</v>
      </c>
      <c r="H88" s="22">
        <f t="shared" si="1"/>
        <v>-244</v>
      </c>
      <c r="I88" s="64">
        <f t="shared" si="2"/>
        <v>0</v>
      </c>
      <c r="J88" s="22" t="s">
        <v>5311</v>
      </c>
    </row>
    <row r="89" ht="15.75" customHeight="1">
      <c r="A89" s="26">
        <v>46023.0</v>
      </c>
      <c r="B89" s="25" t="s">
        <v>4097</v>
      </c>
      <c r="C89" s="25" t="s">
        <v>67</v>
      </c>
      <c r="D89" s="25" t="s">
        <v>90</v>
      </c>
      <c r="E89" s="29">
        <v>243.0</v>
      </c>
      <c r="F89" s="29">
        <f>SUMIFS(crm_orders!$J:$J,crm_orders!$B:$B,"&gt;="&amp;A89,crm_orders!$B:$B,"&lt;"&amp;DATE(YEAR(A89),MONTH(A89)+1,1),crm_orders!$E:$E,B89,crm_orders!$G:$G,C89,crm_orders!$H:$H,D89)</f>
        <v>0</v>
      </c>
      <c r="G89" s="29">
        <f>SUMIFS(warehouse_shipments!$H:$H,warehouse_shipments!$C:$C,"&gt;="&amp;A89,warehouse_shipments!$C:$C,"&lt;"&amp;DATE(YEAR(A89),MONTH(A89)+1,1),warehouse_shipments!$P:$P,B89,warehouse_shipments!$Q:$Q,C89,warehouse_shipments!$R:$R,D89)</f>
        <v>0</v>
      </c>
      <c r="H89" s="30">
        <f t="shared" si="1"/>
        <v>-243</v>
      </c>
      <c r="I89" s="65">
        <f t="shared" si="2"/>
        <v>0</v>
      </c>
      <c r="J89" s="30" t="s">
        <v>5307</v>
      </c>
    </row>
    <row r="90" ht="15.75" customHeight="1">
      <c r="A90" s="18">
        <v>46023.0</v>
      </c>
      <c r="B90" s="17" t="s">
        <v>4097</v>
      </c>
      <c r="C90" s="17" t="s">
        <v>89</v>
      </c>
      <c r="D90" s="17" t="s">
        <v>110</v>
      </c>
      <c r="E90" s="21">
        <v>155.0</v>
      </c>
      <c r="F90" s="21">
        <f>SUMIFS(crm_orders!$J:$J,crm_orders!$B:$B,"&gt;="&amp;A90,crm_orders!$B:$B,"&lt;"&amp;DATE(YEAR(A90),MONTH(A90)+1,1),crm_orders!$E:$E,B90,crm_orders!$G:$G,C90,crm_orders!$H:$H,D90)</f>
        <v>0</v>
      </c>
      <c r="G90" s="21">
        <f>SUMIFS(warehouse_shipments!$H:$H,warehouse_shipments!$C:$C,"&gt;="&amp;A90,warehouse_shipments!$C:$C,"&lt;"&amp;DATE(YEAR(A90),MONTH(A90)+1,1),warehouse_shipments!$P:$P,B90,warehouse_shipments!$Q:$Q,C90,warehouse_shipments!$R:$R,D90)</f>
        <v>0</v>
      </c>
      <c r="H90" s="22">
        <f t="shared" si="1"/>
        <v>-155</v>
      </c>
      <c r="I90" s="64">
        <f t="shared" si="2"/>
        <v>0</v>
      </c>
      <c r="J90" s="22" t="s">
        <v>5306</v>
      </c>
    </row>
    <row r="91" ht="15.75" customHeight="1">
      <c r="A91" s="26">
        <v>46023.0</v>
      </c>
      <c r="B91" s="25" t="s">
        <v>4097</v>
      </c>
      <c r="C91" s="25" t="s">
        <v>89</v>
      </c>
      <c r="D91" s="25" t="s">
        <v>71</v>
      </c>
      <c r="E91" s="29">
        <v>226.0</v>
      </c>
      <c r="F91" s="29">
        <f>SUMIFS(crm_orders!$J:$J,crm_orders!$B:$B,"&gt;="&amp;A91,crm_orders!$B:$B,"&lt;"&amp;DATE(YEAR(A91),MONTH(A91)+1,1),crm_orders!$E:$E,B91,crm_orders!$G:$G,C91,crm_orders!$H:$H,D91)</f>
        <v>12</v>
      </c>
      <c r="G91" s="29">
        <f>SUMIFS(warehouse_shipments!$H:$H,warehouse_shipments!$C:$C,"&gt;="&amp;A91,warehouse_shipments!$C:$C,"&lt;"&amp;DATE(YEAR(A91),MONTH(A91)+1,1),warehouse_shipments!$P:$P,B91,warehouse_shipments!$Q:$Q,C91,warehouse_shipments!$R:$R,D91)</f>
        <v>12</v>
      </c>
      <c r="H91" s="30">
        <f t="shared" si="1"/>
        <v>-214</v>
      </c>
      <c r="I91" s="65">
        <f t="shared" si="2"/>
        <v>0.05309734513</v>
      </c>
      <c r="J91" s="30" t="s">
        <v>5309</v>
      </c>
    </row>
    <row r="92" ht="15.75" customHeight="1">
      <c r="A92" s="18">
        <v>46023.0</v>
      </c>
      <c r="B92" s="17" t="s">
        <v>4097</v>
      </c>
      <c r="C92" s="17" t="s">
        <v>89</v>
      </c>
      <c r="D92" s="17" t="s">
        <v>95</v>
      </c>
      <c r="E92" s="21">
        <v>302.0</v>
      </c>
      <c r="F92" s="21">
        <f>SUMIFS(crm_orders!$J:$J,crm_orders!$B:$B,"&gt;="&amp;A92,crm_orders!$B:$B,"&lt;"&amp;DATE(YEAR(A92),MONTH(A92)+1,1),crm_orders!$E:$E,B92,crm_orders!$G:$G,C92,crm_orders!$H:$H,D92)</f>
        <v>0</v>
      </c>
      <c r="G92" s="21">
        <f>SUMIFS(warehouse_shipments!$H:$H,warehouse_shipments!$C:$C,"&gt;="&amp;A92,warehouse_shipments!$C:$C,"&lt;"&amp;DATE(YEAR(A92),MONTH(A92)+1,1),warehouse_shipments!$P:$P,B92,warehouse_shipments!$Q:$Q,C92,warehouse_shipments!$R:$R,D92)</f>
        <v>0</v>
      </c>
      <c r="H92" s="22">
        <f t="shared" si="1"/>
        <v>-302</v>
      </c>
      <c r="I92" s="64">
        <f t="shared" si="2"/>
        <v>0</v>
      </c>
      <c r="J92" s="22" t="s">
        <v>5310</v>
      </c>
    </row>
    <row r="93" ht="15.75" customHeight="1">
      <c r="A93" s="26">
        <v>46023.0</v>
      </c>
      <c r="B93" s="25" t="s">
        <v>4097</v>
      </c>
      <c r="C93" s="25" t="s">
        <v>89</v>
      </c>
      <c r="D93" s="25" t="s">
        <v>85</v>
      </c>
      <c r="E93" s="29">
        <v>514.0</v>
      </c>
      <c r="F93" s="29">
        <f>SUMIFS(crm_orders!$J:$J,crm_orders!$B:$B,"&gt;="&amp;A93,crm_orders!$B:$B,"&lt;"&amp;DATE(YEAR(A93),MONTH(A93)+1,1),crm_orders!$E:$E,B93,crm_orders!$G:$G,C93,crm_orders!$H:$H,D93)</f>
        <v>0</v>
      </c>
      <c r="G93" s="29">
        <f>SUMIFS(warehouse_shipments!$H:$H,warehouse_shipments!$C:$C,"&gt;="&amp;A93,warehouse_shipments!$C:$C,"&lt;"&amp;DATE(YEAR(A93),MONTH(A93)+1,1),warehouse_shipments!$P:$P,B93,warehouse_shipments!$Q:$Q,C93,warehouse_shipments!$R:$R,D93)</f>
        <v>0</v>
      </c>
      <c r="H93" s="30">
        <f t="shared" si="1"/>
        <v>-514</v>
      </c>
      <c r="I93" s="65">
        <f t="shared" si="2"/>
        <v>0</v>
      </c>
      <c r="J93" s="30" t="s">
        <v>5308</v>
      </c>
    </row>
    <row r="94" ht="15.75" customHeight="1">
      <c r="A94" s="18">
        <v>46023.0</v>
      </c>
      <c r="B94" s="17" t="s">
        <v>4097</v>
      </c>
      <c r="C94" s="17" t="s">
        <v>89</v>
      </c>
      <c r="D94" s="17" t="s">
        <v>64</v>
      </c>
      <c r="E94" s="21">
        <v>208.0</v>
      </c>
      <c r="F94" s="21">
        <f>SUMIFS(crm_orders!$J:$J,crm_orders!$B:$B,"&gt;="&amp;A94,crm_orders!$B:$B,"&lt;"&amp;DATE(YEAR(A94),MONTH(A94)+1,1),crm_orders!$E:$E,B94,crm_orders!$G:$G,C94,crm_orders!$H:$H,D94)</f>
        <v>0</v>
      </c>
      <c r="G94" s="21">
        <f>SUMIFS(warehouse_shipments!$H:$H,warehouse_shipments!$C:$C,"&gt;="&amp;A94,warehouse_shipments!$C:$C,"&lt;"&amp;DATE(YEAR(A94),MONTH(A94)+1,1),warehouse_shipments!$P:$P,B94,warehouse_shipments!$Q:$Q,C94,warehouse_shipments!$R:$R,D94)</f>
        <v>0</v>
      </c>
      <c r="H94" s="22">
        <f t="shared" si="1"/>
        <v>-208</v>
      </c>
      <c r="I94" s="64">
        <f t="shared" si="2"/>
        <v>0</v>
      </c>
      <c r="J94" s="22" t="s">
        <v>5306</v>
      </c>
    </row>
    <row r="95" ht="15.75" customHeight="1">
      <c r="A95" s="26">
        <v>46023.0</v>
      </c>
      <c r="B95" s="25" t="s">
        <v>4097</v>
      </c>
      <c r="C95" s="25" t="s">
        <v>89</v>
      </c>
      <c r="D95" s="25" t="s">
        <v>156</v>
      </c>
      <c r="E95" s="29">
        <v>178.0</v>
      </c>
      <c r="F95" s="29">
        <f>SUMIFS(crm_orders!$J:$J,crm_orders!$B:$B,"&gt;="&amp;A95,crm_orders!$B:$B,"&lt;"&amp;DATE(YEAR(A95),MONTH(A95)+1,1),crm_orders!$E:$E,B95,crm_orders!$G:$G,C95,crm_orders!$H:$H,D95)</f>
        <v>0</v>
      </c>
      <c r="G95" s="29">
        <f>SUMIFS(warehouse_shipments!$H:$H,warehouse_shipments!$C:$C,"&gt;="&amp;A95,warehouse_shipments!$C:$C,"&lt;"&amp;DATE(YEAR(A95),MONTH(A95)+1,1),warehouse_shipments!$P:$P,B95,warehouse_shipments!$Q:$Q,C95,warehouse_shipments!$R:$R,D95)</f>
        <v>0</v>
      </c>
      <c r="H95" s="30">
        <f t="shared" si="1"/>
        <v>-178</v>
      </c>
      <c r="I95" s="65">
        <f t="shared" si="2"/>
        <v>0</v>
      </c>
      <c r="J95" s="30" t="s">
        <v>5309</v>
      </c>
    </row>
    <row r="96" ht="15.75" customHeight="1">
      <c r="A96" s="18">
        <v>46023.0</v>
      </c>
      <c r="B96" s="17" t="s">
        <v>4097</v>
      </c>
      <c r="C96" s="17" t="s">
        <v>89</v>
      </c>
      <c r="D96" s="17" t="s">
        <v>123</v>
      </c>
      <c r="E96" s="21">
        <v>245.0</v>
      </c>
      <c r="F96" s="21">
        <f>SUMIFS(crm_orders!$J:$J,crm_orders!$B:$B,"&gt;="&amp;A96,crm_orders!$B:$B,"&lt;"&amp;DATE(YEAR(A96),MONTH(A96)+1,1),crm_orders!$E:$E,B96,crm_orders!$G:$G,C96,crm_orders!$H:$H,D96)</f>
        <v>0</v>
      </c>
      <c r="G96" s="21">
        <f>SUMIFS(warehouse_shipments!$H:$H,warehouse_shipments!$C:$C,"&gt;="&amp;A96,warehouse_shipments!$C:$C,"&lt;"&amp;DATE(YEAR(A96),MONTH(A96)+1,1),warehouse_shipments!$P:$P,B96,warehouse_shipments!$Q:$Q,C96,warehouse_shipments!$R:$R,D96)</f>
        <v>0</v>
      </c>
      <c r="H96" s="22">
        <f t="shared" si="1"/>
        <v>-245</v>
      </c>
      <c r="I96" s="64">
        <f t="shared" si="2"/>
        <v>0</v>
      </c>
      <c r="J96" s="22" t="s">
        <v>5309</v>
      </c>
    </row>
    <row r="97" ht="15.75" customHeight="1">
      <c r="A97" s="26">
        <v>46023.0</v>
      </c>
      <c r="B97" s="25" t="s">
        <v>4097</v>
      </c>
      <c r="C97" s="25" t="s">
        <v>89</v>
      </c>
      <c r="D97" s="25" t="s">
        <v>90</v>
      </c>
      <c r="E97" s="29">
        <v>111.0</v>
      </c>
      <c r="F97" s="29">
        <f>SUMIFS(crm_orders!$J:$J,crm_orders!$B:$B,"&gt;="&amp;A97,crm_orders!$B:$B,"&lt;"&amp;DATE(YEAR(A97),MONTH(A97)+1,1),crm_orders!$E:$E,B97,crm_orders!$G:$G,C97,crm_orders!$H:$H,D97)</f>
        <v>0</v>
      </c>
      <c r="G97" s="29">
        <f>SUMIFS(warehouse_shipments!$H:$H,warehouse_shipments!$C:$C,"&gt;="&amp;A97,warehouse_shipments!$C:$C,"&lt;"&amp;DATE(YEAR(A97),MONTH(A97)+1,1),warehouse_shipments!$P:$P,B97,warehouse_shipments!$Q:$Q,C97,warehouse_shipments!$R:$R,D97)</f>
        <v>0</v>
      </c>
      <c r="H97" s="30">
        <f t="shared" si="1"/>
        <v>-111</v>
      </c>
      <c r="I97" s="65">
        <f t="shared" si="2"/>
        <v>0</v>
      </c>
      <c r="J97" s="30" t="s">
        <v>5310</v>
      </c>
    </row>
    <row r="98" ht="15.75" customHeight="1">
      <c r="A98" s="18">
        <v>46023.0</v>
      </c>
      <c r="B98" s="17" t="s">
        <v>4186</v>
      </c>
      <c r="C98" s="17" t="s">
        <v>63</v>
      </c>
      <c r="D98" s="17" t="s">
        <v>81</v>
      </c>
      <c r="E98" s="21">
        <v>141.0</v>
      </c>
      <c r="F98" s="21">
        <f>SUMIFS(crm_orders!$J:$J,crm_orders!$B:$B,"&gt;="&amp;A98,crm_orders!$B:$B,"&lt;"&amp;DATE(YEAR(A98),MONTH(A98)+1,1),crm_orders!$E:$E,B98,crm_orders!$G:$G,C98,crm_orders!$H:$H,D98)</f>
        <v>0</v>
      </c>
      <c r="G98" s="21">
        <f>SUMIFS(warehouse_shipments!$H:$H,warehouse_shipments!$C:$C,"&gt;="&amp;A98,warehouse_shipments!$C:$C,"&lt;"&amp;DATE(YEAR(A98),MONTH(A98)+1,1),warehouse_shipments!$P:$P,B98,warehouse_shipments!$Q:$Q,C98,warehouse_shipments!$R:$R,D98)</f>
        <v>0</v>
      </c>
      <c r="H98" s="22">
        <f t="shared" si="1"/>
        <v>-141</v>
      </c>
      <c r="I98" s="64">
        <f t="shared" si="2"/>
        <v>0</v>
      </c>
      <c r="J98" s="22" t="s">
        <v>5306</v>
      </c>
    </row>
    <row r="99" ht="15.75" customHeight="1">
      <c r="A99" s="26">
        <v>46023.0</v>
      </c>
      <c r="B99" s="25" t="s">
        <v>4186</v>
      </c>
      <c r="C99" s="25" t="s">
        <v>63</v>
      </c>
      <c r="D99" s="25" t="s">
        <v>71</v>
      </c>
      <c r="E99" s="29">
        <v>155.0</v>
      </c>
      <c r="F99" s="29">
        <f>SUMIFS(crm_orders!$J:$J,crm_orders!$B:$B,"&gt;="&amp;A99,crm_orders!$B:$B,"&lt;"&amp;DATE(YEAR(A99),MONTH(A99)+1,1),crm_orders!$E:$E,B99,crm_orders!$G:$G,C99,crm_orders!$H:$H,D99)</f>
        <v>150</v>
      </c>
      <c r="G99" s="29">
        <f>SUMIFS(warehouse_shipments!$H:$H,warehouse_shipments!$C:$C,"&gt;="&amp;A99,warehouse_shipments!$C:$C,"&lt;"&amp;DATE(YEAR(A99),MONTH(A99)+1,1),warehouse_shipments!$P:$P,B99,warehouse_shipments!$Q:$Q,C99,warehouse_shipments!$R:$R,D99)</f>
        <v>30</v>
      </c>
      <c r="H99" s="30">
        <f t="shared" si="1"/>
        <v>-5</v>
      </c>
      <c r="I99" s="65">
        <f t="shared" si="2"/>
        <v>0.9677419355</v>
      </c>
      <c r="J99" s="30" t="s">
        <v>5308</v>
      </c>
    </row>
    <row r="100" ht="15.75" customHeight="1">
      <c r="A100" s="18">
        <v>46023.0</v>
      </c>
      <c r="B100" s="17" t="s">
        <v>4186</v>
      </c>
      <c r="C100" s="17" t="s">
        <v>63</v>
      </c>
      <c r="D100" s="17" t="s">
        <v>154</v>
      </c>
      <c r="E100" s="21">
        <v>288.0</v>
      </c>
      <c r="F100" s="21">
        <f>SUMIFS(crm_orders!$J:$J,crm_orders!$B:$B,"&gt;="&amp;A100,crm_orders!$B:$B,"&lt;"&amp;DATE(YEAR(A100),MONTH(A100)+1,1),crm_orders!$E:$E,B100,crm_orders!$G:$G,C100,crm_orders!$H:$H,D100)</f>
        <v>18</v>
      </c>
      <c r="G100" s="21">
        <f>SUMIFS(warehouse_shipments!$H:$H,warehouse_shipments!$C:$C,"&gt;="&amp;A100,warehouse_shipments!$C:$C,"&lt;"&amp;DATE(YEAR(A100),MONTH(A100)+1,1),warehouse_shipments!$P:$P,B100,warehouse_shipments!$Q:$Q,C100,warehouse_shipments!$R:$R,D100)</f>
        <v>0</v>
      </c>
      <c r="H100" s="22">
        <f t="shared" si="1"/>
        <v>-270</v>
      </c>
      <c r="I100" s="64">
        <f t="shared" si="2"/>
        <v>0.0625</v>
      </c>
      <c r="J100" s="22" t="s">
        <v>5306</v>
      </c>
    </row>
    <row r="101" ht="15.75" customHeight="1">
      <c r="A101" s="26">
        <v>46023.0</v>
      </c>
      <c r="B101" s="25" t="s">
        <v>4186</v>
      </c>
      <c r="C101" s="25" t="s">
        <v>63</v>
      </c>
      <c r="D101" s="25" t="s">
        <v>68</v>
      </c>
      <c r="E101" s="29">
        <v>311.0</v>
      </c>
      <c r="F101" s="29">
        <f>SUMIFS(crm_orders!$J:$J,crm_orders!$B:$B,"&gt;="&amp;A101,crm_orders!$B:$B,"&lt;"&amp;DATE(YEAR(A101),MONTH(A101)+1,1),crm_orders!$E:$E,B101,crm_orders!$G:$G,C101,crm_orders!$H:$H,D101)</f>
        <v>0</v>
      </c>
      <c r="G101" s="29">
        <f>SUMIFS(warehouse_shipments!$H:$H,warehouse_shipments!$C:$C,"&gt;="&amp;A101,warehouse_shipments!$C:$C,"&lt;"&amp;DATE(YEAR(A101),MONTH(A101)+1,1),warehouse_shipments!$P:$P,B101,warehouse_shipments!$Q:$Q,C101,warehouse_shipments!$R:$R,D101)</f>
        <v>0</v>
      </c>
      <c r="H101" s="30">
        <f t="shared" si="1"/>
        <v>-311</v>
      </c>
      <c r="I101" s="65">
        <f t="shared" si="2"/>
        <v>0</v>
      </c>
      <c r="J101" s="30" t="s">
        <v>5306</v>
      </c>
    </row>
    <row r="102" ht="15.75" customHeight="1">
      <c r="A102" s="18">
        <v>46023.0</v>
      </c>
      <c r="B102" s="17" t="s">
        <v>4186</v>
      </c>
      <c r="C102" s="17" t="s">
        <v>63</v>
      </c>
      <c r="D102" s="17" t="s">
        <v>92</v>
      </c>
      <c r="E102" s="21">
        <v>231.0</v>
      </c>
      <c r="F102" s="21">
        <f>SUMIFS(crm_orders!$J:$J,crm_orders!$B:$B,"&gt;="&amp;A102,crm_orders!$B:$B,"&lt;"&amp;DATE(YEAR(A102),MONTH(A102)+1,1),crm_orders!$E:$E,B102,crm_orders!$G:$G,C102,crm_orders!$H:$H,D102)</f>
        <v>96</v>
      </c>
      <c r="G102" s="21">
        <f>SUMIFS(warehouse_shipments!$H:$H,warehouse_shipments!$C:$C,"&gt;="&amp;A102,warehouse_shipments!$C:$C,"&lt;"&amp;DATE(YEAR(A102),MONTH(A102)+1,1),warehouse_shipments!$P:$P,B102,warehouse_shipments!$Q:$Q,C102,warehouse_shipments!$R:$R,D102)</f>
        <v>96</v>
      </c>
      <c r="H102" s="22">
        <f t="shared" si="1"/>
        <v>-135</v>
      </c>
      <c r="I102" s="64">
        <f t="shared" si="2"/>
        <v>0.4155844156</v>
      </c>
      <c r="J102" s="22" t="s">
        <v>5306</v>
      </c>
    </row>
    <row r="103" ht="15.75" customHeight="1">
      <c r="A103" s="26">
        <v>46023.0</v>
      </c>
      <c r="B103" s="25" t="s">
        <v>4186</v>
      </c>
      <c r="C103" s="25" t="s">
        <v>63</v>
      </c>
      <c r="D103" s="25" t="s">
        <v>95</v>
      </c>
      <c r="E103" s="29">
        <v>355.0</v>
      </c>
      <c r="F103" s="29">
        <f>SUMIFS(crm_orders!$J:$J,crm_orders!$B:$B,"&gt;="&amp;A103,crm_orders!$B:$B,"&lt;"&amp;DATE(YEAR(A103),MONTH(A103)+1,1),crm_orders!$E:$E,B103,crm_orders!$G:$G,C103,crm_orders!$H:$H,D103)</f>
        <v>120</v>
      </c>
      <c r="G103" s="29">
        <f>SUMIFS(warehouse_shipments!$H:$H,warehouse_shipments!$C:$C,"&gt;="&amp;A103,warehouse_shipments!$C:$C,"&lt;"&amp;DATE(YEAR(A103),MONTH(A103)+1,1),warehouse_shipments!$P:$P,B103,warehouse_shipments!$Q:$Q,C103,warehouse_shipments!$R:$R,D103)</f>
        <v>120</v>
      </c>
      <c r="H103" s="30">
        <f t="shared" si="1"/>
        <v>-235</v>
      </c>
      <c r="I103" s="65">
        <f t="shared" si="2"/>
        <v>0.338028169</v>
      </c>
      <c r="J103" s="30" t="s">
        <v>5309</v>
      </c>
    </row>
    <row r="104" ht="15.75" customHeight="1">
      <c r="A104" s="18">
        <v>46023.0</v>
      </c>
      <c r="B104" s="17" t="s">
        <v>4186</v>
      </c>
      <c r="C104" s="17" t="s">
        <v>63</v>
      </c>
      <c r="D104" s="17" t="s">
        <v>106</v>
      </c>
      <c r="E104" s="21">
        <v>101.0</v>
      </c>
      <c r="F104" s="21">
        <f>SUMIFS(crm_orders!$J:$J,crm_orders!$B:$B,"&gt;="&amp;A104,crm_orders!$B:$B,"&lt;"&amp;DATE(YEAR(A104),MONTH(A104)+1,1),crm_orders!$E:$E,B104,crm_orders!$G:$G,C104,crm_orders!$H:$H,D104)</f>
        <v>0</v>
      </c>
      <c r="G104" s="21">
        <f>SUMIFS(warehouse_shipments!$H:$H,warehouse_shipments!$C:$C,"&gt;="&amp;A104,warehouse_shipments!$C:$C,"&lt;"&amp;DATE(YEAR(A104),MONTH(A104)+1,1),warehouse_shipments!$P:$P,B104,warehouse_shipments!$Q:$Q,C104,warehouse_shipments!$R:$R,D104)</f>
        <v>0</v>
      </c>
      <c r="H104" s="22">
        <f t="shared" si="1"/>
        <v>-101</v>
      </c>
      <c r="I104" s="64">
        <f t="shared" si="2"/>
        <v>0</v>
      </c>
      <c r="J104" s="22" t="s">
        <v>5308</v>
      </c>
    </row>
    <row r="105" ht="15.75" customHeight="1">
      <c r="A105" s="26">
        <v>46023.0</v>
      </c>
      <c r="B105" s="25" t="s">
        <v>4186</v>
      </c>
      <c r="C105" s="25" t="s">
        <v>63</v>
      </c>
      <c r="D105" s="25" t="s">
        <v>123</v>
      </c>
      <c r="E105" s="29">
        <v>210.0</v>
      </c>
      <c r="F105" s="29">
        <f>SUMIFS(crm_orders!$J:$J,crm_orders!$B:$B,"&gt;="&amp;A105,crm_orders!$B:$B,"&lt;"&amp;DATE(YEAR(A105),MONTH(A105)+1,1),crm_orders!$E:$E,B105,crm_orders!$G:$G,C105,crm_orders!$H:$H,D105)</f>
        <v>96</v>
      </c>
      <c r="G105" s="29">
        <f>SUMIFS(warehouse_shipments!$H:$H,warehouse_shipments!$C:$C,"&gt;="&amp;A105,warehouse_shipments!$C:$C,"&lt;"&amp;DATE(YEAR(A105),MONTH(A105)+1,1),warehouse_shipments!$P:$P,B105,warehouse_shipments!$Q:$Q,C105,warehouse_shipments!$R:$R,D105)</f>
        <v>0</v>
      </c>
      <c r="H105" s="30">
        <f t="shared" si="1"/>
        <v>-114</v>
      </c>
      <c r="I105" s="65">
        <f t="shared" si="2"/>
        <v>0.4571428571</v>
      </c>
      <c r="J105" s="30" t="s">
        <v>5307</v>
      </c>
    </row>
    <row r="106" ht="15.75" customHeight="1">
      <c r="A106" s="18">
        <v>46023.0</v>
      </c>
      <c r="B106" s="17" t="s">
        <v>4186</v>
      </c>
      <c r="C106" s="17" t="s">
        <v>67</v>
      </c>
      <c r="D106" s="17" t="s">
        <v>108</v>
      </c>
      <c r="E106" s="21">
        <v>424.0</v>
      </c>
      <c r="F106" s="21">
        <f>SUMIFS(crm_orders!$J:$J,crm_orders!$B:$B,"&gt;="&amp;A106,crm_orders!$B:$B,"&lt;"&amp;DATE(YEAR(A106),MONTH(A106)+1,1),crm_orders!$E:$E,B106,crm_orders!$G:$G,C106,crm_orders!$H:$H,D106)</f>
        <v>0</v>
      </c>
      <c r="G106" s="21">
        <f>SUMIFS(warehouse_shipments!$H:$H,warehouse_shipments!$C:$C,"&gt;="&amp;A106,warehouse_shipments!$C:$C,"&lt;"&amp;DATE(YEAR(A106),MONTH(A106)+1,1),warehouse_shipments!$P:$P,B106,warehouse_shipments!$Q:$Q,C106,warehouse_shipments!$R:$R,D106)</f>
        <v>0</v>
      </c>
      <c r="H106" s="22">
        <f t="shared" si="1"/>
        <v>-424</v>
      </c>
      <c r="I106" s="64">
        <f t="shared" si="2"/>
        <v>0</v>
      </c>
      <c r="J106" s="22" t="s">
        <v>5309</v>
      </c>
    </row>
    <row r="107" ht="15.75" customHeight="1">
      <c r="A107" s="26">
        <v>46023.0</v>
      </c>
      <c r="B107" s="25" t="s">
        <v>4186</v>
      </c>
      <c r="C107" s="25" t="s">
        <v>67</v>
      </c>
      <c r="D107" s="25" t="s">
        <v>162</v>
      </c>
      <c r="E107" s="29">
        <v>384.0</v>
      </c>
      <c r="F107" s="29">
        <f>SUMIFS(crm_orders!$J:$J,crm_orders!$B:$B,"&gt;="&amp;A107,crm_orders!$B:$B,"&lt;"&amp;DATE(YEAR(A107),MONTH(A107)+1,1),crm_orders!$E:$E,B107,crm_orders!$G:$G,C107,crm_orders!$H:$H,D107)</f>
        <v>0</v>
      </c>
      <c r="G107" s="29">
        <f>SUMIFS(warehouse_shipments!$H:$H,warehouse_shipments!$C:$C,"&gt;="&amp;A107,warehouse_shipments!$C:$C,"&lt;"&amp;DATE(YEAR(A107),MONTH(A107)+1,1),warehouse_shipments!$P:$P,B107,warehouse_shipments!$Q:$Q,C107,warehouse_shipments!$R:$R,D107)</f>
        <v>0</v>
      </c>
      <c r="H107" s="30">
        <f t="shared" si="1"/>
        <v>-384</v>
      </c>
      <c r="I107" s="65">
        <f t="shared" si="2"/>
        <v>0</v>
      </c>
      <c r="J107" s="30" t="s">
        <v>5311</v>
      </c>
    </row>
    <row r="108" ht="15.75" customHeight="1">
      <c r="A108" s="18">
        <v>46023.0</v>
      </c>
      <c r="B108" s="17" t="s">
        <v>4186</v>
      </c>
      <c r="C108" s="17" t="s">
        <v>67</v>
      </c>
      <c r="D108" s="17" t="s">
        <v>78</v>
      </c>
      <c r="E108" s="21">
        <v>311.0</v>
      </c>
      <c r="F108" s="21">
        <f>SUMIFS(crm_orders!$J:$J,crm_orders!$B:$B,"&gt;="&amp;A108,crm_orders!$B:$B,"&lt;"&amp;DATE(YEAR(A108),MONTH(A108)+1,1),crm_orders!$E:$E,B108,crm_orders!$G:$G,C108,crm_orders!$H:$H,D108)</f>
        <v>0</v>
      </c>
      <c r="G108" s="21">
        <f>SUMIFS(warehouse_shipments!$H:$H,warehouse_shipments!$C:$C,"&gt;="&amp;A108,warehouse_shipments!$C:$C,"&lt;"&amp;DATE(YEAR(A108),MONTH(A108)+1,1),warehouse_shipments!$P:$P,B108,warehouse_shipments!$Q:$Q,C108,warehouse_shipments!$R:$R,D108)</f>
        <v>0</v>
      </c>
      <c r="H108" s="22">
        <f t="shared" si="1"/>
        <v>-311</v>
      </c>
      <c r="I108" s="64">
        <f t="shared" si="2"/>
        <v>0</v>
      </c>
      <c r="J108" s="22" t="s">
        <v>5310</v>
      </c>
    </row>
    <row r="109" ht="15.75" customHeight="1">
      <c r="A109" s="26">
        <v>46023.0</v>
      </c>
      <c r="B109" s="25" t="s">
        <v>4186</v>
      </c>
      <c r="C109" s="25" t="s">
        <v>67</v>
      </c>
      <c r="D109" s="25" t="s">
        <v>115</v>
      </c>
      <c r="E109" s="29">
        <v>176.0</v>
      </c>
      <c r="F109" s="29">
        <f>SUMIFS(crm_orders!$J:$J,crm_orders!$B:$B,"&gt;="&amp;A109,crm_orders!$B:$B,"&lt;"&amp;DATE(YEAR(A109),MONTH(A109)+1,1),crm_orders!$E:$E,B109,crm_orders!$G:$G,C109,crm_orders!$H:$H,D109)</f>
        <v>0</v>
      </c>
      <c r="G109" s="29">
        <f>SUMIFS(warehouse_shipments!$H:$H,warehouse_shipments!$C:$C,"&gt;="&amp;A109,warehouse_shipments!$C:$C,"&lt;"&amp;DATE(YEAR(A109),MONTH(A109)+1,1),warehouse_shipments!$P:$P,B109,warehouse_shipments!$Q:$Q,C109,warehouse_shipments!$R:$R,D109)</f>
        <v>0</v>
      </c>
      <c r="H109" s="30">
        <f t="shared" si="1"/>
        <v>-176</v>
      </c>
      <c r="I109" s="65">
        <f t="shared" si="2"/>
        <v>0</v>
      </c>
      <c r="J109" s="30" t="s">
        <v>5307</v>
      </c>
    </row>
    <row r="110" ht="15.75" customHeight="1">
      <c r="A110" s="18">
        <v>46023.0</v>
      </c>
      <c r="B110" s="17" t="s">
        <v>4186</v>
      </c>
      <c r="C110" s="17" t="s">
        <v>67</v>
      </c>
      <c r="D110" s="17" t="s">
        <v>95</v>
      </c>
      <c r="E110" s="21">
        <v>249.0</v>
      </c>
      <c r="F110" s="21">
        <f>SUMIFS(crm_orders!$J:$J,crm_orders!$B:$B,"&gt;="&amp;A110,crm_orders!$B:$B,"&lt;"&amp;DATE(YEAR(A110),MONTH(A110)+1,1),crm_orders!$E:$E,B110,crm_orders!$G:$G,C110,crm_orders!$H:$H,D110)</f>
        <v>0</v>
      </c>
      <c r="G110" s="21">
        <f>SUMIFS(warehouse_shipments!$H:$H,warehouse_shipments!$C:$C,"&gt;="&amp;A110,warehouse_shipments!$C:$C,"&lt;"&amp;DATE(YEAR(A110),MONTH(A110)+1,1),warehouse_shipments!$P:$P,B110,warehouse_shipments!$Q:$Q,C110,warehouse_shipments!$R:$R,D110)</f>
        <v>0</v>
      </c>
      <c r="H110" s="22">
        <f t="shared" si="1"/>
        <v>-249</v>
      </c>
      <c r="I110" s="64">
        <f t="shared" si="2"/>
        <v>0</v>
      </c>
      <c r="J110" s="22" t="s">
        <v>5308</v>
      </c>
    </row>
    <row r="111" ht="15.75" customHeight="1">
      <c r="A111" s="26">
        <v>46023.0</v>
      </c>
      <c r="B111" s="25" t="s">
        <v>4186</v>
      </c>
      <c r="C111" s="25" t="s">
        <v>67</v>
      </c>
      <c r="D111" s="25" t="s">
        <v>154</v>
      </c>
      <c r="E111" s="29">
        <v>109.0</v>
      </c>
      <c r="F111" s="29">
        <f>SUMIFS(crm_orders!$J:$J,crm_orders!$B:$B,"&gt;="&amp;A111,crm_orders!$B:$B,"&lt;"&amp;DATE(YEAR(A111),MONTH(A111)+1,1),crm_orders!$E:$E,B111,crm_orders!$G:$G,C111,crm_orders!$H:$H,D111)</f>
        <v>0</v>
      </c>
      <c r="G111" s="29">
        <f>SUMIFS(warehouse_shipments!$H:$H,warehouse_shipments!$C:$C,"&gt;="&amp;A111,warehouse_shipments!$C:$C,"&lt;"&amp;DATE(YEAR(A111),MONTH(A111)+1,1),warehouse_shipments!$P:$P,B111,warehouse_shipments!$Q:$Q,C111,warehouse_shipments!$R:$R,D111)</f>
        <v>0</v>
      </c>
      <c r="H111" s="30">
        <f t="shared" si="1"/>
        <v>-109</v>
      </c>
      <c r="I111" s="65">
        <f t="shared" si="2"/>
        <v>0</v>
      </c>
      <c r="J111" s="30" t="s">
        <v>5307</v>
      </c>
    </row>
    <row r="112" ht="15.75" customHeight="1">
      <c r="A112" s="18">
        <v>46023.0</v>
      </c>
      <c r="B112" s="17" t="s">
        <v>4186</v>
      </c>
      <c r="C112" s="17" t="s">
        <v>67</v>
      </c>
      <c r="D112" s="17" t="s">
        <v>92</v>
      </c>
      <c r="E112" s="21">
        <v>379.0</v>
      </c>
      <c r="F112" s="21">
        <f>SUMIFS(crm_orders!$J:$J,crm_orders!$B:$B,"&gt;="&amp;A112,crm_orders!$B:$B,"&lt;"&amp;DATE(YEAR(A112),MONTH(A112)+1,1),crm_orders!$E:$E,B112,crm_orders!$G:$G,C112,crm_orders!$H:$H,D112)</f>
        <v>0</v>
      </c>
      <c r="G112" s="21">
        <f>SUMIFS(warehouse_shipments!$H:$H,warehouse_shipments!$C:$C,"&gt;="&amp;A112,warehouse_shipments!$C:$C,"&lt;"&amp;DATE(YEAR(A112),MONTH(A112)+1,1),warehouse_shipments!$P:$P,B112,warehouse_shipments!$Q:$Q,C112,warehouse_shipments!$R:$R,D112)</f>
        <v>0</v>
      </c>
      <c r="H112" s="22">
        <f t="shared" si="1"/>
        <v>-379</v>
      </c>
      <c r="I112" s="64">
        <f t="shared" si="2"/>
        <v>0</v>
      </c>
      <c r="J112" s="22" t="s">
        <v>5307</v>
      </c>
    </row>
    <row r="113" ht="15.75" customHeight="1">
      <c r="A113" s="26">
        <v>46023.0</v>
      </c>
      <c r="B113" s="25" t="s">
        <v>4186</v>
      </c>
      <c r="C113" s="25" t="s">
        <v>67</v>
      </c>
      <c r="D113" s="25" t="s">
        <v>106</v>
      </c>
      <c r="E113" s="29">
        <v>404.0</v>
      </c>
      <c r="F113" s="29">
        <f>SUMIFS(crm_orders!$J:$J,crm_orders!$B:$B,"&gt;="&amp;A113,crm_orders!$B:$B,"&lt;"&amp;DATE(YEAR(A113),MONTH(A113)+1,1),crm_orders!$E:$E,B113,crm_orders!$G:$G,C113,crm_orders!$H:$H,D113)</f>
        <v>0</v>
      </c>
      <c r="G113" s="29">
        <f>SUMIFS(warehouse_shipments!$H:$H,warehouse_shipments!$C:$C,"&gt;="&amp;A113,warehouse_shipments!$C:$C,"&lt;"&amp;DATE(YEAR(A113),MONTH(A113)+1,1),warehouse_shipments!$P:$P,B113,warehouse_shipments!$Q:$Q,C113,warehouse_shipments!$R:$R,D113)</f>
        <v>0</v>
      </c>
      <c r="H113" s="30">
        <f t="shared" si="1"/>
        <v>-404</v>
      </c>
      <c r="I113" s="65">
        <f t="shared" si="2"/>
        <v>0</v>
      </c>
      <c r="J113" s="30" t="s">
        <v>5307</v>
      </c>
    </row>
    <row r="114" ht="15.75" customHeight="1">
      <c r="A114" s="18">
        <v>46023.0</v>
      </c>
      <c r="B114" s="17" t="s">
        <v>4186</v>
      </c>
      <c r="C114" s="17" t="s">
        <v>89</v>
      </c>
      <c r="D114" s="17" t="s">
        <v>106</v>
      </c>
      <c r="E114" s="21">
        <v>293.0</v>
      </c>
      <c r="F114" s="21">
        <f>SUMIFS(crm_orders!$J:$J,crm_orders!$B:$B,"&gt;="&amp;A114,crm_orders!$B:$B,"&lt;"&amp;DATE(YEAR(A114),MONTH(A114)+1,1),crm_orders!$E:$E,B114,crm_orders!$G:$G,C114,crm_orders!$H:$H,D114)</f>
        <v>0</v>
      </c>
      <c r="G114" s="21">
        <f>SUMIFS(warehouse_shipments!$H:$H,warehouse_shipments!$C:$C,"&gt;="&amp;A114,warehouse_shipments!$C:$C,"&lt;"&amp;DATE(YEAR(A114),MONTH(A114)+1,1),warehouse_shipments!$P:$P,B114,warehouse_shipments!$Q:$Q,C114,warehouse_shipments!$R:$R,D114)</f>
        <v>0</v>
      </c>
      <c r="H114" s="22">
        <f t="shared" si="1"/>
        <v>-293</v>
      </c>
      <c r="I114" s="64">
        <f t="shared" si="2"/>
        <v>0</v>
      </c>
      <c r="J114" s="22" t="s">
        <v>5310</v>
      </c>
    </row>
    <row r="115" ht="15.75" customHeight="1">
      <c r="A115" s="26">
        <v>46023.0</v>
      </c>
      <c r="B115" s="25" t="s">
        <v>4186</v>
      </c>
      <c r="C115" s="25" t="s">
        <v>89</v>
      </c>
      <c r="D115" s="25" t="s">
        <v>90</v>
      </c>
      <c r="E115" s="29">
        <v>254.0</v>
      </c>
      <c r="F115" s="29">
        <f>SUMIFS(crm_orders!$J:$J,crm_orders!$B:$B,"&gt;="&amp;A115,crm_orders!$B:$B,"&lt;"&amp;DATE(YEAR(A115),MONTH(A115)+1,1),crm_orders!$E:$E,B115,crm_orders!$G:$G,C115,crm_orders!$H:$H,D115)</f>
        <v>18</v>
      </c>
      <c r="G115" s="29">
        <f>SUMIFS(warehouse_shipments!$H:$H,warehouse_shipments!$C:$C,"&gt;="&amp;A115,warehouse_shipments!$C:$C,"&lt;"&amp;DATE(YEAR(A115),MONTH(A115)+1,1),warehouse_shipments!$P:$P,B115,warehouse_shipments!$Q:$Q,C115,warehouse_shipments!$R:$R,D115)</f>
        <v>0</v>
      </c>
      <c r="H115" s="30">
        <f t="shared" si="1"/>
        <v>-236</v>
      </c>
      <c r="I115" s="65">
        <f t="shared" si="2"/>
        <v>0.07086614173</v>
      </c>
      <c r="J115" s="30" t="s">
        <v>5306</v>
      </c>
    </row>
    <row r="116" ht="15.75" customHeight="1">
      <c r="A116" s="18">
        <v>46023.0</v>
      </c>
      <c r="B116" s="17" t="s">
        <v>4186</v>
      </c>
      <c r="C116" s="17" t="s">
        <v>89</v>
      </c>
      <c r="D116" s="17" t="s">
        <v>156</v>
      </c>
      <c r="E116" s="21">
        <v>303.0</v>
      </c>
      <c r="F116" s="21">
        <f>SUMIFS(crm_orders!$J:$J,crm_orders!$B:$B,"&gt;="&amp;A116,crm_orders!$B:$B,"&lt;"&amp;DATE(YEAR(A116),MONTH(A116)+1,1),crm_orders!$E:$E,B116,crm_orders!$G:$G,C116,crm_orders!$H:$H,D116)</f>
        <v>0</v>
      </c>
      <c r="G116" s="21">
        <f>SUMIFS(warehouse_shipments!$H:$H,warehouse_shipments!$C:$C,"&gt;="&amp;A116,warehouse_shipments!$C:$C,"&lt;"&amp;DATE(YEAR(A116),MONTH(A116)+1,1),warehouse_shipments!$P:$P,B116,warehouse_shipments!$Q:$Q,C116,warehouse_shipments!$R:$R,D116)</f>
        <v>0</v>
      </c>
      <c r="H116" s="22">
        <f t="shared" si="1"/>
        <v>-303</v>
      </c>
      <c r="I116" s="64">
        <f t="shared" si="2"/>
        <v>0</v>
      </c>
      <c r="J116" s="22" t="s">
        <v>5306</v>
      </c>
    </row>
    <row r="117" ht="15.75" customHeight="1">
      <c r="A117" s="26">
        <v>46023.0</v>
      </c>
      <c r="B117" s="25" t="s">
        <v>4186</v>
      </c>
      <c r="C117" s="25" t="s">
        <v>89</v>
      </c>
      <c r="D117" s="25" t="s">
        <v>162</v>
      </c>
      <c r="E117" s="29">
        <v>341.0</v>
      </c>
      <c r="F117" s="29">
        <f>SUMIFS(crm_orders!$J:$J,crm_orders!$B:$B,"&gt;="&amp;A117,crm_orders!$B:$B,"&lt;"&amp;DATE(YEAR(A117),MONTH(A117)+1,1),crm_orders!$E:$E,B117,crm_orders!$G:$G,C117,crm_orders!$H:$H,D117)</f>
        <v>0</v>
      </c>
      <c r="G117" s="29">
        <f>SUMIFS(warehouse_shipments!$H:$H,warehouse_shipments!$C:$C,"&gt;="&amp;A117,warehouse_shipments!$C:$C,"&lt;"&amp;DATE(YEAR(A117),MONTH(A117)+1,1),warehouse_shipments!$P:$P,B117,warehouse_shipments!$Q:$Q,C117,warehouse_shipments!$R:$R,D117)</f>
        <v>0</v>
      </c>
      <c r="H117" s="30">
        <f t="shared" si="1"/>
        <v>-341</v>
      </c>
      <c r="I117" s="65">
        <f t="shared" si="2"/>
        <v>0</v>
      </c>
      <c r="J117" s="30" t="s">
        <v>5310</v>
      </c>
    </row>
    <row r="118" ht="15.75" customHeight="1">
      <c r="A118" s="18">
        <v>46023.0</v>
      </c>
      <c r="B118" s="17" t="s">
        <v>4186</v>
      </c>
      <c r="C118" s="17" t="s">
        <v>89</v>
      </c>
      <c r="D118" s="17" t="s">
        <v>81</v>
      </c>
      <c r="E118" s="21">
        <v>323.0</v>
      </c>
      <c r="F118" s="21">
        <f>SUMIFS(crm_orders!$J:$J,crm_orders!$B:$B,"&gt;="&amp;A118,crm_orders!$B:$B,"&lt;"&amp;DATE(YEAR(A118),MONTH(A118)+1,1),crm_orders!$E:$E,B118,crm_orders!$G:$G,C118,crm_orders!$H:$H,D118)</f>
        <v>0</v>
      </c>
      <c r="G118" s="21">
        <f>SUMIFS(warehouse_shipments!$H:$H,warehouse_shipments!$C:$C,"&gt;="&amp;A118,warehouse_shipments!$C:$C,"&lt;"&amp;DATE(YEAR(A118),MONTH(A118)+1,1),warehouse_shipments!$P:$P,B118,warehouse_shipments!$Q:$Q,C118,warehouse_shipments!$R:$R,D118)</f>
        <v>0</v>
      </c>
      <c r="H118" s="22">
        <f t="shared" si="1"/>
        <v>-323</v>
      </c>
      <c r="I118" s="64">
        <f t="shared" si="2"/>
        <v>0</v>
      </c>
      <c r="J118" s="22" t="s">
        <v>5306</v>
      </c>
    </row>
    <row r="119" ht="15.75" customHeight="1">
      <c r="A119" s="26">
        <v>46023.0</v>
      </c>
      <c r="B119" s="25" t="s">
        <v>4186</v>
      </c>
      <c r="C119" s="25" t="s">
        <v>89</v>
      </c>
      <c r="D119" s="25" t="s">
        <v>115</v>
      </c>
      <c r="E119" s="29">
        <v>89.0</v>
      </c>
      <c r="F119" s="29">
        <f>SUMIFS(crm_orders!$J:$J,crm_orders!$B:$B,"&gt;="&amp;A119,crm_orders!$B:$B,"&lt;"&amp;DATE(YEAR(A119),MONTH(A119)+1,1),crm_orders!$E:$E,B119,crm_orders!$G:$G,C119,crm_orders!$H:$H,D119)</f>
        <v>60</v>
      </c>
      <c r="G119" s="29">
        <f>SUMIFS(warehouse_shipments!$H:$H,warehouse_shipments!$C:$C,"&gt;="&amp;A119,warehouse_shipments!$C:$C,"&lt;"&amp;DATE(YEAR(A119),MONTH(A119)+1,1),warehouse_shipments!$P:$P,B119,warehouse_shipments!$Q:$Q,C119,warehouse_shipments!$R:$R,D119)</f>
        <v>36</v>
      </c>
      <c r="H119" s="30">
        <f t="shared" si="1"/>
        <v>-29</v>
      </c>
      <c r="I119" s="65">
        <f t="shared" si="2"/>
        <v>0.6741573034</v>
      </c>
      <c r="J119" s="30" t="s">
        <v>5309</v>
      </c>
    </row>
    <row r="120" ht="15.75" customHeight="1">
      <c r="A120" s="18">
        <v>46023.0</v>
      </c>
      <c r="B120" s="17" t="s">
        <v>4186</v>
      </c>
      <c r="C120" s="17" t="s">
        <v>89</v>
      </c>
      <c r="D120" s="17" t="s">
        <v>85</v>
      </c>
      <c r="E120" s="21">
        <v>395.0</v>
      </c>
      <c r="F120" s="21">
        <f>SUMIFS(crm_orders!$J:$J,crm_orders!$B:$B,"&gt;="&amp;A120,crm_orders!$B:$B,"&lt;"&amp;DATE(YEAR(A120),MONTH(A120)+1,1),crm_orders!$E:$E,B120,crm_orders!$G:$G,C120,crm_orders!$H:$H,D120)</f>
        <v>0</v>
      </c>
      <c r="G120" s="21">
        <f>SUMIFS(warehouse_shipments!$H:$H,warehouse_shipments!$C:$C,"&gt;="&amp;A120,warehouse_shipments!$C:$C,"&lt;"&amp;DATE(YEAR(A120),MONTH(A120)+1,1),warehouse_shipments!$P:$P,B120,warehouse_shipments!$Q:$Q,C120,warehouse_shipments!$R:$R,D120)</f>
        <v>0</v>
      </c>
      <c r="H120" s="22">
        <f t="shared" si="1"/>
        <v>-395</v>
      </c>
      <c r="I120" s="64">
        <f t="shared" si="2"/>
        <v>0</v>
      </c>
      <c r="J120" s="22" t="s">
        <v>5306</v>
      </c>
    </row>
    <row r="121" ht="15.75" customHeight="1">
      <c r="A121" s="26">
        <v>46023.0</v>
      </c>
      <c r="B121" s="25" t="s">
        <v>4186</v>
      </c>
      <c r="C121" s="25" t="s">
        <v>89</v>
      </c>
      <c r="D121" s="25" t="s">
        <v>68</v>
      </c>
      <c r="E121" s="29">
        <v>165.0</v>
      </c>
      <c r="F121" s="29">
        <f>SUMIFS(crm_orders!$J:$J,crm_orders!$B:$B,"&gt;="&amp;A121,crm_orders!$B:$B,"&lt;"&amp;DATE(YEAR(A121),MONTH(A121)+1,1),crm_orders!$E:$E,B121,crm_orders!$G:$G,C121,crm_orders!$H:$H,D121)</f>
        <v>0</v>
      </c>
      <c r="G121" s="29">
        <f>SUMIFS(warehouse_shipments!$H:$H,warehouse_shipments!$C:$C,"&gt;="&amp;A121,warehouse_shipments!$C:$C,"&lt;"&amp;DATE(YEAR(A121),MONTH(A121)+1,1),warehouse_shipments!$P:$P,B121,warehouse_shipments!$Q:$Q,C121,warehouse_shipments!$R:$R,D121)</f>
        <v>0</v>
      </c>
      <c r="H121" s="30">
        <f t="shared" si="1"/>
        <v>-165</v>
      </c>
      <c r="I121" s="65">
        <f t="shared" si="2"/>
        <v>0</v>
      </c>
      <c r="J121" s="30" t="s">
        <v>5308</v>
      </c>
    </row>
    <row r="122" ht="15.75" customHeight="1">
      <c r="A122" s="18">
        <v>46023.0</v>
      </c>
      <c r="B122" s="17" t="s">
        <v>4261</v>
      </c>
      <c r="C122" s="17" t="s">
        <v>63</v>
      </c>
      <c r="D122" s="17" t="s">
        <v>92</v>
      </c>
      <c r="E122" s="21">
        <v>429.0</v>
      </c>
      <c r="F122" s="21">
        <f>SUMIFS(crm_orders!$J:$J,crm_orders!$B:$B,"&gt;="&amp;A122,crm_orders!$B:$B,"&lt;"&amp;DATE(YEAR(A122),MONTH(A122)+1,1),crm_orders!$E:$E,B122,crm_orders!$G:$G,C122,crm_orders!$H:$H,D122)</f>
        <v>102</v>
      </c>
      <c r="G122" s="21">
        <f>SUMIFS(warehouse_shipments!$H:$H,warehouse_shipments!$C:$C,"&gt;="&amp;A122,warehouse_shipments!$C:$C,"&lt;"&amp;DATE(YEAR(A122),MONTH(A122)+1,1),warehouse_shipments!$P:$P,B122,warehouse_shipments!$Q:$Q,C122,warehouse_shipments!$R:$R,D122)</f>
        <v>6</v>
      </c>
      <c r="H122" s="22">
        <f t="shared" si="1"/>
        <v>-327</v>
      </c>
      <c r="I122" s="64">
        <f t="shared" si="2"/>
        <v>0.2377622378</v>
      </c>
      <c r="J122" s="22" t="s">
        <v>5309</v>
      </c>
    </row>
    <row r="123" ht="15.75" customHeight="1">
      <c r="A123" s="26">
        <v>46023.0</v>
      </c>
      <c r="B123" s="25" t="s">
        <v>4261</v>
      </c>
      <c r="C123" s="25" t="s">
        <v>63</v>
      </c>
      <c r="D123" s="25" t="s">
        <v>68</v>
      </c>
      <c r="E123" s="29">
        <v>480.0</v>
      </c>
      <c r="F123" s="29">
        <f>SUMIFS(crm_orders!$J:$J,crm_orders!$B:$B,"&gt;="&amp;A123,crm_orders!$B:$B,"&lt;"&amp;DATE(YEAR(A123),MONTH(A123)+1,1),crm_orders!$E:$E,B123,crm_orders!$G:$G,C123,crm_orders!$H:$H,D123)</f>
        <v>0</v>
      </c>
      <c r="G123" s="29">
        <f>SUMIFS(warehouse_shipments!$H:$H,warehouse_shipments!$C:$C,"&gt;="&amp;A123,warehouse_shipments!$C:$C,"&lt;"&amp;DATE(YEAR(A123),MONTH(A123)+1,1),warehouse_shipments!$P:$P,B123,warehouse_shipments!$Q:$Q,C123,warehouse_shipments!$R:$R,D123)</f>
        <v>0</v>
      </c>
      <c r="H123" s="30">
        <f t="shared" si="1"/>
        <v>-480</v>
      </c>
      <c r="I123" s="65">
        <f t="shared" si="2"/>
        <v>0</v>
      </c>
      <c r="J123" s="30" t="s">
        <v>5308</v>
      </c>
    </row>
    <row r="124" ht="15.75" customHeight="1">
      <c r="A124" s="18">
        <v>46023.0</v>
      </c>
      <c r="B124" s="17" t="s">
        <v>4261</v>
      </c>
      <c r="C124" s="17" t="s">
        <v>63</v>
      </c>
      <c r="D124" s="17" t="s">
        <v>74</v>
      </c>
      <c r="E124" s="21">
        <v>128.0</v>
      </c>
      <c r="F124" s="21">
        <f>SUMIFS(crm_orders!$J:$J,crm_orders!$B:$B,"&gt;="&amp;A124,crm_orders!$B:$B,"&lt;"&amp;DATE(YEAR(A124),MONTH(A124)+1,1),crm_orders!$E:$E,B124,crm_orders!$G:$G,C124,crm_orders!$H:$H,D124)</f>
        <v>36</v>
      </c>
      <c r="G124" s="21">
        <f>SUMIFS(warehouse_shipments!$H:$H,warehouse_shipments!$C:$C,"&gt;="&amp;A124,warehouse_shipments!$C:$C,"&lt;"&amp;DATE(YEAR(A124),MONTH(A124)+1,1),warehouse_shipments!$P:$P,B124,warehouse_shipments!$Q:$Q,C124,warehouse_shipments!$R:$R,D124)</f>
        <v>0</v>
      </c>
      <c r="H124" s="22">
        <f t="shared" si="1"/>
        <v>-92</v>
      </c>
      <c r="I124" s="64">
        <f t="shared" si="2"/>
        <v>0.28125</v>
      </c>
      <c r="J124" s="22" t="s">
        <v>5308</v>
      </c>
    </row>
    <row r="125" ht="15.75" customHeight="1">
      <c r="A125" s="26">
        <v>46023.0</v>
      </c>
      <c r="B125" s="25" t="s">
        <v>4261</v>
      </c>
      <c r="C125" s="25" t="s">
        <v>63</v>
      </c>
      <c r="D125" s="25" t="s">
        <v>90</v>
      </c>
      <c r="E125" s="29">
        <v>272.0</v>
      </c>
      <c r="F125" s="29">
        <f>SUMIFS(crm_orders!$J:$J,crm_orders!$B:$B,"&gt;="&amp;A125,crm_orders!$B:$B,"&lt;"&amp;DATE(YEAR(A125),MONTH(A125)+1,1),crm_orders!$E:$E,B125,crm_orders!$G:$G,C125,crm_orders!$H:$H,D125)</f>
        <v>0</v>
      </c>
      <c r="G125" s="29">
        <f>SUMIFS(warehouse_shipments!$H:$H,warehouse_shipments!$C:$C,"&gt;="&amp;A125,warehouse_shipments!$C:$C,"&lt;"&amp;DATE(YEAR(A125),MONTH(A125)+1,1),warehouse_shipments!$P:$P,B125,warehouse_shipments!$Q:$Q,C125,warehouse_shipments!$R:$R,D125)</f>
        <v>0</v>
      </c>
      <c r="H125" s="30">
        <f t="shared" si="1"/>
        <v>-272</v>
      </c>
      <c r="I125" s="65">
        <f t="shared" si="2"/>
        <v>0</v>
      </c>
      <c r="J125" s="30" t="s">
        <v>5309</v>
      </c>
    </row>
    <row r="126" ht="15.75" customHeight="1">
      <c r="A126" s="18">
        <v>46023.0</v>
      </c>
      <c r="B126" s="17" t="s">
        <v>4261</v>
      </c>
      <c r="C126" s="17" t="s">
        <v>63</v>
      </c>
      <c r="D126" s="17" t="s">
        <v>64</v>
      </c>
      <c r="E126" s="21">
        <v>139.0</v>
      </c>
      <c r="F126" s="21">
        <f>SUMIFS(crm_orders!$J:$J,crm_orders!$B:$B,"&gt;="&amp;A126,crm_orders!$B:$B,"&lt;"&amp;DATE(YEAR(A126),MONTH(A126)+1,1),crm_orders!$E:$E,B126,crm_orders!$G:$G,C126,crm_orders!$H:$H,D126)</f>
        <v>120</v>
      </c>
      <c r="G126" s="21">
        <f>SUMIFS(warehouse_shipments!$H:$H,warehouse_shipments!$C:$C,"&gt;="&amp;A126,warehouse_shipments!$C:$C,"&lt;"&amp;DATE(YEAR(A126),MONTH(A126)+1,1),warehouse_shipments!$P:$P,B126,warehouse_shipments!$Q:$Q,C126,warehouse_shipments!$R:$R,D126)</f>
        <v>72</v>
      </c>
      <c r="H126" s="22">
        <f t="shared" si="1"/>
        <v>-19</v>
      </c>
      <c r="I126" s="64">
        <f t="shared" si="2"/>
        <v>0.8633093525</v>
      </c>
      <c r="J126" s="22" t="s">
        <v>5306</v>
      </c>
    </row>
    <row r="127" ht="15.75" customHeight="1">
      <c r="A127" s="26">
        <v>46023.0</v>
      </c>
      <c r="B127" s="25" t="s">
        <v>4261</v>
      </c>
      <c r="C127" s="25" t="s">
        <v>63</v>
      </c>
      <c r="D127" s="25" t="s">
        <v>190</v>
      </c>
      <c r="E127" s="29">
        <v>194.0</v>
      </c>
      <c r="F127" s="29">
        <f>SUMIFS(crm_orders!$J:$J,crm_orders!$B:$B,"&gt;="&amp;A127,crm_orders!$B:$B,"&lt;"&amp;DATE(YEAR(A127),MONTH(A127)+1,1),crm_orders!$E:$E,B127,crm_orders!$G:$G,C127,crm_orders!$H:$H,D127)</f>
        <v>6</v>
      </c>
      <c r="G127" s="29">
        <f>SUMIFS(warehouse_shipments!$H:$H,warehouse_shipments!$C:$C,"&gt;="&amp;A127,warehouse_shipments!$C:$C,"&lt;"&amp;DATE(YEAR(A127),MONTH(A127)+1,1),warehouse_shipments!$P:$P,B127,warehouse_shipments!$Q:$Q,C127,warehouse_shipments!$R:$R,D127)</f>
        <v>0</v>
      </c>
      <c r="H127" s="30">
        <f t="shared" si="1"/>
        <v>-188</v>
      </c>
      <c r="I127" s="65">
        <f t="shared" si="2"/>
        <v>0.03092783505</v>
      </c>
      <c r="J127" s="30" t="s">
        <v>5311</v>
      </c>
    </row>
    <row r="128" ht="15.75" customHeight="1">
      <c r="A128" s="18">
        <v>46023.0</v>
      </c>
      <c r="B128" s="17" t="s">
        <v>4261</v>
      </c>
      <c r="C128" s="17" t="s">
        <v>63</v>
      </c>
      <c r="D128" s="17" t="s">
        <v>108</v>
      </c>
      <c r="E128" s="21">
        <v>247.0</v>
      </c>
      <c r="F128" s="21">
        <f>SUMIFS(crm_orders!$J:$J,crm_orders!$B:$B,"&gt;="&amp;A128,crm_orders!$B:$B,"&lt;"&amp;DATE(YEAR(A128),MONTH(A128)+1,1),crm_orders!$E:$E,B128,crm_orders!$G:$G,C128,crm_orders!$H:$H,D128)</f>
        <v>0</v>
      </c>
      <c r="G128" s="21">
        <f>SUMIFS(warehouse_shipments!$H:$H,warehouse_shipments!$C:$C,"&gt;="&amp;A128,warehouse_shipments!$C:$C,"&lt;"&amp;DATE(YEAR(A128),MONTH(A128)+1,1),warehouse_shipments!$P:$P,B128,warehouse_shipments!$Q:$Q,C128,warehouse_shipments!$R:$R,D128)</f>
        <v>0</v>
      </c>
      <c r="H128" s="22">
        <f t="shared" si="1"/>
        <v>-247</v>
      </c>
      <c r="I128" s="64">
        <f t="shared" si="2"/>
        <v>0</v>
      </c>
      <c r="J128" s="22" t="s">
        <v>5306</v>
      </c>
    </row>
    <row r="129" ht="15.75" customHeight="1">
      <c r="A129" s="26">
        <v>46023.0</v>
      </c>
      <c r="B129" s="25" t="s">
        <v>4261</v>
      </c>
      <c r="C129" s="25" t="s">
        <v>63</v>
      </c>
      <c r="D129" s="25" t="s">
        <v>106</v>
      </c>
      <c r="E129" s="29">
        <v>244.0</v>
      </c>
      <c r="F129" s="29">
        <f>SUMIFS(crm_orders!$J:$J,crm_orders!$B:$B,"&gt;="&amp;A129,crm_orders!$B:$B,"&lt;"&amp;DATE(YEAR(A129),MONTH(A129)+1,1),crm_orders!$E:$E,B129,crm_orders!$G:$G,C129,crm_orders!$H:$H,D129)</f>
        <v>0</v>
      </c>
      <c r="G129" s="29">
        <f>SUMIFS(warehouse_shipments!$H:$H,warehouse_shipments!$C:$C,"&gt;="&amp;A129,warehouse_shipments!$C:$C,"&lt;"&amp;DATE(YEAR(A129),MONTH(A129)+1,1),warehouse_shipments!$P:$P,B129,warehouse_shipments!$Q:$Q,C129,warehouse_shipments!$R:$R,D129)</f>
        <v>0</v>
      </c>
      <c r="H129" s="30">
        <f t="shared" si="1"/>
        <v>-244</v>
      </c>
      <c r="I129" s="65">
        <f t="shared" si="2"/>
        <v>0</v>
      </c>
      <c r="J129" s="30" t="s">
        <v>5309</v>
      </c>
    </row>
    <row r="130" ht="15.75" customHeight="1">
      <c r="A130" s="18">
        <v>46023.0</v>
      </c>
      <c r="B130" s="17" t="s">
        <v>4261</v>
      </c>
      <c r="C130" s="17" t="s">
        <v>67</v>
      </c>
      <c r="D130" s="17" t="s">
        <v>68</v>
      </c>
      <c r="E130" s="21">
        <v>353.0</v>
      </c>
      <c r="F130" s="21">
        <f>SUMIFS(crm_orders!$J:$J,crm_orders!$B:$B,"&gt;="&amp;A130,crm_orders!$B:$B,"&lt;"&amp;DATE(YEAR(A130),MONTH(A130)+1,1),crm_orders!$E:$E,B130,crm_orders!$G:$G,C130,crm_orders!$H:$H,D130)</f>
        <v>0</v>
      </c>
      <c r="G130" s="21">
        <f>SUMIFS(warehouse_shipments!$H:$H,warehouse_shipments!$C:$C,"&gt;="&amp;A130,warehouse_shipments!$C:$C,"&lt;"&amp;DATE(YEAR(A130),MONTH(A130)+1,1),warehouse_shipments!$P:$P,B130,warehouse_shipments!$Q:$Q,C130,warehouse_shipments!$R:$R,D130)</f>
        <v>0</v>
      </c>
      <c r="H130" s="22">
        <f t="shared" si="1"/>
        <v>-353</v>
      </c>
      <c r="I130" s="64">
        <f t="shared" si="2"/>
        <v>0</v>
      </c>
      <c r="J130" s="22" t="s">
        <v>5308</v>
      </c>
    </row>
    <row r="131" ht="15.75" customHeight="1">
      <c r="A131" s="26">
        <v>46023.0</v>
      </c>
      <c r="B131" s="25" t="s">
        <v>4261</v>
      </c>
      <c r="C131" s="25" t="s">
        <v>67</v>
      </c>
      <c r="D131" s="25" t="s">
        <v>154</v>
      </c>
      <c r="E131" s="29">
        <v>352.0</v>
      </c>
      <c r="F131" s="29">
        <f>SUMIFS(crm_orders!$J:$J,crm_orders!$B:$B,"&gt;="&amp;A131,crm_orders!$B:$B,"&lt;"&amp;DATE(YEAR(A131),MONTH(A131)+1,1),crm_orders!$E:$E,B131,crm_orders!$G:$G,C131,crm_orders!$H:$H,D131)</f>
        <v>0</v>
      </c>
      <c r="G131" s="29">
        <f>SUMIFS(warehouse_shipments!$H:$H,warehouse_shipments!$C:$C,"&gt;="&amp;A131,warehouse_shipments!$C:$C,"&lt;"&amp;DATE(YEAR(A131),MONTH(A131)+1,1),warehouse_shipments!$P:$P,B131,warehouse_shipments!$Q:$Q,C131,warehouse_shipments!$R:$R,D131)</f>
        <v>0</v>
      </c>
      <c r="H131" s="30">
        <f t="shared" si="1"/>
        <v>-352</v>
      </c>
      <c r="I131" s="65">
        <f t="shared" si="2"/>
        <v>0</v>
      </c>
      <c r="J131" s="30" t="s">
        <v>5310</v>
      </c>
    </row>
    <row r="132" ht="15.75" customHeight="1">
      <c r="A132" s="18">
        <v>46023.0</v>
      </c>
      <c r="B132" s="17" t="s">
        <v>4261</v>
      </c>
      <c r="C132" s="17" t="s">
        <v>67</v>
      </c>
      <c r="D132" s="17" t="s">
        <v>64</v>
      </c>
      <c r="E132" s="21">
        <v>445.0</v>
      </c>
      <c r="F132" s="21">
        <f>SUMIFS(crm_orders!$J:$J,crm_orders!$B:$B,"&gt;="&amp;A132,crm_orders!$B:$B,"&lt;"&amp;DATE(YEAR(A132),MONTH(A132)+1,1),crm_orders!$E:$E,B132,crm_orders!$G:$G,C132,crm_orders!$H:$H,D132)</f>
        <v>0</v>
      </c>
      <c r="G132" s="21">
        <f>SUMIFS(warehouse_shipments!$H:$H,warehouse_shipments!$C:$C,"&gt;="&amp;A132,warehouse_shipments!$C:$C,"&lt;"&amp;DATE(YEAR(A132),MONTH(A132)+1,1),warehouse_shipments!$P:$P,B132,warehouse_shipments!$Q:$Q,C132,warehouse_shipments!$R:$R,D132)</f>
        <v>0</v>
      </c>
      <c r="H132" s="22">
        <f t="shared" si="1"/>
        <v>-445</v>
      </c>
      <c r="I132" s="64">
        <f t="shared" si="2"/>
        <v>0</v>
      </c>
      <c r="J132" s="22" t="s">
        <v>5308</v>
      </c>
    </row>
    <row r="133" ht="15.75" customHeight="1">
      <c r="A133" s="26">
        <v>46023.0</v>
      </c>
      <c r="B133" s="25" t="s">
        <v>4261</v>
      </c>
      <c r="C133" s="25" t="s">
        <v>67</v>
      </c>
      <c r="D133" s="25" t="s">
        <v>81</v>
      </c>
      <c r="E133" s="29">
        <v>218.0</v>
      </c>
      <c r="F133" s="29">
        <f>SUMIFS(crm_orders!$J:$J,crm_orders!$B:$B,"&gt;="&amp;A133,crm_orders!$B:$B,"&lt;"&amp;DATE(YEAR(A133),MONTH(A133)+1,1),crm_orders!$E:$E,B133,crm_orders!$G:$G,C133,crm_orders!$H:$H,D133)</f>
        <v>0</v>
      </c>
      <c r="G133" s="29">
        <f>SUMIFS(warehouse_shipments!$H:$H,warehouse_shipments!$C:$C,"&gt;="&amp;A133,warehouse_shipments!$C:$C,"&lt;"&amp;DATE(YEAR(A133),MONTH(A133)+1,1),warehouse_shipments!$P:$P,B133,warehouse_shipments!$Q:$Q,C133,warehouse_shipments!$R:$R,D133)</f>
        <v>0</v>
      </c>
      <c r="H133" s="30">
        <f t="shared" si="1"/>
        <v>-218</v>
      </c>
      <c r="I133" s="65">
        <f t="shared" si="2"/>
        <v>0</v>
      </c>
      <c r="J133" s="30" t="s">
        <v>5311</v>
      </c>
    </row>
    <row r="134" ht="15.75" customHeight="1">
      <c r="A134" s="18">
        <v>46023.0</v>
      </c>
      <c r="B134" s="17" t="s">
        <v>4261</v>
      </c>
      <c r="C134" s="17" t="s">
        <v>67</v>
      </c>
      <c r="D134" s="17" t="s">
        <v>90</v>
      </c>
      <c r="E134" s="21">
        <v>403.0</v>
      </c>
      <c r="F134" s="21">
        <f>SUMIFS(crm_orders!$J:$J,crm_orders!$B:$B,"&gt;="&amp;A134,crm_orders!$B:$B,"&lt;"&amp;DATE(YEAR(A134),MONTH(A134)+1,1),crm_orders!$E:$E,B134,crm_orders!$G:$G,C134,crm_orders!$H:$H,D134)</f>
        <v>0</v>
      </c>
      <c r="G134" s="21">
        <f>SUMIFS(warehouse_shipments!$H:$H,warehouse_shipments!$C:$C,"&gt;="&amp;A134,warehouse_shipments!$C:$C,"&lt;"&amp;DATE(YEAR(A134),MONTH(A134)+1,1),warehouse_shipments!$P:$P,B134,warehouse_shipments!$Q:$Q,C134,warehouse_shipments!$R:$R,D134)</f>
        <v>0</v>
      </c>
      <c r="H134" s="22">
        <f t="shared" si="1"/>
        <v>-403</v>
      </c>
      <c r="I134" s="64">
        <f t="shared" si="2"/>
        <v>0</v>
      </c>
      <c r="J134" s="22" t="s">
        <v>5309</v>
      </c>
    </row>
    <row r="135" ht="15.75" customHeight="1">
      <c r="A135" s="26">
        <v>46023.0</v>
      </c>
      <c r="B135" s="25" t="s">
        <v>4261</v>
      </c>
      <c r="C135" s="25" t="s">
        <v>67</v>
      </c>
      <c r="D135" s="25" t="s">
        <v>110</v>
      </c>
      <c r="E135" s="29">
        <v>308.0</v>
      </c>
      <c r="F135" s="29">
        <f>SUMIFS(crm_orders!$J:$J,crm_orders!$B:$B,"&gt;="&amp;A135,crm_orders!$B:$B,"&lt;"&amp;DATE(YEAR(A135),MONTH(A135)+1,1),crm_orders!$E:$E,B135,crm_orders!$G:$G,C135,crm_orders!$H:$H,D135)</f>
        <v>0</v>
      </c>
      <c r="G135" s="29">
        <f>SUMIFS(warehouse_shipments!$H:$H,warehouse_shipments!$C:$C,"&gt;="&amp;A135,warehouse_shipments!$C:$C,"&lt;"&amp;DATE(YEAR(A135),MONTH(A135)+1,1),warehouse_shipments!$P:$P,B135,warehouse_shipments!$Q:$Q,C135,warehouse_shipments!$R:$R,D135)</f>
        <v>0</v>
      </c>
      <c r="H135" s="30">
        <f t="shared" si="1"/>
        <v>-308</v>
      </c>
      <c r="I135" s="65">
        <f t="shared" si="2"/>
        <v>0</v>
      </c>
      <c r="J135" s="30" t="s">
        <v>5306</v>
      </c>
    </row>
    <row r="136" ht="15.75" customHeight="1">
      <c r="A136" s="18">
        <v>46023.0</v>
      </c>
      <c r="B136" s="17" t="s">
        <v>4261</v>
      </c>
      <c r="C136" s="17" t="s">
        <v>67</v>
      </c>
      <c r="D136" s="17" t="s">
        <v>106</v>
      </c>
      <c r="E136" s="21">
        <v>455.0</v>
      </c>
      <c r="F136" s="21">
        <f>SUMIFS(crm_orders!$J:$J,crm_orders!$B:$B,"&gt;="&amp;A136,crm_orders!$B:$B,"&lt;"&amp;DATE(YEAR(A136),MONTH(A136)+1,1),crm_orders!$E:$E,B136,crm_orders!$G:$G,C136,crm_orders!$H:$H,D136)</f>
        <v>0</v>
      </c>
      <c r="G136" s="21">
        <f>SUMIFS(warehouse_shipments!$H:$H,warehouse_shipments!$C:$C,"&gt;="&amp;A136,warehouse_shipments!$C:$C,"&lt;"&amp;DATE(YEAR(A136),MONTH(A136)+1,1),warehouse_shipments!$P:$P,B136,warehouse_shipments!$Q:$Q,C136,warehouse_shipments!$R:$R,D136)</f>
        <v>0</v>
      </c>
      <c r="H136" s="22">
        <f t="shared" si="1"/>
        <v>-455</v>
      </c>
      <c r="I136" s="64">
        <f t="shared" si="2"/>
        <v>0</v>
      </c>
      <c r="J136" s="22" t="s">
        <v>5306</v>
      </c>
    </row>
    <row r="137" ht="15.75" customHeight="1">
      <c r="A137" s="26">
        <v>46023.0</v>
      </c>
      <c r="B137" s="25" t="s">
        <v>4261</v>
      </c>
      <c r="C137" s="25" t="s">
        <v>67</v>
      </c>
      <c r="D137" s="25" t="s">
        <v>74</v>
      </c>
      <c r="E137" s="29">
        <v>366.0</v>
      </c>
      <c r="F137" s="29">
        <f>SUMIFS(crm_orders!$J:$J,crm_orders!$B:$B,"&gt;="&amp;A137,crm_orders!$B:$B,"&lt;"&amp;DATE(YEAR(A137),MONTH(A137)+1,1),crm_orders!$E:$E,B137,crm_orders!$G:$G,C137,crm_orders!$H:$H,D137)</f>
        <v>0</v>
      </c>
      <c r="G137" s="29">
        <f>SUMIFS(warehouse_shipments!$H:$H,warehouse_shipments!$C:$C,"&gt;="&amp;A137,warehouse_shipments!$C:$C,"&lt;"&amp;DATE(YEAR(A137),MONTH(A137)+1,1),warehouse_shipments!$P:$P,B137,warehouse_shipments!$Q:$Q,C137,warehouse_shipments!$R:$R,D137)</f>
        <v>0</v>
      </c>
      <c r="H137" s="30">
        <f t="shared" si="1"/>
        <v>-366</v>
      </c>
      <c r="I137" s="65">
        <f t="shared" si="2"/>
        <v>0</v>
      </c>
      <c r="J137" s="30" t="s">
        <v>5309</v>
      </c>
    </row>
    <row r="138" ht="15.75" customHeight="1">
      <c r="A138" s="18">
        <v>46023.0</v>
      </c>
      <c r="B138" s="17" t="s">
        <v>4261</v>
      </c>
      <c r="C138" s="17" t="s">
        <v>89</v>
      </c>
      <c r="D138" s="17" t="s">
        <v>81</v>
      </c>
      <c r="E138" s="21">
        <v>108.0</v>
      </c>
      <c r="F138" s="21">
        <f>SUMIFS(crm_orders!$J:$J,crm_orders!$B:$B,"&gt;="&amp;A138,crm_orders!$B:$B,"&lt;"&amp;DATE(YEAR(A138),MONTH(A138)+1,1),crm_orders!$E:$E,B138,crm_orders!$G:$G,C138,crm_orders!$H:$H,D138)</f>
        <v>0</v>
      </c>
      <c r="G138" s="21">
        <f>SUMIFS(warehouse_shipments!$H:$H,warehouse_shipments!$C:$C,"&gt;="&amp;A138,warehouse_shipments!$C:$C,"&lt;"&amp;DATE(YEAR(A138),MONTH(A138)+1,1),warehouse_shipments!$P:$P,B138,warehouse_shipments!$Q:$Q,C138,warehouse_shipments!$R:$R,D138)</f>
        <v>0</v>
      </c>
      <c r="H138" s="22">
        <f t="shared" si="1"/>
        <v>-108</v>
      </c>
      <c r="I138" s="64">
        <f t="shared" si="2"/>
        <v>0</v>
      </c>
      <c r="J138" s="22" t="s">
        <v>5306</v>
      </c>
    </row>
    <row r="139" ht="15.75" customHeight="1">
      <c r="A139" s="26">
        <v>46023.0</v>
      </c>
      <c r="B139" s="25" t="s">
        <v>4261</v>
      </c>
      <c r="C139" s="25" t="s">
        <v>89</v>
      </c>
      <c r="D139" s="25" t="s">
        <v>154</v>
      </c>
      <c r="E139" s="29">
        <v>297.0</v>
      </c>
      <c r="F139" s="29">
        <f>SUMIFS(crm_orders!$J:$J,crm_orders!$B:$B,"&gt;="&amp;A139,crm_orders!$B:$B,"&lt;"&amp;DATE(YEAR(A139),MONTH(A139)+1,1),crm_orders!$E:$E,B139,crm_orders!$G:$G,C139,crm_orders!$H:$H,D139)</f>
        <v>0</v>
      </c>
      <c r="G139" s="29">
        <f>SUMIFS(warehouse_shipments!$H:$H,warehouse_shipments!$C:$C,"&gt;="&amp;A139,warehouse_shipments!$C:$C,"&lt;"&amp;DATE(YEAR(A139),MONTH(A139)+1,1),warehouse_shipments!$P:$P,B139,warehouse_shipments!$Q:$Q,C139,warehouse_shipments!$R:$R,D139)</f>
        <v>0</v>
      </c>
      <c r="H139" s="30">
        <f t="shared" si="1"/>
        <v>-297</v>
      </c>
      <c r="I139" s="65">
        <f t="shared" si="2"/>
        <v>0</v>
      </c>
      <c r="J139" s="30" t="s">
        <v>5308</v>
      </c>
    </row>
    <row r="140" ht="15.75" customHeight="1">
      <c r="A140" s="18">
        <v>46023.0</v>
      </c>
      <c r="B140" s="17" t="s">
        <v>4261</v>
      </c>
      <c r="C140" s="17" t="s">
        <v>89</v>
      </c>
      <c r="D140" s="17" t="s">
        <v>162</v>
      </c>
      <c r="E140" s="21">
        <v>93.0</v>
      </c>
      <c r="F140" s="21">
        <f>SUMIFS(crm_orders!$J:$J,crm_orders!$B:$B,"&gt;="&amp;A140,crm_orders!$B:$B,"&lt;"&amp;DATE(YEAR(A140),MONTH(A140)+1,1),crm_orders!$E:$E,B140,crm_orders!$G:$G,C140,crm_orders!$H:$H,D140)</f>
        <v>0</v>
      </c>
      <c r="G140" s="21">
        <f>SUMIFS(warehouse_shipments!$H:$H,warehouse_shipments!$C:$C,"&gt;="&amp;A140,warehouse_shipments!$C:$C,"&lt;"&amp;DATE(YEAR(A140),MONTH(A140)+1,1),warehouse_shipments!$P:$P,B140,warehouse_shipments!$Q:$Q,C140,warehouse_shipments!$R:$R,D140)</f>
        <v>0</v>
      </c>
      <c r="H140" s="22">
        <f t="shared" si="1"/>
        <v>-93</v>
      </c>
      <c r="I140" s="64">
        <f t="shared" si="2"/>
        <v>0</v>
      </c>
      <c r="J140" s="22" t="s">
        <v>5311</v>
      </c>
    </row>
    <row r="141" ht="15.75" customHeight="1">
      <c r="A141" s="26">
        <v>46023.0</v>
      </c>
      <c r="B141" s="25" t="s">
        <v>4261</v>
      </c>
      <c r="C141" s="25" t="s">
        <v>89</v>
      </c>
      <c r="D141" s="25" t="s">
        <v>102</v>
      </c>
      <c r="E141" s="29">
        <v>116.0</v>
      </c>
      <c r="F141" s="29">
        <f>SUMIFS(crm_orders!$J:$J,crm_orders!$B:$B,"&gt;="&amp;A141,crm_orders!$B:$B,"&lt;"&amp;DATE(YEAR(A141),MONTH(A141)+1,1),crm_orders!$E:$E,B141,crm_orders!$G:$G,C141,crm_orders!$H:$H,D141)</f>
        <v>0</v>
      </c>
      <c r="G141" s="29">
        <f>SUMIFS(warehouse_shipments!$H:$H,warehouse_shipments!$C:$C,"&gt;="&amp;A141,warehouse_shipments!$C:$C,"&lt;"&amp;DATE(YEAR(A141),MONTH(A141)+1,1),warehouse_shipments!$P:$P,B141,warehouse_shipments!$Q:$Q,C141,warehouse_shipments!$R:$R,D141)</f>
        <v>0</v>
      </c>
      <c r="H141" s="30">
        <f t="shared" si="1"/>
        <v>-116</v>
      </c>
      <c r="I141" s="65">
        <f t="shared" si="2"/>
        <v>0</v>
      </c>
      <c r="J141" s="30" t="s">
        <v>5311</v>
      </c>
    </row>
    <row r="142" ht="15.75" customHeight="1">
      <c r="A142" s="18">
        <v>46023.0</v>
      </c>
      <c r="B142" s="17" t="s">
        <v>4261</v>
      </c>
      <c r="C142" s="17" t="s">
        <v>89</v>
      </c>
      <c r="D142" s="17" t="s">
        <v>71</v>
      </c>
      <c r="E142" s="21">
        <v>387.0</v>
      </c>
      <c r="F142" s="21">
        <f>SUMIFS(crm_orders!$J:$J,crm_orders!$B:$B,"&gt;="&amp;A142,crm_orders!$B:$B,"&lt;"&amp;DATE(YEAR(A142),MONTH(A142)+1,1),crm_orders!$E:$E,B142,crm_orders!$G:$G,C142,crm_orders!$H:$H,D142)</f>
        <v>0</v>
      </c>
      <c r="G142" s="21">
        <f>SUMIFS(warehouse_shipments!$H:$H,warehouse_shipments!$C:$C,"&gt;="&amp;A142,warehouse_shipments!$C:$C,"&lt;"&amp;DATE(YEAR(A142),MONTH(A142)+1,1),warehouse_shipments!$P:$P,B142,warehouse_shipments!$Q:$Q,C142,warehouse_shipments!$R:$R,D142)</f>
        <v>0</v>
      </c>
      <c r="H142" s="22">
        <f t="shared" si="1"/>
        <v>-387</v>
      </c>
      <c r="I142" s="64">
        <f t="shared" si="2"/>
        <v>0</v>
      </c>
      <c r="J142" s="22" t="s">
        <v>5311</v>
      </c>
    </row>
    <row r="143" ht="15.75" customHeight="1">
      <c r="A143" s="26">
        <v>46023.0</v>
      </c>
      <c r="B143" s="25" t="s">
        <v>4261</v>
      </c>
      <c r="C143" s="25" t="s">
        <v>89</v>
      </c>
      <c r="D143" s="25" t="s">
        <v>90</v>
      </c>
      <c r="E143" s="29">
        <v>313.0</v>
      </c>
      <c r="F143" s="29">
        <f>SUMIFS(crm_orders!$J:$J,crm_orders!$B:$B,"&gt;="&amp;A143,crm_orders!$B:$B,"&lt;"&amp;DATE(YEAR(A143),MONTH(A143)+1,1),crm_orders!$E:$E,B143,crm_orders!$G:$G,C143,crm_orders!$H:$H,D143)</f>
        <v>0</v>
      </c>
      <c r="G143" s="29">
        <f>SUMIFS(warehouse_shipments!$H:$H,warehouse_shipments!$C:$C,"&gt;="&amp;A143,warehouse_shipments!$C:$C,"&lt;"&amp;DATE(YEAR(A143),MONTH(A143)+1,1),warehouse_shipments!$P:$P,B143,warehouse_shipments!$Q:$Q,C143,warehouse_shipments!$R:$R,D143)</f>
        <v>0</v>
      </c>
      <c r="H143" s="30">
        <f t="shared" si="1"/>
        <v>-313</v>
      </c>
      <c r="I143" s="65">
        <f t="shared" si="2"/>
        <v>0</v>
      </c>
      <c r="J143" s="30" t="s">
        <v>5308</v>
      </c>
    </row>
    <row r="144" ht="15.75" customHeight="1">
      <c r="A144" s="18">
        <v>46023.0</v>
      </c>
      <c r="B144" s="17" t="s">
        <v>4261</v>
      </c>
      <c r="C144" s="17" t="s">
        <v>89</v>
      </c>
      <c r="D144" s="17" t="s">
        <v>78</v>
      </c>
      <c r="E144" s="21">
        <v>133.0</v>
      </c>
      <c r="F144" s="21">
        <f>SUMIFS(crm_orders!$J:$J,crm_orders!$B:$B,"&gt;="&amp;A144,crm_orders!$B:$B,"&lt;"&amp;DATE(YEAR(A144),MONTH(A144)+1,1),crm_orders!$E:$E,B144,crm_orders!$G:$G,C144,crm_orders!$H:$H,D144)</f>
        <v>0</v>
      </c>
      <c r="G144" s="21">
        <f>SUMIFS(warehouse_shipments!$H:$H,warehouse_shipments!$C:$C,"&gt;="&amp;A144,warehouse_shipments!$C:$C,"&lt;"&amp;DATE(YEAR(A144),MONTH(A144)+1,1),warehouse_shipments!$P:$P,B144,warehouse_shipments!$Q:$Q,C144,warehouse_shipments!$R:$R,D144)</f>
        <v>0</v>
      </c>
      <c r="H144" s="22">
        <f t="shared" si="1"/>
        <v>-133</v>
      </c>
      <c r="I144" s="64">
        <f t="shared" si="2"/>
        <v>0</v>
      </c>
      <c r="J144" s="22" t="s">
        <v>5310</v>
      </c>
    </row>
    <row r="145" ht="15.75" customHeight="1">
      <c r="A145" s="26">
        <v>46023.0</v>
      </c>
      <c r="B145" s="25" t="s">
        <v>4261</v>
      </c>
      <c r="C145" s="25" t="s">
        <v>89</v>
      </c>
      <c r="D145" s="25" t="s">
        <v>64</v>
      </c>
      <c r="E145" s="29">
        <v>355.0</v>
      </c>
      <c r="F145" s="29">
        <f>SUMIFS(crm_orders!$J:$J,crm_orders!$B:$B,"&gt;="&amp;A145,crm_orders!$B:$B,"&lt;"&amp;DATE(YEAR(A145),MONTH(A145)+1,1),crm_orders!$E:$E,B145,crm_orders!$G:$G,C145,crm_orders!$H:$H,D145)</f>
        <v>0</v>
      </c>
      <c r="G145" s="29">
        <f>SUMIFS(warehouse_shipments!$H:$H,warehouse_shipments!$C:$C,"&gt;="&amp;A145,warehouse_shipments!$C:$C,"&lt;"&amp;DATE(YEAR(A145),MONTH(A145)+1,1),warehouse_shipments!$P:$P,B145,warehouse_shipments!$Q:$Q,C145,warehouse_shipments!$R:$R,D145)</f>
        <v>0</v>
      </c>
      <c r="H145" s="30">
        <f t="shared" si="1"/>
        <v>-355</v>
      </c>
      <c r="I145" s="65">
        <f t="shared" si="2"/>
        <v>0</v>
      </c>
      <c r="J145" s="30" t="s">
        <v>5311</v>
      </c>
    </row>
    <row r="146" ht="15.75" customHeight="1">
      <c r="A146" s="18">
        <v>46023.0</v>
      </c>
      <c r="B146" s="17" t="s">
        <v>4323</v>
      </c>
      <c r="C146" s="17" t="s">
        <v>63</v>
      </c>
      <c r="D146" s="17" t="s">
        <v>92</v>
      </c>
      <c r="E146" s="21">
        <v>493.0</v>
      </c>
      <c r="F146" s="21">
        <f>SUMIFS(crm_orders!$J:$J,crm_orders!$B:$B,"&gt;="&amp;A146,crm_orders!$B:$B,"&lt;"&amp;DATE(YEAR(A146),MONTH(A146)+1,1),crm_orders!$E:$E,B146,crm_orders!$G:$G,C146,crm_orders!$H:$H,D146)</f>
        <v>102</v>
      </c>
      <c r="G146" s="21">
        <f>SUMIFS(warehouse_shipments!$H:$H,warehouse_shipments!$C:$C,"&gt;="&amp;A146,warehouse_shipments!$C:$C,"&lt;"&amp;DATE(YEAR(A146),MONTH(A146)+1,1),warehouse_shipments!$P:$P,B146,warehouse_shipments!$Q:$Q,C146,warehouse_shipments!$R:$R,D146)</f>
        <v>6</v>
      </c>
      <c r="H146" s="22">
        <f t="shared" si="1"/>
        <v>-391</v>
      </c>
      <c r="I146" s="64">
        <f t="shared" si="2"/>
        <v>0.2068965517</v>
      </c>
      <c r="J146" s="22" t="s">
        <v>5310</v>
      </c>
    </row>
    <row r="147" ht="15.75" customHeight="1">
      <c r="A147" s="26">
        <v>46023.0</v>
      </c>
      <c r="B147" s="25" t="s">
        <v>4323</v>
      </c>
      <c r="C147" s="25" t="s">
        <v>63</v>
      </c>
      <c r="D147" s="25" t="s">
        <v>154</v>
      </c>
      <c r="E147" s="29">
        <v>152.0</v>
      </c>
      <c r="F147" s="29">
        <f>SUMIFS(crm_orders!$J:$J,crm_orders!$B:$B,"&gt;="&amp;A147,crm_orders!$B:$B,"&lt;"&amp;DATE(YEAR(A147),MONTH(A147)+1,1),crm_orders!$E:$E,B147,crm_orders!$G:$G,C147,crm_orders!$H:$H,D147)</f>
        <v>120</v>
      </c>
      <c r="G147" s="29">
        <f>SUMIFS(warehouse_shipments!$H:$H,warehouse_shipments!$C:$C,"&gt;="&amp;A147,warehouse_shipments!$C:$C,"&lt;"&amp;DATE(YEAR(A147),MONTH(A147)+1,1),warehouse_shipments!$P:$P,B147,warehouse_shipments!$Q:$Q,C147,warehouse_shipments!$R:$R,D147)</f>
        <v>96</v>
      </c>
      <c r="H147" s="30">
        <f t="shared" si="1"/>
        <v>-32</v>
      </c>
      <c r="I147" s="65">
        <f t="shared" si="2"/>
        <v>0.7894736842</v>
      </c>
      <c r="J147" s="30" t="s">
        <v>5310</v>
      </c>
    </row>
    <row r="148" ht="15.75" customHeight="1">
      <c r="A148" s="18">
        <v>46023.0</v>
      </c>
      <c r="B148" s="17" t="s">
        <v>4323</v>
      </c>
      <c r="C148" s="17" t="s">
        <v>63</v>
      </c>
      <c r="D148" s="17" t="s">
        <v>95</v>
      </c>
      <c r="E148" s="21">
        <v>197.0</v>
      </c>
      <c r="F148" s="21">
        <f>SUMIFS(crm_orders!$J:$J,crm_orders!$B:$B,"&gt;="&amp;A148,crm_orders!$B:$B,"&lt;"&amp;DATE(YEAR(A148),MONTH(A148)+1,1),crm_orders!$E:$E,B148,crm_orders!$G:$G,C148,crm_orders!$H:$H,D148)</f>
        <v>0</v>
      </c>
      <c r="G148" s="21">
        <f>SUMIFS(warehouse_shipments!$H:$H,warehouse_shipments!$C:$C,"&gt;="&amp;A148,warehouse_shipments!$C:$C,"&lt;"&amp;DATE(YEAR(A148),MONTH(A148)+1,1),warehouse_shipments!$P:$P,B148,warehouse_shipments!$Q:$Q,C148,warehouse_shipments!$R:$R,D148)</f>
        <v>0</v>
      </c>
      <c r="H148" s="22">
        <f t="shared" si="1"/>
        <v>-197</v>
      </c>
      <c r="I148" s="64">
        <f t="shared" si="2"/>
        <v>0</v>
      </c>
      <c r="J148" s="22" t="s">
        <v>5310</v>
      </c>
    </row>
    <row r="149" ht="15.75" customHeight="1">
      <c r="A149" s="26">
        <v>46023.0</v>
      </c>
      <c r="B149" s="25" t="s">
        <v>4323</v>
      </c>
      <c r="C149" s="25" t="s">
        <v>63</v>
      </c>
      <c r="D149" s="25" t="s">
        <v>85</v>
      </c>
      <c r="E149" s="29">
        <v>355.0</v>
      </c>
      <c r="F149" s="29">
        <f>SUMIFS(crm_orders!$J:$J,crm_orders!$B:$B,"&gt;="&amp;A149,crm_orders!$B:$B,"&lt;"&amp;DATE(YEAR(A149),MONTH(A149)+1,1),crm_orders!$E:$E,B149,crm_orders!$G:$G,C149,crm_orders!$H:$H,D149)</f>
        <v>30</v>
      </c>
      <c r="G149" s="29">
        <f>SUMIFS(warehouse_shipments!$H:$H,warehouse_shipments!$C:$C,"&gt;="&amp;A149,warehouse_shipments!$C:$C,"&lt;"&amp;DATE(YEAR(A149),MONTH(A149)+1,1),warehouse_shipments!$P:$P,B149,warehouse_shipments!$Q:$Q,C149,warehouse_shipments!$R:$R,D149)</f>
        <v>30</v>
      </c>
      <c r="H149" s="30">
        <f t="shared" si="1"/>
        <v>-325</v>
      </c>
      <c r="I149" s="65">
        <f t="shared" si="2"/>
        <v>0.08450704225</v>
      </c>
      <c r="J149" s="30" t="s">
        <v>5308</v>
      </c>
    </row>
    <row r="150" ht="15.75" customHeight="1">
      <c r="A150" s="18">
        <v>46023.0</v>
      </c>
      <c r="B150" s="17" t="s">
        <v>4323</v>
      </c>
      <c r="C150" s="17" t="s">
        <v>63</v>
      </c>
      <c r="D150" s="17" t="s">
        <v>81</v>
      </c>
      <c r="E150" s="21">
        <v>488.0</v>
      </c>
      <c r="F150" s="21">
        <f>SUMIFS(crm_orders!$J:$J,crm_orders!$B:$B,"&gt;="&amp;A150,crm_orders!$B:$B,"&lt;"&amp;DATE(YEAR(A150),MONTH(A150)+1,1),crm_orders!$E:$E,B150,crm_orders!$G:$G,C150,crm_orders!$H:$H,D150)</f>
        <v>0</v>
      </c>
      <c r="G150" s="21">
        <f>SUMIFS(warehouse_shipments!$H:$H,warehouse_shipments!$C:$C,"&gt;="&amp;A150,warehouse_shipments!$C:$C,"&lt;"&amp;DATE(YEAR(A150),MONTH(A150)+1,1),warehouse_shipments!$P:$P,B150,warehouse_shipments!$Q:$Q,C150,warehouse_shipments!$R:$R,D150)</f>
        <v>0</v>
      </c>
      <c r="H150" s="22">
        <f t="shared" si="1"/>
        <v>-488</v>
      </c>
      <c r="I150" s="64">
        <f t="shared" si="2"/>
        <v>0</v>
      </c>
      <c r="J150" s="22" t="s">
        <v>5306</v>
      </c>
    </row>
    <row r="151" ht="15.75" customHeight="1">
      <c r="A151" s="26">
        <v>46023.0</v>
      </c>
      <c r="B151" s="25" t="s">
        <v>4323</v>
      </c>
      <c r="C151" s="25" t="s">
        <v>63</v>
      </c>
      <c r="D151" s="25" t="s">
        <v>162</v>
      </c>
      <c r="E151" s="29">
        <v>269.0</v>
      </c>
      <c r="F151" s="29">
        <f>SUMIFS(crm_orders!$J:$J,crm_orders!$B:$B,"&gt;="&amp;A151,crm_orders!$B:$B,"&lt;"&amp;DATE(YEAR(A151),MONTH(A151)+1,1),crm_orders!$E:$E,B151,crm_orders!$G:$G,C151,crm_orders!$H:$H,D151)</f>
        <v>0</v>
      </c>
      <c r="G151" s="29">
        <f>SUMIFS(warehouse_shipments!$H:$H,warehouse_shipments!$C:$C,"&gt;="&amp;A151,warehouse_shipments!$C:$C,"&lt;"&amp;DATE(YEAR(A151),MONTH(A151)+1,1),warehouse_shipments!$P:$P,B151,warehouse_shipments!$Q:$Q,C151,warehouse_shipments!$R:$R,D151)</f>
        <v>0</v>
      </c>
      <c r="H151" s="30">
        <f t="shared" si="1"/>
        <v>-269</v>
      </c>
      <c r="I151" s="65">
        <f t="shared" si="2"/>
        <v>0</v>
      </c>
      <c r="J151" s="30" t="s">
        <v>5307</v>
      </c>
    </row>
    <row r="152" ht="15.75" customHeight="1">
      <c r="A152" s="18">
        <v>46023.0</v>
      </c>
      <c r="B152" s="17" t="s">
        <v>4323</v>
      </c>
      <c r="C152" s="17" t="s">
        <v>63</v>
      </c>
      <c r="D152" s="17" t="s">
        <v>71</v>
      </c>
      <c r="E152" s="21">
        <v>438.0</v>
      </c>
      <c r="F152" s="21">
        <f>SUMIFS(crm_orders!$J:$J,crm_orders!$B:$B,"&gt;="&amp;A152,crm_orders!$B:$B,"&lt;"&amp;DATE(YEAR(A152),MONTH(A152)+1,1),crm_orders!$E:$E,B152,crm_orders!$G:$G,C152,crm_orders!$H:$H,D152)</f>
        <v>0</v>
      </c>
      <c r="G152" s="21">
        <f>SUMIFS(warehouse_shipments!$H:$H,warehouse_shipments!$C:$C,"&gt;="&amp;A152,warehouse_shipments!$C:$C,"&lt;"&amp;DATE(YEAR(A152),MONTH(A152)+1,1),warehouse_shipments!$P:$P,B152,warehouse_shipments!$Q:$Q,C152,warehouse_shipments!$R:$R,D152)</f>
        <v>0</v>
      </c>
      <c r="H152" s="22">
        <f t="shared" si="1"/>
        <v>-438</v>
      </c>
      <c r="I152" s="64">
        <f t="shared" si="2"/>
        <v>0</v>
      </c>
      <c r="J152" s="22" t="s">
        <v>5310</v>
      </c>
    </row>
    <row r="153" ht="15.75" customHeight="1">
      <c r="A153" s="26">
        <v>46023.0</v>
      </c>
      <c r="B153" s="25" t="s">
        <v>4323</v>
      </c>
      <c r="C153" s="25" t="s">
        <v>63</v>
      </c>
      <c r="D153" s="25" t="s">
        <v>115</v>
      </c>
      <c r="E153" s="29">
        <v>339.0</v>
      </c>
      <c r="F153" s="29">
        <f>SUMIFS(crm_orders!$J:$J,crm_orders!$B:$B,"&gt;="&amp;A153,crm_orders!$B:$B,"&lt;"&amp;DATE(YEAR(A153),MONTH(A153)+1,1),crm_orders!$E:$E,B153,crm_orders!$G:$G,C153,crm_orders!$H:$H,D153)</f>
        <v>72</v>
      </c>
      <c r="G153" s="29">
        <f>SUMIFS(warehouse_shipments!$H:$H,warehouse_shipments!$C:$C,"&gt;="&amp;A153,warehouse_shipments!$C:$C,"&lt;"&amp;DATE(YEAR(A153),MONTH(A153)+1,1),warehouse_shipments!$P:$P,B153,warehouse_shipments!$Q:$Q,C153,warehouse_shipments!$R:$R,D153)</f>
        <v>72</v>
      </c>
      <c r="H153" s="30">
        <f t="shared" si="1"/>
        <v>-267</v>
      </c>
      <c r="I153" s="65">
        <f t="shared" si="2"/>
        <v>0.2123893805</v>
      </c>
      <c r="J153" s="30" t="s">
        <v>5308</v>
      </c>
    </row>
    <row r="154" ht="15.75" customHeight="1">
      <c r="A154" s="18">
        <v>46023.0</v>
      </c>
      <c r="B154" s="17" t="s">
        <v>4323</v>
      </c>
      <c r="C154" s="17" t="s">
        <v>67</v>
      </c>
      <c r="D154" s="17" t="s">
        <v>64</v>
      </c>
      <c r="E154" s="21">
        <v>183.0</v>
      </c>
      <c r="F154" s="21">
        <f>SUMIFS(crm_orders!$J:$J,crm_orders!$B:$B,"&gt;="&amp;A154,crm_orders!$B:$B,"&lt;"&amp;DATE(YEAR(A154),MONTH(A154)+1,1),crm_orders!$E:$E,B154,crm_orders!$G:$G,C154,crm_orders!$H:$H,D154)</f>
        <v>0</v>
      </c>
      <c r="G154" s="21">
        <f>SUMIFS(warehouse_shipments!$H:$H,warehouse_shipments!$C:$C,"&gt;="&amp;A154,warehouse_shipments!$C:$C,"&lt;"&amp;DATE(YEAR(A154),MONTH(A154)+1,1),warehouse_shipments!$P:$P,B154,warehouse_shipments!$Q:$Q,C154,warehouse_shipments!$R:$R,D154)</f>
        <v>0</v>
      </c>
      <c r="H154" s="22">
        <f t="shared" si="1"/>
        <v>-183</v>
      </c>
      <c r="I154" s="64">
        <f t="shared" si="2"/>
        <v>0</v>
      </c>
      <c r="J154" s="22" t="s">
        <v>5309</v>
      </c>
    </row>
    <row r="155" ht="15.75" customHeight="1">
      <c r="A155" s="26">
        <v>46023.0</v>
      </c>
      <c r="B155" s="25" t="s">
        <v>4323</v>
      </c>
      <c r="C155" s="25" t="s">
        <v>67</v>
      </c>
      <c r="D155" s="25" t="s">
        <v>154</v>
      </c>
      <c r="E155" s="29">
        <v>354.0</v>
      </c>
      <c r="F155" s="29">
        <f>SUMIFS(crm_orders!$J:$J,crm_orders!$B:$B,"&gt;="&amp;A155,crm_orders!$B:$B,"&lt;"&amp;DATE(YEAR(A155),MONTH(A155)+1,1),crm_orders!$E:$E,B155,crm_orders!$G:$G,C155,crm_orders!$H:$H,D155)</f>
        <v>0</v>
      </c>
      <c r="G155" s="29">
        <f>SUMIFS(warehouse_shipments!$H:$H,warehouse_shipments!$C:$C,"&gt;="&amp;A155,warehouse_shipments!$C:$C,"&lt;"&amp;DATE(YEAR(A155),MONTH(A155)+1,1),warehouse_shipments!$P:$P,B155,warehouse_shipments!$Q:$Q,C155,warehouse_shipments!$R:$R,D155)</f>
        <v>0</v>
      </c>
      <c r="H155" s="30">
        <f t="shared" si="1"/>
        <v>-354</v>
      </c>
      <c r="I155" s="65">
        <f t="shared" si="2"/>
        <v>0</v>
      </c>
      <c r="J155" s="30" t="s">
        <v>5308</v>
      </c>
    </row>
    <row r="156" ht="15.75" customHeight="1">
      <c r="A156" s="18">
        <v>46023.0</v>
      </c>
      <c r="B156" s="17" t="s">
        <v>4323</v>
      </c>
      <c r="C156" s="17" t="s">
        <v>67</v>
      </c>
      <c r="D156" s="17" t="s">
        <v>106</v>
      </c>
      <c r="E156" s="21">
        <v>352.0</v>
      </c>
      <c r="F156" s="21">
        <f>SUMIFS(crm_orders!$J:$J,crm_orders!$B:$B,"&gt;="&amp;A156,crm_orders!$B:$B,"&lt;"&amp;DATE(YEAR(A156),MONTH(A156)+1,1),crm_orders!$E:$E,B156,crm_orders!$G:$G,C156,crm_orders!$H:$H,D156)</f>
        <v>0</v>
      </c>
      <c r="G156" s="21">
        <f>SUMIFS(warehouse_shipments!$H:$H,warehouse_shipments!$C:$C,"&gt;="&amp;A156,warehouse_shipments!$C:$C,"&lt;"&amp;DATE(YEAR(A156),MONTH(A156)+1,1),warehouse_shipments!$P:$P,B156,warehouse_shipments!$Q:$Q,C156,warehouse_shipments!$R:$R,D156)</f>
        <v>0</v>
      </c>
      <c r="H156" s="22">
        <f t="shared" si="1"/>
        <v>-352</v>
      </c>
      <c r="I156" s="64">
        <f t="shared" si="2"/>
        <v>0</v>
      </c>
      <c r="J156" s="22" t="s">
        <v>5308</v>
      </c>
    </row>
    <row r="157" ht="15.75" customHeight="1">
      <c r="A157" s="26">
        <v>46023.0</v>
      </c>
      <c r="B157" s="25" t="s">
        <v>4323</v>
      </c>
      <c r="C157" s="25" t="s">
        <v>67</v>
      </c>
      <c r="D157" s="25" t="s">
        <v>110</v>
      </c>
      <c r="E157" s="29">
        <v>442.0</v>
      </c>
      <c r="F157" s="29">
        <f>SUMIFS(crm_orders!$J:$J,crm_orders!$B:$B,"&gt;="&amp;A157,crm_orders!$B:$B,"&lt;"&amp;DATE(YEAR(A157),MONTH(A157)+1,1),crm_orders!$E:$E,B157,crm_orders!$G:$G,C157,crm_orders!$H:$H,D157)</f>
        <v>0</v>
      </c>
      <c r="G157" s="29">
        <f>SUMIFS(warehouse_shipments!$H:$H,warehouse_shipments!$C:$C,"&gt;="&amp;A157,warehouse_shipments!$C:$C,"&lt;"&amp;DATE(YEAR(A157),MONTH(A157)+1,1),warehouse_shipments!$P:$P,B157,warehouse_shipments!$Q:$Q,C157,warehouse_shipments!$R:$R,D157)</f>
        <v>0</v>
      </c>
      <c r="H157" s="30">
        <f t="shared" si="1"/>
        <v>-442</v>
      </c>
      <c r="I157" s="65">
        <f t="shared" si="2"/>
        <v>0</v>
      </c>
      <c r="J157" s="30" t="s">
        <v>5310</v>
      </c>
    </row>
    <row r="158" ht="15.75" customHeight="1">
      <c r="A158" s="18">
        <v>46023.0</v>
      </c>
      <c r="B158" s="17" t="s">
        <v>4323</v>
      </c>
      <c r="C158" s="17" t="s">
        <v>67</v>
      </c>
      <c r="D158" s="17" t="s">
        <v>68</v>
      </c>
      <c r="E158" s="21">
        <v>252.0</v>
      </c>
      <c r="F158" s="21">
        <f>SUMIFS(crm_orders!$J:$J,crm_orders!$B:$B,"&gt;="&amp;A158,crm_orders!$B:$B,"&lt;"&amp;DATE(YEAR(A158),MONTH(A158)+1,1),crm_orders!$E:$E,B158,crm_orders!$G:$G,C158,crm_orders!$H:$H,D158)</f>
        <v>0</v>
      </c>
      <c r="G158" s="21">
        <f>SUMIFS(warehouse_shipments!$H:$H,warehouse_shipments!$C:$C,"&gt;="&amp;A158,warehouse_shipments!$C:$C,"&lt;"&amp;DATE(YEAR(A158),MONTH(A158)+1,1),warehouse_shipments!$P:$P,B158,warehouse_shipments!$Q:$Q,C158,warehouse_shipments!$R:$R,D158)</f>
        <v>0</v>
      </c>
      <c r="H158" s="22">
        <f t="shared" si="1"/>
        <v>-252</v>
      </c>
      <c r="I158" s="64">
        <f t="shared" si="2"/>
        <v>0</v>
      </c>
      <c r="J158" s="22" t="s">
        <v>5308</v>
      </c>
    </row>
    <row r="159" ht="15.75" customHeight="1">
      <c r="A159" s="26">
        <v>46023.0</v>
      </c>
      <c r="B159" s="25" t="s">
        <v>4323</v>
      </c>
      <c r="C159" s="25" t="s">
        <v>67</v>
      </c>
      <c r="D159" s="25" t="s">
        <v>71</v>
      </c>
      <c r="E159" s="29">
        <v>208.0</v>
      </c>
      <c r="F159" s="29">
        <f>SUMIFS(crm_orders!$J:$J,crm_orders!$B:$B,"&gt;="&amp;A159,crm_orders!$B:$B,"&lt;"&amp;DATE(YEAR(A159),MONTH(A159)+1,1),crm_orders!$E:$E,B159,crm_orders!$G:$G,C159,crm_orders!$H:$H,D159)</f>
        <v>0</v>
      </c>
      <c r="G159" s="29">
        <f>SUMIFS(warehouse_shipments!$H:$H,warehouse_shipments!$C:$C,"&gt;="&amp;A159,warehouse_shipments!$C:$C,"&lt;"&amp;DATE(YEAR(A159),MONTH(A159)+1,1),warehouse_shipments!$P:$P,B159,warehouse_shipments!$Q:$Q,C159,warehouse_shipments!$R:$R,D159)</f>
        <v>0</v>
      </c>
      <c r="H159" s="30">
        <f t="shared" si="1"/>
        <v>-208</v>
      </c>
      <c r="I159" s="65">
        <f t="shared" si="2"/>
        <v>0</v>
      </c>
      <c r="J159" s="30" t="s">
        <v>5307</v>
      </c>
    </row>
    <row r="160" ht="15.75" customHeight="1">
      <c r="A160" s="18">
        <v>46023.0</v>
      </c>
      <c r="B160" s="17" t="s">
        <v>4323</v>
      </c>
      <c r="C160" s="17" t="s">
        <v>67</v>
      </c>
      <c r="D160" s="17" t="s">
        <v>108</v>
      </c>
      <c r="E160" s="21">
        <v>271.0</v>
      </c>
      <c r="F160" s="21">
        <f>SUMIFS(crm_orders!$J:$J,crm_orders!$B:$B,"&gt;="&amp;A160,crm_orders!$B:$B,"&lt;"&amp;DATE(YEAR(A160),MONTH(A160)+1,1),crm_orders!$E:$E,B160,crm_orders!$G:$G,C160,crm_orders!$H:$H,D160)</f>
        <v>0</v>
      </c>
      <c r="G160" s="21">
        <f>SUMIFS(warehouse_shipments!$H:$H,warehouse_shipments!$C:$C,"&gt;="&amp;A160,warehouse_shipments!$C:$C,"&lt;"&amp;DATE(YEAR(A160),MONTH(A160)+1,1),warehouse_shipments!$P:$P,B160,warehouse_shipments!$Q:$Q,C160,warehouse_shipments!$R:$R,D160)</f>
        <v>0</v>
      </c>
      <c r="H160" s="22">
        <f t="shared" si="1"/>
        <v>-271</v>
      </c>
      <c r="I160" s="64">
        <f t="shared" si="2"/>
        <v>0</v>
      </c>
      <c r="J160" s="22" t="s">
        <v>5308</v>
      </c>
    </row>
    <row r="161" ht="15.75" customHeight="1">
      <c r="A161" s="26">
        <v>46023.0</v>
      </c>
      <c r="B161" s="25" t="s">
        <v>4323</v>
      </c>
      <c r="C161" s="25" t="s">
        <v>67</v>
      </c>
      <c r="D161" s="25" t="s">
        <v>123</v>
      </c>
      <c r="E161" s="29">
        <v>130.0</v>
      </c>
      <c r="F161" s="29">
        <f>SUMIFS(crm_orders!$J:$J,crm_orders!$B:$B,"&gt;="&amp;A161,crm_orders!$B:$B,"&lt;"&amp;DATE(YEAR(A161),MONTH(A161)+1,1),crm_orders!$E:$E,B161,crm_orders!$G:$G,C161,crm_orders!$H:$H,D161)</f>
        <v>0</v>
      </c>
      <c r="G161" s="29">
        <f>SUMIFS(warehouse_shipments!$H:$H,warehouse_shipments!$C:$C,"&gt;="&amp;A161,warehouse_shipments!$C:$C,"&lt;"&amp;DATE(YEAR(A161),MONTH(A161)+1,1),warehouse_shipments!$P:$P,B161,warehouse_shipments!$Q:$Q,C161,warehouse_shipments!$R:$R,D161)</f>
        <v>0</v>
      </c>
      <c r="H161" s="30">
        <f t="shared" si="1"/>
        <v>-130</v>
      </c>
      <c r="I161" s="65">
        <f t="shared" si="2"/>
        <v>0</v>
      </c>
      <c r="J161" s="30" t="s">
        <v>5306</v>
      </c>
    </row>
    <row r="162" ht="15.75" customHeight="1">
      <c r="A162" s="18">
        <v>46023.0</v>
      </c>
      <c r="B162" s="17" t="s">
        <v>4323</v>
      </c>
      <c r="C162" s="17" t="s">
        <v>89</v>
      </c>
      <c r="D162" s="17" t="s">
        <v>108</v>
      </c>
      <c r="E162" s="21">
        <v>340.0</v>
      </c>
      <c r="F162" s="21">
        <f>SUMIFS(crm_orders!$J:$J,crm_orders!$B:$B,"&gt;="&amp;A162,crm_orders!$B:$B,"&lt;"&amp;DATE(YEAR(A162),MONTH(A162)+1,1),crm_orders!$E:$E,B162,crm_orders!$G:$G,C162,crm_orders!$H:$H,D162)</f>
        <v>0</v>
      </c>
      <c r="G162" s="21">
        <f>SUMIFS(warehouse_shipments!$H:$H,warehouse_shipments!$C:$C,"&gt;="&amp;A162,warehouse_shipments!$C:$C,"&lt;"&amp;DATE(YEAR(A162),MONTH(A162)+1,1),warehouse_shipments!$P:$P,B162,warehouse_shipments!$Q:$Q,C162,warehouse_shipments!$R:$R,D162)</f>
        <v>0</v>
      </c>
      <c r="H162" s="22">
        <f t="shared" si="1"/>
        <v>-340</v>
      </c>
      <c r="I162" s="64">
        <f t="shared" si="2"/>
        <v>0</v>
      </c>
      <c r="J162" s="22" t="s">
        <v>5310</v>
      </c>
    </row>
    <row r="163" ht="15.75" customHeight="1">
      <c r="A163" s="26">
        <v>46023.0</v>
      </c>
      <c r="B163" s="25" t="s">
        <v>4323</v>
      </c>
      <c r="C163" s="25" t="s">
        <v>89</v>
      </c>
      <c r="D163" s="25" t="s">
        <v>64</v>
      </c>
      <c r="E163" s="29">
        <v>482.0</v>
      </c>
      <c r="F163" s="29">
        <f>SUMIFS(crm_orders!$J:$J,crm_orders!$B:$B,"&gt;="&amp;A163,crm_orders!$B:$B,"&lt;"&amp;DATE(YEAR(A163),MONTH(A163)+1,1),crm_orders!$E:$E,B163,crm_orders!$G:$G,C163,crm_orders!$H:$H,D163)</f>
        <v>0</v>
      </c>
      <c r="G163" s="29">
        <f>SUMIFS(warehouse_shipments!$H:$H,warehouse_shipments!$C:$C,"&gt;="&amp;A163,warehouse_shipments!$C:$C,"&lt;"&amp;DATE(YEAR(A163),MONTH(A163)+1,1),warehouse_shipments!$P:$P,B163,warehouse_shipments!$Q:$Q,C163,warehouse_shipments!$R:$R,D163)</f>
        <v>0</v>
      </c>
      <c r="H163" s="30">
        <f t="shared" si="1"/>
        <v>-482</v>
      </c>
      <c r="I163" s="65">
        <f t="shared" si="2"/>
        <v>0</v>
      </c>
      <c r="J163" s="30" t="s">
        <v>5311</v>
      </c>
    </row>
    <row r="164" ht="15.75" customHeight="1">
      <c r="A164" s="18">
        <v>46023.0</v>
      </c>
      <c r="B164" s="17" t="s">
        <v>4323</v>
      </c>
      <c r="C164" s="17" t="s">
        <v>89</v>
      </c>
      <c r="D164" s="17" t="s">
        <v>74</v>
      </c>
      <c r="E164" s="21">
        <v>487.0</v>
      </c>
      <c r="F164" s="21">
        <f>SUMIFS(crm_orders!$J:$J,crm_orders!$B:$B,"&gt;="&amp;A164,crm_orders!$B:$B,"&lt;"&amp;DATE(YEAR(A164),MONTH(A164)+1,1),crm_orders!$E:$E,B164,crm_orders!$G:$G,C164,crm_orders!$H:$H,D164)</f>
        <v>96</v>
      </c>
      <c r="G164" s="21">
        <f>SUMIFS(warehouse_shipments!$H:$H,warehouse_shipments!$C:$C,"&gt;="&amp;A164,warehouse_shipments!$C:$C,"&lt;"&amp;DATE(YEAR(A164),MONTH(A164)+1,1),warehouse_shipments!$P:$P,B164,warehouse_shipments!$Q:$Q,C164,warehouse_shipments!$R:$R,D164)</f>
        <v>0</v>
      </c>
      <c r="H164" s="22">
        <f t="shared" si="1"/>
        <v>-391</v>
      </c>
      <c r="I164" s="64">
        <f t="shared" si="2"/>
        <v>0.1971252567</v>
      </c>
      <c r="J164" s="22" t="s">
        <v>5311</v>
      </c>
    </row>
    <row r="165" ht="15.75" customHeight="1">
      <c r="A165" s="26">
        <v>46023.0</v>
      </c>
      <c r="B165" s="25" t="s">
        <v>4323</v>
      </c>
      <c r="C165" s="25" t="s">
        <v>89</v>
      </c>
      <c r="D165" s="25" t="s">
        <v>81</v>
      </c>
      <c r="E165" s="29">
        <v>156.0</v>
      </c>
      <c r="F165" s="29">
        <f>SUMIFS(crm_orders!$J:$J,crm_orders!$B:$B,"&gt;="&amp;A165,crm_orders!$B:$B,"&lt;"&amp;DATE(YEAR(A165),MONTH(A165)+1,1),crm_orders!$E:$E,B165,crm_orders!$G:$G,C165,crm_orders!$H:$H,D165)</f>
        <v>24</v>
      </c>
      <c r="G165" s="29">
        <f>SUMIFS(warehouse_shipments!$H:$H,warehouse_shipments!$C:$C,"&gt;="&amp;A165,warehouse_shipments!$C:$C,"&lt;"&amp;DATE(YEAR(A165),MONTH(A165)+1,1),warehouse_shipments!$P:$P,B165,warehouse_shipments!$Q:$Q,C165,warehouse_shipments!$R:$R,D165)</f>
        <v>0</v>
      </c>
      <c r="H165" s="30">
        <f t="shared" si="1"/>
        <v>-132</v>
      </c>
      <c r="I165" s="65">
        <f t="shared" si="2"/>
        <v>0.1538461538</v>
      </c>
      <c r="J165" s="30" t="s">
        <v>5309</v>
      </c>
    </row>
    <row r="166" ht="15.75" customHeight="1">
      <c r="A166" s="18">
        <v>46023.0</v>
      </c>
      <c r="B166" s="17" t="s">
        <v>4323</v>
      </c>
      <c r="C166" s="17" t="s">
        <v>89</v>
      </c>
      <c r="D166" s="17" t="s">
        <v>68</v>
      </c>
      <c r="E166" s="21">
        <v>322.0</v>
      </c>
      <c r="F166" s="21">
        <f>SUMIFS(crm_orders!$J:$J,crm_orders!$B:$B,"&gt;="&amp;A166,crm_orders!$B:$B,"&lt;"&amp;DATE(YEAR(A166),MONTH(A166)+1,1),crm_orders!$E:$E,B166,crm_orders!$G:$G,C166,crm_orders!$H:$H,D166)</f>
        <v>0</v>
      </c>
      <c r="G166" s="21">
        <f>SUMIFS(warehouse_shipments!$H:$H,warehouse_shipments!$C:$C,"&gt;="&amp;A166,warehouse_shipments!$C:$C,"&lt;"&amp;DATE(YEAR(A166),MONTH(A166)+1,1),warehouse_shipments!$P:$P,B166,warehouse_shipments!$Q:$Q,C166,warehouse_shipments!$R:$R,D166)</f>
        <v>0</v>
      </c>
      <c r="H166" s="22">
        <f t="shared" si="1"/>
        <v>-322</v>
      </c>
      <c r="I166" s="64">
        <f t="shared" si="2"/>
        <v>0</v>
      </c>
      <c r="J166" s="22" t="s">
        <v>5306</v>
      </c>
    </row>
    <row r="167" ht="15.75" customHeight="1">
      <c r="A167" s="26">
        <v>46023.0</v>
      </c>
      <c r="B167" s="25" t="s">
        <v>4323</v>
      </c>
      <c r="C167" s="25" t="s">
        <v>89</v>
      </c>
      <c r="D167" s="25" t="s">
        <v>95</v>
      </c>
      <c r="E167" s="29">
        <v>196.0</v>
      </c>
      <c r="F167" s="29">
        <f>SUMIFS(crm_orders!$J:$J,crm_orders!$B:$B,"&gt;="&amp;A167,crm_orders!$B:$B,"&lt;"&amp;DATE(YEAR(A167),MONTH(A167)+1,1),crm_orders!$E:$E,B167,crm_orders!$G:$G,C167,crm_orders!$H:$H,D167)</f>
        <v>0</v>
      </c>
      <c r="G167" s="29">
        <f>SUMIFS(warehouse_shipments!$H:$H,warehouse_shipments!$C:$C,"&gt;="&amp;A167,warehouse_shipments!$C:$C,"&lt;"&amp;DATE(YEAR(A167),MONTH(A167)+1,1),warehouse_shipments!$P:$P,B167,warehouse_shipments!$Q:$Q,C167,warehouse_shipments!$R:$R,D167)</f>
        <v>0</v>
      </c>
      <c r="H167" s="30">
        <f t="shared" si="1"/>
        <v>-196</v>
      </c>
      <c r="I167" s="65">
        <f t="shared" si="2"/>
        <v>0</v>
      </c>
      <c r="J167" s="30" t="s">
        <v>5311</v>
      </c>
    </row>
    <row r="168" ht="15.75" customHeight="1">
      <c r="A168" s="18">
        <v>46023.0</v>
      </c>
      <c r="B168" s="17" t="s">
        <v>4323</v>
      </c>
      <c r="C168" s="17" t="s">
        <v>89</v>
      </c>
      <c r="D168" s="17" t="s">
        <v>154</v>
      </c>
      <c r="E168" s="21">
        <v>182.0</v>
      </c>
      <c r="F168" s="21">
        <f>SUMIFS(crm_orders!$J:$J,crm_orders!$B:$B,"&gt;="&amp;A168,crm_orders!$B:$B,"&lt;"&amp;DATE(YEAR(A168),MONTH(A168)+1,1),crm_orders!$E:$E,B168,crm_orders!$G:$G,C168,crm_orders!$H:$H,D168)</f>
        <v>0</v>
      </c>
      <c r="G168" s="21">
        <f>SUMIFS(warehouse_shipments!$H:$H,warehouse_shipments!$C:$C,"&gt;="&amp;A168,warehouse_shipments!$C:$C,"&lt;"&amp;DATE(YEAR(A168),MONTH(A168)+1,1),warehouse_shipments!$P:$P,B168,warehouse_shipments!$Q:$Q,C168,warehouse_shipments!$R:$R,D168)</f>
        <v>0</v>
      </c>
      <c r="H168" s="22">
        <f t="shared" si="1"/>
        <v>-182</v>
      </c>
      <c r="I168" s="64">
        <f t="shared" si="2"/>
        <v>0</v>
      </c>
      <c r="J168" s="22" t="s">
        <v>5309</v>
      </c>
    </row>
    <row r="169" ht="15.75" customHeight="1">
      <c r="A169" s="26">
        <v>46023.0</v>
      </c>
      <c r="B169" s="25" t="s">
        <v>4323</v>
      </c>
      <c r="C169" s="25" t="s">
        <v>89</v>
      </c>
      <c r="D169" s="25" t="s">
        <v>78</v>
      </c>
      <c r="E169" s="29">
        <v>93.0</v>
      </c>
      <c r="F169" s="29">
        <f>SUMIFS(crm_orders!$J:$J,crm_orders!$B:$B,"&gt;="&amp;A169,crm_orders!$B:$B,"&lt;"&amp;DATE(YEAR(A169),MONTH(A169)+1,1),crm_orders!$E:$E,B169,crm_orders!$G:$G,C169,crm_orders!$H:$H,D169)</f>
        <v>0</v>
      </c>
      <c r="G169" s="29">
        <f>SUMIFS(warehouse_shipments!$H:$H,warehouse_shipments!$C:$C,"&gt;="&amp;A169,warehouse_shipments!$C:$C,"&lt;"&amp;DATE(YEAR(A169),MONTH(A169)+1,1),warehouse_shipments!$P:$P,B169,warehouse_shipments!$Q:$Q,C169,warehouse_shipments!$R:$R,D169)</f>
        <v>0</v>
      </c>
      <c r="H169" s="30">
        <f t="shared" si="1"/>
        <v>-93</v>
      </c>
      <c r="I169" s="65">
        <f t="shared" si="2"/>
        <v>0</v>
      </c>
      <c r="J169" s="30" t="s">
        <v>5309</v>
      </c>
    </row>
    <row r="170" ht="15.75" customHeight="1">
      <c r="A170" s="18">
        <v>46023.0</v>
      </c>
      <c r="B170" s="17" t="s">
        <v>4390</v>
      </c>
      <c r="C170" s="17" t="s">
        <v>63</v>
      </c>
      <c r="D170" s="17" t="s">
        <v>64</v>
      </c>
      <c r="E170" s="21">
        <v>471.0</v>
      </c>
      <c r="F170" s="21">
        <f>SUMIFS(crm_orders!$J:$J,crm_orders!$B:$B,"&gt;="&amp;A170,crm_orders!$B:$B,"&lt;"&amp;DATE(YEAR(A170),MONTH(A170)+1,1),crm_orders!$E:$E,B170,crm_orders!$G:$G,C170,crm_orders!$H:$H,D170)</f>
        <v>0</v>
      </c>
      <c r="G170" s="21">
        <f>SUMIFS(warehouse_shipments!$H:$H,warehouse_shipments!$C:$C,"&gt;="&amp;A170,warehouse_shipments!$C:$C,"&lt;"&amp;DATE(YEAR(A170),MONTH(A170)+1,1),warehouse_shipments!$P:$P,B170,warehouse_shipments!$Q:$Q,C170,warehouse_shipments!$R:$R,D170)</f>
        <v>0</v>
      </c>
      <c r="H170" s="22">
        <f t="shared" si="1"/>
        <v>-471</v>
      </c>
      <c r="I170" s="64">
        <f t="shared" si="2"/>
        <v>0</v>
      </c>
      <c r="J170" s="22" t="s">
        <v>5309</v>
      </c>
    </row>
    <row r="171" ht="15.75" customHeight="1">
      <c r="A171" s="26">
        <v>46023.0</v>
      </c>
      <c r="B171" s="25" t="s">
        <v>4390</v>
      </c>
      <c r="C171" s="25" t="s">
        <v>63</v>
      </c>
      <c r="D171" s="25" t="s">
        <v>68</v>
      </c>
      <c r="E171" s="29">
        <v>425.0</v>
      </c>
      <c r="F171" s="29">
        <f>SUMIFS(crm_orders!$J:$J,crm_orders!$B:$B,"&gt;="&amp;A171,crm_orders!$B:$B,"&lt;"&amp;DATE(YEAR(A171),MONTH(A171)+1,1),crm_orders!$E:$E,B171,crm_orders!$G:$G,C171,crm_orders!$H:$H,D171)</f>
        <v>36</v>
      </c>
      <c r="G171" s="29">
        <f>SUMIFS(warehouse_shipments!$H:$H,warehouse_shipments!$C:$C,"&gt;="&amp;A171,warehouse_shipments!$C:$C,"&lt;"&amp;DATE(YEAR(A171),MONTH(A171)+1,1),warehouse_shipments!$P:$P,B171,warehouse_shipments!$Q:$Q,C171,warehouse_shipments!$R:$R,D171)</f>
        <v>30</v>
      </c>
      <c r="H171" s="30">
        <f t="shared" si="1"/>
        <v>-389</v>
      </c>
      <c r="I171" s="65">
        <f t="shared" si="2"/>
        <v>0.08470588235</v>
      </c>
      <c r="J171" s="30" t="s">
        <v>5308</v>
      </c>
    </row>
    <row r="172" ht="15.75" customHeight="1">
      <c r="A172" s="18">
        <v>46023.0</v>
      </c>
      <c r="B172" s="17" t="s">
        <v>4390</v>
      </c>
      <c r="C172" s="17" t="s">
        <v>63</v>
      </c>
      <c r="D172" s="17" t="s">
        <v>90</v>
      </c>
      <c r="E172" s="21">
        <v>405.0</v>
      </c>
      <c r="F172" s="21">
        <f>SUMIFS(crm_orders!$J:$J,crm_orders!$B:$B,"&gt;="&amp;A172,crm_orders!$B:$B,"&lt;"&amp;DATE(YEAR(A172),MONTH(A172)+1,1),crm_orders!$E:$E,B172,crm_orders!$G:$G,C172,crm_orders!$H:$H,D172)</f>
        <v>18</v>
      </c>
      <c r="G172" s="21">
        <f>SUMIFS(warehouse_shipments!$H:$H,warehouse_shipments!$C:$C,"&gt;="&amp;A172,warehouse_shipments!$C:$C,"&lt;"&amp;DATE(YEAR(A172),MONTH(A172)+1,1),warehouse_shipments!$P:$P,B172,warehouse_shipments!$Q:$Q,C172,warehouse_shipments!$R:$R,D172)</f>
        <v>18</v>
      </c>
      <c r="H172" s="22">
        <f t="shared" si="1"/>
        <v>-387</v>
      </c>
      <c r="I172" s="64">
        <f t="shared" si="2"/>
        <v>0.04444444444</v>
      </c>
      <c r="J172" s="22" t="s">
        <v>5308</v>
      </c>
    </row>
    <row r="173" ht="15.75" customHeight="1">
      <c r="A173" s="26">
        <v>46023.0</v>
      </c>
      <c r="B173" s="25" t="s">
        <v>4390</v>
      </c>
      <c r="C173" s="25" t="s">
        <v>63</v>
      </c>
      <c r="D173" s="25" t="s">
        <v>102</v>
      </c>
      <c r="E173" s="29">
        <v>432.0</v>
      </c>
      <c r="F173" s="29">
        <f>SUMIFS(crm_orders!$J:$J,crm_orders!$B:$B,"&gt;="&amp;A173,crm_orders!$B:$B,"&lt;"&amp;DATE(YEAR(A173),MONTH(A173)+1,1),crm_orders!$E:$E,B173,crm_orders!$G:$G,C173,crm_orders!$H:$H,D173)</f>
        <v>0</v>
      </c>
      <c r="G173" s="29">
        <f>SUMIFS(warehouse_shipments!$H:$H,warehouse_shipments!$C:$C,"&gt;="&amp;A173,warehouse_shipments!$C:$C,"&lt;"&amp;DATE(YEAR(A173),MONTH(A173)+1,1),warehouse_shipments!$P:$P,B173,warehouse_shipments!$Q:$Q,C173,warehouse_shipments!$R:$R,D173)</f>
        <v>0</v>
      </c>
      <c r="H173" s="30">
        <f t="shared" si="1"/>
        <v>-432</v>
      </c>
      <c r="I173" s="65">
        <f t="shared" si="2"/>
        <v>0</v>
      </c>
      <c r="J173" s="30" t="s">
        <v>5309</v>
      </c>
    </row>
    <row r="174" ht="15.75" customHeight="1">
      <c r="A174" s="18">
        <v>46023.0</v>
      </c>
      <c r="B174" s="17" t="s">
        <v>4390</v>
      </c>
      <c r="C174" s="17" t="s">
        <v>63</v>
      </c>
      <c r="D174" s="17" t="s">
        <v>85</v>
      </c>
      <c r="E174" s="21">
        <v>85.0</v>
      </c>
      <c r="F174" s="21">
        <f>SUMIFS(crm_orders!$J:$J,crm_orders!$B:$B,"&gt;="&amp;A174,crm_orders!$B:$B,"&lt;"&amp;DATE(YEAR(A174),MONTH(A174)+1,1),crm_orders!$E:$E,B174,crm_orders!$G:$G,C174,crm_orders!$H:$H,D174)</f>
        <v>120</v>
      </c>
      <c r="G174" s="21">
        <f>SUMIFS(warehouse_shipments!$H:$H,warehouse_shipments!$C:$C,"&gt;="&amp;A174,warehouse_shipments!$C:$C,"&lt;"&amp;DATE(YEAR(A174),MONTH(A174)+1,1),warehouse_shipments!$P:$P,B174,warehouse_shipments!$Q:$Q,C174,warehouse_shipments!$R:$R,D174)</f>
        <v>120</v>
      </c>
      <c r="H174" s="22">
        <f t="shared" si="1"/>
        <v>35</v>
      </c>
      <c r="I174" s="64">
        <f t="shared" si="2"/>
        <v>0.5882352941</v>
      </c>
      <c r="J174" s="22" t="s">
        <v>5308</v>
      </c>
    </row>
    <row r="175" ht="15.75" customHeight="1">
      <c r="A175" s="26">
        <v>46023.0</v>
      </c>
      <c r="B175" s="25" t="s">
        <v>4390</v>
      </c>
      <c r="C175" s="25" t="s">
        <v>63</v>
      </c>
      <c r="D175" s="25" t="s">
        <v>74</v>
      </c>
      <c r="E175" s="29">
        <v>384.0</v>
      </c>
      <c r="F175" s="29">
        <f>SUMIFS(crm_orders!$J:$J,crm_orders!$B:$B,"&gt;="&amp;A175,crm_orders!$B:$B,"&lt;"&amp;DATE(YEAR(A175),MONTH(A175)+1,1),crm_orders!$E:$E,B175,crm_orders!$G:$G,C175,crm_orders!$H:$H,D175)</f>
        <v>0</v>
      </c>
      <c r="G175" s="29">
        <f>SUMIFS(warehouse_shipments!$H:$H,warehouse_shipments!$C:$C,"&gt;="&amp;A175,warehouse_shipments!$C:$C,"&lt;"&amp;DATE(YEAR(A175),MONTH(A175)+1,1),warehouse_shipments!$P:$P,B175,warehouse_shipments!$Q:$Q,C175,warehouse_shipments!$R:$R,D175)</f>
        <v>0</v>
      </c>
      <c r="H175" s="30">
        <f t="shared" si="1"/>
        <v>-384</v>
      </c>
      <c r="I175" s="65">
        <f t="shared" si="2"/>
        <v>0</v>
      </c>
      <c r="J175" s="30" t="s">
        <v>5310</v>
      </c>
    </row>
    <row r="176" ht="15.75" customHeight="1">
      <c r="A176" s="18">
        <v>46023.0</v>
      </c>
      <c r="B176" s="17" t="s">
        <v>4390</v>
      </c>
      <c r="C176" s="17" t="s">
        <v>63</v>
      </c>
      <c r="D176" s="17" t="s">
        <v>156</v>
      </c>
      <c r="E176" s="21">
        <v>519.0</v>
      </c>
      <c r="F176" s="21">
        <f>SUMIFS(crm_orders!$J:$J,crm_orders!$B:$B,"&gt;="&amp;A176,crm_orders!$B:$B,"&lt;"&amp;DATE(YEAR(A176),MONTH(A176)+1,1),crm_orders!$E:$E,B176,crm_orders!$G:$G,C176,crm_orders!$H:$H,D176)</f>
        <v>6</v>
      </c>
      <c r="G176" s="21">
        <f>SUMIFS(warehouse_shipments!$H:$H,warehouse_shipments!$C:$C,"&gt;="&amp;A176,warehouse_shipments!$C:$C,"&lt;"&amp;DATE(YEAR(A176),MONTH(A176)+1,1),warehouse_shipments!$P:$P,B176,warehouse_shipments!$Q:$Q,C176,warehouse_shipments!$R:$R,D176)</f>
        <v>0</v>
      </c>
      <c r="H176" s="22">
        <f t="shared" si="1"/>
        <v>-513</v>
      </c>
      <c r="I176" s="64">
        <f t="shared" si="2"/>
        <v>0.01156069364</v>
      </c>
      <c r="J176" s="22" t="s">
        <v>5309</v>
      </c>
    </row>
    <row r="177" ht="15.75" customHeight="1">
      <c r="A177" s="26">
        <v>46023.0</v>
      </c>
      <c r="B177" s="25" t="s">
        <v>4390</v>
      </c>
      <c r="C177" s="25" t="s">
        <v>63</v>
      </c>
      <c r="D177" s="25" t="s">
        <v>108</v>
      </c>
      <c r="E177" s="29">
        <v>289.0</v>
      </c>
      <c r="F177" s="29">
        <f>SUMIFS(crm_orders!$J:$J,crm_orders!$B:$B,"&gt;="&amp;A177,crm_orders!$B:$B,"&lt;"&amp;DATE(YEAR(A177),MONTH(A177)+1,1),crm_orders!$E:$E,B177,crm_orders!$G:$G,C177,crm_orders!$H:$H,D177)</f>
        <v>66</v>
      </c>
      <c r="G177" s="29">
        <f>SUMIFS(warehouse_shipments!$H:$H,warehouse_shipments!$C:$C,"&gt;="&amp;A177,warehouse_shipments!$C:$C,"&lt;"&amp;DATE(YEAR(A177),MONTH(A177)+1,1),warehouse_shipments!$P:$P,B177,warehouse_shipments!$Q:$Q,C177,warehouse_shipments!$R:$R,D177)</f>
        <v>6</v>
      </c>
      <c r="H177" s="30">
        <f t="shared" si="1"/>
        <v>-223</v>
      </c>
      <c r="I177" s="65">
        <f t="shared" si="2"/>
        <v>0.2283737024</v>
      </c>
      <c r="J177" s="30" t="s">
        <v>5307</v>
      </c>
    </row>
    <row r="178" ht="15.75" customHeight="1">
      <c r="A178" s="18">
        <v>46023.0</v>
      </c>
      <c r="B178" s="17" t="s">
        <v>4390</v>
      </c>
      <c r="C178" s="17" t="s">
        <v>67</v>
      </c>
      <c r="D178" s="17" t="s">
        <v>78</v>
      </c>
      <c r="E178" s="21">
        <v>166.0</v>
      </c>
      <c r="F178" s="21">
        <f>SUMIFS(crm_orders!$J:$J,crm_orders!$B:$B,"&gt;="&amp;A178,crm_orders!$B:$B,"&lt;"&amp;DATE(YEAR(A178),MONTH(A178)+1,1),crm_orders!$E:$E,B178,crm_orders!$G:$G,C178,crm_orders!$H:$H,D178)</f>
        <v>0</v>
      </c>
      <c r="G178" s="21">
        <f>SUMIFS(warehouse_shipments!$H:$H,warehouse_shipments!$C:$C,"&gt;="&amp;A178,warehouse_shipments!$C:$C,"&lt;"&amp;DATE(YEAR(A178),MONTH(A178)+1,1),warehouse_shipments!$P:$P,B178,warehouse_shipments!$Q:$Q,C178,warehouse_shipments!$R:$R,D178)</f>
        <v>0</v>
      </c>
      <c r="H178" s="22">
        <f t="shared" si="1"/>
        <v>-166</v>
      </c>
      <c r="I178" s="64">
        <f t="shared" si="2"/>
        <v>0</v>
      </c>
      <c r="J178" s="22" t="s">
        <v>5308</v>
      </c>
    </row>
    <row r="179" ht="15.75" customHeight="1">
      <c r="A179" s="26">
        <v>46023.0</v>
      </c>
      <c r="B179" s="25" t="s">
        <v>4390</v>
      </c>
      <c r="C179" s="25" t="s">
        <v>67</v>
      </c>
      <c r="D179" s="25" t="s">
        <v>115</v>
      </c>
      <c r="E179" s="29">
        <v>315.0</v>
      </c>
      <c r="F179" s="29">
        <f>SUMIFS(crm_orders!$J:$J,crm_orders!$B:$B,"&gt;="&amp;A179,crm_orders!$B:$B,"&lt;"&amp;DATE(YEAR(A179),MONTH(A179)+1,1),crm_orders!$E:$E,B179,crm_orders!$G:$G,C179,crm_orders!$H:$H,D179)</f>
        <v>0</v>
      </c>
      <c r="G179" s="29">
        <f>SUMIFS(warehouse_shipments!$H:$H,warehouse_shipments!$C:$C,"&gt;="&amp;A179,warehouse_shipments!$C:$C,"&lt;"&amp;DATE(YEAR(A179),MONTH(A179)+1,1),warehouse_shipments!$P:$P,B179,warehouse_shipments!$Q:$Q,C179,warehouse_shipments!$R:$R,D179)</f>
        <v>0</v>
      </c>
      <c r="H179" s="30">
        <f t="shared" si="1"/>
        <v>-315</v>
      </c>
      <c r="I179" s="65">
        <f t="shared" si="2"/>
        <v>0</v>
      </c>
      <c r="J179" s="30" t="s">
        <v>5311</v>
      </c>
    </row>
    <row r="180" ht="15.75" customHeight="1">
      <c r="A180" s="18">
        <v>46023.0</v>
      </c>
      <c r="B180" s="17" t="s">
        <v>4390</v>
      </c>
      <c r="C180" s="17" t="s">
        <v>67</v>
      </c>
      <c r="D180" s="17" t="s">
        <v>85</v>
      </c>
      <c r="E180" s="21">
        <v>318.0</v>
      </c>
      <c r="F180" s="21">
        <f>SUMIFS(crm_orders!$J:$J,crm_orders!$B:$B,"&gt;="&amp;A180,crm_orders!$B:$B,"&lt;"&amp;DATE(YEAR(A180),MONTH(A180)+1,1),crm_orders!$E:$E,B180,crm_orders!$G:$G,C180,crm_orders!$H:$H,D180)</f>
        <v>0</v>
      </c>
      <c r="G180" s="21">
        <f>SUMIFS(warehouse_shipments!$H:$H,warehouse_shipments!$C:$C,"&gt;="&amp;A180,warehouse_shipments!$C:$C,"&lt;"&amp;DATE(YEAR(A180),MONTH(A180)+1,1),warehouse_shipments!$P:$P,B180,warehouse_shipments!$Q:$Q,C180,warehouse_shipments!$R:$R,D180)</f>
        <v>0</v>
      </c>
      <c r="H180" s="22">
        <f t="shared" si="1"/>
        <v>-318</v>
      </c>
      <c r="I180" s="64">
        <f t="shared" si="2"/>
        <v>0</v>
      </c>
      <c r="J180" s="22" t="s">
        <v>5306</v>
      </c>
    </row>
    <row r="181" ht="15.75" customHeight="1">
      <c r="A181" s="26">
        <v>46023.0</v>
      </c>
      <c r="B181" s="25" t="s">
        <v>4390</v>
      </c>
      <c r="C181" s="25" t="s">
        <v>67</v>
      </c>
      <c r="D181" s="25" t="s">
        <v>74</v>
      </c>
      <c r="E181" s="29">
        <v>187.0</v>
      </c>
      <c r="F181" s="29">
        <f>SUMIFS(crm_orders!$J:$J,crm_orders!$B:$B,"&gt;="&amp;A181,crm_orders!$B:$B,"&lt;"&amp;DATE(YEAR(A181),MONTH(A181)+1,1),crm_orders!$E:$E,B181,crm_orders!$G:$G,C181,crm_orders!$H:$H,D181)</f>
        <v>0</v>
      </c>
      <c r="G181" s="29">
        <f>SUMIFS(warehouse_shipments!$H:$H,warehouse_shipments!$C:$C,"&gt;="&amp;A181,warehouse_shipments!$C:$C,"&lt;"&amp;DATE(YEAR(A181),MONTH(A181)+1,1),warehouse_shipments!$P:$P,B181,warehouse_shipments!$Q:$Q,C181,warehouse_shipments!$R:$R,D181)</f>
        <v>0</v>
      </c>
      <c r="H181" s="30">
        <f t="shared" si="1"/>
        <v>-187</v>
      </c>
      <c r="I181" s="65">
        <f t="shared" si="2"/>
        <v>0</v>
      </c>
      <c r="J181" s="30" t="s">
        <v>5309</v>
      </c>
    </row>
    <row r="182" ht="15.75" customHeight="1">
      <c r="A182" s="18">
        <v>46023.0</v>
      </c>
      <c r="B182" s="17" t="s">
        <v>4390</v>
      </c>
      <c r="C182" s="17" t="s">
        <v>67</v>
      </c>
      <c r="D182" s="17" t="s">
        <v>190</v>
      </c>
      <c r="E182" s="21">
        <v>127.0</v>
      </c>
      <c r="F182" s="21">
        <f>SUMIFS(crm_orders!$J:$J,crm_orders!$B:$B,"&gt;="&amp;A182,crm_orders!$B:$B,"&lt;"&amp;DATE(YEAR(A182),MONTH(A182)+1,1),crm_orders!$E:$E,B182,crm_orders!$G:$G,C182,crm_orders!$H:$H,D182)</f>
        <v>0</v>
      </c>
      <c r="G182" s="21">
        <f>SUMIFS(warehouse_shipments!$H:$H,warehouse_shipments!$C:$C,"&gt;="&amp;A182,warehouse_shipments!$C:$C,"&lt;"&amp;DATE(YEAR(A182),MONTH(A182)+1,1),warehouse_shipments!$P:$P,B182,warehouse_shipments!$Q:$Q,C182,warehouse_shipments!$R:$R,D182)</f>
        <v>0</v>
      </c>
      <c r="H182" s="22">
        <f t="shared" si="1"/>
        <v>-127</v>
      </c>
      <c r="I182" s="64">
        <f t="shared" si="2"/>
        <v>0</v>
      </c>
      <c r="J182" s="22" t="s">
        <v>5307</v>
      </c>
    </row>
    <row r="183" ht="15.75" customHeight="1">
      <c r="A183" s="26">
        <v>46023.0</v>
      </c>
      <c r="B183" s="25" t="s">
        <v>4390</v>
      </c>
      <c r="C183" s="25" t="s">
        <v>67</v>
      </c>
      <c r="D183" s="25" t="s">
        <v>68</v>
      </c>
      <c r="E183" s="29">
        <v>331.0</v>
      </c>
      <c r="F183" s="29">
        <f>SUMIFS(crm_orders!$J:$J,crm_orders!$B:$B,"&gt;="&amp;A183,crm_orders!$B:$B,"&lt;"&amp;DATE(YEAR(A183),MONTH(A183)+1,1),crm_orders!$E:$E,B183,crm_orders!$G:$G,C183,crm_orders!$H:$H,D183)</f>
        <v>0</v>
      </c>
      <c r="G183" s="29">
        <f>SUMIFS(warehouse_shipments!$H:$H,warehouse_shipments!$C:$C,"&gt;="&amp;A183,warehouse_shipments!$C:$C,"&lt;"&amp;DATE(YEAR(A183),MONTH(A183)+1,1),warehouse_shipments!$P:$P,B183,warehouse_shipments!$Q:$Q,C183,warehouse_shipments!$R:$R,D183)</f>
        <v>0</v>
      </c>
      <c r="H183" s="30">
        <f t="shared" si="1"/>
        <v>-331</v>
      </c>
      <c r="I183" s="65">
        <f t="shared" si="2"/>
        <v>0</v>
      </c>
      <c r="J183" s="30" t="s">
        <v>5306</v>
      </c>
    </row>
    <row r="184" ht="15.75" customHeight="1">
      <c r="A184" s="18">
        <v>46023.0</v>
      </c>
      <c r="B184" s="17" t="s">
        <v>4390</v>
      </c>
      <c r="C184" s="17" t="s">
        <v>67</v>
      </c>
      <c r="D184" s="17" t="s">
        <v>110</v>
      </c>
      <c r="E184" s="21">
        <v>172.0</v>
      </c>
      <c r="F184" s="21">
        <f>SUMIFS(crm_orders!$J:$J,crm_orders!$B:$B,"&gt;="&amp;A184,crm_orders!$B:$B,"&lt;"&amp;DATE(YEAR(A184),MONTH(A184)+1,1),crm_orders!$E:$E,B184,crm_orders!$G:$G,C184,crm_orders!$H:$H,D184)</f>
        <v>0</v>
      </c>
      <c r="G184" s="21">
        <f>SUMIFS(warehouse_shipments!$H:$H,warehouse_shipments!$C:$C,"&gt;="&amp;A184,warehouse_shipments!$C:$C,"&lt;"&amp;DATE(YEAR(A184),MONTH(A184)+1,1),warehouse_shipments!$P:$P,B184,warehouse_shipments!$Q:$Q,C184,warehouse_shipments!$R:$R,D184)</f>
        <v>0</v>
      </c>
      <c r="H184" s="22">
        <f t="shared" si="1"/>
        <v>-172</v>
      </c>
      <c r="I184" s="64">
        <f t="shared" si="2"/>
        <v>0</v>
      </c>
      <c r="J184" s="22" t="s">
        <v>5311</v>
      </c>
    </row>
    <row r="185" ht="15.75" customHeight="1">
      <c r="A185" s="26">
        <v>46023.0</v>
      </c>
      <c r="B185" s="25" t="s">
        <v>4390</v>
      </c>
      <c r="C185" s="25" t="s">
        <v>67</v>
      </c>
      <c r="D185" s="25" t="s">
        <v>106</v>
      </c>
      <c r="E185" s="29">
        <v>146.0</v>
      </c>
      <c r="F185" s="29">
        <f>SUMIFS(crm_orders!$J:$J,crm_orders!$B:$B,"&gt;="&amp;A185,crm_orders!$B:$B,"&lt;"&amp;DATE(YEAR(A185),MONTH(A185)+1,1),crm_orders!$E:$E,B185,crm_orders!$G:$G,C185,crm_orders!$H:$H,D185)</f>
        <v>0</v>
      </c>
      <c r="G185" s="29">
        <f>SUMIFS(warehouse_shipments!$H:$H,warehouse_shipments!$C:$C,"&gt;="&amp;A185,warehouse_shipments!$C:$C,"&lt;"&amp;DATE(YEAR(A185),MONTH(A185)+1,1),warehouse_shipments!$P:$P,B185,warehouse_shipments!$Q:$Q,C185,warehouse_shipments!$R:$R,D185)</f>
        <v>0</v>
      </c>
      <c r="H185" s="30">
        <f t="shared" si="1"/>
        <v>-146</v>
      </c>
      <c r="I185" s="65">
        <f t="shared" si="2"/>
        <v>0</v>
      </c>
      <c r="J185" s="30" t="s">
        <v>5309</v>
      </c>
    </row>
    <row r="186" ht="15.75" customHeight="1">
      <c r="A186" s="18">
        <v>46023.0</v>
      </c>
      <c r="B186" s="17" t="s">
        <v>4390</v>
      </c>
      <c r="C186" s="17" t="s">
        <v>89</v>
      </c>
      <c r="D186" s="17" t="s">
        <v>115</v>
      </c>
      <c r="E186" s="21">
        <v>336.0</v>
      </c>
      <c r="F186" s="21">
        <f>SUMIFS(crm_orders!$J:$J,crm_orders!$B:$B,"&gt;="&amp;A186,crm_orders!$B:$B,"&lt;"&amp;DATE(YEAR(A186),MONTH(A186)+1,1),crm_orders!$E:$E,B186,crm_orders!$G:$G,C186,crm_orders!$H:$H,D186)</f>
        <v>120</v>
      </c>
      <c r="G186" s="21">
        <f>SUMIFS(warehouse_shipments!$H:$H,warehouse_shipments!$C:$C,"&gt;="&amp;A186,warehouse_shipments!$C:$C,"&lt;"&amp;DATE(YEAR(A186),MONTH(A186)+1,1),warehouse_shipments!$P:$P,B186,warehouse_shipments!$Q:$Q,C186,warehouse_shipments!$R:$R,D186)</f>
        <v>0</v>
      </c>
      <c r="H186" s="22">
        <f t="shared" si="1"/>
        <v>-216</v>
      </c>
      <c r="I186" s="64">
        <f t="shared" si="2"/>
        <v>0.3571428571</v>
      </c>
      <c r="J186" s="22" t="s">
        <v>5307</v>
      </c>
    </row>
    <row r="187" ht="15.75" customHeight="1">
      <c r="A187" s="26">
        <v>46023.0</v>
      </c>
      <c r="B187" s="25" t="s">
        <v>4390</v>
      </c>
      <c r="C187" s="25" t="s">
        <v>89</v>
      </c>
      <c r="D187" s="25" t="s">
        <v>92</v>
      </c>
      <c r="E187" s="29">
        <v>161.0</v>
      </c>
      <c r="F187" s="29">
        <f>SUMIFS(crm_orders!$J:$J,crm_orders!$B:$B,"&gt;="&amp;A187,crm_orders!$B:$B,"&lt;"&amp;DATE(YEAR(A187),MONTH(A187)+1,1),crm_orders!$E:$E,B187,crm_orders!$G:$G,C187,crm_orders!$H:$H,D187)</f>
        <v>0</v>
      </c>
      <c r="G187" s="29">
        <f>SUMIFS(warehouse_shipments!$H:$H,warehouse_shipments!$C:$C,"&gt;="&amp;A187,warehouse_shipments!$C:$C,"&lt;"&amp;DATE(YEAR(A187),MONTH(A187)+1,1),warehouse_shipments!$P:$P,B187,warehouse_shipments!$Q:$Q,C187,warehouse_shipments!$R:$R,D187)</f>
        <v>0</v>
      </c>
      <c r="H187" s="30">
        <f t="shared" si="1"/>
        <v>-161</v>
      </c>
      <c r="I187" s="65">
        <f t="shared" si="2"/>
        <v>0</v>
      </c>
      <c r="J187" s="30" t="s">
        <v>5307</v>
      </c>
    </row>
    <row r="188" ht="15.75" customHeight="1">
      <c r="A188" s="18">
        <v>46023.0</v>
      </c>
      <c r="B188" s="17" t="s">
        <v>4390</v>
      </c>
      <c r="C188" s="17" t="s">
        <v>89</v>
      </c>
      <c r="D188" s="17" t="s">
        <v>108</v>
      </c>
      <c r="E188" s="21">
        <v>144.0</v>
      </c>
      <c r="F188" s="21">
        <f>SUMIFS(crm_orders!$J:$J,crm_orders!$B:$B,"&gt;="&amp;A188,crm_orders!$B:$B,"&lt;"&amp;DATE(YEAR(A188),MONTH(A188)+1,1),crm_orders!$E:$E,B188,crm_orders!$G:$G,C188,crm_orders!$H:$H,D188)</f>
        <v>0</v>
      </c>
      <c r="G188" s="21">
        <f>SUMIFS(warehouse_shipments!$H:$H,warehouse_shipments!$C:$C,"&gt;="&amp;A188,warehouse_shipments!$C:$C,"&lt;"&amp;DATE(YEAR(A188),MONTH(A188)+1,1),warehouse_shipments!$P:$P,B188,warehouse_shipments!$Q:$Q,C188,warehouse_shipments!$R:$R,D188)</f>
        <v>0</v>
      </c>
      <c r="H188" s="22">
        <f t="shared" si="1"/>
        <v>-144</v>
      </c>
      <c r="I188" s="64">
        <f t="shared" si="2"/>
        <v>0</v>
      </c>
      <c r="J188" s="22" t="s">
        <v>5308</v>
      </c>
    </row>
    <row r="189" ht="15.75" customHeight="1">
      <c r="A189" s="26">
        <v>46023.0</v>
      </c>
      <c r="B189" s="25" t="s">
        <v>4390</v>
      </c>
      <c r="C189" s="25" t="s">
        <v>89</v>
      </c>
      <c r="D189" s="25" t="s">
        <v>81</v>
      </c>
      <c r="E189" s="29">
        <v>386.0</v>
      </c>
      <c r="F189" s="29">
        <f>SUMIFS(crm_orders!$J:$J,crm_orders!$B:$B,"&gt;="&amp;A189,crm_orders!$B:$B,"&lt;"&amp;DATE(YEAR(A189),MONTH(A189)+1,1),crm_orders!$E:$E,B189,crm_orders!$G:$G,C189,crm_orders!$H:$H,D189)</f>
        <v>30</v>
      </c>
      <c r="G189" s="29">
        <f>SUMIFS(warehouse_shipments!$H:$H,warehouse_shipments!$C:$C,"&gt;="&amp;A189,warehouse_shipments!$C:$C,"&lt;"&amp;DATE(YEAR(A189),MONTH(A189)+1,1),warehouse_shipments!$P:$P,B189,warehouse_shipments!$Q:$Q,C189,warehouse_shipments!$R:$R,D189)</f>
        <v>0</v>
      </c>
      <c r="H189" s="30">
        <f t="shared" si="1"/>
        <v>-356</v>
      </c>
      <c r="I189" s="65">
        <f t="shared" si="2"/>
        <v>0.07772020725</v>
      </c>
      <c r="J189" s="30" t="s">
        <v>5309</v>
      </c>
    </row>
    <row r="190" ht="15.75" customHeight="1">
      <c r="A190" s="18">
        <v>46023.0</v>
      </c>
      <c r="B190" s="17" t="s">
        <v>4390</v>
      </c>
      <c r="C190" s="17" t="s">
        <v>89</v>
      </c>
      <c r="D190" s="17" t="s">
        <v>71</v>
      </c>
      <c r="E190" s="21">
        <v>132.0</v>
      </c>
      <c r="F190" s="21">
        <f>SUMIFS(crm_orders!$J:$J,crm_orders!$B:$B,"&gt;="&amp;A190,crm_orders!$B:$B,"&lt;"&amp;DATE(YEAR(A190),MONTH(A190)+1,1),crm_orders!$E:$E,B190,crm_orders!$G:$G,C190,crm_orders!$H:$H,D190)</f>
        <v>0</v>
      </c>
      <c r="G190" s="21">
        <f>SUMIFS(warehouse_shipments!$H:$H,warehouse_shipments!$C:$C,"&gt;="&amp;A190,warehouse_shipments!$C:$C,"&lt;"&amp;DATE(YEAR(A190),MONTH(A190)+1,1),warehouse_shipments!$P:$P,B190,warehouse_shipments!$Q:$Q,C190,warehouse_shipments!$R:$R,D190)</f>
        <v>0</v>
      </c>
      <c r="H190" s="22">
        <f t="shared" si="1"/>
        <v>-132</v>
      </c>
      <c r="I190" s="64">
        <f t="shared" si="2"/>
        <v>0</v>
      </c>
      <c r="J190" s="22" t="s">
        <v>5308</v>
      </c>
    </row>
    <row r="191" ht="15.75" customHeight="1">
      <c r="A191" s="26">
        <v>46023.0</v>
      </c>
      <c r="B191" s="25" t="s">
        <v>4390</v>
      </c>
      <c r="C191" s="25" t="s">
        <v>89</v>
      </c>
      <c r="D191" s="25" t="s">
        <v>190</v>
      </c>
      <c r="E191" s="29">
        <v>435.0</v>
      </c>
      <c r="F191" s="29">
        <f>SUMIFS(crm_orders!$J:$J,crm_orders!$B:$B,"&gt;="&amp;A191,crm_orders!$B:$B,"&lt;"&amp;DATE(YEAR(A191),MONTH(A191)+1,1),crm_orders!$E:$E,B191,crm_orders!$G:$G,C191,crm_orders!$H:$H,D191)</f>
        <v>0</v>
      </c>
      <c r="G191" s="29">
        <f>SUMIFS(warehouse_shipments!$H:$H,warehouse_shipments!$C:$C,"&gt;="&amp;A191,warehouse_shipments!$C:$C,"&lt;"&amp;DATE(YEAR(A191),MONTH(A191)+1,1),warehouse_shipments!$P:$P,B191,warehouse_shipments!$Q:$Q,C191,warehouse_shipments!$R:$R,D191)</f>
        <v>0</v>
      </c>
      <c r="H191" s="30">
        <f t="shared" si="1"/>
        <v>-435</v>
      </c>
      <c r="I191" s="65">
        <f t="shared" si="2"/>
        <v>0</v>
      </c>
      <c r="J191" s="30" t="s">
        <v>5307</v>
      </c>
    </row>
    <row r="192" ht="15.75" customHeight="1">
      <c r="A192" s="18">
        <v>46023.0</v>
      </c>
      <c r="B192" s="17" t="s">
        <v>4390</v>
      </c>
      <c r="C192" s="17" t="s">
        <v>89</v>
      </c>
      <c r="D192" s="17" t="s">
        <v>102</v>
      </c>
      <c r="E192" s="21">
        <v>459.0</v>
      </c>
      <c r="F192" s="21">
        <f>SUMIFS(crm_orders!$J:$J,crm_orders!$B:$B,"&gt;="&amp;A192,crm_orders!$B:$B,"&lt;"&amp;DATE(YEAR(A192),MONTH(A192)+1,1),crm_orders!$E:$E,B192,crm_orders!$G:$G,C192,crm_orders!$H:$H,D192)</f>
        <v>0</v>
      </c>
      <c r="G192" s="21">
        <f>SUMIFS(warehouse_shipments!$H:$H,warehouse_shipments!$C:$C,"&gt;="&amp;A192,warehouse_shipments!$C:$C,"&lt;"&amp;DATE(YEAR(A192),MONTH(A192)+1,1),warehouse_shipments!$P:$P,B192,warehouse_shipments!$Q:$Q,C192,warehouse_shipments!$R:$R,D192)</f>
        <v>0</v>
      </c>
      <c r="H192" s="22">
        <f t="shared" si="1"/>
        <v>-459</v>
      </c>
      <c r="I192" s="64">
        <f t="shared" si="2"/>
        <v>0</v>
      </c>
      <c r="J192" s="22" t="s">
        <v>5309</v>
      </c>
    </row>
    <row r="193" ht="15.75" customHeight="1">
      <c r="A193" s="26">
        <v>46023.0</v>
      </c>
      <c r="B193" s="25" t="s">
        <v>4390</v>
      </c>
      <c r="C193" s="25" t="s">
        <v>89</v>
      </c>
      <c r="D193" s="25" t="s">
        <v>68</v>
      </c>
      <c r="E193" s="29">
        <v>310.0</v>
      </c>
      <c r="F193" s="29">
        <f>SUMIFS(crm_orders!$J:$J,crm_orders!$B:$B,"&gt;="&amp;A193,crm_orders!$B:$B,"&lt;"&amp;DATE(YEAR(A193),MONTH(A193)+1,1),crm_orders!$E:$E,B193,crm_orders!$G:$G,C193,crm_orders!$H:$H,D193)</f>
        <v>6</v>
      </c>
      <c r="G193" s="29">
        <f>SUMIFS(warehouse_shipments!$H:$H,warehouse_shipments!$C:$C,"&gt;="&amp;A193,warehouse_shipments!$C:$C,"&lt;"&amp;DATE(YEAR(A193),MONTH(A193)+1,1),warehouse_shipments!$P:$P,B193,warehouse_shipments!$Q:$Q,C193,warehouse_shipments!$R:$R,D193)</f>
        <v>0</v>
      </c>
      <c r="H193" s="30">
        <f t="shared" si="1"/>
        <v>-304</v>
      </c>
      <c r="I193" s="65">
        <f t="shared" si="2"/>
        <v>0.01935483871</v>
      </c>
      <c r="J193" s="30" t="s">
        <v>5310</v>
      </c>
    </row>
    <row r="194" ht="15.75" customHeight="1">
      <c r="A194" s="18">
        <v>46023.0</v>
      </c>
      <c r="B194" s="17" t="s">
        <v>4465</v>
      </c>
      <c r="C194" s="17" t="s">
        <v>63</v>
      </c>
      <c r="D194" s="17" t="s">
        <v>162</v>
      </c>
      <c r="E194" s="21">
        <v>508.0</v>
      </c>
      <c r="F194" s="21">
        <f>SUMIFS(crm_orders!$J:$J,crm_orders!$B:$B,"&gt;="&amp;A194,crm_orders!$B:$B,"&lt;"&amp;DATE(YEAR(A194),MONTH(A194)+1,1),crm_orders!$E:$E,B194,crm_orders!$G:$G,C194,crm_orders!$H:$H,D194)</f>
        <v>96</v>
      </c>
      <c r="G194" s="21">
        <f>SUMIFS(warehouse_shipments!$H:$H,warehouse_shipments!$C:$C,"&gt;="&amp;A194,warehouse_shipments!$C:$C,"&lt;"&amp;DATE(YEAR(A194),MONTH(A194)+1,1),warehouse_shipments!$P:$P,B194,warehouse_shipments!$Q:$Q,C194,warehouse_shipments!$R:$R,D194)</f>
        <v>96</v>
      </c>
      <c r="H194" s="22">
        <f t="shared" si="1"/>
        <v>-412</v>
      </c>
      <c r="I194" s="64">
        <f t="shared" si="2"/>
        <v>0.188976378</v>
      </c>
      <c r="J194" s="22" t="s">
        <v>5306</v>
      </c>
    </row>
    <row r="195" ht="15.75" customHeight="1">
      <c r="A195" s="26">
        <v>46023.0</v>
      </c>
      <c r="B195" s="25" t="s">
        <v>4465</v>
      </c>
      <c r="C195" s="25" t="s">
        <v>63</v>
      </c>
      <c r="D195" s="25" t="s">
        <v>74</v>
      </c>
      <c r="E195" s="29">
        <v>104.0</v>
      </c>
      <c r="F195" s="29">
        <f>SUMIFS(crm_orders!$J:$J,crm_orders!$B:$B,"&gt;="&amp;A195,crm_orders!$B:$B,"&lt;"&amp;DATE(YEAR(A195),MONTH(A195)+1,1),crm_orders!$E:$E,B195,crm_orders!$G:$G,C195,crm_orders!$H:$H,D195)</f>
        <v>0</v>
      </c>
      <c r="G195" s="29">
        <f>SUMIFS(warehouse_shipments!$H:$H,warehouse_shipments!$C:$C,"&gt;="&amp;A195,warehouse_shipments!$C:$C,"&lt;"&amp;DATE(YEAR(A195),MONTH(A195)+1,1),warehouse_shipments!$P:$P,B195,warehouse_shipments!$Q:$Q,C195,warehouse_shipments!$R:$R,D195)</f>
        <v>0</v>
      </c>
      <c r="H195" s="30">
        <f t="shared" si="1"/>
        <v>-104</v>
      </c>
      <c r="I195" s="65">
        <f t="shared" si="2"/>
        <v>0</v>
      </c>
      <c r="J195" s="30" t="s">
        <v>5307</v>
      </c>
    </row>
    <row r="196" ht="15.75" customHeight="1">
      <c r="A196" s="18">
        <v>46023.0</v>
      </c>
      <c r="B196" s="17" t="s">
        <v>4465</v>
      </c>
      <c r="C196" s="17" t="s">
        <v>63</v>
      </c>
      <c r="D196" s="17" t="s">
        <v>123</v>
      </c>
      <c r="E196" s="21">
        <v>450.0</v>
      </c>
      <c r="F196" s="21">
        <f>SUMIFS(crm_orders!$J:$J,crm_orders!$B:$B,"&gt;="&amp;A196,crm_orders!$B:$B,"&lt;"&amp;DATE(YEAR(A196),MONTH(A196)+1,1),crm_orders!$E:$E,B196,crm_orders!$G:$G,C196,crm_orders!$H:$H,D196)</f>
        <v>0</v>
      </c>
      <c r="G196" s="21">
        <f>SUMIFS(warehouse_shipments!$H:$H,warehouse_shipments!$C:$C,"&gt;="&amp;A196,warehouse_shipments!$C:$C,"&lt;"&amp;DATE(YEAR(A196),MONTH(A196)+1,1),warehouse_shipments!$P:$P,B196,warehouse_shipments!$Q:$Q,C196,warehouse_shipments!$R:$R,D196)</f>
        <v>0</v>
      </c>
      <c r="H196" s="22">
        <f t="shared" si="1"/>
        <v>-450</v>
      </c>
      <c r="I196" s="64">
        <f t="shared" si="2"/>
        <v>0</v>
      </c>
      <c r="J196" s="22" t="s">
        <v>5307</v>
      </c>
    </row>
    <row r="197" ht="15.75" customHeight="1">
      <c r="A197" s="26">
        <v>46023.0</v>
      </c>
      <c r="B197" s="25" t="s">
        <v>4465</v>
      </c>
      <c r="C197" s="25" t="s">
        <v>63</v>
      </c>
      <c r="D197" s="25" t="s">
        <v>95</v>
      </c>
      <c r="E197" s="29">
        <v>271.0</v>
      </c>
      <c r="F197" s="29">
        <f>SUMIFS(crm_orders!$J:$J,crm_orders!$B:$B,"&gt;="&amp;A197,crm_orders!$B:$B,"&lt;"&amp;DATE(YEAR(A197),MONTH(A197)+1,1),crm_orders!$E:$E,B197,crm_orders!$G:$G,C197,crm_orders!$H:$H,D197)</f>
        <v>96</v>
      </c>
      <c r="G197" s="29">
        <f>SUMIFS(warehouse_shipments!$H:$H,warehouse_shipments!$C:$C,"&gt;="&amp;A197,warehouse_shipments!$C:$C,"&lt;"&amp;DATE(YEAR(A197),MONTH(A197)+1,1),warehouse_shipments!$P:$P,B197,warehouse_shipments!$Q:$Q,C197,warehouse_shipments!$R:$R,D197)</f>
        <v>96</v>
      </c>
      <c r="H197" s="30">
        <f t="shared" si="1"/>
        <v>-175</v>
      </c>
      <c r="I197" s="65">
        <f t="shared" si="2"/>
        <v>0.3542435424</v>
      </c>
      <c r="J197" s="30" t="s">
        <v>5306</v>
      </c>
    </row>
    <row r="198" ht="15.75" customHeight="1">
      <c r="A198" s="18">
        <v>46023.0</v>
      </c>
      <c r="B198" s="17" t="s">
        <v>4465</v>
      </c>
      <c r="C198" s="17" t="s">
        <v>63</v>
      </c>
      <c r="D198" s="17" t="s">
        <v>78</v>
      </c>
      <c r="E198" s="21">
        <v>196.0</v>
      </c>
      <c r="F198" s="21">
        <f>SUMIFS(crm_orders!$J:$J,crm_orders!$B:$B,"&gt;="&amp;A198,crm_orders!$B:$B,"&lt;"&amp;DATE(YEAR(A198),MONTH(A198)+1,1),crm_orders!$E:$E,B198,crm_orders!$G:$G,C198,crm_orders!$H:$H,D198)</f>
        <v>30</v>
      </c>
      <c r="G198" s="21">
        <f>SUMIFS(warehouse_shipments!$H:$H,warehouse_shipments!$C:$C,"&gt;="&amp;A198,warehouse_shipments!$C:$C,"&lt;"&amp;DATE(YEAR(A198),MONTH(A198)+1,1),warehouse_shipments!$P:$P,B198,warehouse_shipments!$Q:$Q,C198,warehouse_shipments!$R:$R,D198)</f>
        <v>12</v>
      </c>
      <c r="H198" s="22">
        <f t="shared" si="1"/>
        <v>-166</v>
      </c>
      <c r="I198" s="64">
        <f t="shared" si="2"/>
        <v>0.1530612245</v>
      </c>
      <c r="J198" s="22" t="s">
        <v>5308</v>
      </c>
    </row>
    <row r="199" ht="15.75" customHeight="1">
      <c r="A199" s="26">
        <v>46023.0</v>
      </c>
      <c r="B199" s="25" t="s">
        <v>4465</v>
      </c>
      <c r="C199" s="25" t="s">
        <v>63</v>
      </c>
      <c r="D199" s="25" t="s">
        <v>85</v>
      </c>
      <c r="E199" s="29">
        <v>273.0</v>
      </c>
      <c r="F199" s="29">
        <f>SUMIFS(crm_orders!$J:$J,crm_orders!$B:$B,"&gt;="&amp;A199,crm_orders!$B:$B,"&lt;"&amp;DATE(YEAR(A199),MONTH(A199)+1,1),crm_orders!$E:$E,B199,crm_orders!$G:$G,C199,crm_orders!$H:$H,D199)</f>
        <v>0</v>
      </c>
      <c r="G199" s="29">
        <f>SUMIFS(warehouse_shipments!$H:$H,warehouse_shipments!$C:$C,"&gt;="&amp;A199,warehouse_shipments!$C:$C,"&lt;"&amp;DATE(YEAR(A199),MONTH(A199)+1,1),warehouse_shipments!$P:$P,B199,warehouse_shipments!$Q:$Q,C199,warehouse_shipments!$R:$R,D199)</f>
        <v>0</v>
      </c>
      <c r="H199" s="30">
        <f t="shared" si="1"/>
        <v>-273</v>
      </c>
      <c r="I199" s="65">
        <f t="shared" si="2"/>
        <v>0</v>
      </c>
      <c r="J199" s="30" t="s">
        <v>5311</v>
      </c>
    </row>
    <row r="200" ht="15.75" customHeight="1">
      <c r="A200" s="18">
        <v>46023.0</v>
      </c>
      <c r="B200" s="17" t="s">
        <v>4465</v>
      </c>
      <c r="C200" s="17" t="s">
        <v>63</v>
      </c>
      <c r="D200" s="17" t="s">
        <v>71</v>
      </c>
      <c r="E200" s="21">
        <v>100.0</v>
      </c>
      <c r="F200" s="21">
        <f>SUMIFS(crm_orders!$J:$J,crm_orders!$B:$B,"&gt;="&amp;A200,crm_orders!$B:$B,"&lt;"&amp;DATE(YEAR(A200),MONTH(A200)+1,1),crm_orders!$E:$E,B200,crm_orders!$G:$G,C200,crm_orders!$H:$H,D200)</f>
        <v>0</v>
      </c>
      <c r="G200" s="21">
        <f>SUMIFS(warehouse_shipments!$H:$H,warehouse_shipments!$C:$C,"&gt;="&amp;A200,warehouse_shipments!$C:$C,"&lt;"&amp;DATE(YEAR(A200),MONTH(A200)+1,1),warehouse_shipments!$P:$P,B200,warehouse_shipments!$Q:$Q,C200,warehouse_shipments!$R:$R,D200)</f>
        <v>0</v>
      </c>
      <c r="H200" s="22">
        <f t="shared" si="1"/>
        <v>-100</v>
      </c>
      <c r="I200" s="64">
        <f t="shared" si="2"/>
        <v>0</v>
      </c>
      <c r="J200" s="22" t="s">
        <v>5309</v>
      </c>
    </row>
    <row r="201" ht="15.75" customHeight="1">
      <c r="A201" s="26">
        <v>46023.0</v>
      </c>
      <c r="B201" s="25" t="s">
        <v>4465</v>
      </c>
      <c r="C201" s="25" t="s">
        <v>63</v>
      </c>
      <c r="D201" s="25" t="s">
        <v>190</v>
      </c>
      <c r="E201" s="29">
        <v>415.0</v>
      </c>
      <c r="F201" s="29">
        <f>SUMIFS(crm_orders!$J:$J,crm_orders!$B:$B,"&gt;="&amp;A201,crm_orders!$B:$B,"&lt;"&amp;DATE(YEAR(A201),MONTH(A201)+1,1),crm_orders!$E:$E,B201,crm_orders!$G:$G,C201,crm_orders!$H:$H,D201)</f>
        <v>0</v>
      </c>
      <c r="G201" s="29">
        <f>SUMIFS(warehouse_shipments!$H:$H,warehouse_shipments!$C:$C,"&gt;="&amp;A201,warehouse_shipments!$C:$C,"&lt;"&amp;DATE(YEAR(A201),MONTH(A201)+1,1),warehouse_shipments!$P:$P,B201,warehouse_shipments!$Q:$Q,C201,warehouse_shipments!$R:$R,D201)</f>
        <v>0</v>
      </c>
      <c r="H201" s="30">
        <f t="shared" si="1"/>
        <v>-415</v>
      </c>
      <c r="I201" s="65">
        <f t="shared" si="2"/>
        <v>0</v>
      </c>
      <c r="J201" s="30" t="s">
        <v>5307</v>
      </c>
    </row>
    <row r="202" ht="15.75" customHeight="1">
      <c r="A202" s="18">
        <v>46023.0</v>
      </c>
      <c r="B202" s="17" t="s">
        <v>4465</v>
      </c>
      <c r="C202" s="17" t="s">
        <v>67</v>
      </c>
      <c r="D202" s="17" t="s">
        <v>162</v>
      </c>
      <c r="E202" s="21">
        <v>242.0</v>
      </c>
      <c r="F202" s="21">
        <f>SUMIFS(crm_orders!$J:$J,crm_orders!$B:$B,"&gt;="&amp;A202,crm_orders!$B:$B,"&lt;"&amp;DATE(YEAR(A202),MONTH(A202)+1,1),crm_orders!$E:$E,B202,crm_orders!$G:$G,C202,crm_orders!$H:$H,D202)</f>
        <v>0</v>
      </c>
      <c r="G202" s="21">
        <f>SUMIFS(warehouse_shipments!$H:$H,warehouse_shipments!$C:$C,"&gt;="&amp;A202,warehouse_shipments!$C:$C,"&lt;"&amp;DATE(YEAR(A202),MONTH(A202)+1,1),warehouse_shipments!$P:$P,B202,warehouse_shipments!$Q:$Q,C202,warehouse_shipments!$R:$R,D202)</f>
        <v>0</v>
      </c>
      <c r="H202" s="22">
        <f t="shared" si="1"/>
        <v>-242</v>
      </c>
      <c r="I202" s="64">
        <f t="shared" si="2"/>
        <v>0</v>
      </c>
      <c r="J202" s="22" t="s">
        <v>5311</v>
      </c>
    </row>
    <row r="203" ht="15.75" customHeight="1">
      <c r="A203" s="26">
        <v>46023.0</v>
      </c>
      <c r="B203" s="25" t="s">
        <v>4465</v>
      </c>
      <c r="C203" s="25" t="s">
        <v>67</v>
      </c>
      <c r="D203" s="25" t="s">
        <v>81</v>
      </c>
      <c r="E203" s="29">
        <v>239.0</v>
      </c>
      <c r="F203" s="29">
        <f>SUMIFS(crm_orders!$J:$J,crm_orders!$B:$B,"&gt;="&amp;A203,crm_orders!$B:$B,"&lt;"&amp;DATE(YEAR(A203),MONTH(A203)+1,1),crm_orders!$E:$E,B203,crm_orders!$G:$G,C203,crm_orders!$H:$H,D203)</f>
        <v>0</v>
      </c>
      <c r="G203" s="29">
        <f>SUMIFS(warehouse_shipments!$H:$H,warehouse_shipments!$C:$C,"&gt;="&amp;A203,warehouse_shipments!$C:$C,"&lt;"&amp;DATE(YEAR(A203),MONTH(A203)+1,1),warehouse_shipments!$P:$P,B203,warehouse_shipments!$Q:$Q,C203,warehouse_shipments!$R:$R,D203)</f>
        <v>0</v>
      </c>
      <c r="H203" s="30">
        <f t="shared" si="1"/>
        <v>-239</v>
      </c>
      <c r="I203" s="65">
        <f t="shared" si="2"/>
        <v>0</v>
      </c>
      <c r="J203" s="30" t="s">
        <v>5309</v>
      </c>
    </row>
    <row r="204" ht="15.75" customHeight="1">
      <c r="A204" s="18">
        <v>46023.0</v>
      </c>
      <c r="B204" s="17" t="s">
        <v>4465</v>
      </c>
      <c r="C204" s="17" t="s">
        <v>67</v>
      </c>
      <c r="D204" s="17" t="s">
        <v>71</v>
      </c>
      <c r="E204" s="21">
        <v>431.0</v>
      </c>
      <c r="F204" s="21">
        <f>SUMIFS(crm_orders!$J:$J,crm_orders!$B:$B,"&gt;="&amp;A204,crm_orders!$B:$B,"&lt;"&amp;DATE(YEAR(A204),MONTH(A204)+1,1),crm_orders!$E:$E,B204,crm_orders!$G:$G,C204,crm_orders!$H:$H,D204)</f>
        <v>0</v>
      </c>
      <c r="G204" s="21">
        <f>SUMIFS(warehouse_shipments!$H:$H,warehouse_shipments!$C:$C,"&gt;="&amp;A204,warehouse_shipments!$C:$C,"&lt;"&amp;DATE(YEAR(A204),MONTH(A204)+1,1),warehouse_shipments!$P:$P,B204,warehouse_shipments!$Q:$Q,C204,warehouse_shipments!$R:$R,D204)</f>
        <v>0</v>
      </c>
      <c r="H204" s="22">
        <f t="shared" si="1"/>
        <v>-431</v>
      </c>
      <c r="I204" s="64">
        <f t="shared" si="2"/>
        <v>0</v>
      </c>
      <c r="J204" s="22" t="s">
        <v>5310</v>
      </c>
    </row>
    <row r="205" ht="15.75" customHeight="1">
      <c r="A205" s="26">
        <v>46023.0</v>
      </c>
      <c r="B205" s="25" t="s">
        <v>4465</v>
      </c>
      <c r="C205" s="25" t="s">
        <v>67</v>
      </c>
      <c r="D205" s="25" t="s">
        <v>64</v>
      </c>
      <c r="E205" s="29">
        <v>361.0</v>
      </c>
      <c r="F205" s="29">
        <f>SUMIFS(crm_orders!$J:$J,crm_orders!$B:$B,"&gt;="&amp;A205,crm_orders!$B:$B,"&lt;"&amp;DATE(YEAR(A205),MONTH(A205)+1,1),crm_orders!$E:$E,B205,crm_orders!$G:$G,C205,crm_orders!$H:$H,D205)</f>
        <v>0</v>
      </c>
      <c r="G205" s="29">
        <f>SUMIFS(warehouse_shipments!$H:$H,warehouse_shipments!$C:$C,"&gt;="&amp;A205,warehouse_shipments!$C:$C,"&lt;"&amp;DATE(YEAR(A205),MONTH(A205)+1,1),warehouse_shipments!$P:$P,B205,warehouse_shipments!$Q:$Q,C205,warehouse_shipments!$R:$R,D205)</f>
        <v>0</v>
      </c>
      <c r="H205" s="30">
        <f t="shared" si="1"/>
        <v>-361</v>
      </c>
      <c r="I205" s="65">
        <f t="shared" si="2"/>
        <v>0</v>
      </c>
      <c r="J205" s="30" t="s">
        <v>5310</v>
      </c>
    </row>
    <row r="206" ht="15.75" customHeight="1">
      <c r="A206" s="18">
        <v>46023.0</v>
      </c>
      <c r="B206" s="17" t="s">
        <v>4465</v>
      </c>
      <c r="C206" s="17" t="s">
        <v>67</v>
      </c>
      <c r="D206" s="17" t="s">
        <v>74</v>
      </c>
      <c r="E206" s="21">
        <v>511.0</v>
      </c>
      <c r="F206" s="21">
        <f>SUMIFS(crm_orders!$J:$J,crm_orders!$B:$B,"&gt;="&amp;A206,crm_orders!$B:$B,"&lt;"&amp;DATE(YEAR(A206),MONTH(A206)+1,1),crm_orders!$E:$E,B206,crm_orders!$G:$G,C206,crm_orders!$H:$H,D206)</f>
        <v>0</v>
      </c>
      <c r="G206" s="21">
        <f>SUMIFS(warehouse_shipments!$H:$H,warehouse_shipments!$C:$C,"&gt;="&amp;A206,warehouse_shipments!$C:$C,"&lt;"&amp;DATE(YEAR(A206),MONTH(A206)+1,1),warehouse_shipments!$P:$P,B206,warehouse_shipments!$Q:$Q,C206,warehouse_shipments!$R:$R,D206)</f>
        <v>0</v>
      </c>
      <c r="H206" s="22">
        <f t="shared" si="1"/>
        <v>-511</v>
      </c>
      <c r="I206" s="64">
        <f t="shared" si="2"/>
        <v>0</v>
      </c>
      <c r="J206" s="22" t="s">
        <v>5307</v>
      </c>
    </row>
    <row r="207" ht="15.75" customHeight="1">
      <c r="A207" s="26">
        <v>46023.0</v>
      </c>
      <c r="B207" s="25" t="s">
        <v>4465</v>
      </c>
      <c r="C207" s="25" t="s">
        <v>67</v>
      </c>
      <c r="D207" s="25" t="s">
        <v>123</v>
      </c>
      <c r="E207" s="29">
        <v>491.0</v>
      </c>
      <c r="F207" s="29">
        <f>SUMIFS(crm_orders!$J:$J,crm_orders!$B:$B,"&gt;="&amp;A207,crm_orders!$B:$B,"&lt;"&amp;DATE(YEAR(A207),MONTH(A207)+1,1),crm_orders!$E:$E,B207,crm_orders!$G:$G,C207,crm_orders!$H:$H,D207)</f>
        <v>0</v>
      </c>
      <c r="G207" s="29">
        <f>SUMIFS(warehouse_shipments!$H:$H,warehouse_shipments!$C:$C,"&gt;="&amp;A207,warehouse_shipments!$C:$C,"&lt;"&amp;DATE(YEAR(A207),MONTH(A207)+1,1),warehouse_shipments!$P:$P,B207,warehouse_shipments!$Q:$Q,C207,warehouse_shipments!$R:$R,D207)</f>
        <v>0</v>
      </c>
      <c r="H207" s="30">
        <f t="shared" si="1"/>
        <v>-491</v>
      </c>
      <c r="I207" s="65">
        <f t="shared" si="2"/>
        <v>0</v>
      </c>
      <c r="J207" s="30" t="s">
        <v>5306</v>
      </c>
    </row>
    <row r="208" ht="15.75" customHeight="1">
      <c r="A208" s="18">
        <v>46023.0</v>
      </c>
      <c r="B208" s="17" t="s">
        <v>4465</v>
      </c>
      <c r="C208" s="17" t="s">
        <v>67</v>
      </c>
      <c r="D208" s="17" t="s">
        <v>115</v>
      </c>
      <c r="E208" s="21">
        <v>273.0</v>
      </c>
      <c r="F208" s="21">
        <f>SUMIFS(crm_orders!$J:$J,crm_orders!$B:$B,"&gt;="&amp;A208,crm_orders!$B:$B,"&lt;"&amp;DATE(YEAR(A208),MONTH(A208)+1,1),crm_orders!$E:$E,B208,crm_orders!$G:$G,C208,crm_orders!$H:$H,D208)</f>
        <v>48</v>
      </c>
      <c r="G208" s="21">
        <f>SUMIFS(warehouse_shipments!$H:$H,warehouse_shipments!$C:$C,"&gt;="&amp;A208,warehouse_shipments!$C:$C,"&lt;"&amp;DATE(YEAR(A208),MONTH(A208)+1,1),warehouse_shipments!$P:$P,B208,warehouse_shipments!$Q:$Q,C208,warehouse_shipments!$R:$R,D208)</f>
        <v>48</v>
      </c>
      <c r="H208" s="22">
        <f t="shared" si="1"/>
        <v>-225</v>
      </c>
      <c r="I208" s="64">
        <f t="shared" si="2"/>
        <v>0.1758241758</v>
      </c>
      <c r="J208" s="22" t="s">
        <v>5311</v>
      </c>
    </row>
    <row r="209" ht="15.75" customHeight="1">
      <c r="A209" s="26">
        <v>46023.0</v>
      </c>
      <c r="B209" s="25" t="s">
        <v>4465</v>
      </c>
      <c r="C209" s="25" t="s">
        <v>67</v>
      </c>
      <c r="D209" s="25" t="s">
        <v>90</v>
      </c>
      <c r="E209" s="29">
        <v>110.0</v>
      </c>
      <c r="F209" s="29">
        <f>SUMIFS(crm_orders!$J:$J,crm_orders!$B:$B,"&gt;="&amp;A209,crm_orders!$B:$B,"&lt;"&amp;DATE(YEAR(A209),MONTH(A209)+1,1),crm_orders!$E:$E,B209,crm_orders!$G:$G,C209,crm_orders!$H:$H,D209)</f>
        <v>0</v>
      </c>
      <c r="G209" s="29">
        <f>SUMIFS(warehouse_shipments!$H:$H,warehouse_shipments!$C:$C,"&gt;="&amp;A209,warehouse_shipments!$C:$C,"&lt;"&amp;DATE(YEAR(A209),MONTH(A209)+1,1),warehouse_shipments!$P:$P,B209,warehouse_shipments!$Q:$Q,C209,warehouse_shipments!$R:$R,D209)</f>
        <v>0</v>
      </c>
      <c r="H209" s="30">
        <f t="shared" si="1"/>
        <v>-110</v>
      </c>
      <c r="I209" s="65">
        <f t="shared" si="2"/>
        <v>0</v>
      </c>
      <c r="J209" s="30" t="s">
        <v>5309</v>
      </c>
    </row>
    <row r="210" ht="15.75" customHeight="1">
      <c r="A210" s="18">
        <v>46023.0</v>
      </c>
      <c r="B210" s="17" t="s">
        <v>4465</v>
      </c>
      <c r="C210" s="17" t="s">
        <v>89</v>
      </c>
      <c r="D210" s="17" t="s">
        <v>85</v>
      </c>
      <c r="E210" s="21">
        <v>178.0</v>
      </c>
      <c r="F210" s="21">
        <f>SUMIFS(crm_orders!$J:$J,crm_orders!$B:$B,"&gt;="&amp;A210,crm_orders!$B:$B,"&lt;"&amp;DATE(YEAR(A210),MONTH(A210)+1,1),crm_orders!$E:$E,B210,crm_orders!$G:$G,C210,crm_orders!$H:$H,D210)</f>
        <v>0</v>
      </c>
      <c r="G210" s="21">
        <f>SUMIFS(warehouse_shipments!$H:$H,warehouse_shipments!$C:$C,"&gt;="&amp;A210,warehouse_shipments!$C:$C,"&lt;"&amp;DATE(YEAR(A210),MONTH(A210)+1,1),warehouse_shipments!$P:$P,B210,warehouse_shipments!$Q:$Q,C210,warehouse_shipments!$R:$R,D210)</f>
        <v>0</v>
      </c>
      <c r="H210" s="22">
        <f t="shared" si="1"/>
        <v>-178</v>
      </c>
      <c r="I210" s="64">
        <f t="shared" si="2"/>
        <v>0</v>
      </c>
      <c r="J210" s="22" t="s">
        <v>5309</v>
      </c>
    </row>
    <row r="211" ht="15.75" customHeight="1">
      <c r="A211" s="26">
        <v>46023.0</v>
      </c>
      <c r="B211" s="25" t="s">
        <v>4465</v>
      </c>
      <c r="C211" s="25" t="s">
        <v>89</v>
      </c>
      <c r="D211" s="25" t="s">
        <v>162</v>
      </c>
      <c r="E211" s="29">
        <v>133.0</v>
      </c>
      <c r="F211" s="29">
        <f>SUMIFS(crm_orders!$J:$J,crm_orders!$B:$B,"&gt;="&amp;A211,crm_orders!$B:$B,"&lt;"&amp;DATE(YEAR(A211),MONTH(A211)+1,1),crm_orders!$E:$E,B211,crm_orders!$G:$G,C211,crm_orders!$H:$H,D211)</f>
        <v>48</v>
      </c>
      <c r="G211" s="29">
        <f>SUMIFS(warehouse_shipments!$H:$H,warehouse_shipments!$C:$C,"&gt;="&amp;A211,warehouse_shipments!$C:$C,"&lt;"&amp;DATE(YEAR(A211),MONTH(A211)+1,1),warehouse_shipments!$P:$P,B211,warehouse_shipments!$Q:$Q,C211,warehouse_shipments!$R:$R,D211)</f>
        <v>48</v>
      </c>
      <c r="H211" s="30">
        <f t="shared" si="1"/>
        <v>-85</v>
      </c>
      <c r="I211" s="65">
        <f t="shared" si="2"/>
        <v>0.3609022556</v>
      </c>
      <c r="J211" s="30" t="s">
        <v>5310</v>
      </c>
    </row>
    <row r="212" ht="15.75" customHeight="1">
      <c r="A212" s="18">
        <v>46023.0</v>
      </c>
      <c r="B212" s="17" t="s">
        <v>4465</v>
      </c>
      <c r="C212" s="17" t="s">
        <v>89</v>
      </c>
      <c r="D212" s="17" t="s">
        <v>123</v>
      </c>
      <c r="E212" s="21">
        <v>516.0</v>
      </c>
      <c r="F212" s="21">
        <f>SUMIFS(crm_orders!$J:$J,crm_orders!$B:$B,"&gt;="&amp;A212,crm_orders!$B:$B,"&lt;"&amp;DATE(YEAR(A212),MONTH(A212)+1,1),crm_orders!$E:$E,B212,crm_orders!$G:$G,C212,crm_orders!$H:$H,D212)</f>
        <v>120</v>
      </c>
      <c r="G212" s="21">
        <f>SUMIFS(warehouse_shipments!$H:$H,warehouse_shipments!$C:$C,"&gt;="&amp;A212,warehouse_shipments!$C:$C,"&lt;"&amp;DATE(YEAR(A212),MONTH(A212)+1,1),warehouse_shipments!$P:$P,B212,warehouse_shipments!$Q:$Q,C212,warehouse_shipments!$R:$R,D212)</f>
        <v>120</v>
      </c>
      <c r="H212" s="22">
        <f t="shared" si="1"/>
        <v>-396</v>
      </c>
      <c r="I212" s="64">
        <f t="shared" si="2"/>
        <v>0.2325581395</v>
      </c>
      <c r="J212" s="22" t="s">
        <v>5306</v>
      </c>
    </row>
    <row r="213" ht="15.75" customHeight="1">
      <c r="A213" s="26">
        <v>46023.0</v>
      </c>
      <c r="B213" s="25" t="s">
        <v>4465</v>
      </c>
      <c r="C213" s="25" t="s">
        <v>89</v>
      </c>
      <c r="D213" s="25" t="s">
        <v>108</v>
      </c>
      <c r="E213" s="29">
        <v>501.0</v>
      </c>
      <c r="F213" s="29">
        <f>SUMIFS(crm_orders!$J:$J,crm_orders!$B:$B,"&gt;="&amp;A213,crm_orders!$B:$B,"&lt;"&amp;DATE(YEAR(A213),MONTH(A213)+1,1),crm_orders!$E:$E,B213,crm_orders!$G:$G,C213,crm_orders!$H:$H,D213)</f>
        <v>0</v>
      </c>
      <c r="G213" s="29">
        <f>SUMIFS(warehouse_shipments!$H:$H,warehouse_shipments!$C:$C,"&gt;="&amp;A213,warehouse_shipments!$C:$C,"&lt;"&amp;DATE(YEAR(A213),MONTH(A213)+1,1),warehouse_shipments!$P:$P,B213,warehouse_shipments!$Q:$Q,C213,warehouse_shipments!$R:$R,D213)</f>
        <v>0</v>
      </c>
      <c r="H213" s="30">
        <f t="shared" si="1"/>
        <v>-501</v>
      </c>
      <c r="I213" s="65">
        <f t="shared" si="2"/>
        <v>0</v>
      </c>
      <c r="J213" s="30" t="s">
        <v>5310</v>
      </c>
    </row>
    <row r="214" ht="15.75" customHeight="1">
      <c r="A214" s="18">
        <v>46023.0</v>
      </c>
      <c r="B214" s="17" t="s">
        <v>4465</v>
      </c>
      <c r="C214" s="17" t="s">
        <v>89</v>
      </c>
      <c r="D214" s="17" t="s">
        <v>95</v>
      </c>
      <c r="E214" s="21">
        <v>302.0</v>
      </c>
      <c r="F214" s="21">
        <f>SUMIFS(crm_orders!$J:$J,crm_orders!$B:$B,"&gt;="&amp;A214,crm_orders!$B:$B,"&lt;"&amp;DATE(YEAR(A214),MONTH(A214)+1,1),crm_orders!$E:$E,B214,crm_orders!$G:$G,C214,crm_orders!$H:$H,D214)</f>
        <v>0</v>
      </c>
      <c r="G214" s="21">
        <f>SUMIFS(warehouse_shipments!$H:$H,warehouse_shipments!$C:$C,"&gt;="&amp;A214,warehouse_shipments!$C:$C,"&lt;"&amp;DATE(YEAR(A214),MONTH(A214)+1,1),warehouse_shipments!$P:$P,B214,warehouse_shipments!$Q:$Q,C214,warehouse_shipments!$R:$R,D214)</f>
        <v>0</v>
      </c>
      <c r="H214" s="22">
        <f t="shared" si="1"/>
        <v>-302</v>
      </c>
      <c r="I214" s="64">
        <f t="shared" si="2"/>
        <v>0</v>
      </c>
      <c r="J214" s="22" t="s">
        <v>5309</v>
      </c>
    </row>
    <row r="215" ht="15.75" customHeight="1">
      <c r="A215" s="26">
        <v>46023.0</v>
      </c>
      <c r="B215" s="25" t="s">
        <v>4465</v>
      </c>
      <c r="C215" s="25" t="s">
        <v>89</v>
      </c>
      <c r="D215" s="25" t="s">
        <v>156</v>
      </c>
      <c r="E215" s="29">
        <v>257.0</v>
      </c>
      <c r="F215" s="29">
        <f>SUMIFS(crm_orders!$J:$J,crm_orders!$B:$B,"&gt;="&amp;A215,crm_orders!$B:$B,"&lt;"&amp;DATE(YEAR(A215),MONTH(A215)+1,1),crm_orders!$E:$E,B215,crm_orders!$G:$G,C215,crm_orders!$H:$H,D215)</f>
        <v>0</v>
      </c>
      <c r="G215" s="29">
        <f>SUMIFS(warehouse_shipments!$H:$H,warehouse_shipments!$C:$C,"&gt;="&amp;A215,warehouse_shipments!$C:$C,"&lt;"&amp;DATE(YEAR(A215),MONTH(A215)+1,1),warehouse_shipments!$P:$P,B215,warehouse_shipments!$Q:$Q,C215,warehouse_shipments!$R:$R,D215)</f>
        <v>0</v>
      </c>
      <c r="H215" s="30">
        <f t="shared" si="1"/>
        <v>-257</v>
      </c>
      <c r="I215" s="65">
        <f t="shared" si="2"/>
        <v>0</v>
      </c>
      <c r="J215" s="30" t="s">
        <v>5310</v>
      </c>
    </row>
    <row r="216" ht="15.75" customHeight="1">
      <c r="A216" s="18">
        <v>46023.0</v>
      </c>
      <c r="B216" s="17" t="s">
        <v>4465</v>
      </c>
      <c r="C216" s="17" t="s">
        <v>89</v>
      </c>
      <c r="D216" s="17" t="s">
        <v>64</v>
      </c>
      <c r="E216" s="21">
        <v>175.0</v>
      </c>
      <c r="F216" s="21">
        <f>SUMIFS(crm_orders!$J:$J,crm_orders!$B:$B,"&gt;="&amp;A216,crm_orders!$B:$B,"&lt;"&amp;DATE(YEAR(A216),MONTH(A216)+1,1),crm_orders!$E:$E,B216,crm_orders!$G:$G,C216,crm_orders!$H:$H,D216)</f>
        <v>0</v>
      </c>
      <c r="G216" s="21">
        <f>SUMIFS(warehouse_shipments!$H:$H,warehouse_shipments!$C:$C,"&gt;="&amp;A216,warehouse_shipments!$C:$C,"&lt;"&amp;DATE(YEAR(A216),MONTH(A216)+1,1),warehouse_shipments!$P:$P,B216,warehouse_shipments!$Q:$Q,C216,warehouse_shipments!$R:$R,D216)</f>
        <v>0</v>
      </c>
      <c r="H216" s="22">
        <f t="shared" si="1"/>
        <v>-175</v>
      </c>
      <c r="I216" s="64">
        <f t="shared" si="2"/>
        <v>0</v>
      </c>
      <c r="J216" s="22" t="s">
        <v>5309</v>
      </c>
    </row>
    <row r="217" ht="15.75" customHeight="1">
      <c r="A217" s="26">
        <v>46023.0</v>
      </c>
      <c r="B217" s="25" t="s">
        <v>4465</v>
      </c>
      <c r="C217" s="25" t="s">
        <v>89</v>
      </c>
      <c r="D217" s="25" t="s">
        <v>78</v>
      </c>
      <c r="E217" s="29">
        <v>296.0</v>
      </c>
      <c r="F217" s="29">
        <f>SUMIFS(crm_orders!$J:$J,crm_orders!$B:$B,"&gt;="&amp;A217,crm_orders!$B:$B,"&lt;"&amp;DATE(YEAR(A217),MONTH(A217)+1,1),crm_orders!$E:$E,B217,crm_orders!$G:$G,C217,crm_orders!$H:$H,D217)</f>
        <v>72</v>
      </c>
      <c r="G217" s="29">
        <f>SUMIFS(warehouse_shipments!$H:$H,warehouse_shipments!$C:$C,"&gt;="&amp;A217,warehouse_shipments!$C:$C,"&lt;"&amp;DATE(YEAR(A217),MONTH(A217)+1,1),warehouse_shipments!$P:$P,B217,warehouse_shipments!$Q:$Q,C217,warehouse_shipments!$R:$R,D217)</f>
        <v>0</v>
      </c>
      <c r="H217" s="30">
        <f t="shared" si="1"/>
        <v>-224</v>
      </c>
      <c r="I217" s="65">
        <f t="shared" si="2"/>
        <v>0.2432432432</v>
      </c>
      <c r="J217" s="30" t="s">
        <v>5309</v>
      </c>
    </row>
    <row r="218" ht="15.75" customHeight="1">
      <c r="A218" s="18">
        <v>46023.0</v>
      </c>
      <c r="B218" s="17" t="s">
        <v>4559</v>
      </c>
      <c r="C218" s="17" t="s">
        <v>63</v>
      </c>
      <c r="D218" s="17" t="s">
        <v>108</v>
      </c>
      <c r="E218" s="21">
        <v>192.0</v>
      </c>
      <c r="F218" s="21">
        <f>SUMIFS(crm_orders!$J:$J,crm_orders!$B:$B,"&gt;="&amp;A218,crm_orders!$B:$B,"&lt;"&amp;DATE(YEAR(A218),MONTH(A218)+1,1),crm_orders!$E:$E,B218,crm_orders!$G:$G,C218,crm_orders!$H:$H,D218)</f>
        <v>36</v>
      </c>
      <c r="G218" s="21">
        <f>SUMIFS(warehouse_shipments!$H:$H,warehouse_shipments!$C:$C,"&gt;="&amp;A218,warehouse_shipments!$C:$C,"&lt;"&amp;DATE(YEAR(A218),MONTH(A218)+1,1),warehouse_shipments!$P:$P,B218,warehouse_shipments!$Q:$Q,C218,warehouse_shipments!$R:$R,D218)</f>
        <v>0</v>
      </c>
      <c r="H218" s="22">
        <f t="shared" si="1"/>
        <v>-156</v>
      </c>
      <c r="I218" s="64">
        <f t="shared" si="2"/>
        <v>0.1875</v>
      </c>
      <c r="J218" s="22" t="s">
        <v>5308</v>
      </c>
    </row>
    <row r="219" ht="15.75" customHeight="1">
      <c r="A219" s="26">
        <v>46023.0</v>
      </c>
      <c r="B219" s="25" t="s">
        <v>4559</v>
      </c>
      <c r="C219" s="25" t="s">
        <v>63</v>
      </c>
      <c r="D219" s="25" t="s">
        <v>90</v>
      </c>
      <c r="E219" s="29">
        <v>308.0</v>
      </c>
      <c r="F219" s="29">
        <f>SUMIFS(crm_orders!$J:$J,crm_orders!$B:$B,"&gt;="&amp;A219,crm_orders!$B:$B,"&lt;"&amp;DATE(YEAR(A219),MONTH(A219)+1,1),crm_orders!$E:$E,B219,crm_orders!$G:$G,C219,crm_orders!$H:$H,D219)</f>
        <v>0</v>
      </c>
      <c r="G219" s="29">
        <f>SUMIFS(warehouse_shipments!$H:$H,warehouse_shipments!$C:$C,"&gt;="&amp;A219,warehouse_shipments!$C:$C,"&lt;"&amp;DATE(YEAR(A219),MONTH(A219)+1,1),warehouse_shipments!$P:$P,B219,warehouse_shipments!$Q:$Q,C219,warehouse_shipments!$R:$R,D219)</f>
        <v>0</v>
      </c>
      <c r="H219" s="30">
        <f t="shared" si="1"/>
        <v>-308</v>
      </c>
      <c r="I219" s="65">
        <f t="shared" si="2"/>
        <v>0</v>
      </c>
      <c r="J219" s="30" t="s">
        <v>5306</v>
      </c>
    </row>
    <row r="220" ht="15.75" customHeight="1">
      <c r="A220" s="18">
        <v>46023.0</v>
      </c>
      <c r="B220" s="17" t="s">
        <v>4559</v>
      </c>
      <c r="C220" s="17" t="s">
        <v>63</v>
      </c>
      <c r="D220" s="17" t="s">
        <v>74</v>
      </c>
      <c r="E220" s="21">
        <v>185.0</v>
      </c>
      <c r="F220" s="21">
        <f>SUMIFS(crm_orders!$J:$J,crm_orders!$B:$B,"&gt;="&amp;A220,crm_orders!$B:$B,"&lt;"&amp;DATE(YEAR(A220),MONTH(A220)+1,1),crm_orders!$E:$E,B220,crm_orders!$G:$G,C220,crm_orders!$H:$H,D220)</f>
        <v>12</v>
      </c>
      <c r="G220" s="21">
        <f>SUMIFS(warehouse_shipments!$H:$H,warehouse_shipments!$C:$C,"&gt;="&amp;A220,warehouse_shipments!$C:$C,"&lt;"&amp;DATE(YEAR(A220),MONTH(A220)+1,1),warehouse_shipments!$P:$P,B220,warehouse_shipments!$Q:$Q,C220,warehouse_shipments!$R:$R,D220)</f>
        <v>0</v>
      </c>
      <c r="H220" s="22">
        <f t="shared" si="1"/>
        <v>-173</v>
      </c>
      <c r="I220" s="64">
        <f t="shared" si="2"/>
        <v>0.06486486486</v>
      </c>
      <c r="J220" s="22" t="s">
        <v>5311</v>
      </c>
    </row>
    <row r="221" ht="15.75" customHeight="1">
      <c r="A221" s="26">
        <v>46023.0</v>
      </c>
      <c r="B221" s="25" t="s">
        <v>4559</v>
      </c>
      <c r="C221" s="25" t="s">
        <v>63</v>
      </c>
      <c r="D221" s="25" t="s">
        <v>81</v>
      </c>
      <c r="E221" s="29">
        <v>477.0</v>
      </c>
      <c r="F221" s="29">
        <f>SUMIFS(crm_orders!$J:$J,crm_orders!$B:$B,"&gt;="&amp;A221,crm_orders!$B:$B,"&lt;"&amp;DATE(YEAR(A221),MONTH(A221)+1,1),crm_orders!$E:$E,B221,crm_orders!$G:$G,C221,crm_orders!$H:$H,D221)</f>
        <v>30</v>
      </c>
      <c r="G221" s="29">
        <f>SUMIFS(warehouse_shipments!$H:$H,warehouse_shipments!$C:$C,"&gt;="&amp;A221,warehouse_shipments!$C:$C,"&lt;"&amp;DATE(YEAR(A221),MONTH(A221)+1,1),warehouse_shipments!$P:$P,B221,warehouse_shipments!$Q:$Q,C221,warehouse_shipments!$R:$R,D221)</f>
        <v>0</v>
      </c>
      <c r="H221" s="30">
        <f t="shared" si="1"/>
        <v>-447</v>
      </c>
      <c r="I221" s="65">
        <f t="shared" si="2"/>
        <v>0.06289308176</v>
      </c>
      <c r="J221" s="30" t="s">
        <v>5309</v>
      </c>
    </row>
    <row r="222" ht="15.75" customHeight="1">
      <c r="A222" s="18">
        <v>46023.0</v>
      </c>
      <c r="B222" s="17" t="s">
        <v>4559</v>
      </c>
      <c r="C222" s="17" t="s">
        <v>63</v>
      </c>
      <c r="D222" s="17" t="s">
        <v>64</v>
      </c>
      <c r="E222" s="21">
        <v>145.0</v>
      </c>
      <c r="F222" s="21">
        <f>SUMIFS(crm_orders!$J:$J,crm_orders!$B:$B,"&gt;="&amp;A222,crm_orders!$B:$B,"&lt;"&amp;DATE(YEAR(A222),MONTH(A222)+1,1),crm_orders!$E:$E,B222,crm_orders!$G:$G,C222,crm_orders!$H:$H,D222)</f>
        <v>0</v>
      </c>
      <c r="G222" s="21">
        <f>SUMIFS(warehouse_shipments!$H:$H,warehouse_shipments!$C:$C,"&gt;="&amp;A222,warehouse_shipments!$C:$C,"&lt;"&amp;DATE(YEAR(A222),MONTH(A222)+1,1),warehouse_shipments!$P:$P,B222,warehouse_shipments!$Q:$Q,C222,warehouse_shipments!$R:$R,D222)</f>
        <v>0</v>
      </c>
      <c r="H222" s="22">
        <f t="shared" si="1"/>
        <v>-145</v>
      </c>
      <c r="I222" s="64">
        <f t="shared" si="2"/>
        <v>0</v>
      </c>
      <c r="J222" s="22" t="s">
        <v>5306</v>
      </c>
    </row>
    <row r="223" ht="15.75" customHeight="1">
      <c r="A223" s="26">
        <v>46023.0</v>
      </c>
      <c r="B223" s="25" t="s">
        <v>4559</v>
      </c>
      <c r="C223" s="25" t="s">
        <v>63</v>
      </c>
      <c r="D223" s="25" t="s">
        <v>110</v>
      </c>
      <c r="E223" s="29">
        <v>356.0</v>
      </c>
      <c r="F223" s="29">
        <f>SUMIFS(crm_orders!$J:$J,crm_orders!$B:$B,"&gt;="&amp;A223,crm_orders!$B:$B,"&lt;"&amp;DATE(YEAR(A223),MONTH(A223)+1,1),crm_orders!$E:$E,B223,crm_orders!$G:$G,C223,crm_orders!$H:$H,D223)</f>
        <v>0</v>
      </c>
      <c r="G223" s="29">
        <f>SUMIFS(warehouse_shipments!$H:$H,warehouse_shipments!$C:$C,"&gt;="&amp;A223,warehouse_shipments!$C:$C,"&lt;"&amp;DATE(YEAR(A223),MONTH(A223)+1,1),warehouse_shipments!$P:$P,B223,warehouse_shipments!$Q:$Q,C223,warehouse_shipments!$R:$R,D223)</f>
        <v>0</v>
      </c>
      <c r="H223" s="30">
        <f t="shared" si="1"/>
        <v>-356</v>
      </c>
      <c r="I223" s="65">
        <f t="shared" si="2"/>
        <v>0</v>
      </c>
      <c r="J223" s="30" t="s">
        <v>5309</v>
      </c>
    </row>
    <row r="224" ht="15.75" customHeight="1">
      <c r="A224" s="18">
        <v>46023.0</v>
      </c>
      <c r="B224" s="17" t="s">
        <v>4559</v>
      </c>
      <c r="C224" s="17" t="s">
        <v>63</v>
      </c>
      <c r="D224" s="17" t="s">
        <v>85</v>
      </c>
      <c r="E224" s="21">
        <v>363.0</v>
      </c>
      <c r="F224" s="21">
        <f>SUMIFS(crm_orders!$J:$J,crm_orders!$B:$B,"&gt;="&amp;A224,crm_orders!$B:$B,"&lt;"&amp;DATE(YEAR(A224),MONTH(A224)+1,1),crm_orders!$E:$E,B224,crm_orders!$G:$G,C224,crm_orders!$H:$H,D224)</f>
        <v>0</v>
      </c>
      <c r="G224" s="21">
        <f>SUMIFS(warehouse_shipments!$H:$H,warehouse_shipments!$C:$C,"&gt;="&amp;A224,warehouse_shipments!$C:$C,"&lt;"&amp;DATE(YEAR(A224),MONTH(A224)+1,1),warehouse_shipments!$P:$P,B224,warehouse_shipments!$Q:$Q,C224,warehouse_shipments!$R:$R,D224)</f>
        <v>0</v>
      </c>
      <c r="H224" s="22">
        <f t="shared" si="1"/>
        <v>-363</v>
      </c>
      <c r="I224" s="64">
        <f t="shared" si="2"/>
        <v>0</v>
      </c>
      <c r="J224" s="22" t="s">
        <v>5311</v>
      </c>
    </row>
    <row r="225" ht="15.75" customHeight="1">
      <c r="A225" s="26">
        <v>46023.0</v>
      </c>
      <c r="B225" s="25" t="s">
        <v>4559</v>
      </c>
      <c r="C225" s="25" t="s">
        <v>63</v>
      </c>
      <c r="D225" s="25" t="s">
        <v>102</v>
      </c>
      <c r="E225" s="29">
        <v>98.0</v>
      </c>
      <c r="F225" s="29">
        <f>SUMIFS(crm_orders!$J:$J,crm_orders!$B:$B,"&gt;="&amp;A225,crm_orders!$B:$B,"&lt;"&amp;DATE(YEAR(A225),MONTH(A225)+1,1),crm_orders!$E:$E,B225,crm_orders!$G:$G,C225,crm_orders!$H:$H,D225)</f>
        <v>0</v>
      </c>
      <c r="G225" s="29">
        <f>SUMIFS(warehouse_shipments!$H:$H,warehouse_shipments!$C:$C,"&gt;="&amp;A225,warehouse_shipments!$C:$C,"&lt;"&amp;DATE(YEAR(A225),MONTH(A225)+1,1),warehouse_shipments!$P:$P,B225,warehouse_shipments!$Q:$Q,C225,warehouse_shipments!$R:$R,D225)</f>
        <v>0</v>
      </c>
      <c r="H225" s="30">
        <f t="shared" si="1"/>
        <v>-98</v>
      </c>
      <c r="I225" s="65">
        <f t="shared" si="2"/>
        <v>0</v>
      </c>
      <c r="J225" s="30" t="s">
        <v>5308</v>
      </c>
    </row>
    <row r="226" ht="15.75" customHeight="1">
      <c r="A226" s="18">
        <v>46023.0</v>
      </c>
      <c r="B226" s="17" t="s">
        <v>4559</v>
      </c>
      <c r="C226" s="17" t="s">
        <v>67</v>
      </c>
      <c r="D226" s="17" t="s">
        <v>95</v>
      </c>
      <c r="E226" s="21">
        <v>460.0</v>
      </c>
      <c r="F226" s="21">
        <f>SUMIFS(crm_orders!$J:$J,crm_orders!$B:$B,"&gt;="&amp;A226,crm_orders!$B:$B,"&lt;"&amp;DATE(YEAR(A226),MONTH(A226)+1,1),crm_orders!$E:$E,B226,crm_orders!$G:$G,C226,crm_orders!$H:$H,D226)</f>
        <v>0</v>
      </c>
      <c r="G226" s="21">
        <f>SUMIFS(warehouse_shipments!$H:$H,warehouse_shipments!$C:$C,"&gt;="&amp;A226,warehouse_shipments!$C:$C,"&lt;"&amp;DATE(YEAR(A226),MONTH(A226)+1,1),warehouse_shipments!$P:$P,B226,warehouse_shipments!$Q:$Q,C226,warehouse_shipments!$R:$R,D226)</f>
        <v>0</v>
      </c>
      <c r="H226" s="22">
        <f t="shared" si="1"/>
        <v>-460</v>
      </c>
      <c r="I226" s="64">
        <f t="shared" si="2"/>
        <v>0</v>
      </c>
      <c r="J226" s="22" t="s">
        <v>5309</v>
      </c>
    </row>
    <row r="227" ht="15.75" customHeight="1">
      <c r="A227" s="26">
        <v>46023.0</v>
      </c>
      <c r="B227" s="25" t="s">
        <v>4559</v>
      </c>
      <c r="C227" s="25" t="s">
        <v>67</v>
      </c>
      <c r="D227" s="25" t="s">
        <v>156</v>
      </c>
      <c r="E227" s="29">
        <v>266.0</v>
      </c>
      <c r="F227" s="29">
        <f>SUMIFS(crm_orders!$J:$J,crm_orders!$B:$B,"&gt;="&amp;A227,crm_orders!$B:$B,"&lt;"&amp;DATE(YEAR(A227),MONTH(A227)+1,1),crm_orders!$E:$E,B227,crm_orders!$G:$G,C227,crm_orders!$H:$H,D227)</f>
        <v>0</v>
      </c>
      <c r="G227" s="29">
        <f>SUMIFS(warehouse_shipments!$H:$H,warehouse_shipments!$C:$C,"&gt;="&amp;A227,warehouse_shipments!$C:$C,"&lt;"&amp;DATE(YEAR(A227),MONTH(A227)+1,1),warehouse_shipments!$P:$P,B227,warehouse_shipments!$Q:$Q,C227,warehouse_shipments!$R:$R,D227)</f>
        <v>0</v>
      </c>
      <c r="H227" s="30">
        <f t="shared" si="1"/>
        <v>-266</v>
      </c>
      <c r="I227" s="65">
        <f t="shared" si="2"/>
        <v>0</v>
      </c>
      <c r="J227" s="30" t="s">
        <v>5306</v>
      </c>
    </row>
    <row r="228" ht="15.75" customHeight="1">
      <c r="A228" s="18">
        <v>46023.0</v>
      </c>
      <c r="B228" s="17" t="s">
        <v>4559</v>
      </c>
      <c r="C228" s="17" t="s">
        <v>67</v>
      </c>
      <c r="D228" s="17" t="s">
        <v>108</v>
      </c>
      <c r="E228" s="21">
        <v>324.0</v>
      </c>
      <c r="F228" s="21">
        <f>SUMIFS(crm_orders!$J:$J,crm_orders!$B:$B,"&gt;="&amp;A228,crm_orders!$B:$B,"&lt;"&amp;DATE(YEAR(A228),MONTH(A228)+1,1),crm_orders!$E:$E,B228,crm_orders!$G:$G,C228,crm_orders!$H:$H,D228)</f>
        <v>0</v>
      </c>
      <c r="G228" s="21">
        <f>SUMIFS(warehouse_shipments!$H:$H,warehouse_shipments!$C:$C,"&gt;="&amp;A228,warehouse_shipments!$C:$C,"&lt;"&amp;DATE(YEAR(A228),MONTH(A228)+1,1),warehouse_shipments!$P:$P,B228,warehouse_shipments!$Q:$Q,C228,warehouse_shipments!$R:$R,D228)</f>
        <v>0</v>
      </c>
      <c r="H228" s="22">
        <f t="shared" si="1"/>
        <v>-324</v>
      </c>
      <c r="I228" s="64">
        <f t="shared" si="2"/>
        <v>0</v>
      </c>
      <c r="J228" s="22" t="s">
        <v>5306</v>
      </c>
    </row>
    <row r="229" ht="15.75" customHeight="1">
      <c r="A229" s="26">
        <v>46023.0</v>
      </c>
      <c r="B229" s="25" t="s">
        <v>4559</v>
      </c>
      <c r="C229" s="25" t="s">
        <v>67</v>
      </c>
      <c r="D229" s="25" t="s">
        <v>106</v>
      </c>
      <c r="E229" s="29">
        <v>502.0</v>
      </c>
      <c r="F229" s="29">
        <f>SUMIFS(crm_orders!$J:$J,crm_orders!$B:$B,"&gt;="&amp;A229,crm_orders!$B:$B,"&lt;"&amp;DATE(YEAR(A229),MONTH(A229)+1,1),crm_orders!$E:$E,B229,crm_orders!$G:$G,C229,crm_orders!$H:$H,D229)</f>
        <v>0</v>
      </c>
      <c r="G229" s="29">
        <f>SUMIFS(warehouse_shipments!$H:$H,warehouse_shipments!$C:$C,"&gt;="&amp;A229,warehouse_shipments!$C:$C,"&lt;"&amp;DATE(YEAR(A229),MONTH(A229)+1,1),warehouse_shipments!$P:$P,B229,warehouse_shipments!$Q:$Q,C229,warehouse_shipments!$R:$R,D229)</f>
        <v>0</v>
      </c>
      <c r="H229" s="30">
        <f t="shared" si="1"/>
        <v>-502</v>
      </c>
      <c r="I229" s="65">
        <f t="shared" si="2"/>
        <v>0</v>
      </c>
      <c r="J229" s="30" t="s">
        <v>5310</v>
      </c>
    </row>
    <row r="230" ht="15.75" customHeight="1">
      <c r="A230" s="18">
        <v>46023.0</v>
      </c>
      <c r="B230" s="17" t="s">
        <v>4559</v>
      </c>
      <c r="C230" s="17" t="s">
        <v>67</v>
      </c>
      <c r="D230" s="17" t="s">
        <v>154</v>
      </c>
      <c r="E230" s="21">
        <v>329.0</v>
      </c>
      <c r="F230" s="21">
        <f>SUMIFS(crm_orders!$J:$J,crm_orders!$B:$B,"&gt;="&amp;A230,crm_orders!$B:$B,"&lt;"&amp;DATE(YEAR(A230),MONTH(A230)+1,1),crm_orders!$E:$E,B230,crm_orders!$G:$G,C230,crm_orders!$H:$H,D230)</f>
        <v>0</v>
      </c>
      <c r="G230" s="21">
        <f>SUMIFS(warehouse_shipments!$H:$H,warehouse_shipments!$C:$C,"&gt;="&amp;A230,warehouse_shipments!$C:$C,"&lt;"&amp;DATE(YEAR(A230),MONTH(A230)+1,1),warehouse_shipments!$P:$P,B230,warehouse_shipments!$Q:$Q,C230,warehouse_shipments!$R:$R,D230)</f>
        <v>0</v>
      </c>
      <c r="H230" s="22">
        <f t="shared" si="1"/>
        <v>-329</v>
      </c>
      <c r="I230" s="64">
        <f t="shared" si="2"/>
        <v>0</v>
      </c>
      <c r="J230" s="22" t="s">
        <v>5308</v>
      </c>
    </row>
    <row r="231" ht="15.75" customHeight="1">
      <c r="A231" s="26">
        <v>46023.0</v>
      </c>
      <c r="B231" s="25" t="s">
        <v>4559</v>
      </c>
      <c r="C231" s="25" t="s">
        <v>67</v>
      </c>
      <c r="D231" s="25" t="s">
        <v>90</v>
      </c>
      <c r="E231" s="29">
        <v>381.0</v>
      </c>
      <c r="F231" s="29">
        <f>SUMIFS(crm_orders!$J:$J,crm_orders!$B:$B,"&gt;="&amp;A231,crm_orders!$B:$B,"&lt;"&amp;DATE(YEAR(A231),MONTH(A231)+1,1),crm_orders!$E:$E,B231,crm_orders!$G:$G,C231,crm_orders!$H:$H,D231)</f>
        <v>0</v>
      </c>
      <c r="G231" s="29">
        <f>SUMIFS(warehouse_shipments!$H:$H,warehouse_shipments!$C:$C,"&gt;="&amp;A231,warehouse_shipments!$C:$C,"&lt;"&amp;DATE(YEAR(A231),MONTH(A231)+1,1),warehouse_shipments!$P:$P,B231,warehouse_shipments!$Q:$Q,C231,warehouse_shipments!$R:$R,D231)</f>
        <v>0</v>
      </c>
      <c r="H231" s="30">
        <f t="shared" si="1"/>
        <v>-381</v>
      </c>
      <c r="I231" s="65">
        <f t="shared" si="2"/>
        <v>0</v>
      </c>
      <c r="J231" s="30" t="s">
        <v>5306</v>
      </c>
    </row>
    <row r="232" ht="15.75" customHeight="1">
      <c r="A232" s="18">
        <v>46023.0</v>
      </c>
      <c r="B232" s="17" t="s">
        <v>4559</v>
      </c>
      <c r="C232" s="17" t="s">
        <v>67</v>
      </c>
      <c r="D232" s="17" t="s">
        <v>64</v>
      </c>
      <c r="E232" s="21">
        <v>250.0</v>
      </c>
      <c r="F232" s="21">
        <f>SUMIFS(crm_orders!$J:$J,crm_orders!$B:$B,"&gt;="&amp;A232,crm_orders!$B:$B,"&lt;"&amp;DATE(YEAR(A232),MONTH(A232)+1,1),crm_orders!$E:$E,B232,crm_orders!$G:$G,C232,crm_orders!$H:$H,D232)</f>
        <v>30</v>
      </c>
      <c r="G232" s="21">
        <f>SUMIFS(warehouse_shipments!$H:$H,warehouse_shipments!$C:$C,"&gt;="&amp;A232,warehouse_shipments!$C:$C,"&lt;"&amp;DATE(YEAR(A232),MONTH(A232)+1,1),warehouse_shipments!$P:$P,B232,warehouse_shipments!$Q:$Q,C232,warehouse_shipments!$R:$R,D232)</f>
        <v>0</v>
      </c>
      <c r="H232" s="22">
        <f t="shared" si="1"/>
        <v>-220</v>
      </c>
      <c r="I232" s="64">
        <f t="shared" si="2"/>
        <v>0.12</v>
      </c>
      <c r="J232" s="22" t="s">
        <v>5306</v>
      </c>
    </row>
    <row r="233" ht="15.75" customHeight="1">
      <c r="A233" s="26">
        <v>46023.0</v>
      </c>
      <c r="B233" s="25" t="s">
        <v>4559</v>
      </c>
      <c r="C233" s="25" t="s">
        <v>67</v>
      </c>
      <c r="D233" s="25" t="s">
        <v>92</v>
      </c>
      <c r="E233" s="29">
        <v>474.0</v>
      </c>
      <c r="F233" s="29">
        <f>SUMIFS(crm_orders!$J:$J,crm_orders!$B:$B,"&gt;="&amp;A233,crm_orders!$B:$B,"&lt;"&amp;DATE(YEAR(A233),MONTH(A233)+1,1),crm_orders!$E:$E,B233,crm_orders!$G:$G,C233,crm_orders!$H:$H,D233)</f>
        <v>12</v>
      </c>
      <c r="G233" s="29">
        <f>SUMIFS(warehouse_shipments!$H:$H,warehouse_shipments!$C:$C,"&gt;="&amp;A233,warehouse_shipments!$C:$C,"&lt;"&amp;DATE(YEAR(A233),MONTH(A233)+1,1),warehouse_shipments!$P:$P,B233,warehouse_shipments!$Q:$Q,C233,warehouse_shipments!$R:$R,D233)</f>
        <v>0</v>
      </c>
      <c r="H233" s="30">
        <f t="shared" si="1"/>
        <v>-462</v>
      </c>
      <c r="I233" s="65">
        <f t="shared" si="2"/>
        <v>0.0253164557</v>
      </c>
      <c r="J233" s="30" t="s">
        <v>5309</v>
      </c>
    </row>
    <row r="234" ht="15.75" customHeight="1">
      <c r="A234" s="18">
        <v>46023.0</v>
      </c>
      <c r="B234" s="17" t="s">
        <v>4559</v>
      </c>
      <c r="C234" s="17" t="s">
        <v>89</v>
      </c>
      <c r="D234" s="17" t="s">
        <v>78</v>
      </c>
      <c r="E234" s="21">
        <v>228.0</v>
      </c>
      <c r="F234" s="21">
        <f>SUMIFS(crm_orders!$J:$J,crm_orders!$B:$B,"&gt;="&amp;A234,crm_orders!$B:$B,"&lt;"&amp;DATE(YEAR(A234),MONTH(A234)+1,1),crm_orders!$E:$E,B234,crm_orders!$G:$G,C234,crm_orders!$H:$H,D234)</f>
        <v>0</v>
      </c>
      <c r="G234" s="21">
        <f>SUMIFS(warehouse_shipments!$H:$H,warehouse_shipments!$C:$C,"&gt;="&amp;A234,warehouse_shipments!$C:$C,"&lt;"&amp;DATE(YEAR(A234),MONTH(A234)+1,1),warehouse_shipments!$P:$P,B234,warehouse_shipments!$Q:$Q,C234,warehouse_shipments!$R:$R,D234)</f>
        <v>0</v>
      </c>
      <c r="H234" s="22">
        <f t="shared" si="1"/>
        <v>-228</v>
      </c>
      <c r="I234" s="64">
        <f t="shared" si="2"/>
        <v>0</v>
      </c>
      <c r="J234" s="22" t="s">
        <v>5306</v>
      </c>
    </row>
    <row r="235" ht="15.75" customHeight="1">
      <c r="A235" s="26">
        <v>46023.0</v>
      </c>
      <c r="B235" s="25" t="s">
        <v>4559</v>
      </c>
      <c r="C235" s="25" t="s">
        <v>89</v>
      </c>
      <c r="D235" s="25" t="s">
        <v>64</v>
      </c>
      <c r="E235" s="29">
        <v>254.0</v>
      </c>
      <c r="F235" s="29">
        <f>SUMIFS(crm_orders!$J:$J,crm_orders!$B:$B,"&gt;="&amp;A235,crm_orders!$B:$B,"&lt;"&amp;DATE(YEAR(A235),MONTH(A235)+1,1),crm_orders!$E:$E,B235,crm_orders!$G:$G,C235,crm_orders!$H:$H,D235)</f>
        <v>0</v>
      </c>
      <c r="G235" s="29">
        <f>SUMIFS(warehouse_shipments!$H:$H,warehouse_shipments!$C:$C,"&gt;="&amp;A235,warehouse_shipments!$C:$C,"&lt;"&amp;DATE(YEAR(A235),MONTH(A235)+1,1),warehouse_shipments!$P:$P,B235,warehouse_shipments!$Q:$Q,C235,warehouse_shipments!$R:$R,D235)</f>
        <v>0</v>
      </c>
      <c r="H235" s="30">
        <f t="shared" si="1"/>
        <v>-254</v>
      </c>
      <c r="I235" s="65">
        <f t="shared" si="2"/>
        <v>0</v>
      </c>
      <c r="J235" s="30" t="s">
        <v>5311</v>
      </c>
    </row>
    <row r="236" ht="15.75" customHeight="1">
      <c r="A236" s="18">
        <v>46023.0</v>
      </c>
      <c r="B236" s="17" t="s">
        <v>4559</v>
      </c>
      <c r="C236" s="17" t="s">
        <v>89</v>
      </c>
      <c r="D236" s="17" t="s">
        <v>108</v>
      </c>
      <c r="E236" s="21">
        <v>395.0</v>
      </c>
      <c r="F236" s="21">
        <f>SUMIFS(crm_orders!$J:$J,crm_orders!$B:$B,"&gt;="&amp;A236,crm_orders!$B:$B,"&lt;"&amp;DATE(YEAR(A236),MONTH(A236)+1,1),crm_orders!$E:$E,B236,crm_orders!$G:$G,C236,crm_orders!$H:$H,D236)</f>
        <v>0</v>
      </c>
      <c r="G236" s="21">
        <f>SUMIFS(warehouse_shipments!$H:$H,warehouse_shipments!$C:$C,"&gt;="&amp;A236,warehouse_shipments!$C:$C,"&lt;"&amp;DATE(YEAR(A236),MONTH(A236)+1,1),warehouse_shipments!$P:$P,B236,warehouse_shipments!$Q:$Q,C236,warehouse_shipments!$R:$R,D236)</f>
        <v>0</v>
      </c>
      <c r="H236" s="22">
        <f t="shared" si="1"/>
        <v>-395</v>
      </c>
      <c r="I236" s="64">
        <f t="shared" si="2"/>
        <v>0</v>
      </c>
      <c r="J236" s="22" t="s">
        <v>5309</v>
      </c>
    </row>
    <row r="237" ht="15.75" customHeight="1">
      <c r="A237" s="26">
        <v>46023.0</v>
      </c>
      <c r="B237" s="25" t="s">
        <v>4559</v>
      </c>
      <c r="C237" s="25" t="s">
        <v>89</v>
      </c>
      <c r="D237" s="25" t="s">
        <v>190</v>
      </c>
      <c r="E237" s="29">
        <v>199.0</v>
      </c>
      <c r="F237" s="29">
        <f>SUMIFS(crm_orders!$J:$J,crm_orders!$B:$B,"&gt;="&amp;A237,crm_orders!$B:$B,"&lt;"&amp;DATE(YEAR(A237),MONTH(A237)+1,1),crm_orders!$E:$E,B237,crm_orders!$G:$G,C237,crm_orders!$H:$H,D237)</f>
        <v>0</v>
      </c>
      <c r="G237" s="29">
        <f>SUMIFS(warehouse_shipments!$H:$H,warehouse_shipments!$C:$C,"&gt;="&amp;A237,warehouse_shipments!$C:$C,"&lt;"&amp;DATE(YEAR(A237),MONTH(A237)+1,1),warehouse_shipments!$P:$P,B237,warehouse_shipments!$Q:$Q,C237,warehouse_shipments!$R:$R,D237)</f>
        <v>0</v>
      </c>
      <c r="H237" s="30">
        <f t="shared" si="1"/>
        <v>-199</v>
      </c>
      <c r="I237" s="65">
        <f t="shared" si="2"/>
        <v>0</v>
      </c>
      <c r="J237" s="30" t="s">
        <v>5308</v>
      </c>
    </row>
    <row r="238" ht="15.75" customHeight="1">
      <c r="A238" s="18">
        <v>46023.0</v>
      </c>
      <c r="B238" s="17" t="s">
        <v>4559</v>
      </c>
      <c r="C238" s="17" t="s">
        <v>89</v>
      </c>
      <c r="D238" s="17" t="s">
        <v>110</v>
      </c>
      <c r="E238" s="21">
        <v>96.0</v>
      </c>
      <c r="F238" s="21">
        <f>SUMIFS(crm_orders!$J:$J,crm_orders!$B:$B,"&gt;="&amp;A238,crm_orders!$B:$B,"&lt;"&amp;DATE(YEAR(A238),MONTH(A238)+1,1),crm_orders!$E:$E,B238,crm_orders!$G:$G,C238,crm_orders!$H:$H,D238)</f>
        <v>0</v>
      </c>
      <c r="G238" s="21">
        <f>SUMIFS(warehouse_shipments!$H:$H,warehouse_shipments!$C:$C,"&gt;="&amp;A238,warehouse_shipments!$C:$C,"&lt;"&amp;DATE(YEAR(A238),MONTH(A238)+1,1),warehouse_shipments!$P:$P,B238,warehouse_shipments!$Q:$Q,C238,warehouse_shipments!$R:$R,D238)</f>
        <v>0</v>
      </c>
      <c r="H238" s="22">
        <f t="shared" si="1"/>
        <v>-96</v>
      </c>
      <c r="I238" s="64">
        <f t="shared" si="2"/>
        <v>0</v>
      </c>
      <c r="J238" s="22" t="s">
        <v>5309</v>
      </c>
    </row>
    <row r="239" ht="15.75" customHeight="1">
      <c r="A239" s="26">
        <v>46023.0</v>
      </c>
      <c r="B239" s="25" t="s">
        <v>4559</v>
      </c>
      <c r="C239" s="25" t="s">
        <v>89</v>
      </c>
      <c r="D239" s="25" t="s">
        <v>115</v>
      </c>
      <c r="E239" s="29">
        <v>330.0</v>
      </c>
      <c r="F239" s="29">
        <f>SUMIFS(crm_orders!$J:$J,crm_orders!$B:$B,"&gt;="&amp;A239,crm_orders!$B:$B,"&lt;"&amp;DATE(YEAR(A239),MONTH(A239)+1,1),crm_orders!$E:$E,B239,crm_orders!$G:$G,C239,crm_orders!$H:$H,D239)</f>
        <v>0</v>
      </c>
      <c r="G239" s="29">
        <f>SUMIFS(warehouse_shipments!$H:$H,warehouse_shipments!$C:$C,"&gt;="&amp;A239,warehouse_shipments!$C:$C,"&lt;"&amp;DATE(YEAR(A239),MONTH(A239)+1,1),warehouse_shipments!$P:$P,B239,warehouse_shipments!$Q:$Q,C239,warehouse_shipments!$R:$R,D239)</f>
        <v>0</v>
      </c>
      <c r="H239" s="30">
        <f t="shared" si="1"/>
        <v>-330</v>
      </c>
      <c r="I239" s="65">
        <f t="shared" si="2"/>
        <v>0</v>
      </c>
      <c r="J239" s="30" t="s">
        <v>5309</v>
      </c>
    </row>
    <row r="240" ht="15.75" customHeight="1">
      <c r="A240" s="18">
        <v>46023.0</v>
      </c>
      <c r="B240" s="17" t="s">
        <v>4559</v>
      </c>
      <c r="C240" s="17" t="s">
        <v>89</v>
      </c>
      <c r="D240" s="17" t="s">
        <v>71</v>
      </c>
      <c r="E240" s="21">
        <v>105.0</v>
      </c>
      <c r="F240" s="21">
        <f>SUMIFS(crm_orders!$J:$J,crm_orders!$B:$B,"&gt;="&amp;A240,crm_orders!$B:$B,"&lt;"&amp;DATE(YEAR(A240),MONTH(A240)+1,1),crm_orders!$E:$E,B240,crm_orders!$G:$G,C240,crm_orders!$H:$H,D240)</f>
        <v>0</v>
      </c>
      <c r="G240" s="21">
        <f>SUMIFS(warehouse_shipments!$H:$H,warehouse_shipments!$C:$C,"&gt;="&amp;A240,warehouse_shipments!$C:$C,"&lt;"&amp;DATE(YEAR(A240),MONTH(A240)+1,1),warehouse_shipments!$P:$P,B240,warehouse_shipments!$Q:$Q,C240,warehouse_shipments!$R:$R,D240)</f>
        <v>0</v>
      </c>
      <c r="H240" s="22">
        <f t="shared" si="1"/>
        <v>-105</v>
      </c>
      <c r="I240" s="64">
        <f t="shared" si="2"/>
        <v>0</v>
      </c>
      <c r="J240" s="22" t="s">
        <v>5310</v>
      </c>
    </row>
    <row r="241" ht="15.75" customHeight="1">
      <c r="A241" s="26">
        <v>46023.0</v>
      </c>
      <c r="B241" s="25" t="s">
        <v>4559</v>
      </c>
      <c r="C241" s="25" t="s">
        <v>89</v>
      </c>
      <c r="D241" s="25" t="s">
        <v>156</v>
      </c>
      <c r="E241" s="29">
        <v>515.0</v>
      </c>
      <c r="F241" s="29">
        <f>SUMIFS(crm_orders!$J:$J,crm_orders!$B:$B,"&gt;="&amp;A241,crm_orders!$B:$B,"&lt;"&amp;DATE(YEAR(A241),MONTH(A241)+1,1),crm_orders!$E:$E,B241,crm_orders!$G:$G,C241,crm_orders!$H:$H,D241)</f>
        <v>0</v>
      </c>
      <c r="G241" s="29">
        <f>SUMIFS(warehouse_shipments!$H:$H,warehouse_shipments!$C:$C,"&gt;="&amp;A241,warehouse_shipments!$C:$C,"&lt;"&amp;DATE(YEAR(A241),MONTH(A241)+1,1),warehouse_shipments!$P:$P,B241,warehouse_shipments!$Q:$Q,C241,warehouse_shipments!$R:$R,D241)</f>
        <v>0</v>
      </c>
      <c r="H241" s="30">
        <f t="shared" si="1"/>
        <v>-515</v>
      </c>
      <c r="I241" s="65">
        <f t="shared" si="2"/>
        <v>0</v>
      </c>
      <c r="J241" s="30" t="s">
        <v>5308</v>
      </c>
    </row>
    <row r="242" ht="15.75" customHeight="1">
      <c r="A242" s="18">
        <v>46023.0</v>
      </c>
      <c r="B242" s="17" t="s">
        <v>4618</v>
      </c>
      <c r="C242" s="17" t="s">
        <v>63</v>
      </c>
      <c r="D242" s="17" t="s">
        <v>154</v>
      </c>
      <c r="E242" s="21">
        <v>129.0</v>
      </c>
      <c r="F242" s="21">
        <f>SUMIFS(crm_orders!$J:$J,crm_orders!$B:$B,"&gt;="&amp;A242,crm_orders!$B:$B,"&lt;"&amp;DATE(YEAR(A242),MONTH(A242)+1,1),crm_orders!$E:$E,B242,crm_orders!$G:$G,C242,crm_orders!$H:$H,D242)</f>
        <v>120</v>
      </c>
      <c r="G242" s="21">
        <f>SUMIFS(warehouse_shipments!$H:$H,warehouse_shipments!$C:$C,"&gt;="&amp;A242,warehouse_shipments!$C:$C,"&lt;"&amp;DATE(YEAR(A242),MONTH(A242)+1,1),warehouse_shipments!$P:$P,B242,warehouse_shipments!$Q:$Q,C242,warehouse_shipments!$R:$R,D242)</f>
        <v>0</v>
      </c>
      <c r="H242" s="22">
        <f t="shared" si="1"/>
        <v>-9</v>
      </c>
      <c r="I242" s="64">
        <f t="shared" si="2"/>
        <v>0.9302325581</v>
      </c>
      <c r="J242" s="22" t="s">
        <v>5309</v>
      </c>
    </row>
    <row r="243" ht="15.75" customHeight="1">
      <c r="A243" s="26">
        <v>46023.0</v>
      </c>
      <c r="B243" s="25" t="s">
        <v>4618</v>
      </c>
      <c r="C243" s="25" t="s">
        <v>63</v>
      </c>
      <c r="D243" s="25" t="s">
        <v>92</v>
      </c>
      <c r="E243" s="29">
        <v>440.0</v>
      </c>
      <c r="F243" s="29">
        <f>SUMIFS(crm_orders!$J:$J,crm_orders!$B:$B,"&gt;="&amp;A243,crm_orders!$B:$B,"&lt;"&amp;DATE(YEAR(A243),MONTH(A243)+1,1),crm_orders!$E:$E,B243,crm_orders!$G:$G,C243,crm_orders!$H:$H,D243)</f>
        <v>0</v>
      </c>
      <c r="G243" s="29">
        <f>SUMIFS(warehouse_shipments!$H:$H,warehouse_shipments!$C:$C,"&gt;="&amp;A243,warehouse_shipments!$C:$C,"&lt;"&amp;DATE(YEAR(A243),MONTH(A243)+1,1),warehouse_shipments!$P:$P,B243,warehouse_shipments!$Q:$Q,C243,warehouse_shipments!$R:$R,D243)</f>
        <v>0</v>
      </c>
      <c r="H243" s="30">
        <f t="shared" si="1"/>
        <v>-440</v>
      </c>
      <c r="I243" s="65">
        <f t="shared" si="2"/>
        <v>0</v>
      </c>
      <c r="J243" s="30" t="s">
        <v>5306</v>
      </c>
    </row>
    <row r="244" ht="15.75" customHeight="1">
      <c r="A244" s="18">
        <v>46023.0</v>
      </c>
      <c r="B244" s="17" t="s">
        <v>4618</v>
      </c>
      <c r="C244" s="17" t="s">
        <v>63</v>
      </c>
      <c r="D244" s="17" t="s">
        <v>95</v>
      </c>
      <c r="E244" s="21">
        <v>274.0</v>
      </c>
      <c r="F244" s="21">
        <f>SUMIFS(crm_orders!$J:$J,crm_orders!$B:$B,"&gt;="&amp;A244,crm_orders!$B:$B,"&lt;"&amp;DATE(YEAR(A244),MONTH(A244)+1,1),crm_orders!$E:$E,B244,crm_orders!$G:$G,C244,crm_orders!$H:$H,D244)</f>
        <v>48</v>
      </c>
      <c r="G244" s="21">
        <f>SUMIFS(warehouse_shipments!$H:$H,warehouse_shipments!$C:$C,"&gt;="&amp;A244,warehouse_shipments!$C:$C,"&lt;"&amp;DATE(YEAR(A244),MONTH(A244)+1,1),warehouse_shipments!$P:$P,B244,warehouse_shipments!$Q:$Q,C244,warehouse_shipments!$R:$R,D244)</f>
        <v>0</v>
      </c>
      <c r="H244" s="22">
        <f t="shared" si="1"/>
        <v>-226</v>
      </c>
      <c r="I244" s="64">
        <f t="shared" si="2"/>
        <v>0.1751824818</v>
      </c>
      <c r="J244" s="22" t="s">
        <v>5310</v>
      </c>
    </row>
    <row r="245" ht="15.75" customHeight="1">
      <c r="A245" s="26">
        <v>46023.0</v>
      </c>
      <c r="B245" s="25" t="s">
        <v>4618</v>
      </c>
      <c r="C245" s="25" t="s">
        <v>63</v>
      </c>
      <c r="D245" s="25" t="s">
        <v>78</v>
      </c>
      <c r="E245" s="29">
        <v>248.0</v>
      </c>
      <c r="F245" s="29">
        <f>SUMIFS(crm_orders!$J:$J,crm_orders!$B:$B,"&gt;="&amp;A245,crm_orders!$B:$B,"&lt;"&amp;DATE(YEAR(A245),MONTH(A245)+1,1),crm_orders!$E:$E,B245,crm_orders!$G:$G,C245,crm_orders!$H:$H,D245)</f>
        <v>108</v>
      </c>
      <c r="G245" s="29">
        <f>SUMIFS(warehouse_shipments!$H:$H,warehouse_shipments!$C:$C,"&gt;="&amp;A245,warehouse_shipments!$C:$C,"&lt;"&amp;DATE(YEAR(A245),MONTH(A245)+1,1),warehouse_shipments!$P:$P,B245,warehouse_shipments!$Q:$Q,C245,warehouse_shipments!$R:$R,D245)</f>
        <v>108</v>
      </c>
      <c r="H245" s="30">
        <f t="shared" si="1"/>
        <v>-140</v>
      </c>
      <c r="I245" s="65">
        <f t="shared" si="2"/>
        <v>0.435483871</v>
      </c>
      <c r="J245" s="30" t="s">
        <v>5308</v>
      </c>
    </row>
    <row r="246" ht="15.75" customHeight="1">
      <c r="A246" s="18">
        <v>46023.0</v>
      </c>
      <c r="B246" s="17" t="s">
        <v>4618</v>
      </c>
      <c r="C246" s="17" t="s">
        <v>63</v>
      </c>
      <c r="D246" s="17" t="s">
        <v>68</v>
      </c>
      <c r="E246" s="21">
        <v>315.0</v>
      </c>
      <c r="F246" s="21">
        <f>SUMIFS(crm_orders!$J:$J,crm_orders!$B:$B,"&gt;="&amp;A246,crm_orders!$B:$B,"&lt;"&amp;DATE(YEAR(A246),MONTH(A246)+1,1),crm_orders!$E:$E,B246,crm_orders!$G:$G,C246,crm_orders!$H:$H,D246)</f>
        <v>0</v>
      </c>
      <c r="G246" s="21">
        <f>SUMIFS(warehouse_shipments!$H:$H,warehouse_shipments!$C:$C,"&gt;="&amp;A246,warehouse_shipments!$C:$C,"&lt;"&amp;DATE(YEAR(A246),MONTH(A246)+1,1),warehouse_shipments!$P:$P,B246,warehouse_shipments!$Q:$Q,C246,warehouse_shipments!$R:$R,D246)</f>
        <v>0</v>
      </c>
      <c r="H246" s="22">
        <f t="shared" si="1"/>
        <v>-315</v>
      </c>
      <c r="I246" s="64">
        <f t="shared" si="2"/>
        <v>0</v>
      </c>
      <c r="J246" s="22" t="s">
        <v>5306</v>
      </c>
    </row>
    <row r="247" ht="15.75" customHeight="1">
      <c r="A247" s="26">
        <v>46023.0</v>
      </c>
      <c r="B247" s="25" t="s">
        <v>4618</v>
      </c>
      <c r="C247" s="25" t="s">
        <v>63</v>
      </c>
      <c r="D247" s="25" t="s">
        <v>102</v>
      </c>
      <c r="E247" s="29">
        <v>88.0</v>
      </c>
      <c r="F247" s="29">
        <f>SUMIFS(crm_orders!$J:$J,crm_orders!$B:$B,"&gt;="&amp;A247,crm_orders!$B:$B,"&lt;"&amp;DATE(YEAR(A247),MONTH(A247)+1,1),crm_orders!$E:$E,B247,crm_orders!$G:$G,C247,crm_orders!$H:$H,D247)</f>
        <v>0</v>
      </c>
      <c r="G247" s="29">
        <f>SUMIFS(warehouse_shipments!$H:$H,warehouse_shipments!$C:$C,"&gt;="&amp;A247,warehouse_shipments!$C:$C,"&lt;"&amp;DATE(YEAR(A247),MONTH(A247)+1,1),warehouse_shipments!$P:$P,B247,warehouse_shipments!$Q:$Q,C247,warehouse_shipments!$R:$R,D247)</f>
        <v>0</v>
      </c>
      <c r="H247" s="30">
        <f t="shared" si="1"/>
        <v>-88</v>
      </c>
      <c r="I247" s="65">
        <f t="shared" si="2"/>
        <v>0</v>
      </c>
      <c r="J247" s="30" t="s">
        <v>5307</v>
      </c>
    </row>
    <row r="248" ht="15.75" customHeight="1">
      <c r="A248" s="18">
        <v>46023.0</v>
      </c>
      <c r="B248" s="17" t="s">
        <v>4618</v>
      </c>
      <c r="C248" s="17" t="s">
        <v>63</v>
      </c>
      <c r="D248" s="17" t="s">
        <v>81</v>
      </c>
      <c r="E248" s="21">
        <v>132.0</v>
      </c>
      <c r="F248" s="21">
        <f>SUMIFS(crm_orders!$J:$J,crm_orders!$B:$B,"&gt;="&amp;A248,crm_orders!$B:$B,"&lt;"&amp;DATE(YEAR(A248),MONTH(A248)+1,1),crm_orders!$E:$E,B248,crm_orders!$G:$G,C248,crm_orders!$H:$H,D248)</f>
        <v>30</v>
      </c>
      <c r="G248" s="21">
        <f>SUMIFS(warehouse_shipments!$H:$H,warehouse_shipments!$C:$C,"&gt;="&amp;A248,warehouse_shipments!$C:$C,"&lt;"&amp;DATE(YEAR(A248),MONTH(A248)+1,1),warehouse_shipments!$P:$P,B248,warehouse_shipments!$Q:$Q,C248,warehouse_shipments!$R:$R,D248)</f>
        <v>6</v>
      </c>
      <c r="H248" s="22">
        <f t="shared" si="1"/>
        <v>-102</v>
      </c>
      <c r="I248" s="64">
        <f t="shared" si="2"/>
        <v>0.2272727273</v>
      </c>
      <c r="J248" s="22" t="s">
        <v>5309</v>
      </c>
    </row>
    <row r="249" ht="15.75" customHeight="1">
      <c r="A249" s="26">
        <v>46023.0</v>
      </c>
      <c r="B249" s="25" t="s">
        <v>4618</v>
      </c>
      <c r="C249" s="25" t="s">
        <v>63</v>
      </c>
      <c r="D249" s="25" t="s">
        <v>156</v>
      </c>
      <c r="E249" s="29">
        <v>153.0</v>
      </c>
      <c r="F249" s="29">
        <f>SUMIFS(crm_orders!$J:$J,crm_orders!$B:$B,"&gt;="&amp;A249,crm_orders!$B:$B,"&lt;"&amp;DATE(YEAR(A249),MONTH(A249)+1,1),crm_orders!$E:$E,B249,crm_orders!$G:$G,C249,crm_orders!$H:$H,D249)</f>
        <v>132</v>
      </c>
      <c r="G249" s="29">
        <f>SUMIFS(warehouse_shipments!$H:$H,warehouse_shipments!$C:$C,"&gt;="&amp;A249,warehouse_shipments!$C:$C,"&lt;"&amp;DATE(YEAR(A249),MONTH(A249)+1,1),warehouse_shipments!$P:$P,B249,warehouse_shipments!$Q:$Q,C249,warehouse_shipments!$R:$R,D249)</f>
        <v>120</v>
      </c>
      <c r="H249" s="30">
        <f t="shared" si="1"/>
        <v>-21</v>
      </c>
      <c r="I249" s="65">
        <f t="shared" si="2"/>
        <v>0.862745098</v>
      </c>
      <c r="J249" s="30" t="s">
        <v>5307</v>
      </c>
    </row>
    <row r="250" ht="15.75" customHeight="1">
      <c r="A250" s="18">
        <v>46023.0</v>
      </c>
      <c r="B250" s="17" t="s">
        <v>4618</v>
      </c>
      <c r="C250" s="17" t="s">
        <v>67</v>
      </c>
      <c r="D250" s="17" t="s">
        <v>92</v>
      </c>
      <c r="E250" s="21">
        <v>254.0</v>
      </c>
      <c r="F250" s="21">
        <f>SUMIFS(crm_orders!$J:$J,crm_orders!$B:$B,"&gt;="&amp;A250,crm_orders!$B:$B,"&lt;"&amp;DATE(YEAR(A250),MONTH(A250)+1,1),crm_orders!$E:$E,B250,crm_orders!$G:$G,C250,crm_orders!$H:$H,D250)</f>
        <v>0</v>
      </c>
      <c r="G250" s="21">
        <f>SUMIFS(warehouse_shipments!$H:$H,warehouse_shipments!$C:$C,"&gt;="&amp;A250,warehouse_shipments!$C:$C,"&lt;"&amp;DATE(YEAR(A250),MONTH(A250)+1,1),warehouse_shipments!$P:$P,B250,warehouse_shipments!$Q:$Q,C250,warehouse_shipments!$R:$R,D250)</f>
        <v>0</v>
      </c>
      <c r="H250" s="22">
        <f t="shared" si="1"/>
        <v>-254</v>
      </c>
      <c r="I250" s="64">
        <f t="shared" si="2"/>
        <v>0</v>
      </c>
      <c r="J250" s="22" t="s">
        <v>5311</v>
      </c>
    </row>
    <row r="251" ht="15.75" customHeight="1">
      <c r="A251" s="26">
        <v>46023.0</v>
      </c>
      <c r="B251" s="25" t="s">
        <v>4618</v>
      </c>
      <c r="C251" s="25" t="s">
        <v>67</v>
      </c>
      <c r="D251" s="25" t="s">
        <v>123</v>
      </c>
      <c r="E251" s="29">
        <v>244.0</v>
      </c>
      <c r="F251" s="29">
        <f>SUMIFS(crm_orders!$J:$J,crm_orders!$B:$B,"&gt;="&amp;A251,crm_orders!$B:$B,"&lt;"&amp;DATE(YEAR(A251),MONTH(A251)+1,1),crm_orders!$E:$E,B251,crm_orders!$G:$G,C251,crm_orders!$H:$H,D251)</f>
        <v>0</v>
      </c>
      <c r="G251" s="29">
        <f>SUMIFS(warehouse_shipments!$H:$H,warehouse_shipments!$C:$C,"&gt;="&amp;A251,warehouse_shipments!$C:$C,"&lt;"&amp;DATE(YEAR(A251),MONTH(A251)+1,1),warehouse_shipments!$P:$P,B251,warehouse_shipments!$Q:$Q,C251,warehouse_shipments!$R:$R,D251)</f>
        <v>0</v>
      </c>
      <c r="H251" s="30">
        <f t="shared" si="1"/>
        <v>-244</v>
      </c>
      <c r="I251" s="65">
        <f t="shared" si="2"/>
        <v>0</v>
      </c>
      <c r="J251" s="30" t="s">
        <v>5309</v>
      </c>
    </row>
    <row r="252" ht="15.75" customHeight="1">
      <c r="A252" s="18">
        <v>46023.0</v>
      </c>
      <c r="B252" s="17" t="s">
        <v>4618</v>
      </c>
      <c r="C252" s="17" t="s">
        <v>67</v>
      </c>
      <c r="D252" s="17" t="s">
        <v>110</v>
      </c>
      <c r="E252" s="21">
        <v>180.0</v>
      </c>
      <c r="F252" s="21">
        <f>SUMIFS(crm_orders!$J:$J,crm_orders!$B:$B,"&gt;="&amp;A252,crm_orders!$B:$B,"&lt;"&amp;DATE(YEAR(A252),MONTH(A252)+1,1),crm_orders!$E:$E,B252,crm_orders!$G:$G,C252,crm_orders!$H:$H,D252)</f>
        <v>48</v>
      </c>
      <c r="G252" s="21">
        <f>SUMIFS(warehouse_shipments!$H:$H,warehouse_shipments!$C:$C,"&gt;="&amp;A252,warehouse_shipments!$C:$C,"&lt;"&amp;DATE(YEAR(A252),MONTH(A252)+1,1),warehouse_shipments!$P:$P,B252,warehouse_shipments!$Q:$Q,C252,warehouse_shipments!$R:$R,D252)</f>
        <v>0</v>
      </c>
      <c r="H252" s="22">
        <f t="shared" si="1"/>
        <v>-132</v>
      </c>
      <c r="I252" s="64">
        <f t="shared" si="2"/>
        <v>0.2666666667</v>
      </c>
      <c r="J252" s="22" t="s">
        <v>5309</v>
      </c>
    </row>
    <row r="253" ht="15.75" customHeight="1">
      <c r="A253" s="26">
        <v>46023.0</v>
      </c>
      <c r="B253" s="25" t="s">
        <v>4618</v>
      </c>
      <c r="C253" s="25" t="s">
        <v>67</v>
      </c>
      <c r="D253" s="25" t="s">
        <v>162</v>
      </c>
      <c r="E253" s="29">
        <v>181.0</v>
      </c>
      <c r="F253" s="29">
        <f>SUMIFS(crm_orders!$J:$J,crm_orders!$B:$B,"&gt;="&amp;A253,crm_orders!$B:$B,"&lt;"&amp;DATE(YEAR(A253),MONTH(A253)+1,1),crm_orders!$E:$E,B253,crm_orders!$G:$G,C253,crm_orders!$H:$H,D253)</f>
        <v>0</v>
      </c>
      <c r="G253" s="29">
        <f>SUMIFS(warehouse_shipments!$H:$H,warehouse_shipments!$C:$C,"&gt;="&amp;A253,warehouse_shipments!$C:$C,"&lt;"&amp;DATE(YEAR(A253),MONTH(A253)+1,1),warehouse_shipments!$P:$P,B253,warehouse_shipments!$Q:$Q,C253,warehouse_shipments!$R:$R,D253)</f>
        <v>0</v>
      </c>
      <c r="H253" s="30">
        <f t="shared" si="1"/>
        <v>-181</v>
      </c>
      <c r="I253" s="65">
        <f t="shared" si="2"/>
        <v>0</v>
      </c>
      <c r="J253" s="30" t="s">
        <v>5308</v>
      </c>
    </row>
    <row r="254" ht="15.75" customHeight="1">
      <c r="A254" s="18">
        <v>46023.0</v>
      </c>
      <c r="B254" s="17" t="s">
        <v>4618</v>
      </c>
      <c r="C254" s="17" t="s">
        <v>67</v>
      </c>
      <c r="D254" s="17" t="s">
        <v>81</v>
      </c>
      <c r="E254" s="21">
        <v>449.0</v>
      </c>
      <c r="F254" s="21">
        <f>SUMIFS(crm_orders!$J:$J,crm_orders!$B:$B,"&gt;="&amp;A254,crm_orders!$B:$B,"&lt;"&amp;DATE(YEAR(A254),MONTH(A254)+1,1),crm_orders!$E:$E,B254,crm_orders!$G:$G,C254,crm_orders!$H:$H,D254)</f>
        <v>0</v>
      </c>
      <c r="G254" s="21">
        <f>SUMIFS(warehouse_shipments!$H:$H,warehouse_shipments!$C:$C,"&gt;="&amp;A254,warehouse_shipments!$C:$C,"&lt;"&amp;DATE(YEAR(A254),MONTH(A254)+1,1),warehouse_shipments!$P:$P,B254,warehouse_shipments!$Q:$Q,C254,warehouse_shipments!$R:$R,D254)</f>
        <v>0</v>
      </c>
      <c r="H254" s="22">
        <f t="shared" si="1"/>
        <v>-449</v>
      </c>
      <c r="I254" s="64">
        <f t="shared" si="2"/>
        <v>0</v>
      </c>
      <c r="J254" s="22" t="s">
        <v>5308</v>
      </c>
    </row>
    <row r="255" ht="15.75" customHeight="1">
      <c r="A255" s="26">
        <v>46023.0</v>
      </c>
      <c r="B255" s="25" t="s">
        <v>4618</v>
      </c>
      <c r="C255" s="25" t="s">
        <v>67</v>
      </c>
      <c r="D255" s="25" t="s">
        <v>156</v>
      </c>
      <c r="E255" s="29">
        <v>509.0</v>
      </c>
      <c r="F255" s="29">
        <f>SUMIFS(crm_orders!$J:$J,crm_orders!$B:$B,"&gt;="&amp;A255,crm_orders!$B:$B,"&lt;"&amp;DATE(YEAR(A255),MONTH(A255)+1,1),crm_orders!$E:$E,B255,crm_orders!$G:$G,C255,crm_orders!$H:$H,D255)</f>
        <v>0</v>
      </c>
      <c r="G255" s="29">
        <f>SUMIFS(warehouse_shipments!$H:$H,warehouse_shipments!$C:$C,"&gt;="&amp;A255,warehouse_shipments!$C:$C,"&lt;"&amp;DATE(YEAR(A255),MONTH(A255)+1,1),warehouse_shipments!$P:$P,B255,warehouse_shipments!$Q:$Q,C255,warehouse_shipments!$R:$R,D255)</f>
        <v>0</v>
      </c>
      <c r="H255" s="30">
        <f t="shared" si="1"/>
        <v>-509</v>
      </c>
      <c r="I255" s="65">
        <f t="shared" si="2"/>
        <v>0</v>
      </c>
      <c r="J255" s="30" t="s">
        <v>5306</v>
      </c>
    </row>
    <row r="256" ht="15.75" customHeight="1">
      <c r="A256" s="18">
        <v>46023.0</v>
      </c>
      <c r="B256" s="17" t="s">
        <v>4618</v>
      </c>
      <c r="C256" s="17" t="s">
        <v>67</v>
      </c>
      <c r="D256" s="17" t="s">
        <v>74</v>
      </c>
      <c r="E256" s="21">
        <v>328.0</v>
      </c>
      <c r="F256" s="21">
        <f>SUMIFS(crm_orders!$J:$J,crm_orders!$B:$B,"&gt;="&amp;A256,crm_orders!$B:$B,"&lt;"&amp;DATE(YEAR(A256),MONTH(A256)+1,1),crm_orders!$E:$E,B256,crm_orders!$G:$G,C256,crm_orders!$H:$H,D256)</f>
        <v>0</v>
      </c>
      <c r="G256" s="21">
        <f>SUMIFS(warehouse_shipments!$H:$H,warehouse_shipments!$C:$C,"&gt;="&amp;A256,warehouse_shipments!$C:$C,"&lt;"&amp;DATE(YEAR(A256),MONTH(A256)+1,1),warehouse_shipments!$P:$P,B256,warehouse_shipments!$Q:$Q,C256,warehouse_shipments!$R:$R,D256)</f>
        <v>0</v>
      </c>
      <c r="H256" s="22">
        <f t="shared" si="1"/>
        <v>-328</v>
      </c>
      <c r="I256" s="64">
        <f t="shared" si="2"/>
        <v>0</v>
      </c>
      <c r="J256" s="22" t="s">
        <v>5306</v>
      </c>
    </row>
    <row r="257" ht="15.75" customHeight="1">
      <c r="A257" s="26">
        <v>46023.0</v>
      </c>
      <c r="B257" s="25" t="s">
        <v>4618</v>
      </c>
      <c r="C257" s="25" t="s">
        <v>67</v>
      </c>
      <c r="D257" s="25" t="s">
        <v>68</v>
      </c>
      <c r="E257" s="29">
        <v>380.0</v>
      </c>
      <c r="F257" s="29">
        <f>SUMIFS(crm_orders!$J:$J,crm_orders!$B:$B,"&gt;="&amp;A257,crm_orders!$B:$B,"&lt;"&amp;DATE(YEAR(A257),MONTH(A257)+1,1),crm_orders!$E:$E,B257,crm_orders!$G:$G,C257,crm_orders!$H:$H,D257)</f>
        <v>0</v>
      </c>
      <c r="G257" s="29">
        <f>SUMIFS(warehouse_shipments!$H:$H,warehouse_shipments!$C:$C,"&gt;="&amp;A257,warehouse_shipments!$C:$C,"&lt;"&amp;DATE(YEAR(A257),MONTH(A257)+1,1),warehouse_shipments!$P:$P,B257,warehouse_shipments!$Q:$Q,C257,warehouse_shipments!$R:$R,D257)</f>
        <v>0</v>
      </c>
      <c r="H257" s="30">
        <f t="shared" si="1"/>
        <v>-380</v>
      </c>
      <c r="I257" s="65">
        <f t="shared" si="2"/>
        <v>0</v>
      </c>
      <c r="J257" s="30" t="s">
        <v>5310</v>
      </c>
    </row>
    <row r="258" ht="15.75" customHeight="1">
      <c r="A258" s="18">
        <v>46023.0</v>
      </c>
      <c r="B258" s="17" t="s">
        <v>4618</v>
      </c>
      <c r="C258" s="17" t="s">
        <v>89</v>
      </c>
      <c r="D258" s="17" t="s">
        <v>162</v>
      </c>
      <c r="E258" s="21">
        <v>456.0</v>
      </c>
      <c r="F258" s="21">
        <f>SUMIFS(crm_orders!$J:$J,crm_orders!$B:$B,"&gt;="&amp;A258,crm_orders!$B:$B,"&lt;"&amp;DATE(YEAR(A258),MONTH(A258)+1,1),crm_orders!$E:$E,B258,crm_orders!$G:$G,C258,crm_orders!$H:$H,D258)</f>
        <v>0</v>
      </c>
      <c r="G258" s="21">
        <f>SUMIFS(warehouse_shipments!$H:$H,warehouse_shipments!$C:$C,"&gt;="&amp;A258,warehouse_shipments!$C:$C,"&lt;"&amp;DATE(YEAR(A258),MONTH(A258)+1,1),warehouse_shipments!$P:$P,B258,warehouse_shipments!$Q:$Q,C258,warehouse_shipments!$R:$R,D258)</f>
        <v>0</v>
      </c>
      <c r="H258" s="22">
        <f t="shared" si="1"/>
        <v>-456</v>
      </c>
      <c r="I258" s="64">
        <f t="shared" si="2"/>
        <v>0</v>
      </c>
      <c r="J258" s="22" t="s">
        <v>5311</v>
      </c>
    </row>
    <row r="259" ht="15.75" customHeight="1">
      <c r="A259" s="26">
        <v>46023.0</v>
      </c>
      <c r="B259" s="25" t="s">
        <v>4618</v>
      </c>
      <c r="C259" s="25" t="s">
        <v>89</v>
      </c>
      <c r="D259" s="25" t="s">
        <v>102</v>
      </c>
      <c r="E259" s="29">
        <v>389.0</v>
      </c>
      <c r="F259" s="29">
        <f>SUMIFS(crm_orders!$J:$J,crm_orders!$B:$B,"&gt;="&amp;A259,crm_orders!$B:$B,"&lt;"&amp;DATE(YEAR(A259),MONTH(A259)+1,1),crm_orders!$E:$E,B259,crm_orders!$G:$G,C259,crm_orders!$H:$H,D259)</f>
        <v>0</v>
      </c>
      <c r="G259" s="29">
        <f>SUMIFS(warehouse_shipments!$H:$H,warehouse_shipments!$C:$C,"&gt;="&amp;A259,warehouse_shipments!$C:$C,"&lt;"&amp;DATE(YEAR(A259),MONTH(A259)+1,1),warehouse_shipments!$P:$P,B259,warehouse_shipments!$Q:$Q,C259,warehouse_shipments!$R:$R,D259)</f>
        <v>0</v>
      </c>
      <c r="H259" s="30">
        <f t="shared" si="1"/>
        <v>-389</v>
      </c>
      <c r="I259" s="65">
        <f t="shared" si="2"/>
        <v>0</v>
      </c>
      <c r="J259" s="30" t="s">
        <v>5308</v>
      </c>
    </row>
    <row r="260" ht="15.75" customHeight="1">
      <c r="A260" s="18">
        <v>46023.0</v>
      </c>
      <c r="B260" s="17" t="s">
        <v>4618</v>
      </c>
      <c r="C260" s="17" t="s">
        <v>89</v>
      </c>
      <c r="D260" s="17" t="s">
        <v>74</v>
      </c>
      <c r="E260" s="21">
        <v>317.0</v>
      </c>
      <c r="F260" s="21">
        <f>SUMIFS(crm_orders!$J:$J,crm_orders!$B:$B,"&gt;="&amp;A260,crm_orders!$B:$B,"&lt;"&amp;DATE(YEAR(A260),MONTH(A260)+1,1),crm_orders!$E:$E,B260,crm_orders!$G:$G,C260,crm_orders!$H:$H,D260)</f>
        <v>0</v>
      </c>
      <c r="G260" s="21">
        <f>SUMIFS(warehouse_shipments!$H:$H,warehouse_shipments!$C:$C,"&gt;="&amp;A260,warehouse_shipments!$C:$C,"&lt;"&amp;DATE(YEAR(A260),MONTH(A260)+1,1),warehouse_shipments!$P:$P,B260,warehouse_shipments!$Q:$Q,C260,warehouse_shipments!$R:$R,D260)</f>
        <v>0</v>
      </c>
      <c r="H260" s="22">
        <f t="shared" si="1"/>
        <v>-317</v>
      </c>
      <c r="I260" s="64">
        <f t="shared" si="2"/>
        <v>0</v>
      </c>
      <c r="J260" s="22" t="s">
        <v>5308</v>
      </c>
    </row>
    <row r="261" ht="15.75" customHeight="1">
      <c r="A261" s="26">
        <v>46023.0</v>
      </c>
      <c r="B261" s="25" t="s">
        <v>4618</v>
      </c>
      <c r="C261" s="25" t="s">
        <v>89</v>
      </c>
      <c r="D261" s="25" t="s">
        <v>85</v>
      </c>
      <c r="E261" s="29">
        <v>189.0</v>
      </c>
      <c r="F261" s="29">
        <f>SUMIFS(crm_orders!$J:$J,crm_orders!$B:$B,"&gt;="&amp;A261,crm_orders!$B:$B,"&lt;"&amp;DATE(YEAR(A261),MONTH(A261)+1,1),crm_orders!$E:$E,B261,crm_orders!$G:$G,C261,crm_orders!$H:$H,D261)</f>
        <v>24</v>
      </c>
      <c r="G261" s="29">
        <f>SUMIFS(warehouse_shipments!$H:$H,warehouse_shipments!$C:$C,"&gt;="&amp;A261,warehouse_shipments!$C:$C,"&lt;"&amp;DATE(YEAR(A261),MONTH(A261)+1,1),warehouse_shipments!$P:$P,B261,warehouse_shipments!$Q:$Q,C261,warehouse_shipments!$R:$R,D261)</f>
        <v>0</v>
      </c>
      <c r="H261" s="30">
        <f t="shared" si="1"/>
        <v>-165</v>
      </c>
      <c r="I261" s="65">
        <f t="shared" si="2"/>
        <v>0.126984127</v>
      </c>
      <c r="J261" s="30" t="s">
        <v>5306</v>
      </c>
    </row>
    <row r="262" ht="15.75" customHeight="1">
      <c r="A262" s="18">
        <v>46023.0</v>
      </c>
      <c r="B262" s="17" t="s">
        <v>4618</v>
      </c>
      <c r="C262" s="17" t="s">
        <v>89</v>
      </c>
      <c r="D262" s="17" t="s">
        <v>123</v>
      </c>
      <c r="E262" s="21">
        <v>123.0</v>
      </c>
      <c r="F262" s="21">
        <f>SUMIFS(crm_orders!$J:$J,crm_orders!$B:$B,"&gt;="&amp;A262,crm_orders!$B:$B,"&lt;"&amp;DATE(YEAR(A262),MONTH(A262)+1,1),crm_orders!$E:$E,B262,crm_orders!$G:$G,C262,crm_orders!$H:$H,D262)</f>
        <v>0</v>
      </c>
      <c r="G262" s="21">
        <f>SUMIFS(warehouse_shipments!$H:$H,warehouse_shipments!$C:$C,"&gt;="&amp;A262,warehouse_shipments!$C:$C,"&lt;"&amp;DATE(YEAR(A262),MONTH(A262)+1,1),warehouse_shipments!$P:$P,B262,warehouse_shipments!$Q:$Q,C262,warehouse_shipments!$R:$R,D262)</f>
        <v>0</v>
      </c>
      <c r="H262" s="22">
        <f t="shared" si="1"/>
        <v>-123</v>
      </c>
      <c r="I262" s="64">
        <f t="shared" si="2"/>
        <v>0</v>
      </c>
      <c r="J262" s="22" t="s">
        <v>5306</v>
      </c>
    </row>
    <row r="263" ht="15.75" customHeight="1">
      <c r="A263" s="26">
        <v>46023.0</v>
      </c>
      <c r="B263" s="25" t="s">
        <v>4618</v>
      </c>
      <c r="C263" s="25" t="s">
        <v>89</v>
      </c>
      <c r="D263" s="25" t="s">
        <v>108</v>
      </c>
      <c r="E263" s="29">
        <v>486.0</v>
      </c>
      <c r="F263" s="29">
        <f>SUMIFS(crm_orders!$J:$J,crm_orders!$B:$B,"&gt;="&amp;A263,crm_orders!$B:$B,"&lt;"&amp;DATE(YEAR(A263),MONTH(A263)+1,1),crm_orders!$E:$E,B263,crm_orders!$G:$G,C263,crm_orders!$H:$H,D263)</f>
        <v>0</v>
      </c>
      <c r="G263" s="29">
        <f>SUMIFS(warehouse_shipments!$H:$H,warehouse_shipments!$C:$C,"&gt;="&amp;A263,warehouse_shipments!$C:$C,"&lt;"&amp;DATE(YEAR(A263),MONTH(A263)+1,1),warehouse_shipments!$P:$P,B263,warehouse_shipments!$Q:$Q,C263,warehouse_shipments!$R:$R,D263)</f>
        <v>0</v>
      </c>
      <c r="H263" s="30">
        <f t="shared" si="1"/>
        <v>-486</v>
      </c>
      <c r="I263" s="65">
        <f t="shared" si="2"/>
        <v>0</v>
      </c>
      <c r="J263" s="30" t="s">
        <v>5309</v>
      </c>
    </row>
    <row r="264" ht="15.75" customHeight="1">
      <c r="A264" s="18">
        <v>46023.0</v>
      </c>
      <c r="B264" s="17" t="s">
        <v>4618</v>
      </c>
      <c r="C264" s="17" t="s">
        <v>89</v>
      </c>
      <c r="D264" s="17" t="s">
        <v>154</v>
      </c>
      <c r="E264" s="21">
        <v>468.0</v>
      </c>
      <c r="F264" s="21">
        <f>SUMIFS(crm_orders!$J:$J,crm_orders!$B:$B,"&gt;="&amp;A264,crm_orders!$B:$B,"&lt;"&amp;DATE(YEAR(A264),MONTH(A264)+1,1),crm_orders!$E:$E,B264,crm_orders!$G:$G,C264,crm_orders!$H:$H,D264)</f>
        <v>12</v>
      </c>
      <c r="G264" s="21">
        <f>SUMIFS(warehouse_shipments!$H:$H,warehouse_shipments!$C:$C,"&gt;="&amp;A264,warehouse_shipments!$C:$C,"&lt;"&amp;DATE(YEAR(A264),MONTH(A264)+1,1),warehouse_shipments!$P:$P,B264,warehouse_shipments!$Q:$Q,C264,warehouse_shipments!$R:$R,D264)</f>
        <v>12</v>
      </c>
      <c r="H264" s="22">
        <f t="shared" si="1"/>
        <v>-456</v>
      </c>
      <c r="I264" s="64">
        <f t="shared" si="2"/>
        <v>0.02564102564</v>
      </c>
      <c r="J264" s="22" t="s">
        <v>5311</v>
      </c>
    </row>
    <row r="265" ht="15.75" customHeight="1">
      <c r="A265" s="26">
        <v>46023.0</v>
      </c>
      <c r="B265" s="25" t="s">
        <v>4618</v>
      </c>
      <c r="C265" s="25" t="s">
        <v>89</v>
      </c>
      <c r="D265" s="25" t="s">
        <v>64</v>
      </c>
      <c r="E265" s="29">
        <v>147.0</v>
      </c>
      <c r="F265" s="29">
        <f>SUMIFS(crm_orders!$J:$J,crm_orders!$B:$B,"&gt;="&amp;A265,crm_orders!$B:$B,"&lt;"&amp;DATE(YEAR(A265),MONTH(A265)+1,1),crm_orders!$E:$E,B265,crm_orders!$G:$G,C265,crm_orders!$H:$H,D265)</f>
        <v>96</v>
      </c>
      <c r="G265" s="29">
        <f>SUMIFS(warehouse_shipments!$H:$H,warehouse_shipments!$C:$C,"&gt;="&amp;A265,warehouse_shipments!$C:$C,"&lt;"&amp;DATE(YEAR(A265),MONTH(A265)+1,1),warehouse_shipments!$P:$P,B265,warehouse_shipments!$Q:$Q,C265,warehouse_shipments!$R:$R,D265)</f>
        <v>96</v>
      </c>
      <c r="H265" s="30">
        <f t="shared" si="1"/>
        <v>-51</v>
      </c>
      <c r="I265" s="65">
        <f t="shared" si="2"/>
        <v>0.6530612245</v>
      </c>
      <c r="J265" s="30" t="s">
        <v>5309</v>
      </c>
    </row>
    <row r="266" ht="15.75" customHeight="1">
      <c r="A266" s="18">
        <v>46023.0</v>
      </c>
      <c r="B266" s="17" t="s">
        <v>4705</v>
      </c>
      <c r="C266" s="17" t="s">
        <v>63</v>
      </c>
      <c r="D266" s="17" t="s">
        <v>102</v>
      </c>
      <c r="E266" s="21">
        <v>244.0</v>
      </c>
      <c r="F266" s="21">
        <f>SUMIFS(crm_orders!$J:$J,crm_orders!$B:$B,"&gt;="&amp;A266,crm_orders!$B:$B,"&lt;"&amp;DATE(YEAR(A266),MONTH(A266)+1,1),crm_orders!$E:$E,B266,crm_orders!$G:$G,C266,crm_orders!$H:$H,D266)</f>
        <v>18</v>
      </c>
      <c r="G266" s="21">
        <f>SUMIFS(warehouse_shipments!$H:$H,warehouse_shipments!$C:$C,"&gt;="&amp;A266,warehouse_shipments!$C:$C,"&lt;"&amp;DATE(YEAR(A266),MONTH(A266)+1,1),warehouse_shipments!$P:$P,B266,warehouse_shipments!$Q:$Q,C266,warehouse_shipments!$R:$R,D266)</f>
        <v>18</v>
      </c>
      <c r="H266" s="22">
        <f t="shared" si="1"/>
        <v>-226</v>
      </c>
      <c r="I266" s="64">
        <f t="shared" si="2"/>
        <v>0.0737704918</v>
      </c>
      <c r="J266" s="22" t="s">
        <v>5306</v>
      </c>
    </row>
    <row r="267" ht="15.75" customHeight="1">
      <c r="A267" s="26">
        <v>46023.0</v>
      </c>
      <c r="B267" s="25" t="s">
        <v>4705</v>
      </c>
      <c r="C267" s="25" t="s">
        <v>63</v>
      </c>
      <c r="D267" s="25" t="s">
        <v>71</v>
      </c>
      <c r="E267" s="29">
        <v>502.0</v>
      </c>
      <c r="F267" s="29">
        <f>SUMIFS(crm_orders!$J:$J,crm_orders!$B:$B,"&gt;="&amp;A267,crm_orders!$B:$B,"&lt;"&amp;DATE(YEAR(A267),MONTH(A267)+1,1),crm_orders!$E:$E,B267,crm_orders!$G:$G,C267,crm_orders!$H:$H,D267)</f>
        <v>0</v>
      </c>
      <c r="G267" s="29">
        <f>SUMIFS(warehouse_shipments!$H:$H,warehouse_shipments!$C:$C,"&gt;="&amp;A267,warehouse_shipments!$C:$C,"&lt;"&amp;DATE(YEAR(A267),MONTH(A267)+1,1),warehouse_shipments!$P:$P,B267,warehouse_shipments!$Q:$Q,C267,warehouse_shipments!$R:$R,D267)</f>
        <v>0</v>
      </c>
      <c r="H267" s="30">
        <f t="shared" si="1"/>
        <v>-502</v>
      </c>
      <c r="I267" s="65">
        <f t="shared" si="2"/>
        <v>0</v>
      </c>
      <c r="J267" s="30" t="s">
        <v>5307</v>
      </c>
    </row>
    <row r="268" ht="15.75" customHeight="1">
      <c r="A268" s="18">
        <v>46023.0</v>
      </c>
      <c r="B268" s="17" t="s">
        <v>4705</v>
      </c>
      <c r="C268" s="17" t="s">
        <v>63</v>
      </c>
      <c r="D268" s="17" t="s">
        <v>74</v>
      </c>
      <c r="E268" s="21">
        <v>397.0</v>
      </c>
      <c r="F268" s="21">
        <f>SUMIFS(crm_orders!$J:$J,crm_orders!$B:$B,"&gt;="&amp;A268,crm_orders!$B:$B,"&lt;"&amp;DATE(YEAR(A268),MONTH(A268)+1,1),crm_orders!$E:$E,B268,crm_orders!$G:$G,C268,crm_orders!$H:$H,D268)</f>
        <v>0</v>
      </c>
      <c r="G268" s="21">
        <f>SUMIFS(warehouse_shipments!$H:$H,warehouse_shipments!$C:$C,"&gt;="&amp;A268,warehouse_shipments!$C:$C,"&lt;"&amp;DATE(YEAR(A268),MONTH(A268)+1,1),warehouse_shipments!$P:$P,B268,warehouse_shipments!$Q:$Q,C268,warehouse_shipments!$R:$R,D268)</f>
        <v>0</v>
      </c>
      <c r="H268" s="22">
        <f t="shared" si="1"/>
        <v>-397</v>
      </c>
      <c r="I268" s="64">
        <f t="shared" si="2"/>
        <v>0</v>
      </c>
      <c r="J268" s="22" t="s">
        <v>5307</v>
      </c>
    </row>
    <row r="269" ht="15.75" customHeight="1">
      <c r="A269" s="26">
        <v>46023.0</v>
      </c>
      <c r="B269" s="25" t="s">
        <v>4705</v>
      </c>
      <c r="C269" s="25" t="s">
        <v>63</v>
      </c>
      <c r="D269" s="25" t="s">
        <v>68</v>
      </c>
      <c r="E269" s="29">
        <v>162.0</v>
      </c>
      <c r="F269" s="29">
        <f>SUMIFS(crm_orders!$J:$J,crm_orders!$B:$B,"&gt;="&amp;A269,crm_orders!$B:$B,"&lt;"&amp;DATE(YEAR(A269),MONTH(A269)+1,1),crm_orders!$E:$E,B269,crm_orders!$G:$G,C269,crm_orders!$H:$H,D269)</f>
        <v>36</v>
      </c>
      <c r="G269" s="29">
        <f>SUMIFS(warehouse_shipments!$H:$H,warehouse_shipments!$C:$C,"&gt;="&amp;A269,warehouse_shipments!$C:$C,"&lt;"&amp;DATE(YEAR(A269),MONTH(A269)+1,1),warehouse_shipments!$P:$P,B269,warehouse_shipments!$Q:$Q,C269,warehouse_shipments!$R:$R,D269)</f>
        <v>36</v>
      </c>
      <c r="H269" s="30">
        <f t="shared" si="1"/>
        <v>-126</v>
      </c>
      <c r="I269" s="65">
        <f t="shared" si="2"/>
        <v>0.2222222222</v>
      </c>
      <c r="J269" s="30" t="s">
        <v>5307</v>
      </c>
    </row>
    <row r="270" ht="15.75" customHeight="1">
      <c r="A270" s="18">
        <v>46023.0</v>
      </c>
      <c r="B270" s="17" t="s">
        <v>4705</v>
      </c>
      <c r="C270" s="17" t="s">
        <v>63</v>
      </c>
      <c r="D270" s="17" t="s">
        <v>162</v>
      </c>
      <c r="E270" s="21">
        <v>315.0</v>
      </c>
      <c r="F270" s="21">
        <f>SUMIFS(crm_orders!$J:$J,crm_orders!$B:$B,"&gt;="&amp;A270,crm_orders!$B:$B,"&lt;"&amp;DATE(YEAR(A270),MONTH(A270)+1,1),crm_orders!$E:$E,B270,crm_orders!$G:$G,C270,crm_orders!$H:$H,D270)</f>
        <v>0</v>
      </c>
      <c r="G270" s="21">
        <f>SUMIFS(warehouse_shipments!$H:$H,warehouse_shipments!$C:$C,"&gt;="&amp;A270,warehouse_shipments!$C:$C,"&lt;"&amp;DATE(YEAR(A270),MONTH(A270)+1,1),warehouse_shipments!$P:$P,B270,warehouse_shipments!$Q:$Q,C270,warehouse_shipments!$R:$R,D270)</f>
        <v>0</v>
      </c>
      <c r="H270" s="22">
        <f t="shared" si="1"/>
        <v>-315</v>
      </c>
      <c r="I270" s="64">
        <f t="shared" si="2"/>
        <v>0</v>
      </c>
      <c r="J270" s="22" t="s">
        <v>5306</v>
      </c>
    </row>
    <row r="271" ht="15.75" customHeight="1">
      <c r="A271" s="26">
        <v>46023.0</v>
      </c>
      <c r="B271" s="25" t="s">
        <v>4705</v>
      </c>
      <c r="C271" s="25" t="s">
        <v>63</v>
      </c>
      <c r="D271" s="25" t="s">
        <v>78</v>
      </c>
      <c r="E271" s="29">
        <v>308.0</v>
      </c>
      <c r="F271" s="29">
        <f>SUMIFS(crm_orders!$J:$J,crm_orders!$B:$B,"&gt;="&amp;A271,crm_orders!$B:$B,"&lt;"&amp;DATE(YEAR(A271),MONTH(A271)+1,1),crm_orders!$E:$E,B271,crm_orders!$G:$G,C271,crm_orders!$H:$H,D271)</f>
        <v>6</v>
      </c>
      <c r="G271" s="29">
        <f>SUMIFS(warehouse_shipments!$H:$H,warehouse_shipments!$C:$C,"&gt;="&amp;A271,warehouse_shipments!$C:$C,"&lt;"&amp;DATE(YEAR(A271),MONTH(A271)+1,1),warehouse_shipments!$P:$P,B271,warehouse_shipments!$Q:$Q,C271,warehouse_shipments!$R:$R,D271)</f>
        <v>0</v>
      </c>
      <c r="H271" s="30">
        <f t="shared" si="1"/>
        <v>-302</v>
      </c>
      <c r="I271" s="65">
        <f t="shared" si="2"/>
        <v>0.01948051948</v>
      </c>
      <c r="J271" s="30" t="s">
        <v>5306</v>
      </c>
    </row>
    <row r="272" ht="15.75" customHeight="1">
      <c r="A272" s="18">
        <v>46023.0</v>
      </c>
      <c r="B272" s="17" t="s">
        <v>4705</v>
      </c>
      <c r="C272" s="17" t="s">
        <v>63</v>
      </c>
      <c r="D272" s="17" t="s">
        <v>115</v>
      </c>
      <c r="E272" s="21">
        <v>101.0</v>
      </c>
      <c r="F272" s="21">
        <f>SUMIFS(crm_orders!$J:$J,crm_orders!$B:$B,"&gt;="&amp;A272,crm_orders!$B:$B,"&lt;"&amp;DATE(YEAR(A272),MONTH(A272)+1,1),crm_orders!$E:$E,B272,crm_orders!$G:$G,C272,crm_orders!$H:$H,D272)</f>
        <v>0</v>
      </c>
      <c r="G272" s="21">
        <f>SUMIFS(warehouse_shipments!$H:$H,warehouse_shipments!$C:$C,"&gt;="&amp;A272,warehouse_shipments!$C:$C,"&lt;"&amp;DATE(YEAR(A272),MONTH(A272)+1,1),warehouse_shipments!$P:$P,B272,warehouse_shipments!$Q:$Q,C272,warehouse_shipments!$R:$R,D272)</f>
        <v>0</v>
      </c>
      <c r="H272" s="22">
        <f t="shared" si="1"/>
        <v>-101</v>
      </c>
      <c r="I272" s="64">
        <f t="shared" si="2"/>
        <v>0</v>
      </c>
      <c r="J272" s="22" t="s">
        <v>5306</v>
      </c>
    </row>
    <row r="273" ht="15.75" customHeight="1">
      <c r="A273" s="26">
        <v>46023.0</v>
      </c>
      <c r="B273" s="25" t="s">
        <v>4705</v>
      </c>
      <c r="C273" s="25" t="s">
        <v>63</v>
      </c>
      <c r="D273" s="25" t="s">
        <v>108</v>
      </c>
      <c r="E273" s="29">
        <v>232.0</v>
      </c>
      <c r="F273" s="29">
        <f>SUMIFS(crm_orders!$J:$J,crm_orders!$B:$B,"&gt;="&amp;A273,crm_orders!$B:$B,"&lt;"&amp;DATE(YEAR(A273),MONTH(A273)+1,1),crm_orders!$E:$E,B273,crm_orders!$G:$G,C273,crm_orders!$H:$H,D273)</f>
        <v>30</v>
      </c>
      <c r="G273" s="29">
        <f>SUMIFS(warehouse_shipments!$H:$H,warehouse_shipments!$C:$C,"&gt;="&amp;A273,warehouse_shipments!$C:$C,"&lt;"&amp;DATE(YEAR(A273),MONTH(A273)+1,1),warehouse_shipments!$P:$P,B273,warehouse_shipments!$Q:$Q,C273,warehouse_shipments!$R:$R,D273)</f>
        <v>30</v>
      </c>
      <c r="H273" s="30">
        <f t="shared" si="1"/>
        <v>-202</v>
      </c>
      <c r="I273" s="65">
        <f t="shared" si="2"/>
        <v>0.1293103448</v>
      </c>
      <c r="J273" s="30" t="s">
        <v>5311</v>
      </c>
    </row>
    <row r="274" ht="15.75" customHeight="1">
      <c r="A274" s="18">
        <v>46023.0</v>
      </c>
      <c r="B274" s="17" t="s">
        <v>4705</v>
      </c>
      <c r="C274" s="17" t="s">
        <v>67</v>
      </c>
      <c r="D274" s="17" t="s">
        <v>95</v>
      </c>
      <c r="E274" s="21">
        <v>264.0</v>
      </c>
      <c r="F274" s="21">
        <f>SUMIFS(crm_orders!$J:$J,crm_orders!$B:$B,"&gt;="&amp;A274,crm_orders!$B:$B,"&lt;"&amp;DATE(YEAR(A274),MONTH(A274)+1,1),crm_orders!$E:$E,B274,crm_orders!$G:$G,C274,crm_orders!$H:$H,D274)</f>
        <v>36</v>
      </c>
      <c r="G274" s="21">
        <f>SUMIFS(warehouse_shipments!$H:$H,warehouse_shipments!$C:$C,"&gt;="&amp;A274,warehouse_shipments!$C:$C,"&lt;"&amp;DATE(YEAR(A274),MONTH(A274)+1,1),warehouse_shipments!$P:$P,B274,warehouse_shipments!$Q:$Q,C274,warehouse_shipments!$R:$R,D274)</f>
        <v>36</v>
      </c>
      <c r="H274" s="22">
        <f t="shared" si="1"/>
        <v>-228</v>
      </c>
      <c r="I274" s="64">
        <f t="shared" si="2"/>
        <v>0.1363636364</v>
      </c>
      <c r="J274" s="22" t="s">
        <v>5306</v>
      </c>
    </row>
    <row r="275" ht="15.75" customHeight="1">
      <c r="A275" s="26">
        <v>46023.0</v>
      </c>
      <c r="B275" s="25" t="s">
        <v>4705</v>
      </c>
      <c r="C275" s="25" t="s">
        <v>67</v>
      </c>
      <c r="D275" s="25" t="s">
        <v>115</v>
      </c>
      <c r="E275" s="29">
        <v>510.0</v>
      </c>
      <c r="F275" s="29">
        <f>SUMIFS(crm_orders!$J:$J,crm_orders!$B:$B,"&gt;="&amp;A275,crm_orders!$B:$B,"&lt;"&amp;DATE(YEAR(A275),MONTH(A275)+1,1),crm_orders!$E:$E,B275,crm_orders!$G:$G,C275,crm_orders!$H:$H,D275)</f>
        <v>0</v>
      </c>
      <c r="G275" s="29">
        <f>SUMIFS(warehouse_shipments!$H:$H,warehouse_shipments!$C:$C,"&gt;="&amp;A275,warehouse_shipments!$C:$C,"&lt;"&amp;DATE(YEAR(A275),MONTH(A275)+1,1),warehouse_shipments!$P:$P,B275,warehouse_shipments!$Q:$Q,C275,warehouse_shipments!$R:$R,D275)</f>
        <v>0</v>
      </c>
      <c r="H275" s="30">
        <f t="shared" si="1"/>
        <v>-510</v>
      </c>
      <c r="I275" s="65">
        <f t="shared" si="2"/>
        <v>0</v>
      </c>
      <c r="J275" s="30" t="s">
        <v>5309</v>
      </c>
    </row>
    <row r="276" ht="15.75" customHeight="1">
      <c r="A276" s="18">
        <v>46023.0</v>
      </c>
      <c r="B276" s="17" t="s">
        <v>4705</v>
      </c>
      <c r="C276" s="17" t="s">
        <v>67</v>
      </c>
      <c r="D276" s="17" t="s">
        <v>110</v>
      </c>
      <c r="E276" s="21">
        <v>394.0</v>
      </c>
      <c r="F276" s="21">
        <f>SUMIFS(crm_orders!$J:$J,crm_orders!$B:$B,"&gt;="&amp;A276,crm_orders!$B:$B,"&lt;"&amp;DATE(YEAR(A276),MONTH(A276)+1,1),crm_orders!$E:$E,B276,crm_orders!$G:$G,C276,crm_orders!$H:$H,D276)</f>
        <v>120</v>
      </c>
      <c r="G276" s="21">
        <f>SUMIFS(warehouse_shipments!$H:$H,warehouse_shipments!$C:$C,"&gt;="&amp;A276,warehouse_shipments!$C:$C,"&lt;"&amp;DATE(YEAR(A276),MONTH(A276)+1,1),warehouse_shipments!$P:$P,B276,warehouse_shipments!$Q:$Q,C276,warehouse_shipments!$R:$R,D276)</f>
        <v>120</v>
      </c>
      <c r="H276" s="22">
        <f t="shared" si="1"/>
        <v>-274</v>
      </c>
      <c r="I276" s="64">
        <f t="shared" si="2"/>
        <v>0.3045685279</v>
      </c>
      <c r="J276" s="22" t="s">
        <v>5306</v>
      </c>
    </row>
    <row r="277" ht="15.75" customHeight="1">
      <c r="A277" s="26">
        <v>46023.0</v>
      </c>
      <c r="B277" s="25" t="s">
        <v>4705</v>
      </c>
      <c r="C277" s="25" t="s">
        <v>67</v>
      </c>
      <c r="D277" s="25" t="s">
        <v>154</v>
      </c>
      <c r="E277" s="29">
        <v>410.0</v>
      </c>
      <c r="F277" s="29">
        <f>SUMIFS(crm_orders!$J:$J,crm_orders!$B:$B,"&gt;="&amp;A277,crm_orders!$B:$B,"&lt;"&amp;DATE(YEAR(A277),MONTH(A277)+1,1),crm_orders!$E:$E,B277,crm_orders!$G:$G,C277,crm_orders!$H:$H,D277)</f>
        <v>0</v>
      </c>
      <c r="G277" s="29">
        <f>SUMIFS(warehouse_shipments!$H:$H,warehouse_shipments!$C:$C,"&gt;="&amp;A277,warehouse_shipments!$C:$C,"&lt;"&amp;DATE(YEAR(A277),MONTH(A277)+1,1),warehouse_shipments!$P:$P,B277,warehouse_shipments!$Q:$Q,C277,warehouse_shipments!$R:$R,D277)</f>
        <v>0</v>
      </c>
      <c r="H277" s="30">
        <f t="shared" si="1"/>
        <v>-410</v>
      </c>
      <c r="I277" s="65">
        <f t="shared" si="2"/>
        <v>0</v>
      </c>
      <c r="J277" s="30" t="s">
        <v>5308</v>
      </c>
    </row>
    <row r="278" ht="15.75" customHeight="1">
      <c r="A278" s="18">
        <v>46023.0</v>
      </c>
      <c r="B278" s="17" t="s">
        <v>4705</v>
      </c>
      <c r="C278" s="17" t="s">
        <v>67</v>
      </c>
      <c r="D278" s="17" t="s">
        <v>156</v>
      </c>
      <c r="E278" s="21">
        <v>441.0</v>
      </c>
      <c r="F278" s="21">
        <f>SUMIFS(crm_orders!$J:$J,crm_orders!$B:$B,"&gt;="&amp;A278,crm_orders!$B:$B,"&lt;"&amp;DATE(YEAR(A278),MONTH(A278)+1,1),crm_orders!$E:$E,B278,crm_orders!$G:$G,C278,crm_orders!$H:$H,D278)</f>
        <v>0</v>
      </c>
      <c r="G278" s="21">
        <f>SUMIFS(warehouse_shipments!$H:$H,warehouse_shipments!$C:$C,"&gt;="&amp;A278,warehouse_shipments!$C:$C,"&lt;"&amp;DATE(YEAR(A278),MONTH(A278)+1,1),warehouse_shipments!$P:$P,B278,warehouse_shipments!$Q:$Q,C278,warehouse_shipments!$R:$R,D278)</f>
        <v>0</v>
      </c>
      <c r="H278" s="22">
        <f t="shared" si="1"/>
        <v>-441</v>
      </c>
      <c r="I278" s="64">
        <f t="shared" si="2"/>
        <v>0</v>
      </c>
      <c r="J278" s="22" t="s">
        <v>5308</v>
      </c>
    </row>
    <row r="279" ht="15.75" customHeight="1">
      <c r="A279" s="26">
        <v>46023.0</v>
      </c>
      <c r="B279" s="25" t="s">
        <v>4705</v>
      </c>
      <c r="C279" s="25" t="s">
        <v>67</v>
      </c>
      <c r="D279" s="25" t="s">
        <v>81</v>
      </c>
      <c r="E279" s="29">
        <v>175.0</v>
      </c>
      <c r="F279" s="29">
        <f>SUMIFS(crm_orders!$J:$J,crm_orders!$B:$B,"&gt;="&amp;A279,crm_orders!$B:$B,"&lt;"&amp;DATE(YEAR(A279),MONTH(A279)+1,1),crm_orders!$E:$E,B279,crm_orders!$G:$G,C279,crm_orders!$H:$H,D279)</f>
        <v>0</v>
      </c>
      <c r="G279" s="29">
        <f>SUMIFS(warehouse_shipments!$H:$H,warehouse_shipments!$C:$C,"&gt;="&amp;A279,warehouse_shipments!$C:$C,"&lt;"&amp;DATE(YEAR(A279),MONTH(A279)+1,1),warehouse_shipments!$P:$P,B279,warehouse_shipments!$Q:$Q,C279,warehouse_shipments!$R:$R,D279)</f>
        <v>0</v>
      </c>
      <c r="H279" s="30">
        <f t="shared" si="1"/>
        <v>-175</v>
      </c>
      <c r="I279" s="65">
        <f t="shared" si="2"/>
        <v>0</v>
      </c>
      <c r="J279" s="30" t="s">
        <v>5310</v>
      </c>
    </row>
    <row r="280" ht="15.75" customHeight="1">
      <c r="A280" s="18">
        <v>46023.0</v>
      </c>
      <c r="B280" s="17" t="s">
        <v>4705</v>
      </c>
      <c r="C280" s="17" t="s">
        <v>67</v>
      </c>
      <c r="D280" s="17" t="s">
        <v>108</v>
      </c>
      <c r="E280" s="21">
        <v>117.0</v>
      </c>
      <c r="F280" s="21">
        <f>SUMIFS(crm_orders!$J:$J,crm_orders!$B:$B,"&gt;="&amp;A280,crm_orders!$B:$B,"&lt;"&amp;DATE(YEAR(A280),MONTH(A280)+1,1),crm_orders!$E:$E,B280,crm_orders!$G:$G,C280,crm_orders!$H:$H,D280)</f>
        <v>0</v>
      </c>
      <c r="G280" s="21">
        <f>SUMIFS(warehouse_shipments!$H:$H,warehouse_shipments!$C:$C,"&gt;="&amp;A280,warehouse_shipments!$C:$C,"&lt;"&amp;DATE(YEAR(A280),MONTH(A280)+1,1),warehouse_shipments!$P:$P,B280,warehouse_shipments!$Q:$Q,C280,warehouse_shipments!$R:$R,D280)</f>
        <v>0</v>
      </c>
      <c r="H280" s="22">
        <f t="shared" si="1"/>
        <v>-117</v>
      </c>
      <c r="I280" s="64">
        <f t="shared" si="2"/>
        <v>0</v>
      </c>
      <c r="J280" s="22" t="s">
        <v>5311</v>
      </c>
    </row>
    <row r="281" ht="15.75" customHeight="1">
      <c r="A281" s="26">
        <v>46023.0</v>
      </c>
      <c r="B281" s="25" t="s">
        <v>4705</v>
      </c>
      <c r="C281" s="25" t="s">
        <v>67</v>
      </c>
      <c r="D281" s="25" t="s">
        <v>71</v>
      </c>
      <c r="E281" s="29">
        <v>437.0</v>
      </c>
      <c r="F281" s="29">
        <f>SUMIFS(crm_orders!$J:$J,crm_orders!$B:$B,"&gt;="&amp;A281,crm_orders!$B:$B,"&lt;"&amp;DATE(YEAR(A281),MONTH(A281)+1,1),crm_orders!$E:$E,B281,crm_orders!$G:$G,C281,crm_orders!$H:$H,D281)</f>
        <v>0</v>
      </c>
      <c r="G281" s="29">
        <f>SUMIFS(warehouse_shipments!$H:$H,warehouse_shipments!$C:$C,"&gt;="&amp;A281,warehouse_shipments!$C:$C,"&lt;"&amp;DATE(YEAR(A281),MONTH(A281)+1,1),warehouse_shipments!$P:$P,B281,warehouse_shipments!$Q:$Q,C281,warehouse_shipments!$R:$R,D281)</f>
        <v>0</v>
      </c>
      <c r="H281" s="30">
        <f t="shared" si="1"/>
        <v>-437</v>
      </c>
      <c r="I281" s="65">
        <f t="shared" si="2"/>
        <v>0</v>
      </c>
      <c r="J281" s="30" t="s">
        <v>5311</v>
      </c>
    </row>
    <row r="282" ht="15.75" customHeight="1">
      <c r="A282" s="18">
        <v>46023.0</v>
      </c>
      <c r="B282" s="17" t="s">
        <v>4705</v>
      </c>
      <c r="C282" s="17" t="s">
        <v>89</v>
      </c>
      <c r="D282" s="17" t="s">
        <v>90</v>
      </c>
      <c r="E282" s="21">
        <v>367.0</v>
      </c>
      <c r="F282" s="21">
        <f>SUMIFS(crm_orders!$J:$J,crm_orders!$B:$B,"&gt;="&amp;A282,crm_orders!$B:$B,"&lt;"&amp;DATE(YEAR(A282),MONTH(A282)+1,1),crm_orders!$E:$E,B282,crm_orders!$G:$G,C282,crm_orders!$H:$H,D282)</f>
        <v>0</v>
      </c>
      <c r="G282" s="21">
        <f>SUMIFS(warehouse_shipments!$H:$H,warehouse_shipments!$C:$C,"&gt;="&amp;A282,warehouse_shipments!$C:$C,"&lt;"&amp;DATE(YEAR(A282),MONTH(A282)+1,1),warehouse_shipments!$P:$P,B282,warehouse_shipments!$Q:$Q,C282,warehouse_shipments!$R:$R,D282)</f>
        <v>0</v>
      </c>
      <c r="H282" s="22">
        <f t="shared" si="1"/>
        <v>-367</v>
      </c>
      <c r="I282" s="64">
        <f t="shared" si="2"/>
        <v>0</v>
      </c>
      <c r="J282" s="22" t="s">
        <v>5311</v>
      </c>
    </row>
    <row r="283" ht="15.75" customHeight="1">
      <c r="A283" s="26">
        <v>46023.0</v>
      </c>
      <c r="B283" s="25" t="s">
        <v>4705</v>
      </c>
      <c r="C283" s="25" t="s">
        <v>89</v>
      </c>
      <c r="D283" s="25" t="s">
        <v>154</v>
      </c>
      <c r="E283" s="29">
        <v>168.0</v>
      </c>
      <c r="F283" s="29">
        <f>SUMIFS(crm_orders!$J:$J,crm_orders!$B:$B,"&gt;="&amp;A283,crm_orders!$B:$B,"&lt;"&amp;DATE(YEAR(A283),MONTH(A283)+1,1),crm_orders!$E:$E,B283,crm_orders!$G:$G,C283,crm_orders!$H:$H,D283)</f>
        <v>0</v>
      </c>
      <c r="G283" s="29">
        <f>SUMIFS(warehouse_shipments!$H:$H,warehouse_shipments!$C:$C,"&gt;="&amp;A283,warehouse_shipments!$C:$C,"&lt;"&amp;DATE(YEAR(A283),MONTH(A283)+1,1),warehouse_shipments!$P:$P,B283,warehouse_shipments!$Q:$Q,C283,warehouse_shipments!$R:$R,D283)</f>
        <v>0</v>
      </c>
      <c r="H283" s="30">
        <f t="shared" si="1"/>
        <v>-168</v>
      </c>
      <c r="I283" s="65">
        <f t="shared" si="2"/>
        <v>0</v>
      </c>
      <c r="J283" s="30" t="s">
        <v>5306</v>
      </c>
    </row>
    <row r="284" ht="15.75" customHeight="1">
      <c r="A284" s="18">
        <v>46023.0</v>
      </c>
      <c r="B284" s="17" t="s">
        <v>4705</v>
      </c>
      <c r="C284" s="17" t="s">
        <v>89</v>
      </c>
      <c r="D284" s="17" t="s">
        <v>95</v>
      </c>
      <c r="E284" s="21">
        <v>309.0</v>
      </c>
      <c r="F284" s="21">
        <f>SUMIFS(crm_orders!$J:$J,crm_orders!$B:$B,"&gt;="&amp;A284,crm_orders!$B:$B,"&lt;"&amp;DATE(YEAR(A284),MONTH(A284)+1,1),crm_orders!$E:$E,B284,crm_orders!$G:$G,C284,crm_orders!$H:$H,D284)</f>
        <v>0</v>
      </c>
      <c r="G284" s="21">
        <f>SUMIFS(warehouse_shipments!$H:$H,warehouse_shipments!$C:$C,"&gt;="&amp;A284,warehouse_shipments!$C:$C,"&lt;"&amp;DATE(YEAR(A284),MONTH(A284)+1,1),warehouse_shipments!$P:$P,B284,warehouse_shipments!$Q:$Q,C284,warehouse_shipments!$R:$R,D284)</f>
        <v>0</v>
      </c>
      <c r="H284" s="22">
        <f t="shared" si="1"/>
        <v>-309</v>
      </c>
      <c r="I284" s="64">
        <f t="shared" si="2"/>
        <v>0</v>
      </c>
      <c r="J284" s="22" t="s">
        <v>5308</v>
      </c>
    </row>
    <row r="285" ht="15.75" customHeight="1">
      <c r="A285" s="26">
        <v>46023.0</v>
      </c>
      <c r="B285" s="25" t="s">
        <v>4705</v>
      </c>
      <c r="C285" s="25" t="s">
        <v>89</v>
      </c>
      <c r="D285" s="25" t="s">
        <v>85</v>
      </c>
      <c r="E285" s="29">
        <v>198.0</v>
      </c>
      <c r="F285" s="29">
        <f>SUMIFS(crm_orders!$J:$J,crm_orders!$B:$B,"&gt;="&amp;A285,crm_orders!$B:$B,"&lt;"&amp;DATE(YEAR(A285),MONTH(A285)+1,1),crm_orders!$E:$E,B285,crm_orders!$G:$G,C285,crm_orders!$H:$H,D285)</f>
        <v>0</v>
      </c>
      <c r="G285" s="29">
        <f>SUMIFS(warehouse_shipments!$H:$H,warehouse_shipments!$C:$C,"&gt;="&amp;A285,warehouse_shipments!$C:$C,"&lt;"&amp;DATE(YEAR(A285),MONTH(A285)+1,1),warehouse_shipments!$P:$P,B285,warehouse_shipments!$Q:$Q,C285,warehouse_shipments!$R:$R,D285)</f>
        <v>0</v>
      </c>
      <c r="H285" s="30">
        <f t="shared" si="1"/>
        <v>-198</v>
      </c>
      <c r="I285" s="65">
        <f t="shared" si="2"/>
        <v>0</v>
      </c>
      <c r="J285" s="30" t="s">
        <v>5308</v>
      </c>
    </row>
    <row r="286" ht="15.75" customHeight="1">
      <c r="A286" s="18">
        <v>46023.0</v>
      </c>
      <c r="B286" s="17" t="s">
        <v>4705</v>
      </c>
      <c r="C286" s="17" t="s">
        <v>89</v>
      </c>
      <c r="D286" s="17" t="s">
        <v>156</v>
      </c>
      <c r="E286" s="21">
        <v>301.0</v>
      </c>
      <c r="F286" s="21">
        <f>SUMIFS(crm_orders!$J:$J,crm_orders!$B:$B,"&gt;="&amp;A286,crm_orders!$B:$B,"&lt;"&amp;DATE(YEAR(A286),MONTH(A286)+1,1),crm_orders!$E:$E,B286,crm_orders!$G:$G,C286,crm_orders!$H:$H,D286)</f>
        <v>0</v>
      </c>
      <c r="G286" s="21">
        <f>SUMIFS(warehouse_shipments!$H:$H,warehouse_shipments!$C:$C,"&gt;="&amp;A286,warehouse_shipments!$C:$C,"&lt;"&amp;DATE(YEAR(A286),MONTH(A286)+1,1),warehouse_shipments!$P:$P,B286,warehouse_shipments!$Q:$Q,C286,warehouse_shipments!$R:$R,D286)</f>
        <v>0</v>
      </c>
      <c r="H286" s="22">
        <f t="shared" si="1"/>
        <v>-301</v>
      </c>
      <c r="I286" s="64">
        <f t="shared" si="2"/>
        <v>0</v>
      </c>
      <c r="J286" s="22" t="s">
        <v>5306</v>
      </c>
    </row>
    <row r="287" ht="15.75" customHeight="1">
      <c r="A287" s="26">
        <v>46023.0</v>
      </c>
      <c r="B287" s="25" t="s">
        <v>4705</v>
      </c>
      <c r="C287" s="25" t="s">
        <v>89</v>
      </c>
      <c r="D287" s="25" t="s">
        <v>115</v>
      </c>
      <c r="E287" s="29">
        <v>350.0</v>
      </c>
      <c r="F287" s="29">
        <f>SUMIFS(crm_orders!$J:$J,crm_orders!$B:$B,"&gt;="&amp;A287,crm_orders!$B:$B,"&lt;"&amp;DATE(YEAR(A287),MONTH(A287)+1,1),crm_orders!$E:$E,B287,crm_orders!$G:$G,C287,crm_orders!$H:$H,D287)</f>
        <v>0</v>
      </c>
      <c r="G287" s="29">
        <f>SUMIFS(warehouse_shipments!$H:$H,warehouse_shipments!$C:$C,"&gt;="&amp;A287,warehouse_shipments!$C:$C,"&lt;"&amp;DATE(YEAR(A287),MONTH(A287)+1,1),warehouse_shipments!$P:$P,B287,warehouse_shipments!$Q:$Q,C287,warehouse_shipments!$R:$R,D287)</f>
        <v>0</v>
      </c>
      <c r="H287" s="30">
        <f t="shared" si="1"/>
        <v>-350</v>
      </c>
      <c r="I287" s="65">
        <f t="shared" si="2"/>
        <v>0</v>
      </c>
      <c r="J287" s="30" t="s">
        <v>5309</v>
      </c>
    </row>
    <row r="288" ht="15.75" customHeight="1">
      <c r="A288" s="18">
        <v>46023.0</v>
      </c>
      <c r="B288" s="17" t="s">
        <v>4705</v>
      </c>
      <c r="C288" s="17" t="s">
        <v>89</v>
      </c>
      <c r="D288" s="17" t="s">
        <v>108</v>
      </c>
      <c r="E288" s="21">
        <v>95.0</v>
      </c>
      <c r="F288" s="21">
        <f>SUMIFS(crm_orders!$J:$J,crm_orders!$B:$B,"&gt;="&amp;A288,crm_orders!$B:$B,"&lt;"&amp;DATE(YEAR(A288),MONTH(A288)+1,1),crm_orders!$E:$E,B288,crm_orders!$G:$G,C288,crm_orders!$H:$H,D288)</f>
        <v>30</v>
      </c>
      <c r="G288" s="21">
        <f>SUMIFS(warehouse_shipments!$H:$H,warehouse_shipments!$C:$C,"&gt;="&amp;A288,warehouse_shipments!$C:$C,"&lt;"&amp;DATE(YEAR(A288),MONTH(A288)+1,1),warehouse_shipments!$P:$P,B288,warehouse_shipments!$Q:$Q,C288,warehouse_shipments!$R:$R,D288)</f>
        <v>18</v>
      </c>
      <c r="H288" s="22">
        <f t="shared" si="1"/>
        <v>-65</v>
      </c>
      <c r="I288" s="64">
        <f t="shared" si="2"/>
        <v>0.3157894737</v>
      </c>
      <c r="J288" s="22" t="s">
        <v>5311</v>
      </c>
    </row>
    <row r="289" ht="15.75" customHeight="1">
      <c r="A289" s="26">
        <v>46023.0</v>
      </c>
      <c r="B289" s="25" t="s">
        <v>4705</v>
      </c>
      <c r="C289" s="25" t="s">
        <v>89</v>
      </c>
      <c r="D289" s="25" t="s">
        <v>64</v>
      </c>
      <c r="E289" s="29">
        <v>215.0</v>
      </c>
      <c r="F289" s="29">
        <f>SUMIFS(crm_orders!$J:$J,crm_orders!$B:$B,"&gt;="&amp;A289,crm_orders!$B:$B,"&lt;"&amp;DATE(YEAR(A289),MONTH(A289)+1,1),crm_orders!$E:$E,B289,crm_orders!$G:$G,C289,crm_orders!$H:$H,D289)</f>
        <v>0</v>
      </c>
      <c r="G289" s="29">
        <f>SUMIFS(warehouse_shipments!$H:$H,warehouse_shipments!$C:$C,"&gt;="&amp;A289,warehouse_shipments!$C:$C,"&lt;"&amp;DATE(YEAR(A289),MONTH(A289)+1,1),warehouse_shipments!$P:$P,B289,warehouse_shipments!$Q:$Q,C289,warehouse_shipments!$R:$R,D289)</f>
        <v>0</v>
      </c>
      <c r="H289" s="30">
        <f t="shared" si="1"/>
        <v>-215</v>
      </c>
      <c r="I289" s="65">
        <f t="shared" si="2"/>
        <v>0</v>
      </c>
      <c r="J289" s="30" t="s">
        <v>5311</v>
      </c>
    </row>
    <row r="290" ht="15.75" customHeight="1">
      <c r="A290" s="18">
        <v>46054.0</v>
      </c>
      <c r="B290" s="17" t="s">
        <v>3849</v>
      </c>
      <c r="C290" s="17" t="s">
        <v>63</v>
      </c>
      <c r="D290" s="17" t="s">
        <v>102</v>
      </c>
      <c r="E290" s="21">
        <v>143.0</v>
      </c>
      <c r="F290" s="21">
        <f>SUMIFS(crm_orders!$J:$J,crm_orders!$B:$B,"&gt;="&amp;A290,crm_orders!$B:$B,"&lt;"&amp;DATE(YEAR(A290),MONTH(A290)+1,1),crm_orders!$E:$E,B290,crm_orders!$G:$G,C290,crm_orders!$H:$H,D290)</f>
        <v>30</v>
      </c>
      <c r="G290" s="21">
        <f>SUMIFS(warehouse_shipments!$H:$H,warehouse_shipments!$C:$C,"&gt;="&amp;A290,warehouse_shipments!$C:$C,"&lt;"&amp;DATE(YEAR(A290),MONTH(A290)+1,1),warehouse_shipments!$P:$P,B290,warehouse_shipments!$Q:$Q,C290,warehouse_shipments!$R:$R,D290)</f>
        <v>0</v>
      </c>
      <c r="H290" s="22">
        <f t="shared" si="1"/>
        <v>-113</v>
      </c>
      <c r="I290" s="64">
        <f t="shared" si="2"/>
        <v>0.2097902098</v>
      </c>
      <c r="J290" s="22" t="s">
        <v>5310</v>
      </c>
    </row>
    <row r="291" ht="15.75" customHeight="1">
      <c r="A291" s="26">
        <v>46054.0</v>
      </c>
      <c r="B291" s="25" t="s">
        <v>3849</v>
      </c>
      <c r="C291" s="25" t="s">
        <v>63</v>
      </c>
      <c r="D291" s="25" t="s">
        <v>95</v>
      </c>
      <c r="E291" s="29">
        <v>241.0</v>
      </c>
      <c r="F291" s="29">
        <f>SUMIFS(crm_orders!$J:$J,crm_orders!$B:$B,"&gt;="&amp;A291,crm_orders!$B:$B,"&lt;"&amp;DATE(YEAR(A291),MONTH(A291)+1,1),crm_orders!$E:$E,B291,crm_orders!$G:$G,C291,crm_orders!$H:$H,D291)</f>
        <v>12</v>
      </c>
      <c r="G291" s="29">
        <f>SUMIFS(warehouse_shipments!$H:$H,warehouse_shipments!$C:$C,"&gt;="&amp;A291,warehouse_shipments!$C:$C,"&lt;"&amp;DATE(YEAR(A291),MONTH(A291)+1,1),warehouse_shipments!$P:$P,B291,warehouse_shipments!$Q:$Q,C291,warehouse_shipments!$R:$R,D291)</f>
        <v>12</v>
      </c>
      <c r="H291" s="30">
        <f t="shared" si="1"/>
        <v>-229</v>
      </c>
      <c r="I291" s="65">
        <f t="shared" si="2"/>
        <v>0.04979253112</v>
      </c>
      <c r="J291" s="30" t="s">
        <v>5309</v>
      </c>
    </row>
    <row r="292" ht="15.75" customHeight="1">
      <c r="A292" s="18">
        <v>46054.0</v>
      </c>
      <c r="B292" s="17" t="s">
        <v>3849</v>
      </c>
      <c r="C292" s="17" t="s">
        <v>63</v>
      </c>
      <c r="D292" s="17" t="s">
        <v>123</v>
      </c>
      <c r="E292" s="21">
        <v>245.0</v>
      </c>
      <c r="F292" s="21">
        <f>SUMIFS(crm_orders!$J:$J,crm_orders!$B:$B,"&gt;="&amp;A292,crm_orders!$B:$B,"&lt;"&amp;DATE(YEAR(A292),MONTH(A292)+1,1),crm_orders!$E:$E,B292,crm_orders!$G:$G,C292,crm_orders!$H:$H,D292)</f>
        <v>48</v>
      </c>
      <c r="G292" s="21">
        <f>SUMIFS(warehouse_shipments!$H:$H,warehouse_shipments!$C:$C,"&gt;="&amp;A292,warehouse_shipments!$C:$C,"&lt;"&amp;DATE(YEAR(A292),MONTH(A292)+1,1),warehouse_shipments!$P:$P,B292,warehouse_shipments!$Q:$Q,C292,warehouse_shipments!$R:$R,D292)</f>
        <v>48</v>
      </c>
      <c r="H292" s="22">
        <f t="shared" si="1"/>
        <v>-197</v>
      </c>
      <c r="I292" s="64">
        <f t="shared" si="2"/>
        <v>0.1959183673</v>
      </c>
      <c r="J292" s="22" t="s">
        <v>5309</v>
      </c>
    </row>
    <row r="293" ht="15.75" customHeight="1">
      <c r="A293" s="26">
        <v>46054.0</v>
      </c>
      <c r="B293" s="25" t="s">
        <v>3849</v>
      </c>
      <c r="C293" s="25" t="s">
        <v>63</v>
      </c>
      <c r="D293" s="25" t="s">
        <v>154</v>
      </c>
      <c r="E293" s="29">
        <v>244.0</v>
      </c>
      <c r="F293" s="29">
        <f>SUMIFS(crm_orders!$J:$J,crm_orders!$B:$B,"&gt;="&amp;A293,crm_orders!$B:$B,"&lt;"&amp;DATE(YEAR(A293),MONTH(A293)+1,1),crm_orders!$E:$E,B293,crm_orders!$G:$G,C293,crm_orders!$H:$H,D293)</f>
        <v>96</v>
      </c>
      <c r="G293" s="29">
        <f>SUMIFS(warehouse_shipments!$H:$H,warehouse_shipments!$C:$C,"&gt;="&amp;A293,warehouse_shipments!$C:$C,"&lt;"&amp;DATE(YEAR(A293),MONTH(A293)+1,1),warehouse_shipments!$P:$P,B293,warehouse_shipments!$Q:$Q,C293,warehouse_shipments!$R:$R,D293)</f>
        <v>0</v>
      </c>
      <c r="H293" s="30">
        <f t="shared" si="1"/>
        <v>-148</v>
      </c>
      <c r="I293" s="65">
        <f t="shared" si="2"/>
        <v>0.393442623</v>
      </c>
      <c r="J293" s="30" t="s">
        <v>5308</v>
      </c>
    </row>
    <row r="294" ht="15.75" customHeight="1">
      <c r="A294" s="18">
        <v>46054.0</v>
      </c>
      <c r="B294" s="17" t="s">
        <v>3849</v>
      </c>
      <c r="C294" s="17" t="s">
        <v>63</v>
      </c>
      <c r="D294" s="17" t="s">
        <v>78</v>
      </c>
      <c r="E294" s="21">
        <v>142.0</v>
      </c>
      <c r="F294" s="21">
        <f>SUMIFS(crm_orders!$J:$J,crm_orders!$B:$B,"&gt;="&amp;A294,crm_orders!$B:$B,"&lt;"&amp;DATE(YEAR(A294),MONTH(A294)+1,1),crm_orders!$E:$E,B294,crm_orders!$G:$G,C294,crm_orders!$H:$H,D294)</f>
        <v>102</v>
      </c>
      <c r="G294" s="21">
        <f>SUMIFS(warehouse_shipments!$H:$H,warehouse_shipments!$C:$C,"&gt;="&amp;A294,warehouse_shipments!$C:$C,"&lt;"&amp;DATE(YEAR(A294),MONTH(A294)+1,1),warehouse_shipments!$P:$P,B294,warehouse_shipments!$Q:$Q,C294,warehouse_shipments!$R:$R,D294)</f>
        <v>96</v>
      </c>
      <c r="H294" s="22">
        <f t="shared" si="1"/>
        <v>-40</v>
      </c>
      <c r="I294" s="64">
        <f t="shared" si="2"/>
        <v>0.7183098592</v>
      </c>
      <c r="J294" s="22" t="s">
        <v>5311</v>
      </c>
    </row>
    <row r="295" ht="15.75" customHeight="1">
      <c r="A295" s="26">
        <v>46054.0</v>
      </c>
      <c r="B295" s="25" t="s">
        <v>3849</v>
      </c>
      <c r="C295" s="25" t="s">
        <v>63</v>
      </c>
      <c r="D295" s="25" t="s">
        <v>156</v>
      </c>
      <c r="E295" s="29">
        <v>495.0</v>
      </c>
      <c r="F295" s="29">
        <f>SUMIFS(crm_orders!$J:$J,crm_orders!$B:$B,"&gt;="&amp;A295,crm_orders!$B:$B,"&lt;"&amp;DATE(YEAR(A295),MONTH(A295)+1,1),crm_orders!$E:$E,B295,crm_orders!$G:$G,C295,crm_orders!$H:$H,D295)</f>
        <v>36</v>
      </c>
      <c r="G295" s="29">
        <f>SUMIFS(warehouse_shipments!$H:$H,warehouse_shipments!$C:$C,"&gt;="&amp;A295,warehouse_shipments!$C:$C,"&lt;"&amp;DATE(YEAR(A295),MONTH(A295)+1,1),warehouse_shipments!$P:$P,B295,warehouse_shipments!$Q:$Q,C295,warehouse_shipments!$R:$R,D295)</f>
        <v>36</v>
      </c>
      <c r="H295" s="30">
        <f t="shared" si="1"/>
        <v>-459</v>
      </c>
      <c r="I295" s="65">
        <f t="shared" si="2"/>
        <v>0.07272727273</v>
      </c>
      <c r="J295" s="30" t="s">
        <v>5308</v>
      </c>
    </row>
    <row r="296" ht="15.75" customHeight="1">
      <c r="A296" s="18">
        <v>46054.0</v>
      </c>
      <c r="B296" s="17" t="s">
        <v>3849</v>
      </c>
      <c r="C296" s="17" t="s">
        <v>63</v>
      </c>
      <c r="D296" s="17" t="s">
        <v>64</v>
      </c>
      <c r="E296" s="21">
        <v>516.0</v>
      </c>
      <c r="F296" s="21">
        <f>SUMIFS(crm_orders!$J:$J,crm_orders!$B:$B,"&gt;="&amp;A296,crm_orders!$B:$B,"&lt;"&amp;DATE(YEAR(A296),MONTH(A296)+1,1),crm_orders!$E:$E,B296,crm_orders!$G:$G,C296,crm_orders!$H:$H,D296)</f>
        <v>0</v>
      </c>
      <c r="G296" s="21">
        <f>SUMIFS(warehouse_shipments!$H:$H,warehouse_shipments!$C:$C,"&gt;="&amp;A296,warehouse_shipments!$C:$C,"&lt;"&amp;DATE(YEAR(A296),MONTH(A296)+1,1),warehouse_shipments!$P:$P,B296,warehouse_shipments!$Q:$Q,C296,warehouse_shipments!$R:$R,D296)</f>
        <v>0</v>
      </c>
      <c r="H296" s="22">
        <f t="shared" si="1"/>
        <v>-516</v>
      </c>
      <c r="I296" s="64">
        <f t="shared" si="2"/>
        <v>0</v>
      </c>
      <c r="J296" s="22" t="s">
        <v>5309</v>
      </c>
    </row>
    <row r="297" ht="15.75" customHeight="1">
      <c r="A297" s="26">
        <v>46054.0</v>
      </c>
      <c r="B297" s="25" t="s">
        <v>3849</v>
      </c>
      <c r="C297" s="25" t="s">
        <v>63</v>
      </c>
      <c r="D297" s="25" t="s">
        <v>71</v>
      </c>
      <c r="E297" s="29">
        <v>126.0</v>
      </c>
      <c r="F297" s="29">
        <f>SUMIFS(crm_orders!$J:$J,crm_orders!$B:$B,"&gt;="&amp;A297,crm_orders!$B:$B,"&lt;"&amp;DATE(YEAR(A297),MONTH(A297)+1,1),crm_orders!$E:$E,B297,crm_orders!$G:$G,C297,crm_orders!$H:$H,D297)</f>
        <v>30</v>
      </c>
      <c r="G297" s="29">
        <f>SUMIFS(warehouse_shipments!$H:$H,warehouse_shipments!$C:$C,"&gt;="&amp;A297,warehouse_shipments!$C:$C,"&lt;"&amp;DATE(YEAR(A297),MONTH(A297)+1,1),warehouse_shipments!$P:$P,B297,warehouse_shipments!$Q:$Q,C297,warehouse_shipments!$R:$R,D297)</f>
        <v>66</v>
      </c>
      <c r="H297" s="30">
        <f t="shared" si="1"/>
        <v>-96</v>
      </c>
      <c r="I297" s="65">
        <f t="shared" si="2"/>
        <v>0.2380952381</v>
      </c>
      <c r="J297" s="30" t="s">
        <v>5310</v>
      </c>
    </row>
    <row r="298" ht="15.75" customHeight="1">
      <c r="A298" s="18">
        <v>46054.0</v>
      </c>
      <c r="B298" s="17" t="s">
        <v>3849</v>
      </c>
      <c r="C298" s="17" t="s">
        <v>67</v>
      </c>
      <c r="D298" s="17" t="s">
        <v>68</v>
      </c>
      <c r="E298" s="21">
        <v>339.0</v>
      </c>
      <c r="F298" s="21">
        <f>SUMIFS(crm_orders!$J:$J,crm_orders!$B:$B,"&gt;="&amp;A298,crm_orders!$B:$B,"&lt;"&amp;DATE(YEAR(A298),MONTH(A298)+1,1),crm_orders!$E:$E,B298,crm_orders!$G:$G,C298,crm_orders!$H:$H,D298)</f>
        <v>0</v>
      </c>
      <c r="G298" s="21">
        <f>SUMIFS(warehouse_shipments!$H:$H,warehouse_shipments!$C:$C,"&gt;="&amp;A298,warehouse_shipments!$C:$C,"&lt;"&amp;DATE(YEAR(A298),MONTH(A298)+1,1),warehouse_shipments!$P:$P,B298,warehouse_shipments!$Q:$Q,C298,warehouse_shipments!$R:$R,D298)</f>
        <v>0</v>
      </c>
      <c r="H298" s="22">
        <f t="shared" si="1"/>
        <v>-339</v>
      </c>
      <c r="I298" s="64">
        <f t="shared" si="2"/>
        <v>0</v>
      </c>
      <c r="J298" s="22" t="s">
        <v>5307</v>
      </c>
    </row>
    <row r="299" ht="15.75" customHeight="1">
      <c r="A299" s="26">
        <v>46054.0</v>
      </c>
      <c r="B299" s="25" t="s">
        <v>3849</v>
      </c>
      <c r="C299" s="25" t="s">
        <v>67</v>
      </c>
      <c r="D299" s="25" t="s">
        <v>123</v>
      </c>
      <c r="E299" s="29">
        <v>409.0</v>
      </c>
      <c r="F299" s="29">
        <f>SUMIFS(crm_orders!$J:$J,crm_orders!$B:$B,"&gt;="&amp;A299,crm_orders!$B:$B,"&lt;"&amp;DATE(YEAR(A299),MONTH(A299)+1,1),crm_orders!$E:$E,B299,crm_orders!$G:$G,C299,crm_orders!$H:$H,D299)</f>
        <v>0</v>
      </c>
      <c r="G299" s="29">
        <f>SUMIFS(warehouse_shipments!$H:$H,warehouse_shipments!$C:$C,"&gt;="&amp;A299,warehouse_shipments!$C:$C,"&lt;"&amp;DATE(YEAR(A299),MONTH(A299)+1,1),warehouse_shipments!$P:$P,B299,warehouse_shipments!$Q:$Q,C299,warehouse_shipments!$R:$R,D299)</f>
        <v>0</v>
      </c>
      <c r="H299" s="30">
        <f t="shared" si="1"/>
        <v>-409</v>
      </c>
      <c r="I299" s="65">
        <f t="shared" si="2"/>
        <v>0</v>
      </c>
      <c r="J299" s="30" t="s">
        <v>5307</v>
      </c>
    </row>
    <row r="300" ht="15.75" customHeight="1">
      <c r="A300" s="18">
        <v>46054.0</v>
      </c>
      <c r="B300" s="17" t="s">
        <v>3849</v>
      </c>
      <c r="C300" s="17" t="s">
        <v>67</v>
      </c>
      <c r="D300" s="17" t="s">
        <v>108</v>
      </c>
      <c r="E300" s="21">
        <v>442.0</v>
      </c>
      <c r="F300" s="21">
        <f>SUMIFS(crm_orders!$J:$J,crm_orders!$B:$B,"&gt;="&amp;A300,crm_orders!$B:$B,"&lt;"&amp;DATE(YEAR(A300),MONTH(A300)+1,1),crm_orders!$E:$E,B300,crm_orders!$G:$G,C300,crm_orders!$H:$H,D300)</f>
        <v>0</v>
      </c>
      <c r="G300" s="21">
        <f>SUMIFS(warehouse_shipments!$H:$H,warehouse_shipments!$C:$C,"&gt;="&amp;A300,warehouse_shipments!$C:$C,"&lt;"&amp;DATE(YEAR(A300),MONTH(A300)+1,1),warehouse_shipments!$P:$P,B300,warehouse_shipments!$Q:$Q,C300,warehouse_shipments!$R:$R,D300)</f>
        <v>0</v>
      </c>
      <c r="H300" s="22">
        <f t="shared" si="1"/>
        <v>-442</v>
      </c>
      <c r="I300" s="64">
        <f t="shared" si="2"/>
        <v>0</v>
      </c>
      <c r="J300" s="22" t="s">
        <v>5311</v>
      </c>
    </row>
    <row r="301" ht="15.75" customHeight="1">
      <c r="A301" s="26">
        <v>46054.0</v>
      </c>
      <c r="B301" s="25" t="s">
        <v>3849</v>
      </c>
      <c r="C301" s="25" t="s">
        <v>67</v>
      </c>
      <c r="D301" s="25" t="s">
        <v>154</v>
      </c>
      <c r="E301" s="29">
        <v>329.0</v>
      </c>
      <c r="F301" s="29">
        <f>SUMIFS(crm_orders!$J:$J,crm_orders!$B:$B,"&gt;="&amp;A301,crm_orders!$B:$B,"&lt;"&amp;DATE(YEAR(A301),MONTH(A301)+1,1),crm_orders!$E:$E,B301,crm_orders!$G:$G,C301,crm_orders!$H:$H,D301)</f>
        <v>0</v>
      </c>
      <c r="G301" s="29">
        <f>SUMIFS(warehouse_shipments!$H:$H,warehouse_shipments!$C:$C,"&gt;="&amp;A301,warehouse_shipments!$C:$C,"&lt;"&amp;DATE(YEAR(A301),MONTH(A301)+1,1),warehouse_shipments!$P:$P,B301,warehouse_shipments!$Q:$Q,C301,warehouse_shipments!$R:$R,D301)</f>
        <v>0</v>
      </c>
      <c r="H301" s="30">
        <f t="shared" si="1"/>
        <v>-329</v>
      </c>
      <c r="I301" s="65">
        <f t="shared" si="2"/>
        <v>0</v>
      </c>
      <c r="J301" s="30" t="s">
        <v>5309</v>
      </c>
    </row>
    <row r="302" ht="15.75" customHeight="1">
      <c r="A302" s="18">
        <v>46054.0</v>
      </c>
      <c r="B302" s="17" t="s">
        <v>3849</v>
      </c>
      <c r="C302" s="17" t="s">
        <v>67</v>
      </c>
      <c r="D302" s="17" t="s">
        <v>190</v>
      </c>
      <c r="E302" s="21">
        <v>402.0</v>
      </c>
      <c r="F302" s="21">
        <f>SUMIFS(crm_orders!$J:$J,crm_orders!$B:$B,"&gt;="&amp;A302,crm_orders!$B:$B,"&lt;"&amp;DATE(YEAR(A302),MONTH(A302)+1,1),crm_orders!$E:$E,B302,crm_orders!$G:$G,C302,crm_orders!$H:$H,D302)</f>
        <v>0</v>
      </c>
      <c r="G302" s="21">
        <f>SUMIFS(warehouse_shipments!$H:$H,warehouse_shipments!$C:$C,"&gt;="&amp;A302,warehouse_shipments!$C:$C,"&lt;"&amp;DATE(YEAR(A302),MONTH(A302)+1,1),warehouse_shipments!$P:$P,B302,warehouse_shipments!$Q:$Q,C302,warehouse_shipments!$R:$R,D302)</f>
        <v>0</v>
      </c>
      <c r="H302" s="22">
        <f t="shared" si="1"/>
        <v>-402</v>
      </c>
      <c r="I302" s="64">
        <f t="shared" si="2"/>
        <v>0</v>
      </c>
      <c r="J302" s="22" t="s">
        <v>5308</v>
      </c>
    </row>
    <row r="303" ht="15.75" customHeight="1">
      <c r="A303" s="26">
        <v>46054.0</v>
      </c>
      <c r="B303" s="25" t="s">
        <v>3849</v>
      </c>
      <c r="C303" s="25" t="s">
        <v>67</v>
      </c>
      <c r="D303" s="25" t="s">
        <v>110</v>
      </c>
      <c r="E303" s="29">
        <v>398.0</v>
      </c>
      <c r="F303" s="29">
        <f>SUMIFS(crm_orders!$J:$J,crm_orders!$B:$B,"&gt;="&amp;A303,crm_orders!$B:$B,"&lt;"&amp;DATE(YEAR(A303),MONTH(A303)+1,1),crm_orders!$E:$E,B303,crm_orders!$G:$G,C303,crm_orders!$H:$H,D303)</f>
        <v>24</v>
      </c>
      <c r="G303" s="29">
        <f>SUMIFS(warehouse_shipments!$H:$H,warehouse_shipments!$C:$C,"&gt;="&amp;A303,warehouse_shipments!$C:$C,"&lt;"&amp;DATE(YEAR(A303),MONTH(A303)+1,1),warehouse_shipments!$P:$P,B303,warehouse_shipments!$Q:$Q,C303,warehouse_shipments!$R:$R,D303)</f>
        <v>24</v>
      </c>
      <c r="H303" s="30">
        <f t="shared" si="1"/>
        <v>-374</v>
      </c>
      <c r="I303" s="65">
        <f t="shared" si="2"/>
        <v>0.06030150754</v>
      </c>
      <c r="J303" s="30" t="s">
        <v>5311</v>
      </c>
    </row>
    <row r="304" ht="15.75" customHeight="1">
      <c r="A304" s="18">
        <v>46054.0</v>
      </c>
      <c r="B304" s="17" t="s">
        <v>3849</v>
      </c>
      <c r="C304" s="17" t="s">
        <v>67</v>
      </c>
      <c r="D304" s="17" t="s">
        <v>81</v>
      </c>
      <c r="E304" s="21">
        <v>251.0</v>
      </c>
      <c r="F304" s="21">
        <f>SUMIFS(crm_orders!$J:$J,crm_orders!$B:$B,"&gt;="&amp;A304,crm_orders!$B:$B,"&lt;"&amp;DATE(YEAR(A304),MONTH(A304)+1,1),crm_orders!$E:$E,B304,crm_orders!$G:$G,C304,crm_orders!$H:$H,D304)</f>
        <v>0</v>
      </c>
      <c r="G304" s="21">
        <f>SUMIFS(warehouse_shipments!$H:$H,warehouse_shipments!$C:$C,"&gt;="&amp;A304,warehouse_shipments!$C:$C,"&lt;"&amp;DATE(YEAR(A304),MONTH(A304)+1,1),warehouse_shipments!$P:$P,B304,warehouse_shipments!$Q:$Q,C304,warehouse_shipments!$R:$R,D304)</f>
        <v>0</v>
      </c>
      <c r="H304" s="22">
        <f t="shared" si="1"/>
        <v>-251</v>
      </c>
      <c r="I304" s="64">
        <f t="shared" si="2"/>
        <v>0</v>
      </c>
      <c r="J304" s="22" t="s">
        <v>5307</v>
      </c>
    </row>
    <row r="305" ht="15.75" customHeight="1">
      <c r="A305" s="26">
        <v>46054.0</v>
      </c>
      <c r="B305" s="25" t="s">
        <v>3849</v>
      </c>
      <c r="C305" s="25" t="s">
        <v>67</v>
      </c>
      <c r="D305" s="25" t="s">
        <v>90</v>
      </c>
      <c r="E305" s="29">
        <v>111.0</v>
      </c>
      <c r="F305" s="29">
        <f>SUMIFS(crm_orders!$J:$J,crm_orders!$B:$B,"&gt;="&amp;A305,crm_orders!$B:$B,"&lt;"&amp;DATE(YEAR(A305),MONTH(A305)+1,1),crm_orders!$E:$E,B305,crm_orders!$G:$G,C305,crm_orders!$H:$H,D305)</f>
        <v>0</v>
      </c>
      <c r="G305" s="29">
        <f>SUMIFS(warehouse_shipments!$H:$H,warehouse_shipments!$C:$C,"&gt;="&amp;A305,warehouse_shipments!$C:$C,"&lt;"&amp;DATE(YEAR(A305),MONTH(A305)+1,1),warehouse_shipments!$P:$P,B305,warehouse_shipments!$Q:$Q,C305,warehouse_shipments!$R:$R,D305)</f>
        <v>0</v>
      </c>
      <c r="H305" s="30">
        <f t="shared" si="1"/>
        <v>-111</v>
      </c>
      <c r="I305" s="65">
        <f t="shared" si="2"/>
        <v>0</v>
      </c>
      <c r="J305" s="30" t="s">
        <v>5307</v>
      </c>
    </row>
    <row r="306" ht="15.75" customHeight="1">
      <c r="A306" s="18">
        <v>46054.0</v>
      </c>
      <c r="B306" s="17" t="s">
        <v>3849</v>
      </c>
      <c r="C306" s="17" t="s">
        <v>89</v>
      </c>
      <c r="D306" s="17" t="s">
        <v>92</v>
      </c>
      <c r="E306" s="21">
        <v>362.0</v>
      </c>
      <c r="F306" s="21">
        <f>SUMIFS(crm_orders!$J:$J,crm_orders!$B:$B,"&gt;="&amp;A306,crm_orders!$B:$B,"&lt;"&amp;DATE(YEAR(A306),MONTH(A306)+1,1),crm_orders!$E:$E,B306,crm_orders!$G:$G,C306,crm_orders!$H:$H,D306)</f>
        <v>0</v>
      </c>
      <c r="G306" s="21">
        <f>SUMIFS(warehouse_shipments!$H:$H,warehouse_shipments!$C:$C,"&gt;="&amp;A306,warehouse_shipments!$C:$C,"&lt;"&amp;DATE(YEAR(A306),MONTH(A306)+1,1),warehouse_shipments!$P:$P,B306,warehouse_shipments!$Q:$Q,C306,warehouse_shipments!$R:$R,D306)</f>
        <v>0</v>
      </c>
      <c r="H306" s="22">
        <f t="shared" si="1"/>
        <v>-362</v>
      </c>
      <c r="I306" s="64">
        <f t="shared" si="2"/>
        <v>0</v>
      </c>
      <c r="J306" s="22" t="s">
        <v>5306</v>
      </c>
    </row>
    <row r="307" ht="15.75" customHeight="1">
      <c r="A307" s="26">
        <v>46054.0</v>
      </c>
      <c r="B307" s="25" t="s">
        <v>3849</v>
      </c>
      <c r="C307" s="25" t="s">
        <v>89</v>
      </c>
      <c r="D307" s="25" t="s">
        <v>156</v>
      </c>
      <c r="E307" s="29">
        <v>456.0</v>
      </c>
      <c r="F307" s="29">
        <f>SUMIFS(crm_orders!$J:$J,crm_orders!$B:$B,"&gt;="&amp;A307,crm_orders!$B:$B,"&lt;"&amp;DATE(YEAR(A307),MONTH(A307)+1,1),crm_orders!$E:$E,B307,crm_orders!$G:$G,C307,crm_orders!$H:$H,D307)</f>
        <v>0</v>
      </c>
      <c r="G307" s="29">
        <f>SUMIFS(warehouse_shipments!$H:$H,warehouse_shipments!$C:$C,"&gt;="&amp;A307,warehouse_shipments!$C:$C,"&lt;"&amp;DATE(YEAR(A307),MONTH(A307)+1,1),warehouse_shipments!$P:$P,B307,warehouse_shipments!$Q:$Q,C307,warehouse_shipments!$R:$R,D307)</f>
        <v>0</v>
      </c>
      <c r="H307" s="30">
        <f t="shared" si="1"/>
        <v>-456</v>
      </c>
      <c r="I307" s="65">
        <f t="shared" si="2"/>
        <v>0</v>
      </c>
      <c r="J307" s="30" t="s">
        <v>5311</v>
      </c>
    </row>
    <row r="308" ht="15.75" customHeight="1">
      <c r="A308" s="18">
        <v>46054.0</v>
      </c>
      <c r="B308" s="17" t="s">
        <v>3849</v>
      </c>
      <c r="C308" s="17" t="s">
        <v>89</v>
      </c>
      <c r="D308" s="17" t="s">
        <v>81</v>
      </c>
      <c r="E308" s="21">
        <v>452.0</v>
      </c>
      <c r="F308" s="21">
        <f>SUMIFS(crm_orders!$J:$J,crm_orders!$B:$B,"&gt;="&amp;A308,crm_orders!$B:$B,"&lt;"&amp;DATE(YEAR(A308),MONTH(A308)+1,1),crm_orders!$E:$E,B308,crm_orders!$G:$G,C308,crm_orders!$H:$H,D308)</f>
        <v>60</v>
      </c>
      <c r="G308" s="21">
        <f>SUMIFS(warehouse_shipments!$H:$H,warehouse_shipments!$C:$C,"&gt;="&amp;A308,warehouse_shipments!$C:$C,"&lt;"&amp;DATE(YEAR(A308),MONTH(A308)+1,1),warehouse_shipments!$P:$P,B308,warehouse_shipments!$Q:$Q,C308,warehouse_shipments!$R:$R,D308)</f>
        <v>0</v>
      </c>
      <c r="H308" s="22">
        <f t="shared" si="1"/>
        <v>-392</v>
      </c>
      <c r="I308" s="64">
        <f t="shared" si="2"/>
        <v>0.1327433628</v>
      </c>
      <c r="J308" s="22" t="s">
        <v>5311</v>
      </c>
    </row>
    <row r="309" ht="15.75" customHeight="1">
      <c r="A309" s="26">
        <v>46054.0</v>
      </c>
      <c r="B309" s="25" t="s">
        <v>3849</v>
      </c>
      <c r="C309" s="25" t="s">
        <v>89</v>
      </c>
      <c r="D309" s="25" t="s">
        <v>74</v>
      </c>
      <c r="E309" s="29">
        <v>179.0</v>
      </c>
      <c r="F309" s="29">
        <f>SUMIFS(crm_orders!$J:$J,crm_orders!$B:$B,"&gt;="&amp;A309,crm_orders!$B:$B,"&lt;"&amp;DATE(YEAR(A309),MONTH(A309)+1,1),crm_orders!$E:$E,B309,crm_orders!$G:$G,C309,crm_orders!$H:$H,D309)</f>
        <v>0</v>
      </c>
      <c r="G309" s="29">
        <f>SUMIFS(warehouse_shipments!$H:$H,warehouse_shipments!$C:$C,"&gt;="&amp;A309,warehouse_shipments!$C:$C,"&lt;"&amp;DATE(YEAR(A309),MONTH(A309)+1,1),warehouse_shipments!$P:$P,B309,warehouse_shipments!$Q:$Q,C309,warehouse_shipments!$R:$R,D309)</f>
        <v>0</v>
      </c>
      <c r="H309" s="30">
        <f t="shared" si="1"/>
        <v>-179</v>
      </c>
      <c r="I309" s="65">
        <f t="shared" si="2"/>
        <v>0</v>
      </c>
      <c r="J309" s="30" t="s">
        <v>5310</v>
      </c>
    </row>
    <row r="310" ht="15.75" customHeight="1">
      <c r="A310" s="18">
        <v>46054.0</v>
      </c>
      <c r="B310" s="17" t="s">
        <v>3849</v>
      </c>
      <c r="C310" s="17" t="s">
        <v>89</v>
      </c>
      <c r="D310" s="17" t="s">
        <v>64</v>
      </c>
      <c r="E310" s="21">
        <v>326.0</v>
      </c>
      <c r="F310" s="21">
        <f>SUMIFS(crm_orders!$J:$J,crm_orders!$B:$B,"&gt;="&amp;A310,crm_orders!$B:$B,"&lt;"&amp;DATE(YEAR(A310),MONTH(A310)+1,1),crm_orders!$E:$E,B310,crm_orders!$G:$G,C310,crm_orders!$H:$H,D310)</f>
        <v>0</v>
      </c>
      <c r="G310" s="21">
        <f>SUMIFS(warehouse_shipments!$H:$H,warehouse_shipments!$C:$C,"&gt;="&amp;A310,warehouse_shipments!$C:$C,"&lt;"&amp;DATE(YEAR(A310),MONTH(A310)+1,1),warehouse_shipments!$P:$P,B310,warehouse_shipments!$Q:$Q,C310,warehouse_shipments!$R:$R,D310)</f>
        <v>0</v>
      </c>
      <c r="H310" s="22">
        <f t="shared" si="1"/>
        <v>-326</v>
      </c>
      <c r="I310" s="64">
        <f t="shared" si="2"/>
        <v>0</v>
      </c>
      <c r="J310" s="22" t="s">
        <v>5308</v>
      </c>
    </row>
    <row r="311" ht="15.75" customHeight="1">
      <c r="A311" s="26">
        <v>46054.0</v>
      </c>
      <c r="B311" s="25" t="s">
        <v>3849</v>
      </c>
      <c r="C311" s="25" t="s">
        <v>89</v>
      </c>
      <c r="D311" s="25" t="s">
        <v>106</v>
      </c>
      <c r="E311" s="29">
        <v>145.0</v>
      </c>
      <c r="F311" s="29">
        <f>SUMIFS(crm_orders!$J:$J,crm_orders!$B:$B,"&gt;="&amp;A311,crm_orders!$B:$B,"&lt;"&amp;DATE(YEAR(A311),MONTH(A311)+1,1),crm_orders!$E:$E,B311,crm_orders!$G:$G,C311,crm_orders!$H:$H,D311)</f>
        <v>0</v>
      </c>
      <c r="G311" s="29">
        <f>SUMIFS(warehouse_shipments!$H:$H,warehouse_shipments!$C:$C,"&gt;="&amp;A311,warehouse_shipments!$C:$C,"&lt;"&amp;DATE(YEAR(A311),MONTH(A311)+1,1),warehouse_shipments!$P:$P,B311,warehouse_shipments!$Q:$Q,C311,warehouse_shipments!$R:$R,D311)</f>
        <v>0</v>
      </c>
      <c r="H311" s="30">
        <f t="shared" si="1"/>
        <v>-145</v>
      </c>
      <c r="I311" s="65">
        <f t="shared" si="2"/>
        <v>0</v>
      </c>
      <c r="J311" s="30" t="s">
        <v>5310</v>
      </c>
    </row>
    <row r="312" ht="15.75" customHeight="1">
      <c r="A312" s="18">
        <v>46054.0</v>
      </c>
      <c r="B312" s="17" t="s">
        <v>3849</v>
      </c>
      <c r="C312" s="17" t="s">
        <v>89</v>
      </c>
      <c r="D312" s="17" t="s">
        <v>95</v>
      </c>
      <c r="E312" s="21">
        <v>257.0</v>
      </c>
      <c r="F312" s="21">
        <f>SUMIFS(crm_orders!$J:$J,crm_orders!$B:$B,"&gt;="&amp;A312,crm_orders!$B:$B,"&lt;"&amp;DATE(YEAR(A312),MONTH(A312)+1,1),crm_orders!$E:$E,B312,crm_orders!$G:$G,C312,crm_orders!$H:$H,D312)</f>
        <v>0</v>
      </c>
      <c r="G312" s="21">
        <f>SUMIFS(warehouse_shipments!$H:$H,warehouse_shipments!$C:$C,"&gt;="&amp;A312,warehouse_shipments!$C:$C,"&lt;"&amp;DATE(YEAR(A312),MONTH(A312)+1,1),warehouse_shipments!$P:$P,B312,warehouse_shipments!$Q:$Q,C312,warehouse_shipments!$R:$R,D312)</f>
        <v>0</v>
      </c>
      <c r="H312" s="22">
        <f t="shared" si="1"/>
        <v>-257</v>
      </c>
      <c r="I312" s="64">
        <f t="shared" si="2"/>
        <v>0</v>
      </c>
      <c r="J312" s="22" t="s">
        <v>5311</v>
      </c>
    </row>
    <row r="313" ht="15.75" customHeight="1">
      <c r="A313" s="26">
        <v>46054.0</v>
      </c>
      <c r="B313" s="25" t="s">
        <v>3849</v>
      </c>
      <c r="C313" s="25" t="s">
        <v>89</v>
      </c>
      <c r="D313" s="25" t="s">
        <v>123</v>
      </c>
      <c r="E313" s="29">
        <v>287.0</v>
      </c>
      <c r="F313" s="29">
        <f>SUMIFS(crm_orders!$J:$J,crm_orders!$B:$B,"&gt;="&amp;A313,crm_orders!$B:$B,"&lt;"&amp;DATE(YEAR(A313),MONTH(A313)+1,1),crm_orders!$E:$E,B313,crm_orders!$G:$G,C313,crm_orders!$H:$H,D313)</f>
        <v>0</v>
      </c>
      <c r="G313" s="29">
        <f>SUMIFS(warehouse_shipments!$H:$H,warehouse_shipments!$C:$C,"&gt;="&amp;A313,warehouse_shipments!$C:$C,"&lt;"&amp;DATE(YEAR(A313),MONTH(A313)+1,1),warehouse_shipments!$P:$P,B313,warehouse_shipments!$Q:$Q,C313,warehouse_shipments!$R:$R,D313)</f>
        <v>0</v>
      </c>
      <c r="H313" s="30">
        <f t="shared" si="1"/>
        <v>-287</v>
      </c>
      <c r="I313" s="65">
        <f t="shared" si="2"/>
        <v>0</v>
      </c>
      <c r="J313" s="30" t="s">
        <v>5310</v>
      </c>
    </row>
    <row r="314" ht="15.75" customHeight="1">
      <c r="A314" s="18">
        <v>46054.0</v>
      </c>
      <c r="B314" s="17" t="s">
        <v>3934</v>
      </c>
      <c r="C314" s="17" t="s">
        <v>63</v>
      </c>
      <c r="D314" s="17" t="s">
        <v>123</v>
      </c>
      <c r="E314" s="21">
        <v>277.0</v>
      </c>
      <c r="F314" s="21">
        <f>SUMIFS(crm_orders!$J:$J,crm_orders!$B:$B,"&gt;="&amp;A314,crm_orders!$B:$B,"&lt;"&amp;DATE(YEAR(A314),MONTH(A314)+1,1),crm_orders!$E:$E,B314,crm_orders!$G:$G,C314,crm_orders!$H:$H,D314)</f>
        <v>120</v>
      </c>
      <c r="G314" s="21">
        <f>SUMIFS(warehouse_shipments!$H:$H,warehouse_shipments!$C:$C,"&gt;="&amp;A314,warehouse_shipments!$C:$C,"&lt;"&amp;DATE(YEAR(A314),MONTH(A314)+1,1),warehouse_shipments!$P:$P,B314,warehouse_shipments!$Q:$Q,C314,warehouse_shipments!$R:$R,D314)</f>
        <v>0</v>
      </c>
      <c r="H314" s="22">
        <f t="shared" si="1"/>
        <v>-157</v>
      </c>
      <c r="I314" s="64">
        <f t="shared" si="2"/>
        <v>0.4332129964</v>
      </c>
      <c r="J314" s="22" t="s">
        <v>5307</v>
      </c>
    </row>
    <row r="315" ht="15.75" customHeight="1">
      <c r="A315" s="26">
        <v>46054.0</v>
      </c>
      <c r="B315" s="25" t="s">
        <v>3934</v>
      </c>
      <c r="C315" s="25" t="s">
        <v>63</v>
      </c>
      <c r="D315" s="25" t="s">
        <v>78</v>
      </c>
      <c r="E315" s="29">
        <v>84.0</v>
      </c>
      <c r="F315" s="29">
        <f>SUMIFS(crm_orders!$J:$J,crm_orders!$B:$B,"&gt;="&amp;A315,crm_orders!$B:$B,"&lt;"&amp;DATE(YEAR(A315),MONTH(A315)+1,1),crm_orders!$E:$E,B315,crm_orders!$G:$G,C315,crm_orders!$H:$H,D315)</f>
        <v>60</v>
      </c>
      <c r="G315" s="29">
        <f>SUMIFS(warehouse_shipments!$H:$H,warehouse_shipments!$C:$C,"&gt;="&amp;A315,warehouse_shipments!$C:$C,"&lt;"&amp;DATE(YEAR(A315),MONTH(A315)+1,1),warehouse_shipments!$P:$P,B315,warehouse_shipments!$Q:$Q,C315,warehouse_shipments!$R:$R,D315)</f>
        <v>0</v>
      </c>
      <c r="H315" s="30">
        <f t="shared" si="1"/>
        <v>-24</v>
      </c>
      <c r="I315" s="65">
        <f t="shared" si="2"/>
        <v>0.7142857143</v>
      </c>
      <c r="J315" s="30" t="s">
        <v>5310</v>
      </c>
    </row>
    <row r="316" ht="15.75" customHeight="1">
      <c r="A316" s="18">
        <v>46054.0</v>
      </c>
      <c r="B316" s="17" t="s">
        <v>3934</v>
      </c>
      <c r="C316" s="17" t="s">
        <v>63</v>
      </c>
      <c r="D316" s="17" t="s">
        <v>68</v>
      </c>
      <c r="E316" s="21">
        <v>163.0</v>
      </c>
      <c r="F316" s="21">
        <f>SUMIFS(crm_orders!$J:$J,crm_orders!$B:$B,"&gt;="&amp;A316,crm_orders!$B:$B,"&lt;"&amp;DATE(YEAR(A316),MONTH(A316)+1,1),crm_orders!$E:$E,B316,crm_orders!$G:$G,C316,crm_orders!$H:$H,D316)</f>
        <v>132</v>
      </c>
      <c r="G316" s="21">
        <f>SUMIFS(warehouse_shipments!$H:$H,warehouse_shipments!$C:$C,"&gt;="&amp;A316,warehouse_shipments!$C:$C,"&lt;"&amp;DATE(YEAR(A316),MONTH(A316)+1,1),warehouse_shipments!$P:$P,B316,warehouse_shipments!$Q:$Q,C316,warehouse_shipments!$R:$R,D316)</f>
        <v>60</v>
      </c>
      <c r="H316" s="22">
        <f t="shared" si="1"/>
        <v>-31</v>
      </c>
      <c r="I316" s="64">
        <f t="shared" si="2"/>
        <v>0.8098159509</v>
      </c>
      <c r="J316" s="22" t="s">
        <v>5310</v>
      </c>
    </row>
    <row r="317" ht="15.75" customHeight="1">
      <c r="A317" s="26">
        <v>46054.0</v>
      </c>
      <c r="B317" s="25" t="s">
        <v>3934</v>
      </c>
      <c r="C317" s="25" t="s">
        <v>63</v>
      </c>
      <c r="D317" s="25" t="s">
        <v>106</v>
      </c>
      <c r="E317" s="29">
        <v>336.0</v>
      </c>
      <c r="F317" s="29">
        <f>SUMIFS(crm_orders!$J:$J,crm_orders!$B:$B,"&gt;="&amp;A317,crm_orders!$B:$B,"&lt;"&amp;DATE(YEAR(A317),MONTH(A317)+1,1),crm_orders!$E:$E,B317,crm_orders!$G:$G,C317,crm_orders!$H:$H,D317)</f>
        <v>6</v>
      </c>
      <c r="G317" s="29">
        <f>SUMIFS(warehouse_shipments!$H:$H,warehouse_shipments!$C:$C,"&gt;="&amp;A317,warehouse_shipments!$C:$C,"&lt;"&amp;DATE(YEAR(A317),MONTH(A317)+1,1),warehouse_shipments!$P:$P,B317,warehouse_shipments!$Q:$Q,C317,warehouse_shipments!$R:$R,D317)</f>
        <v>6</v>
      </c>
      <c r="H317" s="30">
        <f t="shared" si="1"/>
        <v>-330</v>
      </c>
      <c r="I317" s="65">
        <f t="shared" si="2"/>
        <v>0.01785714286</v>
      </c>
      <c r="J317" s="30" t="s">
        <v>5310</v>
      </c>
    </row>
    <row r="318" ht="15.75" customHeight="1">
      <c r="A318" s="18">
        <v>46054.0</v>
      </c>
      <c r="B318" s="17" t="s">
        <v>3934</v>
      </c>
      <c r="C318" s="17" t="s">
        <v>63</v>
      </c>
      <c r="D318" s="17" t="s">
        <v>85</v>
      </c>
      <c r="E318" s="21">
        <v>407.0</v>
      </c>
      <c r="F318" s="21">
        <f>SUMIFS(crm_orders!$J:$J,crm_orders!$B:$B,"&gt;="&amp;A318,crm_orders!$B:$B,"&lt;"&amp;DATE(YEAR(A318),MONTH(A318)+1,1),crm_orders!$E:$E,B318,crm_orders!$G:$G,C318,crm_orders!$H:$H,D318)</f>
        <v>36</v>
      </c>
      <c r="G318" s="21">
        <f>SUMIFS(warehouse_shipments!$H:$H,warehouse_shipments!$C:$C,"&gt;="&amp;A318,warehouse_shipments!$C:$C,"&lt;"&amp;DATE(YEAR(A318),MONTH(A318)+1,1),warehouse_shipments!$P:$P,B318,warehouse_shipments!$Q:$Q,C318,warehouse_shipments!$R:$R,D318)</f>
        <v>48</v>
      </c>
      <c r="H318" s="22">
        <f t="shared" si="1"/>
        <v>-371</v>
      </c>
      <c r="I318" s="64">
        <f t="shared" si="2"/>
        <v>0.08845208845</v>
      </c>
      <c r="J318" s="22" t="s">
        <v>5310</v>
      </c>
    </row>
    <row r="319" ht="15.75" customHeight="1">
      <c r="A319" s="26">
        <v>46054.0</v>
      </c>
      <c r="B319" s="25" t="s">
        <v>3934</v>
      </c>
      <c r="C319" s="25" t="s">
        <v>63</v>
      </c>
      <c r="D319" s="25" t="s">
        <v>110</v>
      </c>
      <c r="E319" s="29">
        <v>419.0</v>
      </c>
      <c r="F319" s="29">
        <f>SUMIFS(crm_orders!$J:$J,crm_orders!$B:$B,"&gt;="&amp;A319,crm_orders!$B:$B,"&lt;"&amp;DATE(YEAR(A319),MONTH(A319)+1,1),crm_orders!$E:$E,B319,crm_orders!$G:$G,C319,crm_orders!$H:$H,D319)</f>
        <v>0</v>
      </c>
      <c r="G319" s="29">
        <f>SUMIFS(warehouse_shipments!$H:$H,warehouse_shipments!$C:$C,"&gt;="&amp;A319,warehouse_shipments!$C:$C,"&lt;"&amp;DATE(YEAR(A319),MONTH(A319)+1,1),warehouse_shipments!$P:$P,B319,warehouse_shipments!$Q:$Q,C319,warehouse_shipments!$R:$R,D319)</f>
        <v>0</v>
      </c>
      <c r="H319" s="30">
        <f t="shared" si="1"/>
        <v>-419</v>
      </c>
      <c r="I319" s="65">
        <f t="shared" si="2"/>
        <v>0</v>
      </c>
      <c r="J319" s="30" t="s">
        <v>5309</v>
      </c>
    </row>
    <row r="320" ht="15.75" customHeight="1">
      <c r="A320" s="18">
        <v>46054.0</v>
      </c>
      <c r="B320" s="17" t="s">
        <v>3934</v>
      </c>
      <c r="C320" s="17" t="s">
        <v>63</v>
      </c>
      <c r="D320" s="17" t="s">
        <v>162</v>
      </c>
      <c r="E320" s="21">
        <v>447.0</v>
      </c>
      <c r="F320" s="21">
        <f>SUMIFS(crm_orders!$J:$J,crm_orders!$B:$B,"&gt;="&amp;A320,crm_orders!$B:$B,"&lt;"&amp;DATE(YEAR(A320),MONTH(A320)+1,1),crm_orders!$E:$E,B320,crm_orders!$G:$G,C320,crm_orders!$H:$H,D320)</f>
        <v>18</v>
      </c>
      <c r="G320" s="21">
        <f>SUMIFS(warehouse_shipments!$H:$H,warehouse_shipments!$C:$C,"&gt;="&amp;A320,warehouse_shipments!$C:$C,"&lt;"&amp;DATE(YEAR(A320),MONTH(A320)+1,1),warehouse_shipments!$P:$P,B320,warehouse_shipments!$Q:$Q,C320,warehouse_shipments!$R:$R,D320)</f>
        <v>0</v>
      </c>
      <c r="H320" s="22">
        <f t="shared" si="1"/>
        <v>-429</v>
      </c>
      <c r="I320" s="64">
        <f t="shared" si="2"/>
        <v>0.04026845638</v>
      </c>
      <c r="J320" s="22" t="s">
        <v>5309</v>
      </c>
    </row>
    <row r="321" ht="15.75" customHeight="1">
      <c r="A321" s="26">
        <v>46054.0</v>
      </c>
      <c r="B321" s="25" t="s">
        <v>3934</v>
      </c>
      <c r="C321" s="25" t="s">
        <v>63</v>
      </c>
      <c r="D321" s="25" t="s">
        <v>81</v>
      </c>
      <c r="E321" s="29">
        <v>457.0</v>
      </c>
      <c r="F321" s="29">
        <f>SUMIFS(crm_orders!$J:$J,crm_orders!$B:$B,"&gt;="&amp;A321,crm_orders!$B:$B,"&lt;"&amp;DATE(YEAR(A321),MONTH(A321)+1,1),crm_orders!$E:$E,B321,crm_orders!$G:$G,C321,crm_orders!$H:$H,D321)</f>
        <v>66</v>
      </c>
      <c r="G321" s="29">
        <f>SUMIFS(warehouse_shipments!$H:$H,warehouse_shipments!$C:$C,"&gt;="&amp;A321,warehouse_shipments!$C:$C,"&lt;"&amp;DATE(YEAR(A321),MONTH(A321)+1,1),warehouse_shipments!$P:$P,B321,warehouse_shipments!$Q:$Q,C321,warehouse_shipments!$R:$R,D321)</f>
        <v>66</v>
      </c>
      <c r="H321" s="30">
        <f t="shared" si="1"/>
        <v>-391</v>
      </c>
      <c r="I321" s="65">
        <f t="shared" si="2"/>
        <v>0.1444201313</v>
      </c>
      <c r="J321" s="30" t="s">
        <v>5307</v>
      </c>
    </row>
    <row r="322" ht="15.75" customHeight="1">
      <c r="A322" s="18">
        <v>46054.0</v>
      </c>
      <c r="B322" s="17" t="s">
        <v>3934</v>
      </c>
      <c r="C322" s="17" t="s">
        <v>67</v>
      </c>
      <c r="D322" s="17" t="s">
        <v>156</v>
      </c>
      <c r="E322" s="21">
        <v>418.0</v>
      </c>
      <c r="F322" s="21">
        <f>SUMIFS(crm_orders!$J:$J,crm_orders!$B:$B,"&gt;="&amp;A322,crm_orders!$B:$B,"&lt;"&amp;DATE(YEAR(A322),MONTH(A322)+1,1),crm_orders!$E:$E,B322,crm_orders!$G:$G,C322,crm_orders!$H:$H,D322)</f>
        <v>0</v>
      </c>
      <c r="G322" s="21">
        <f>SUMIFS(warehouse_shipments!$H:$H,warehouse_shipments!$C:$C,"&gt;="&amp;A322,warehouse_shipments!$C:$C,"&lt;"&amp;DATE(YEAR(A322),MONTH(A322)+1,1),warehouse_shipments!$P:$P,B322,warehouse_shipments!$Q:$Q,C322,warehouse_shipments!$R:$R,D322)</f>
        <v>0</v>
      </c>
      <c r="H322" s="22">
        <f t="shared" si="1"/>
        <v>-418</v>
      </c>
      <c r="I322" s="64">
        <f t="shared" si="2"/>
        <v>0</v>
      </c>
      <c r="J322" s="22" t="s">
        <v>5307</v>
      </c>
    </row>
    <row r="323" ht="15.75" customHeight="1">
      <c r="A323" s="26">
        <v>46054.0</v>
      </c>
      <c r="B323" s="25" t="s">
        <v>3934</v>
      </c>
      <c r="C323" s="25" t="s">
        <v>67</v>
      </c>
      <c r="D323" s="25" t="s">
        <v>78</v>
      </c>
      <c r="E323" s="29">
        <v>107.0</v>
      </c>
      <c r="F323" s="29">
        <f>SUMIFS(crm_orders!$J:$J,crm_orders!$B:$B,"&gt;="&amp;A323,crm_orders!$B:$B,"&lt;"&amp;DATE(YEAR(A323),MONTH(A323)+1,1),crm_orders!$E:$E,B323,crm_orders!$G:$G,C323,crm_orders!$H:$H,D323)</f>
        <v>0</v>
      </c>
      <c r="G323" s="29">
        <f>SUMIFS(warehouse_shipments!$H:$H,warehouse_shipments!$C:$C,"&gt;="&amp;A323,warehouse_shipments!$C:$C,"&lt;"&amp;DATE(YEAR(A323),MONTH(A323)+1,1),warehouse_shipments!$P:$P,B323,warehouse_shipments!$Q:$Q,C323,warehouse_shipments!$R:$R,D323)</f>
        <v>0</v>
      </c>
      <c r="H323" s="30">
        <f t="shared" si="1"/>
        <v>-107</v>
      </c>
      <c r="I323" s="65">
        <f t="shared" si="2"/>
        <v>0</v>
      </c>
      <c r="J323" s="30" t="s">
        <v>5310</v>
      </c>
    </row>
    <row r="324" ht="15.75" customHeight="1">
      <c r="A324" s="18">
        <v>46054.0</v>
      </c>
      <c r="B324" s="17" t="s">
        <v>3934</v>
      </c>
      <c r="C324" s="17" t="s">
        <v>67</v>
      </c>
      <c r="D324" s="17" t="s">
        <v>106</v>
      </c>
      <c r="E324" s="21">
        <v>475.0</v>
      </c>
      <c r="F324" s="21">
        <f>SUMIFS(crm_orders!$J:$J,crm_orders!$B:$B,"&gt;="&amp;A324,crm_orders!$B:$B,"&lt;"&amp;DATE(YEAR(A324),MONTH(A324)+1,1),crm_orders!$E:$E,B324,crm_orders!$G:$G,C324,crm_orders!$H:$H,D324)</f>
        <v>0</v>
      </c>
      <c r="G324" s="21">
        <f>SUMIFS(warehouse_shipments!$H:$H,warehouse_shipments!$C:$C,"&gt;="&amp;A324,warehouse_shipments!$C:$C,"&lt;"&amp;DATE(YEAR(A324),MONTH(A324)+1,1),warehouse_shipments!$P:$P,B324,warehouse_shipments!$Q:$Q,C324,warehouse_shipments!$R:$R,D324)</f>
        <v>0</v>
      </c>
      <c r="H324" s="22">
        <f t="shared" si="1"/>
        <v>-475</v>
      </c>
      <c r="I324" s="64">
        <f t="shared" si="2"/>
        <v>0</v>
      </c>
      <c r="J324" s="22" t="s">
        <v>5307</v>
      </c>
    </row>
    <row r="325" ht="15.75" customHeight="1">
      <c r="A325" s="26">
        <v>46054.0</v>
      </c>
      <c r="B325" s="25" t="s">
        <v>3934</v>
      </c>
      <c r="C325" s="25" t="s">
        <v>67</v>
      </c>
      <c r="D325" s="25" t="s">
        <v>90</v>
      </c>
      <c r="E325" s="29">
        <v>420.0</v>
      </c>
      <c r="F325" s="29">
        <f>SUMIFS(crm_orders!$J:$J,crm_orders!$B:$B,"&gt;="&amp;A325,crm_orders!$B:$B,"&lt;"&amp;DATE(YEAR(A325),MONTH(A325)+1,1),crm_orders!$E:$E,B325,crm_orders!$G:$G,C325,crm_orders!$H:$H,D325)</f>
        <v>0</v>
      </c>
      <c r="G325" s="29">
        <f>SUMIFS(warehouse_shipments!$H:$H,warehouse_shipments!$C:$C,"&gt;="&amp;A325,warehouse_shipments!$C:$C,"&lt;"&amp;DATE(YEAR(A325),MONTH(A325)+1,1),warehouse_shipments!$P:$P,B325,warehouse_shipments!$Q:$Q,C325,warehouse_shipments!$R:$R,D325)</f>
        <v>0</v>
      </c>
      <c r="H325" s="30">
        <f t="shared" si="1"/>
        <v>-420</v>
      </c>
      <c r="I325" s="65">
        <f t="shared" si="2"/>
        <v>0</v>
      </c>
      <c r="J325" s="30" t="s">
        <v>5306</v>
      </c>
    </row>
    <row r="326" ht="15.75" customHeight="1">
      <c r="A326" s="18">
        <v>46054.0</v>
      </c>
      <c r="B326" s="17" t="s">
        <v>3934</v>
      </c>
      <c r="C326" s="17" t="s">
        <v>67</v>
      </c>
      <c r="D326" s="17" t="s">
        <v>92</v>
      </c>
      <c r="E326" s="21">
        <v>287.0</v>
      </c>
      <c r="F326" s="21">
        <f>SUMIFS(crm_orders!$J:$J,crm_orders!$B:$B,"&gt;="&amp;A326,crm_orders!$B:$B,"&lt;"&amp;DATE(YEAR(A326),MONTH(A326)+1,1),crm_orders!$E:$E,B326,crm_orders!$G:$G,C326,crm_orders!$H:$H,D326)</f>
        <v>0</v>
      </c>
      <c r="G326" s="21">
        <f>SUMIFS(warehouse_shipments!$H:$H,warehouse_shipments!$C:$C,"&gt;="&amp;A326,warehouse_shipments!$C:$C,"&lt;"&amp;DATE(YEAR(A326),MONTH(A326)+1,1),warehouse_shipments!$P:$P,B326,warehouse_shipments!$Q:$Q,C326,warehouse_shipments!$R:$R,D326)</f>
        <v>0</v>
      </c>
      <c r="H326" s="22">
        <f t="shared" si="1"/>
        <v>-287</v>
      </c>
      <c r="I326" s="64">
        <f t="shared" si="2"/>
        <v>0</v>
      </c>
      <c r="J326" s="22" t="s">
        <v>5308</v>
      </c>
    </row>
    <row r="327" ht="15.75" customHeight="1">
      <c r="A327" s="26">
        <v>46054.0</v>
      </c>
      <c r="B327" s="25" t="s">
        <v>3934</v>
      </c>
      <c r="C327" s="25" t="s">
        <v>67</v>
      </c>
      <c r="D327" s="25" t="s">
        <v>154</v>
      </c>
      <c r="E327" s="29">
        <v>189.0</v>
      </c>
      <c r="F327" s="29">
        <f>SUMIFS(crm_orders!$J:$J,crm_orders!$B:$B,"&gt;="&amp;A327,crm_orders!$B:$B,"&lt;"&amp;DATE(YEAR(A327),MONTH(A327)+1,1),crm_orders!$E:$E,B327,crm_orders!$G:$G,C327,crm_orders!$H:$H,D327)</f>
        <v>0</v>
      </c>
      <c r="G327" s="29">
        <f>SUMIFS(warehouse_shipments!$H:$H,warehouse_shipments!$C:$C,"&gt;="&amp;A327,warehouse_shipments!$C:$C,"&lt;"&amp;DATE(YEAR(A327),MONTH(A327)+1,1),warehouse_shipments!$P:$P,B327,warehouse_shipments!$Q:$Q,C327,warehouse_shipments!$R:$R,D327)</f>
        <v>0</v>
      </c>
      <c r="H327" s="30">
        <f t="shared" si="1"/>
        <v>-189</v>
      </c>
      <c r="I327" s="65">
        <f t="shared" si="2"/>
        <v>0</v>
      </c>
      <c r="J327" s="30" t="s">
        <v>5309</v>
      </c>
    </row>
    <row r="328" ht="15.75" customHeight="1">
      <c r="A328" s="18">
        <v>46054.0</v>
      </c>
      <c r="B328" s="17" t="s">
        <v>3934</v>
      </c>
      <c r="C328" s="17" t="s">
        <v>67</v>
      </c>
      <c r="D328" s="17" t="s">
        <v>68</v>
      </c>
      <c r="E328" s="21">
        <v>465.0</v>
      </c>
      <c r="F328" s="21">
        <f>SUMIFS(crm_orders!$J:$J,crm_orders!$B:$B,"&gt;="&amp;A328,crm_orders!$B:$B,"&lt;"&amp;DATE(YEAR(A328),MONTH(A328)+1,1),crm_orders!$E:$E,B328,crm_orders!$G:$G,C328,crm_orders!$H:$H,D328)</f>
        <v>0</v>
      </c>
      <c r="G328" s="21">
        <f>SUMIFS(warehouse_shipments!$H:$H,warehouse_shipments!$C:$C,"&gt;="&amp;A328,warehouse_shipments!$C:$C,"&lt;"&amp;DATE(YEAR(A328),MONTH(A328)+1,1),warehouse_shipments!$P:$P,B328,warehouse_shipments!$Q:$Q,C328,warehouse_shipments!$R:$R,D328)</f>
        <v>0</v>
      </c>
      <c r="H328" s="22">
        <f t="shared" si="1"/>
        <v>-465</v>
      </c>
      <c r="I328" s="64">
        <f t="shared" si="2"/>
        <v>0</v>
      </c>
      <c r="J328" s="22" t="s">
        <v>5311</v>
      </c>
    </row>
    <row r="329" ht="15.75" customHeight="1">
      <c r="A329" s="26">
        <v>46054.0</v>
      </c>
      <c r="B329" s="25" t="s">
        <v>3934</v>
      </c>
      <c r="C329" s="25" t="s">
        <v>67</v>
      </c>
      <c r="D329" s="25" t="s">
        <v>162</v>
      </c>
      <c r="E329" s="29">
        <v>342.0</v>
      </c>
      <c r="F329" s="29">
        <f>SUMIFS(crm_orders!$J:$J,crm_orders!$B:$B,"&gt;="&amp;A329,crm_orders!$B:$B,"&lt;"&amp;DATE(YEAR(A329),MONTH(A329)+1,1),crm_orders!$E:$E,B329,crm_orders!$G:$G,C329,crm_orders!$H:$H,D329)</f>
        <v>0</v>
      </c>
      <c r="G329" s="29">
        <f>SUMIFS(warehouse_shipments!$H:$H,warehouse_shipments!$C:$C,"&gt;="&amp;A329,warehouse_shipments!$C:$C,"&lt;"&amp;DATE(YEAR(A329),MONTH(A329)+1,1),warehouse_shipments!$P:$P,B329,warehouse_shipments!$Q:$Q,C329,warehouse_shipments!$R:$R,D329)</f>
        <v>0</v>
      </c>
      <c r="H329" s="30">
        <f t="shared" si="1"/>
        <v>-342</v>
      </c>
      <c r="I329" s="65">
        <f t="shared" si="2"/>
        <v>0</v>
      </c>
      <c r="J329" s="30" t="s">
        <v>5307</v>
      </c>
    </row>
    <row r="330" ht="15.75" customHeight="1">
      <c r="A330" s="18">
        <v>46054.0</v>
      </c>
      <c r="B330" s="17" t="s">
        <v>3934</v>
      </c>
      <c r="C330" s="17" t="s">
        <v>89</v>
      </c>
      <c r="D330" s="17" t="s">
        <v>78</v>
      </c>
      <c r="E330" s="21">
        <v>379.0</v>
      </c>
      <c r="F330" s="21">
        <f>SUMIFS(crm_orders!$J:$J,crm_orders!$B:$B,"&gt;="&amp;A330,crm_orders!$B:$B,"&lt;"&amp;DATE(YEAR(A330),MONTH(A330)+1,1),crm_orders!$E:$E,B330,crm_orders!$G:$G,C330,crm_orders!$H:$H,D330)</f>
        <v>48</v>
      </c>
      <c r="G330" s="21">
        <f>SUMIFS(warehouse_shipments!$H:$H,warehouse_shipments!$C:$C,"&gt;="&amp;A330,warehouse_shipments!$C:$C,"&lt;"&amp;DATE(YEAR(A330),MONTH(A330)+1,1),warehouse_shipments!$P:$P,B330,warehouse_shipments!$Q:$Q,C330,warehouse_shipments!$R:$R,D330)</f>
        <v>0</v>
      </c>
      <c r="H330" s="22">
        <f t="shared" si="1"/>
        <v>-331</v>
      </c>
      <c r="I330" s="64">
        <f t="shared" si="2"/>
        <v>0.1266490765</v>
      </c>
      <c r="J330" s="22" t="s">
        <v>5306</v>
      </c>
    </row>
    <row r="331" ht="15.75" customHeight="1">
      <c r="A331" s="26">
        <v>46054.0</v>
      </c>
      <c r="B331" s="25" t="s">
        <v>3934</v>
      </c>
      <c r="C331" s="25" t="s">
        <v>89</v>
      </c>
      <c r="D331" s="25" t="s">
        <v>102</v>
      </c>
      <c r="E331" s="29">
        <v>259.0</v>
      </c>
      <c r="F331" s="29">
        <f>SUMIFS(crm_orders!$J:$J,crm_orders!$B:$B,"&gt;="&amp;A331,crm_orders!$B:$B,"&lt;"&amp;DATE(YEAR(A331),MONTH(A331)+1,1),crm_orders!$E:$E,B331,crm_orders!$G:$G,C331,crm_orders!$H:$H,D331)</f>
        <v>0</v>
      </c>
      <c r="G331" s="29">
        <f>SUMIFS(warehouse_shipments!$H:$H,warehouse_shipments!$C:$C,"&gt;="&amp;A331,warehouse_shipments!$C:$C,"&lt;"&amp;DATE(YEAR(A331),MONTH(A331)+1,1),warehouse_shipments!$P:$P,B331,warehouse_shipments!$Q:$Q,C331,warehouse_shipments!$R:$R,D331)</f>
        <v>0</v>
      </c>
      <c r="H331" s="30">
        <f t="shared" si="1"/>
        <v>-259</v>
      </c>
      <c r="I331" s="65">
        <f t="shared" si="2"/>
        <v>0</v>
      </c>
      <c r="J331" s="30" t="s">
        <v>5309</v>
      </c>
    </row>
    <row r="332" ht="15.75" customHeight="1">
      <c r="A332" s="18">
        <v>46054.0</v>
      </c>
      <c r="B332" s="17" t="s">
        <v>3934</v>
      </c>
      <c r="C332" s="17" t="s">
        <v>89</v>
      </c>
      <c r="D332" s="17" t="s">
        <v>115</v>
      </c>
      <c r="E332" s="21">
        <v>382.0</v>
      </c>
      <c r="F332" s="21">
        <f>SUMIFS(crm_orders!$J:$J,crm_orders!$B:$B,"&gt;="&amp;A332,crm_orders!$B:$B,"&lt;"&amp;DATE(YEAR(A332),MONTH(A332)+1,1),crm_orders!$E:$E,B332,crm_orders!$G:$G,C332,crm_orders!$H:$H,D332)</f>
        <v>0</v>
      </c>
      <c r="G332" s="21">
        <f>SUMIFS(warehouse_shipments!$H:$H,warehouse_shipments!$C:$C,"&gt;="&amp;A332,warehouse_shipments!$C:$C,"&lt;"&amp;DATE(YEAR(A332),MONTH(A332)+1,1),warehouse_shipments!$P:$P,B332,warehouse_shipments!$Q:$Q,C332,warehouse_shipments!$R:$R,D332)</f>
        <v>0</v>
      </c>
      <c r="H332" s="22">
        <f t="shared" si="1"/>
        <v>-382</v>
      </c>
      <c r="I332" s="64">
        <f t="shared" si="2"/>
        <v>0</v>
      </c>
      <c r="J332" s="22" t="s">
        <v>5306</v>
      </c>
    </row>
    <row r="333" ht="15.75" customHeight="1">
      <c r="A333" s="26">
        <v>46054.0</v>
      </c>
      <c r="B333" s="25" t="s">
        <v>3934</v>
      </c>
      <c r="C333" s="25" t="s">
        <v>89</v>
      </c>
      <c r="D333" s="25" t="s">
        <v>90</v>
      </c>
      <c r="E333" s="29">
        <v>210.0</v>
      </c>
      <c r="F333" s="29">
        <f>SUMIFS(crm_orders!$J:$J,crm_orders!$B:$B,"&gt;="&amp;A333,crm_orders!$B:$B,"&lt;"&amp;DATE(YEAR(A333),MONTH(A333)+1,1),crm_orders!$E:$E,B333,crm_orders!$G:$G,C333,crm_orders!$H:$H,D333)</f>
        <v>24</v>
      </c>
      <c r="G333" s="29">
        <f>SUMIFS(warehouse_shipments!$H:$H,warehouse_shipments!$C:$C,"&gt;="&amp;A333,warehouse_shipments!$C:$C,"&lt;"&amp;DATE(YEAR(A333),MONTH(A333)+1,1),warehouse_shipments!$P:$P,B333,warehouse_shipments!$Q:$Q,C333,warehouse_shipments!$R:$R,D333)</f>
        <v>24</v>
      </c>
      <c r="H333" s="30">
        <f t="shared" si="1"/>
        <v>-186</v>
      </c>
      <c r="I333" s="65">
        <f t="shared" si="2"/>
        <v>0.1142857143</v>
      </c>
      <c r="J333" s="30" t="s">
        <v>5309</v>
      </c>
    </row>
    <row r="334" ht="15.75" customHeight="1">
      <c r="A334" s="18">
        <v>46054.0</v>
      </c>
      <c r="B334" s="17" t="s">
        <v>3934</v>
      </c>
      <c r="C334" s="17" t="s">
        <v>89</v>
      </c>
      <c r="D334" s="17" t="s">
        <v>162</v>
      </c>
      <c r="E334" s="21">
        <v>288.0</v>
      </c>
      <c r="F334" s="21">
        <f>SUMIFS(crm_orders!$J:$J,crm_orders!$B:$B,"&gt;="&amp;A334,crm_orders!$B:$B,"&lt;"&amp;DATE(YEAR(A334),MONTH(A334)+1,1),crm_orders!$E:$E,B334,crm_orders!$G:$G,C334,crm_orders!$H:$H,D334)</f>
        <v>0</v>
      </c>
      <c r="G334" s="21">
        <f>SUMIFS(warehouse_shipments!$H:$H,warehouse_shipments!$C:$C,"&gt;="&amp;A334,warehouse_shipments!$C:$C,"&lt;"&amp;DATE(YEAR(A334),MONTH(A334)+1,1),warehouse_shipments!$P:$P,B334,warehouse_shipments!$Q:$Q,C334,warehouse_shipments!$R:$R,D334)</f>
        <v>0</v>
      </c>
      <c r="H334" s="22">
        <f t="shared" si="1"/>
        <v>-288</v>
      </c>
      <c r="I334" s="64">
        <f t="shared" si="2"/>
        <v>0</v>
      </c>
      <c r="J334" s="22" t="s">
        <v>5311</v>
      </c>
    </row>
    <row r="335" ht="15.75" customHeight="1">
      <c r="A335" s="26">
        <v>46054.0</v>
      </c>
      <c r="B335" s="25" t="s">
        <v>3934</v>
      </c>
      <c r="C335" s="25" t="s">
        <v>89</v>
      </c>
      <c r="D335" s="25" t="s">
        <v>106</v>
      </c>
      <c r="E335" s="29">
        <v>487.0</v>
      </c>
      <c r="F335" s="29">
        <f>SUMIFS(crm_orders!$J:$J,crm_orders!$B:$B,"&gt;="&amp;A335,crm_orders!$B:$B,"&lt;"&amp;DATE(YEAR(A335),MONTH(A335)+1,1),crm_orders!$E:$E,B335,crm_orders!$G:$G,C335,crm_orders!$H:$H,D335)</f>
        <v>0</v>
      </c>
      <c r="G335" s="29">
        <f>SUMIFS(warehouse_shipments!$H:$H,warehouse_shipments!$C:$C,"&gt;="&amp;A335,warehouse_shipments!$C:$C,"&lt;"&amp;DATE(YEAR(A335),MONTH(A335)+1,1),warehouse_shipments!$P:$P,B335,warehouse_shipments!$Q:$Q,C335,warehouse_shipments!$R:$R,D335)</f>
        <v>0</v>
      </c>
      <c r="H335" s="30">
        <f t="shared" si="1"/>
        <v>-487</v>
      </c>
      <c r="I335" s="65">
        <f t="shared" si="2"/>
        <v>0</v>
      </c>
      <c r="J335" s="30" t="s">
        <v>5310</v>
      </c>
    </row>
    <row r="336" ht="15.75" customHeight="1">
      <c r="A336" s="18">
        <v>46054.0</v>
      </c>
      <c r="B336" s="17" t="s">
        <v>3934</v>
      </c>
      <c r="C336" s="17" t="s">
        <v>89</v>
      </c>
      <c r="D336" s="17" t="s">
        <v>71</v>
      </c>
      <c r="E336" s="21">
        <v>165.0</v>
      </c>
      <c r="F336" s="21">
        <f>SUMIFS(crm_orders!$J:$J,crm_orders!$B:$B,"&gt;="&amp;A336,crm_orders!$B:$B,"&lt;"&amp;DATE(YEAR(A336),MONTH(A336)+1,1),crm_orders!$E:$E,B336,crm_orders!$G:$G,C336,crm_orders!$H:$H,D336)</f>
        <v>0</v>
      </c>
      <c r="G336" s="21">
        <f>SUMIFS(warehouse_shipments!$H:$H,warehouse_shipments!$C:$C,"&gt;="&amp;A336,warehouse_shipments!$C:$C,"&lt;"&amp;DATE(YEAR(A336),MONTH(A336)+1,1),warehouse_shipments!$P:$P,B336,warehouse_shipments!$Q:$Q,C336,warehouse_shipments!$R:$R,D336)</f>
        <v>0</v>
      </c>
      <c r="H336" s="22">
        <f t="shared" si="1"/>
        <v>-165</v>
      </c>
      <c r="I336" s="64">
        <f t="shared" si="2"/>
        <v>0</v>
      </c>
      <c r="J336" s="22" t="s">
        <v>5310</v>
      </c>
    </row>
    <row r="337" ht="15.75" customHeight="1">
      <c r="A337" s="26">
        <v>46054.0</v>
      </c>
      <c r="B337" s="25" t="s">
        <v>3934</v>
      </c>
      <c r="C337" s="25" t="s">
        <v>89</v>
      </c>
      <c r="D337" s="25" t="s">
        <v>190</v>
      </c>
      <c r="E337" s="29">
        <v>475.0</v>
      </c>
      <c r="F337" s="29">
        <f>SUMIFS(crm_orders!$J:$J,crm_orders!$B:$B,"&gt;="&amp;A337,crm_orders!$B:$B,"&lt;"&amp;DATE(YEAR(A337),MONTH(A337)+1,1),crm_orders!$E:$E,B337,crm_orders!$G:$G,C337,crm_orders!$H:$H,D337)</f>
        <v>0</v>
      </c>
      <c r="G337" s="29">
        <f>SUMIFS(warehouse_shipments!$H:$H,warehouse_shipments!$C:$C,"&gt;="&amp;A337,warehouse_shipments!$C:$C,"&lt;"&amp;DATE(YEAR(A337),MONTH(A337)+1,1),warehouse_shipments!$P:$P,B337,warehouse_shipments!$Q:$Q,C337,warehouse_shipments!$R:$R,D337)</f>
        <v>0</v>
      </c>
      <c r="H337" s="30">
        <f t="shared" si="1"/>
        <v>-475</v>
      </c>
      <c r="I337" s="65">
        <f t="shared" si="2"/>
        <v>0</v>
      </c>
      <c r="J337" s="30" t="s">
        <v>5311</v>
      </c>
    </row>
    <row r="338" ht="15.75" customHeight="1">
      <c r="A338" s="18">
        <v>46054.0</v>
      </c>
      <c r="B338" s="17" t="s">
        <v>4020</v>
      </c>
      <c r="C338" s="17" t="s">
        <v>63</v>
      </c>
      <c r="D338" s="17" t="s">
        <v>74</v>
      </c>
      <c r="E338" s="21">
        <v>468.0</v>
      </c>
      <c r="F338" s="21">
        <f>SUMIFS(crm_orders!$J:$J,crm_orders!$B:$B,"&gt;="&amp;A338,crm_orders!$B:$B,"&lt;"&amp;DATE(YEAR(A338),MONTH(A338)+1,1),crm_orders!$E:$E,B338,crm_orders!$G:$G,C338,crm_orders!$H:$H,D338)</f>
        <v>30</v>
      </c>
      <c r="G338" s="21">
        <f>SUMIFS(warehouse_shipments!$H:$H,warehouse_shipments!$C:$C,"&gt;="&amp;A338,warehouse_shipments!$C:$C,"&lt;"&amp;DATE(YEAR(A338),MONTH(A338)+1,1),warehouse_shipments!$P:$P,B338,warehouse_shipments!$Q:$Q,C338,warehouse_shipments!$R:$R,D338)</f>
        <v>30</v>
      </c>
      <c r="H338" s="22">
        <f t="shared" si="1"/>
        <v>-438</v>
      </c>
      <c r="I338" s="64">
        <f t="shared" si="2"/>
        <v>0.0641025641</v>
      </c>
      <c r="J338" s="22" t="s">
        <v>5308</v>
      </c>
    </row>
    <row r="339" ht="15.75" customHeight="1">
      <c r="A339" s="26">
        <v>46054.0</v>
      </c>
      <c r="B339" s="25" t="s">
        <v>4020</v>
      </c>
      <c r="C339" s="25" t="s">
        <v>63</v>
      </c>
      <c r="D339" s="25" t="s">
        <v>156</v>
      </c>
      <c r="E339" s="29">
        <v>368.0</v>
      </c>
      <c r="F339" s="29">
        <f>SUMIFS(crm_orders!$J:$J,crm_orders!$B:$B,"&gt;="&amp;A339,crm_orders!$B:$B,"&lt;"&amp;DATE(YEAR(A339),MONTH(A339)+1,1),crm_orders!$E:$E,B339,crm_orders!$G:$G,C339,crm_orders!$H:$H,D339)</f>
        <v>0</v>
      </c>
      <c r="G339" s="29">
        <f>SUMIFS(warehouse_shipments!$H:$H,warehouse_shipments!$C:$C,"&gt;="&amp;A339,warehouse_shipments!$C:$C,"&lt;"&amp;DATE(YEAR(A339),MONTH(A339)+1,1),warehouse_shipments!$P:$P,B339,warehouse_shipments!$Q:$Q,C339,warehouse_shipments!$R:$R,D339)</f>
        <v>0</v>
      </c>
      <c r="H339" s="30">
        <f t="shared" si="1"/>
        <v>-368</v>
      </c>
      <c r="I339" s="65">
        <f t="shared" si="2"/>
        <v>0</v>
      </c>
      <c r="J339" s="30" t="s">
        <v>5308</v>
      </c>
    </row>
    <row r="340" ht="15.75" customHeight="1">
      <c r="A340" s="18">
        <v>46054.0</v>
      </c>
      <c r="B340" s="17" t="s">
        <v>4020</v>
      </c>
      <c r="C340" s="17" t="s">
        <v>63</v>
      </c>
      <c r="D340" s="17" t="s">
        <v>102</v>
      </c>
      <c r="E340" s="21">
        <v>464.0</v>
      </c>
      <c r="F340" s="21">
        <f>SUMIFS(crm_orders!$J:$J,crm_orders!$B:$B,"&gt;="&amp;A340,crm_orders!$B:$B,"&lt;"&amp;DATE(YEAR(A340),MONTH(A340)+1,1),crm_orders!$E:$E,B340,crm_orders!$G:$G,C340,crm_orders!$H:$H,D340)</f>
        <v>0</v>
      </c>
      <c r="G340" s="21">
        <f>SUMIFS(warehouse_shipments!$H:$H,warehouse_shipments!$C:$C,"&gt;="&amp;A340,warehouse_shipments!$C:$C,"&lt;"&amp;DATE(YEAR(A340),MONTH(A340)+1,1),warehouse_shipments!$P:$P,B340,warehouse_shipments!$Q:$Q,C340,warehouse_shipments!$R:$R,D340)</f>
        <v>0</v>
      </c>
      <c r="H340" s="22">
        <f t="shared" si="1"/>
        <v>-464</v>
      </c>
      <c r="I340" s="64">
        <f t="shared" si="2"/>
        <v>0</v>
      </c>
      <c r="J340" s="22" t="s">
        <v>5311</v>
      </c>
    </row>
    <row r="341" ht="15.75" customHeight="1">
      <c r="A341" s="26">
        <v>46054.0</v>
      </c>
      <c r="B341" s="25" t="s">
        <v>4020</v>
      </c>
      <c r="C341" s="25" t="s">
        <v>63</v>
      </c>
      <c r="D341" s="25" t="s">
        <v>110</v>
      </c>
      <c r="E341" s="29">
        <v>273.0</v>
      </c>
      <c r="F341" s="29">
        <f>SUMIFS(crm_orders!$J:$J,crm_orders!$B:$B,"&gt;="&amp;A341,crm_orders!$B:$B,"&lt;"&amp;DATE(YEAR(A341),MONTH(A341)+1,1),crm_orders!$E:$E,B341,crm_orders!$G:$G,C341,crm_orders!$H:$H,D341)</f>
        <v>72</v>
      </c>
      <c r="G341" s="29">
        <f>SUMIFS(warehouse_shipments!$H:$H,warehouse_shipments!$C:$C,"&gt;="&amp;A341,warehouse_shipments!$C:$C,"&lt;"&amp;DATE(YEAR(A341),MONTH(A341)+1,1),warehouse_shipments!$P:$P,B341,warehouse_shipments!$Q:$Q,C341,warehouse_shipments!$R:$R,D341)</f>
        <v>72</v>
      </c>
      <c r="H341" s="30">
        <f t="shared" si="1"/>
        <v>-201</v>
      </c>
      <c r="I341" s="65">
        <f t="shared" si="2"/>
        <v>0.2637362637</v>
      </c>
      <c r="J341" s="30" t="s">
        <v>5310</v>
      </c>
    </row>
    <row r="342" ht="15.75" customHeight="1">
      <c r="A342" s="18">
        <v>46054.0</v>
      </c>
      <c r="B342" s="17" t="s">
        <v>4020</v>
      </c>
      <c r="C342" s="17" t="s">
        <v>63</v>
      </c>
      <c r="D342" s="17" t="s">
        <v>154</v>
      </c>
      <c r="E342" s="21">
        <v>481.0</v>
      </c>
      <c r="F342" s="21">
        <f>SUMIFS(crm_orders!$J:$J,crm_orders!$B:$B,"&gt;="&amp;A342,crm_orders!$B:$B,"&lt;"&amp;DATE(YEAR(A342),MONTH(A342)+1,1),crm_orders!$E:$E,B342,crm_orders!$G:$G,C342,crm_orders!$H:$H,D342)</f>
        <v>0</v>
      </c>
      <c r="G342" s="21">
        <f>SUMIFS(warehouse_shipments!$H:$H,warehouse_shipments!$C:$C,"&gt;="&amp;A342,warehouse_shipments!$C:$C,"&lt;"&amp;DATE(YEAR(A342),MONTH(A342)+1,1),warehouse_shipments!$P:$P,B342,warehouse_shipments!$Q:$Q,C342,warehouse_shipments!$R:$R,D342)</f>
        <v>0</v>
      </c>
      <c r="H342" s="22">
        <f t="shared" si="1"/>
        <v>-481</v>
      </c>
      <c r="I342" s="64">
        <f t="shared" si="2"/>
        <v>0</v>
      </c>
      <c r="J342" s="22" t="s">
        <v>5306</v>
      </c>
    </row>
    <row r="343" ht="15.75" customHeight="1">
      <c r="A343" s="26">
        <v>46054.0</v>
      </c>
      <c r="B343" s="25" t="s">
        <v>4020</v>
      </c>
      <c r="C343" s="25" t="s">
        <v>63</v>
      </c>
      <c r="D343" s="25" t="s">
        <v>95</v>
      </c>
      <c r="E343" s="29">
        <v>271.0</v>
      </c>
      <c r="F343" s="29">
        <f>SUMIFS(crm_orders!$J:$J,crm_orders!$B:$B,"&gt;="&amp;A343,crm_orders!$B:$B,"&lt;"&amp;DATE(YEAR(A343),MONTH(A343)+1,1),crm_orders!$E:$E,B343,crm_orders!$G:$G,C343,crm_orders!$H:$H,D343)</f>
        <v>120</v>
      </c>
      <c r="G343" s="29">
        <f>SUMIFS(warehouse_shipments!$H:$H,warehouse_shipments!$C:$C,"&gt;="&amp;A343,warehouse_shipments!$C:$C,"&lt;"&amp;DATE(YEAR(A343),MONTH(A343)+1,1),warehouse_shipments!$P:$P,B343,warehouse_shipments!$Q:$Q,C343,warehouse_shipments!$R:$R,D343)</f>
        <v>120</v>
      </c>
      <c r="H343" s="30">
        <f t="shared" si="1"/>
        <v>-151</v>
      </c>
      <c r="I343" s="65">
        <f t="shared" si="2"/>
        <v>0.442804428</v>
      </c>
      <c r="J343" s="30" t="s">
        <v>5306</v>
      </c>
    </row>
    <row r="344" ht="15.75" customHeight="1">
      <c r="A344" s="18">
        <v>46054.0</v>
      </c>
      <c r="B344" s="17" t="s">
        <v>4020</v>
      </c>
      <c r="C344" s="17" t="s">
        <v>63</v>
      </c>
      <c r="D344" s="17" t="s">
        <v>64</v>
      </c>
      <c r="E344" s="21">
        <v>258.0</v>
      </c>
      <c r="F344" s="21">
        <f>SUMIFS(crm_orders!$J:$J,crm_orders!$B:$B,"&gt;="&amp;A344,crm_orders!$B:$B,"&lt;"&amp;DATE(YEAR(A344),MONTH(A344)+1,1),crm_orders!$E:$E,B344,crm_orders!$G:$G,C344,crm_orders!$H:$H,D344)</f>
        <v>0</v>
      </c>
      <c r="G344" s="21">
        <f>SUMIFS(warehouse_shipments!$H:$H,warehouse_shipments!$C:$C,"&gt;="&amp;A344,warehouse_shipments!$C:$C,"&lt;"&amp;DATE(YEAR(A344),MONTH(A344)+1,1),warehouse_shipments!$P:$P,B344,warehouse_shipments!$Q:$Q,C344,warehouse_shipments!$R:$R,D344)</f>
        <v>0</v>
      </c>
      <c r="H344" s="22">
        <f t="shared" si="1"/>
        <v>-258</v>
      </c>
      <c r="I344" s="64">
        <f t="shared" si="2"/>
        <v>0</v>
      </c>
      <c r="J344" s="22" t="s">
        <v>5307</v>
      </c>
    </row>
    <row r="345" ht="15.75" customHeight="1">
      <c r="A345" s="26">
        <v>46054.0</v>
      </c>
      <c r="B345" s="25" t="s">
        <v>4020</v>
      </c>
      <c r="C345" s="25" t="s">
        <v>63</v>
      </c>
      <c r="D345" s="25" t="s">
        <v>92</v>
      </c>
      <c r="E345" s="29">
        <v>429.0</v>
      </c>
      <c r="F345" s="29">
        <f>SUMIFS(crm_orders!$J:$J,crm_orders!$B:$B,"&gt;="&amp;A345,crm_orders!$B:$B,"&lt;"&amp;DATE(YEAR(A345),MONTH(A345)+1,1),crm_orders!$E:$E,B345,crm_orders!$G:$G,C345,crm_orders!$H:$H,D345)</f>
        <v>36</v>
      </c>
      <c r="G345" s="29">
        <f>SUMIFS(warehouse_shipments!$H:$H,warehouse_shipments!$C:$C,"&gt;="&amp;A345,warehouse_shipments!$C:$C,"&lt;"&amp;DATE(YEAR(A345),MONTH(A345)+1,1),warehouse_shipments!$P:$P,B345,warehouse_shipments!$Q:$Q,C345,warehouse_shipments!$R:$R,D345)</f>
        <v>36</v>
      </c>
      <c r="H345" s="30">
        <f t="shared" si="1"/>
        <v>-393</v>
      </c>
      <c r="I345" s="65">
        <f t="shared" si="2"/>
        <v>0.08391608392</v>
      </c>
      <c r="J345" s="30" t="s">
        <v>5309</v>
      </c>
    </row>
    <row r="346" ht="15.75" customHeight="1">
      <c r="A346" s="18">
        <v>46054.0</v>
      </c>
      <c r="B346" s="17" t="s">
        <v>4020</v>
      </c>
      <c r="C346" s="17" t="s">
        <v>67</v>
      </c>
      <c r="D346" s="17" t="s">
        <v>85</v>
      </c>
      <c r="E346" s="21">
        <v>294.0</v>
      </c>
      <c r="F346" s="21">
        <f>SUMIFS(crm_orders!$J:$J,crm_orders!$B:$B,"&gt;="&amp;A346,crm_orders!$B:$B,"&lt;"&amp;DATE(YEAR(A346),MONTH(A346)+1,1),crm_orders!$E:$E,B346,crm_orders!$G:$G,C346,crm_orders!$H:$H,D346)</f>
        <v>0</v>
      </c>
      <c r="G346" s="21">
        <f>SUMIFS(warehouse_shipments!$H:$H,warehouse_shipments!$C:$C,"&gt;="&amp;A346,warehouse_shipments!$C:$C,"&lt;"&amp;DATE(YEAR(A346),MONTH(A346)+1,1),warehouse_shipments!$P:$P,B346,warehouse_shipments!$Q:$Q,C346,warehouse_shipments!$R:$R,D346)</f>
        <v>0</v>
      </c>
      <c r="H346" s="22">
        <f t="shared" si="1"/>
        <v>-294</v>
      </c>
      <c r="I346" s="64">
        <f t="shared" si="2"/>
        <v>0</v>
      </c>
      <c r="J346" s="22" t="s">
        <v>5309</v>
      </c>
    </row>
    <row r="347" ht="15.75" customHeight="1">
      <c r="A347" s="26">
        <v>46054.0</v>
      </c>
      <c r="B347" s="25" t="s">
        <v>4020</v>
      </c>
      <c r="C347" s="25" t="s">
        <v>67</v>
      </c>
      <c r="D347" s="25" t="s">
        <v>190</v>
      </c>
      <c r="E347" s="29">
        <v>346.0</v>
      </c>
      <c r="F347" s="29">
        <f>SUMIFS(crm_orders!$J:$J,crm_orders!$B:$B,"&gt;="&amp;A347,crm_orders!$B:$B,"&lt;"&amp;DATE(YEAR(A347),MONTH(A347)+1,1),crm_orders!$E:$E,B347,crm_orders!$G:$G,C347,crm_orders!$H:$H,D347)</f>
        <v>0</v>
      </c>
      <c r="G347" s="29">
        <f>SUMIFS(warehouse_shipments!$H:$H,warehouse_shipments!$C:$C,"&gt;="&amp;A347,warehouse_shipments!$C:$C,"&lt;"&amp;DATE(YEAR(A347),MONTH(A347)+1,1),warehouse_shipments!$P:$P,B347,warehouse_shipments!$Q:$Q,C347,warehouse_shipments!$R:$R,D347)</f>
        <v>0</v>
      </c>
      <c r="H347" s="30">
        <f t="shared" si="1"/>
        <v>-346</v>
      </c>
      <c r="I347" s="65">
        <f t="shared" si="2"/>
        <v>0</v>
      </c>
      <c r="J347" s="30" t="s">
        <v>5308</v>
      </c>
    </row>
    <row r="348" ht="15.75" customHeight="1">
      <c r="A348" s="18">
        <v>46054.0</v>
      </c>
      <c r="B348" s="17" t="s">
        <v>4020</v>
      </c>
      <c r="C348" s="17" t="s">
        <v>67</v>
      </c>
      <c r="D348" s="17" t="s">
        <v>68</v>
      </c>
      <c r="E348" s="21">
        <v>182.0</v>
      </c>
      <c r="F348" s="21">
        <f>SUMIFS(crm_orders!$J:$J,crm_orders!$B:$B,"&gt;="&amp;A348,crm_orders!$B:$B,"&lt;"&amp;DATE(YEAR(A348),MONTH(A348)+1,1),crm_orders!$E:$E,B348,crm_orders!$G:$G,C348,crm_orders!$H:$H,D348)</f>
        <v>0</v>
      </c>
      <c r="G348" s="21">
        <f>SUMIFS(warehouse_shipments!$H:$H,warehouse_shipments!$C:$C,"&gt;="&amp;A348,warehouse_shipments!$C:$C,"&lt;"&amp;DATE(YEAR(A348),MONTH(A348)+1,1),warehouse_shipments!$P:$P,B348,warehouse_shipments!$Q:$Q,C348,warehouse_shipments!$R:$R,D348)</f>
        <v>0</v>
      </c>
      <c r="H348" s="22">
        <f t="shared" si="1"/>
        <v>-182</v>
      </c>
      <c r="I348" s="64">
        <f t="shared" si="2"/>
        <v>0</v>
      </c>
      <c r="J348" s="22" t="s">
        <v>5307</v>
      </c>
    </row>
    <row r="349" ht="15.75" customHeight="1">
      <c r="A349" s="26">
        <v>46054.0</v>
      </c>
      <c r="B349" s="25" t="s">
        <v>4020</v>
      </c>
      <c r="C349" s="25" t="s">
        <v>67</v>
      </c>
      <c r="D349" s="25" t="s">
        <v>78</v>
      </c>
      <c r="E349" s="29">
        <v>385.0</v>
      </c>
      <c r="F349" s="29">
        <f>SUMIFS(crm_orders!$J:$J,crm_orders!$B:$B,"&gt;="&amp;A349,crm_orders!$B:$B,"&lt;"&amp;DATE(YEAR(A349),MONTH(A349)+1,1),crm_orders!$E:$E,B349,crm_orders!$G:$G,C349,crm_orders!$H:$H,D349)</f>
        <v>30</v>
      </c>
      <c r="G349" s="29">
        <f>SUMIFS(warehouse_shipments!$H:$H,warehouse_shipments!$C:$C,"&gt;="&amp;A349,warehouse_shipments!$C:$C,"&lt;"&amp;DATE(YEAR(A349),MONTH(A349)+1,1),warehouse_shipments!$P:$P,B349,warehouse_shipments!$Q:$Q,C349,warehouse_shipments!$R:$R,D349)</f>
        <v>30</v>
      </c>
      <c r="H349" s="30">
        <f t="shared" si="1"/>
        <v>-355</v>
      </c>
      <c r="I349" s="65">
        <f t="shared" si="2"/>
        <v>0.07792207792</v>
      </c>
      <c r="J349" s="30" t="s">
        <v>5311</v>
      </c>
    </row>
    <row r="350" ht="15.75" customHeight="1">
      <c r="A350" s="18">
        <v>46054.0</v>
      </c>
      <c r="B350" s="17" t="s">
        <v>4020</v>
      </c>
      <c r="C350" s="17" t="s">
        <v>67</v>
      </c>
      <c r="D350" s="17" t="s">
        <v>108</v>
      </c>
      <c r="E350" s="21">
        <v>305.0</v>
      </c>
      <c r="F350" s="21">
        <f>SUMIFS(crm_orders!$J:$J,crm_orders!$B:$B,"&gt;="&amp;A350,crm_orders!$B:$B,"&lt;"&amp;DATE(YEAR(A350),MONTH(A350)+1,1),crm_orders!$E:$E,B350,crm_orders!$G:$G,C350,crm_orders!$H:$H,D350)</f>
        <v>216</v>
      </c>
      <c r="G350" s="21">
        <f>SUMIFS(warehouse_shipments!$H:$H,warehouse_shipments!$C:$C,"&gt;="&amp;A350,warehouse_shipments!$C:$C,"&lt;"&amp;DATE(YEAR(A350),MONTH(A350)+1,1),warehouse_shipments!$P:$P,B350,warehouse_shipments!$Q:$Q,C350,warehouse_shipments!$R:$R,D350)</f>
        <v>120</v>
      </c>
      <c r="H350" s="22">
        <f t="shared" si="1"/>
        <v>-89</v>
      </c>
      <c r="I350" s="64">
        <f t="shared" si="2"/>
        <v>0.7081967213</v>
      </c>
      <c r="J350" s="22" t="s">
        <v>5308</v>
      </c>
    </row>
    <row r="351" ht="15.75" customHeight="1">
      <c r="A351" s="26">
        <v>46054.0</v>
      </c>
      <c r="B351" s="25" t="s">
        <v>4020</v>
      </c>
      <c r="C351" s="25" t="s">
        <v>67</v>
      </c>
      <c r="D351" s="25" t="s">
        <v>110</v>
      </c>
      <c r="E351" s="29">
        <v>462.0</v>
      </c>
      <c r="F351" s="29">
        <f>SUMIFS(crm_orders!$J:$J,crm_orders!$B:$B,"&gt;="&amp;A351,crm_orders!$B:$B,"&lt;"&amp;DATE(YEAR(A351),MONTH(A351)+1,1),crm_orders!$E:$E,B351,crm_orders!$G:$G,C351,crm_orders!$H:$H,D351)</f>
        <v>0</v>
      </c>
      <c r="G351" s="29">
        <f>SUMIFS(warehouse_shipments!$H:$H,warehouse_shipments!$C:$C,"&gt;="&amp;A351,warehouse_shipments!$C:$C,"&lt;"&amp;DATE(YEAR(A351),MONTH(A351)+1,1),warehouse_shipments!$P:$P,B351,warehouse_shipments!$Q:$Q,C351,warehouse_shipments!$R:$R,D351)</f>
        <v>0</v>
      </c>
      <c r="H351" s="30">
        <f t="shared" si="1"/>
        <v>-462</v>
      </c>
      <c r="I351" s="65">
        <f t="shared" si="2"/>
        <v>0</v>
      </c>
      <c r="J351" s="30" t="s">
        <v>5307</v>
      </c>
    </row>
    <row r="352" ht="15.75" customHeight="1">
      <c r="A352" s="18">
        <v>46054.0</v>
      </c>
      <c r="B352" s="17" t="s">
        <v>4020</v>
      </c>
      <c r="C352" s="17" t="s">
        <v>67</v>
      </c>
      <c r="D352" s="17" t="s">
        <v>71</v>
      </c>
      <c r="E352" s="21">
        <v>449.0</v>
      </c>
      <c r="F352" s="21">
        <f>SUMIFS(crm_orders!$J:$J,crm_orders!$B:$B,"&gt;="&amp;A352,crm_orders!$B:$B,"&lt;"&amp;DATE(YEAR(A352),MONTH(A352)+1,1),crm_orders!$E:$E,B352,crm_orders!$G:$G,C352,crm_orders!$H:$H,D352)</f>
        <v>0</v>
      </c>
      <c r="G352" s="21">
        <f>SUMIFS(warehouse_shipments!$H:$H,warehouse_shipments!$C:$C,"&gt;="&amp;A352,warehouse_shipments!$C:$C,"&lt;"&amp;DATE(YEAR(A352),MONTH(A352)+1,1),warehouse_shipments!$P:$P,B352,warehouse_shipments!$Q:$Q,C352,warehouse_shipments!$R:$R,D352)</f>
        <v>0</v>
      </c>
      <c r="H352" s="22">
        <f t="shared" si="1"/>
        <v>-449</v>
      </c>
      <c r="I352" s="64">
        <f t="shared" si="2"/>
        <v>0</v>
      </c>
      <c r="J352" s="22" t="s">
        <v>5311</v>
      </c>
    </row>
    <row r="353" ht="15.75" customHeight="1">
      <c r="A353" s="26">
        <v>46054.0</v>
      </c>
      <c r="B353" s="25" t="s">
        <v>4020</v>
      </c>
      <c r="C353" s="25" t="s">
        <v>67</v>
      </c>
      <c r="D353" s="25" t="s">
        <v>81</v>
      </c>
      <c r="E353" s="29">
        <v>304.0</v>
      </c>
      <c r="F353" s="29">
        <f>SUMIFS(crm_orders!$J:$J,crm_orders!$B:$B,"&gt;="&amp;A353,crm_orders!$B:$B,"&lt;"&amp;DATE(YEAR(A353),MONTH(A353)+1,1),crm_orders!$E:$E,B353,crm_orders!$G:$G,C353,crm_orders!$H:$H,D353)</f>
        <v>180</v>
      </c>
      <c r="G353" s="29">
        <f>SUMIFS(warehouse_shipments!$H:$H,warehouse_shipments!$C:$C,"&gt;="&amp;A353,warehouse_shipments!$C:$C,"&lt;"&amp;DATE(YEAR(A353),MONTH(A353)+1,1),warehouse_shipments!$P:$P,B353,warehouse_shipments!$Q:$Q,C353,warehouse_shipments!$R:$R,D353)</f>
        <v>144</v>
      </c>
      <c r="H353" s="30">
        <f t="shared" si="1"/>
        <v>-124</v>
      </c>
      <c r="I353" s="65">
        <f t="shared" si="2"/>
        <v>0.5921052632</v>
      </c>
      <c r="J353" s="30" t="s">
        <v>5309</v>
      </c>
    </row>
    <row r="354" ht="15.75" customHeight="1">
      <c r="A354" s="18">
        <v>46054.0</v>
      </c>
      <c r="B354" s="17" t="s">
        <v>4020</v>
      </c>
      <c r="C354" s="17" t="s">
        <v>89</v>
      </c>
      <c r="D354" s="17" t="s">
        <v>85</v>
      </c>
      <c r="E354" s="21">
        <v>147.0</v>
      </c>
      <c r="F354" s="21">
        <f>SUMIFS(crm_orders!$J:$J,crm_orders!$B:$B,"&gt;="&amp;A354,crm_orders!$B:$B,"&lt;"&amp;DATE(YEAR(A354),MONTH(A354)+1,1),crm_orders!$E:$E,B354,crm_orders!$G:$G,C354,crm_orders!$H:$H,D354)</f>
        <v>0</v>
      </c>
      <c r="G354" s="21">
        <f>SUMIFS(warehouse_shipments!$H:$H,warehouse_shipments!$C:$C,"&gt;="&amp;A354,warehouse_shipments!$C:$C,"&lt;"&amp;DATE(YEAR(A354),MONTH(A354)+1,1),warehouse_shipments!$P:$P,B354,warehouse_shipments!$Q:$Q,C354,warehouse_shipments!$R:$R,D354)</f>
        <v>0</v>
      </c>
      <c r="H354" s="22">
        <f t="shared" si="1"/>
        <v>-147</v>
      </c>
      <c r="I354" s="64">
        <f t="shared" si="2"/>
        <v>0</v>
      </c>
      <c r="J354" s="22" t="s">
        <v>5307</v>
      </c>
    </row>
    <row r="355" ht="15.75" customHeight="1">
      <c r="A355" s="26">
        <v>46054.0</v>
      </c>
      <c r="B355" s="25" t="s">
        <v>4020</v>
      </c>
      <c r="C355" s="25" t="s">
        <v>89</v>
      </c>
      <c r="D355" s="25" t="s">
        <v>68</v>
      </c>
      <c r="E355" s="29">
        <v>430.0</v>
      </c>
      <c r="F355" s="29">
        <f>SUMIFS(crm_orders!$J:$J,crm_orders!$B:$B,"&gt;="&amp;A355,crm_orders!$B:$B,"&lt;"&amp;DATE(YEAR(A355),MONTH(A355)+1,1),crm_orders!$E:$E,B355,crm_orders!$G:$G,C355,crm_orders!$H:$H,D355)</f>
        <v>0</v>
      </c>
      <c r="G355" s="29">
        <f>SUMIFS(warehouse_shipments!$H:$H,warehouse_shipments!$C:$C,"&gt;="&amp;A355,warehouse_shipments!$C:$C,"&lt;"&amp;DATE(YEAR(A355),MONTH(A355)+1,1),warehouse_shipments!$P:$P,B355,warehouse_shipments!$Q:$Q,C355,warehouse_shipments!$R:$R,D355)</f>
        <v>0</v>
      </c>
      <c r="H355" s="30">
        <f t="shared" si="1"/>
        <v>-430</v>
      </c>
      <c r="I355" s="65">
        <f t="shared" si="2"/>
        <v>0</v>
      </c>
      <c r="J355" s="30" t="s">
        <v>5309</v>
      </c>
    </row>
    <row r="356" ht="15.75" customHeight="1">
      <c r="A356" s="18">
        <v>46054.0</v>
      </c>
      <c r="B356" s="17" t="s">
        <v>4020</v>
      </c>
      <c r="C356" s="17" t="s">
        <v>89</v>
      </c>
      <c r="D356" s="17" t="s">
        <v>115</v>
      </c>
      <c r="E356" s="21">
        <v>360.0</v>
      </c>
      <c r="F356" s="21">
        <f>SUMIFS(crm_orders!$J:$J,crm_orders!$B:$B,"&gt;="&amp;A356,crm_orders!$B:$B,"&lt;"&amp;DATE(YEAR(A356),MONTH(A356)+1,1),crm_orders!$E:$E,B356,crm_orders!$G:$G,C356,crm_orders!$H:$H,D356)</f>
        <v>0</v>
      </c>
      <c r="G356" s="21">
        <f>SUMIFS(warehouse_shipments!$H:$H,warehouse_shipments!$C:$C,"&gt;="&amp;A356,warehouse_shipments!$C:$C,"&lt;"&amp;DATE(YEAR(A356),MONTH(A356)+1,1),warehouse_shipments!$P:$P,B356,warehouse_shipments!$Q:$Q,C356,warehouse_shipments!$R:$R,D356)</f>
        <v>0</v>
      </c>
      <c r="H356" s="22">
        <f t="shared" si="1"/>
        <v>-360</v>
      </c>
      <c r="I356" s="64">
        <f t="shared" si="2"/>
        <v>0</v>
      </c>
      <c r="J356" s="22" t="s">
        <v>5306</v>
      </c>
    </row>
    <row r="357" ht="15.75" customHeight="1">
      <c r="A357" s="26">
        <v>46054.0</v>
      </c>
      <c r="B357" s="25" t="s">
        <v>4020</v>
      </c>
      <c r="C357" s="25" t="s">
        <v>89</v>
      </c>
      <c r="D357" s="25" t="s">
        <v>90</v>
      </c>
      <c r="E357" s="29">
        <v>367.0</v>
      </c>
      <c r="F357" s="29">
        <f>SUMIFS(crm_orders!$J:$J,crm_orders!$B:$B,"&gt;="&amp;A357,crm_orders!$B:$B,"&lt;"&amp;DATE(YEAR(A357),MONTH(A357)+1,1),crm_orders!$E:$E,B357,crm_orders!$G:$G,C357,crm_orders!$H:$H,D357)</f>
        <v>0</v>
      </c>
      <c r="G357" s="29">
        <f>SUMIFS(warehouse_shipments!$H:$H,warehouse_shipments!$C:$C,"&gt;="&amp;A357,warehouse_shipments!$C:$C,"&lt;"&amp;DATE(YEAR(A357),MONTH(A357)+1,1),warehouse_shipments!$P:$P,B357,warehouse_shipments!$Q:$Q,C357,warehouse_shipments!$R:$R,D357)</f>
        <v>0</v>
      </c>
      <c r="H357" s="30">
        <f t="shared" si="1"/>
        <v>-367</v>
      </c>
      <c r="I357" s="65">
        <f t="shared" si="2"/>
        <v>0</v>
      </c>
      <c r="J357" s="30" t="s">
        <v>5307</v>
      </c>
    </row>
    <row r="358" ht="15.75" customHeight="1">
      <c r="A358" s="18">
        <v>46054.0</v>
      </c>
      <c r="B358" s="17" t="s">
        <v>4020</v>
      </c>
      <c r="C358" s="17" t="s">
        <v>89</v>
      </c>
      <c r="D358" s="17" t="s">
        <v>123</v>
      </c>
      <c r="E358" s="21">
        <v>345.0</v>
      </c>
      <c r="F358" s="21">
        <f>SUMIFS(crm_orders!$J:$J,crm_orders!$B:$B,"&gt;="&amp;A358,crm_orders!$B:$B,"&lt;"&amp;DATE(YEAR(A358),MONTH(A358)+1,1),crm_orders!$E:$E,B358,crm_orders!$G:$G,C358,crm_orders!$H:$H,D358)</f>
        <v>0</v>
      </c>
      <c r="G358" s="21">
        <f>SUMIFS(warehouse_shipments!$H:$H,warehouse_shipments!$C:$C,"&gt;="&amp;A358,warehouse_shipments!$C:$C,"&lt;"&amp;DATE(YEAR(A358),MONTH(A358)+1,1),warehouse_shipments!$P:$P,B358,warehouse_shipments!$Q:$Q,C358,warehouse_shipments!$R:$R,D358)</f>
        <v>0</v>
      </c>
      <c r="H358" s="22">
        <f t="shared" si="1"/>
        <v>-345</v>
      </c>
      <c r="I358" s="64">
        <f t="shared" si="2"/>
        <v>0</v>
      </c>
      <c r="J358" s="22" t="s">
        <v>5307</v>
      </c>
    </row>
    <row r="359" ht="15.75" customHeight="1">
      <c r="A359" s="26">
        <v>46054.0</v>
      </c>
      <c r="B359" s="25" t="s">
        <v>4020</v>
      </c>
      <c r="C359" s="25" t="s">
        <v>89</v>
      </c>
      <c r="D359" s="25" t="s">
        <v>190</v>
      </c>
      <c r="E359" s="29">
        <v>201.0</v>
      </c>
      <c r="F359" s="29">
        <f>SUMIFS(crm_orders!$J:$J,crm_orders!$B:$B,"&gt;="&amp;A359,crm_orders!$B:$B,"&lt;"&amp;DATE(YEAR(A359),MONTH(A359)+1,1),crm_orders!$E:$E,B359,crm_orders!$G:$G,C359,crm_orders!$H:$H,D359)</f>
        <v>0</v>
      </c>
      <c r="G359" s="29">
        <f>SUMIFS(warehouse_shipments!$H:$H,warehouse_shipments!$C:$C,"&gt;="&amp;A359,warehouse_shipments!$C:$C,"&lt;"&amp;DATE(YEAR(A359),MONTH(A359)+1,1),warehouse_shipments!$P:$P,B359,warehouse_shipments!$Q:$Q,C359,warehouse_shipments!$R:$R,D359)</f>
        <v>0</v>
      </c>
      <c r="H359" s="30">
        <f t="shared" si="1"/>
        <v>-201</v>
      </c>
      <c r="I359" s="65">
        <f t="shared" si="2"/>
        <v>0</v>
      </c>
      <c r="J359" s="30" t="s">
        <v>5311</v>
      </c>
    </row>
    <row r="360" ht="15.75" customHeight="1">
      <c r="A360" s="18">
        <v>46054.0</v>
      </c>
      <c r="B360" s="17" t="s">
        <v>4020</v>
      </c>
      <c r="C360" s="17" t="s">
        <v>89</v>
      </c>
      <c r="D360" s="17" t="s">
        <v>95</v>
      </c>
      <c r="E360" s="21">
        <v>226.0</v>
      </c>
      <c r="F360" s="21">
        <f>SUMIFS(crm_orders!$J:$J,crm_orders!$B:$B,"&gt;="&amp;A360,crm_orders!$B:$B,"&lt;"&amp;DATE(YEAR(A360),MONTH(A360)+1,1),crm_orders!$E:$E,B360,crm_orders!$G:$G,C360,crm_orders!$H:$H,D360)</f>
        <v>0</v>
      </c>
      <c r="G360" s="21">
        <f>SUMIFS(warehouse_shipments!$H:$H,warehouse_shipments!$C:$C,"&gt;="&amp;A360,warehouse_shipments!$C:$C,"&lt;"&amp;DATE(YEAR(A360),MONTH(A360)+1,1),warehouse_shipments!$P:$P,B360,warehouse_shipments!$Q:$Q,C360,warehouse_shipments!$R:$R,D360)</f>
        <v>0</v>
      </c>
      <c r="H360" s="22">
        <f t="shared" si="1"/>
        <v>-226</v>
      </c>
      <c r="I360" s="64">
        <f t="shared" si="2"/>
        <v>0</v>
      </c>
      <c r="J360" s="22" t="s">
        <v>5307</v>
      </c>
    </row>
    <row r="361" ht="15.75" customHeight="1">
      <c r="A361" s="26">
        <v>46054.0</v>
      </c>
      <c r="B361" s="25" t="s">
        <v>4020</v>
      </c>
      <c r="C361" s="25" t="s">
        <v>89</v>
      </c>
      <c r="D361" s="25" t="s">
        <v>78</v>
      </c>
      <c r="E361" s="29">
        <v>453.0</v>
      </c>
      <c r="F361" s="29">
        <f>SUMIFS(crm_orders!$J:$J,crm_orders!$B:$B,"&gt;="&amp;A361,crm_orders!$B:$B,"&lt;"&amp;DATE(YEAR(A361),MONTH(A361)+1,1),crm_orders!$E:$E,B361,crm_orders!$G:$G,C361,crm_orders!$H:$H,D361)</f>
        <v>0</v>
      </c>
      <c r="G361" s="29">
        <f>SUMIFS(warehouse_shipments!$H:$H,warehouse_shipments!$C:$C,"&gt;="&amp;A361,warehouse_shipments!$C:$C,"&lt;"&amp;DATE(YEAR(A361),MONTH(A361)+1,1),warehouse_shipments!$P:$P,B361,warehouse_shipments!$Q:$Q,C361,warehouse_shipments!$R:$R,D361)</f>
        <v>0</v>
      </c>
      <c r="H361" s="30">
        <f t="shared" si="1"/>
        <v>-453</v>
      </c>
      <c r="I361" s="65">
        <f t="shared" si="2"/>
        <v>0</v>
      </c>
      <c r="J361" s="30" t="s">
        <v>5308</v>
      </c>
    </row>
    <row r="362" ht="15.75" customHeight="1">
      <c r="A362" s="18">
        <v>46054.0</v>
      </c>
      <c r="B362" s="17" t="s">
        <v>4097</v>
      </c>
      <c r="C362" s="17" t="s">
        <v>63</v>
      </c>
      <c r="D362" s="17" t="s">
        <v>85</v>
      </c>
      <c r="E362" s="21">
        <v>214.0</v>
      </c>
      <c r="F362" s="21">
        <f>SUMIFS(crm_orders!$J:$J,crm_orders!$B:$B,"&gt;="&amp;A362,crm_orders!$B:$B,"&lt;"&amp;DATE(YEAR(A362),MONTH(A362)+1,1),crm_orders!$E:$E,B362,crm_orders!$G:$G,C362,crm_orders!$H:$H,D362)</f>
        <v>12</v>
      </c>
      <c r="G362" s="21">
        <f>SUMIFS(warehouse_shipments!$H:$H,warehouse_shipments!$C:$C,"&gt;="&amp;A362,warehouse_shipments!$C:$C,"&lt;"&amp;DATE(YEAR(A362),MONTH(A362)+1,1),warehouse_shipments!$P:$P,B362,warehouse_shipments!$Q:$Q,C362,warehouse_shipments!$R:$R,D362)</f>
        <v>12</v>
      </c>
      <c r="H362" s="22">
        <f t="shared" si="1"/>
        <v>-202</v>
      </c>
      <c r="I362" s="64">
        <f t="shared" si="2"/>
        <v>0.05607476636</v>
      </c>
      <c r="J362" s="22" t="s">
        <v>5308</v>
      </c>
    </row>
    <row r="363" ht="15.75" customHeight="1">
      <c r="A363" s="26">
        <v>46054.0</v>
      </c>
      <c r="B363" s="25" t="s">
        <v>4097</v>
      </c>
      <c r="C363" s="25" t="s">
        <v>63</v>
      </c>
      <c r="D363" s="25" t="s">
        <v>102</v>
      </c>
      <c r="E363" s="29">
        <v>338.0</v>
      </c>
      <c r="F363" s="29">
        <f>SUMIFS(crm_orders!$J:$J,crm_orders!$B:$B,"&gt;="&amp;A363,crm_orders!$B:$B,"&lt;"&amp;DATE(YEAR(A363),MONTH(A363)+1,1),crm_orders!$E:$E,B363,crm_orders!$G:$G,C363,crm_orders!$H:$H,D363)</f>
        <v>66</v>
      </c>
      <c r="G363" s="29">
        <f>SUMIFS(warehouse_shipments!$H:$H,warehouse_shipments!$C:$C,"&gt;="&amp;A363,warehouse_shipments!$C:$C,"&lt;"&amp;DATE(YEAR(A363),MONTH(A363)+1,1),warehouse_shipments!$P:$P,B363,warehouse_shipments!$Q:$Q,C363,warehouse_shipments!$R:$R,D363)</f>
        <v>66</v>
      </c>
      <c r="H363" s="30">
        <f t="shared" si="1"/>
        <v>-272</v>
      </c>
      <c r="I363" s="65">
        <f t="shared" si="2"/>
        <v>0.1952662722</v>
      </c>
      <c r="J363" s="30" t="s">
        <v>5307</v>
      </c>
    </row>
    <row r="364" ht="15.75" customHeight="1">
      <c r="A364" s="18">
        <v>46054.0</v>
      </c>
      <c r="B364" s="17" t="s">
        <v>4097</v>
      </c>
      <c r="C364" s="17" t="s">
        <v>63</v>
      </c>
      <c r="D364" s="17" t="s">
        <v>78</v>
      </c>
      <c r="E364" s="21">
        <v>243.0</v>
      </c>
      <c r="F364" s="21">
        <f>SUMIFS(crm_orders!$J:$J,crm_orders!$B:$B,"&gt;="&amp;A364,crm_orders!$B:$B,"&lt;"&amp;DATE(YEAR(A364),MONTH(A364)+1,1),crm_orders!$E:$E,B364,crm_orders!$G:$G,C364,crm_orders!$H:$H,D364)</f>
        <v>0</v>
      </c>
      <c r="G364" s="21">
        <f>SUMIFS(warehouse_shipments!$H:$H,warehouse_shipments!$C:$C,"&gt;="&amp;A364,warehouse_shipments!$C:$C,"&lt;"&amp;DATE(YEAR(A364),MONTH(A364)+1,1),warehouse_shipments!$P:$P,B364,warehouse_shipments!$Q:$Q,C364,warehouse_shipments!$R:$R,D364)</f>
        <v>0</v>
      </c>
      <c r="H364" s="22">
        <f t="shared" si="1"/>
        <v>-243</v>
      </c>
      <c r="I364" s="64">
        <f t="shared" si="2"/>
        <v>0</v>
      </c>
      <c r="J364" s="22" t="s">
        <v>5306</v>
      </c>
    </row>
    <row r="365" ht="15.75" customHeight="1">
      <c r="A365" s="26">
        <v>46054.0</v>
      </c>
      <c r="B365" s="25" t="s">
        <v>4097</v>
      </c>
      <c r="C365" s="25" t="s">
        <v>63</v>
      </c>
      <c r="D365" s="25" t="s">
        <v>108</v>
      </c>
      <c r="E365" s="29">
        <v>327.0</v>
      </c>
      <c r="F365" s="29">
        <f>SUMIFS(crm_orders!$J:$J,crm_orders!$B:$B,"&gt;="&amp;A365,crm_orders!$B:$B,"&lt;"&amp;DATE(YEAR(A365),MONTH(A365)+1,1),crm_orders!$E:$E,B365,crm_orders!$G:$G,C365,crm_orders!$H:$H,D365)</f>
        <v>6</v>
      </c>
      <c r="G365" s="29">
        <f>SUMIFS(warehouse_shipments!$H:$H,warehouse_shipments!$C:$C,"&gt;="&amp;A365,warehouse_shipments!$C:$C,"&lt;"&amp;DATE(YEAR(A365),MONTH(A365)+1,1),warehouse_shipments!$P:$P,B365,warehouse_shipments!$Q:$Q,C365,warehouse_shipments!$R:$R,D365)</f>
        <v>6</v>
      </c>
      <c r="H365" s="30">
        <f t="shared" si="1"/>
        <v>-321</v>
      </c>
      <c r="I365" s="65">
        <f t="shared" si="2"/>
        <v>0.01834862385</v>
      </c>
      <c r="J365" s="30" t="s">
        <v>5308</v>
      </c>
    </row>
    <row r="366" ht="15.75" customHeight="1">
      <c r="A366" s="18">
        <v>46054.0</v>
      </c>
      <c r="B366" s="17" t="s">
        <v>4097</v>
      </c>
      <c r="C366" s="17" t="s">
        <v>63</v>
      </c>
      <c r="D366" s="17" t="s">
        <v>92</v>
      </c>
      <c r="E366" s="21">
        <v>476.0</v>
      </c>
      <c r="F366" s="21">
        <f>SUMIFS(crm_orders!$J:$J,crm_orders!$B:$B,"&gt;="&amp;A366,crm_orders!$B:$B,"&lt;"&amp;DATE(YEAR(A366),MONTH(A366)+1,1),crm_orders!$E:$E,B366,crm_orders!$G:$G,C366,crm_orders!$H:$H,D366)</f>
        <v>0</v>
      </c>
      <c r="G366" s="21">
        <f>SUMIFS(warehouse_shipments!$H:$H,warehouse_shipments!$C:$C,"&gt;="&amp;A366,warehouse_shipments!$C:$C,"&lt;"&amp;DATE(YEAR(A366),MONTH(A366)+1,1),warehouse_shipments!$P:$P,B366,warehouse_shipments!$Q:$Q,C366,warehouse_shipments!$R:$R,D366)</f>
        <v>0</v>
      </c>
      <c r="H366" s="22">
        <f t="shared" si="1"/>
        <v>-476</v>
      </c>
      <c r="I366" s="64">
        <f t="shared" si="2"/>
        <v>0</v>
      </c>
      <c r="J366" s="22" t="s">
        <v>5306</v>
      </c>
    </row>
    <row r="367" ht="15.75" customHeight="1">
      <c r="A367" s="26">
        <v>46054.0</v>
      </c>
      <c r="B367" s="25" t="s">
        <v>4097</v>
      </c>
      <c r="C367" s="25" t="s">
        <v>63</v>
      </c>
      <c r="D367" s="25" t="s">
        <v>190</v>
      </c>
      <c r="E367" s="29">
        <v>434.0</v>
      </c>
      <c r="F367" s="29">
        <f>SUMIFS(crm_orders!$J:$J,crm_orders!$B:$B,"&gt;="&amp;A367,crm_orders!$B:$B,"&lt;"&amp;DATE(YEAR(A367),MONTH(A367)+1,1),crm_orders!$E:$E,B367,crm_orders!$G:$G,C367,crm_orders!$H:$H,D367)</f>
        <v>120</v>
      </c>
      <c r="G367" s="29">
        <f>SUMIFS(warehouse_shipments!$H:$H,warehouse_shipments!$C:$C,"&gt;="&amp;A367,warehouse_shipments!$C:$C,"&lt;"&amp;DATE(YEAR(A367),MONTH(A367)+1,1),warehouse_shipments!$P:$P,B367,warehouse_shipments!$Q:$Q,C367,warehouse_shipments!$R:$R,D367)</f>
        <v>60</v>
      </c>
      <c r="H367" s="30">
        <f t="shared" si="1"/>
        <v>-314</v>
      </c>
      <c r="I367" s="65">
        <f t="shared" si="2"/>
        <v>0.2764976959</v>
      </c>
      <c r="J367" s="30" t="s">
        <v>5310</v>
      </c>
    </row>
    <row r="368" ht="15.75" customHeight="1">
      <c r="A368" s="18">
        <v>46054.0</v>
      </c>
      <c r="B368" s="17" t="s">
        <v>4097</v>
      </c>
      <c r="C368" s="17" t="s">
        <v>63</v>
      </c>
      <c r="D368" s="17" t="s">
        <v>64</v>
      </c>
      <c r="E368" s="21">
        <v>197.0</v>
      </c>
      <c r="F368" s="21">
        <f>SUMIFS(crm_orders!$J:$J,crm_orders!$B:$B,"&gt;="&amp;A368,crm_orders!$B:$B,"&lt;"&amp;DATE(YEAR(A368),MONTH(A368)+1,1),crm_orders!$E:$E,B368,crm_orders!$G:$G,C368,crm_orders!$H:$H,D368)</f>
        <v>126</v>
      </c>
      <c r="G368" s="21">
        <f>SUMIFS(warehouse_shipments!$H:$H,warehouse_shipments!$C:$C,"&gt;="&amp;A368,warehouse_shipments!$C:$C,"&lt;"&amp;DATE(YEAR(A368),MONTH(A368)+1,1),warehouse_shipments!$P:$P,B368,warehouse_shipments!$Q:$Q,C368,warehouse_shipments!$R:$R,D368)</f>
        <v>6</v>
      </c>
      <c r="H368" s="22">
        <f t="shared" si="1"/>
        <v>-71</v>
      </c>
      <c r="I368" s="64">
        <f t="shared" si="2"/>
        <v>0.6395939086</v>
      </c>
      <c r="J368" s="22" t="s">
        <v>5307</v>
      </c>
    </row>
    <row r="369" ht="15.75" customHeight="1">
      <c r="A369" s="26">
        <v>46054.0</v>
      </c>
      <c r="B369" s="25" t="s">
        <v>4097</v>
      </c>
      <c r="C369" s="25" t="s">
        <v>63</v>
      </c>
      <c r="D369" s="25" t="s">
        <v>110</v>
      </c>
      <c r="E369" s="29">
        <v>450.0</v>
      </c>
      <c r="F369" s="29">
        <f>SUMIFS(crm_orders!$J:$J,crm_orders!$B:$B,"&gt;="&amp;A369,crm_orders!$B:$B,"&lt;"&amp;DATE(YEAR(A369),MONTH(A369)+1,1),crm_orders!$E:$E,B369,crm_orders!$G:$G,C369,crm_orders!$H:$H,D369)</f>
        <v>120</v>
      </c>
      <c r="G369" s="29">
        <f>SUMIFS(warehouse_shipments!$H:$H,warehouse_shipments!$C:$C,"&gt;="&amp;A369,warehouse_shipments!$C:$C,"&lt;"&amp;DATE(YEAR(A369),MONTH(A369)+1,1),warehouse_shipments!$P:$P,B369,warehouse_shipments!$Q:$Q,C369,warehouse_shipments!$R:$R,D369)</f>
        <v>120</v>
      </c>
      <c r="H369" s="30">
        <f t="shared" si="1"/>
        <v>-330</v>
      </c>
      <c r="I369" s="65">
        <f t="shared" si="2"/>
        <v>0.2666666667</v>
      </c>
      <c r="J369" s="30" t="s">
        <v>5311</v>
      </c>
    </row>
    <row r="370" ht="15.75" customHeight="1">
      <c r="A370" s="18">
        <v>46054.0</v>
      </c>
      <c r="B370" s="17" t="s">
        <v>4097</v>
      </c>
      <c r="C370" s="17" t="s">
        <v>67</v>
      </c>
      <c r="D370" s="17" t="s">
        <v>71</v>
      </c>
      <c r="E370" s="21">
        <v>330.0</v>
      </c>
      <c r="F370" s="21">
        <f>SUMIFS(crm_orders!$J:$J,crm_orders!$B:$B,"&gt;="&amp;A370,crm_orders!$B:$B,"&lt;"&amp;DATE(YEAR(A370),MONTH(A370)+1,1),crm_orders!$E:$E,B370,crm_orders!$G:$G,C370,crm_orders!$H:$H,D370)</f>
        <v>36</v>
      </c>
      <c r="G370" s="21">
        <f>SUMIFS(warehouse_shipments!$H:$H,warehouse_shipments!$C:$C,"&gt;="&amp;A370,warehouse_shipments!$C:$C,"&lt;"&amp;DATE(YEAR(A370),MONTH(A370)+1,1),warehouse_shipments!$P:$P,B370,warehouse_shipments!$Q:$Q,C370,warehouse_shipments!$R:$R,D370)</f>
        <v>0</v>
      </c>
      <c r="H370" s="22">
        <f t="shared" si="1"/>
        <v>-294</v>
      </c>
      <c r="I370" s="64">
        <f t="shared" si="2"/>
        <v>0.1090909091</v>
      </c>
      <c r="J370" s="22" t="s">
        <v>5308</v>
      </c>
    </row>
    <row r="371" ht="15.75" customHeight="1">
      <c r="A371" s="26">
        <v>46054.0</v>
      </c>
      <c r="B371" s="25" t="s">
        <v>4097</v>
      </c>
      <c r="C371" s="25" t="s">
        <v>67</v>
      </c>
      <c r="D371" s="25" t="s">
        <v>78</v>
      </c>
      <c r="E371" s="29">
        <v>484.0</v>
      </c>
      <c r="F371" s="29">
        <f>SUMIFS(crm_orders!$J:$J,crm_orders!$B:$B,"&gt;="&amp;A371,crm_orders!$B:$B,"&lt;"&amp;DATE(YEAR(A371),MONTH(A371)+1,1),crm_orders!$E:$E,B371,crm_orders!$G:$G,C371,crm_orders!$H:$H,D371)</f>
        <v>0</v>
      </c>
      <c r="G371" s="29">
        <f>SUMIFS(warehouse_shipments!$H:$H,warehouse_shipments!$C:$C,"&gt;="&amp;A371,warehouse_shipments!$C:$C,"&lt;"&amp;DATE(YEAR(A371),MONTH(A371)+1,1),warehouse_shipments!$P:$P,B371,warehouse_shipments!$Q:$Q,C371,warehouse_shipments!$R:$R,D371)</f>
        <v>0</v>
      </c>
      <c r="H371" s="30">
        <f t="shared" si="1"/>
        <v>-484</v>
      </c>
      <c r="I371" s="65">
        <f t="shared" si="2"/>
        <v>0</v>
      </c>
      <c r="J371" s="30" t="s">
        <v>5308</v>
      </c>
    </row>
    <row r="372" ht="15.75" customHeight="1">
      <c r="A372" s="18">
        <v>46054.0</v>
      </c>
      <c r="B372" s="17" t="s">
        <v>4097</v>
      </c>
      <c r="C372" s="17" t="s">
        <v>67</v>
      </c>
      <c r="D372" s="17" t="s">
        <v>64</v>
      </c>
      <c r="E372" s="21">
        <v>370.0</v>
      </c>
      <c r="F372" s="21">
        <f>SUMIFS(crm_orders!$J:$J,crm_orders!$B:$B,"&gt;="&amp;A372,crm_orders!$B:$B,"&lt;"&amp;DATE(YEAR(A372),MONTH(A372)+1,1),crm_orders!$E:$E,B372,crm_orders!$G:$G,C372,crm_orders!$H:$H,D372)</f>
        <v>0</v>
      </c>
      <c r="G372" s="21">
        <f>SUMIFS(warehouse_shipments!$H:$H,warehouse_shipments!$C:$C,"&gt;="&amp;A372,warehouse_shipments!$C:$C,"&lt;"&amp;DATE(YEAR(A372),MONTH(A372)+1,1),warehouse_shipments!$P:$P,B372,warehouse_shipments!$Q:$Q,C372,warehouse_shipments!$R:$R,D372)</f>
        <v>0</v>
      </c>
      <c r="H372" s="22">
        <f t="shared" si="1"/>
        <v>-370</v>
      </c>
      <c r="I372" s="64">
        <f t="shared" si="2"/>
        <v>0</v>
      </c>
      <c r="J372" s="22" t="s">
        <v>5306</v>
      </c>
    </row>
    <row r="373" ht="15.75" customHeight="1">
      <c r="A373" s="26">
        <v>46054.0</v>
      </c>
      <c r="B373" s="25" t="s">
        <v>4097</v>
      </c>
      <c r="C373" s="25" t="s">
        <v>67</v>
      </c>
      <c r="D373" s="25" t="s">
        <v>81</v>
      </c>
      <c r="E373" s="29">
        <v>298.0</v>
      </c>
      <c r="F373" s="29">
        <f>SUMIFS(crm_orders!$J:$J,crm_orders!$B:$B,"&gt;="&amp;A373,crm_orders!$B:$B,"&lt;"&amp;DATE(YEAR(A373),MONTH(A373)+1,1),crm_orders!$E:$E,B373,crm_orders!$G:$G,C373,crm_orders!$H:$H,D373)</f>
        <v>30</v>
      </c>
      <c r="G373" s="29">
        <f>SUMIFS(warehouse_shipments!$H:$H,warehouse_shipments!$C:$C,"&gt;="&amp;A373,warehouse_shipments!$C:$C,"&lt;"&amp;DATE(YEAR(A373),MONTH(A373)+1,1),warehouse_shipments!$P:$P,B373,warehouse_shipments!$Q:$Q,C373,warehouse_shipments!$R:$R,D373)</f>
        <v>30</v>
      </c>
      <c r="H373" s="30">
        <f t="shared" si="1"/>
        <v>-268</v>
      </c>
      <c r="I373" s="65">
        <f t="shared" si="2"/>
        <v>0.1006711409</v>
      </c>
      <c r="J373" s="30" t="s">
        <v>5307</v>
      </c>
    </row>
    <row r="374" ht="15.75" customHeight="1">
      <c r="A374" s="18">
        <v>46054.0</v>
      </c>
      <c r="B374" s="17" t="s">
        <v>4097</v>
      </c>
      <c r="C374" s="17" t="s">
        <v>67</v>
      </c>
      <c r="D374" s="17" t="s">
        <v>115</v>
      </c>
      <c r="E374" s="21">
        <v>510.0</v>
      </c>
      <c r="F374" s="21">
        <f>SUMIFS(crm_orders!$J:$J,crm_orders!$B:$B,"&gt;="&amp;A374,crm_orders!$B:$B,"&lt;"&amp;DATE(YEAR(A374),MONTH(A374)+1,1),crm_orders!$E:$E,B374,crm_orders!$G:$G,C374,crm_orders!$H:$H,D374)</f>
        <v>0</v>
      </c>
      <c r="G374" s="21">
        <f>SUMIFS(warehouse_shipments!$H:$H,warehouse_shipments!$C:$C,"&gt;="&amp;A374,warehouse_shipments!$C:$C,"&lt;"&amp;DATE(YEAR(A374),MONTH(A374)+1,1),warehouse_shipments!$P:$P,B374,warehouse_shipments!$Q:$Q,C374,warehouse_shipments!$R:$R,D374)</f>
        <v>0</v>
      </c>
      <c r="H374" s="22">
        <f t="shared" si="1"/>
        <v>-510</v>
      </c>
      <c r="I374" s="64">
        <f t="shared" si="2"/>
        <v>0</v>
      </c>
      <c r="J374" s="22" t="s">
        <v>5309</v>
      </c>
    </row>
    <row r="375" ht="15.75" customHeight="1">
      <c r="A375" s="26">
        <v>46054.0</v>
      </c>
      <c r="B375" s="25" t="s">
        <v>4097</v>
      </c>
      <c r="C375" s="25" t="s">
        <v>67</v>
      </c>
      <c r="D375" s="25" t="s">
        <v>154</v>
      </c>
      <c r="E375" s="29">
        <v>372.0</v>
      </c>
      <c r="F375" s="29">
        <f>SUMIFS(crm_orders!$J:$J,crm_orders!$B:$B,"&gt;="&amp;A375,crm_orders!$B:$B,"&lt;"&amp;DATE(YEAR(A375),MONTH(A375)+1,1),crm_orders!$E:$E,B375,crm_orders!$G:$G,C375,crm_orders!$H:$H,D375)</f>
        <v>0</v>
      </c>
      <c r="G375" s="29">
        <f>SUMIFS(warehouse_shipments!$H:$H,warehouse_shipments!$C:$C,"&gt;="&amp;A375,warehouse_shipments!$C:$C,"&lt;"&amp;DATE(YEAR(A375),MONTH(A375)+1,1),warehouse_shipments!$P:$P,B375,warehouse_shipments!$Q:$Q,C375,warehouse_shipments!$R:$R,D375)</f>
        <v>0</v>
      </c>
      <c r="H375" s="30">
        <f t="shared" si="1"/>
        <v>-372</v>
      </c>
      <c r="I375" s="65">
        <f t="shared" si="2"/>
        <v>0</v>
      </c>
      <c r="J375" s="30" t="s">
        <v>5306</v>
      </c>
    </row>
    <row r="376" ht="15.75" customHeight="1">
      <c r="A376" s="18">
        <v>46054.0</v>
      </c>
      <c r="B376" s="17" t="s">
        <v>4097</v>
      </c>
      <c r="C376" s="17" t="s">
        <v>67</v>
      </c>
      <c r="D376" s="17" t="s">
        <v>92</v>
      </c>
      <c r="E376" s="21">
        <v>276.0</v>
      </c>
      <c r="F376" s="21">
        <f>SUMIFS(crm_orders!$J:$J,crm_orders!$B:$B,"&gt;="&amp;A376,crm_orders!$B:$B,"&lt;"&amp;DATE(YEAR(A376),MONTH(A376)+1,1),crm_orders!$E:$E,B376,crm_orders!$G:$G,C376,crm_orders!$H:$H,D376)</f>
        <v>0</v>
      </c>
      <c r="G376" s="21">
        <f>SUMIFS(warehouse_shipments!$H:$H,warehouse_shipments!$C:$C,"&gt;="&amp;A376,warehouse_shipments!$C:$C,"&lt;"&amp;DATE(YEAR(A376),MONTH(A376)+1,1),warehouse_shipments!$P:$P,B376,warehouse_shipments!$Q:$Q,C376,warehouse_shipments!$R:$R,D376)</f>
        <v>0</v>
      </c>
      <c r="H376" s="22">
        <f t="shared" si="1"/>
        <v>-276</v>
      </c>
      <c r="I376" s="64">
        <f t="shared" si="2"/>
        <v>0</v>
      </c>
      <c r="J376" s="22" t="s">
        <v>5311</v>
      </c>
    </row>
    <row r="377" ht="15.75" customHeight="1">
      <c r="A377" s="26">
        <v>46054.0</v>
      </c>
      <c r="B377" s="25" t="s">
        <v>4097</v>
      </c>
      <c r="C377" s="25" t="s">
        <v>67</v>
      </c>
      <c r="D377" s="25" t="s">
        <v>162</v>
      </c>
      <c r="E377" s="29">
        <v>253.0</v>
      </c>
      <c r="F377" s="29">
        <f>SUMIFS(crm_orders!$J:$J,crm_orders!$B:$B,"&gt;="&amp;A377,crm_orders!$B:$B,"&lt;"&amp;DATE(YEAR(A377),MONTH(A377)+1,1),crm_orders!$E:$E,B377,crm_orders!$G:$G,C377,crm_orders!$H:$H,D377)</f>
        <v>0</v>
      </c>
      <c r="G377" s="29">
        <f>SUMIFS(warehouse_shipments!$H:$H,warehouse_shipments!$C:$C,"&gt;="&amp;A377,warehouse_shipments!$C:$C,"&lt;"&amp;DATE(YEAR(A377),MONTH(A377)+1,1),warehouse_shipments!$P:$P,B377,warehouse_shipments!$Q:$Q,C377,warehouse_shipments!$R:$R,D377)</f>
        <v>0</v>
      </c>
      <c r="H377" s="30">
        <f t="shared" si="1"/>
        <v>-253</v>
      </c>
      <c r="I377" s="65">
        <f t="shared" si="2"/>
        <v>0</v>
      </c>
      <c r="J377" s="30" t="s">
        <v>5309</v>
      </c>
    </row>
    <row r="378" ht="15.75" customHeight="1">
      <c r="A378" s="18">
        <v>46054.0</v>
      </c>
      <c r="B378" s="17" t="s">
        <v>4097</v>
      </c>
      <c r="C378" s="17" t="s">
        <v>89</v>
      </c>
      <c r="D378" s="17" t="s">
        <v>106</v>
      </c>
      <c r="E378" s="21">
        <v>469.0</v>
      </c>
      <c r="F378" s="21">
        <f>SUMIFS(crm_orders!$J:$J,crm_orders!$B:$B,"&gt;="&amp;A378,crm_orders!$B:$B,"&lt;"&amp;DATE(YEAR(A378),MONTH(A378)+1,1),crm_orders!$E:$E,B378,crm_orders!$G:$G,C378,crm_orders!$H:$H,D378)</f>
        <v>0</v>
      </c>
      <c r="G378" s="21">
        <f>SUMIFS(warehouse_shipments!$H:$H,warehouse_shipments!$C:$C,"&gt;="&amp;A378,warehouse_shipments!$C:$C,"&lt;"&amp;DATE(YEAR(A378),MONTH(A378)+1,1),warehouse_shipments!$P:$P,B378,warehouse_shipments!$Q:$Q,C378,warehouse_shipments!$R:$R,D378)</f>
        <v>0</v>
      </c>
      <c r="H378" s="22">
        <f t="shared" si="1"/>
        <v>-469</v>
      </c>
      <c r="I378" s="64">
        <f t="shared" si="2"/>
        <v>0</v>
      </c>
      <c r="J378" s="22" t="s">
        <v>5308</v>
      </c>
    </row>
    <row r="379" ht="15.75" customHeight="1">
      <c r="A379" s="26">
        <v>46054.0</v>
      </c>
      <c r="B379" s="25" t="s">
        <v>4097</v>
      </c>
      <c r="C379" s="25" t="s">
        <v>89</v>
      </c>
      <c r="D379" s="25" t="s">
        <v>74</v>
      </c>
      <c r="E379" s="29">
        <v>156.0</v>
      </c>
      <c r="F379" s="29">
        <f>SUMIFS(crm_orders!$J:$J,crm_orders!$B:$B,"&gt;="&amp;A379,crm_orders!$B:$B,"&lt;"&amp;DATE(YEAR(A379),MONTH(A379)+1,1),crm_orders!$E:$E,B379,crm_orders!$G:$G,C379,crm_orders!$H:$H,D379)</f>
        <v>0</v>
      </c>
      <c r="G379" s="29">
        <f>SUMIFS(warehouse_shipments!$H:$H,warehouse_shipments!$C:$C,"&gt;="&amp;A379,warehouse_shipments!$C:$C,"&lt;"&amp;DATE(YEAR(A379),MONTH(A379)+1,1),warehouse_shipments!$P:$P,B379,warehouse_shipments!$Q:$Q,C379,warehouse_shipments!$R:$R,D379)</f>
        <v>0</v>
      </c>
      <c r="H379" s="30">
        <f t="shared" si="1"/>
        <v>-156</v>
      </c>
      <c r="I379" s="65">
        <f t="shared" si="2"/>
        <v>0</v>
      </c>
      <c r="J379" s="30" t="s">
        <v>5311</v>
      </c>
    </row>
    <row r="380" ht="15.75" customHeight="1">
      <c r="A380" s="18">
        <v>46054.0</v>
      </c>
      <c r="B380" s="17" t="s">
        <v>4097</v>
      </c>
      <c r="C380" s="17" t="s">
        <v>89</v>
      </c>
      <c r="D380" s="17" t="s">
        <v>71</v>
      </c>
      <c r="E380" s="21">
        <v>223.0</v>
      </c>
      <c r="F380" s="21">
        <f>SUMIFS(crm_orders!$J:$J,crm_orders!$B:$B,"&gt;="&amp;A380,crm_orders!$B:$B,"&lt;"&amp;DATE(YEAR(A380),MONTH(A380)+1,1),crm_orders!$E:$E,B380,crm_orders!$G:$G,C380,crm_orders!$H:$H,D380)</f>
        <v>36</v>
      </c>
      <c r="G380" s="21">
        <f>SUMIFS(warehouse_shipments!$H:$H,warehouse_shipments!$C:$C,"&gt;="&amp;A380,warehouse_shipments!$C:$C,"&lt;"&amp;DATE(YEAR(A380),MONTH(A380)+1,1),warehouse_shipments!$P:$P,B380,warehouse_shipments!$Q:$Q,C380,warehouse_shipments!$R:$R,D380)</f>
        <v>0</v>
      </c>
      <c r="H380" s="22">
        <f t="shared" si="1"/>
        <v>-187</v>
      </c>
      <c r="I380" s="64">
        <f t="shared" si="2"/>
        <v>0.1614349776</v>
      </c>
      <c r="J380" s="22" t="s">
        <v>5306</v>
      </c>
    </row>
    <row r="381" ht="15.75" customHeight="1">
      <c r="A381" s="26">
        <v>46054.0</v>
      </c>
      <c r="B381" s="25" t="s">
        <v>4097</v>
      </c>
      <c r="C381" s="25" t="s">
        <v>89</v>
      </c>
      <c r="D381" s="25" t="s">
        <v>85</v>
      </c>
      <c r="E381" s="29">
        <v>179.0</v>
      </c>
      <c r="F381" s="29">
        <f>SUMIFS(crm_orders!$J:$J,crm_orders!$B:$B,"&gt;="&amp;A381,crm_orders!$B:$B,"&lt;"&amp;DATE(YEAR(A381),MONTH(A381)+1,1),crm_orders!$E:$E,B381,crm_orders!$G:$G,C381,crm_orders!$H:$H,D381)</f>
        <v>0</v>
      </c>
      <c r="G381" s="29">
        <f>SUMIFS(warehouse_shipments!$H:$H,warehouse_shipments!$C:$C,"&gt;="&amp;A381,warehouse_shipments!$C:$C,"&lt;"&amp;DATE(YEAR(A381),MONTH(A381)+1,1),warehouse_shipments!$P:$P,B381,warehouse_shipments!$Q:$Q,C381,warehouse_shipments!$R:$R,D381)</f>
        <v>0</v>
      </c>
      <c r="H381" s="30">
        <f t="shared" si="1"/>
        <v>-179</v>
      </c>
      <c r="I381" s="65">
        <f t="shared" si="2"/>
        <v>0</v>
      </c>
      <c r="J381" s="30" t="s">
        <v>5307</v>
      </c>
    </row>
    <row r="382" ht="15.75" customHeight="1">
      <c r="A382" s="18">
        <v>46054.0</v>
      </c>
      <c r="B382" s="17" t="s">
        <v>4097</v>
      </c>
      <c r="C382" s="17" t="s">
        <v>89</v>
      </c>
      <c r="D382" s="17" t="s">
        <v>123</v>
      </c>
      <c r="E382" s="21">
        <v>82.0</v>
      </c>
      <c r="F382" s="21">
        <f>SUMIFS(crm_orders!$J:$J,crm_orders!$B:$B,"&gt;="&amp;A382,crm_orders!$B:$B,"&lt;"&amp;DATE(YEAR(A382),MONTH(A382)+1,1),crm_orders!$E:$E,B382,crm_orders!$G:$G,C382,crm_orders!$H:$H,D382)</f>
        <v>0</v>
      </c>
      <c r="G382" s="21">
        <f>SUMIFS(warehouse_shipments!$H:$H,warehouse_shipments!$C:$C,"&gt;="&amp;A382,warehouse_shipments!$C:$C,"&lt;"&amp;DATE(YEAR(A382),MONTH(A382)+1,1),warehouse_shipments!$P:$P,B382,warehouse_shipments!$Q:$Q,C382,warehouse_shipments!$R:$R,D382)</f>
        <v>0</v>
      </c>
      <c r="H382" s="22">
        <f t="shared" si="1"/>
        <v>-82</v>
      </c>
      <c r="I382" s="64">
        <f t="shared" si="2"/>
        <v>0</v>
      </c>
      <c r="J382" s="22" t="s">
        <v>5311</v>
      </c>
    </row>
    <row r="383" ht="15.75" customHeight="1">
      <c r="A383" s="26">
        <v>46054.0</v>
      </c>
      <c r="B383" s="25" t="s">
        <v>4097</v>
      </c>
      <c r="C383" s="25" t="s">
        <v>89</v>
      </c>
      <c r="D383" s="25" t="s">
        <v>64</v>
      </c>
      <c r="E383" s="29">
        <v>499.0</v>
      </c>
      <c r="F383" s="29">
        <f>SUMIFS(crm_orders!$J:$J,crm_orders!$B:$B,"&gt;="&amp;A383,crm_orders!$B:$B,"&lt;"&amp;DATE(YEAR(A383),MONTH(A383)+1,1),crm_orders!$E:$E,B383,crm_orders!$G:$G,C383,crm_orders!$H:$H,D383)</f>
        <v>18</v>
      </c>
      <c r="G383" s="29">
        <f>SUMIFS(warehouse_shipments!$H:$H,warehouse_shipments!$C:$C,"&gt;="&amp;A383,warehouse_shipments!$C:$C,"&lt;"&amp;DATE(YEAR(A383),MONTH(A383)+1,1),warehouse_shipments!$P:$P,B383,warehouse_shipments!$Q:$Q,C383,warehouse_shipments!$R:$R,D383)</f>
        <v>18</v>
      </c>
      <c r="H383" s="30">
        <f t="shared" si="1"/>
        <v>-481</v>
      </c>
      <c r="I383" s="65">
        <f t="shared" si="2"/>
        <v>0.03607214429</v>
      </c>
      <c r="J383" s="30" t="s">
        <v>5311</v>
      </c>
    </row>
    <row r="384" ht="15.75" customHeight="1">
      <c r="A384" s="18">
        <v>46054.0</v>
      </c>
      <c r="B384" s="17" t="s">
        <v>4097</v>
      </c>
      <c r="C384" s="17" t="s">
        <v>89</v>
      </c>
      <c r="D384" s="17" t="s">
        <v>115</v>
      </c>
      <c r="E384" s="21">
        <v>517.0</v>
      </c>
      <c r="F384" s="21">
        <f>SUMIFS(crm_orders!$J:$J,crm_orders!$B:$B,"&gt;="&amp;A384,crm_orders!$B:$B,"&lt;"&amp;DATE(YEAR(A384),MONTH(A384)+1,1),crm_orders!$E:$E,B384,crm_orders!$G:$G,C384,crm_orders!$H:$H,D384)</f>
        <v>0</v>
      </c>
      <c r="G384" s="21">
        <f>SUMIFS(warehouse_shipments!$H:$H,warehouse_shipments!$C:$C,"&gt;="&amp;A384,warehouse_shipments!$C:$C,"&lt;"&amp;DATE(YEAR(A384),MONTH(A384)+1,1),warehouse_shipments!$P:$P,B384,warehouse_shipments!$Q:$Q,C384,warehouse_shipments!$R:$R,D384)</f>
        <v>0</v>
      </c>
      <c r="H384" s="22">
        <f t="shared" si="1"/>
        <v>-517</v>
      </c>
      <c r="I384" s="64">
        <f t="shared" si="2"/>
        <v>0</v>
      </c>
      <c r="J384" s="22" t="s">
        <v>5309</v>
      </c>
    </row>
    <row r="385" ht="15.75" customHeight="1">
      <c r="A385" s="26">
        <v>46054.0</v>
      </c>
      <c r="B385" s="25" t="s">
        <v>4097</v>
      </c>
      <c r="C385" s="25" t="s">
        <v>89</v>
      </c>
      <c r="D385" s="25" t="s">
        <v>68</v>
      </c>
      <c r="E385" s="29">
        <v>282.0</v>
      </c>
      <c r="F385" s="29">
        <f>SUMIFS(crm_orders!$J:$J,crm_orders!$B:$B,"&gt;="&amp;A385,crm_orders!$B:$B,"&lt;"&amp;DATE(YEAR(A385),MONTH(A385)+1,1),crm_orders!$E:$E,B385,crm_orders!$G:$G,C385,crm_orders!$H:$H,D385)</f>
        <v>0</v>
      </c>
      <c r="G385" s="29">
        <f>SUMIFS(warehouse_shipments!$H:$H,warehouse_shipments!$C:$C,"&gt;="&amp;A385,warehouse_shipments!$C:$C,"&lt;"&amp;DATE(YEAR(A385),MONTH(A385)+1,1),warehouse_shipments!$P:$P,B385,warehouse_shipments!$Q:$Q,C385,warehouse_shipments!$R:$R,D385)</f>
        <v>0</v>
      </c>
      <c r="H385" s="30">
        <f t="shared" si="1"/>
        <v>-282</v>
      </c>
      <c r="I385" s="65">
        <f t="shared" si="2"/>
        <v>0</v>
      </c>
      <c r="J385" s="30" t="s">
        <v>5309</v>
      </c>
    </row>
    <row r="386" ht="15.75" customHeight="1">
      <c r="A386" s="18">
        <v>46054.0</v>
      </c>
      <c r="B386" s="17" t="s">
        <v>4186</v>
      </c>
      <c r="C386" s="17" t="s">
        <v>63</v>
      </c>
      <c r="D386" s="17" t="s">
        <v>154</v>
      </c>
      <c r="E386" s="21">
        <v>110.0</v>
      </c>
      <c r="F386" s="21">
        <f>SUMIFS(crm_orders!$J:$J,crm_orders!$B:$B,"&gt;="&amp;A386,crm_orders!$B:$B,"&lt;"&amp;DATE(YEAR(A386),MONTH(A386)+1,1),crm_orders!$E:$E,B386,crm_orders!$G:$G,C386,crm_orders!$H:$H,D386)</f>
        <v>0</v>
      </c>
      <c r="G386" s="21">
        <f>SUMIFS(warehouse_shipments!$H:$H,warehouse_shipments!$C:$C,"&gt;="&amp;A386,warehouse_shipments!$C:$C,"&lt;"&amp;DATE(YEAR(A386),MONTH(A386)+1,1),warehouse_shipments!$P:$P,B386,warehouse_shipments!$Q:$Q,C386,warehouse_shipments!$R:$R,D386)</f>
        <v>18</v>
      </c>
      <c r="H386" s="22">
        <f t="shared" si="1"/>
        <v>-110</v>
      </c>
      <c r="I386" s="64">
        <f t="shared" si="2"/>
        <v>0</v>
      </c>
      <c r="J386" s="22" t="s">
        <v>5309</v>
      </c>
    </row>
    <row r="387" ht="15.75" customHeight="1">
      <c r="A387" s="26">
        <v>46054.0</v>
      </c>
      <c r="B387" s="25" t="s">
        <v>4186</v>
      </c>
      <c r="C387" s="25" t="s">
        <v>63</v>
      </c>
      <c r="D387" s="25" t="s">
        <v>81</v>
      </c>
      <c r="E387" s="29">
        <v>204.0</v>
      </c>
      <c r="F387" s="29">
        <f>SUMIFS(crm_orders!$J:$J,crm_orders!$B:$B,"&gt;="&amp;A387,crm_orders!$B:$B,"&lt;"&amp;DATE(YEAR(A387),MONTH(A387)+1,1),crm_orders!$E:$E,B387,crm_orders!$G:$G,C387,crm_orders!$H:$H,D387)</f>
        <v>0</v>
      </c>
      <c r="G387" s="29">
        <f>SUMIFS(warehouse_shipments!$H:$H,warehouse_shipments!$C:$C,"&gt;="&amp;A387,warehouse_shipments!$C:$C,"&lt;"&amp;DATE(YEAR(A387),MONTH(A387)+1,1),warehouse_shipments!$P:$P,B387,warehouse_shipments!$Q:$Q,C387,warehouse_shipments!$R:$R,D387)</f>
        <v>0</v>
      </c>
      <c r="H387" s="30">
        <f t="shared" si="1"/>
        <v>-204</v>
      </c>
      <c r="I387" s="65">
        <f t="shared" si="2"/>
        <v>0</v>
      </c>
      <c r="J387" s="30" t="s">
        <v>5310</v>
      </c>
    </row>
    <row r="388" ht="15.75" customHeight="1">
      <c r="A388" s="18">
        <v>46054.0</v>
      </c>
      <c r="B388" s="17" t="s">
        <v>4186</v>
      </c>
      <c r="C388" s="17" t="s">
        <v>63</v>
      </c>
      <c r="D388" s="17" t="s">
        <v>190</v>
      </c>
      <c r="E388" s="21">
        <v>204.0</v>
      </c>
      <c r="F388" s="21">
        <f>SUMIFS(crm_orders!$J:$J,crm_orders!$B:$B,"&gt;="&amp;A388,crm_orders!$B:$B,"&lt;"&amp;DATE(YEAR(A388),MONTH(A388)+1,1),crm_orders!$E:$E,B388,crm_orders!$G:$G,C388,crm_orders!$H:$H,D388)</f>
        <v>36</v>
      </c>
      <c r="G388" s="21">
        <f>SUMIFS(warehouse_shipments!$H:$H,warehouse_shipments!$C:$C,"&gt;="&amp;A388,warehouse_shipments!$C:$C,"&lt;"&amp;DATE(YEAR(A388),MONTH(A388)+1,1),warehouse_shipments!$P:$P,B388,warehouse_shipments!$Q:$Q,C388,warehouse_shipments!$R:$R,D388)</f>
        <v>0</v>
      </c>
      <c r="H388" s="22">
        <f t="shared" si="1"/>
        <v>-168</v>
      </c>
      <c r="I388" s="64">
        <f t="shared" si="2"/>
        <v>0.1764705882</v>
      </c>
      <c r="J388" s="22" t="s">
        <v>5308</v>
      </c>
    </row>
    <row r="389" ht="15.75" customHeight="1">
      <c r="A389" s="26">
        <v>46054.0</v>
      </c>
      <c r="B389" s="25" t="s">
        <v>4186</v>
      </c>
      <c r="C389" s="25" t="s">
        <v>63</v>
      </c>
      <c r="D389" s="25" t="s">
        <v>74</v>
      </c>
      <c r="E389" s="29">
        <v>82.0</v>
      </c>
      <c r="F389" s="29">
        <f>SUMIFS(crm_orders!$J:$J,crm_orders!$B:$B,"&gt;="&amp;A389,crm_orders!$B:$B,"&lt;"&amp;DATE(YEAR(A389),MONTH(A389)+1,1),crm_orders!$E:$E,B389,crm_orders!$G:$G,C389,crm_orders!$H:$H,D389)</f>
        <v>0</v>
      </c>
      <c r="G389" s="29">
        <f>SUMIFS(warehouse_shipments!$H:$H,warehouse_shipments!$C:$C,"&gt;="&amp;A389,warehouse_shipments!$C:$C,"&lt;"&amp;DATE(YEAR(A389),MONTH(A389)+1,1),warehouse_shipments!$P:$P,B389,warehouse_shipments!$Q:$Q,C389,warehouse_shipments!$R:$R,D389)</f>
        <v>0</v>
      </c>
      <c r="H389" s="30">
        <f t="shared" si="1"/>
        <v>-82</v>
      </c>
      <c r="I389" s="65">
        <f t="shared" si="2"/>
        <v>0</v>
      </c>
      <c r="J389" s="30" t="s">
        <v>5309</v>
      </c>
    </row>
    <row r="390" ht="15.75" customHeight="1">
      <c r="A390" s="18">
        <v>46054.0</v>
      </c>
      <c r="B390" s="17" t="s">
        <v>4186</v>
      </c>
      <c r="C390" s="17" t="s">
        <v>63</v>
      </c>
      <c r="D390" s="17" t="s">
        <v>85</v>
      </c>
      <c r="E390" s="21">
        <v>242.0</v>
      </c>
      <c r="F390" s="21">
        <f>SUMIFS(crm_orders!$J:$J,crm_orders!$B:$B,"&gt;="&amp;A390,crm_orders!$B:$B,"&lt;"&amp;DATE(YEAR(A390),MONTH(A390)+1,1),crm_orders!$E:$E,B390,crm_orders!$G:$G,C390,crm_orders!$H:$H,D390)</f>
        <v>0</v>
      </c>
      <c r="G390" s="21">
        <f>SUMIFS(warehouse_shipments!$H:$H,warehouse_shipments!$C:$C,"&gt;="&amp;A390,warehouse_shipments!$C:$C,"&lt;"&amp;DATE(YEAR(A390),MONTH(A390)+1,1),warehouse_shipments!$P:$P,B390,warehouse_shipments!$Q:$Q,C390,warehouse_shipments!$R:$R,D390)</f>
        <v>0</v>
      </c>
      <c r="H390" s="22">
        <f t="shared" si="1"/>
        <v>-242</v>
      </c>
      <c r="I390" s="64">
        <f t="shared" si="2"/>
        <v>0</v>
      </c>
      <c r="J390" s="22" t="s">
        <v>5308</v>
      </c>
    </row>
    <row r="391" ht="15.75" customHeight="1">
      <c r="A391" s="26">
        <v>46054.0</v>
      </c>
      <c r="B391" s="25" t="s">
        <v>4186</v>
      </c>
      <c r="C391" s="25" t="s">
        <v>63</v>
      </c>
      <c r="D391" s="25" t="s">
        <v>90</v>
      </c>
      <c r="E391" s="29">
        <v>285.0</v>
      </c>
      <c r="F391" s="29">
        <f>SUMIFS(crm_orders!$J:$J,crm_orders!$B:$B,"&gt;="&amp;A391,crm_orders!$B:$B,"&lt;"&amp;DATE(YEAR(A391),MONTH(A391)+1,1),crm_orders!$E:$E,B391,crm_orders!$G:$G,C391,crm_orders!$H:$H,D391)</f>
        <v>0</v>
      </c>
      <c r="G391" s="29">
        <f>SUMIFS(warehouse_shipments!$H:$H,warehouse_shipments!$C:$C,"&gt;="&amp;A391,warehouse_shipments!$C:$C,"&lt;"&amp;DATE(YEAR(A391),MONTH(A391)+1,1),warehouse_shipments!$P:$P,B391,warehouse_shipments!$Q:$Q,C391,warehouse_shipments!$R:$R,D391)</f>
        <v>96</v>
      </c>
      <c r="H391" s="30">
        <f t="shared" si="1"/>
        <v>-285</v>
      </c>
      <c r="I391" s="65">
        <f t="shared" si="2"/>
        <v>0</v>
      </c>
      <c r="J391" s="30" t="s">
        <v>5307</v>
      </c>
    </row>
    <row r="392" ht="15.75" customHeight="1">
      <c r="A392" s="18">
        <v>46054.0</v>
      </c>
      <c r="B392" s="17" t="s">
        <v>4186</v>
      </c>
      <c r="C392" s="17" t="s">
        <v>63</v>
      </c>
      <c r="D392" s="17" t="s">
        <v>162</v>
      </c>
      <c r="E392" s="21">
        <v>284.0</v>
      </c>
      <c r="F392" s="21">
        <f>SUMIFS(crm_orders!$J:$J,crm_orders!$B:$B,"&gt;="&amp;A392,crm_orders!$B:$B,"&lt;"&amp;DATE(YEAR(A392),MONTH(A392)+1,1),crm_orders!$E:$E,B392,crm_orders!$G:$G,C392,crm_orders!$H:$H,D392)</f>
        <v>0</v>
      </c>
      <c r="G392" s="21">
        <f>SUMIFS(warehouse_shipments!$H:$H,warehouse_shipments!$C:$C,"&gt;="&amp;A392,warehouse_shipments!$C:$C,"&lt;"&amp;DATE(YEAR(A392),MONTH(A392)+1,1),warehouse_shipments!$P:$P,B392,warehouse_shipments!$Q:$Q,C392,warehouse_shipments!$R:$R,D392)</f>
        <v>0</v>
      </c>
      <c r="H392" s="22">
        <f t="shared" si="1"/>
        <v>-284</v>
      </c>
      <c r="I392" s="64">
        <f t="shared" si="2"/>
        <v>0</v>
      </c>
      <c r="J392" s="22" t="s">
        <v>5310</v>
      </c>
    </row>
    <row r="393" ht="15.75" customHeight="1">
      <c r="A393" s="26">
        <v>46054.0</v>
      </c>
      <c r="B393" s="25" t="s">
        <v>4186</v>
      </c>
      <c r="C393" s="25" t="s">
        <v>63</v>
      </c>
      <c r="D393" s="25" t="s">
        <v>68</v>
      </c>
      <c r="E393" s="29">
        <v>135.0</v>
      </c>
      <c r="F393" s="29">
        <f>SUMIFS(crm_orders!$J:$J,crm_orders!$B:$B,"&gt;="&amp;A393,crm_orders!$B:$B,"&lt;"&amp;DATE(YEAR(A393),MONTH(A393)+1,1),crm_orders!$E:$E,B393,crm_orders!$G:$G,C393,crm_orders!$H:$H,D393)</f>
        <v>18</v>
      </c>
      <c r="G393" s="29">
        <f>SUMIFS(warehouse_shipments!$H:$H,warehouse_shipments!$C:$C,"&gt;="&amp;A393,warehouse_shipments!$C:$C,"&lt;"&amp;DATE(YEAR(A393),MONTH(A393)+1,1),warehouse_shipments!$P:$P,B393,warehouse_shipments!$Q:$Q,C393,warehouse_shipments!$R:$R,D393)</f>
        <v>0</v>
      </c>
      <c r="H393" s="30">
        <f t="shared" si="1"/>
        <v>-117</v>
      </c>
      <c r="I393" s="65">
        <f t="shared" si="2"/>
        <v>0.1333333333</v>
      </c>
      <c r="J393" s="30" t="s">
        <v>5310</v>
      </c>
    </row>
    <row r="394" ht="15.75" customHeight="1">
      <c r="A394" s="18">
        <v>46054.0</v>
      </c>
      <c r="B394" s="17" t="s">
        <v>4186</v>
      </c>
      <c r="C394" s="17" t="s">
        <v>67</v>
      </c>
      <c r="D394" s="17" t="s">
        <v>123</v>
      </c>
      <c r="E394" s="21">
        <v>205.0</v>
      </c>
      <c r="F394" s="21">
        <f>SUMIFS(crm_orders!$J:$J,crm_orders!$B:$B,"&gt;="&amp;A394,crm_orders!$B:$B,"&lt;"&amp;DATE(YEAR(A394),MONTH(A394)+1,1),crm_orders!$E:$E,B394,crm_orders!$G:$G,C394,crm_orders!$H:$H,D394)</f>
        <v>0</v>
      </c>
      <c r="G394" s="21">
        <f>SUMIFS(warehouse_shipments!$H:$H,warehouse_shipments!$C:$C,"&gt;="&amp;A394,warehouse_shipments!$C:$C,"&lt;"&amp;DATE(YEAR(A394),MONTH(A394)+1,1),warehouse_shipments!$P:$P,B394,warehouse_shipments!$Q:$Q,C394,warehouse_shipments!$R:$R,D394)</f>
        <v>0</v>
      </c>
      <c r="H394" s="22">
        <f t="shared" si="1"/>
        <v>-205</v>
      </c>
      <c r="I394" s="64">
        <f t="shared" si="2"/>
        <v>0</v>
      </c>
      <c r="J394" s="22" t="s">
        <v>5308</v>
      </c>
    </row>
    <row r="395" ht="15.75" customHeight="1">
      <c r="A395" s="26">
        <v>46054.0</v>
      </c>
      <c r="B395" s="25" t="s">
        <v>4186</v>
      </c>
      <c r="C395" s="25" t="s">
        <v>67</v>
      </c>
      <c r="D395" s="25" t="s">
        <v>108</v>
      </c>
      <c r="E395" s="29">
        <v>206.0</v>
      </c>
      <c r="F395" s="29">
        <f>SUMIFS(crm_orders!$J:$J,crm_orders!$B:$B,"&gt;="&amp;A395,crm_orders!$B:$B,"&lt;"&amp;DATE(YEAR(A395),MONTH(A395)+1,1),crm_orders!$E:$E,B395,crm_orders!$G:$G,C395,crm_orders!$H:$H,D395)</f>
        <v>0</v>
      </c>
      <c r="G395" s="29">
        <f>SUMIFS(warehouse_shipments!$H:$H,warehouse_shipments!$C:$C,"&gt;="&amp;A395,warehouse_shipments!$C:$C,"&lt;"&amp;DATE(YEAR(A395),MONTH(A395)+1,1),warehouse_shipments!$P:$P,B395,warehouse_shipments!$Q:$Q,C395,warehouse_shipments!$R:$R,D395)</f>
        <v>0</v>
      </c>
      <c r="H395" s="30">
        <f t="shared" si="1"/>
        <v>-206</v>
      </c>
      <c r="I395" s="65">
        <f t="shared" si="2"/>
        <v>0</v>
      </c>
      <c r="J395" s="30" t="s">
        <v>5311</v>
      </c>
    </row>
    <row r="396" ht="15.75" customHeight="1">
      <c r="A396" s="18">
        <v>46054.0</v>
      </c>
      <c r="B396" s="17" t="s">
        <v>4186</v>
      </c>
      <c r="C396" s="17" t="s">
        <v>67</v>
      </c>
      <c r="D396" s="17" t="s">
        <v>92</v>
      </c>
      <c r="E396" s="21">
        <v>288.0</v>
      </c>
      <c r="F396" s="21">
        <f>SUMIFS(crm_orders!$J:$J,crm_orders!$B:$B,"&gt;="&amp;A396,crm_orders!$B:$B,"&lt;"&amp;DATE(YEAR(A396),MONTH(A396)+1,1),crm_orders!$E:$E,B396,crm_orders!$G:$G,C396,crm_orders!$H:$H,D396)</f>
        <v>0</v>
      </c>
      <c r="G396" s="21">
        <f>SUMIFS(warehouse_shipments!$H:$H,warehouse_shipments!$C:$C,"&gt;="&amp;A396,warehouse_shipments!$C:$C,"&lt;"&amp;DATE(YEAR(A396),MONTH(A396)+1,1),warehouse_shipments!$P:$P,B396,warehouse_shipments!$Q:$Q,C396,warehouse_shipments!$R:$R,D396)</f>
        <v>0</v>
      </c>
      <c r="H396" s="22">
        <f t="shared" si="1"/>
        <v>-288</v>
      </c>
      <c r="I396" s="64">
        <f t="shared" si="2"/>
        <v>0</v>
      </c>
      <c r="J396" s="22" t="s">
        <v>5306</v>
      </c>
    </row>
    <row r="397" ht="15.75" customHeight="1">
      <c r="A397" s="26">
        <v>46054.0</v>
      </c>
      <c r="B397" s="25" t="s">
        <v>4186</v>
      </c>
      <c r="C397" s="25" t="s">
        <v>67</v>
      </c>
      <c r="D397" s="25" t="s">
        <v>85</v>
      </c>
      <c r="E397" s="29">
        <v>519.0</v>
      </c>
      <c r="F397" s="29">
        <f>SUMIFS(crm_orders!$J:$J,crm_orders!$B:$B,"&gt;="&amp;A397,crm_orders!$B:$B,"&lt;"&amp;DATE(YEAR(A397),MONTH(A397)+1,1),crm_orders!$E:$E,B397,crm_orders!$G:$G,C397,crm_orders!$H:$H,D397)</f>
        <v>0</v>
      </c>
      <c r="G397" s="29">
        <f>SUMIFS(warehouse_shipments!$H:$H,warehouse_shipments!$C:$C,"&gt;="&amp;A397,warehouse_shipments!$C:$C,"&lt;"&amp;DATE(YEAR(A397),MONTH(A397)+1,1),warehouse_shipments!$P:$P,B397,warehouse_shipments!$Q:$Q,C397,warehouse_shipments!$R:$R,D397)</f>
        <v>0</v>
      </c>
      <c r="H397" s="30">
        <f t="shared" si="1"/>
        <v>-519</v>
      </c>
      <c r="I397" s="65">
        <f t="shared" si="2"/>
        <v>0</v>
      </c>
      <c r="J397" s="30" t="s">
        <v>5308</v>
      </c>
    </row>
    <row r="398" ht="15.75" customHeight="1">
      <c r="A398" s="18">
        <v>46054.0</v>
      </c>
      <c r="B398" s="17" t="s">
        <v>4186</v>
      </c>
      <c r="C398" s="17" t="s">
        <v>67</v>
      </c>
      <c r="D398" s="17" t="s">
        <v>110</v>
      </c>
      <c r="E398" s="21">
        <v>282.0</v>
      </c>
      <c r="F398" s="21">
        <f>SUMIFS(crm_orders!$J:$J,crm_orders!$B:$B,"&gt;="&amp;A398,crm_orders!$B:$B,"&lt;"&amp;DATE(YEAR(A398),MONTH(A398)+1,1),crm_orders!$E:$E,B398,crm_orders!$G:$G,C398,crm_orders!$H:$H,D398)</f>
        <v>12</v>
      </c>
      <c r="G398" s="21">
        <f>SUMIFS(warehouse_shipments!$H:$H,warehouse_shipments!$C:$C,"&gt;="&amp;A398,warehouse_shipments!$C:$C,"&lt;"&amp;DATE(YEAR(A398),MONTH(A398)+1,1),warehouse_shipments!$P:$P,B398,warehouse_shipments!$Q:$Q,C398,warehouse_shipments!$R:$R,D398)</f>
        <v>12</v>
      </c>
      <c r="H398" s="22">
        <f t="shared" si="1"/>
        <v>-270</v>
      </c>
      <c r="I398" s="64">
        <f t="shared" si="2"/>
        <v>0.04255319149</v>
      </c>
      <c r="J398" s="22" t="s">
        <v>5307</v>
      </c>
    </row>
    <row r="399" ht="15.75" customHeight="1">
      <c r="A399" s="26">
        <v>46054.0</v>
      </c>
      <c r="B399" s="25" t="s">
        <v>4186</v>
      </c>
      <c r="C399" s="25" t="s">
        <v>67</v>
      </c>
      <c r="D399" s="25" t="s">
        <v>90</v>
      </c>
      <c r="E399" s="29">
        <v>429.0</v>
      </c>
      <c r="F399" s="29">
        <f>SUMIFS(crm_orders!$J:$J,crm_orders!$B:$B,"&gt;="&amp;A399,crm_orders!$B:$B,"&lt;"&amp;DATE(YEAR(A399),MONTH(A399)+1,1),crm_orders!$E:$E,B399,crm_orders!$G:$G,C399,crm_orders!$H:$H,D399)</f>
        <v>0</v>
      </c>
      <c r="G399" s="29">
        <f>SUMIFS(warehouse_shipments!$H:$H,warehouse_shipments!$C:$C,"&gt;="&amp;A399,warehouse_shipments!$C:$C,"&lt;"&amp;DATE(YEAR(A399),MONTH(A399)+1,1),warehouse_shipments!$P:$P,B399,warehouse_shipments!$Q:$Q,C399,warehouse_shipments!$R:$R,D399)</f>
        <v>0</v>
      </c>
      <c r="H399" s="30">
        <f t="shared" si="1"/>
        <v>-429</v>
      </c>
      <c r="I399" s="65">
        <f t="shared" si="2"/>
        <v>0</v>
      </c>
      <c r="J399" s="30" t="s">
        <v>5309</v>
      </c>
    </row>
    <row r="400" ht="15.75" customHeight="1">
      <c r="A400" s="18">
        <v>46054.0</v>
      </c>
      <c r="B400" s="17" t="s">
        <v>4186</v>
      </c>
      <c r="C400" s="17" t="s">
        <v>67</v>
      </c>
      <c r="D400" s="17" t="s">
        <v>102</v>
      </c>
      <c r="E400" s="21">
        <v>176.0</v>
      </c>
      <c r="F400" s="21">
        <f>SUMIFS(crm_orders!$J:$J,crm_orders!$B:$B,"&gt;="&amp;A400,crm_orders!$B:$B,"&lt;"&amp;DATE(YEAR(A400),MONTH(A400)+1,1),crm_orders!$E:$E,B400,crm_orders!$G:$G,C400,crm_orders!$H:$H,D400)</f>
        <v>0</v>
      </c>
      <c r="G400" s="21">
        <f>SUMIFS(warehouse_shipments!$H:$H,warehouse_shipments!$C:$C,"&gt;="&amp;A400,warehouse_shipments!$C:$C,"&lt;"&amp;DATE(YEAR(A400),MONTH(A400)+1,1),warehouse_shipments!$P:$P,B400,warehouse_shipments!$Q:$Q,C400,warehouse_shipments!$R:$R,D400)</f>
        <v>0</v>
      </c>
      <c r="H400" s="22">
        <f t="shared" si="1"/>
        <v>-176</v>
      </c>
      <c r="I400" s="64">
        <f t="shared" si="2"/>
        <v>0</v>
      </c>
      <c r="J400" s="22" t="s">
        <v>5311</v>
      </c>
    </row>
    <row r="401" ht="15.75" customHeight="1">
      <c r="A401" s="26">
        <v>46054.0</v>
      </c>
      <c r="B401" s="25" t="s">
        <v>4186</v>
      </c>
      <c r="C401" s="25" t="s">
        <v>67</v>
      </c>
      <c r="D401" s="25" t="s">
        <v>81</v>
      </c>
      <c r="E401" s="29">
        <v>261.0</v>
      </c>
      <c r="F401" s="29">
        <f>SUMIFS(crm_orders!$J:$J,crm_orders!$B:$B,"&gt;="&amp;A401,crm_orders!$B:$B,"&lt;"&amp;DATE(YEAR(A401),MONTH(A401)+1,1),crm_orders!$E:$E,B401,crm_orders!$G:$G,C401,crm_orders!$H:$H,D401)</f>
        <v>60</v>
      </c>
      <c r="G401" s="29">
        <f>SUMIFS(warehouse_shipments!$H:$H,warehouse_shipments!$C:$C,"&gt;="&amp;A401,warehouse_shipments!$C:$C,"&lt;"&amp;DATE(YEAR(A401),MONTH(A401)+1,1),warehouse_shipments!$P:$P,B401,warehouse_shipments!$Q:$Q,C401,warehouse_shipments!$R:$R,D401)</f>
        <v>0</v>
      </c>
      <c r="H401" s="30">
        <f t="shared" si="1"/>
        <v>-201</v>
      </c>
      <c r="I401" s="65">
        <f t="shared" si="2"/>
        <v>0.2298850575</v>
      </c>
      <c r="J401" s="30" t="s">
        <v>5307</v>
      </c>
    </row>
    <row r="402" ht="15.75" customHeight="1">
      <c r="A402" s="18">
        <v>46054.0</v>
      </c>
      <c r="B402" s="17" t="s">
        <v>4186</v>
      </c>
      <c r="C402" s="17" t="s">
        <v>89</v>
      </c>
      <c r="D402" s="17" t="s">
        <v>81</v>
      </c>
      <c r="E402" s="21">
        <v>238.0</v>
      </c>
      <c r="F402" s="21">
        <f>SUMIFS(crm_orders!$J:$J,crm_orders!$B:$B,"&gt;="&amp;A402,crm_orders!$B:$B,"&lt;"&amp;DATE(YEAR(A402),MONTH(A402)+1,1),crm_orders!$E:$E,B402,crm_orders!$G:$G,C402,crm_orders!$H:$H,D402)</f>
        <v>0</v>
      </c>
      <c r="G402" s="21">
        <f>SUMIFS(warehouse_shipments!$H:$H,warehouse_shipments!$C:$C,"&gt;="&amp;A402,warehouse_shipments!$C:$C,"&lt;"&amp;DATE(YEAR(A402),MONTH(A402)+1,1),warehouse_shipments!$P:$P,B402,warehouse_shipments!$Q:$Q,C402,warehouse_shipments!$R:$R,D402)</f>
        <v>0</v>
      </c>
      <c r="H402" s="22">
        <f t="shared" si="1"/>
        <v>-238</v>
      </c>
      <c r="I402" s="64">
        <f t="shared" si="2"/>
        <v>0</v>
      </c>
      <c r="J402" s="22" t="s">
        <v>5310</v>
      </c>
    </row>
    <row r="403" ht="15.75" customHeight="1">
      <c r="A403" s="26">
        <v>46054.0</v>
      </c>
      <c r="B403" s="25" t="s">
        <v>4186</v>
      </c>
      <c r="C403" s="25" t="s">
        <v>89</v>
      </c>
      <c r="D403" s="25" t="s">
        <v>74</v>
      </c>
      <c r="E403" s="29">
        <v>140.0</v>
      </c>
      <c r="F403" s="29">
        <f>SUMIFS(crm_orders!$J:$J,crm_orders!$B:$B,"&gt;="&amp;A403,crm_orders!$B:$B,"&lt;"&amp;DATE(YEAR(A403),MONTH(A403)+1,1),crm_orders!$E:$E,B403,crm_orders!$G:$G,C403,crm_orders!$H:$H,D403)</f>
        <v>0</v>
      </c>
      <c r="G403" s="29">
        <f>SUMIFS(warehouse_shipments!$H:$H,warehouse_shipments!$C:$C,"&gt;="&amp;A403,warehouse_shipments!$C:$C,"&lt;"&amp;DATE(YEAR(A403),MONTH(A403)+1,1),warehouse_shipments!$P:$P,B403,warehouse_shipments!$Q:$Q,C403,warehouse_shipments!$R:$R,D403)</f>
        <v>0</v>
      </c>
      <c r="H403" s="30">
        <f t="shared" si="1"/>
        <v>-140</v>
      </c>
      <c r="I403" s="65">
        <f t="shared" si="2"/>
        <v>0</v>
      </c>
      <c r="J403" s="30" t="s">
        <v>5311</v>
      </c>
    </row>
    <row r="404" ht="15.75" customHeight="1">
      <c r="A404" s="18">
        <v>46054.0</v>
      </c>
      <c r="B404" s="17" t="s">
        <v>4186</v>
      </c>
      <c r="C404" s="17" t="s">
        <v>89</v>
      </c>
      <c r="D404" s="17" t="s">
        <v>71</v>
      </c>
      <c r="E404" s="21">
        <v>400.0</v>
      </c>
      <c r="F404" s="21">
        <f>SUMIFS(crm_orders!$J:$J,crm_orders!$B:$B,"&gt;="&amp;A404,crm_orders!$B:$B,"&lt;"&amp;DATE(YEAR(A404),MONTH(A404)+1,1),crm_orders!$E:$E,B404,crm_orders!$G:$G,C404,crm_orders!$H:$H,D404)</f>
        <v>0</v>
      </c>
      <c r="G404" s="21">
        <f>SUMIFS(warehouse_shipments!$H:$H,warehouse_shipments!$C:$C,"&gt;="&amp;A404,warehouse_shipments!$C:$C,"&lt;"&amp;DATE(YEAR(A404),MONTH(A404)+1,1),warehouse_shipments!$P:$P,B404,warehouse_shipments!$Q:$Q,C404,warehouse_shipments!$R:$R,D404)</f>
        <v>0</v>
      </c>
      <c r="H404" s="22">
        <f t="shared" si="1"/>
        <v>-400</v>
      </c>
      <c r="I404" s="64">
        <f t="shared" si="2"/>
        <v>0</v>
      </c>
      <c r="J404" s="22" t="s">
        <v>5309</v>
      </c>
    </row>
    <row r="405" ht="15.75" customHeight="1">
      <c r="A405" s="26">
        <v>46054.0</v>
      </c>
      <c r="B405" s="25" t="s">
        <v>4186</v>
      </c>
      <c r="C405" s="25" t="s">
        <v>89</v>
      </c>
      <c r="D405" s="25" t="s">
        <v>92</v>
      </c>
      <c r="E405" s="29">
        <v>496.0</v>
      </c>
      <c r="F405" s="29">
        <f>SUMIFS(crm_orders!$J:$J,crm_orders!$B:$B,"&gt;="&amp;A405,crm_orders!$B:$B,"&lt;"&amp;DATE(YEAR(A405),MONTH(A405)+1,1),crm_orders!$E:$E,B405,crm_orders!$G:$G,C405,crm_orders!$H:$H,D405)</f>
        <v>0</v>
      </c>
      <c r="G405" s="29">
        <f>SUMIFS(warehouse_shipments!$H:$H,warehouse_shipments!$C:$C,"&gt;="&amp;A405,warehouse_shipments!$C:$C,"&lt;"&amp;DATE(YEAR(A405),MONTH(A405)+1,1),warehouse_shipments!$P:$P,B405,warehouse_shipments!$Q:$Q,C405,warehouse_shipments!$R:$R,D405)</f>
        <v>0</v>
      </c>
      <c r="H405" s="30">
        <f t="shared" si="1"/>
        <v>-496</v>
      </c>
      <c r="I405" s="65">
        <f t="shared" si="2"/>
        <v>0</v>
      </c>
      <c r="J405" s="30" t="s">
        <v>5307</v>
      </c>
    </row>
    <row r="406" ht="15.75" customHeight="1">
      <c r="A406" s="18">
        <v>46054.0</v>
      </c>
      <c r="B406" s="17" t="s">
        <v>4186</v>
      </c>
      <c r="C406" s="17" t="s">
        <v>89</v>
      </c>
      <c r="D406" s="17" t="s">
        <v>68</v>
      </c>
      <c r="E406" s="21">
        <v>82.0</v>
      </c>
      <c r="F406" s="21">
        <f>SUMIFS(crm_orders!$J:$J,crm_orders!$B:$B,"&gt;="&amp;A406,crm_orders!$B:$B,"&lt;"&amp;DATE(YEAR(A406),MONTH(A406)+1,1),crm_orders!$E:$E,B406,crm_orders!$G:$G,C406,crm_orders!$H:$H,D406)</f>
        <v>0</v>
      </c>
      <c r="G406" s="21">
        <f>SUMIFS(warehouse_shipments!$H:$H,warehouse_shipments!$C:$C,"&gt;="&amp;A406,warehouse_shipments!$C:$C,"&lt;"&amp;DATE(YEAR(A406),MONTH(A406)+1,1),warehouse_shipments!$P:$P,B406,warehouse_shipments!$Q:$Q,C406,warehouse_shipments!$R:$R,D406)</f>
        <v>0</v>
      </c>
      <c r="H406" s="22">
        <f t="shared" si="1"/>
        <v>-82</v>
      </c>
      <c r="I406" s="64">
        <f t="shared" si="2"/>
        <v>0</v>
      </c>
      <c r="J406" s="22" t="s">
        <v>5307</v>
      </c>
    </row>
    <row r="407" ht="15.75" customHeight="1">
      <c r="A407" s="26">
        <v>46054.0</v>
      </c>
      <c r="B407" s="25" t="s">
        <v>4186</v>
      </c>
      <c r="C407" s="25" t="s">
        <v>89</v>
      </c>
      <c r="D407" s="25" t="s">
        <v>95</v>
      </c>
      <c r="E407" s="29">
        <v>239.0</v>
      </c>
      <c r="F407" s="29">
        <f>SUMIFS(crm_orders!$J:$J,crm_orders!$B:$B,"&gt;="&amp;A407,crm_orders!$B:$B,"&lt;"&amp;DATE(YEAR(A407),MONTH(A407)+1,1),crm_orders!$E:$E,B407,crm_orders!$G:$G,C407,crm_orders!$H:$H,D407)</f>
        <v>0</v>
      </c>
      <c r="G407" s="29">
        <f>SUMIFS(warehouse_shipments!$H:$H,warehouse_shipments!$C:$C,"&gt;="&amp;A407,warehouse_shipments!$C:$C,"&lt;"&amp;DATE(YEAR(A407),MONTH(A407)+1,1),warehouse_shipments!$P:$P,B407,warehouse_shipments!$Q:$Q,C407,warehouse_shipments!$R:$R,D407)</f>
        <v>0</v>
      </c>
      <c r="H407" s="30">
        <f t="shared" si="1"/>
        <v>-239</v>
      </c>
      <c r="I407" s="65">
        <f t="shared" si="2"/>
        <v>0</v>
      </c>
      <c r="J407" s="30" t="s">
        <v>5310</v>
      </c>
    </row>
    <row r="408" ht="15.75" customHeight="1">
      <c r="A408" s="18">
        <v>46054.0</v>
      </c>
      <c r="B408" s="17" t="s">
        <v>4186</v>
      </c>
      <c r="C408" s="17" t="s">
        <v>89</v>
      </c>
      <c r="D408" s="17" t="s">
        <v>64</v>
      </c>
      <c r="E408" s="21">
        <v>401.0</v>
      </c>
      <c r="F408" s="21">
        <f>SUMIFS(crm_orders!$J:$J,crm_orders!$B:$B,"&gt;="&amp;A408,crm_orders!$B:$B,"&lt;"&amp;DATE(YEAR(A408),MONTH(A408)+1,1),crm_orders!$E:$E,B408,crm_orders!$G:$G,C408,crm_orders!$H:$H,D408)</f>
        <v>0</v>
      </c>
      <c r="G408" s="21">
        <f>SUMIFS(warehouse_shipments!$H:$H,warehouse_shipments!$C:$C,"&gt;="&amp;A408,warehouse_shipments!$C:$C,"&lt;"&amp;DATE(YEAR(A408),MONTH(A408)+1,1),warehouse_shipments!$P:$P,B408,warehouse_shipments!$Q:$Q,C408,warehouse_shipments!$R:$R,D408)</f>
        <v>0</v>
      </c>
      <c r="H408" s="22">
        <f t="shared" si="1"/>
        <v>-401</v>
      </c>
      <c r="I408" s="64">
        <f t="shared" si="2"/>
        <v>0</v>
      </c>
      <c r="J408" s="22" t="s">
        <v>5308</v>
      </c>
    </row>
    <row r="409" ht="15.75" customHeight="1">
      <c r="A409" s="26">
        <v>46054.0</v>
      </c>
      <c r="B409" s="25" t="s">
        <v>4186</v>
      </c>
      <c r="C409" s="25" t="s">
        <v>89</v>
      </c>
      <c r="D409" s="25" t="s">
        <v>85</v>
      </c>
      <c r="E409" s="29">
        <v>359.0</v>
      </c>
      <c r="F409" s="29">
        <f>SUMIFS(crm_orders!$J:$J,crm_orders!$B:$B,"&gt;="&amp;A409,crm_orders!$B:$B,"&lt;"&amp;DATE(YEAR(A409),MONTH(A409)+1,1),crm_orders!$E:$E,B409,crm_orders!$G:$G,C409,crm_orders!$H:$H,D409)</f>
        <v>0</v>
      </c>
      <c r="G409" s="29">
        <f>SUMIFS(warehouse_shipments!$H:$H,warehouse_shipments!$C:$C,"&gt;="&amp;A409,warehouse_shipments!$C:$C,"&lt;"&amp;DATE(YEAR(A409),MONTH(A409)+1,1),warehouse_shipments!$P:$P,B409,warehouse_shipments!$Q:$Q,C409,warehouse_shipments!$R:$R,D409)</f>
        <v>0</v>
      </c>
      <c r="H409" s="30">
        <f t="shared" si="1"/>
        <v>-359</v>
      </c>
      <c r="I409" s="65">
        <f t="shared" si="2"/>
        <v>0</v>
      </c>
      <c r="J409" s="30" t="s">
        <v>5308</v>
      </c>
    </row>
    <row r="410" ht="15.75" customHeight="1">
      <c r="A410" s="18">
        <v>46054.0</v>
      </c>
      <c r="B410" s="17" t="s">
        <v>4261</v>
      </c>
      <c r="C410" s="17" t="s">
        <v>63</v>
      </c>
      <c r="D410" s="17" t="s">
        <v>156</v>
      </c>
      <c r="E410" s="21">
        <v>207.0</v>
      </c>
      <c r="F410" s="21">
        <f>SUMIFS(crm_orders!$J:$J,crm_orders!$B:$B,"&gt;="&amp;A410,crm_orders!$B:$B,"&lt;"&amp;DATE(YEAR(A410),MONTH(A410)+1,1),crm_orders!$E:$E,B410,crm_orders!$G:$G,C410,crm_orders!$H:$H,D410)</f>
        <v>0</v>
      </c>
      <c r="G410" s="21">
        <f>SUMIFS(warehouse_shipments!$H:$H,warehouse_shipments!$C:$C,"&gt;="&amp;A410,warehouse_shipments!$C:$C,"&lt;"&amp;DATE(YEAR(A410),MONTH(A410)+1,1),warehouse_shipments!$P:$P,B410,warehouse_shipments!$Q:$Q,C410,warehouse_shipments!$R:$R,D410)</f>
        <v>0</v>
      </c>
      <c r="H410" s="22">
        <f t="shared" si="1"/>
        <v>-207</v>
      </c>
      <c r="I410" s="64">
        <f t="shared" si="2"/>
        <v>0</v>
      </c>
      <c r="J410" s="22" t="s">
        <v>5310</v>
      </c>
    </row>
    <row r="411" ht="15.75" customHeight="1">
      <c r="A411" s="26">
        <v>46054.0</v>
      </c>
      <c r="B411" s="25" t="s">
        <v>4261</v>
      </c>
      <c r="C411" s="25" t="s">
        <v>63</v>
      </c>
      <c r="D411" s="25" t="s">
        <v>106</v>
      </c>
      <c r="E411" s="29">
        <v>289.0</v>
      </c>
      <c r="F411" s="29">
        <f>SUMIFS(crm_orders!$J:$J,crm_orders!$B:$B,"&gt;="&amp;A411,crm_orders!$B:$B,"&lt;"&amp;DATE(YEAR(A411),MONTH(A411)+1,1),crm_orders!$E:$E,B411,crm_orders!$G:$G,C411,crm_orders!$H:$H,D411)</f>
        <v>0</v>
      </c>
      <c r="G411" s="29">
        <f>SUMIFS(warehouse_shipments!$H:$H,warehouse_shipments!$C:$C,"&gt;="&amp;A411,warehouse_shipments!$C:$C,"&lt;"&amp;DATE(YEAR(A411),MONTH(A411)+1,1),warehouse_shipments!$P:$P,B411,warehouse_shipments!$Q:$Q,C411,warehouse_shipments!$R:$R,D411)</f>
        <v>0</v>
      </c>
      <c r="H411" s="30">
        <f t="shared" si="1"/>
        <v>-289</v>
      </c>
      <c r="I411" s="65">
        <f t="shared" si="2"/>
        <v>0</v>
      </c>
      <c r="J411" s="30" t="s">
        <v>5310</v>
      </c>
    </row>
    <row r="412" ht="15.75" customHeight="1">
      <c r="A412" s="18">
        <v>46054.0</v>
      </c>
      <c r="B412" s="17" t="s">
        <v>4261</v>
      </c>
      <c r="C412" s="17" t="s">
        <v>63</v>
      </c>
      <c r="D412" s="17" t="s">
        <v>162</v>
      </c>
      <c r="E412" s="21">
        <v>477.0</v>
      </c>
      <c r="F412" s="21">
        <f>SUMIFS(crm_orders!$J:$J,crm_orders!$B:$B,"&gt;="&amp;A412,crm_orders!$B:$B,"&lt;"&amp;DATE(YEAR(A412),MONTH(A412)+1,1),crm_orders!$E:$E,B412,crm_orders!$G:$G,C412,crm_orders!$H:$H,D412)</f>
        <v>6</v>
      </c>
      <c r="G412" s="21">
        <f>SUMIFS(warehouse_shipments!$H:$H,warehouse_shipments!$C:$C,"&gt;="&amp;A412,warehouse_shipments!$C:$C,"&lt;"&amp;DATE(YEAR(A412),MONTH(A412)+1,1),warehouse_shipments!$P:$P,B412,warehouse_shipments!$Q:$Q,C412,warehouse_shipments!$R:$R,D412)</f>
        <v>6</v>
      </c>
      <c r="H412" s="22">
        <f t="shared" si="1"/>
        <v>-471</v>
      </c>
      <c r="I412" s="64">
        <f t="shared" si="2"/>
        <v>0.01257861635</v>
      </c>
      <c r="J412" s="22" t="s">
        <v>5311</v>
      </c>
    </row>
    <row r="413" ht="15.75" customHeight="1">
      <c r="A413" s="26">
        <v>46054.0</v>
      </c>
      <c r="B413" s="25" t="s">
        <v>4261</v>
      </c>
      <c r="C413" s="25" t="s">
        <v>63</v>
      </c>
      <c r="D413" s="25" t="s">
        <v>154</v>
      </c>
      <c r="E413" s="29">
        <v>371.0</v>
      </c>
      <c r="F413" s="29">
        <f>SUMIFS(crm_orders!$J:$J,crm_orders!$B:$B,"&gt;="&amp;A413,crm_orders!$B:$B,"&lt;"&amp;DATE(YEAR(A413),MONTH(A413)+1,1),crm_orders!$E:$E,B413,crm_orders!$G:$G,C413,crm_orders!$H:$H,D413)</f>
        <v>120</v>
      </c>
      <c r="G413" s="29">
        <f>SUMIFS(warehouse_shipments!$H:$H,warehouse_shipments!$C:$C,"&gt;="&amp;A413,warehouse_shipments!$C:$C,"&lt;"&amp;DATE(YEAR(A413),MONTH(A413)+1,1),warehouse_shipments!$P:$P,B413,warehouse_shipments!$Q:$Q,C413,warehouse_shipments!$R:$R,D413)</f>
        <v>0</v>
      </c>
      <c r="H413" s="30">
        <f t="shared" si="1"/>
        <v>-251</v>
      </c>
      <c r="I413" s="65">
        <f t="shared" si="2"/>
        <v>0.3234501348</v>
      </c>
      <c r="J413" s="30" t="s">
        <v>5311</v>
      </c>
    </row>
    <row r="414" ht="15.75" customHeight="1">
      <c r="A414" s="18">
        <v>46054.0</v>
      </c>
      <c r="B414" s="17" t="s">
        <v>4261</v>
      </c>
      <c r="C414" s="17" t="s">
        <v>63</v>
      </c>
      <c r="D414" s="17" t="s">
        <v>81</v>
      </c>
      <c r="E414" s="21">
        <v>472.0</v>
      </c>
      <c r="F414" s="21">
        <f>SUMIFS(crm_orders!$J:$J,crm_orders!$B:$B,"&gt;="&amp;A414,crm_orders!$B:$B,"&lt;"&amp;DATE(YEAR(A414),MONTH(A414)+1,1),crm_orders!$E:$E,B414,crm_orders!$G:$G,C414,crm_orders!$H:$H,D414)</f>
        <v>12</v>
      </c>
      <c r="G414" s="21">
        <f>SUMIFS(warehouse_shipments!$H:$H,warehouse_shipments!$C:$C,"&gt;="&amp;A414,warehouse_shipments!$C:$C,"&lt;"&amp;DATE(YEAR(A414),MONTH(A414)+1,1),warehouse_shipments!$P:$P,B414,warehouse_shipments!$Q:$Q,C414,warehouse_shipments!$R:$R,D414)</f>
        <v>0</v>
      </c>
      <c r="H414" s="22">
        <f t="shared" si="1"/>
        <v>-460</v>
      </c>
      <c r="I414" s="64">
        <f t="shared" si="2"/>
        <v>0.02542372881</v>
      </c>
      <c r="J414" s="22" t="s">
        <v>5311</v>
      </c>
    </row>
    <row r="415" ht="15.75" customHeight="1">
      <c r="A415" s="26">
        <v>46054.0</v>
      </c>
      <c r="B415" s="25" t="s">
        <v>4261</v>
      </c>
      <c r="C415" s="25" t="s">
        <v>63</v>
      </c>
      <c r="D415" s="25" t="s">
        <v>110</v>
      </c>
      <c r="E415" s="29">
        <v>339.0</v>
      </c>
      <c r="F415" s="29">
        <f>SUMIFS(crm_orders!$J:$J,crm_orders!$B:$B,"&gt;="&amp;A415,crm_orders!$B:$B,"&lt;"&amp;DATE(YEAR(A415),MONTH(A415)+1,1),crm_orders!$E:$E,B415,crm_orders!$G:$G,C415,crm_orders!$H:$H,D415)</f>
        <v>66</v>
      </c>
      <c r="G415" s="29">
        <f>SUMIFS(warehouse_shipments!$H:$H,warehouse_shipments!$C:$C,"&gt;="&amp;A415,warehouse_shipments!$C:$C,"&lt;"&amp;DATE(YEAR(A415),MONTH(A415)+1,1),warehouse_shipments!$P:$P,B415,warehouse_shipments!$Q:$Q,C415,warehouse_shipments!$R:$R,D415)</f>
        <v>36</v>
      </c>
      <c r="H415" s="30">
        <f t="shared" si="1"/>
        <v>-273</v>
      </c>
      <c r="I415" s="65">
        <f t="shared" si="2"/>
        <v>0.1946902655</v>
      </c>
      <c r="J415" s="30" t="s">
        <v>5306</v>
      </c>
    </row>
    <row r="416" ht="15.75" customHeight="1">
      <c r="A416" s="18">
        <v>46054.0</v>
      </c>
      <c r="B416" s="17" t="s">
        <v>4261</v>
      </c>
      <c r="C416" s="17" t="s">
        <v>63</v>
      </c>
      <c r="D416" s="17" t="s">
        <v>102</v>
      </c>
      <c r="E416" s="21">
        <v>302.0</v>
      </c>
      <c r="F416" s="21">
        <f>SUMIFS(crm_orders!$J:$J,crm_orders!$B:$B,"&gt;="&amp;A416,crm_orders!$B:$B,"&lt;"&amp;DATE(YEAR(A416),MONTH(A416)+1,1),crm_orders!$E:$E,B416,crm_orders!$G:$G,C416,crm_orders!$H:$H,D416)</f>
        <v>48</v>
      </c>
      <c r="G416" s="21">
        <f>SUMIFS(warehouse_shipments!$H:$H,warehouse_shipments!$C:$C,"&gt;="&amp;A416,warehouse_shipments!$C:$C,"&lt;"&amp;DATE(YEAR(A416),MONTH(A416)+1,1),warehouse_shipments!$P:$P,B416,warehouse_shipments!$Q:$Q,C416,warehouse_shipments!$R:$R,D416)</f>
        <v>120</v>
      </c>
      <c r="H416" s="22">
        <f t="shared" si="1"/>
        <v>-254</v>
      </c>
      <c r="I416" s="64">
        <f t="shared" si="2"/>
        <v>0.1589403974</v>
      </c>
      <c r="J416" s="22" t="s">
        <v>5311</v>
      </c>
    </row>
    <row r="417" ht="15.75" customHeight="1">
      <c r="A417" s="26">
        <v>46054.0</v>
      </c>
      <c r="B417" s="25" t="s">
        <v>4261</v>
      </c>
      <c r="C417" s="25" t="s">
        <v>63</v>
      </c>
      <c r="D417" s="25" t="s">
        <v>68</v>
      </c>
      <c r="E417" s="29">
        <v>520.0</v>
      </c>
      <c r="F417" s="29">
        <f>SUMIFS(crm_orders!$J:$J,crm_orders!$B:$B,"&gt;="&amp;A417,crm_orders!$B:$B,"&lt;"&amp;DATE(YEAR(A417),MONTH(A417)+1,1),crm_orders!$E:$E,B417,crm_orders!$G:$G,C417,crm_orders!$H:$H,D417)</f>
        <v>0</v>
      </c>
      <c r="G417" s="29">
        <f>SUMIFS(warehouse_shipments!$H:$H,warehouse_shipments!$C:$C,"&gt;="&amp;A417,warehouse_shipments!$C:$C,"&lt;"&amp;DATE(YEAR(A417),MONTH(A417)+1,1),warehouse_shipments!$P:$P,B417,warehouse_shipments!$Q:$Q,C417,warehouse_shipments!$R:$R,D417)</f>
        <v>0</v>
      </c>
      <c r="H417" s="30">
        <f t="shared" si="1"/>
        <v>-520</v>
      </c>
      <c r="I417" s="65">
        <f t="shared" si="2"/>
        <v>0</v>
      </c>
      <c r="J417" s="30" t="s">
        <v>5309</v>
      </c>
    </row>
    <row r="418" ht="15.75" customHeight="1">
      <c r="A418" s="18">
        <v>46054.0</v>
      </c>
      <c r="B418" s="17" t="s">
        <v>4261</v>
      </c>
      <c r="C418" s="17" t="s">
        <v>67</v>
      </c>
      <c r="D418" s="17" t="s">
        <v>110</v>
      </c>
      <c r="E418" s="21">
        <v>414.0</v>
      </c>
      <c r="F418" s="21">
        <f>SUMIFS(crm_orders!$J:$J,crm_orders!$B:$B,"&gt;="&amp;A418,crm_orders!$B:$B,"&lt;"&amp;DATE(YEAR(A418),MONTH(A418)+1,1),crm_orders!$E:$E,B418,crm_orders!$G:$G,C418,crm_orders!$H:$H,D418)</f>
        <v>0</v>
      </c>
      <c r="G418" s="21">
        <f>SUMIFS(warehouse_shipments!$H:$H,warehouse_shipments!$C:$C,"&gt;="&amp;A418,warehouse_shipments!$C:$C,"&lt;"&amp;DATE(YEAR(A418),MONTH(A418)+1,1),warehouse_shipments!$P:$P,B418,warehouse_shipments!$Q:$Q,C418,warehouse_shipments!$R:$R,D418)</f>
        <v>0</v>
      </c>
      <c r="H418" s="22">
        <f t="shared" si="1"/>
        <v>-414</v>
      </c>
      <c r="I418" s="64">
        <f t="shared" si="2"/>
        <v>0</v>
      </c>
      <c r="J418" s="22" t="s">
        <v>5306</v>
      </c>
    </row>
    <row r="419" ht="15.75" customHeight="1">
      <c r="A419" s="26">
        <v>46054.0</v>
      </c>
      <c r="B419" s="25" t="s">
        <v>4261</v>
      </c>
      <c r="C419" s="25" t="s">
        <v>67</v>
      </c>
      <c r="D419" s="25" t="s">
        <v>95</v>
      </c>
      <c r="E419" s="29">
        <v>183.0</v>
      </c>
      <c r="F419" s="29">
        <f>SUMIFS(crm_orders!$J:$J,crm_orders!$B:$B,"&gt;="&amp;A419,crm_orders!$B:$B,"&lt;"&amp;DATE(YEAR(A419),MONTH(A419)+1,1),crm_orders!$E:$E,B419,crm_orders!$G:$G,C419,crm_orders!$H:$H,D419)</f>
        <v>0</v>
      </c>
      <c r="G419" s="29">
        <f>SUMIFS(warehouse_shipments!$H:$H,warehouse_shipments!$C:$C,"&gt;="&amp;A419,warehouse_shipments!$C:$C,"&lt;"&amp;DATE(YEAR(A419),MONTH(A419)+1,1),warehouse_shipments!$P:$P,B419,warehouse_shipments!$Q:$Q,C419,warehouse_shipments!$R:$R,D419)</f>
        <v>0</v>
      </c>
      <c r="H419" s="30">
        <f t="shared" si="1"/>
        <v>-183</v>
      </c>
      <c r="I419" s="65">
        <f t="shared" si="2"/>
        <v>0</v>
      </c>
      <c r="J419" s="30" t="s">
        <v>5309</v>
      </c>
    </row>
    <row r="420" ht="15.75" customHeight="1">
      <c r="A420" s="18">
        <v>46054.0</v>
      </c>
      <c r="B420" s="17" t="s">
        <v>4261</v>
      </c>
      <c r="C420" s="17" t="s">
        <v>67</v>
      </c>
      <c r="D420" s="17" t="s">
        <v>74</v>
      </c>
      <c r="E420" s="21">
        <v>155.0</v>
      </c>
      <c r="F420" s="21">
        <f>SUMIFS(crm_orders!$J:$J,crm_orders!$B:$B,"&gt;="&amp;A420,crm_orders!$B:$B,"&lt;"&amp;DATE(YEAR(A420),MONTH(A420)+1,1),crm_orders!$E:$E,B420,crm_orders!$G:$G,C420,crm_orders!$H:$H,D420)</f>
        <v>0</v>
      </c>
      <c r="G420" s="21">
        <f>SUMIFS(warehouse_shipments!$H:$H,warehouse_shipments!$C:$C,"&gt;="&amp;A420,warehouse_shipments!$C:$C,"&lt;"&amp;DATE(YEAR(A420),MONTH(A420)+1,1),warehouse_shipments!$P:$P,B420,warehouse_shipments!$Q:$Q,C420,warehouse_shipments!$R:$R,D420)</f>
        <v>0</v>
      </c>
      <c r="H420" s="22">
        <f t="shared" si="1"/>
        <v>-155</v>
      </c>
      <c r="I420" s="64">
        <f t="shared" si="2"/>
        <v>0</v>
      </c>
      <c r="J420" s="22" t="s">
        <v>5311</v>
      </c>
    </row>
    <row r="421" ht="15.75" customHeight="1">
      <c r="A421" s="26">
        <v>46054.0</v>
      </c>
      <c r="B421" s="25" t="s">
        <v>4261</v>
      </c>
      <c r="C421" s="25" t="s">
        <v>67</v>
      </c>
      <c r="D421" s="25" t="s">
        <v>102</v>
      </c>
      <c r="E421" s="29">
        <v>286.0</v>
      </c>
      <c r="F421" s="29">
        <f>SUMIFS(crm_orders!$J:$J,crm_orders!$B:$B,"&gt;="&amp;A421,crm_orders!$B:$B,"&lt;"&amp;DATE(YEAR(A421),MONTH(A421)+1,1),crm_orders!$E:$E,B421,crm_orders!$G:$G,C421,crm_orders!$H:$H,D421)</f>
        <v>0</v>
      </c>
      <c r="G421" s="29">
        <f>SUMIFS(warehouse_shipments!$H:$H,warehouse_shipments!$C:$C,"&gt;="&amp;A421,warehouse_shipments!$C:$C,"&lt;"&amp;DATE(YEAR(A421),MONTH(A421)+1,1),warehouse_shipments!$P:$P,B421,warehouse_shipments!$Q:$Q,C421,warehouse_shipments!$R:$R,D421)</f>
        <v>0</v>
      </c>
      <c r="H421" s="30">
        <f t="shared" si="1"/>
        <v>-286</v>
      </c>
      <c r="I421" s="65">
        <f t="shared" si="2"/>
        <v>0</v>
      </c>
      <c r="J421" s="30" t="s">
        <v>5308</v>
      </c>
    </row>
    <row r="422" ht="15.75" customHeight="1">
      <c r="A422" s="18">
        <v>46054.0</v>
      </c>
      <c r="B422" s="17" t="s">
        <v>4261</v>
      </c>
      <c r="C422" s="17" t="s">
        <v>67</v>
      </c>
      <c r="D422" s="17" t="s">
        <v>64</v>
      </c>
      <c r="E422" s="21">
        <v>327.0</v>
      </c>
      <c r="F422" s="21">
        <f>SUMIFS(crm_orders!$J:$J,crm_orders!$B:$B,"&gt;="&amp;A422,crm_orders!$B:$B,"&lt;"&amp;DATE(YEAR(A422),MONTH(A422)+1,1),crm_orders!$E:$E,B422,crm_orders!$G:$G,C422,crm_orders!$H:$H,D422)</f>
        <v>0</v>
      </c>
      <c r="G422" s="21">
        <f>SUMIFS(warehouse_shipments!$H:$H,warehouse_shipments!$C:$C,"&gt;="&amp;A422,warehouse_shipments!$C:$C,"&lt;"&amp;DATE(YEAR(A422),MONTH(A422)+1,1),warehouse_shipments!$P:$P,B422,warehouse_shipments!$Q:$Q,C422,warehouse_shipments!$R:$R,D422)</f>
        <v>0</v>
      </c>
      <c r="H422" s="22">
        <f t="shared" si="1"/>
        <v>-327</v>
      </c>
      <c r="I422" s="64">
        <f t="shared" si="2"/>
        <v>0</v>
      </c>
      <c r="J422" s="22" t="s">
        <v>5306</v>
      </c>
    </row>
    <row r="423" ht="15.75" customHeight="1">
      <c r="A423" s="26">
        <v>46054.0</v>
      </c>
      <c r="B423" s="25" t="s">
        <v>4261</v>
      </c>
      <c r="C423" s="25" t="s">
        <v>67</v>
      </c>
      <c r="D423" s="25" t="s">
        <v>71</v>
      </c>
      <c r="E423" s="29">
        <v>456.0</v>
      </c>
      <c r="F423" s="29">
        <f>SUMIFS(crm_orders!$J:$J,crm_orders!$B:$B,"&gt;="&amp;A423,crm_orders!$B:$B,"&lt;"&amp;DATE(YEAR(A423),MONTH(A423)+1,1),crm_orders!$E:$E,B423,crm_orders!$G:$G,C423,crm_orders!$H:$H,D423)</f>
        <v>0</v>
      </c>
      <c r="G423" s="29">
        <f>SUMIFS(warehouse_shipments!$H:$H,warehouse_shipments!$C:$C,"&gt;="&amp;A423,warehouse_shipments!$C:$C,"&lt;"&amp;DATE(YEAR(A423),MONTH(A423)+1,1),warehouse_shipments!$P:$P,B423,warehouse_shipments!$Q:$Q,C423,warehouse_shipments!$R:$R,D423)</f>
        <v>0</v>
      </c>
      <c r="H423" s="30">
        <f t="shared" si="1"/>
        <v>-456</v>
      </c>
      <c r="I423" s="65">
        <f t="shared" si="2"/>
        <v>0</v>
      </c>
      <c r="J423" s="30" t="s">
        <v>5306</v>
      </c>
    </row>
    <row r="424" ht="15.75" customHeight="1">
      <c r="A424" s="18">
        <v>46054.0</v>
      </c>
      <c r="B424" s="17" t="s">
        <v>4261</v>
      </c>
      <c r="C424" s="17" t="s">
        <v>67</v>
      </c>
      <c r="D424" s="17" t="s">
        <v>123</v>
      </c>
      <c r="E424" s="21">
        <v>250.0</v>
      </c>
      <c r="F424" s="21">
        <f>SUMIFS(crm_orders!$J:$J,crm_orders!$B:$B,"&gt;="&amp;A424,crm_orders!$B:$B,"&lt;"&amp;DATE(YEAR(A424),MONTH(A424)+1,1),crm_orders!$E:$E,B424,crm_orders!$G:$G,C424,crm_orders!$H:$H,D424)</f>
        <v>30</v>
      </c>
      <c r="G424" s="21">
        <f>SUMIFS(warehouse_shipments!$H:$H,warehouse_shipments!$C:$C,"&gt;="&amp;A424,warehouse_shipments!$C:$C,"&lt;"&amp;DATE(YEAR(A424),MONTH(A424)+1,1),warehouse_shipments!$P:$P,B424,warehouse_shipments!$Q:$Q,C424,warehouse_shipments!$R:$R,D424)</f>
        <v>30</v>
      </c>
      <c r="H424" s="22">
        <f t="shared" si="1"/>
        <v>-220</v>
      </c>
      <c r="I424" s="64">
        <f t="shared" si="2"/>
        <v>0.12</v>
      </c>
      <c r="J424" s="22" t="s">
        <v>5310</v>
      </c>
    </row>
    <row r="425" ht="15.75" customHeight="1">
      <c r="A425" s="26">
        <v>46054.0</v>
      </c>
      <c r="B425" s="25" t="s">
        <v>4261</v>
      </c>
      <c r="C425" s="25" t="s">
        <v>67</v>
      </c>
      <c r="D425" s="25" t="s">
        <v>106</v>
      </c>
      <c r="E425" s="29">
        <v>372.0</v>
      </c>
      <c r="F425" s="29">
        <f>SUMIFS(crm_orders!$J:$J,crm_orders!$B:$B,"&gt;="&amp;A425,crm_orders!$B:$B,"&lt;"&amp;DATE(YEAR(A425),MONTH(A425)+1,1),crm_orders!$E:$E,B425,crm_orders!$G:$G,C425,crm_orders!$H:$H,D425)</f>
        <v>0</v>
      </c>
      <c r="G425" s="29">
        <f>SUMIFS(warehouse_shipments!$H:$H,warehouse_shipments!$C:$C,"&gt;="&amp;A425,warehouse_shipments!$C:$C,"&lt;"&amp;DATE(YEAR(A425),MONTH(A425)+1,1),warehouse_shipments!$P:$P,B425,warehouse_shipments!$Q:$Q,C425,warehouse_shipments!$R:$R,D425)</f>
        <v>0</v>
      </c>
      <c r="H425" s="30">
        <f t="shared" si="1"/>
        <v>-372</v>
      </c>
      <c r="I425" s="65">
        <f t="shared" si="2"/>
        <v>0</v>
      </c>
      <c r="J425" s="30" t="s">
        <v>5310</v>
      </c>
    </row>
    <row r="426" ht="15.75" customHeight="1">
      <c r="A426" s="18">
        <v>46054.0</v>
      </c>
      <c r="B426" s="17" t="s">
        <v>4261</v>
      </c>
      <c r="C426" s="17" t="s">
        <v>89</v>
      </c>
      <c r="D426" s="17" t="s">
        <v>90</v>
      </c>
      <c r="E426" s="21">
        <v>407.0</v>
      </c>
      <c r="F426" s="21">
        <f>SUMIFS(crm_orders!$J:$J,crm_orders!$B:$B,"&gt;="&amp;A426,crm_orders!$B:$B,"&lt;"&amp;DATE(YEAR(A426),MONTH(A426)+1,1),crm_orders!$E:$E,B426,crm_orders!$G:$G,C426,crm_orders!$H:$H,D426)</f>
        <v>96</v>
      </c>
      <c r="G426" s="21">
        <f>SUMIFS(warehouse_shipments!$H:$H,warehouse_shipments!$C:$C,"&gt;="&amp;A426,warehouse_shipments!$C:$C,"&lt;"&amp;DATE(YEAR(A426),MONTH(A426)+1,1),warehouse_shipments!$P:$P,B426,warehouse_shipments!$Q:$Q,C426,warehouse_shipments!$R:$R,D426)</f>
        <v>0</v>
      </c>
      <c r="H426" s="22">
        <f t="shared" si="1"/>
        <v>-311</v>
      </c>
      <c r="I426" s="64">
        <f t="shared" si="2"/>
        <v>0.2358722359</v>
      </c>
      <c r="J426" s="22" t="s">
        <v>5309</v>
      </c>
    </row>
    <row r="427" ht="15.75" customHeight="1">
      <c r="A427" s="26">
        <v>46054.0</v>
      </c>
      <c r="B427" s="25" t="s">
        <v>4261</v>
      </c>
      <c r="C427" s="25" t="s">
        <v>89</v>
      </c>
      <c r="D427" s="25" t="s">
        <v>78</v>
      </c>
      <c r="E427" s="29">
        <v>435.0</v>
      </c>
      <c r="F427" s="29">
        <f>SUMIFS(crm_orders!$J:$J,crm_orders!$B:$B,"&gt;="&amp;A427,crm_orders!$B:$B,"&lt;"&amp;DATE(YEAR(A427),MONTH(A427)+1,1),crm_orders!$E:$E,B427,crm_orders!$G:$G,C427,crm_orders!$H:$H,D427)</f>
        <v>0</v>
      </c>
      <c r="G427" s="29">
        <f>SUMIFS(warehouse_shipments!$H:$H,warehouse_shipments!$C:$C,"&gt;="&amp;A427,warehouse_shipments!$C:$C,"&lt;"&amp;DATE(YEAR(A427),MONTH(A427)+1,1),warehouse_shipments!$P:$P,B427,warehouse_shipments!$Q:$Q,C427,warehouse_shipments!$R:$R,D427)</f>
        <v>0</v>
      </c>
      <c r="H427" s="30">
        <f t="shared" si="1"/>
        <v>-435</v>
      </c>
      <c r="I427" s="65">
        <f t="shared" si="2"/>
        <v>0</v>
      </c>
      <c r="J427" s="30" t="s">
        <v>5308</v>
      </c>
    </row>
    <row r="428" ht="15.75" customHeight="1">
      <c r="A428" s="18">
        <v>46054.0</v>
      </c>
      <c r="B428" s="17" t="s">
        <v>4261</v>
      </c>
      <c r="C428" s="17" t="s">
        <v>89</v>
      </c>
      <c r="D428" s="17" t="s">
        <v>156</v>
      </c>
      <c r="E428" s="21">
        <v>194.0</v>
      </c>
      <c r="F428" s="21">
        <f>SUMIFS(crm_orders!$J:$J,crm_orders!$B:$B,"&gt;="&amp;A428,crm_orders!$B:$B,"&lt;"&amp;DATE(YEAR(A428),MONTH(A428)+1,1),crm_orders!$E:$E,B428,crm_orders!$G:$G,C428,crm_orders!$H:$H,D428)</f>
        <v>0</v>
      </c>
      <c r="G428" s="21">
        <f>SUMIFS(warehouse_shipments!$H:$H,warehouse_shipments!$C:$C,"&gt;="&amp;A428,warehouse_shipments!$C:$C,"&lt;"&amp;DATE(YEAR(A428),MONTH(A428)+1,1),warehouse_shipments!$P:$P,B428,warehouse_shipments!$Q:$Q,C428,warehouse_shipments!$R:$R,D428)</f>
        <v>0</v>
      </c>
      <c r="H428" s="22">
        <f t="shared" si="1"/>
        <v>-194</v>
      </c>
      <c r="I428" s="64">
        <f t="shared" si="2"/>
        <v>0</v>
      </c>
      <c r="J428" s="22" t="s">
        <v>5307</v>
      </c>
    </row>
    <row r="429" ht="15.75" customHeight="1">
      <c r="A429" s="26">
        <v>46054.0</v>
      </c>
      <c r="B429" s="25" t="s">
        <v>4261</v>
      </c>
      <c r="C429" s="25" t="s">
        <v>89</v>
      </c>
      <c r="D429" s="25" t="s">
        <v>108</v>
      </c>
      <c r="E429" s="29">
        <v>305.0</v>
      </c>
      <c r="F429" s="29">
        <f>SUMIFS(crm_orders!$J:$J,crm_orders!$B:$B,"&gt;="&amp;A429,crm_orders!$B:$B,"&lt;"&amp;DATE(YEAR(A429),MONTH(A429)+1,1),crm_orders!$E:$E,B429,crm_orders!$G:$G,C429,crm_orders!$H:$H,D429)</f>
        <v>0</v>
      </c>
      <c r="G429" s="29">
        <f>SUMIFS(warehouse_shipments!$H:$H,warehouse_shipments!$C:$C,"&gt;="&amp;A429,warehouse_shipments!$C:$C,"&lt;"&amp;DATE(YEAR(A429),MONTH(A429)+1,1),warehouse_shipments!$P:$P,B429,warehouse_shipments!$Q:$Q,C429,warehouse_shipments!$R:$R,D429)</f>
        <v>0</v>
      </c>
      <c r="H429" s="30">
        <f t="shared" si="1"/>
        <v>-305</v>
      </c>
      <c r="I429" s="65">
        <f t="shared" si="2"/>
        <v>0</v>
      </c>
      <c r="J429" s="30" t="s">
        <v>5307</v>
      </c>
    </row>
    <row r="430" ht="15.75" customHeight="1">
      <c r="A430" s="18">
        <v>46054.0</v>
      </c>
      <c r="B430" s="17" t="s">
        <v>4261</v>
      </c>
      <c r="C430" s="17" t="s">
        <v>89</v>
      </c>
      <c r="D430" s="17" t="s">
        <v>115</v>
      </c>
      <c r="E430" s="21">
        <v>255.0</v>
      </c>
      <c r="F430" s="21">
        <f>SUMIFS(crm_orders!$J:$J,crm_orders!$B:$B,"&gt;="&amp;A430,crm_orders!$B:$B,"&lt;"&amp;DATE(YEAR(A430),MONTH(A430)+1,1),crm_orders!$E:$E,B430,crm_orders!$G:$G,C430,crm_orders!$H:$H,D430)</f>
        <v>0</v>
      </c>
      <c r="G430" s="21">
        <f>SUMIFS(warehouse_shipments!$H:$H,warehouse_shipments!$C:$C,"&gt;="&amp;A430,warehouse_shipments!$C:$C,"&lt;"&amp;DATE(YEAR(A430),MONTH(A430)+1,1),warehouse_shipments!$P:$P,B430,warehouse_shipments!$Q:$Q,C430,warehouse_shipments!$R:$R,D430)</f>
        <v>0</v>
      </c>
      <c r="H430" s="22">
        <f t="shared" si="1"/>
        <v>-255</v>
      </c>
      <c r="I430" s="64">
        <f t="shared" si="2"/>
        <v>0</v>
      </c>
      <c r="J430" s="22" t="s">
        <v>5307</v>
      </c>
    </row>
    <row r="431" ht="15.75" customHeight="1">
      <c r="A431" s="26">
        <v>46054.0</v>
      </c>
      <c r="B431" s="25" t="s">
        <v>4261</v>
      </c>
      <c r="C431" s="25" t="s">
        <v>89</v>
      </c>
      <c r="D431" s="25" t="s">
        <v>85</v>
      </c>
      <c r="E431" s="29">
        <v>151.0</v>
      </c>
      <c r="F431" s="29">
        <f>SUMIFS(crm_orders!$J:$J,crm_orders!$B:$B,"&gt;="&amp;A431,crm_orders!$B:$B,"&lt;"&amp;DATE(YEAR(A431),MONTH(A431)+1,1),crm_orders!$E:$E,B431,crm_orders!$G:$G,C431,crm_orders!$H:$H,D431)</f>
        <v>0</v>
      </c>
      <c r="G431" s="29">
        <f>SUMIFS(warehouse_shipments!$H:$H,warehouse_shipments!$C:$C,"&gt;="&amp;A431,warehouse_shipments!$C:$C,"&lt;"&amp;DATE(YEAR(A431),MONTH(A431)+1,1),warehouse_shipments!$P:$P,B431,warehouse_shipments!$Q:$Q,C431,warehouse_shipments!$R:$R,D431)</f>
        <v>0</v>
      </c>
      <c r="H431" s="30">
        <f t="shared" si="1"/>
        <v>-151</v>
      </c>
      <c r="I431" s="65">
        <f t="shared" si="2"/>
        <v>0</v>
      </c>
      <c r="J431" s="30" t="s">
        <v>5306</v>
      </c>
    </row>
    <row r="432" ht="15.75" customHeight="1">
      <c r="A432" s="18">
        <v>46054.0</v>
      </c>
      <c r="B432" s="17" t="s">
        <v>4261</v>
      </c>
      <c r="C432" s="17" t="s">
        <v>89</v>
      </c>
      <c r="D432" s="17" t="s">
        <v>64</v>
      </c>
      <c r="E432" s="21">
        <v>295.0</v>
      </c>
      <c r="F432" s="21">
        <f>SUMIFS(crm_orders!$J:$J,crm_orders!$B:$B,"&gt;="&amp;A432,crm_orders!$B:$B,"&lt;"&amp;DATE(YEAR(A432),MONTH(A432)+1,1),crm_orders!$E:$E,B432,crm_orders!$G:$G,C432,crm_orders!$H:$H,D432)</f>
        <v>72</v>
      </c>
      <c r="G432" s="21">
        <f>SUMIFS(warehouse_shipments!$H:$H,warehouse_shipments!$C:$C,"&gt;="&amp;A432,warehouse_shipments!$C:$C,"&lt;"&amp;DATE(YEAR(A432),MONTH(A432)+1,1),warehouse_shipments!$P:$P,B432,warehouse_shipments!$Q:$Q,C432,warehouse_shipments!$R:$R,D432)</f>
        <v>0</v>
      </c>
      <c r="H432" s="22">
        <f t="shared" si="1"/>
        <v>-223</v>
      </c>
      <c r="I432" s="64">
        <f t="shared" si="2"/>
        <v>0.2440677966</v>
      </c>
      <c r="J432" s="22" t="s">
        <v>5306</v>
      </c>
    </row>
    <row r="433" ht="15.75" customHeight="1">
      <c r="A433" s="26">
        <v>46054.0</v>
      </c>
      <c r="B433" s="25" t="s">
        <v>4261</v>
      </c>
      <c r="C433" s="25" t="s">
        <v>89</v>
      </c>
      <c r="D433" s="25" t="s">
        <v>154</v>
      </c>
      <c r="E433" s="29">
        <v>253.0</v>
      </c>
      <c r="F433" s="29">
        <f>SUMIFS(crm_orders!$J:$J,crm_orders!$B:$B,"&gt;="&amp;A433,crm_orders!$B:$B,"&lt;"&amp;DATE(YEAR(A433),MONTH(A433)+1,1),crm_orders!$E:$E,B433,crm_orders!$G:$G,C433,crm_orders!$H:$H,D433)</f>
        <v>0</v>
      </c>
      <c r="G433" s="29">
        <f>SUMIFS(warehouse_shipments!$H:$H,warehouse_shipments!$C:$C,"&gt;="&amp;A433,warehouse_shipments!$C:$C,"&lt;"&amp;DATE(YEAR(A433),MONTH(A433)+1,1),warehouse_shipments!$P:$P,B433,warehouse_shipments!$Q:$Q,C433,warehouse_shipments!$R:$R,D433)</f>
        <v>0</v>
      </c>
      <c r="H433" s="30">
        <f t="shared" si="1"/>
        <v>-253</v>
      </c>
      <c r="I433" s="65">
        <f t="shared" si="2"/>
        <v>0</v>
      </c>
      <c r="J433" s="30" t="s">
        <v>5307</v>
      </c>
    </row>
    <row r="434" ht="15.75" customHeight="1">
      <c r="A434" s="18">
        <v>46054.0</v>
      </c>
      <c r="B434" s="17" t="s">
        <v>4323</v>
      </c>
      <c r="C434" s="17" t="s">
        <v>63</v>
      </c>
      <c r="D434" s="17" t="s">
        <v>78</v>
      </c>
      <c r="E434" s="21">
        <v>502.0</v>
      </c>
      <c r="F434" s="21">
        <f>SUMIFS(crm_orders!$J:$J,crm_orders!$B:$B,"&gt;="&amp;A434,crm_orders!$B:$B,"&lt;"&amp;DATE(YEAR(A434),MONTH(A434)+1,1),crm_orders!$E:$E,B434,crm_orders!$G:$G,C434,crm_orders!$H:$H,D434)</f>
        <v>120</v>
      </c>
      <c r="G434" s="21">
        <f>SUMIFS(warehouse_shipments!$H:$H,warehouse_shipments!$C:$C,"&gt;="&amp;A434,warehouse_shipments!$C:$C,"&lt;"&amp;DATE(YEAR(A434),MONTH(A434)+1,1),warehouse_shipments!$P:$P,B434,warehouse_shipments!$Q:$Q,C434,warehouse_shipments!$R:$R,D434)</f>
        <v>0</v>
      </c>
      <c r="H434" s="22">
        <f t="shared" si="1"/>
        <v>-382</v>
      </c>
      <c r="I434" s="64">
        <f t="shared" si="2"/>
        <v>0.2390438247</v>
      </c>
      <c r="J434" s="22" t="s">
        <v>5311</v>
      </c>
    </row>
    <row r="435" ht="15.75" customHeight="1">
      <c r="A435" s="26">
        <v>46054.0</v>
      </c>
      <c r="B435" s="25" t="s">
        <v>4323</v>
      </c>
      <c r="C435" s="25" t="s">
        <v>63</v>
      </c>
      <c r="D435" s="25" t="s">
        <v>95</v>
      </c>
      <c r="E435" s="29">
        <v>468.0</v>
      </c>
      <c r="F435" s="29">
        <f>SUMIFS(crm_orders!$J:$J,crm_orders!$B:$B,"&gt;="&amp;A435,crm_orders!$B:$B,"&lt;"&amp;DATE(YEAR(A435),MONTH(A435)+1,1),crm_orders!$E:$E,B435,crm_orders!$G:$G,C435,crm_orders!$H:$H,D435)</f>
        <v>18</v>
      </c>
      <c r="G435" s="29">
        <f>SUMIFS(warehouse_shipments!$H:$H,warehouse_shipments!$C:$C,"&gt;="&amp;A435,warehouse_shipments!$C:$C,"&lt;"&amp;DATE(YEAR(A435),MONTH(A435)+1,1),warehouse_shipments!$P:$P,B435,warehouse_shipments!$Q:$Q,C435,warehouse_shipments!$R:$R,D435)</f>
        <v>0</v>
      </c>
      <c r="H435" s="30">
        <f t="shared" si="1"/>
        <v>-450</v>
      </c>
      <c r="I435" s="65">
        <f t="shared" si="2"/>
        <v>0.03846153846</v>
      </c>
      <c r="J435" s="30" t="s">
        <v>5306</v>
      </c>
    </row>
    <row r="436" ht="15.75" customHeight="1">
      <c r="A436" s="18">
        <v>46054.0</v>
      </c>
      <c r="B436" s="17" t="s">
        <v>4323</v>
      </c>
      <c r="C436" s="17" t="s">
        <v>63</v>
      </c>
      <c r="D436" s="17" t="s">
        <v>85</v>
      </c>
      <c r="E436" s="21">
        <v>502.0</v>
      </c>
      <c r="F436" s="21">
        <f>SUMIFS(crm_orders!$J:$J,crm_orders!$B:$B,"&gt;="&amp;A436,crm_orders!$B:$B,"&lt;"&amp;DATE(YEAR(A436),MONTH(A436)+1,1),crm_orders!$E:$E,B436,crm_orders!$G:$G,C436,crm_orders!$H:$H,D436)</f>
        <v>0</v>
      </c>
      <c r="G436" s="21">
        <f>SUMIFS(warehouse_shipments!$H:$H,warehouse_shipments!$C:$C,"&gt;="&amp;A436,warehouse_shipments!$C:$C,"&lt;"&amp;DATE(YEAR(A436),MONTH(A436)+1,1),warehouse_shipments!$P:$P,B436,warehouse_shipments!$Q:$Q,C436,warehouse_shipments!$R:$R,D436)</f>
        <v>0</v>
      </c>
      <c r="H436" s="22">
        <f t="shared" si="1"/>
        <v>-502</v>
      </c>
      <c r="I436" s="64">
        <f t="shared" si="2"/>
        <v>0</v>
      </c>
      <c r="J436" s="22" t="s">
        <v>5307</v>
      </c>
    </row>
    <row r="437" ht="15.75" customHeight="1">
      <c r="A437" s="26">
        <v>46054.0</v>
      </c>
      <c r="B437" s="25" t="s">
        <v>4323</v>
      </c>
      <c r="C437" s="25" t="s">
        <v>63</v>
      </c>
      <c r="D437" s="25" t="s">
        <v>156</v>
      </c>
      <c r="E437" s="29">
        <v>298.0</v>
      </c>
      <c r="F437" s="29">
        <f>SUMIFS(crm_orders!$J:$J,crm_orders!$B:$B,"&gt;="&amp;A437,crm_orders!$B:$B,"&lt;"&amp;DATE(YEAR(A437),MONTH(A437)+1,1),crm_orders!$E:$E,B437,crm_orders!$G:$G,C437,crm_orders!$H:$H,D437)</f>
        <v>0</v>
      </c>
      <c r="G437" s="29">
        <f>SUMIFS(warehouse_shipments!$H:$H,warehouse_shipments!$C:$C,"&gt;="&amp;A437,warehouse_shipments!$C:$C,"&lt;"&amp;DATE(YEAR(A437),MONTH(A437)+1,1),warehouse_shipments!$P:$P,B437,warehouse_shipments!$Q:$Q,C437,warehouse_shipments!$R:$R,D437)</f>
        <v>0</v>
      </c>
      <c r="H437" s="30">
        <f t="shared" si="1"/>
        <v>-298</v>
      </c>
      <c r="I437" s="65">
        <f t="shared" si="2"/>
        <v>0</v>
      </c>
      <c r="J437" s="30" t="s">
        <v>5311</v>
      </c>
    </row>
    <row r="438" ht="15.75" customHeight="1">
      <c r="A438" s="18">
        <v>46054.0</v>
      </c>
      <c r="B438" s="17" t="s">
        <v>4323</v>
      </c>
      <c r="C438" s="17" t="s">
        <v>63</v>
      </c>
      <c r="D438" s="17" t="s">
        <v>123</v>
      </c>
      <c r="E438" s="21">
        <v>493.0</v>
      </c>
      <c r="F438" s="21">
        <f>SUMIFS(crm_orders!$J:$J,crm_orders!$B:$B,"&gt;="&amp;A438,crm_orders!$B:$B,"&lt;"&amp;DATE(YEAR(A438),MONTH(A438)+1,1),crm_orders!$E:$E,B438,crm_orders!$G:$G,C438,crm_orders!$H:$H,D438)</f>
        <v>24</v>
      </c>
      <c r="G438" s="21">
        <f>SUMIFS(warehouse_shipments!$H:$H,warehouse_shipments!$C:$C,"&gt;="&amp;A438,warehouse_shipments!$C:$C,"&lt;"&amp;DATE(YEAR(A438),MONTH(A438)+1,1),warehouse_shipments!$P:$P,B438,warehouse_shipments!$Q:$Q,C438,warehouse_shipments!$R:$R,D438)</f>
        <v>0</v>
      </c>
      <c r="H438" s="22">
        <f t="shared" si="1"/>
        <v>-469</v>
      </c>
      <c r="I438" s="64">
        <f t="shared" si="2"/>
        <v>0.04868154158</v>
      </c>
      <c r="J438" s="22" t="s">
        <v>5311</v>
      </c>
    </row>
    <row r="439" ht="15.75" customHeight="1">
      <c r="A439" s="26">
        <v>46054.0</v>
      </c>
      <c r="B439" s="25" t="s">
        <v>4323</v>
      </c>
      <c r="C439" s="25" t="s">
        <v>63</v>
      </c>
      <c r="D439" s="25" t="s">
        <v>115</v>
      </c>
      <c r="E439" s="29">
        <v>138.0</v>
      </c>
      <c r="F439" s="29">
        <f>SUMIFS(crm_orders!$J:$J,crm_orders!$B:$B,"&gt;="&amp;A439,crm_orders!$B:$B,"&lt;"&amp;DATE(YEAR(A439),MONTH(A439)+1,1),crm_orders!$E:$E,B439,crm_orders!$G:$G,C439,crm_orders!$H:$H,D439)</f>
        <v>30</v>
      </c>
      <c r="G439" s="29">
        <f>SUMIFS(warehouse_shipments!$H:$H,warehouse_shipments!$C:$C,"&gt;="&amp;A439,warehouse_shipments!$C:$C,"&lt;"&amp;DATE(YEAR(A439),MONTH(A439)+1,1),warehouse_shipments!$P:$P,B439,warehouse_shipments!$Q:$Q,C439,warehouse_shipments!$R:$R,D439)</f>
        <v>6</v>
      </c>
      <c r="H439" s="30">
        <f t="shared" si="1"/>
        <v>-108</v>
      </c>
      <c r="I439" s="65">
        <f t="shared" si="2"/>
        <v>0.2173913043</v>
      </c>
      <c r="J439" s="30" t="s">
        <v>5310</v>
      </c>
    </row>
    <row r="440" ht="15.75" customHeight="1">
      <c r="A440" s="18">
        <v>46054.0</v>
      </c>
      <c r="B440" s="17" t="s">
        <v>4323</v>
      </c>
      <c r="C440" s="17" t="s">
        <v>63</v>
      </c>
      <c r="D440" s="17" t="s">
        <v>64</v>
      </c>
      <c r="E440" s="21">
        <v>369.0</v>
      </c>
      <c r="F440" s="21">
        <f>SUMIFS(crm_orders!$J:$J,crm_orders!$B:$B,"&gt;="&amp;A440,crm_orders!$B:$B,"&lt;"&amp;DATE(YEAR(A440),MONTH(A440)+1,1),crm_orders!$E:$E,B440,crm_orders!$G:$G,C440,crm_orders!$H:$H,D440)</f>
        <v>0</v>
      </c>
      <c r="G440" s="21">
        <f>SUMIFS(warehouse_shipments!$H:$H,warehouse_shipments!$C:$C,"&gt;="&amp;A440,warehouse_shipments!$C:$C,"&lt;"&amp;DATE(YEAR(A440),MONTH(A440)+1,1),warehouse_shipments!$P:$P,B440,warehouse_shipments!$Q:$Q,C440,warehouse_shipments!$R:$R,D440)</f>
        <v>0</v>
      </c>
      <c r="H440" s="22">
        <f t="shared" si="1"/>
        <v>-369</v>
      </c>
      <c r="I440" s="64">
        <f t="shared" si="2"/>
        <v>0</v>
      </c>
      <c r="J440" s="22" t="s">
        <v>5307</v>
      </c>
    </row>
    <row r="441" ht="15.75" customHeight="1">
      <c r="A441" s="26">
        <v>46054.0</v>
      </c>
      <c r="B441" s="25" t="s">
        <v>4323</v>
      </c>
      <c r="C441" s="25" t="s">
        <v>63</v>
      </c>
      <c r="D441" s="25" t="s">
        <v>190</v>
      </c>
      <c r="E441" s="29">
        <v>117.0</v>
      </c>
      <c r="F441" s="29">
        <f>SUMIFS(crm_orders!$J:$J,crm_orders!$B:$B,"&gt;="&amp;A441,crm_orders!$B:$B,"&lt;"&amp;DATE(YEAR(A441),MONTH(A441)+1,1),crm_orders!$E:$E,B441,crm_orders!$G:$G,C441,crm_orders!$H:$H,D441)</f>
        <v>0</v>
      </c>
      <c r="G441" s="29">
        <f>SUMIFS(warehouse_shipments!$H:$H,warehouse_shipments!$C:$C,"&gt;="&amp;A441,warehouse_shipments!$C:$C,"&lt;"&amp;DATE(YEAR(A441),MONTH(A441)+1,1),warehouse_shipments!$P:$P,B441,warehouse_shipments!$Q:$Q,C441,warehouse_shipments!$R:$R,D441)</f>
        <v>0</v>
      </c>
      <c r="H441" s="30">
        <f t="shared" si="1"/>
        <v>-117</v>
      </c>
      <c r="I441" s="65">
        <f t="shared" si="2"/>
        <v>0</v>
      </c>
      <c r="J441" s="30" t="s">
        <v>5309</v>
      </c>
    </row>
    <row r="442" ht="15.75" customHeight="1">
      <c r="A442" s="18">
        <v>46054.0</v>
      </c>
      <c r="B442" s="17" t="s">
        <v>4323</v>
      </c>
      <c r="C442" s="17" t="s">
        <v>67</v>
      </c>
      <c r="D442" s="17" t="s">
        <v>90</v>
      </c>
      <c r="E442" s="21">
        <v>417.0</v>
      </c>
      <c r="F442" s="21">
        <f>SUMIFS(crm_orders!$J:$J,crm_orders!$B:$B,"&gt;="&amp;A442,crm_orders!$B:$B,"&lt;"&amp;DATE(YEAR(A442),MONTH(A442)+1,1),crm_orders!$E:$E,B442,crm_orders!$G:$G,C442,crm_orders!$H:$H,D442)</f>
        <v>0</v>
      </c>
      <c r="G442" s="21">
        <f>SUMIFS(warehouse_shipments!$H:$H,warehouse_shipments!$C:$C,"&gt;="&amp;A442,warehouse_shipments!$C:$C,"&lt;"&amp;DATE(YEAR(A442),MONTH(A442)+1,1),warehouse_shipments!$P:$P,B442,warehouse_shipments!$Q:$Q,C442,warehouse_shipments!$R:$R,D442)</f>
        <v>0</v>
      </c>
      <c r="H442" s="22">
        <f t="shared" si="1"/>
        <v>-417</v>
      </c>
      <c r="I442" s="64">
        <f t="shared" si="2"/>
        <v>0</v>
      </c>
      <c r="J442" s="22" t="s">
        <v>5310</v>
      </c>
    </row>
    <row r="443" ht="15.75" customHeight="1">
      <c r="A443" s="26">
        <v>46054.0</v>
      </c>
      <c r="B443" s="25" t="s">
        <v>4323</v>
      </c>
      <c r="C443" s="25" t="s">
        <v>67</v>
      </c>
      <c r="D443" s="25" t="s">
        <v>190</v>
      </c>
      <c r="E443" s="29">
        <v>427.0</v>
      </c>
      <c r="F443" s="29">
        <f>SUMIFS(crm_orders!$J:$J,crm_orders!$B:$B,"&gt;="&amp;A443,crm_orders!$B:$B,"&lt;"&amp;DATE(YEAR(A443),MONTH(A443)+1,1),crm_orders!$E:$E,B443,crm_orders!$G:$G,C443,crm_orders!$H:$H,D443)</f>
        <v>0</v>
      </c>
      <c r="G443" s="29">
        <f>SUMIFS(warehouse_shipments!$H:$H,warehouse_shipments!$C:$C,"&gt;="&amp;A443,warehouse_shipments!$C:$C,"&lt;"&amp;DATE(YEAR(A443),MONTH(A443)+1,1),warehouse_shipments!$P:$P,B443,warehouse_shipments!$Q:$Q,C443,warehouse_shipments!$R:$R,D443)</f>
        <v>0</v>
      </c>
      <c r="H443" s="30">
        <f t="shared" si="1"/>
        <v>-427</v>
      </c>
      <c r="I443" s="65">
        <f t="shared" si="2"/>
        <v>0</v>
      </c>
      <c r="J443" s="30" t="s">
        <v>5311</v>
      </c>
    </row>
    <row r="444" ht="15.75" customHeight="1">
      <c r="A444" s="18">
        <v>46054.0</v>
      </c>
      <c r="B444" s="17" t="s">
        <v>4323</v>
      </c>
      <c r="C444" s="17" t="s">
        <v>67</v>
      </c>
      <c r="D444" s="17" t="s">
        <v>64</v>
      </c>
      <c r="E444" s="21">
        <v>93.0</v>
      </c>
      <c r="F444" s="21">
        <f>SUMIFS(crm_orders!$J:$J,crm_orders!$B:$B,"&gt;="&amp;A444,crm_orders!$B:$B,"&lt;"&amp;DATE(YEAR(A444),MONTH(A444)+1,1),crm_orders!$E:$E,B444,crm_orders!$G:$G,C444,crm_orders!$H:$H,D444)</f>
        <v>0</v>
      </c>
      <c r="G444" s="21">
        <f>SUMIFS(warehouse_shipments!$H:$H,warehouse_shipments!$C:$C,"&gt;="&amp;A444,warehouse_shipments!$C:$C,"&lt;"&amp;DATE(YEAR(A444),MONTH(A444)+1,1),warehouse_shipments!$P:$P,B444,warehouse_shipments!$Q:$Q,C444,warehouse_shipments!$R:$R,D444)</f>
        <v>0</v>
      </c>
      <c r="H444" s="22">
        <f t="shared" si="1"/>
        <v>-93</v>
      </c>
      <c r="I444" s="64">
        <f t="shared" si="2"/>
        <v>0</v>
      </c>
      <c r="J444" s="22" t="s">
        <v>5307</v>
      </c>
    </row>
    <row r="445" ht="15.75" customHeight="1">
      <c r="A445" s="26">
        <v>46054.0</v>
      </c>
      <c r="B445" s="25" t="s">
        <v>4323</v>
      </c>
      <c r="C445" s="25" t="s">
        <v>67</v>
      </c>
      <c r="D445" s="25" t="s">
        <v>156</v>
      </c>
      <c r="E445" s="29">
        <v>298.0</v>
      </c>
      <c r="F445" s="29">
        <f>SUMIFS(crm_orders!$J:$J,crm_orders!$B:$B,"&gt;="&amp;A445,crm_orders!$B:$B,"&lt;"&amp;DATE(YEAR(A445),MONTH(A445)+1,1),crm_orders!$E:$E,B445,crm_orders!$G:$G,C445,crm_orders!$H:$H,D445)</f>
        <v>0</v>
      </c>
      <c r="G445" s="29">
        <f>SUMIFS(warehouse_shipments!$H:$H,warehouse_shipments!$C:$C,"&gt;="&amp;A445,warehouse_shipments!$C:$C,"&lt;"&amp;DATE(YEAR(A445),MONTH(A445)+1,1),warehouse_shipments!$P:$P,B445,warehouse_shipments!$Q:$Q,C445,warehouse_shipments!$R:$R,D445)</f>
        <v>0</v>
      </c>
      <c r="H445" s="30">
        <f t="shared" si="1"/>
        <v>-298</v>
      </c>
      <c r="I445" s="65">
        <f t="shared" si="2"/>
        <v>0</v>
      </c>
      <c r="J445" s="30" t="s">
        <v>5310</v>
      </c>
    </row>
    <row r="446" ht="15.75" customHeight="1">
      <c r="A446" s="18">
        <v>46054.0</v>
      </c>
      <c r="B446" s="17" t="s">
        <v>4323</v>
      </c>
      <c r="C446" s="17" t="s">
        <v>67</v>
      </c>
      <c r="D446" s="17" t="s">
        <v>154</v>
      </c>
      <c r="E446" s="21">
        <v>474.0</v>
      </c>
      <c r="F446" s="21">
        <f>SUMIFS(crm_orders!$J:$J,crm_orders!$B:$B,"&gt;="&amp;A446,crm_orders!$B:$B,"&lt;"&amp;DATE(YEAR(A446),MONTH(A446)+1,1),crm_orders!$E:$E,B446,crm_orders!$G:$G,C446,crm_orders!$H:$H,D446)</f>
        <v>0</v>
      </c>
      <c r="G446" s="21">
        <f>SUMIFS(warehouse_shipments!$H:$H,warehouse_shipments!$C:$C,"&gt;="&amp;A446,warehouse_shipments!$C:$C,"&lt;"&amp;DATE(YEAR(A446),MONTH(A446)+1,1),warehouse_shipments!$P:$P,B446,warehouse_shipments!$Q:$Q,C446,warehouse_shipments!$R:$R,D446)</f>
        <v>0</v>
      </c>
      <c r="H446" s="22">
        <f t="shared" si="1"/>
        <v>-474</v>
      </c>
      <c r="I446" s="64">
        <f t="shared" si="2"/>
        <v>0</v>
      </c>
      <c r="J446" s="22" t="s">
        <v>5310</v>
      </c>
    </row>
    <row r="447" ht="15.75" customHeight="1">
      <c r="A447" s="26">
        <v>46054.0</v>
      </c>
      <c r="B447" s="25" t="s">
        <v>4323</v>
      </c>
      <c r="C447" s="25" t="s">
        <v>67</v>
      </c>
      <c r="D447" s="25" t="s">
        <v>92</v>
      </c>
      <c r="E447" s="29">
        <v>157.0</v>
      </c>
      <c r="F447" s="29">
        <f>SUMIFS(crm_orders!$J:$J,crm_orders!$B:$B,"&gt;="&amp;A447,crm_orders!$B:$B,"&lt;"&amp;DATE(YEAR(A447),MONTH(A447)+1,1),crm_orders!$E:$E,B447,crm_orders!$G:$G,C447,crm_orders!$H:$H,D447)</f>
        <v>18</v>
      </c>
      <c r="G447" s="29">
        <f>SUMIFS(warehouse_shipments!$H:$H,warehouse_shipments!$C:$C,"&gt;="&amp;A447,warehouse_shipments!$C:$C,"&lt;"&amp;DATE(YEAR(A447),MONTH(A447)+1,1),warehouse_shipments!$P:$P,B447,warehouse_shipments!$Q:$Q,C447,warehouse_shipments!$R:$R,D447)</f>
        <v>12</v>
      </c>
      <c r="H447" s="30">
        <f t="shared" si="1"/>
        <v>-139</v>
      </c>
      <c r="I447" s="65">
        <f t="shared" si="2"/>
        <v>0.1146496815</v>
      </c>
      <c r="J447" s="30" t="s">
        <v>5309</v>
      </c>
    </row>
    <row r="448" ht="15.75" customHeight="1">
      <c r="A448" s="18">
        <v>46054.0</v>
      </c>
      <c r="B448" s="17" t="s">
        <v>4323</v>
      </c>
      <c r="C448" s="17" t="s">
        <v>67</v>
      </c>
      <c r="D448" s="17" t="s">
        <v>78</v>
      </c>
      <c r="E448" s="21">
        <v>226.0</v>
      </c>
      <c r="F448" s="21">
        <f>SUMIFS(crm_orders!$J:$J,crm_orders!$B:$B,"&gt;="&amp;A448,crm_orders!$B:$B,"&lt;"&amp;DATE(YEAR(A448),MONTH(A448)+1,1),crm_orders!$E:$E,B448,crm_orders!$G:$G,C448,crm_orders!$H:$H,D448)</f>
        <v>0</v>
      </c>
      <c r="G448" s="21">
        <f>SUMIFS(warehouse_shipments!$H:$H,warehouse_shipments!$C:$C,"&gt;="&amp;A448,warehouse_shipments!$C:$C,"&lt;"&amp;DATE(YEAR(A448),MONTH(A448)+1,1),warehouse_shipments!$P:$P,B448,warehouse_shipments!$Q:$Q,C448,warehouse_shipments!$R:$R,D448)</f>
        <v>0</v>
      </c>
      <c r="H448" s="22">
        <f t="shared" si="1"/>
        <v>-226</v>
      </c>
      <c r="I448" s="64">
        <f t="shared" si="2"/>
        <v>0</v>
      </c>
      <c r="J448" s="22" t="s">
        <v>5306</v>
      </c>
    </row>
    <row r="449" ht="15.75" customHeight="1">
      <c r="A449" s="26">
        <v>46054.0</v>
      </c>
      <c r="B449" s="25" t="s">
        <v>4323</v>
      </c>
      <c r="C449" s="25" t="s">
        <v>67</v>
      </c>
      <c r="D449" s="25" t="s">
        <v>68</v>
      </c>
      <c r="E449" s="29">
        <v>102.0</v>
      </c>
      <c r="F449" s="29">
        <f>SUMIFS(crm_orders!$J:$J,crm_orders!$B:$B,"&gt;="&amp;A449,crm_orders!$B:$B,"&lt;"&amp;DATE(YEAR(A449),MONTH(A449)+1,1),crm_orders!$E:$E,B449,crm_orders!$G:$G,C449,crm_orders!$H:$H,D449)</f>
        <v>0</v>
      </c>
      <c r="G449" s="29">
        <f>SUMIFS(warehouse_shipments!$H:$H,warehouse_shipments!$C:$C,"&gt;="&amp;A449,warehouse_shipments!$C:$C,"&lt;"&amp;DATE(YEAR(A449),MONTH(A449)+1,1),warehouse_shipments!$P:$P,B449,warehouse_shipments!$Q:$Q,C449,warehouse_shipments!$R:$R,D449)</f>
        <v>0</v>
      </c>
      <c r="H449" s="30">
        <f t="shared" si="1"/>
        <v>-102</v>
      </c>
      <c r="I449" s="65">
        <f t="shared" si="2"/>
        <v>0</v>
      </c>
      <c r="J449" s="30" t="s">
        <v>5307</v>
      </c>
    </row>
    <row r="450" ht="15.75" customHeight="1">
      <c r="A450" s="18">
        <v>46054.0</v>
      </c>
      <c r="B450" s="17" t="s">
        <v>4323</v>
      </c>
      <c r="C450" s="17" t="s">
        <v>89</v>
      </c>
      <c r="D450" s="17" t="s">
        <v>106</v>
      </c>
      <c r="E450" s="21">
        <v>156.0</v>
      </c>
      <c r="F450" s="21">
        <f>SUMIFS(crm_orders!$J:$J,crm_orders!$B:$B,"&gt;="&amp;A450,crm_orders!$B:$B,"&lt;"&amp;DATE(YEAR(A450),MONTH(A450)+1,1),crm_orders!$E:$E,B450,crm_orders!$G:$G,C450,crm_orders!$H:$H,D450)</f>
        <v>0</v>
      </c>
      <c r="G450" s="21">
        <f>SUMIFS(warehouse_shipments!$H:$H,warehouse_shipments!$C:$C,"&gt;="&amp;A450,warehouse_shipments!$C:$C,"&lt;"&amp;DATE(YEAR(A450),MONTH(A450)+1,1),warehouse_shipments!$P:$P,B450,warehouse_shipments!$Q:$Q,C450,warehouse_shipments!$R:$R,D450)</f>
        <v>0</v>
      </c>
      <c r="H450" s="22">
        <f t="shared" si="1"/>
        <v>-156</v>
      </c>
      <c r="I450" s="64">
        <f t="shared" si="2"/>
        <v>0</v>
      </c>
      <c r="J450" s="22" t="s">
        <v>5311</v>
      </c>
    </row>
    <row r="451" ht="15.75" customHeight="1">
      <c r="A451" s="26">
        <v>46054.0</v>
      </c>
      <c r="B451" s="25" t="s">
        <v>4323</v>
      </c>
      <c r="C451" s="25" t="s">
        <v>89</v>
      </c>
      <c r="D451" s="25" t="s">
        <v>68</v>
      </c>
      <c r="E451" s="29">
        <v>140.0</v>
      </c>
      <c r="F451" s="29">
        <f>SUMIFS(crm_orders!$J:$J,crm_orders!$B:$B,"&gt;="&amp;A451,crm_orders!$B:$B,"&lt;"&amp;DATE(YEAR(A451),MONTH(A451)+1,1),crm_orders!$E:$E,B451,crm_orders!$G:$G,C451,crm_orders!$H:$H,D451)</f>
        <v>0</v>
      </c>
      <c r="G451" s="29">
        <f>SUMIFS(warehouse_shipments!$H:$H,warehouse_shipments!$C:$C,"&gt;="&amp;A451,warehouse_shipments!$C:$C,"&lt;"&amp;DATE(YEAR(A451),MONTH(A451)+1,1),warehouse_shipments!$P:$P,B451,warehouse_shipments!$Q:$Q,C451,warehouse_shipments!$R:$R,D451)</f>
        <v>0</v>
      </c>
      <c r="H451" s="30">
        <f t="shared" si="1"/>
        <v>-140</v>
      </c>
      <c r="I451" s="65">
        <f t="shared" si="2"/>
        <v>0</v>
      </c>
      <c r="J451" s="30" t="s">
        <v>5309</v>
      </c>
    </row>
    <row r="452" ht="15.75" customHeight="1">
      <c r="A452" s="18">
        <v>46054.0</v>
      </c>
      <c r="B452" s="17" t="s">
        <v>4323</v>
      </c>
      <c r="C452" s="17" t="s">
        <v>89</v>
      </c>
      <c r="D452" s="17" t="s">
        <v>71</v>
      </c>
      <c r="E452" s="21">
        <v>330.0</v>
      </c>
      <c r="F452" s="21">
        <f>SUMIFS(crm_orders!$J:$J,crm_orders!$B:$B,"&gt;="&amp;A452,crm_orders!$B:$B,"&lt;"&amp;DATE(YEAR(A452),MONTH(A452)+1,1),crm_orders!$E:$E,B452,crm_orders!$G:$G,C452,crm_orders!$H:$H,D452)</f>
        <v>0</v>
      </c>
      <c r="G452" s="21">
        <f>SUMIFS(warehouse_shipments!$H:$H,warehouse_shipments!$C:$C,"&gt;="&amp;A452,warehouse_shipments!$C:$C,"&lt;"&amp;DATE(YEAR(A452),MONTH(A452)+1,1),warehouse_shipments!$P:$P,B452,warehouse_shipments!$Q:$Q,C452,warehouse_shipments!$R:$R,D452)</f>
        <v>0</v>
      </c>
      <c r="H452" s="22">
        <f t="shared" si="1"/>
        <v>-330</v>
      </c>
      <c r="I452" s="64">
        <f t="shared" si="2"/>
        <v>0</v>
      </c>
      <c r="J452" s="22" t="s">
        <v>5308</v>
      </c>
    </row>
    <row r="453" ht="15.75" customHeight="1">
      <c r="A453" s="26">
        <v>46054.0</v>
      </c>
      <c r="B453" s="25" t="s">
        <v>4323</v>
      </c>
      <c r="C453" s="25" t="s">
        <v>89</v>
      </c>
      <c r="D453" s="25" t="s">
        <v>154</v>
      </c>
      <c r="E453" s="29">
        <v>84.0</v>
      </c>
      <c r="F453" s="29">
        <f>SUMIFS(crm_orders!$J:$J,crm_orders!$B:$B,"&gt;="&amp;A453,crm_orders!$B:$B,"&lt;"&amp;DATE(YEAR(A453),MONTH(A453)+1,1),crm_orders!$E:$E,B453,crm_orders!$G:$G,C453,crm_orders!$H:$H,D453)</f>
        <v>0</v>
      </c>
      <c r="G453" s="29">
        <f>SUMIFS(warehouse_shipments!$H:$H,warehouse_shipments!$C:$C,"&gt;="&amp;A453,warehouse_shipments!$C:$C,"&lt;"&amp;DATE(YEAR(A453),MONTH(A453)+1,1),warehouse_shipments!$P:$P,B453,warehouse_shipments!$Q:$Q,C453,warehouse_shipments!$R:$R,D453)</f>
        <v>0</v>
      </c>
      <c r="H453" s="30">
        <f t="shared" si="1"/>
        <v>-84</v>
      </c>
      <c r="I453" s="65">
        <f t="shared" si="2"/>
        <v>0</v>
      </c>
      <c r="J453" s="30" t="s">
        <v>5311</v>
      </c>
    </row>
    <row r="454" ht="15.75" customHeight="1">
      <c r="A454" s="18">
        <v>46054.0</v>
      </c>
      <c r="B454" s="17" t="s">
        <v>4323</v>
      </c>
      <c r="C454" s="17" t="s">
        <v>89</v>
      </c>
      <c r="D454" s="17" t="s">
        <v>95</v>
      </c>
      <c r="E454" s="21">
        <v>117.0</v>
      </c>
      <c r="F454" s="21">
        <f>SUMIFS(crm_orders!$J:$J,crm_orders!$B:$B,"&gt;="&amp;A454,crm_orders!$B:$B,"&lt;"&amp;DATE(YEAR(A454),MONTH(A454)+1,1),crm_orders!$E:$E,B454,crm_orders!$G:$G,C454,crm_orders!$H:$H,D454)</f>
        <v>0</v>
      </c>
      <c r="G454" s="21">
        <f>SUMIFS(warehouse_shipments!$H:$H,warehouse_shipments!$C:$C,"&gt;="&amp;A454,warehouse_shipments!$C:$C,"&lt;"&amp;DATE(YEAR(A454),MONTH(A454)+1,1),warehouse_shipments!$P:$P,B454,warehouse_shipments!$Q:$Q,C454,warehouse_shipments!$R:$R,D454)</f>
        <v>0</v>
      </c>
      <c r="H454" s="22">
        <f t="shared" si="1"/>
        <v>-117</v>
      </c>
      <c r="I454" s="64">
        <f t="shared" si="2"/>
        <v>0</v>
      </c>
      <c r="J454" s="22" t="s">
        <v>5311</v>
      </c>
    </row>
    <row r="455" ht="15.75" customHeight="1">
      <c r="A455" s="26">
        <v>46054.0</v>
      </c>
      <c r="B455" s="25" t="s">
        <v>4323</v>
      </c>
      <c r="C455" s="25" t="s">
        <v>89</v>
      </c>
      <c r="D455" s="25" t="s">
        <v>156</v>
      </c>
      <c r="E455" s="29">
        <v>357.0</v>
      </c>
      <c r="F455" s="29">
        <f>SUMIFS(crm_orders!$J:$J,crm_orders!$B:$B,"&gt;="&amp;A455,crm_orders!$B:$B,"&lt;"&amp;DATE(YEAR(A455),MONTH(A455)+1,1),crm_orders!$E:$E,B455,crm_orders!$G:$G,C455,crm_orders!$H:$H,D455)</f>
        <v>0</v>
      </c>
      <c r="G455" s="29">
        <f>SUMIFS(warehouse_shipments!$H:$H,warehouse_shipments!$C:$C,"&gt;="&amp;A455,warehouse_shipments!$C:$C,"&lt;"&amp;DATE(YEAR(A455),MONTH(A455)+1,1),warehouse_shipments!$P:$P,B455,warehouse_shipments!$Q:$Q,C455,warehouse_shipments!$R:$R,D455)</f>
        <v>0</v>
      </c>
      <c r="H455" s="30">
        <f t="shared" si="1"/>
        <v>-357</v>
      </c>
      <c r="I455" s="65">
        <f t="shared" si="2"/>
        <v>0</v>
      </c>
      <c r="J455" s="30" t="s">
        <v>5307</v>
      </c>
    </row>
    <row r="456" ht="15.75" customHeight="1">
      <c r="A456" s="18">
        <v>46054.0</v>
      </c>
      <c r="B456" s="17" t="s">
        <v>4323</v>
      </c>
      <c r="C456" s="17" t="s">
        <v>89</v>
      </c>
      <c r="D456" s="17" t="s">
        <v>115</v>
      </c>
      <c r="E456" s="21">
        <v>279.0</v>
      </c>
      <c r="F456" s="21">
        <f>SUMIFS(crm_orders!$J:$J,crm_orders!$B:$B,"&gt;="&amp;A456,crm_orders!$B:$B,"&lt;"&amp;DATE(YEAR(A456),MONTH(A456)+1,1),crm_orders!$E:$E,B456,crm_orders!$G:$G,C456,crm_orders!$H:$H,D456)</f>
        <v>0</v>
      </c>
      <c r="G456" s="21">
        <f>SUMIFS(warehouse_shipments!$H:$H,warehouse_shipments!$C:$C,"&gt;="&amp;A456,warehouse_shipments!$C:$C,"&lt;"&amp;DATE(YEAR(A456),MONTH(A456)+1,1),warehouse_shipments!$P:$P,B456,warehouse_shipments!$Q:$Q,C456,warehouse_shipments!$R:$R,D456)</f>
        <v>0</v>
      </c>
      <c r="H456" s="22">
        <f t="shared" si="1"/>
        <v>-279</v>
      </c>
      <c r="I456" s="64">
        <f t="shared" si="2"/>
        <v>0</v>
      </c>
      <c r="J456" s="22" t="s">
        <v>5307</v>
      </c>
    </row>
    <row r="457" ht="15.75" customHeight="1">
      <c r="A457" s="26">
        <v>46054.0</v>
      </c>
      <c r="B457" s="25" t="s">
        <v>4323</v>
      </c>
      <c r="C457" s="25" t="s">
        <v>89</v>
      </c>
      <c r="D457" s="25" t="s">
        <v>64</v>
      </c>
      <c r="E457" s="29">
        <v>128.0</v>
      </c>
      <c r="F457" s="29">
        <f>SUMIFS(crm_orders!$J:$J,crm_orders!$B:$B,"&gt;="&amp;A457,crm_orders!$B:$B,"&lt;"&amp;DATE(YEAR(A457),MONTH(A457)+1,1),crm_orders!$E:$E,B457,crm_orders!$G:$G,C457,crm_orders!$H:$H,D457)</f>
        <v>60</v>
      </c>
      <c r="G457" s="29">
        <f>SUMIFS(warehouse_shipments!$H:$H,warehouse_shipments!$C:$C,"&gt;="&amp;A457,warehouse_shipments!$C:$C,"&lt;"&amp;DATE(YEAR(A457),MONTH(A457)+1,1),warehouse_shipments!$P:$P,B457,warehouse_shipments!$Q:$Q,C457,warehouse_shipments!$R:$R,D457)</f>
        <v>0</v>
      </c>
      <c r="H457" s="30">
        <f t="shared" si="1"/>
        <v>-68</v>
      </c>
      <c r="I457" s="65">
        <f t="shared" si="2"/>
        <v>0.46875</v>
      </c>
      <c r="J457" s="30" t="s">
        <v>5311</v>
      </c>
    </row>
    <row r="458" ht="15.75" customHeight="1">
      <c r="A458" s="18">
        <v>46054.0</v>
      </c>
      <c r="B458" s="17" t="s">
        <v>4390</v>
      </c>
      <c r="C458" s="17" t="s">
        <v>63</v>
      </c>
      <c r="D458" s="17" t="s">
        <v>154</v>
      </c>
      <c r="E458" s="21">
        <v>270.0</v>
      </c>
      <c r="F458" s="21">
        <f>SUMIFS(crm_orders!$J:$J,crm_orders!$B:$B,"&gt;="&amp;A458,crm_orders!$B:$B,"&lt;"&amp;DATE(YEAR(A458),MONTH(A458)+1,1),crm_orders!$E:$E,B458,crm_orders!$G:$G,C458,crm_orders!$H:$H,D458)</f>
        <v>0</v>
      </c>
      <c r="G458" s="21">
        <f>SUMIFS(warehouse_shipments!$H:$H,warehouse_shipments!$C:$C,"&gt;="&amp;A458,warehouse_shipments!$C:$C,"&lt;"&amp;DATE(YEAR(A458),MONTH(A458)+1,1),warehouse_shipments!$P:$P,B458,warehouse_shipments!$Q:$Q,C458,warehouse_shipments!$R:$R,D458)</f>
        <v>0</v>
      </c>
      <c r="H458" s="22">
        <f t="shared" si="1"/>
        <v>-270</v>
      </c>
      <c r="I458" s="64">
        <f t="shared" si="2"/>
        <v>0</v>
      </c>
      <c r="J458" s="22" t="s">
        <v>5306</v>
      </c>
    </row>
    <row r="459" ht="15.75" customHeight="1">
      <c r="A459" s="26">
        <v>46054.0</v>
      </c>
      <c r="B459" s="25" t="s">
        <v>4390</v>
      </c>
      <c r="C459" s="25" t="s">
        <v>63</v>
      </c>
      <c r="D459" s="25" t="s">
        <v>123</v>
      </c>
      <c r="E459" s="29">
        <v>499.0</v>
      </c>
      <c r="F459" s="29">
        <f>SUMIFS(crm_orders!$J:$J,crm_orders!$B:$B,"&gt;="&amp;A459,crm_orders!$B:$B,"&lt;"&amp;DATE(YEAR(A459),MONTH(A459)+1,1),crm_orders!$E:$E,B459,crm_orders!$G:$G,C459,crm_orders!$H:$H,D459)</f>
        <v>0</v>
      </c>
      <c r="G459" s="29">
        <f>SUMIFS(warehouse_shipments!$H:$H,warehouse_shipments!$C:$C,"&gt;="&amp;A459,warehouse_shipments!$C:$C,"&lt;"&amp;DATE(YEAR(A459),MONTH(A459)+1,1),warehouse_shipments!$P:$P,B459,warehouse_shipments!$Q:$Q,C459,warehouse_shipments!$R:$R,D459)</f>
        <v>0</v>
      </c>
      <c r="H459" s="30">
        <f t="shared" si="1"/>
        <v>-499</v>
      </c>
      <c r="I459" s="65">
        <f t="shared" si="2"/>
        <v>0</v>
      </c>
      <c r="J459" s="30" t="s">
        <v>5306</v>
      </c>
    </row>
    <row r="460" ht="15.75" customHeight="1">
      <c r="A460" s="18">
        <v>46054.0</v>
      </c>
      <c r="B460" s="17" t="s">
        <v>4390</v>
      </c>
      <c r="C460" s="17" t="s">
        <v>63</v>
      </c>
      <c r="D460" s="17" t="s">
        <v>90</v>
      </c>
      <c r="E460" s="21">
        <v>476.0</v>
      </c>
      <c r="F460" s="21">
        <f>SUMIFS(crm_orders!$J:$J,crm_orders!$B:$B,"&gt;="&amp;A460,crm_orders!$B:$B,"&lt;"&amp;DATE(YEAR(A460),MONTH(A460)+1,1),crm_orders!$E:$E,B460,crm_orders!$G:$G,C460,crm_orders!$H:$H,D460)</f>
        <v>0</v>
      </c>
      <c r="G460" s="21">
        <f>SUMIFS(warehouse_shipments!$H:$H,warehouse_shipments!$C:$C,"&gt;="&amp;A460,warehouse_shipments!$C:$C,"&lt;"&amp;DATE(YEAR(A460),MONTH(A460)+1,1),warehouse_shipments!$P:$P,B460,warehouse_shipments!$Q:$Q,C460,warehouse_shipments!$R:$R,D460)</f>
        <v>0</v>
      </c>
      <c r="H460" s="22">
        <f t="shared" si="1"/>
        <v>-476</v>
      </c>
      <c r="I460" s="64">
        <f t="shared" si="2"/>
        <v>0</v>
      </c>
      <c r="J460" s="22" t="s">
        <v>5309</v>
      </c>
    </row>
    <row r="461" ht="15.75" customHeight="1">
      <c r="A461" s="26">
        <v>46054.0</v>
      </c>
      <c r="B461" s="25" t="s">
        <v>4390</v>
      </c>
      <c r="C461" s="25" t="s">
        <v>63</v>
      </c>
      <c r="D461" s="25" t="s">
        <v>108</v>
      </c>
      <c r="E461" s="29">
        <v>139.0</v>
      </c>
      <c r="F461" s="29">
        <f>SUMIFS(crm_orders!$J:$J,crm_orders!$B:$B,"&gt;="&amp;A461,crm_orders!$B:$B,"&lt;"&amp;DATE(YEAR(A461),MONTH(A461)+1,1),crm_orders!$E:$E,B461,crm_orders!$G:$G,C461,crm_orders!$H:$H,D461)</f>
        <v>0</v>
      </c>
      <c r="G461" s="29">
        <f>SUMIFS(warehouse_shipments!$H:$H,warehouse_shipments!$C:$C,"&gt;="&amp;A461,warehouse_shipments!$C:$C,"&lt;"&amp;DATE(YEAR(A461),MONTH(A461)+1,1),warehouse_shipments!$P:$P,B461,warehouse_shipments!$Q:$Q,C461,warehouse_shipments!$R:$R,D461)</f>
        <v>0</v>
      </c>
      <c r="H461" s="30">
        <f t="shared" si="1"/>
        <v>-139</v>
      </c>
      <c r="I461" s="65">
        <f t="shared" si="2"/>
        <v>0</v>
      </c>
      <c r="J461" s="30" t="s">
        <v>5307</v>
      </c>
    </row>
    <row r="462" ht="15.75" customHeight="1">
      <c r="A462" s="18">
        <v>46054.0</v>
      </c>
      <c r="B462" s="17" t="s">
        <v>4390</v>
      </c>
      <c r="C462" s="17" t="s">
        <v>63</v>
      </c>
      <c r="D462" s="17" t="s">
        <v>115</v>
      </c>
      <c r="E462" s="21">
        <v>322.0</v>
      </c>
      <c r="F462" s="21">
        <f>SUMIFS(crm_orders!$J:$J,crm_orders!$B:$B,"&gt;="&amp;A462,crm_orders!$B:$B,"&lt;"&amp;DATE(YEAR(A462),MONTH(A462)+1,1),crm_orders!$E:$E,B462,crm_orders!$G:$G,C462,crm_orders!$H:$H,D462)</f>
        <v>0</v>
      </c>
      <c r="G462" s="21">
        <f>SUMIFS(warehouse_shipments!$H:$H,warehouse_shipments!$C:$C,"&gt;="&amp;A462,warehouse_shipments!$C:$C,"&lt;"&amp;DATE(YEAR(A462),MONTH(A462)+1,1),warehouse_shipments!$P:$P,B462,warehouse_shipments!$Q:$Q,C462,warehouse_shipments!$R:$R,D462)</f>
        <v>0</v>
      </c>
      <c r="H462" s="22">
        <f t="shared" si="1"/>
        <v>-322</v>
      </c>
      <c r="I462" s="64">
        <f t="shared" si="2"/>
        <v>0</v>
      </c>
      <c r="J462" s="22" t="s">
        <v>5306</v>
      </c>
    </row>
    <row r="463" ht="15.75" customHeight="1">
      <c r="A463" s="26">
        <v>46054.0</v>
      </c>
      <c r="B463" s="25" t="s">
        <v>4390</v>
      </c>
      <c r="C463" s="25" t="s">
        <v>63</v>
      </c>
      <c r="D463" s="25" t="s">
        <v>81</v>
      </c>
      <c r="E463" s="29">
        <v>310.0</v>
      </c>
      <c r="F463" s="29">
        <f>SUMIFS(crm_orders!$J:$J,crm_orders!$B:$B,"&gt;="&amp;A463,crm_orders!$B:$B,"&lt;"&amp;DATE(YEAR(A463),MONTH(A463)+1,1),crm_orders!$E:$E,B463,crm_orders!$G:$G,C463,crm_orders!$H:$H,D463)</f>
        <v>0</v>
      </c>
      <c r="G463" s="29">
        <f>SUMIFS(warehouse_shipments!$H:$H,warehouse_shipments!$C:$C,"&gt;="&amp;A463,warehouse_shipments!$C:$C,"&lt;"&amp;DATE(YEAR(A463),MONTH(A463)+1,1),warehouse_shipments!$P:$P,B463,warehouse_shipments!$Q:$Q,C463,warehouse_shipments!$R:$R,D463)</f>
        <v>0</v>
      </c>
      <c r="H463" s="30">
        <f t="shared" si="1"/>
        <v>-310</v>
      </c>
      <c r="I463" s="65">
        <f t="shared" si="2"/>
        <v>0</v>
      </c>
      <c r="J463" s="30" t="s">
        <v>5311</v>
      </c>
    </row>
    <row r="464" ht="15.75" customHeight="1">
      <c r="A464" s="18">
        <v>46054.0</v>
      </c>
      <c r="B464" s="17" t="s">
        <v>4390</v>
      </c>
      <c r="C464" s="17" t="s">
        <v>63</v>
      </c>
      <c r="D464" s="17" t="s">
        <v>92</v>
      </c>
      <c r="E464" s="21">
        <v>370.0</v>
      </c>
      <c r="F464" s="21">
        <f>SUMIFS(crm_orders!$J:$J,crm_orders!$B:$B,"&gt;="&amp;A464,crm_orders!$B:$B,"&lt;"&amp;DATE(YEAR(A464),MONTH(A464)+1,1),crm_orders!$E:$E,B464,crm_orders!$G:$G,C464,crm_orders!$H:$H,D464)</f>
        <v>12</v>
      </c>
      <c r="G464" s="21">
        <f>SUMIFS(warehouse_shipments!$H:$H,warehouse_shipments!$C:$C,"&gt;="&amp;A464,warehouse_shipments!$C:$C,"&lt;"&amp;DATE(YEAR(A464),MONTH(A464)+1,1),warehouse_shipments!$P:$P,B464,warehouse_shipments!$Q:$Q,C464,warehouse_shipments!$R:$R,D464)</f>
        <v>0</v>
      </c>
      <c r="H464" s="22">
        <f t="shared" si="1"/>
        <v>-358</v>
      </c>
      <c r="I464" s="64">
        <f t="shared" si="2"/>
        <v>0.03243243243</v>
      </c>
      <c r="J464" s="22" t="s">
        <v>5309</v>
      </c>
    </row>
    <row r="465" ht="15.75" customHeight="1">
      <c r="A465" s="26">
        <v>46054.0</v>
      </c>
      <c r="B465" s="25" t="s">
        <v>4390</v>
      </c>
      <c r="C465" s="25" t="s">
        <v>63</v>
      </c>
      <c r="D465" s="25" t="s">
        <v>156</v>
      </c>
      <c r="E465" s="29">
        <v>113.0</v>
      </c>
      <c r="F465" s="29">
        <f>SUMIFS(crm_orders!$J:$J,crm_orders!$B:$B,"&gt;="&amp;A465,crm_orders!$B:$B,"&lt;"&amp;DATE(YEAR(A465),MONTH(A465)+1,1),crm_orders!$E:$E,B465,crm_orders!$G:$G,C465,crm_orders!$H:$H,D465)</f>
        <v>168</v>
      </c>
      <c r="G465" s="29">
        <f>SUMIFS(warehouse_shipments!$H:$H,warehouse_shipments!$C:$C,"&gt;="&amp;A465,warehouse_shipments!$C:$C,"&lt;"&amp;DATE(YEAR(A465),MONTH(A465)+1,1),warehouse_shipments!$P:$P,B465,warehouse_shipments!$Q:$Q,C465,warehouse_shipments!$R:$R,D465)</f>
        <v>168</v>
      </c>
      <c r="H465" s="30">
        <f t="shared" si="1"/>
        <v>55</v>
      </c>
      <c r="I465" s="65">
        <f t="shared" si="2"/>
        <v>0.5132743363</v>
      </c>
      <c r="J465" s="30" t="s">
        <v>5309</v>
      </c>
    </row>
    <row r="466" ht="15.75" customHeight="1">
      <c r="A466" s="18">
        <v>46054.0</v>
      </c>
      <c r="B466" s="17" t="s">
        <v>4390</v>
      </c>
      <c r="C466" s="17" t="s">
        <v>67</v>
      </c>
      <c r="D466" s="17" t="s">
        <v>115</v>
      </c>
      <c r="E466" s="21">
        <v>82.0</v>
      </c>
      <c r="F466" s="21">
        <f>SUMIFS(crm_orders!$J:$J,crm_orders!$B:$B,"&gt;="&amp;A466,crm_orders!$B:$B,"&lt;"&amp;DATE(YEAR(A466),MONTH(A466)+1,1),crm_orders!$E:$E,B466,crm_orders!$G:$G,C466,crm_orders!$H:$H,D466)</f>
        <v>0</v>
      </c>
      <c r="G466" s="21">
        <f>SUMIFS(warehouse_shipments!$H:$H,warehouse_shipments!$C:$C,"&gt;="&amp;A466,warehouse_shipments!$C:$C,"&lt;"&amp;DATE(YEAR(A466),MONTH(A466)+1,1),warehouse_shipments!$P:$P,B466,warehouse_shipments!$Q:$Q,C466,warehouse_shipments!$R:$R,D466)</f>
        <v>0</v>
      </c>
      <c r="H466" s="22">
        <f t="shared" si="1"/>
        <v>-82</v>
      </c>
      <c r="I466" s="64">
        <f t="shared" si="2"/>
        <v>0</v>
      </c>
      <c r="J466" s="22" t="s">
        <v>5307</v>
      </c>
    </row>
    <row r="467" ht="15.75" customHeight="1">
      <c r="A467" s="26">
        <v>46054.0</v>
      </c>
      <c r="B467" s="25" t="s">
        <v>4390</v>
      </c>
      <c r="C467" s="25" t="s">
        <v>67</v>
      </c>
      <c r="D467" s="25" t="s">
        <v>90</v>
      </c>
      <c r="E467" s="29">
        <v>506.0</v>
      </c>
      <c r="F467" s="29">
        <f>SUMIFS(crm_orders!$J:$J,crm_orders!$B:$B,"&gt;="&amp;A467,crm_orders!$B:$B,"&lt;"&amp;DATE(YEAR(A467),MONTH(A467)+1,1),crm_orders!$E:$E,B467,crm_orders!$G:$G,C467,crm_orders!$H:$H,D467)</f>
        <v>0</v>
      </c>
      <c r="G467" s="29">
        <f>SUMIFS(warehouse_shipments!$H:$H,warehouse_shipments!$C:$C,"&gt;="&amp;A467,warehouse_shipments!$C:$C,"&lt;"&amp;DATE(YEAR(A467),MONTH(A467)+1,1),warehouse_shipments!$P:$P,B467,warehouse_shipments!$Q:$Q,C467,warehouse_shipments!$R:$R,D467)</f>
        <v>0</v>
      </c>
      <c r="H467" s="30">
        <f t="shared" si="1"/>
        <v>-506</v>
      </c>
      <c r="I467" s="65">
        <f t="shared" si="2"/>
        <v>0</v>
      </c>
      <c r="J467" s="30" t="s">
        <v>5308</v>
      </c>
    </row>
    <row r="468" ht="15.75" customHeight="1">
      <c r="A468" s="18">
        <v>46054.0</v>
      </c>
      <c r="B468" s="17" t="s">
        <v>4390</v>
      </c>
      <c r="C468" s="17" t="s">
        <v>67</v>
      </c>
      <c r="D468" s="17" t="s">
        <v>74</v>
      </c>
      <c r="E468" s="21">
        <v>97.0</v>
      </c>
      <c r="F468" s="21">
        <f>SUMIFS(crm_orders!$J:$J,crm_orders!$B:$B,"&gt;="&amp;A468,crm_orders!$B:$B,"&lt;"&amp;DATE(YEAR(A468),MONTH(A468)+1,1),crm_orders!$E:$E,B468,crm_orders!$G:$G,C468,crm_orders!$H:$H,D468)</f>
        <v>0</v>
      </c>
      <c r="G468" s="21">
        <f>SUMIFS(warehouse_shipments!$H:$H,warehouse_shipments!$C:$C,"&gt;="&amp;A468,warehouse_shipments!$C:$C,"&lt;"&amp;DATE(YEAR(A468),MONTH(A468)+1,1),warehouse_shipments!$P:$P,B468,warehouse_shipments!$Q:$Q,C468,warehouse_shipments!$R:$R,D468)</f>
        <v>0</v>
      </c>
      <c r="H468" s="22">
        <f t="shared" si="1"/>
        <v>-97</v>
      </c>
      <c r="I468" s="64">
        <f t="shared" si="2"/>
        <v>0</v>
      </c>
      <c r="J468" s="22" t="s">
        <v>5310</v>
      </c>
    </row>
    <row r="469" ht="15.75" customHeight="1">
      <c r="A469" s="26">
        <v>46054.0</v>
      </c>
      <c r="B469" s="25" t="s">
        <v>4390</v>
      </c>
      <c r="C469" s="25" t="s">
        <v>67</v>
      </c>
      <c r="D469" s="25" t="s">
        <v>190</v>
      </c>
      <c r="E469" s="29">
        <v>390.0</v>
      </c>
      <c r="F469" s="29">
        <f>SUMIFS(crm_orders!$J:$J,crm_orders!$B:$B,"&gt;="&amp;A469,crm_orders!$B:$B,"&lt;"&amp;DATE(YEAR(A469),MONTH(A469)+1,1),crm_orders!$E:$E,B469,crm_orders!$G:$G,C469,crm_orders!$H:$H,D469)</f>
        <v>24</v>
      </c>
      <c r="G469" s="29">
        <f>SUMIFS(warehouse_shipments!$H:$H,warehouse_shipments!$C:$C,"&gt;="&amp;A469,warehouse_shipments!$C:$C,"&lt;"&amp;DATE(YEAR(A469),MONTH(A469)+1,1),warehouse_shipments!$P:$P,B469,warehouse_shipments!$Q:$Q,C469,warehouse_shipments!$R:$R,D469)</f>
        <v>0</v>
      </c>
      <c r="H469" s="30">
        <f t="shared" si="1"/>
        <v>-366</v>
      </c>
      <c r="I469" s="65">
        <f t="shared" si="2"/>
        <v>0.06153846154</v>
      </c>
      <c r="J469" s="30" t="s">
        <v>5310</v>
      </c>
    </row>
    <row r="470" ht="15.75" customHeight="1">
      <c r="A470" s="18">
        <v>46054.0</v>
      </c>
      <c r="B470" s="17" t="s">
        <v>4390</v>
      </c>
      <c r="C470" s="17" t="s">
        <v>67</v>
      </c>
      <c r="D470" s="17" t="s">
        <v>68</v>
      </c>
      <c r="E470" s="21">
        <v>146.0</v>
      </c>
      <c r="F470" s="21">
        <f>SUMIFS(crm_orders!$J:$J,crm_orders!$B:$B,"&gt;="&amp;A470,crm_orders!$B:$B,"&lt;"&amp;DATE(YEAR(A470),MONTH(A470)+1,1),crm_orders!$E:$E,B470,crm_orders!$G:$G,C470,crm_orders!$H:$H,D470)</f>
        <v>0</v>
      </c>
      <c r="G470" s="21">
        <f>SUMIFS(warehouse_shipments!$H:$H,warehouse_shipments!$C:$C,"&gt;="&amp;A470,warehouse_shipments!$C:$C,"&lt;"&amp;DATE(YEAR(A470),MONTH(A470)+1,1),warehouse_shipments!$P:$P,B470,warehouse_shipments!$Q:$Q,C470,warehouse_shipments!$R:$R,D470)</f>
        <v>0</v>
      </c>
      <c r="H470" s="22">
        <f t="shared" si="1"/>
        <v>-146</v>
      </c>
      <c r="I470" s="64">
        <f t="shared" si="2"/>
        <v>0</v>
      </c>
      <c r="J470" s="22" t="s">
        <v>5309</v>
      </c>
    </row>
    <row r="471" ht="15.75" customHeight="1">
      <c r="A471" s="26">
        <v>46054.0</v>
      </c>
      <c r="B471" s="25" t="s">
        <v>4390</v>
      </c>
      <c r="C471" s="25" t="s">
        <v>67</v>
      </c>
      <c r="D471" s="25" t="s">
        <v>78</v>
      </c>
      <c r="E471" s="29">
        <v>482.0</v>
      </c>
      <c r="F471" s="29">
        <f>SUMIFS(crm_orders!$J:$J,crm_orders!$B:$B,"&gt;="&amp;A471,crm_orders!$B:$B,"&lt;"&amp;DATE(YEAR(A471),MONTH(A471)+1,1),crm_orders!$E:$E,B471,crm_orders!$G:$G,C471,crm_orders!$H:$H,D471)</f>
        <v>0</v>
      </c>
      <c r="G471" s="29">
        <f>SUMIFS(warehouse_shipments!$H:$H,warehouse_shipments!$C:$C,"&gt;="&amp;A471,warehouse_shipments!$C:$C,"&lt;"&amp;DATE(YEAR(A471),MONTH(A471)+1,1),warehouse_shipments!$P:$P,B471,warehouse_shipments!$Q:$Q,C471,warehouse_shipments!$R:$R,D471)</f>
        <v>0</v>
      </c>
      <c r="H471" s="30">
        <f t="shared" si="1"/>
        <v>-482</v>
      </c>
      <c r="I471" s="65">
        <f t="shared" si="2"/>
        <v>0</v>
      </c>
      <c r="J471" s="30" t="s">
        <v>5307</v>
      </c>
    </row>
    <row r="472" ht="15.75" customHeight="1">
      <c r="A472" s="18">
        <v>46054.0</v>
      </c>
      <c r="B472" s="17" t="s">
        <v>4390</v>
      </c>
      <c r="C472" s="17" t="s">
        <v>67</v>
      </c>
      <c r="D472" s="17" t="s">
        <v>64</v>
      </c>
      <c r="E472" s="21">
        <v>365.0</v>
      </c>
      <c r="F472" s="21">
        <f>SUMIFS(crm_orders!$J:$J,crm_orders!$B:$B,"&gt;="&amp;A472,crm_orders!$B:$B,"&lt;"&amp;DATE(YEAR(A472),MONTH(A472)+1,1),crm_orders!$E:$E,B472,crm_orders!$G:$G,C472,crm_orders!$H:$H,D472)</f>
        <v>0</v>
      </c>
      <c r="G472" s="21">
        <f>SUMIFS(warehouse_shipments!$H:$H,warehouse_shipments!$C:$C,"&gt;="&amp;A472,warehouse_shipments!$C:$C,"&lt;"&amp;DATE(YEAR(A472),MONTH(A472)+1,1),warehouse_shipments!$P:$P,B472,warehouse_shipments!$Q:$Q,C472,warehouse_shipments!$R:$R,D472)</f>
        <v>0</v>
      </c>
      <c r="H472" s="22">
        <f t="shared" si="1"/>
        <v>-365</v>
      </c>
      <c r="I472" s="64">
        <f t="shared" si="2"/>
        <v>0</v>
      </c>
      <c r="J472" s="22" t="s">
        <v>5309</v>
      </c>
    </row>
    <row r="473" ht="15.75" customHeight="1">
      <c r="A473" s="26">
        <v>46054.0</v>
      </c>
      <c r="B473" s="25" t="s">
        <v>4390</v>
      </c>
      <c r="C473" s="25" t="s">
        <v>67</v>
      </c>
      <c r="D473" s="25" t="s">
        <v>81</v>
      </c>
      <c r="E473" s="29">
        <v>476.0</v>
      </c>
      <c r="F473" s="29">
        <f>SUMIFS(crm_orders!$J:$J,crm_orders!$B:$B,"&gt;="&amp;A473,crm_orders!$B:$B,"&lt;"&amp;DATE(YEAR(A473),MONTH(A473)+1,1),crm_orders!$E:$E,B473,crm_orders!$G:$G,C473,crm_orders!$H:$H,D473)</f>
        <v>0</v>
      </c>
      <c r="G473" s="29">
        <f>SUMIFS(warehouse_shipments!$H:$H,warehouse_shipments!$C:$C,"&gt;="&amp;A473,warehouse_shipments!$C:$C,"&lt;"&amp;DATE(YEAR(A473),MONTH(A473)+1,1),warehouse_shipments!$P:$P,B473,warehouse_shipments!$Q:$Q,C473,warehouse_shipments!$R:$R,D473)</f>
        <v>0</v>
      </c>
      <c r="H473" s="30">
        <f t="shared" si="1"/>
        <v>-476</v>
      </c>
      <c r="I473" s="65">
        <f t="shared" si="2"/>
        <v>0</v>
      </c>
      <c r="J473" s="30" t="s">
        <v>5308</v>
      </c>
    </row>
    <row r="474" ht="15.75" customHeight="1">
      <c r="A474" s="18">
        <v>46054.0</v>
      </c>
      <c r="B474" s="17" t="s">
        <v>4390</v>
      </c>
      <c r="C474" s="17" t="s">
        <v>89</v>
      </c>
      <c r="D474" s="17" t="s">
        <v>123</v>
      </c>
      <c r="E474" s="21">
        <v>376.0</v>
      </c>
      <c r="F474" s="21">
        <f>SUMIFS(crm_orders!$J:$J,crm_orders!$B:$B,"&gt;="&amp;A474,crm_orders!$B:$B,"&lt;"&amp;DATE(YEAR(A474),MONTH(A474)+1,1),crm_orders!$E:$E,B474,crm_orders!$G:$G,C474,crm_orders!$H:$H,D474)</f>
        <v>120</v>
      </c>
      <c r="G474" s="21">
        <f>SUMIFS(warehouse_shipments!$H:$H,warehouse_shipments!$C:$C,"&gt;="&amp;A474,warehouse_shipments!$C:$C,"&lt;"&amp;DATE(YEAR(A474),MONTH(A474)+1,1),warehouse_shipments!$P:$P,B474,warehouse_shipments!$Q:$Q,C474,warehouse_shipments!$R:$R,D474)</f>
        <v>0</v>
      </c>
      <c r="H474" s="22">
        <f t="shared" si="1"/>
        <v>-256</v>
      </c>
      <c r="I474" s="64">
        <f t="shared" si="2"/>
        <v>0.3191489362</v>
      </c>
      <c r="J474" s="22" t="s">
        <v>5309</v>
      </c>
    </row>
    <row r="475" ht="15.75" customHeight="1">
      <c r="A475" s="26">
        <v>46054.0</v>
      </c>
      <c r="B475" s="25" t="s">
        <v>4390</v>
      </c>
      <c r="C475" s="25" t="s">
        <v>89</v>
      </c>
      <c r="D475" s="25" t="s">
        <v>102</v>
      </c>
      <c r="E475" s="29">
        <v>323.0</v>
      </c>
      <c r="F475" s="29">
        <f>SUMIFS(crm_orders!$J:$J,crm_orders!$B:$B,"&gt;="&amp;A475,crm_orders!$B:$B,"&lt;"&amp;DATE(YEAR(A475),MONTH(A475)+1,1),crm_orders!$E:$E,B475,crm_orders!$G:$G,C475,crm_orders!$H:$H,D475)</f>
        <v>0</v>
      </c>
      <c r="G475" s="29">
        <f>SUMIFS(warehouse_shipments!$H:$H,warehouse_shipments!$C:$C,"&gt;="&amp;A475,warehouse_shipments!$C:$C,"&lt;"&amp;DATE(YEAR(A475),MONTH(A475)+1,1),warehouse_shipments!$P:$P,B475,warehouse_shipments!$Q:$Q,C475,warehouse_shipments!$R:$R,D475)</f>
        <v>0</v>
      </c>
      <c r="H475" s="30">
        <f t="shared" si="1"/>
        <v>-323</v>
      </c>
      <c r="I475" s="65">
        <f t="shared" si="2"/>
        <v>0</v>
      </c>
      <c r="J475" s="30" t="s">
        <v>5309</v>
      </c>
    </row>
    <row r="476" ht="15.75" customHeight="1">
      <c r="A476" s="18">
        <v>46054.0</v>
      </c>
      <c r="B476" s="17" t="s">
        <v>4390</v>
      </c>
      <c r="C476" s="17" t="s">
        <v>89</v>
      </c>
      <c r="D476" s="17" t="s">
        <v>154</v>
      </c>
      <c r="E476" s="21">
        <v>153.0</v>
      </c>
      <c r="F476" s="21">
        <f>SUMIFS(crm_orders!$J:$J,crm_orders!$B:$B,"&gt;="&amp;A476,crm_orders!$B:$B,"&lt;"&amp;DATE(YEAR(A476),MONTH(A476)+1,1),crm_orders!$E:$E,B476,crm_orders!$G:$G,C476,crm_orders!$H:$H,D476)</f>
        <v>0</v>
      </c>
      <c r="G476" s="21">
        <f>SUMIFS(warehouse_shipments!$H:$H,warehouse_shipments!$C:$C,"&gt;="&amp;A476,warehouse_shipments!$C:$C,"&lt;"&amp;DATE(YEAR(A476),MONTH(A476)+1,1),warehouse_shipments!$P:$P,B476,warehouse_shipments!$Q:$Q,C476,warehouse_shipments!$R:$R,D476)</f>
        <v>0</v>
      </c>
      <c r="H476" s="22">
        <f t="shared" si="1"/>
        <v>-153</v>
      </c>
      <c r="I476" s="64">
        <f t="shared" si="2"/>
        <v>0</v>
      </c>
      <c r="J476" s="22" t="s">
        <v>5311</v>
      </c>
    </row>
    <row r="477" ht="15.75" customHeight="1">
      <c r="A477" s="26">
        <v>46054.0</v>
      </c>
      <c r="B477" s="25" t="s">
        <v>4390</v>
      </c>
      <c r="C477" s="25" t="s">
        <v>89</v>
      </c>
      <c r="D477" s="25" t="s">
        <v>190</v>
      </c>
      <c r="E477" s="29">
        <v>282.0</v>
      </c>
      <c r="F477" s="29">
        <f>SUMIFS(crm_orders!$J:$J,crm_orders!$B:$B,"&gt;="&amp;A477,crm_orders!$B:$B,"&lt;"&amp;DATE(YEAR(A477),MONTH(A477)+1,1),crm_orders!$E:$E,B477,crm_orders!$G:$G,C477,crm_orders!$H:$H,D477)</f>
        <v>72</v>
      </c>
      <c r="G477" s="29">
        <f>SUMIFS(warehouse_shipments!$H:$H,warehouse_shipments!$C:$C,"&gt;="&amp;A477,warehouse_shipments!$C:$C,"&lt;"&amp;DATE(YEAR(A477),MONTH(A477)+1,1),warehouse_shipments!$P:$P,B477,warehouse_shipments!$Q:$Q,C477,warehouse_shipments!$R:$R,D477)</f>
        <v>72</v>
      </c>
      <c r="H477" s="30">
        <f t="shared" si="1"/>
        <v>-210</v>
      </c>
      <c r="I477" s="65">
        <f t="shared" si="2"/>
        <v>0.2553191489</v>
      </c>
      <c r="J477" s="30" t="s">
        <v>5311</v>
      </c>
    </row>
    <row r="478" ht="15.75" customHeight="1">
      <c r="A478" s="18">
        <v>46054.0</v>
      </c>
      <c r="B478" s="17" t="s">
        <v>4390</v>
      </c>
      <c r="C478" s="17" t="s">
        <v>89</v>
      </c>
      <c r="D478" s="17" t="s">
        <v>162</v>
      </c>
      <c r="E478" s="21">
        <v>292.0</v>
      </c>
      <c r="F478" s="21">
        <f>SUMIFS(crm_orders!$J:$J,crm_orders!$B:$B,"&gt;="&amp;A478,crm_orders!$B:$B,"&lt;"&amp;DATE(YEAR(A478),MONTH(A478)+1,1),crm_orders!$E:$E,B478,crm_orders!$G:$G,C478,crm_orders!$H:$H,D478)</f>
        <v>0</v>
      </c>
      <c r="G478" s="21">
        <f>SUMIFS(warehouse_shipments!$H:$H,warehouse_shipments!$C:$C,"&gt;="&amp;A478,warehouse_shipments!$C:$C,"&lt;"&amp;DATE(YEAR(A478),MONTH(A478)+1,1),warehouse_shipments!$P:$P,B478,warehouse_shipments!$Q:$Q,C478,warehouse_shipments!$R:$R,D478)</f>
        <v>0</v>
      </c>
      <c r="H478" s="22">
        <f t="shared" si="1"/>
        <v>-292</v>
      </c>
      <c r="I478" s="64">
        <f t="shared" si="2"/>
        <v>0</v>
      </c>
      <c r="J478" s="22" t="s">
        <v>5310</v>
      </c>
    </row>
    <row r="479" ht="15.75" customHeight="1">
      <c r="A479" s="26">
        <v>46054.0</v>
      </c>
      <c r="B479" s="25" t="s">
        <v>4390</v>
      </c>
      <c r="C479" s="25" t="s">
        <v>89</v>
      </c>
      <c r="D479" s="25" t="s">
        <v>95</v>
      </c>
      <c r="E479" s="29">
        <v>304.0</v>
      </c>
      <c r="F479" s="29">
        <f>SUMIFS(crm_orders!$J:$J,crm_orders!$B:$B,"&gt;="&amp;A479,crm_orders!$B:$B,"&lt;"&amp;DATE(YEAR(A479),MONTH(A479)+1,1),crm_orders!$E:$E,B479,crm_orders!$G:$G,C479,crm_orders!$H:$H,D479)</f>
        <v>0</v>
      </c>
      <c r="G479" s="29">
        <f>SUMIFS(warehouse_shipments!$H:$H,warehouse_shipments!$C:$C,"&gt;="&amp;A479,warehouse_shipments!$C:$C,"&lt;"&amp;DATE(YEAR(A479),MONTH(A479)+1,1),warehouse_shipments!$P:$P,B479,warehouse_shipments!$Q:$Q,C479,warehouse_shipments!$R:$R,D479)</f>
        <v>0</v>
      </c>
      <c r="H479" s="30">
        <f t="shared" si="1"/>
        <v>-304</v>
      </c>
      <c r="I479" s="65">
        <f t="shared" si="2"/>
        <v>0</v>
      </c>
      <c r="J479" s="30" t="s">
        <v>5308</v>
      </c>
    </row>
    <row r="480" ht="15.75" customHeight="1">
      <c r="A480" s="18">
        <v>46054.0</v>
      </c>
      <c r="B480" s="17" t="s">
        <v>4390</v>
      </c>
      <c r="C480" s="17" t="s">
        <v>89</v>
      </c>
      <c r="D480" s="17" t="s">
        <v>64</v>
      </c>
      <c r="E480" s="21">
        <v>335.0</v>
      </c>
      <c r="F480" s="21">
        <f>SUMIFS(crm_orders!$J:$J,crm_orders!$B:$B,"&gt;="&amp;A480,crm_orders!$B:$B,"&lt;"&amp;DATE(YEAR(A480),MONTH(A480)+1,1),crm_orders!$E:$E,B480,crm_orders!$G:$G,C480,crm_orders!$H:$H,D480)</f>
        <v>0</v>
      </c>
      <c r="G480" s="21">
        <f>SUMIFS(warehouse_shipments!$H:$H,warehouse_shipments!$C:$C,"&gt;="&amp;A480,warehouse_shipments!$C:$C,"&lt;"&amp;DATE(YEAR(A480),MONTH(A480)+1,1),warehouse_shipments!$P:$P,B480,warehouse_shipments!$Q:$Q,C480,warehouse_shipments!$R:$R,D480)</f>
        <v>0</v>
      </c>
      <c r="H480" s="22">
        <f t="shared" si="1"/>
        <v>-335</v>
      </c>
      <c r="I480" s="64">
        <f t="shared" si="2"/>
        <v>0</v>
      </c>
      <c r="J480" s="22" t="s">
        <v>5307</v>
      </c>
    </row>
    <row r="481" ht="15.75" customHeight="1">
      <c r="A481" s="26">
        <v>46054.0</v>
      </c>
      <c r="B481" s="25" t="s">
        <v>4390</v>
      </c>
      <c r="C481" s="25" t="s">
        <v>89</v>
      </c>
      <c r="D481" s="25" t="s">
        <v>74</v>
      </c>
      <c r="E481" s="29">
        <v>176.0</v>
      </c>
      <c r="F481" s="29">
        <f>SUMIFS(crm_orders!$J:$J,crm_orders!$B:$B,"&gt;="&amp;A481,crm_orders!$B:$B,"&lt;"&amp;DATE(YEAR(A481),MONTH(A481)+1,1),crm_orders!$E:$E,B481,crm_orders!$G:$G,C481,crm_orders!$H:$H,D481)</f>
        <v>0</v>
      </c>
      <c r="G481" s="29">
        <f>SUMIFS(warehouse_shipments!$H:$H,warehouse_shipments!$C:$C,"&gt;="&amp;A481,warehouse_shipments!$C:$C,"&lt;"&amp;DATE(YEAR(A481),MONTH(A481)+1,1),warehouse_shipments!$P:$P,B481,warehouse_shipments!$Q:$Q,C481,warehouse_shipments!$R:$R,D481)</f>
        <v>0</v>
      </c>
      <c r="H481" s="30">
        <f t="shared" si="1"/>
        <v>-176</v>
      </c>
      <c r="I481" s="65">
        <f t="shared" si="2"/>
        <v>0</v>
      </c>
      <c r="J481" s="30" t="s">
        <v>5310</v>
      </c>
    </row>
    <row r="482" ht="15.75" customHeight="1">
      <c r="A482" s="18">
        <v>46054.0</v>
      </c>
      <c r="B482" s="17" t="s">
        <v>4465</v>
      </c>
      <c r="C482" s="17" t="s">
        <v>63</v>
      </c>
      <c r="D482" s="17" t="s">
        <v>71</v>
      </c>
      <c r="E482" s="21">
        <v>505.0</v>
      </c>
      <c r="F482" s="21">
        <f>SUMIFS(crm_orders!$J:$J,crm_orders!$B:$B,"&gt;="&amp;A482,crm_orders!$B:$B,"&lt;"&amp;DATE(YEAR(A482),MONTH(A482)+1,1),crm_orders!$E:$E,B482,crm_orders!$G:$G,C482,crm_orders!$H:$H,D482)</f>
        <v>240</v>
      </c>
      <c r="G482" s="21">
        <f>SUMIFS(warehouse_shipments!$H:$H,warehouse_shipments!$C:$C,"&gt;="&amp;A482,warehouse_shipments!$C:$C,"&lt;"&amp;DATE(YEAR(A482),MONTH(A482)+1,1),warehouse_shipments!$P:$P,B482,warehouse_shipments!$Q:$Q,C482,warehouse_shipments!$R:$R,D482)</f>
        <v>0</v>
      </c>
      <c r="H482" s="22">
        <f t="shared" si="1"/>
        <v>-265</v>
      </c>
      <c r="I482" s="64">
        <f t="shared" si="2"/>
        <v>0.4752475248</v>
      </c>
      <c r="J482" s="22" t="s">
        <v>5308</v>
      </c>
    </row>
    <row r="483" ht="15.75" customHeight="1">
      <c r="A483" s="26">
        <v>46054.0</v>
      </c>
      <c r="B483" s="25" t="s">
        <v>4465</v>
      </c>
      <c r="C483" s="25" t="s">
        <v>63</v>
      </c>
      <c r="D483" s="25" t="s">
        <v>190</v>
      </c>
      <c r="E483" s="29">
        <v>406.0</v>
      </c>
      <c r="F483" s="29">
        <f>SUMIFS(crm_orders!$J:$J,crm_orders!$B:$B,"&gt;="&amp;A483,crm_orders!$B:$B,"&lt;"&amp;DATE(YEAR(A483),MONTH(A483)+1,1),crm_orders!$E:$E,B483,crm_orders!$G:$G,C483,crm_orders!$H:$H,D483)</f>
        <v>12</v>
      </c>
      <c r="G483" s="29">
        <f>SUMIFS(warehouse_shipments!$H:$H,warehouse_shipments!$C:$C,"&gt;="&amp;A483,warehouse_shipments!$C:$C,"&lt;"&amp;DATE(YEAR(A483),MONTH(A483)+1,1),warehouse_shipments!$P:$P,B483,warehouse_shipments!$Q:$Q,C483,warehouse_shipments!$R:$R,D483)</f>
        <v>0</v>
      </c>
      <c r="H483" s="30">
        <f t="shared" si="1"/>
        <v>-394</v>
      </c>
      <c r="I483" s="65">
        <f t="shared" si="2"/>
        <v>0.02955665025</v>
      </c>
      <c r="J483" s="30" t="s">
        <v>5307</v>
      </c>
    </row>
    <row r="484" ht="15.75" customHeight="1">
      <c r="A484" s="18">
        <v>46054.0</v>
      </c>
      <c r="B484" s="17" t="s">
        <v>4465</v>
      </c>
      <c r="C484" s="17" t="s">
        <v>63</v>
      </c>
      <c r="D484" s="17" t="s">
        <v>123</v>
      </c>
      <c r="E484" s="21">
        <v>330.0</v>
      </c>
      <c r="F484" s="21">
        <f>SUMIFS(crm_orders!$J:$J,crm_orders!$B:$B,"&gt;="&amp;A484,crm_orders!$B:$B,"&lt;"&amp;DATE(YEAR(A484),MONTH(A484)+1,1),crm_orders!$E:$E,B484,crm_orders!$G:$G,C484,crm_orders!$H:$H,D484)</f>
        <v>0</v>
      </c>
      <c r="G484" s="21">
        <f>SUMIFS(warehouse_shipments!$H:$H,warehouse_shipments!$C:$C,"&gt;="&amp;A484,warehouse_shipments!$C:$C,"&lt;"&amp;DATE(YEAR(A484),MONTH(A484)+1,1),warehouse_shipments!$P:$P,B484,warehouse_shipments!$Q:$Q,C484,warehouse_shipments!$R:$R,D484)</f>
        <v>0</v>
      </c>
      <c r="H484" s="22">
        <f t="shared" si="1"/>
        <v>-330</v>
      </c>
      <c r="I484" s="64">
        <f t="shared" si="2"/>
        <v>0</v>
      </c>
      <c r="J484" s="22" t="s">
        <v>5306</v>
      </c>
    </row>
    <row r="485" ht="15.75" customHeight="1">
      <c r="A485" s="26">
        <v>46054.0</v>
      </c>
      <c r="B485" s="25" t="s">
        <v>4465</v>
      </c>
      <c r="C485" s="25" t="s">
        <v>63</v>
      </c>
      <c r="D485" s="25" t="s">
        <v>85</v>
      </c>
      <c r="E485" s="29">
        <v>386.0</v>
      </c>
      <c r="F485" s="29">
        <f>SUMIFS(crm_orders!$J:$J,crm_orders!$B:$B,"&gt;="&amp;A485,crm_orders!$B:$B,"&lt;"&amp;DATE(YEAR(A485),MONTH(A485)+1,1),crm_orders!$E:$E,B485,crm_orders!$G:$G,C485,crm_orders!$H:$H,D485)</f>
        <v>0</v>
      </c>
      <c r="G485" s="29">
        <f>SUMIFS(warehouse_shipments!$H:$H,warehouse_shipments!$C:$C,"&gt;="&amp;A485,warehouse_shipments!$C:$C,"&lt;"&amp;DATE(YEAR(A485),MONTH(A485)+1,1),warehouse_shipments!$P:$P,B485,warehouse_shipments!$Q:$Q,C485,warehouse_shipments!$R:$R,D485)</f>
        <v>0</v>
      </c>
      <c r="H485" s="30">
        <f t="shared" si="1"/>
        <v>-386</v>
      </c>
      <c r="I485" s="65">
        <f t="shared" si="2"/>
        <v>0</v>
      </c>
      <c r="J485" s="30" t="s">
        <v>5309</v>
      </c>
    </row>
    <row r="486" ht="15.75" customHeight="1">
      <c r="A486" s="18">
        <v>46054.0</v>
      </c>
      <c r="B486" s="17" t="s">
        <v>4465</v>
      </c>
      <c r="C486" s="17" t="s">
        <v>63</v>
      </c>
      <c r="D486" s="17" t="s">
        <v>106</v>
      </c>
      <c r="E486" s="21">
        <v>389.0</v>
      </c>
      <c r="F486" s="21">
        <f>SUMIFS(crm_orders!$J:$J,crm_orders!$B:$B,"&gt;="&amp;A486,crm_orders!$B:$B,"&lt;"&amp;DATE(YEAR(A486),MONTH(A486)+1,1),crm_orders!$E:$E,B486,crm_orders!$G:$G,C486,crm_orders!$H:$H,D486)</f>
        <v>12</v>
      </c>
      <c r="G486" s="21">
        <f>SUMIFS(warehouse_shipments!$H:$H,warehouse_shipments!$C:$C,"&gt;="&amp;A486,warehouse_shipments!$C:$C,"&lt;"&amp;DATE(YEAR(A486),MONTH(A486)+1,1),warehouse_shipments!$P:$P,B486,warehouse_shipments!$Q:$Q,C486,warehouse_shipments!$R:$R,D486)</f>
        <v>12</v>
      </c>
      <c r="H486" s="22">
        <f t="shared" si="1"/>
        <v>-377</v>
      </c>
      <c r="I486" s="64">
        <f t="shared" si="2"/>
        <v>0.03084832905</v>
      </c>
      <c r="J486" s="22" t="s">
        <v>5308</v>
      </c>
    </row>
    <row r="487" ht="15.75" customHeight="1">
      <c r="A487" s="26">
        <v>46054.0</v>
      </c>
      <c r="B487" s="25" t="s">
        <v>4465</v>
      </c>
      <c r="C487" s="25" t="s">
        <v>63</v>
      </c>
      <c r="D487" s="25" t="s">
        <v>115</v>
      </c>
      <c r="E487" s="29">
        <v>116.0</v>
      </c>
      <c r="F487" s="29">
        <f>SUMIFS(crm_orders!$J:$J,crm_orders!$B:$B,"&gt;="&amp;A487,crm_orders!$B:$B,"&lt;"&amp;DATE(YEAR(A487),MONTH(A487)+1,1),crm_orders!$E:$E,B487,crm_orders!$G:$G,C487,crm_orders!$H:$H,D487)</f>
        <v>0</v>
      </c>
      <c r="G487" s="29">
        <f>SUMIFS(warehouse_shipments!$H:$H,warehouse_shipments!$C:$C,"&gt;="&amp;A487,warehouse_shipments!$C:$C,"&lt;"&amp;DATE(YEAR(A487),MONTH(A487)+1,1),warehouse_shipments!$P:$P,B487,warehouse_shipments!$Q:$Q,C487,warehouse_shipments!$R:$R,D487)</f>
        <v>0</v>
      </c>
      <c r="H487" s="30">
        <f t="shared" si="1"/>
        <v>-116</v>
      </c>
      <c r="I487" s="65">
        <f t="shared" si="2"/>
        <v>0</v>
      </c>
      <c r="J487" s="30" t="s">
        <v>5310</v>
      </c>
    </row>
    <row r="488" ht="15.75" customHeight="1">
      <c r="A488" s="18">
        <v>46054.0</v>
      </c>
      <c r="B488" s="17" t="s">
        <v>4465</v>
      </c>
      <c r="C488" s="17" t="s">
        <v>63</v>
      </c>
      <c r="D488" s="17" t="s">
        <v>92</v>
      </c>
      <c r="E488" s="21">
        <v>149.0</v>
      </c>
      <c r="F488" s="21">
        <f>SUMIFS(crm_orders!$J:$J,crm_orders!$B:$B,"&gt;="&amp;A488,crm_orders!$B:$B,"&lt;"&amp;DATE(YEAR(A488),MONTH(A488)+1,1),crm_orders!$E:$E,B488,crm_orders!$G:$G,C488,crm_orders!$H:$H,D488)</f>
        <v>60</v>
      </c>
      <c r="G488" s="21">
        <f>SUMIFS(warehouse_shipments!$H:$H,warehouse_shipments!$C:$C,"&gt;="&amp;A488,warehouse_shipments!$C:$C,"&lt;"&amp;DATE(YEAR(A488),MONTH(A488)+1,1),warehouse_shipments!$P:$P,B488,warehouse_shipments!$Q:$Q,C488,warehouse_shipments!$R:$R,D488)</f>
        <v>60</v>
      </c>
      <c r="H488" s="22">
        <f t="shared" si="1"/>
        <v>-89</v>
      </c>
      <c r="I488" s="64">
        <f t="shared" si="2"/>
        <v>0.4026845638</v>
      </c>
      <c r="J488" s="22" t="s">
        <v>5308</v>
      </c>
    </row>
    <row r="489" ht="15.75" customHeight="1">
      <c r="A489" s="26">
        <v>46054.0</v>
      </c>
      <c r="B489" s="25" t="s">
        <v>4465</v>
      </c>
      <c r="C489" s="25" t="s">
        <v>63</v>
      </c>
      <c r="D489" s="25" t="s">
        <v>108</v>
      </c>
      <c r="E489" s="29">
        <v>346.0</v>
      </c>
      <c r="F489" s="29">
        <f>SUMIFS(crm_orders!$J:$J,crm_orders!$B:$B,"&gt;="&amp;A489,crm_orders!$B:$B,"&lt;"&amp;DATE(YEAR(A489),MONTH(A489)+1,1),crm_orders!$E:$E,B489,crm_orders!$G:$G,C489,crm_orders!$H:$H,D489)</f>
        <v>0</v>
      </c>
      <c r="G489" s="29">
        <f>SUMIFS(warehouse_shipments!$H:$H,warehouse_shipments!$C:$C,"&gt;="&amp;A489,warehouse_shipments!$C:$C,"&lt;"&amp;DATE(YEAR(A489),MONTH(A489)+1,1),warehouse_shipments!$P:$P,B489,warehouse_shipments!$Q:$Q,C489,warehouse_shipments!$R:$R,D489)</f>
        <v>0</v>
      </c>
      <c r="H489" s="30">
        <f t="shared" si="1"/>
        <v>-346</v>
      </c>
      <c r="I489" s="65">
        <f t="shared" si="2"/>
        <v>0</v>
      </c>
      <c r="J489" s="30" t="s">
        <v>5309</v>
      </c>
    </row>
    <row r="490" ht="15.75" customHeight="1">
      <c r="A490" s="18">
        <v>46054.0</v>
      </c>
      <c r="B490" s="17" t="s">
        <v>4465</v>
      </c>
      <c r="C490" s="17" t="s">
        <v>67</v>
      </c>
      <c r="D490" s="17" t="s">
        <v>190</v>
      </c>
      <c r="E490" s="21">
        <v>175.0</v>
      </c>
      <c r="F490" s="21">
        <f>SUMIFS(crm_orders!$J:$J,crm_orders!$B:$B,"&gt;="&amp;A490,crm_orders!$B:$B,"&lt;"&amp;DATE(YEAR(A490),MONTH(A490)+1,1),crm_orders!$E:$E,B490,crm_orders!$G:$G,C490,crm_orders!$H:$H,D490)</f>
        <v>60</v>
      </c>
      <c r="G490" s="21">
        <f>SUMIFS(warehouse_shipments!$H:$H,warehouse_shipments!$C:$C,"&gt;="&amp;A490,warehouse_shipments!$C:$C,"&lt;"&amp;DATE(YEAR(A490),MONTH(A490)+1,1),warehouse_shipments!$P:$P,B490,warehouse_shipments!$Q:$Q,C490,warehouse_shipments!$R:$R,D490)</f>
        <v>0</v>
      </c>
      <c r="H490" s="22">
        <f t="shared" si="1"/>
        <v>-115</v>
      </c>
      <c r="I490" s="64">
        <f t="shared" si="2"/>
        <v>0.3428571429</v>
      </c>
      <c r="J490" s="22" t="s">
        <v>5306</v>
      </c>
    </row>
    <row r="491" ht="15.75" customHeight="1">
      <c r="A491" s="26">
        <v>46054.0</v>
      </c>
      <c r="B491" s="25" t="s">
        <v>4465</v>
      </c>
      <c r="C491" s="25" t="s">
        <v>67</v>
      </c>
      <c r="D491" s="25" t="s">
        <v>64</v>
      </c>
      <c r="E491" s="29">
        <v>162.0</v>
      </c>
      <c r="F491" s="29">
        <f>SUMIFS(crm_orders!$J:$J,crm_orders!$B:$B,"&gt;="&amp;A491,crm_orders!$B:$B,"&lt;"&amp;DATE(YEAR(A491),MONTH(A491)+1,1),crm_orders!$E:$E,B491,crm_orders!$G:$G,C491,crm_orders!$H:$H,D491)</f>
        <v>0</v>
      </c>
      <c r="G491" s="29">
        <f>SUMIFS(warehouse_shipments!$H:$H,warehouse_shipments!$C:$C,"&gt;="&amp;A491,warehouse_shipments!$C:$C,"&lt;"&amp;DATE(YEAR(A491),MONTH(A491)+1,1),warehouse_shipments!$P:$P,B491,warehouse_shipments!$Q:$Q,C491,warehouse_shipments!$R:$R,D491)</f>
        <v>0</v>
      </c>
      <c r="H491" s="30">
        <f t="shared" si="1"/>
        <v>-162</v>
      </c>
      <c r="I491" s="65">
        <f t="shared" si="2"/>
        <v>0</v>
      </c>
      <c r="J491" s="30" t="s">
        <v>5311</v>
      </c>
    </row>
    <row r="492" ht="15.75" customHeight="1">
      <c r="A492" s="18">
        <v>46054.0</v>
      </c>
      <c r="B492" s="17" t="s">
        <v>4465</v>
      </c>
      <c r="C492" s="17" t="s">
        <v>67</v>
      </c>
      <c r="D492" s="17" t="s">
        <v>71</v>
      </c>
      <c r="E492" s="21">
        <v>282.0</v>
      </c>
      <c r="F492" s="21">
        <f>SUMIFS(crm_orders!$J:$J,crm_orders!$B:$B,"&gt;="&amp;A492,crm_orders!$B:$B,"&lt;"&amp;DATE(YEAR(A492),MONTH(A492)+1,1),crm_orders!$E:$E,B492,crm_orders!$G:$G,C492,crm_orders!$H:$H,D492)</f>
        <v>0</v>
      </c>
      <c r="G492" s="21">
        <f>SUMIFS(warehouse_shipments!$H:$H,warehouse_shipments!$C:$C,"&gt;="&amp;A492,warehouse_shipments!$C:$C,"&lt;"&amp;DATE(YEAR(A492),MONTH(A492)+1,1),warehouse_shipments!$P:$P,B492,warehouse_shipments!$Q:$Q,C492,warehouse_shipments!$R:$R,D492)</f>
        <v>0</v>
      </c>
      <c r="H492" s="22">
        <f t="shared" si="1"/>
        <v>-282</v>
      </c>
      <c r="I492" s="64">
        <f t="shared" si="2"/>
        <v>0</v>
      </c>
      <c r="J492" s="22" t="s">
        <v>5311</v>
      </c>
    </row>
    <row r="493" ht="15.75" customHeight="1">
      <c r="A493" s="26">
        <v>46054.0</v>
      </c>
      <c r="B493" s="25" t="s">
        <v>4465</v>
      </c>
      <c r="C493" s="25" t="s">
        <v>67</v>
      </c>
      <c r="D493" s="25" t="s">
        <v>81</v>
      </c>
      <c r="E493" s="29">
        <v>385.0</v>
      </c>
      <c r="F493" s="29">
        <f>SUMIFS(crm_orders!$J:$J,crm_orders!$B:$B,"&gt;="&amp;A493,crm_orders!$B:$B,"&lt;"&amp;DATE(YEAR(A493),MONTH(A493)+1,1),crm_orders!$E:$E,B493,crm_orders!$G:$G,C493,crm_orders!$H:$H,D493)</f>
        <v>0</v>
      </c>
      <c r="G493" s="29">
        <f>SUMIFS(warehouse_shipments!$H:$H,warehouse_shipments!$C:$C,"&gt;="&amp;A493,warehouse_shipments!$C:$C,"&lt;"&amp;DATE(YEAR(A493),MONTH(A493)+1,1),warehouse_shipments!$P:$P,B493,warehouse_shipments!$Q:$Q,C493,warehouse_shipments!$R:$R,D493)</f>
        <v>0</v>
      </c>
      <c r="H493" s="30">
        <f t="shared" si="1"/>
        <v>-385</v>
      </c>
      <c r="I493" s="65">
        <f t="shared" si="2"/>
        <v>0</v>
      </c>
      <c r="J493" s="30" t="s">
        <v>5311</v>
      </c>
    </row>
    <row r="494" ht="15.75" customHeight="1">
      <c r="A494" s="18">
        <v>46054.0</v>
      </c>
      <c r="B494" s="17" t="s">
        <v>4465</v>
      </c>
      <c r="C494" s="17" t="s">
        <v>67</v>
      </c>
      <c r="D494" s="17" t="s">
        <v>106</v>
      </c>
      <c r="E494" s="21">
        <v>238.0</v>
      </c>
      <c r="F494" s="21">
        <f>SUMIFS(crm_orders!$J:$J,crm_orders!$B:$B,"&gt;="&amp;A494,crm_orders!$B:$B,"&lt;"&amp;DATE(YEAR(A494),MONTH(A494)+1,1),crm_orders!$E:$E,B494,crm_orders!$G:$G,C494,crm_orders!$H:$H,D494)</f>
        <v>0</v>
      </c>
      <c r="G494" s="21">
        <f>SUMIFS(warehouse_shipments!$H:$H,warehouse_shipments!$C:$C,"&gt;="&amp;A494,warehouse_shipments!$C:$C,"&lt;"&amp;DATE(YEAR(A494),MONTH(A494)+1,1),warehouse_shipments!$P:$P,B494,warehouse_shipments!$Q:$Q,C494,warehouse_shipments!$R:$R,D494)</f>
        <v>0</v>
      </c>
      <c r="H494" s="22">
        <f t="shared" si="1"/>
        <v>-238</v>
      </c>
      <c r="I494" s="64">
        <f t="shared" si="2"/>
        <v>0</v>
      </c>
      <c r="J494" s="22" t="s">
        <v>5310</v>
      </c>
    </row>
    <row r="495" ht="15.75" customHeight="1">
      <c r="A495" s="26">
        <v>46054.0</v>
      </c>
      <c r="B495" s="25" t="s">
        <v>4465</v>
      </c>
      <c r="C495" s="25" t="s">
        <v>67</v>
      </c>
      <c r="D495" s="25" t="s">
        <v>74</v>
      </c>
      <c r="E495" s="29">
        <v>443.0</v>
      </c>
      <c r="F495" s="29">
        <f>SUMIFS(crm_orders!$J:$J,crm_orders!$B:$B,"&gt;="&amp;A495,crm_orders!$B:$B,"&lt;"&amp;DATE(YEAR(A495),MONTH(A495)+1,1),crm_orders!$E:$E,B495,crm_orders!$G:$G,C495,crm_orders!$H:$H,D495)</f>
        <v>0</v>
      </c>
      <c r="G495" s="29">
        <f>SUMIFS(warehouse_shipments!$H:$H,warehouse_shipments!$C:$C,"&gt;="&amp;A495,warehouse_shipments!$C:$C,"&lt;"&amp;DATE(YEAR(A495),MONTH(A495)+1,1),warehouse_shipments!$P:$P,B495,warehouse_shipments!$Q:$Q,C495,warehouse_shipments!$R:$R,D495)</f>
        <v>0</v>
      </c>
      <c r="H495" s="30">
        <f t="shared" si="1"/>
        <v>-443</v>
      </c>
      <c r="I495" s="65">
        <f t="shared" si="2"/>
        <v>0</v>
      </c>
      <c r="J495" s="30" t="s">
        <v>5307</v>
      </c>
    </row>
    <row r="496" ht="15.75" customHeight="1">
      <c r="A496" s="18">
        <v>46054.0</v>
      </c>
      <c r="B496" s="17" t="s">
        <v>4465</v>
      </c>
      <c r="C496" s="17" t="s">
        <v>67</v>
      </c>
      <c r="D496" s="17" t="s">
        <v>95</v>
      </c>
      <c r="E496" s="21">
        <v>301.0</v>
      </c>
      <c r="F496" s="21">
        <f>SUMIFS(crm_orders!$J:$J,crm_orders!$B:$B,"&gt;="&amp;A496,crm_orders!$B:$B,"&lt;"&amp;DATE(YEAR(A496),MONTH(A496)+1,1),crm_orders!$E:$E,B496,crm_orders!$G:$G,C496,crm_orders!$H:$H,D496)</f>
        <v>0</v>
      </c>
      <c r="G496" s="21">
        <f>SUMIFS(warehouse_shipments!$H:$H,warehouse_shipments!$C:$C,"&gt;="&amp;A496,warehouse_shipments!$C:$C,"&lt;"&amp;DATE(YEAR(A496),MONTH(A496)+1,1),warehouse_shipments!$P:$P,B496,warehouse_shipments!$Q:$Q,C496,warehouse_shipments!$R:$R,D496)</f>
        <v>0</v>
      </c>
      <c r="H496" s="22">
        <f t="shared" si="1"/>
        <v>-301</v>
      </c>
      <c r="I496" s="64">
        <f t="shared" si="2"/>
        <v>0</v>
      </c>
      <c r="J496" s="22" t="s">
        <v>5308</v>
      </c>
    </row>
    <row r="497" ht="15.75" customHeight="1">
      <c r="A497" s="26">
        <v>46054.0</v>
      </c>
      <c r="B497" s="25" t="s">
        <v>4465</v>
      </c>
      <c r="C497" s="25" t="s">
        <v>67</v>
      </c>
      <c r="D497" s="25" t="s">
        <v>78</v>
      </c>
      <c r="E497" s="29">
        <v>305.0</v>
      </c>
      <c r="F497" s="29">
        <f>SUMIFS(crm_orders!$J:$J,crm_orders!$B:$B,"&gt;="&amp;A497,crm_orders!$B:$B,"&lt;"&amp;DATE(YEAR(A497),MONTH(A497)+1,1),crm_orders!$E:$E,B497,crm_orders!$G:$G,C497,crm_orders!$H:$H,D497)</f>
        <v>0</v>
      </c>
      <c r="G497" s="29">
        <f>SUMIFS(warehouse_shipments!$H:$H,warehouse_shipments!$C:$C,"&gt;="&amp;A497,warehouse_shipments!$C:$C,"&lt;"&amp;DATE(YEAR(A497),MONTH(A497)+1,1),warehouse_shipments!$P:$P,B497,warehouse_shipments!$Q:$Q,C497,warehouse_shipments!$R:$R,D497)</f>
        <v>0</v>
      </c>
      <c r="H497" s="30">
        <f t="shared" si="1"/>
        <v>-305</v>
      </c>
      <c r="I497" s="65">
        <f t="shared" si="2"/>
        <v>0</v>
      </c>
      <c r="J497" s="30" t="s">
        <v>5306</v>
      </c>
    </row>
    <row r="498" ht="15.75" customHeight="1">
      <c r="A498" s="18">
        <v>46054.0</v>
      </c>
      <c r="B498" s="17" t="s">
        <v>4465</v>
      </c>
      <c r="C498" s="17" t="s">
        <v>89</v>
      </c>
      <c r="D498" s="17" t="s">
        <v>190</v>
      </c>
      <c r="E498" s="21">
        <v>382.0</v>
      </c>
      <c r="F498" s="21">
        <f>SUMIFS(crm_orders!$J:$J,crm_orders!$B:$B,"&gt;="&amp;A498,crm_orders!$B:$B,"&lt;"&amp;DATE(YEAR(A498),MONTH(A498)+1,1),crm_orders!$E:$E,B498,crm_orders!$G:$G,C498,crm_orders!$H:$H,D498)</f>
        <v>0</v>
      </c>
      <c r="G498" s="21">
        <f>SUMIFS(warehouse_shipments!$H:$H,warehouse_shipments!$C:$C,"&gt;="&amp;A498,warehouse_shipments!$C:$C,"&lt;"&amp;DATE(YEAR(A498),MONTH(A498)+1,1),warehouse_shipments!$P:$P,B498,warehouse_shipments!$Q:$Q,C498,warehouse_shipments!$R:$R,D498)</f>
        <v>0</v>
      </c>
      <c r="H498" s="22">
        <f t="shared" si="1"/>
        <v>-382</v>
      </c>
      <c r="I498" s="64">
        <f t="shared" si="2"/>
        <v>0</v>
      </c>
      <c r="J498" s="22" t="s">
        <v>5310</v>
      </c>
    </row>
    <row r="499" ht="15.75" customHeight="1">
      <c r="A499" s="26">
        <v>46054.0</v>
      </c>
      <c r="B499" s="25" t="s">
        <v>4465</v>
      </c>
      <c r="C499" s="25" t="s">
        <v>89</v>
      </c>
      <c r="D499" s="25" t="s">
        <v>90</v>
      </c>
      <c r="E499" s="29">
        <v>390.0</v>
      </c>
      <c r="F499" s="29">
        <f>SUMIFS(crm_orders!$J:$J,crm_orders!$B:$B,"&gt;="&amp;A499,crm_orders!$B:$B,"&lt;"&amp;DATE(YEAR(A499),MONTH(A499)+1,1),crm_orders!$E:$E,B499,crm_orders!$G:$G,C499,crm_orders!$H:$H,D499)</f>
        <v>0</v>
      </c>
      <c r="G499" s="29">
        <f>SUMIFS(warehouse_shipments!$H:$H,warehouse_shipments!$C:$C,"&gt;="&amp;A499,warehouse_shipments!$C:$C,"&lt;"&amp;DATE(YEAR(A499),MONTH(A499)+1,1),warehouse_shipments!$P:$P,B499,warehouse_shipments!$Q:$Q,C499,warehouse_shipments!$R:$R,D499)</f>
        <v>0</v>
      </c>
      <c r="H499" s="30">
        <f t="shared" si="1"/>
        <v>-390</v>
      </c>
      <c r="I499" s="65">
        <f t="shared" si="2"/>
        <v>0</v>
      </c>
      <c r="J499" s="30" t="s">
        <v>5311</v>
      </c>
    </row>
    <row r="500" ht="15.75" customHeight="1">
      <c r="A500" s="18">
        <v>46054.0</v>
      </c>
      <c r="B500" s="17" t="s">
        <v>4465</v>
      </c>
      <c r="C500" s="17" t="s">
        <v>89</v>
      </c>
      <c r="D500" s="17" t="s">
        <v>154</v>
      </c>
      <c r="E500" s="21">
        <v>201.0</v>
      </c>
      <c r="F500" s="21">
        <f>SUMIFS(crm_orders!$J:$J,crm_orders!$B:$B,"&gt;="&amp;A500,crm_orders!$B:$B,"&lt;"&amp;DATE(YEAR(A500),MONTH(A500)+1,1),crm_orders!$E:$E,B500,crm_orders!$G:$G,C500,crm_orders!$H:$H,D500)</f>
        <v>0</v>
      </c>
      <c r="G500" s="21">
        <f>SUMIFS(warehouse_shipments!$H:$H,warehouse_shipments!$C:$C,"&gt;="&amp;A500,warehouse_shipments!$C:$C,"&lt;"&amp;DATE(YEAR(A500),MONTH(A500)+1,1),warehouse_shipments!$P:$P,B500,warehouse_shipments!$Q:$Q,C500,warehouse_shipments!$R:$R,D500)</f>
        <v>0</v>
      </c>
      <c r="H500" s="22">
        <f t="shared" si="1"/>
        <v>-201</v>
      </c>
      <c r="I500" s="64">
        <f t="shared" si="2"/>
        <v>0</v>
      </c>
      <c r="J500" s="22" t="s">
        <v>5307</v>
      </c>
    </row>
    <row r="501" ht="15.75" customHeight="1">
      <c r="A501" s="26">
        <v>46054.0</v>
      </c>
      <c r="B501" s="25" t="s">
        <v>4465</v>
      </c>
      <c r="C501" s="25" t="s">
        <v>89</v>
      </c>
      <c r="D501" s="25" t="s">
        <v>115</v>
      </c>
      <c r="E501" s="29">
        <v>366.0</v>
      </c>
      <c r="F501" s="29">
        <f>SUMIFS(crm_orders!$J:$J,crm_orders!$B:$B,"&gt;="&amp;A501,crm_orders!$B:$B,"&lt;"&amp;DATE(YEAR(A501),MONTH(A501)+1,1),crm_orders!$E:$E,B501,crm_orders!$G:$G,C501,crm_orders!$H:$H,D501)</f>
        <v>0</v>
      </c>
      <c r="G501" s="29">
        <f>SUMIFS(warehouse_shipments!$H:$H,warehouse_shipments!$C:$C,"&gt;="&amp;A501,warehouse_shipments!$C:$C,"&lt;"&amp;DATE(YEAR(A501),MONTH(A501)+1,1),warehouse_shipments!$P:$P,B501,warehouse_shipments!$Q:$Q,C501,warehouse_shipments!$R:$R,D501)</f>
        <v>0</v>
      </c>
      <c r="H501" s="30">
        <f t="shared" si="1"/>
        <v>-366</v>
      </c>
      <c r="I501" s="65">
        <f t="shared" si="2"/>
        <v>0</v>
      </c>
      <c r="J501" s="30" t="s">
        <v>5308</v>
      </c>
    </row>
    <row r="502" ht="15.75" customHeight="1">
      <c r="A502" s="18">
        <v>46054.0</v>
      </c>
      <c r="B502" s="17" t="s">
        <v>4465</v>
      </c>
      <c r="C502" s="17" t="s">
        <v>89</v>
      </c>
      <c r="D502" s="17" t="s">
        <v>92</v>
      </c>
      <c r="E502" s="21">
        <v>183.0</v>
      </c>
      <c r="F502" s="21">
        <f>SUMIFS(crm_orders!$J:$J,crm_orders!$B:$B,"&gt;="&amp;A502,crm_orders!$B:$B,"&lt;"&amp;DATE(YEAR(A502),MONTH(A502)+1,1),crm_orders!$E:$E,B502,crm_orders!$G:$G,C502,crm_orders!$H:$H,D502)</f>
        <v>120</v>
      </c>
      <c r="G502" s="21">
        <f>SUMIFS(warehouse_shipments!$H:$H,warehouse_shipments!$C:$C,"&gt;="&amp;A502,warehouse_shipments!$C:$C,"&lt;"&amp;DATE(YEAR(A502),MONTH(A502)+1,1),warehouse_shipments!$P:$P,B502,warehouse_shipments!$Q:$Q,C502,warehouse_shipments!$R:$R,D502)</f>
        <v>0</v>
      </c>
      <c r="H502" s="22">
        <f t="shared" si="1"/>
        <v>-63</v>
      </c>
      <c r="I502" s="64">
        <f t="shared" si="2"/>
        <v>0.6557377049</v>
      </c>
      <c r="J502" s="22" t="s">
        <v>5308</v>
      </c>
    </row>
    <row r="503" ht="15.75" customHeight="1">
      <c r="A503" s="26">
        <v>46054.0</v>
      </c>
      <c r="B503" s="25" t="s">
        <v>4465</v>
      </c>
      <c r="C503" s="25" t="s">
        <v>89</v>
      </c>
      <c r="D503" s="25" t="s">
        <v>95</v>
      </c>
      <c r="E503" s="29">
        <v>244.0</v>
      </c>
      <c r="F503" s="29">
        <f>SUMIFS(crm_orders!$J:$J,crm_orders!$B:$B,"&gt;="&amp;A503,crm_orders!$B:$B,"&lt;"&amp;DATE(YEAR(A503),MONTH(A503)+1,1),crm_orders!$E:$E,B503,crm_orders!$G:$G,C503,crm_orders!$H:$H,D503)</f>
        <v>0</v>
      </c>
      <c r="G503" s="29">
        <f>SUMIFS(warehouse_shipments!$H:$H,warehouse_shipments!$C:$C,"&gt;="&amp;A503,warehouse_shipments!$C:$C,"&lt;"&amp;DATE(YEAR(A503),MONTH(A503)+1,1),warehouse_shipments!$P:$P,B503,warehouse_shipments!$Q:$Q,C503,warehouse_shipments!$R:$R,D503)</f>
        <v>0</v>
      </c>
      <c r="H503" s="30">
        <f t="shared" si="1"/>
        <v>-244</v>
      </c>
      <c r="I503" s="65">
        <f t="shared" si="2"/>
        <v>0</v>
      </c>
      <c r="J503" s="30" t="s">
        <v>5311</v>
      </c>
    </row>
    <row r="504" ht="15.75" customHeight="1">
      <c r="A504" s="18">
        <v>46054.0</v>
      </c>
      <c r="B504" s="17" t="s">
        <v>4465</v>
      </c>
      <c r="C504" s="17" t="s">
        <v>89</v>
      </c>
      <c r="D504" s="17" t="s">
        <v>106</v>
      </c>
      <c r="E504" s="21">
        <v>314.0</v>
      </c>
      <c r="F504" s="21">
        <f>SUMIFS(crm_orders!$J:$J,crm_orders!$B:$B,"&gt;="&amp;A504,crm_orders!$B:$B,"&lt;"&amp;DATE(YEAR(A504),MONTH(A504)+1,1),crm_orders!$E:$E,B504,crm_orders!$G:$G,C504,crm_orders!$H:$H,D504)</f>
        <v>0</v>
      </c>
      <c r="G504" s="21">
        <f>SUMIFS(warehouse_shipments!$H:$H,warehouse_shipments!$C:$C,"&gt;="&amp;A504,warehouse_shipments!$C:$C,"&lt;"&amp;DATE(YEAR(A504),MONTH(A504)+1,1),warehouse_shipments!$P:$P,B504,warehouse_shipments!$Q:$Q,C504,warehouse_shipments!$R:$R,D504)</f>
        <v>0</v>
      </c>
      <c r="H504" s="22">
        <f t="shared" si="1"/>
        <v>-314</v>
      </c>
      <c r="I504" s="64">
        <f t="shared" si="2"/>
        <v>0</v>
      </c>
      <c r="J504" s="22" t="s">
        <v>5310</v>
      </c>
    </row>
    <row r="505" ht="15.75" customHeight="1">
      <c r="A505" s="26">
        <v>46054.0</v>
      </c>
      <c r="B505" s="25" t="s">
        <v>4465</v>
      </c>
      <c r="C505" s="25" t="s">
        <v>89</v>
      </c>
      <c r="D505" s="25" t="s">
        <v>78</v>
      </c>
      <c r="E505" s="29">
        <v>488.0</v>
      </c>
      <c r="F505" s="29">
        <f>SUMIFS(crm_orders!$J:$J,crm_orders!$B:$B,"&gt;="&amp;A505,crm_orders!$B:$B,"&lt;"&amp;DATE(YEAR(A505),MONTH(A505)+1,1),crm_orders!$E:$E,B505,crm_orders!$G:$G,C505,crm_orders!$H:$H,D505)</f>
        <v>0</v>
      </c>
      <c r="G505" s="29">
        <f>SUMIFS(warehouse_shipments!$H:$H,warehouse_shipments!$C:$C,"&gt;="&amp;A505,warehouse_shipments!$C:$C,"&lt;"&amp;DATE(YEAR(A505),MONTH(A505)+1,1),warehouse_shipments!$P:$P,B505,warehouse_shipments!$Q:$Q,C505,warehouse_shipments!$R:$R,D505)</f>
        <v>72</v>
      </c>
      <c r="H505" s="30">
        <f t="shared" si="1"/>
        <v>-488</v>
      </c>
      <c r="I505" s="65">
        <f t="shared" si="2"/>
        <v>0</v>
      </c>
      <c r="J505" s="30" t="s">
        <v>5310</v>
      </c>
    </row>
    <row r="506" ht="15.75" customHeight="1">
      <c r="A506" s="18">
        <v>46054.0</v>
      </c>
      <c r="B506" s="17" t="s">
        <v>4559</v>
      </c>
      <c r="C506" s="17" t="s">
        <v>63</v>
      </c>
      <c r="D506" s="17" t="s">
        <v>74</v>
      </c>
      <c r="E506" s="21">
        <v>502.0</v>
      </c>
      <c r="F506" s="21">
        <f>SUMIFS(crm_orders!$J:$J,crm_orders!$B:$B,"&gt;="&amp;A506,crm_orders!$B:$B,"&lt;"&amp;DATE(YEAR(A506),MONTH(A506)+1,1),crm_orders!$E:$E,B506,crm_orders!$G:$G,C506,crm_orders!$H:$H,D506)</f>
        <v>36</v>
      </c>
      <c r="G506" s="21">
        <f>SUMIFS(warehouse_shipments!$H:$H,warehouse_shipments!$C:$C,"&gt;="&amp;A506,warehouse_shipments!$C:$C,"&lt;"&amp;DATE(YEAR(A506),MONTH(A506)+1,1),warehouse_shipments!$P:$P,B506,warehouse_shipments!$Q:$Q,C506,warehouse_shipments!$R:$R,D506)</f>
        <v>36</v>
      </c>
      <c r="H506" s="22">
        <f t="shared" si="1"/>
        <v>-466</v>
      </c>
      <c r="I506" s="64">
        <f t="shared" si="2"/>
        <v>0.07171314741</v>
      </c>
      <c r="J506" s="22" t="s">
        <v>5310</v>
      </c>
    </row>
    <row r="507" ht="15.75" customHeight="1">
      <c r="A507" s="26">
        <v>46054.0</v>
      </c>
      <c r="B507" s="25" t="s">
        <v>4559</v>
      </c>
      <c r="C507" s="25" t="s">
        <v>63</v>
      </c>
      <c r="D507" s="25" t="s">
        <v>106</v>
      </c>
      <c r="E507" s="29">
        <v>415.0</v>
      </c>
      <c r="F507" s="29">
        <f>SUMIFS(crm_orders!$J:$J,crm_orders!$B:$B,"&gt;="&amp;A507,crm_orders!$B:$B,"&lt;"&amp;DATE(YEAR(A507),MONTH(A507)+1,1),crm_orders!$E:$E,B507,crm_orders!$G:$G,C507,crm_orders!$H:$H,D507)</f>
        <v>264</v>
      </c>
      <c r="G507" s="29">
        <f>SUMIFS(warehouse_shipments!$H:$H,warehouse_shipments!$C:$C,"&gt;="&amp;A507,warehouse_shipments!$C:$C,"&lt;"&amp;DATE(YEAR(A507),MONTH(A507)+1,1),warehouse_shipments!$P:$P,B507,warehouse_shipments!$Q:$Q,C507,warehouse_shipments!$R:$R,D507)</f>
        <v>300</v>
      </c>
      <c r="H507" s="30">
        <f t="shared" si="1"/>
        <v>-151</v>
      </c>
      <c r="I507" s="65">
        <f t="shared" si="2"/>
        <v>0.6361445783</v>
      </c>
      <c r="J507" s="30" t="s">
        <v>5306</v>
      </c>
    </row>
    <row r="508" ht="15.75" customHeight="1">
      <c r="A508" s="18">
        <v>46054.0</v>
      </c>
      <c r="B508" s="17" t="s">
        <v>4559</v>
      </c>
      <c r="C508" s="17" t="s">
        <v>63</v>
      </c>
      <c r="D508" s="17" t="s">
        <v>90</v>
      </c>
      <c r="E508" s="21">
        <v>237.0</v>
      </c>
      <c r="F508" s="21">
        <f>SUMIFS(crm_orders!$J:$J,crm_orders!$B:$B,"&gt;="&amp;A508,crm_orders!$B:$B,"&lt;"&amp;DATE(YEAR(A508),MONTH(A508)+1,1),crm_orders!$E:$E,B508,crm_orders!$G:$G,C508,crm_orders!$H:$H,D508)</f>
        <v>30</v>
      </c>
      <c r="G508" s="21">
        <f>SUMIFS(warehouse_shipments!$H:$H,warehouse_shipments!$C:$C,"&gt;="&amp;A508,warehouse_shipments!$C:$C,"&lt;"&amp;DATE(YEAR(A508),MONTH(A508)+1,1),warehouse_shipments!$P:$P,B508,warehouse_shipments!$Q:$Q,C508,warehouse_shipments!$R:$R,D508)</f>
        <v>30</v>
      </c>
      <c r="H508" s="22">
        <f t="shared" si="1"/>
        <v>-207</v>
      </c>
      <c r="I508" s="64">
        <f t="shared" si="2"/>
        <v>0.1265822785</v>
      </c>
      <c r="J508" s="22" t="s">
        <v>5308</v>
      </c>
    </row>
    <row r="509" ht="15.75" customHeight="1">
      <c r="A509" s="26">
        <v>46054.0</v>
      </c>
      <c r="B509" s="25" t="s">
        <v>4559</v>
      </c>
      <c r="C509" s="25" t="s">
        <v>63</v>
      </c>
      <c r="D509" s="25" t="s">
        <v>108</v>
      </c>
      <c r="E509" s="29">
        <v>404.0</v>
      </c>
      <c r="F509" s="29">
        <f>SUMIFS(crm_orders!$J:$J,crm_orders!$B:$B,"&gt;="&amp;A509,crm_orders!$B:$B,"&lt;"&amp;DATE(YEAR(A509),MONTH(A509)+1,1),crm_orders!$E:$E,B509,crm_orders!$G:$G,C509,crm_orders!$H:$H,D509)</f>
        <v>36</v>
      </c>
      <c r="G509" s="29">
        <f>SUMIFS(warehouse_shipments!$H:$H,warehouse_shipments!$C:$C,"&gt;="&amp;A509,warehouse_shipments!$C:$C,"&lt;"&amp;DATE(YEAR(A509),MONTH(A509)+1,1),warehouse_shipments!$P:$P,B509,warehouse_shipments!$Q:$Q,C509,warehouse_shipments!$R:$R,D509)</f>
        <v>36</v>
      </c>
      <c r="H509" s="30">
        <f t="shared" si="1"/>
        <v>-368</v>
      </c>
      <c r="I509" s="65">
        <f t="shared" si="2"/>
        <v>0.08910891089</v>
      </c>
      <c r="J509" s="30" t="s">
        <v>5308</v>
      </c>
    </row>
    <row r="510" ht="15.75" customHeight="1">
      <c r="A510" s="18">
        <v>46054.0</v>
      </c>
      <c r="B510" s="17" t="s">
        <v>4559</v>
      </c>
      <c r="C510" s="17" t="s">
        <v>63</v>
      </c>
      <c r="D510" s="17" t="s">
        <v>123</v>
      </c>
      <c r="E510" s="21">
        <v>247.0</v>
      </c>
      <c r="F510" s="21">
        <f>SUMIFS(crm_orders!$J:$J,crm_orders!$B:$B,"&gt;="&amp;A510,crm_orders!$B:$B,"&lt;"&amp;DATE(YEAR(A510),MONTH(A510)+1,1),crm_orders!$E:$E,B510,crm_orders!$G:$G,C510,crm_orders!$H:$H,D510)</f>
        <v>48</v>
      </c>
      <c r="G510" s="21">
        <f>SUMIFS(warehouse_shipments!$H:$H,warehouse_shipments!$C:$C,"&gt;="&amp;A510,warehouse_shipments!$C:$C,"&lt;"&amp;DATE(YEAR(A510),MONTH(A510)+1,1),warehouse_shipments!$P:$P,B510,warehouse_shipments!$Q:$Q,C510,warehouse_shipments!$R:$R,D510)</f>
        <v>48</v>
      </c>
      <c r="H510" s="22">
        <f t="shared" si="1"/>
        <v>-199</v>
      </c>
      <c r="I510" s="64">
        <f t="shared" si="2"/>
        <v>0.1943319838</v>
      </c>
      <c r="J510" s="22" t="s">
        <v>5308</v>
      </c>
    </row>
    <row r="511" ht="15.75" customHeight="1">
      <c r="A511" s="26">
        <v>46054.0</v>
      </c>
      <c r="B511" s="25" t="s">
        <v>4559</v>
      </c>
      <c r="C511" s="25" t="s">
        <v>63</v>
      </c>
      <c r="D511" s="25" t="s">
        <v>81</v>
      </c>
      <c r="E511" s="29">
        <v>173.0</v>
      </c>
      <c r="F511" s="29">
        <f>SUMIFS(crm_orders!$J:$J,crm_orders!$B:$B,"&gt;="&amp;A511,crm_orders!$B:$B,"&lt;"&amp;DATE(YEAR(A511),MONTH(A511)+1,1),crm_orders!$E:$E,B511,crm_orders!$G:$G,C511,crm_orders!$H:$H,D511)</f>
        <v>0</v>
      </c>
      <c r="G511" s="29">
        <f>SUMIFS(warehouse_shipments!$H:$H,warehouse_shipments!$C:$C,"&gt;="&amp;A511,warehouse_shipments!$C:$C,"&lt;"&amp;DATE(YEAR(A511),MONTH(A511)+1,1),warehouse_shipments!$P:$P,B511,warehouse_shipments!$Q:$Q,C511,warehouse_shipments!$R:$R,D511)</f>
        <v>0</v>
      </c>
      <c r="H511" s="30">
        <f t="shared" si="1"/>
        <v>-173</v>
      </c>
      <c r="I511" s="65">
        <f t="shared" si="2"/>
        <v>0</v>
      </c>
      <c r="J511" s="30" t="s">
        <v>5308</v>
      </c>
    </row>
    <row r="512" ht="15.75" customHeight="1">
      <c r="A512" s="18">
        <v>46054.0</v>
      </c>
      <c r="B512" s="17" t="s">
        <v>4559</v>
      </c>
      <c r="C512" s="17" t="s">
        <v>63</v>
      </c>
      <c r="D512" s="17" t="s">
        <v>190</v>
      </c>
      <c r="E512" s="21">
        <v>242.0</v>
      </c>
      <c r="F512" s="21">
        <f>SUMIFS(crm_orders!$J:$J,crm_orders!$B:$B,"&gt;="&amp;A512,crm_orders!$B:$B,"&lt;"&amp;DATE(YEAR(A512),MONTH(A512)+1,1),crm_orders!$E:$E,B512,crm_orders!$G:$G,C512,crm_orders!$H:$H,D512)</f>
        <v>0</v>
      </c>
      <c r="G512" s="21">
        <f>SUMIFS(warehouse_shipments!$H:$H,warehouse_shipments!$C:$C,"&gt;="&amp;A512,warehouse_shipments!$C:$C,"&lt;"&amp;DATE(YEAR(A512),MONTH(A512)+1,1),warehouse_shipments!$P:$P,B512,warehouse_shipments!$Q:$Q,C512,warehouse_shipments!$R:$R,D512)</f>
        <v>0</v>
      </c>
      <c r="H512" s="22">
        <f t="shared" si="1"/>
        <v>-242</v>
      </c>
      <c r="I512" s="64">
        <f t="shared" si="2"/>
        <v>0</v>
      </c>
      <c r="J512" s="22" t="s">
        <v>5308</v>
      </c>
    </row>
    <row r="513" ht="15.75" customHeight="1">
      <c r="A513" s="26">
        <v>46054.0</v>
      </c>
      <c r="B513" s="25" t="s">
        <v>4559</v>
      </c>
      <c r="C513" s="25" t="s">
        <v>63</v>
      </c>
      <c r="D513" s="25" t="s">
        <v>71</v>
      </c>
      <c r="E513" s="29">
        <v>289.0</v>
      </c>
      <c r="F513" s="29">
        <f>SUMIFS(crm_orders!$J:$J,crm_orders!$B:$B,"&gt;="&amp;A513,crm_orders!$B:$B,"&lt;"&amp;DATE(YEAR(A513),MONTH(A513)+1,1),crm_orders!$E:$E,B513,crm_orders!$G:$G,C513,crm_orders!$H:$H,D513)</f>
        <v>60</v>
      </c>
      <c r="G513" s="29">
        <f>SUMIFS(warehouse_shipments!$H:$H,warehouse_shipments!$C:$C,"&gt;="&amp;A513,warehouse_shipments!$C:$C,"&lt;"&amp;DATE(YEAR(A513),MONTH(A513)+1,1),warehouse_shipments!$P:$P,B513,warehouse_shipments!$Q:$Q,C513,warehouse_shipments!$R:$R,D513)</f>
        <v>0</v>
      </c>
      <c r="H513" s="30">
        <f t="shared" si="1"/>
        <v>-229</v>
      </c>
      <c r="I513" s="65">
        <f t="shared" si="2"/>
        <v>0.2076124567</v>
      </c>
      <c r="J513" s="30" t="s">
        <v>5309</v>
      </c>
    </row>
    <row r="514" ht="15.75" customHeight="1">
      <c r="A514" s="18">
        <v>46054.0</v>
      </c>
      <c r="B514" s="17" t="s">
        <v>4559</v>
      </c>
      <c r="C514" s="17" t="s">
        <v>67</v>
      </c>
      <c r="D514" s="17" t="s">
        <v>110</v>
      </c>
      <c r="E514" s="21">
        <v>145.0</v>
      </c>
      <c r="F514" s="21">
        <f>SUMIFS(crm_orders!$J:$J,crm_orders!$B:$B,"&gt;="&amp;A514,crm_orders!$B:$B,"&lt;"&amp;DATE(YEAR(A514),MONTH(A514)+1,1),crm_orders!$E:$E,B514,crm_orders!$G:$G,C514,crm_orders!$H:$H,D514)</f>
        <v>0</v>
      </c>
      <c r="G514" s="21">
        <f>SUMIFS(warehouse_shipments!$H:$H,warehouse_shipments!$C:$C,"&gt;="&amp;A514,warehouse_shipments!$C:$C,"&lt;"&amp;DATE(YEAR(A514),MONTH(A514)+1,1),warehouse_shipments!$P:$P,B514,warehouse_shipments!$Q:$Q,C514,warehouse_shipments!$R:$R,D514)</f>
        <v>0</v>
      </c>
      <c r="H514" s="22">
        <f t="shared" si="1"/>
        <v>-145</v>
      </c>
      <c r="I514" s="64">
        <f t="shared" si="2"/>
        <v>0</v>
      </c>
      <c r="J514" s="22" t="s">
        <v>5307</v>
      </c>
    </row>
    <row r="515" ht="15.75" customHeight="1">
      <c r="A515" s="26">
        <v>46054.0</v>
      </c>
      <c r="B515" s="25" t="s">
        <v>4559</v>
      </c>
      <c r="C515" s="25" t="s">
        <v>67</v>
      </c>
      <c r="D515" s="25" t="s">
        <v>190</v>
      </c>
      <c r="E515" s="29">
        <v>484.0</v>
      </c>
      <c r="F515" s="29">
        <f>SUMIFS(crm_orders!$J:$J,crm_orders!$B:$B,"&gt;="&amp;A515,crm_orders!$B:$B,"&lt;"&amp;DATE(YEAR(A515),MONTH(A515)+1,1),crm_orders!$E:$E,B515,crm_orders!$G:$G,C515,crm_orders!$H:$H,D515)</f>
        <v>0</v>
      </c>
      <c r="G515" s="29">
        <f>SUMIFS(warehouse_shipments!$H:$H,warehouse_shipments!$C:$C,"&gt;="&amp;A515,warehouse_shipments!$C:$C,"&lt;"&amp;DATE(YEAR(A515),MONTH(A515)+1,1),warehouse_shipments!$P:$P,B515,warehouse_shipments!$Q:$Q,C515,warehouse_shipments!$R:$R,D515)</f>
        <v>0</v>
      </c>
      <c r="H515" s="30">
        <f t="shared" si="1"/>
        <v>-484</v>
      </c>
      <c r="I515" s="65">
        <f t="shared" si="2"/>
        <v>0</v>
      </c>
      <c r="J515" s="30" t="s">
        <v>5307</v>
      </c>
    </row>
    <row r="516" ht="15.75" customHeight="1">
      <c r="A516" s="18">
        <v>46054.0</v>
      </c>
      <c r="B516" s="17" t="s">
        <v>4559</v>
      </c>
      <c r="C516" s="17" t="s">
        <v>67</v>
      </c>
      <c r="D516" s="17" t="s">
        <v>95</v>
      </c>
      <c r="E516" s="21">
        <v>410.0</v>
      </c>
      <c r="F516" s="21">
        <f>SUMIFS(crm_orders!$J:$J,crm_orders!$B:$B,"&gt;="&amp;A516,crm_orders!$B:$B,"&lt;"&amp;DATE(YEAR(A516),MONTH(A516)+1,1),crm_orders!$E:$E,B516,crm_orders!$G:$G,C516,crm_orders!$H:$H,D516)</f>
        <v>0</v>
      </c>
      <c r="G516" s="21">
        <f>SUMIFS(warehouse_shipments!$H:$H,warehouse_shipments!$C:$C,"&gt;="&amp;A516,warehouse_shipments!$C:$C,"&lt;"&amp;DATE(YEAR(A516),MONTH(A516)+1,1),warehouse_shipments!$P:$P,B516,warehouse_shipments!$Q:$Q,C516,warehouse_shipments!$R:$R,D516)</f>
        <v>0</v>
      </c>
      <c r="H516" s="22">
        <f t="shared" si="1"/>
        <v>-410</v>
      </c>
      <c r="I516" s="64">
        <f t="shared" si="2"/>
        <v>0</v>
      </c>
      <c r="J516" s="22" t="s">
        <v>5306</v>
      </c>
    </row>
    <row r="517" ht="15.75" customHeight="1">
      <c r="A517" s="26">
        <v>46054.0</v>
      </c>
      <c r="B517" s="25" t="s">
        <v>4559</v>
      </c>
      <c r="C517" s="25" t="s">
        <v>67</v>
      </c>
      <c r="D517" s="25" t="s">
        <v>85</v>
      </c>
      <c r="E517" s="29">
        <v>356.0</v>
      </c>
      <c r="F517" s="29">
        <f>SUMIFS(crm_orders!$J:$J,crm_orders!$B:$B,"&gt;="&amp;A517,crm_orders!$B:$B,"&lt;"&amp;DATE(YEAR(A517),MONTH(A517)+1,1),crm_orders!$E:$E,B517,crm_orders!$G:$G,C517,crm_orders!$H:$H,D517)</f>
        <v>0</v>
      </c>
      <c r="G517" s="29">
        <f>SUMIFS(warehouse_shipments!$H:$H,warehouse_shipments!$C:$C,"&gt;="&amp;A517,warehouse_shipments!$C:$C,"&lt;"&amp;DATE(YEAR(A517),MONTH(A517)+1,1),warehouse_shipments!$P:$P,B517,warehouse_shipments!$Q:$Q,C517,warehouse_shipments!$R:$R,D517)</f>
        <v>0</v>
      </c>
      <c r="H517" s="30">
        <f t="shared" si="1"/>
        <v>-356</v>
      </c>
      <c r="I517" s="65">
        <f t="shared" si="2"/>
        <v>0</v>
      </c>
      <c r="J517" s="30" t="s">
        <v>5309</v>
      </c>
    </row>
    <row r="518" ht="15.75" customHeight="1">
      <c r="A518" s="18">
        <v>46054.0</v>
      </c>
      <c r="B518" s="17" t="s">
        <v>4559</v>
      </c>
      <c r="C518" s="17" t="s">
        <v>67</v>
      </c>
      <c r="D518" s="17" t="s">
        <v>123</v>
      </c>
      <c r="E518" s="21">
        <v>438.0</v>
      </c>
      <c r="F518" s="21">
        <f>SUMIFS(crm_orders!$J:$J,crm_orders!$B:$B,"&gt;="&amp;A518,crm_orders!$B:$B,"&lt;"&amp;DATE(YEAR(A518),MONTH(A518)+1,1),crm_orders!$E:$E,B518,crm_orders!$G:$G,C518,crm_orders!$H:$H,D518)</f>
        <v>18</v>
      </c>
      <c r="G518" s="21">
        <f>SUMIFS(warehouse_shipments!$H:$H,warehouse_shipments!$C:$C,"&gt;="&amp;A518,warehouse_shipments!$C:$C,"&lt;"&amp;DATE(YEAR(A518),MONTH(A518)+1,1),warehouse_shipments!$P:$P,B518,warehouse_shipments!$Q:$Q,C518,warehouse_shipments!$R:$R,D518)</f>
        <v>0</v>
      </c>
      <c r="H518" s="22">
        <f t="shared" si="1"/>
        <v>-420</v>
      </c>
      <c r="I518" s="64">
        <f t="shared" si="2"/>
        <v>0.04109589041</v>
      </c>
      <c r="J518" s="22" t="s">
        <v>5311</v>
      </c>
    </row>
    <row r="519" ht="15.75" customHeight="1">
      <c r="A519" s="26">
        <v>46054.0</v>
      </c>
      <c r="B519" s="25" t="s">
        <v>4559</v>
      </c>
      <c r="C519" s="25" t="s">
        <v>67</v>
      </c>
      <c r="D519" s="25" t="s">
        <v>108</v>
      </c>
      <c r="E519" s="29">
        <v>181.0</v>
      </c>
      <c r="F519" s="29">
        <f>SUMIFS(crm_orders!$J:$J,crm_orders!$B:$B,"&gt;="&amp;A519,crm_orders!$B:$B,"&lt;"&amp;DATE(YEAR(A519),MONTH(A519)+1,1),crm_orders!$E:$E,B519,crm_orders!$G:$G,C519,crm_orders!$H:$H,D519)</f>
        <v>0</v>
      </c>
      <c r="G519" s="29">
        <f>SUMIFS(warehouse_shipments!$H:$H,warehouse_shipments!$C:$C,"&gt;="&amp;A519,warehouse_shipments!$C:$C,"&lt;"&amp;DATE(YEAR(A519),MONTH(A519)+1,1),warehouse_shipments!$P:$P,B519,warehouse_shipments!$Q:$Q,C519,warehouse_shipments!$R:$R,D519)</f>
        <v>0</v>
      </c>
      <c r="H519" s="30">
        <f t="shared" si="1"/>
        <v>-181</v>
      </c>
      <c r="I519" s="65">
        <f t="shared" si="2"/>
        <v>0</v>
      </c>
      <c r="J519" s="30" t="s">
        <v>5310</v>
      </c>
    </row>
    <row r="520" ht="15.75" customHeight="1">
      <c r="A520" s="18">
        <v>46054.0</v>
      </c>
      <c r="B520" s="17" t="s">
        <v>4559</v>
      </c>
      <c r="C520" s="17" t="s">
        <v>67</v>
      </c>
      <c r="D520" s="17" t="s">
        <v>115</v>
      </c>
      <c r="E520" s="21">
        <v>377.0</v>
      </c>
      <c r="F520" s="21">
        <f>SUMIFS(crm_orders!$J:$J,crm_orders!$B:$B,"&gt;="&amp;A520,crm_orders!$B:$B,"&lt;"&amp;DATE(YEAR(A520),MONTH(A520)+1,1),crm_orders!$E:$E,B520,crm_orders!$G:$G,C520,crm_orders!$H:$H,D520)</f>
        <v>0</v>
      </c>
      <c r="G520" s="21">
        <f>SUMIFS(warehouse_shipments!$H:$H,warehouse_shipments!$C:$C,"&gt;="&amp;A520,warehouse_shipments!$C:$C,"&lt;"&amp;DATE(YEAR(A520),MONTH(A520)+1,1),warehouse_shipments!$P:$P,B520,warehouse_shipments!$Q:$Q,C520,warehouse_shipments!$R:$R,D520)</f>
        <v>0</v>
      </c>
      <c r="H520" s="22">
        <f t="shared" si="1"/>
        <v>-377</v>
      </c>
      <c r="I520" s="64">
        <f t="shared" si="2"/>
        <v>0</v>
      </c>
      <c r="J520" s="22" t="s">
        <v>5309</v>
      </c>
    </row>
    <row r="521" ht="15.75" customHeight="1">
      <c r="A521" s="26">
        <v>46054.0</v>
      </c>
      <c r="B521" s="25" t="s">
        <v>4559</v>
      </c>
      <c r="C521" s="25" t="s">
        <v>67</v>
      </c>
      <c r="D521" s="25" t="s">
        <v>78</v>
      </c>
      <c r="E521" s="29">
        <v>249.0</v>
      </c>
      <c r="F521" s="29">
        <f>SUMIFS(crm_orders!$J:$J,crm_orders!$B:$B,"&gt;="&amp;A521,crm_orders!$B:$B,"&lt;"&amp;DATE(YEAR(A521),MONTH(A521)+1,1),crm_orders!$E:$E,B521,crm_orders!$G:$G,C521,crm_orders!$H:$H,D521)</f>
        <v>0</v>
      </c>
      <c r="G521" s="29">
        <f>SUMIFS(warehouse_shipments!$H:$H,warehouse_shipments!$C:$C,"&gt;="&amp;A521,warehouse_shipments!$C:$C,"&lt;"&amp;DATE(YEAR(A521),MONTH(A521)+1,1),warehouse_shipments!$P:$P,B521,warehouse_shipments!$Q:$Q,C521,warehouse_shipments!$R:$R,D521)</f>
        <v>0</v>
      </c>
      <c r="H521" s="30">
        <f t="shared" si="1"/>
        <v>-249</v>
      </c>
      <c r="I521" s="65">
        <f t="shared" si="2"/>
        <v>0</v>
      </c>
      <c r="J521" s="30" t="s">
        <v>5307</v>
      </c>
    </row>
    <row r="522" ht="15.75" customHeight="1">
      <c r="A522" s="18">
        <v>46054.0</v>
      </c>
      <c r="B522" s="17" t="s">
        <v>4559</v>
      </c>
      <c r="C522" s="17" t="s">
        <v>89</v>
      </c>
      <c r="D522" s="17" t="s">
        <v>156</v>
      </c>
      <c r="E522" s="21">
        <v>392.0</v>
      </c>
      <c r="F522" s="21">
        <f>SUMIFS(crm_orders!$J:$J,crm_orders!$B:$B,"&gt;="&amp;A522,crm_orders!$B:$B,"&lt;"&amp;DATE(YEAR(A522),MONTH(A522)+1,1),crm_orders!$E:$E,B522,crm_orders!$G:$G,C522,crm_orders!$H:$H,D522)</f>
        <v>0</v>
      </c>
      <c r="G522" s="21">
        <f>SUMIFS(warehouse_shipments!$H:$H,warehouse_shipments!$C:$C,"&gt;="&amp;A522,warehouse_shipments!$C:$C,"&lt;"&amp;DATE(YEAR(A522),MONTH(A522)+1,1),warehouse_shipments!$P:$P,B522,warehouse_shipments!$Q:$Q,C522,warehouse_shipments!$R:$R,D522)</f>
        <v>0</v>
      </c>
      <c r="H522" s="22">
        <f t="shared" si="1"/>
        <v>-392</v>
      </c>
      <c r="I522" s="64">
        <f t="shared" si="2"/>
        <v>0</v>
      </c>
      <c r="J522" s="22" t="s">
        <v>5306</v>
      </c>
    </row>
    <row r="523" ht="15.75" customHeight="1">
      <c r="A523" s="26">
        <v>46054.0</v>
      </c>
      <c r="B523" s="25" t="s">
        <v>4559</v>
      </c>
      <c r="C523" s="25" t="s">
        <v>89</v>
      </c>
      <c r="D523" s="25" t="s">
        <v>74</v>
      </c>
      <c r="E523" s="29">
        <v>111.0</v>
      </c>
      <c r="F523" s="29">
        <f>SUMIFS(crm_orders!$J:$J,crm_orders!$B:$B,"&gt;="&amp;A523,crm_orders!$B:$B,"&lt;"&amp;DATE(YEAR(A523),MONTH(A523)+1,1),crm_orders!$E:$E,B523,crm_orders!$G:$G,C523,crm_orders!$H:$H,D523)</f>
        <v>0</v>
      </c>
      <c r="G523" s="29">
        <f>SUMIFS(warehouse_shipments!$H:$H,warehouse_shipments!$C:$C,"&gt;="&amp;A523,warehouse_shipments!$C:$C,"&lt;"&amp;DATE(YEAR(A523),MONTH(A523)+1,1),warehouse_shipments!$P:$P,B523,warehouse_shipments!$Q:$Q,C523,warehouse_shipments!$R:$R,D523)</f>
        <v>0</v>
      </c>
      <c r="H523" s="30">
        <f t="shared" si="1"/>
        <v>-111</v>
      </c>
      <c r="I523" s="65">
        <f t="shared" si="2"/>
        <v>0</v>
      </c>
      <c r="J523" s="30" t="s">
        <v>5307</v>
      </c>
    </row>
    <row r="524" ht="15.75" customHeight="1">
      <c r="A524" s="18">
        <v>46054.0</v>
      </c>
      <c r="B524" s="17" t="s">
        <v>4559</v>
      </c>
      <c r="C524" s="17" t="s">
        <v>89</v>
      </c>
      <c r="D524" s="17" t="s">
        <v>102</v>
      </c>
      <c r="E524" s="21">
        <v>192.0</v>
      </c>
      <c r="F524" s="21">
        <f>SUMIFS(crm_orders!$J:$J,crm_orders!$B:$B,"&gt;="&amp;A524,crm_orders!$B:$B,"&lt;"&amp;DATE(YEAR(A524),MONTH(A524)+1,1),crm_orders!$E:$E,B524,crm_orders!$G:$G,C524,crm_orders!$H:$H,D524)</f>
        <v>0</v>
      </c>
      <c r="G524" s="21">
        <f>SUMIFS(warehouse_shipments!$H:$H,warehouse_shipments!$C:$C,"&gt;="&amp;A524,warehouse_shipments!$C:$C,"&lt;"&amp;DATE(YEAR(A524),MONTH(A524)+1,1),warehouse_shipments!$P:$P,B524,warehouse_shipments!$Q:$Q,C524,warehouse_shipments!$R:$R,D524)</f>
        <v>0</v>
      </c>
      <c r="H524" s="22">
        <f t="shared" si="1"/>
        <v>-192</v>
      </c>
      <c r="I524" s="64">
        <f t="shared" si="2"/>
        <v>0</v>
      </c>
      <c r="J524" s="22" t="s">
        <v>5309</v>
      </c>
    </row>
    <row r="525" ht="15.75" customHeight="1">
      <c r="A525" s="26">
        <v>46054.0</v>
      </c>
      <c r="B525" s="25" t="s">
        <v>4559</v>
      </c>
      <c r="C525" s="25" t="s">
        <v>89</v>
      </c>
      <c r="D525" s="25" t="s">
        <v>162</v>
      </c>
      <c r="E525" s="29">
        <v>286.0</v>
      </c>
      <c r="F525" s="29">
        <f>SUMIFS(crm_orders!$J:$J,crm_orders!$B:$B,"&gt;="&amp;A525,crm_orders!$B:$B,"&lt;"&amp;DATE(YEAR(A525),MONTH(A525)+1,1),crm_orders!$E:$E,B525,crm_orders!$G:$G,C525,crm_orders!$H:$H,D525)</f>
        <v>0</v>
      </c>
      <c r="G525" s="29">
        <f>SUMIFS(warehouse_shipments!$H:$H,warehouse_shipments!$C:$C,"&gt;="&amp;A525,warehouse_shipments!$C:$C,"&lt;"&amp;DATE(YEAR(A525),MONTH(A525)+1,1),warehouse_shipments!$P:$P,B525,warehouse_shipments!$Q:$Q,C525,warehouse_shipments!$R:$R,D525)</f>
        <v>0</v>
      </c>
      <c r="H525" s="30">
        <f t="shared" si="1"/>
        <v>-286</v>
      </c>
      <c r="I525" s="65">
        <f t="shared" si="2"/>
        <v>0</v>
      </c>
      <c r="J525" s="30" t="s">
        <v>5308</v>
      </c>
    </row>
    <row r="526" ht="15.75" customHeight="1">
      <c r="A526" s="18">
        <v>46054.0</v>
      </c>
      <c r="B526" s="17" t="s">
        <v>4559</v>
      </c>
      <c r="C526" s="17" t="s">
        <v>89</v>
      </c>
      <c r="D526" s="17" t="s">
        <v>123</v>
      </c>
      <c r="E526" s="21">
        <v>233.0</v>
      </c>
      <c r="F526" s="21">
        <f>SUMIFS(crm_orders!$J:$J,crm_orders!$B:$B,"&gt;="&amp;A526,crm_orders!$B:$B,"&lt;"&amp;DATE(YEAR(A526),MONTH(A526)+1,1),crm_orders!$E:$E,B526,crm_orders!$G:$G,C526,crm_orders!$H:$H,D526)</f>
        <v>0</v>
      </c>
      <c r="G526" s="21">
        <f>SUMIFS(warehouse_shipments!$H:$H,warehouse_shipments!$C:$C,"&gt;="&amp;A526,warehouse_shipments!$C:$C,"&lt;"&amp;DATE(YEAR(A526),MONTH(A526)+1,1),warehouse_shipments!$P:$P,B526,warehouse_shipments!$Q:$Q,C526,warehouse_shipments!$R:$R,D526)</f>
        <v>0</v>
      </c>
      <c r="H526" s="22">
        <f t="shared" si="1"/>
        <v>-233</v>
      </c>
      <c r="I526" s="64">
        <f t="shared" si="2"/>
        <v>0</v>
      </c>
      <c r="J526" s="22" t="s">
        <v>5310</v>
      </c>
    </row>
    <row r="527" ht="15.75" customHeight="1">
      <c r="A527" s="26">
        <v>46054.0</v>
      </c>
      <c r="B527" s="25" t="s">
        <v>4559</v>
      </c>
      <c r="C527" s="25" t="s">
        <v>89</v>
      </c>
      <c r="D527" s="25" t="s">
        <v>90</v>
      </c>
      <c r="E527" s="29">
        <v>93.0</v>
      </c>
      <c r="F527" s="29">
        <f>SUMIFS(crm_orders!$J:$J,crm_orders!$B:$B,"&gt;="&amp;A527,crm_orders!$B:$B,"&lt;"&amp;DATE(YEAR(A527),MONTH(A527)+1,1),crm_orders!$E:$E,B527,crm_orders!$G:$G,C527,crm_orders!$H:$H,D527)</f>
        <v>0</v>
      </c>
      <c r="G527" s="29">
        <f>SUMIFS(warehouse_shipments!$H:$H,warehouse_shipments!$C:$C,"&gt;="&amp;A527,warehouse_shipments!$C:$C,"&lt;"&amp;DATE(YEAR(A527),MONTH(A527)+1,1),warehouse_shipments!$P:$P,B527,warehouse_shipments!$Q:$Q,C527,warehouse_shipments!$R:$R,D527)</f>
        <v>0</v>
      </c>
      <c r="H527" s="30">
        <f t="shared" si="1"/>
        <v>-93</v>
      </c>
      <c r="I527" s="65">
        <f t="shared" si="2"/>
        <v>0</v>
      </c>
      <c r="J527" s="30" t="s">
        <v>5309</v>
      </c>
    </row>
    <row r="528" ht="15.75" customHeight="1">
      <c r="A528" s="18">
        <v>46054.0</v>
      </c>
      <c r="B528" s="17" t="s">
        <v>4559</v>
      </c>
      <c r="C528" s="17" t="s">
        <v>89</v>
      </c>
      <c r="D528" s="17" t="s">
        <v>78</v>
      </c>
      <c r="E528" s="21">
        <v>435.0</v>
      </c>
      <c r="F528" s="21">
        <f>SUMIFS(crm_orders!$J:$J,crm_orders!$B:$B,"&gt;="&amp;A528,crm_orders!$B:$B,"&lt;"&amp;DATE(YEAR(A528),MONTH(A528)+1,1),crm_orders!$E:$E,B528,crm_orders!$G:$G,C528,crm_orders!$H:$H,D528)</f>
        <v>0</v>
      </c>
      <c r="G528" s="21">
        <f>SUMIFS(warehouse_shipments!$H:$H,warehouse_shipments!$C:$C,"&gt;="&amp;A528,warehouse_shipments!$C:$C,"&lt;"&amp;DATE(YEAR(A528),MONTH(A528)+1,1),warehouse_shipments!$P:$P,B528,warehouse_shipments!$Q:$Q,C528,warehouse_shipments!$R:$R,D528)</f>
        <v>0</v>
      </c>
      <c r="H528" s="22">
        <f t="shared" si="1"/>
        <v>-435</v>
      </c>
      <c r="I528" s="64">
        <f t="shared" si="2"/>
        <v>0</v>
      </c>
      <c r="J528" s="22" t="s">
        <v>5310</v>
      </c>
    </row>
    <row r="529" ht="15.75" customHeight="1">
      <c r="A529" s="26">
        <v>46054.0</v>
      </c>
      <c r="B529" s="25" t="s">
        <v>4559</v>
      </c>
      <c r="C529" s="25" t="s">
        <v>89</v>
      </c>
      <c r="D529" s="25" t="s">
        <v>71</v>
      </c>
      <c r="E529" s="29">
        <v>458.0</v>
      </c>
      <c r="F529" s="29">
        <f>SUMIFS(crm_orders!$J:$J,crm_orders!$B:$B,"&gt;="&amp;A529,crm_orders!$B:$B,"&lt;"&amp;DATE(YEAR(A529),MONTH(A529)+1,1),crm_orders!$E:$E,B529,crm_orders!$G:$G,C529,crm_orders!$H:$H,D529)</f>
        <v>0</v>
      </c>
      <c r="G529" s="29">
        <f>SUMIFS(warehouse_shipments!$H:$H,warehouse_shipments!$C:$C,"&gt;="&amp;A529,warehouse_shipments!$C:$C,"&lt;"&amp;DATE(YEAR(A529),MONTH(A529)+1,1),warehouse_shipments!$P:$P,B529,warehouse_shipments!$Q:$Q,C529,warehouse_shipments!$R:$R,D529)</f>
        <v>0</v>
      </c>
      <c r="H529" s="30">
        <f t="shared" si="1"/>
        <v>-458</v>
      </c>
      <c r="I529" s="65">
        <f t="shared" si="2"/>
        <v>0</v>
      </c>
      <c r="J529" s="30" t="s">
        <v>5307</v>
      </c>
    </row>
    <row r="530" ht="15.75" customHeight="1">
      <c r="A530" s="18">
        <v>46054.0</v>
      </c>
      <c r="B530" s="17" t="s">
        <v>4618</v>
      </c>
      <c r="C530" s="17" t="s">
        <v>63</v>
      </c>
      <c r="D530" s="17" t="s">
        <v>156</v>
      </c>
      <c r="E530" s="21">
        <v>304.0</v>
      </c>
      <c r="F530" s="21">
        <f>SUMIFS(crm_orders!$J:$J,crm_orders!$B:$B,"&gt;="&amp;A530,crm_orders!$B:$B,"&lt;"&amp;DATE(YEAR(A530),MONTH(A530)+1,1),crm_orders!$E:$E,B530,crm_orders!$G:$G,C530,crm_orders!$H:$H,D530)</f>
        <v>54</v>
      </c>
      <c r="G530" s="21">
        <f>SUMIFS(warehouse_shipments!$H:$H,warehouse_shipments!$C:$C,"&gt;="&amp;A530,warehouse_shipments!$C:$C,"&lt;"&amp;DATE(YEAR(A530),MONTH(A530)+1,1),warehouse_shipments!$P:$P,B530,warehouse_shipments!$Q:$Q,C530,warehouse_shipments!$R:$R,D530)</f>
        <v>6</v>
      </c>
      <c r="H530" s="22">
        <f t="shared" si="1"/>
        <v>-250</v>
      </c>
      <c r="I530" s="64">
        <f t="shared" si="2"/>
        <v>0.1776315789</v>
      </c>
      <c r="J530" s="22" t="s">
        <v>5307</v>
      </c>
    </row>
    <row r="531" ht="15.75" customHeight="1">
      <c r="A531" s="26">
        <v>46054.0</v>
      </c>
      <c r="B531" s="25" t="s">
        <v>4618</v>
      </c>
      <c r="C531" s="25" t="s">
        <v>63</v>
      </c>
      <c r="D531" s="25" t="s">
        <v>68</v>
      </c>
      <c r="E531" s="29">
        <v>333.0</v>
      </c>
      <c r="F531" s="29">
        <f>SUMIFS(crm_orders!$J:$J,crm_orders!$B:$B,"&gt;="&amp;A531,crm_orders!$B:$B,"&lt;"&amp;DATE(YEAR(A531),MONTH(A531)+1,1),crm_orders!$E:$E,B531,crm_orders!$G:$G,C531,crm_orders!$H:$H,D531)</f>
        <v>12</v>
      </c>
      <c r="G531" s="29">
        <f>SUMIFS(warehouse_shipments!$H:$H,warehouse_shipments!$C:$C,"&gt;="&amp;A531,warehouse_shipments!$C:$C,"&lt;"&amp;DATE(YEAR(A531),MONTH(A531)+1,1),warehouse_shipments!$P:$P,B531,warehouse_shipments!$Q:$Q,C531,warehouse_shipments!$R:$R,D531)</f>
        <v>0</v>
      </c>
      <c r="H531" s="30">
        <f t="shared" si="1"/>
        <v>-321</v>
      </c>
      <c r="I531" s="65">
        <f t="shared" si="2"/>
        <v>0.03603603604</v>
      </c>
      <c r="J531" s="30" t="s">
        <v>5307</v>
      </c>
    </row>
    <row r="532" ht="15.75" customHeight="1">
      <c r="A532" s="18">
        <v>46054.0</v>
      </c>
      <c r="B532" s="17" t="s">
        <v>4618</v>
      </c>
      <c r="C532" s="17" t="s">
        <v>63</v>
      </c>
      <c r="D532" s="17" t="s">
        <v>74</v>
      </c>
      <c r="E532" s="21">
        <v>241.0</v>
      </c>
      <c r="F532" s="21">
        <f>SUMIFS(crm_orders!$J:$J,crm_orders!$B:$B,"&gt;="&amp;A532,crm_orders!$B:$B,"&lt;"&amp;DATE(YEAR(A532),MONTH(A532)+1,1),crm_orders!$E:$E,B532,crm_orders!$G:$G,C532,crm_orders!$H:$H,D532)</f>
        <v>48</v>
      </c>
      <c r="G532" s="21">
        <f>SUMIFS(warehouse_shipments!$H:$H,warehouse_shipments!$C:$C,"&gt;="&amp;A532,warehouse_shipments!$C:$C,"&lt;"&amp;DATE(YEAR(A532),MONTH(A532)+1,1),warehouse_shipments!$P:$P,B532,warehouse_shipments!$Q:$Q,C532,warehouse_shipments!$R:$R,D532)</f>
        <v>0</v>
      </c>
      <c r="H532" s="22">
        <f t="shared" si="1"/>
        <v>-193</v>
      </c>
      <c r="I532" s="64">
        <f t="shared" si="2"/>
        <v>0.1991701245</v>
      </c>
      <c r="J532" s="22" t="s">
        <v>5309</v>
      </c>
    </row>
    <row r="533" ht="15.75" customHeight="1">
      <c r="A533" s="26">
        <v>46054.0</v>
      </c>
      <c r="B533" s="25" t="s">
        <v>4618</v>
      </c>
      <c r="C533" s="25" t="s">
        <v>63</v>
      </c>
      <c r="D533" s="25" t="s">
        <v>85</v>
      </c>
      <c r="E533" s="29">
        <v>504.0</v>
      </c>
      <c r="F533" s="29">
        <f>SUMIFS(crm_orders!$J:$J,crm_orders!$B:$B,"&gt;="&amp;A533,crm_orders!$B:$B,"&lt;"&amp;DATE(YEAR(A533),MONTH(A533)+1,1),crm_orders!$E:$E,B533,crm_orders!$G:$G,C533,crm_orders!$H:$H,D533)</f>
        <v>0</v>
      </c>
      <c r="G533" s="29">
        <f>SUMIFS(warehouse_shipments!$H:$H,warehouse_shipments!$C:$C,"&gt;="&amp;A533,warehouse_shipments!$C:$C,"&lt;"&amp;DATE(YEAR(A533),MONTH(A533)+1,1),warehouse_shipments!$P:$P,B533,warehouse_shipments!$Q:$Q,C533,warehouse_shipments!$R:$R,D533)</f>
        <v>0</v>
      </c>
      <c r="H533" s="30">
        <f t="shared" si="1"/>
        <v>-504</v>
      </c>
      <c r="I533" s="65">
        <f t="shared" si="2"/>
        <v>0</v>
      </c>
      <c r="J533" s="30" t="s">
        <v>5307</v>
      </c>
    </row>
    <row r="534" ht="15.75" customHeight="1">
      <c r="A534" s="18">
        <v>46054.0</v>
      </c>
      <c r="B534" s="17" t="s">
        <v>4618</v>
      </c>
      <c r="C534" s="17" t="s">
        <v>63</v>
      </c>
      <c r="D534" s="17" t="s">
        <v>102</v>
      </c>
      <c r="E534" s="21">
        <v>257.0</v>
      </c>
      <c r="F534" s="21">
        <f>SUMIFS(crm_orders!$J:$J,crm_orders!$B:$B,"&gt;="&amp;A534,crm_orders!$B:$B,"&lt;"&amp;DATE(YEAR(A534),MONTH(A534)+1,1),crm_orders!$E:$E,B534,crm_orders!$G:$G,C534,crm_orders!$H:$H,D534)</f>
        <v>168</v>
      </c>
      <c r="G534" s="21">
        <f>SUMIFS(warehouse_shipments!$H:$H,warehouse_shipments!$C:$C,"&gt;="&amp;A534,warehouse_shipments!$C:$C,"&lt;"&amp;DATE(YEAR(A534),MONTH(A534)+1,1),warehouse_shipments!$P:$P,B534,warehouse_shipments!$Q:$Q,C534,warehouse_shipments!$R:$R,D534)</f>
        <v>0</v>
      </c>
      <c r="H534" s="22">
        <f t="shared" si="1"/>
        <v>-89</v>
      </c>
      <c r="I534" s="64">
        <f t="shared" si="2"/>
        <v>0.6536964981</v>
      </c>
      <c r="J534" s="22" t="s">
        <v>5311</v>
      </c>
    </row>
    <row r="535" ht="15.75" customHeight="1">
      <c r="A535" s="26">
        <v>46054.0</v>
      </c>
      <c r="B535" s="25" t="s">
        <v>4618</v>
      </c>
      <c r="C535" s="25" t="s">
        <v>63</v>
      </c>
      <c r="D535" s="25" t="s">
        <v>123</v>
      </c>
      <c r="E535" s="29">
        <v>318.0</v>
      </c>
      <c r="F535" s="29">
        <f>SUMIFS(crm_orders!$J:$J,crm_orders!$B:$B,"&gt;="&amp;A535,crm_orders!$B:$B,"&lt;"&amp;DATE(YEAR(A535),MONTH(A535)+1,1),crm_orders!$E:$E,B535,crm_orders!$G:$G,C535,crm_orders!$H:$H,D535)</f>
        <v>96</v>
      </c>
      <c r="G535" s="29">
        <f>SUMIFS(warehouse_shipments!$H:$H,warehouse_shipments!$C:$C,"&gt;="&amp;A535,warehouse_shipments!$C:$C,"&lt;"&amp;DATE(YEAR(A535),MONTH(A535)+1,1),warehouse_shipments!$P:$P,B535,warehouse_shipments!$Q:$Q,C535,warehouse_shipments!$R:$R,D535)</f>
        <v>0</v>
      </c>
      <c r="H535" s="30">
        <f t="shared" si="1"/>
        <v>-222</v>
      </c>
      <c r="I535" s="65">
        <f t="shared" si="2"/>
        <v>0.3018867925</v>
      </c>
      <c r="J535" s="30" t="s">
        <v>5306</v>
      </c>
    </row>
    <row r="536" ht="15.75" customHeight="1">
      <c r="A536" s="18">
        <v>46054.0</v>
      </c>
      <c r="B536" s="17" t="s">
        <v>4618</v>
      </c>
      <c r="C536" s="17" t="s">
        <v>63</v>
      </c>
      <c r="D536" s="17" t="s">
        <v>115</v>
      </c>
      <c r="E536" s="21">
        <v>301.0</v>
      </c>
      <c r="F536" s="21">
        <f>SUMIFS(crm_orders!$J:$J,crm_orders!$B:$B,"&gt;="&amp;A536,crm_orders!$B:$B,"&lt;"&amp;DATE(YEAR(A536),MONTH(A536)+1,1),crm_orders!$E:$E,B536,crm_orders!$G:$G,C536,crm_orders!$H:$H,D536)</f>
        <v>60</v>
      </c>
      <c r="G536" s="21">
        <f>SUMIFS(warehouse_shipments!$H:$H,warehouse_shipments!$C:$C,"&gt;="&amp;A536,warehouse_shipments!$C:$C,"&lt;"&amp;DATE(YEAR(A536),MONTH(A536)+1,1),warehouse_shipments!$P:$P,B536,warehouse_shipments!$Q:$Q,C536,warehouse_shipments!$R:$R,D536)</f>
        <v>0</v>
      </c>
      <c r="H536" s="22">
        <f t="shared" si="1"/>
        <v>-241</v>
      </c>
      <c r="I536" s="64">
        <f t="shared" si="2"/>
        <v>0.1993355482</v>
      </c>
      <c r="J536" s="22" t="s">
        <v>5306</v>
      </c>
    </row>
    <row r="537" ht="15.75" customHeight="1">
      <c r="A537" s="26">
        <v>46054.0</v>
      </c>
      <c r="B537" s="25" t="s">
        <v>4618</v>
      </c>
      <c r="C537" s="25" t="s">
        <v>63</v>
      </c>
      <c r="D537" s="25" t="s">
        <v>64</v>
      </c>
      <c r="E537" s="29">
        <v>238.0</v>
      </c>
      <c r="F537" s="29">
        <f>SUMIFS(crm_orders!$J:$J,crm_orders!$B:$B,"&gt;="&amp;A537,crm_orders!$B:$B,"&lt;"&amp;DATE(YEAR(A537),MONTH(A537)+1,1),crm_orders!$E:$E,B537,crm_orders!$G:$G,C537,crm_orders!$H:$H,D537)</f>
        <v>0</v>
      </c>
      <c r="G537" s="29">
        <f>SUMIFS(warehouse_shipments!$H:$H,warehouse_shipments!$C:$C,"&gt;="&amp;A537,warehouse_shipments!$C:$C,"&lt;"&amp;DATE(YEAR(A537),MONTH(A537)+1,1),warehouse_shipments!$P:$P,B537,warehouse_shipments!$Q:$Q,C537,warehouse_shipments!$R:$R,D537)</f>
        <v>0</v>
      </c>
      <c r="H537" s="30">
        <f t="shared" si="1"/>
        <v>-238</v>
      </c>
      <c r="I537" s="65">
        <f t="shared" si="2"/>
        <v>0</v>
      </c>
      <c r="J537" s="30" t="s">
        <v>5306</v>
      </c>
    </row>
    <row r="538" ht="15.75" customHeight="1">
      <c r="A538" s="18">
        <v>46054.0</v>
      </c>
      <c r="B538" s="17" t="s">
        <v>4618</v>
      </c>
      <c r="C538" s="17" t="s">
        <v>67</v>
      </c>
      <c r="D538" s="17" t="s">
        <v>190</v>
      </c>
      <c r="E538" s="21">
        <v>401.0</v>
      </c>
      <c r="F538" s="21">
        <f>SUMIFS(crm_orders!$J:$J,crm_orders!$B:$B,"&gt;="&amp;A538,crm_orders!$B:$B,"&lt;"&amp;DATE(YEAR(A538),MONTH(A538)+1,1),crm_orders!$E:$E,B538,crm_orders!$G:$G,C538,crm_orders!$H:$H,D538)</f>
        <v>0</v>
      </c>
      <c r="G538" s="21">
        <f>SUMIFS(warehouse_shipments!$H:$H,warehouse_shipments!$C:$C,"&gt;="&amp;A538,warehouse_shipments!$C:$C,"&lt;"&amp;DATE(YEAR(A538),MONTH(A538)+1,1),warehouse_shipments!$P:$P,B538,warehouse_shipments!$Q:$Q,C538,warehouse_shipments!$R:$R,D538)</f>
        <v>60</v>
      </c>
      <c r="H538" s="22">
        <f t="shared" si="1"/>
        <v>-401</v>
      </c>
      <c r="I538" s="64">
        <f t="shared" si="2"/>
        <v>0</v>
      </c>
      <c r="J538" s="22" t="s">
        <v>5311</v>
      </c>
    </row>
    <row r="539" ht="15.75" customHeight="1">
      <c r="A539" s="26">
        <v>46054.0</v>
      </c>
      <c r="B539" s="25" t="s">
        <v>4618</v>
      </c>
      <c r="C539" s="25" t="s">
        <v>67</v>
      </c>
      <c r="D539" s="25" t="s">
        <v>92</v>
      </c>
      <c r="E539" s="29">
        <v>380.0</v>
      </c>
      <c r="F539" s="29">
        <f>SUMIFS(crm_orders!$J:$J,crm_orders!$B:$B,"&gt;="&amp;A539,crm_orders!$B:$B,"&lt;"&amp;DATE(YEAR(A539),MONTH(A539)+1,1),crm_orders!$E:$E,B539,crm_orders!$G:$G,C539,crm_orders!$H:$H,D539)</f>
        <v>0</v>
      </c>
      <c r="G539" s="29">
        <f>SUMIFS(warehouse_shipments!$H:$H,warehouse_shipments!$C:$C,"&gt;="&amp;A539,warehouse_shipments!$C:$C,"&lt;"&amp;DATE(YEAR(A539),MONTH(A539)+1,1),warehouse_shipments!$P:$P,B539,warehouse_shipments!$Q:$Q,C539,warehouse_shipments!$R:$R,D539)</f>
        <v>0</v>
      </c>
      <c r="H539" s="30">
        <f t="shared" si="1"/>
        <v>-380</v>
      </c>
      <c r="I539" s="65">
        <f t="shared" si="2"/>
        <v>0</v>
      </c>
      <c r="J539" s="30" t="s">
        <v>5306</v>
      </c>
    </row>
    <row r="540" ht="15.75" customHeight="1">
      <c r="A540" s="18">
        <v>46054.0</v>
      </c>
      <c r="B540" s="17" t="s">
        <v>4618</v>
      </c>
      <c r="C540" s="17" t="s">
        <v>67</v>
      </c>
      <c r="D540" s="17" t="s">
        <v>106</v>
      </c>
      <c r="E540" s="21">
        <v>452.0</v>
      </c>
      <c r="F540" s="21">
        <f>SUMIFS(crm_orders!$J:$J,crm_orders!$B:$B,"&gt;="&amp;A540,crm_orders!$B:$B,"&lt;"&amp;DATE(YEAR(A540),MONTH(A540)+1,1),crm_orders!$E:$E,B540,crm_orders!$G:$G,C540,crm_orders!$H:$H,D540)</f>
        <v>0</v>
      </c>
      <c r="G540" s="21">
        <f>SUMIFS(warehouse_shipments!$H:$H,warehouse_shipments!$C:$C,"&gt;="&amp;A540,warehouse_shipments!$C:$C,"&lt;"&amp;DATE(YEAR(A540),MONTH(A540)+1,1),warehouse_shipments!$P:$P,B540,warehouse_shipments!$Q:$Q,C540,warehouse_shipments!$R:$R,D540)</f>
        <v>0</v>
      </c>
      <c r="H540" s="22">
        <f t="shared" si="1"/>
        <v>-452</v>
      </c>
      <c r="I540" s="64">
        <f t="shared" si="2"/>
        <v>0</v>
      </c>
      <c r="J540" s="22" t="s">
        <v>5306</v>
      </c>
    </row>
    <row r="541" ht="15.75" customHeight="1">
      <c r="A541" s="26">
        <v>46054.0</v>
      </c>
      <c r="B541" s="25" t="s">
        <v>4618</v>
      </c>
      <c r="C541" s="25" t="s">
        <v>67</v>
      </c>
      <c r="D541" s="25" t="s">
        <v>78</v>
      </c>
      <c r="E541" s="29">
        <v>479.0</v>
      </c>
      <c r="F541" s="29">
        <f>SUMIFS(crm_orders!$J:$J,crm_orders!$B:$B,"&gt;="&amp;A541,crm_orders!$B:$B,"&lt;"&amp;DATE(YEAR(A541),MONTH(A541)+1,1),crm_orders!$E:$E,B541,crm_orders!$G:$G,C541,crm_orders!$H:$H,D541)</f>
        <v>0</v>
      </c>
      <c r="G541" s="29">
        <f>SUMIFS(warehouse_shipments!$H:$H,warehouse_shipments!$C:$C,"&gt;="&amp;A541,warehouse_shipments!$C:$C,"&lt;"&amp;DATE(YEAR(A541),MONTH(A541)+1,1),warehouse_shipments!$P:$P,B541,warehouse_shipments!$Q:$Q,C541,warehouse_shipments!$R:$R,D541)</f>
        <v>0</v>
      </c>
      <c r="H541" s="30">
        <f t="shared" si="1"/>
        <v>-479</v>
      </c>
      <c r="I541" s="65">
        <f t="shared" si="2"/>
        <v>0</v>
      </c>
      <c r="J541" s="30" t="s">
        <v>5308</v>
      </c>
    </row>
    <row r="542" ht="15.75" customHeight="1">
      <c r="A542" s="18">
        <v>46054.0</v>
      </c>
      <c r="B542" s="17" t="s">
        <v>4618</v>
      </c>
      <c r="C542" s="17" t="s">
        <v>67</v>
      </c>
      <c r="D542" s="17" t="s">
        <v>115</v>
      </c>
      <c r="E542" s="21">
        <v>298.0</v>
      </c>
      <c r="F542" s="21">
        <f>SUMIFS(crm_orders!$J:$J,crm_orders!$B:$B,"&gt;="&amp;A542,crm_orders!$B:$B,"&lt;"&amp;DATE(YEAR(A542),MONTH(A542)+1,1),crm_orders!$E:$E,B542,crm_orders!$G:$G,C542,crm_orders!$H:$H,D542)</f>
        <v>0</v>
      </c>
      <c r="G542" s="21">
        <f>SUMIFS(warehouse_shipments!$H:$H,warehouse_shipments!$C:$C,"&gt;="&amp;A542,warehouse_shipments!$C:$C,"&lt;"&amp;DATE(YEAR(A542),MONTH(A542)+1,1),warehouse_shipments!$P:$P,B542,warehouse_shipments!$Q:$Q,C542,warehouse_shipments!$R:$R,D542)</f>
        <v>0</v>
      </c>
      <c r="H542" s="22">
        <f t="shared" si="1"/>
        <v>-298</v>
      </c>
      <c r="I542" s="64">
        <f t="shared" si="2"/>
        <v>0</v>
      </c>
      <c r="J542" s="22" t="s">
        <v>5310</v>
      </c>
    </row>
    <row r="543" ht="15.75" customHeight="1">
      <c r="A543" s="26">
        <v>46054.0</v>
      </c>
      <c r="B543" s="25" t="s">
        <v>4618</v>
      </c>
      <c r="C543" s="25" t="s">
        <v>67</v>
      </c>
      <c r="D543" s="25" t="s">
        <v>81</v>
      </c>
      <c r="E543" s="29">
        <v>509.0</v>
      </c>
      <c r="F543" s="29">
        <f>SUMIFS(crm_orders!$J:$J,crm_orders!$B:$B,"&gt;="&amp;A543,crm_orders!$B:$B,"&lt;"&amp;DATE(YEAR(A543),MONTH(A543)+1,1),crm_orders!$E:$E,B543,crm_orders!$G:$G,C543,crm_orders!$H:$H,D543)</f>
        <v>0</v>
      </c>
      <c r="G543" s="29">
        <f>SUMIFS(warehouse_shipments!$H:$H,warehouse_shipments!$C:$C,"&gt;="&amp;A543,warehouse_shipments!$C:$C,"&lt;"&amp;DATE(YEAR(A543),MONTH(A543)+1,1),warehouse_shipments!$P:$P,B543,warehouse_shipments!$Q:$Q,C543,warehouse_shipments!$R:$R,D543)</f>
        <v>0</v>
      </c>
      <c r="H543" s="30">
        <f t="shared" si="1"/>
        <v>-509</v>
      </c>
      <c r="I543" s="65">
        <f t="shared" si="2"/>
        <v>0</v>
      </c>
      <c r="J543" s="30" t="s">
        <v>5310</v>
      </c>
    </row>
    <row r="544" ht="15.75" customHeight="1">
      <c r="A544" s="18">
        <v>46054.0</v>
      </c>
      <c r="B544" s="17" t="s">
        <v>4618</v>
      </c>
      <c r="C544" s="17" t="s">
        <v>67</v>
      </c>
      <c r="D544" s="17" t="s">
        <v>123</v>
      </c>
      <c r="E544" s="21">
        <v>132.0</v>
      </c>
      <c r="F544" s="21">
        <f>SUMIFS(crm_orders!$J:$J,crm_orders!$B:$B,"&gt;="&amp;A544,crm_orders!$B:$B,"&lt;"&amp;DATE(YEAR(A544),MONTH(A544)+1,1),crm_orders!$E:$E,B544,crm_orders!$G:$G,C544,crm_orders!$H:$H,D544)</f>
        <v>0</v>
      </c>
      <c r="G544" s="21">
        <f>SUMIFS(warehouse_shipments!$H:$H,warehouse_shipments!$C:$C,"&gt;="&amp;A544,warehouse_shipments!$C:$C,"&lt;"&amp;DATE(YEAR(A544),MONTH(A544)+1,1),warehouse_shipments!$P:$P,B544,warehouse_shipments!$Q:$Q,C544,warehouse_shipments!$R:$R,D544)</f>
        <v>0</v>
      </c>
      <c r="H544" s="22">
        <f t="shared" si="1"/>
        <v>-132</v>
      </c>
      <c r="I544" s="64">
        <f t="shared" si="2"/>
        <v>0</v>
      </c>
      <c r="J544" s="22" t="s">
        <v>5308</v>
      </c>
    </row>
    <row r="545" ht="15.75" customHeight="1">
      <c r="A545" s="26">
        <v>46054.0</v>
      </c>
      <c r="B545" s="25" t="s">
        <v>4618</v>
      </c>
      <c r="C545" s="25" t="s">
        <v>67</v>
      </c>
      <c r="D545" s="25" t="s">
        <v>68</v>
      </c>
      <c r="E545" s="29">
        <v>441.0</v>
      </c>
      <c r="F545" s="29">
        <f>SUMIFS(crm_orders!$J:$J,crm_orders!$B:$B,"&gt;="&amp;A545,crm_orders!$B:$B,"&lt;"&amp;DATE(YEAR(A545),MONTH(A545)+1,1),crm_orders!$E:$E,B545,crm_orders!$G:$G,C545,crm_orders!$H:$H,D545)</f>
        <v>0</v>
      </c>
      <c r="G545" s="29">
        <f>SUMIFS(warehouse_shipments!$H:$H,warehouse_shipments!$C:$C,"&gt;="&amp;A545,warehouse_shipments!$C:$C,"&lt;"&amp;DATE(YEAR(A545),MONTH(A545)+1,1),warehouse_shipments!$P:$P,B545,warehouse_shipments!$Q:$Q,C545,warehouse_shipments!$R:$R,D545)</f>
        <v>0</v>
      </c>
      <c r="H545" s="30">
        <f t="shared" si="1"/>
        <v>-441</v>
      </c>
      <c r="I545" s="65">
        <f t="shared" si="2"/>
        <v>0</v>
      </c>
      <c r="J545" s="30" t="s">
        <v>5306</v>
      </c>
    </row>
    <row r="546" ht="15.75" customHeight="1">
      <c r="A546" s="18">
        <v>46054.0</v>
      </c>
      <c r="B546" s="17" t="s">
        <v>4618</v>
      </c>
      <c r="C546" s="17" t="s">
        <v>89</v>
      </c>
      <c r="D546" s="17" t="s">
        <v>190</v>
      </c>
      <c r="E546" s="21">
        <v>263.0</v>
      </c>
      <c r="F546" s="21">
        <f>SUMIFS(crm_orders!$J:$J,crm_orders!$B:$B,"&gt;="&amp;A546,crm_orders!$B:$B,"&lt;"&amp;DATE(YEAR(A546),MONTH(A546)+1,1),crm_orders!$E:$E,B546,crm_orders!$G:$G,C546,crm_orders!$H:$H,D546)</f>
        <v>0</v>
      </c>
      <c r="G546" s="21">
        <f>SUMIFS(warehouse_shipments!$H:$H,warehouse_shipments!$C:$C,"&gt;="&amp;A546,warehouse_shipments!$C:$C,"&lt;"&amp;DATE(YEAR(A546),MONTH(A546)+1,1),warehouse_shipments!$P:$P,B546,warehouse_shipments!$Q:$Q,C546,warehouse_shipments!$R:$R,D546)</f>
        <v>0</v>
      </c>
      <c r="H546" s="22">
        <f t="shared" si="1"/>
        <v>-263</v>
      </c>
      <c r="I546" s="64">
        <f t="shared" si="2"/>
        <v>0</v>
      </c>
      <c r="J546" s="22" t="s">
        <v>5308</v>
      </c>
    </row>
    <row r="547" ht="15.75" customHeight="1">
      <c r="A547" s="26">
        <v>46054.0</v>
      </c>
      <c r="B547" s="25" t="s">
        <v>4618</v>
      </c>
      <c r="C547" s="25" t="s">
        <v>89</v>
      </c>
      <c r="D547" s="25" t="s">
        <v>85</v>
      </c>
      <c r="E547" s="29">
        <v>183.0</v>
      </c>
      <c r="F547" s="29">
        <f>SUMIFS(crm_orders!$J:$J,crm_orders!$B:$B,"&gt;="&amp;A547,crm_orders!$B:$B,"&lt;"&amp;DATE(YEAR(A547),MONTH(A547)+1,1),crm_orders!$E:$E,B547,crm_orders!$G:$G,C547,crm_orders!$H:$H,D547)</f>
        <v>0</v>
      </c>
      <c r="G547" s="29">
        <f>SUMIFS(warehouse_shipments!$H:$H,warehouse_shipments!$C:$C,"&gt;="&amp;A547,warehouse_shipments!$C:$C,"&lt;"&amp;DATE(YEAR(A547),MONTH(A547)+1,1),warehouse_shipments!$P:$P,B547,warehouse_shipments!$Q:$Q,C547,warehouse_shipments!$R:$R,D547)</f>
        <v>0</v>
      </c>
      <c r="H547" s="30">
        <f t="shared" si="1"/>
        <v>-183</v>
      </c>
      <c r="I547" s="65">
        <f t="shared" si="2"/>
        <v>0</v>
      </c>
      <c r="J547" s="30" t="s">
        <v>5306</v>
      </c>
    </row>
    <row r="548" ht="15.75" customHeight="1">
      <c r="A548" s="18">
        <v>46054.0</v>
      </c>
      <c r="B548" s="17" t="s">
        <v>4618</v>
      </c>
      <c r="C548" s="17" t="s">
        <v>89</v>
      </c>
      <c r="D548" s="17" t="s">
        <v>110</v>
      </c>
      <c r="E548" s="21">
        <v>87.0</v>
      </c>
      <c r="F548" s="21">
        <f>SUMIFS(crm_orders!$J:$J,crm_orders!$B:$B,"&gt;="&amp;A548,crm_orders!$B:$B,"&lt;"&amp;DATE(YEAR(A548),MONTH(A548)+1,1),crm_orders!$E:$E,B548,crm_orders!$G:$G,C548,crm_orders!$H:$H,D548)</f>
        <v>0</v>
      </c>
      <c r="G548" s="21">
        <f>SUMIFS(warehouse_shipments!$H:$H,warehouse_shipments!$C:$C,"&gt;="&amp;A548,warehouse_shipments!$C:$C,"&lt;"&amp;DATE(YEAR(A548),MONTH(A548)+1,1),warehouse_shipments!$P:$P,B548,warehouse_shipments!$Q:$Q,C548,warehouse_shipments!$R:$R,D548)</f>
        <v>0</v>
      </c>
      <c r="H548" s="22">
        <f t="shared" si="1"/>
        <v>-87</v>
      </c>
      <c r="I548" s="64">
        <f t="shared" si="2"/>
        <v>0</v>
      </c>
      <c r="J548" s="22" t="s">
        <v>5309</v>
      </c>
    </row>
    <row r="549" ht="15.75" customHeight="1">
      <c r="A549" s="26">
        <v>46054.0</v>
      </c>
      <c r="B549" s="25" t="s">
        <v>4618</v>
      </c>
      <c r="C549" s="25" t="s">
        <v>89</v>
      </c>
      <c r="D549" s="25" t="s">
        <v>90</v>
      </c>
      <c r="E549" s="29">
        <v>510.0</v>
      </c>
      <c r="F549" s="29">
        <f>SUMIFS(crm_orders!$J:$J,crm_orders!$B:$B,"&gt;="&amp;A549,crm_orders!$B:$B,"&lt;"&amp;DATE(YEAR(A549),MONTH(A549)+1,1),crm_orders!$E:$E,B549,crm_orders!$G:$G,C549,crm_orders!$H:$H,D549)</f>
        <v>0</v>
      </c>
      <c r="G549" s="29">
        <f>SUMIFS(warehouse_shipments!$H:$H,warehouse_shipments!$C:$C,"&gt;="&amp;A549,warehouse_shipments!$C:$C,"&lt;"&amp;DATE(YEAR(A549),MONTH(A549)+1,1),warehouse_shipments!$P:$P,B549,warehouse_shipments!$Q:$Q,C549,warehouse_shipments!$R:$R,D549)</f>
        <v>0</v>
      </c>
      <c r="H549" s="30">
        <f t="shared" si="1"/>
        <v>-510</v>
      </c>
      <c r="I549" s="65">
        <f t="shared" si="2"/>
        <v>0</v>
      </c>
      <c r="J549" s="30" t="s">
        <v>5306</v>
      </c>
    </row>
    <row r="550" ht="15.75" customHeight="1">
      <c r="A550" s="18">
        <v>46054.0</v>
      </c>
      <c r="B550" s="17" t="s">
        <v>4618</v>
      </c>
      <c r="C550" s="17" t="s">
        <v>89</v>
      </c>
      <c r="D550" s="17" t="s">
        <v>71</v>
      </c>
      <c r="E550" s="21">
        <v>377.0</v>
      </c>
      <c r="F550" s="21">
        <f>SUMIFS(crm_orders!$J:$J,crm_orders!$B:$B,"&gt;="&amp;A550,crm_orders!$B:$B,"&lt;"&amp;DATE(YEAR(A550),MONTH(A550)+1,1),crm_orders!$E:$E,B550,crm_orders!$G:$G,C550,crm_orders!$H:$H,D550)</f>
        <v>0</v>
      </c>
      <c r="G550" s="21">
        <f>SUMIFS(warehouse_shipments!$H:$H,warehouse_shipments!$C:$C,"&gt;="&amp;A550,warehouse_shipments!$C:$C,"&lt;"&amp;DATE(YEAR(A550),MONTH(A550)+1,1),warehouse_shipments!$P:$P,B550,warehouse_shipments!$Q:$Q,C550,warehouse_shipments!$R:$R,D550)</f>
        <v>0</v>
      </c>
      <c r="H550" s="22">
        <f t="shared" si="1"/>
        <v>-377</v>
      </c>
      <c r="I550" s="64">
        <f t="shared" si="2"/>
        <v>0</v>
      </c>
      <c r="J550" s="22" t="s">
        <v>5309</v>
      </c>
    </row>
    <row r="551" ht="15.75" customHeight="1">
      <c r="A551" s="26">
        <v>46054.0</v>
      </c>
      <c r="B551" s="25" t="s">
        <v>4618</v>
      </c>
      <c r="C551" s="25" t="s">
        <v>89</v>
      </c>
      <c r="D551" s="25" t="s">
        <v>78</v>
      </c>
      <c r="E551" s="29">
        <v>186.0</v>
      </c>
      <c r="F551" s="29">
        <f>SUMIFS(crm_orders!$J:$J,crm_orders!$B:$B,"&gt;="&amp;A551,crm_orders!$B:$B,"&lt;"&amp;DATE(YEAR(A551),MONTH(A551)+1,1),crm_orders!$E:$E,B551,crm_orders!$G:$G,C551,crm_orders!$H:$H,D551)</f>
        <v>0</v>
      </c>
      <c r="G551" s="29">
        <f>SUMIFS(warehouse_shipments!$H:$H,warehouse_shipments!$C:$C,"&gt;="&amp;A551,warehouse_shipments!$C:$C,"&lt;"&amp;DATE(YEAR(A551),MONTH(A551)+1,1),warehouse_shipments!$P:$P,B551,warehouse_shipments!$Q:$Q,C551,warehouse_shipments!$R:$R,D551)</f>
        <v>120</v>
      </c>
      <c r="H551" s="30">
        <f t="shared" si="1"/>
        <v>-186</v>
      </c>
      <c r="I551" s="65">
        <f t="shared" si="2"/>
        <v>0</v>
      </c>
      <c r="J551" s="30" t="s">
        <v>5307</v>
      </c>
    </row>
    <row r="552" ht="15.75" customHeight="1">
      <c r="A552" s="18">
        <v>46054.0</v>
      </c>
      <c r="B552" s="17" t="s">
        <v>4618</v>
      </c>
      <c r="C552" s="17" t="s">
        <v>89</v>
      </c>
      <c r="D552" s="17" t="s">
        <v>156</v>
      </c>
      <c r="E552" s="21">
        <v>250.0</v>
      </c>
      <c r="F552" s="21">
        <f>SUMIFS(crm_orders!$J:$J,crm_orders!$B:$B,"&gt;="&amp;A552,crm_orders!$B:$B,"&lt;"&amp;DATE(YEAR(A552),MONTH(A552)+1,1),crm_orders!$E:$E,B552,crm_orders!$G:$G,C552,crm_orders!$H:$H,D552)</f>
        <v>0</v>
      </c>
      <c r="G552" s="21">
        <f>SUMIFS(warehouse_shipments!$H:$H,warehouse_shipments!$C:$C,"&gt;="&amp;A552,warehouse_shipments!$C:$C,"&lt;"&amp;DATE(YEAR(A552),MONTH(A552)+1,1),warehouse_shipments!$P:$P,B552,warehouse_shipments!$Q:$Q,C552,warehouse_shipments!$R:$R,D552)</f>
        <v>0</v>
      </c>
      <c r="H552" s="22">
        <f t="shared" si="1"/>
        <v>-250</v>
      </c>
      <c r="I552" s="64">
        <f t="shared" si="2"/>
        <v>0</v>
      </c>
      <c r="J552" s="22" t="s">
        <v>5311</v>
      </c>
    </row>
    <row r="553" ht="15.75" customHeight="1">
      <c r="A553" s="26">
        <v>46054.0</v>
      </c>
      <c r="B553" s="25" t="s">
        <v>4618</v>
      </c>
      <c r="C553" s="25" t="s">
        <v>89</v>
      </c>
      <c r="D553" s="25" t="s">
        <v>92</v>
      </c>
      <c r="E553" s="29">
        <v>311.0</v>
      </c>
      <c r="F553" s="29">
        <f>SUMIFS(crm_orders!$J:$J,crm_orders!$B:$B,"&gt;="&amp;A553,crm_orders!$B:$B,"&lt;"&amp;DATE(YEAR(A553),MONTH(A553)+1,1),crm_orders!$E:$E,B553,crm_orders!$G:$G,C553,crm_orders!$H:$H,D553)</f>
        <v>0</v>
      </c>
      <c r="G553" s="29">
        <f>SUMIFS(warehouse_shipments!$H:$H,warehouse_shipments!$C:$C,"&gt;="&amp;A553,warehouse_shipments!$C:$C,"&lt;"&amp;DATE(YEAR(A553),MONTH(A553)+1,1),warehouse_shipments!$P:$P,B553,warehouse_shipments!$Q:$Q,C553,warehouse_shipments!$R:$R,D553)</f>
        <v>0</v>
      </c>
      <c r="H553" s="30">
        <f t="shared" si="1"/>
        <v>-311</v>
      </c>
      <c r="I553" s="65">
        <f t="shared" si="2"/>
        <v>0</v>
      </c>
      <c r="J553" s="30" t="s">
        <v>5306</v>
      </c>
    </row>
    <row r="554" ht="15.75" customHeight="1">
      <c r="A554" s="18">
        <v>46054.0</v>
      </c>
      <c r="B554" s="17" t="s">
        <v>4705</v>
      </c>
      <c r="C554" s="17" t="s">
        <v>63</v>
      </c>
      <c r="D554" s="17" t="s">
        <v>95</v>
      </c>
      <c r="E554" s="21">
        <v>295.0</v>
      </c>
      <c r="F554" s="21">
        <f>SUMIFS(crm_orders!$J:$J,crm_orders!$B:$B,"&gt;="&amp;A554,crm_orders!$B:$B,"&lt;"&amp;DATE(YEAR(A554),MONTH(A554)+1,1),crm_orders!$E:$E,B554,crm_orders!$G:$G,C554,crm_orders!$H:$H,D554)</f>
        <v>0</v>
      </c>
      <c r="G554" s="21">
        <f>SUMIFS(warehouse_shipments!$H:$H,warehouse_shipments!$C:$C,"&gt;="&amp;A554,warehouse_shipments!$C:$C,"&lt;"&amp;DATE(YEAR(A554),MONTH(A554)+1,1),warehouse_shipments!$P:$P,B554,warehouse_shipments!$Q:$Q,C554,warehouse_shipments!$R:$R,D554)</f>
        <v>0</v>
      </c>
      <c r="H554" s="22">
        <f t="shared" si="1"/>
        <v>-295</v>
      </c>
      <c r="I554" s="64">
        <f t="shared" si="2"/>
        <v>0</v>
      </c>
      <c r="J554" s="22" t="s">
        <v>5310</v>
      </c>
    </row>
    <row r="555" ht="15.75" customHeight="1">
      <c r="A555" s="26">
        <v>46054.0</v>
      </c>
      <c r="B555" s="25" t="s">
        <v>4705</v>
      </c>
      <c r="C555" s="25" t="s">
        <v>63</v>
      </c>
      <c r="D555" s="25" t="s">
        <v>92</v>
      </c>
      <c r="E555" s="29">
        <v>312.0</v>
      </c>
      <c r="F555" s="29">
        <f>SUMIFS(crm_orders!$J:$J,crm_orders!$B:$B,"&gt;="&amp;A555,crm_orders!$B:$B,"&lt;"&amp;DATE(YEAR(A555),MONTH(A555)+1,1),crm_orders!$E:$E,B555,crm_orders!$G:$G,C555,crm_orders!$H:$H,D555)</f>
        <v>114</v>
      </c>
      <c r="G555" s="29">
        <f>SUMIFS(warehouse_shipments!$H:$H,warehouse_shipments!$C:$C,"&gt;="&amp;A555,warehouse_shipments!$C:$C,"&lt;"&amp;DATE(YEAR(A555),MONTH(A555)+1,1),warehouse_shipments!$P:$P,B555,warehouse_shipments!$Q:$Q,C555,warehouse_shipments!$R:$R,D555)</f>
        <v>102</v>
      </c>
      <c r="H555" s="30">
        <f t="shared" si="1"/>
        <v>-198</v>
      </c>
      <c r="I555" s="65">
        <f t="shared" si="2"/>
        <v>0.3653846154</v>
      </c>
      <c r="J555" s="30" t="s">
        <v>5310</v>
      </c>
    </row>
    <row r="556" ht="15.75" customHeight="1">
      <c r="A556" s="18">
        <v>46054.0</v>
      </c>
      <c r="B556" s="17" t="s">
        <v>4705</v>
      </c>
      <c r="C556" s="17" t="s">
        <v>63</v>
      </c>
      <c r="D556" s="17" t="s">
        <v>156</v>
      </c>
      <c r="E556" s="21">
        <v>89.0</v>
      </c>
      <c r="F556" s="21">
        <f>SUMIFS(crm_orders!$J:$J,crm_orders!$B:$B,"&gt;="&amp;A556,crm_orders!$B:$B,"&lt;"&amp;DATE(YEAR(A556),MONTH(A556)+1,1),crm_orders!$E:$E,B556,crm_orders!$G:$G,C556,crm_orders!$H:$H,D556)</f>
        <v>0</v>
      </c>
      <c r="G556" s="21">
        <f>SUMIFS(warehouse_shipments!$H:$H,warehouse_shipments!$C:$C,"&gt;="&amp;A556,warehouse_shipments!$C:$C,"&lt;"&amp;DATE(YEAR(A556),MONTH(A556)+1,1),warehouse_shipments!$P:$P,B556,warehouse_shipments!$Q:$Q,C556,warehouse_shipments!$R:$R,D556)</f>
        <v>0</v>
      </c>
      <c r="H556" s="22">
        <f t="shared" si="1"/>
        <v>-89</v>
      </c>
      <c r="I556" s="64">
        <f t="shared" si="2"/>
        <v>0</v>
      </c>
      <c r="J556" s="22" t="s">
        <v>5306</v>
      </c>
    </row>
    <row r="557" ht="15.75" customHeight="1">
      <c r="A557" s="26">
        <v>46054.0</v>
      </c>
      <c r="B557" s="25" t="s">
        <v>4705</v>
      </c>
      <c r="C557" s="25" t="s">
        <v>63</v>
      </c>
      <c r="D557" s="25" t="s">
        <v>108</v>
      </c>
      <c r="E557" s="29">
        <v>88.0</v>
      </c>
      <c r="F557" s="29">
        <f>SUMIFS(crm_orders!$J:$J,crm_orders!$B:$B,"&gt;="&amp;A557,crm_orders!$B:$B,"&lt;"&amp;DATE(YEAR(A557),MONTH(A557)+1,1),crm_orders!$E:$E,B557,crm_orders!$G:$G,C557,crm_orders!$H:$H,D557)</f>
        <v>72</v>
      </c>
      <c r="G557" s="29">
        <f>SUMIFS(warehouse_shipments!$H:$H,warehouse_shipments!$C:$C,"&gt;="&amp;A557,warehouse_shipments!$C:$C,"&lt;"&amp;DATE(YEAR(A557),MONTH(A557)+1,1),warehouse_shipments!$P:$P,B557,warehouse_shipments!$Q:$Q,C557,warehouse_shipments!$R:$R,D557)</f>
        <v>72</v>
      </c>
      <c r="H557" s="30">
        <f t="shared" si="1"/>
        <v>-16</v>
      </c>
      <c r="I557" s="65">
        <f t="shared" si="2"/>
        <v>0.8181818182</v>
      </c>
      <c r="J557" s="30" t="s">
        <v>5306</v>
      </c>
    </row>
    <row r="558" ht="15.75" customHeight="1">
      <c r="A558" s="18">
        <v>46054.0</v>
      </c>
      <c r="B558" s="17" t="s">
        <v>4705</v>
      </c>
      <c r="C558" s="17" t="s">
        <v>63</v>
      </c>
      <c r="D558" s="17" t="s">
        <v>106</v>
      </c>
      <c r="E558" s="21">
        <v>177.0</v>
      </c>
      <c r="F558" s="21">
        <f>SUMIFS(crm_orders!$J:$J,crm_orders!$B:$B,"&gt;="&amp;A558,crm_orders!$B:$B,"&lt;"&amp;DATE(YEAR(A558),MONTH(A558)+1,1),crm_orders!$E:$E,B558,crm_orders!$G:$G,C558,crm_orders!$H:$H,D558)</f>
        <v>0</v>
      </c>
      <c r="G558" s="21">
        <f>SUMIFS(warehouse_shipments!$H:$H,warehouse_shipments!$C:$C,"&gt;="&amp;A558,warehouse_shipments!$C:$C,"&lt;"&amp;DATE(YEAR(A558),MONTH(A558)+1,1),warehouse_shipments!$P:$P,B558,warehouse_shipments!$Q:$Q,C558,warehouse_shipments!$R:$R,D558)</f>
        <v>60</v>
      </c>
      <c r="H558" s="22">
        <f t="shared" si="1"/>
        <v>-177</v>
      </c>
      <c r="I558" s="64">
        <f t="shared" si="2"/>
        <v>0</v>
      </c>
      <c r="J558" s="22" t="s">
        <v>5309</v>
      </c>
    </row>
    <row r="559" ht="15.75" customHeight="1">
      <c r="A559" s="26">
        <v>46054.0</v>
      </c>
      <c r="B559" s="25" t="s">
        <v>4705</v>
      </c>
      <c r="C559" s="25" t="s">
        <v>63</v>
      </c>
      <c r="D559" s="25" t="s">
        <v>78</v>
      </c>
      <c r="E559" s="29">
        <v>208.0</v>
      </c>
      <c r="F559" s="29">
        <f>SUMIFS(crm_orders!$J:$J,crm_orders!$B:$B,"&gt;="&amp;A559,crm_orders!$B:$B,"&lt;"&amp;DATE(YEAR(A559),MONTH(A559)+1,1),crm_orders!$E:$E,B559,crm_orders!$G:$G,C559,crm_orders!$H:$H,D559)</f>
        <v>6</v>
      </c>
      <c r="G559" s="29">
        <f>SUMIFS(warehouse_shipments!$H:$H,warehouse_shipments!$C:$C,"&gt;="&amp;A559,warehouse_shipments!$C:$C,"&lt;"&amp;DATE(YEAR(A559),MONTH(A559)+1,1),warehouse_shipments!$P:$P,B559,warehouse_shipments!$Q:$Q,C559,warehouse_shipments!$R:$R,D559)</f>
        <v>0</v>
      </c>
      <c r="H559" s="30">
        <f t="shared" si="1"/>
        <v>-202</v>
      </c>
      <c r="I559" s="65">
        <f t="shared" si="2"/>
        <v>0.02884615385</v>
      </c>
      <c r="J559" s="30" t="s">
        <v>5309</v>
      </c>
    </row>
    <row r="560" ht="15.75" customHeight="1">
      <c r="A560" s="18">
        <v>46054.0</v>
      </c>
      <c r="B560" s="17" t="s">
        <v>4705</v>
      </c>
      <c r="C560" s="17" t="s">
        <v>63</v>
      </c>
      <c r="D560" s="17" t="s">
        <v>115</v>
      </c>
      <c r="E560" s="21">
        <v>442.0</v>
      </c>
      <c r="F560" s="21">
        <f>SUMIFS(crm_orders!$J:$J,crm_orders!$B:$B,"&gt;="&amp;A560,crm_orders!$B:$B,"&lt;"&amp;DATE(YEAR(A560),MONTH(A560)+1,1),crm_orders!$E:$E,B560,crm_orders!$G:$G,C560,crm_orders!$H:$H,D560)</f>
        <v>0</v>
      </c>
      <c r="G560" s="21">
        <f>SUMIFS(warehouse_shipments!$H:$H,warehouse_shipments!$C:$C,"&gt;="&amp;A560,warehouse_shipments!$C:$C,"&lt;"&amp;DATE(YEAR(A560),MONTH(A560)+1,1),warehouse_shipments!$P:$P,B560,warehouse_shipments!$Q:$Q,C560,warehouse_shipments!$R:$R,D560)</f>
        <v>0</v>
      </c>
      <c r="H560" s="22">
        <f t="shared" si="1"/>
        <v>-442</v>
      </c>
      <c r="I560" s="64">
        <f t="shared" si="2"/>
        <v>0</v>
      </c>
      <c r="J560" s="22" t="s">
        <v>5311</v>
      </c>
    </row>
    <row r="561" ht="15.75" customHeight="1">
      <c r="A561" s="26">
        <v>46054.0</v>
      </c>
      <c r="B561" s="25" t="s">
        <v>4705</v>
      </c>
      <c r="C561" s="25" t="s">
        <v>63</v>
      </c>
      <c r="D561" s="25" t="s">
        <v>123</v>
      </c>
      <c r="E561" s="29">
        <v>415.0</v>
      </c>
      <c r="F561" s="29">
        <f>SUMIFS(crm_orders!$J:$J,crm_orders!$B:$B,"&gt;="&amp;A561,crm_orders!$B:$B,"&lt;"&amp;DATE(YEAR(A561),MONTH(A561)+1,1),crm_orders!$E:$E,B561,crm_orders!$G:$G,C561,crm_orders!$H:$H,D561)</f>
        <v>24</v>
      </c>
      <c r="G561" s="29">
        <f>SUMIFS(warehouse_shipments!$H:$H,warehouse_shipments!$C:$C,"&gt;="&amp;A561,warehouse_shipments!$C:$C,"&lt;"&amp;DATE(YEAR(A561),MONTH(A561)+1,1),warehouse_shipments!$P:$P,B561,warehouse_shipments!$Q:$Q,C561,warehouse_shipments!$R:$R,D561)</f>
        <v>0</v>
      </c>
      <c r="H561" s="30">
        <f t="shared" si="1"/>
        <v>-391</v>
      </c>
      <c r="I561" s="65">
        <f t="shared" si="2"/>
        <v>0.0578313253</v>
      </c>
      <c r="J561" s="30" t="s">
        <v>5308</v>
      </c>
    </row>
    <row r="562" ht="15.75" customHeight="1">
      <c r="A562" s="18">
        <v>46054.0</v>
      </c>
      <c r="B562" s="17" t="s">
        <v>4705</v>
      </c>
      <c r="C562" s="17" t="s">
        <v>67</v>
      </c>
      <c r="D562" s="17" t="s">
        <v>78</v>
      </c>
      <c r="E562" s="21">
        <v>491.0</v>
      </c>
      <c r="F562" s="21">
        <f>SUMIFS(crm_orders!$J:$J,crm_orders!$B:$B,"&gt;="&amp;A562,crm_orders!$B:$B,"&lt;"&amp;DATE(YEAR(A562),MONTH(A562)+1,1),crm_orders!$E:$E,B562,crm_orders!$G:$G,C562,crm_orders!$H:$H,D562)</f>
        <v>0</v>
      </c>
      <c r="G562" s="21">
        <f>SUMIFS(warehouse_shipments!$H:$H,warehouse_shipments!$C:$C,"&gt;="&amp;A562,warehouse_shipments!$C:$C,"&lt;"&amp;DATE(YEAR(A562),MONTH(A562)+1,1),warehouse_shipments!$P:$P,B562,warehouse_shipments!$Q:$Q,C562,warehouse_shipments!$R:$R,D562)</f>
        <v>0</v>
      </c>
      <c r="H562" s="22">
        <f t="shared" si="1"/>
        <v>-491</v>
      </c>
      <c r="I562" s="64">
        <f t="shared" si="2"/>
        <v>0</v>
      </c>
      <c r="J562" s="22" t="s">
        <v>5310</v>
      </c>
    </row>
    <row r="563" ht="15.75" customHeight="1">
      <c r="A563" s="26">
        <v>46054.0</v>
      </c>
      <c r="B563" s="25" t="s">
        <v>4705</v>
      </c>
      <c r="C563" s="25" t="s">
        <v>67</v>
      </c>
      <c r="D563" s="25" t="s">
        <v>68</v>
      </c>
      <c r="E563" s="29">
        <v>312.0</v>
      </c>
      <c r="F563" s="29">
        <f>SUMIFS(crm_orders!$J:$J,crm_orders!$B:$B,"&gt;="&amp;A563,crm_orders!$B:$B,"&lt;"&amp;DATE(YEAR(A563),MONTH(A563)+1,1),crm_orders!$E:$E,B563,crm_orders!$G:$G,C563,crm_orders!$H:$H,D563)</f>
        <v>0</v>
      </c>
      <c r="G563" s="29">
        <f>SUMIFS(warehouse_shipments!$H:$H,warehouse_shipments!$C:$C,"&gt;="&amp;A563,warehouse_shipments!$C:$C,"&lt;"&amp;DATE(YEAR(A563),MONTH(A563)+1,1),warehouse_shipments!$P:$P,B563,warehouse_shipments!$Q:$Q,C563,warehouse_shipments!$R:$R,D563)</f>
        <v>0</v>
      </c>
      <c r="H563" s="30">
        <f t="shared" si="1"/>
        <v>-312</v>
      </c>
      <c r="I563" s="65">
        <f t="shared" si="2"/>
        <v>0</v>
      </c>
      <c r="J563" s="30" t="s">
        <v>5310</v>
      </c>
    </row>
    <row r="564" ht="15.75" customHeight="1">
      <c r="A564" s="18">
        <v>46054.0</v>
      </c>
      <c r="B564" s="17" t="s">
        <v>4705</v>
      </c>
      <c r="C564" s="17" t="s">
        <v>67</v>
      </c>
      <c r="D564" s="17" t="s">
        <v>81</v>
      </c>
      <c r="E564" s="21">
        <v>434.0</v>
      </c>
      <c r="F564" s="21">
        <f>SUMIFS(crm_orders!$J:$J,crm_orders!$B:$B,"&gt;="&amp;A564,crm_orders!$B:$B,"&lt;"&amp;DATE(YEAR(A564),MONTH(A564)+1,1),crm_orders!$E:$E,B564,crm_orders!$G:$G,C564,crm_orders!$H:$H,D564)</f>
        <v>0</v>
      </c>
      <c r="G564" s="21">
        <f>SUMIFS(warehouse_shipments!$H:$H,warehouse_shipments!$C:$C,"&gt;="&amp;A564,warehouse_shipments!$C:$C,"&lt;"&amp;DATE(YEAR(A564),MONTH(A564)+1,1),warehouse_shipments!$P:$P,B564,warehouse_shipments!$Q:$Q,C564,warehouse_shipments!$R:$R,D564)</f>
        <v>0</v>
      </c>
      <c r="H564" s="22">
        <f t="shared" si="1"/>
        <v>-434</v>
      </c>
      <c r="I564" s="64">
        <f t="shared" si="2"/>
        <v>0</v>
      </c>
      <c r="J564" s="22" t="s">
        <v>5311</v>
      </c>
    </row>
    <row r="565" ht="15.75" customHeight="1">
      <c r="A565" s="26">
        <v>46054.0</v>
      </c>
      <c r="B565" s="25" t="s">
        <v>4705</v>
      </c>
      <c r="C565" s="25" t="s">
        <v>67</v>
      </c>
      <c r="D565" s="25" t="s">
        <v>95</v>
      </c>
      <c r="E565" s="29">
        <v>82.0</v>
      </c>
      <c r="F565" s="29">
        <f>SUMIFS(crm_orders!$J:$J,crm_orders!$B:$B,"&gt;="&amp;A565,crm_orders!$B:$B,"&lt;"&amp;DATE(YEAR(A565),MONTH(A565)+1,1),crm_orders!$E:$E,B565,crm_orders!$G:$G,C565,crm_orders!$H:$H,D565)</f>
        <v>0</v>
      </c>
      <c r="G565" s="29">
        <f>SUMIFS(warehouse_shipments!$H:$H,warehouse_shipments!$C:$C,"&gt;="&amp;A565,warehouse_shipments!$C:$C,"&lt;"&amp;DATE(YEAR(A565),MONTH(A565)+1,1),warehouse_shipments!$P:$P,B565,warehouse_shipments!$Q:$Q,C565,warehouse_shipments!$R:$R,D565)</f>
        <v>0</v>
      </c>
      <c r="H565" s="30">
        <f t="shared" si="1"/>
        <v>-82</v>
      </c>
      <c r="I565" s="65">
        <f t="shared" si="2"/>
        <v>0</v>
      </c>
      <c r="J565" s="30" t="s">
        <v>5307</v>
      </c>
    </row>
    <row r="566" ht="15.75" customHeight="1">
      <c r="A566" s="18">
        <v>46054.0</v>
      </c>
      <c r="B566" s="17" t="s">
        <v>4705</v>
      </c>
      <c r="C566" s="17" t="s">
        <v>67</v>
      </c>
      <c r="D566" s="17" t="s">
        <v>64</v>
      </c>
      <c r="E566" s="21">
        <v>233.0</v>
      </c>
      <c r="F566" s="21">
        <f>SUMIFS(crm_orders!$J:$J,crm_orders!$B:$B,"&gt;="&amp;A566,crm_orders!$B:$B,"&lt;"&amp;DATE(YEAR(A566),MONTH(A566)+1,1),crm_orders!$E:$E,B566,crm_orders!$G:$G,C566,crm_orders!$H:$H,D566)</f>
        <v>0</v>
      </c>
      <c r="G566" s="21">
        <f>SUMIFS(warehouse_shipments!$H:$H,warehouse_shipments!$C:$C,"&gt;="&amp;A566,warehouse_shipments!$C:$C,"&lt;"&amp;DATE(YEAR(A566),MONTH(A566)+1,1),warehouse_shipments!$P:$P,B566,warehouse_shipments!$Q:$Q,C566,warehouse_shipments!$R:$R,D566)</f>
        <v>0</v>
      </c>
      <c r="H566" s="22">
        <f t="shared" si="1"/>
        <v>-233</v>
      </c>
      <c r="I566" s="64">
        <f t="shared" si="2"/>
        <v>0</v>
      </c>
      <c r="J566" s="22" t="s">
        <v>5310</v>
      </c>
    </row>
    <row r="567" ht="15.75" customHeight="1">
      <c r="A567" s="26">
        <v>46054.0</v>
      </c>
      <c r="B567" s="25" t="s">
        <v>4705</v>
      </c>
      <c r="C567" s="25" t="s">
        <v>67</v>
      </c>
      <c r="D567" s="25" t="s">
        <v>102</v>
      </c>
      <c r="E567" s="29">
        <v>514.0</v>
      </c>
      <c r="F567" s="29">
        <f>SUMIFS(crm_orders!$J:$J,crm_orders!$B:$B,"&gt;="&amp;A567,crm_orders!$B:$B,"&lt;"&amp;DATE(YEAR(A567),MONTH(A567)+1,1),crm_orders!$E:$E,B567,crm_orders!$G:$G,C567,crm_orders!$H:$H,D567)</f>
        <v>0</v>
      </c>
      <c r="G567" s="29">
        <f>SUMIFS(warehouse_shipments!$H:$H,warehouse_shipments!$C:$C,"&gt;="&amp;A567,warehouse_shipments!$C:$C,"&lt;"&amp;DATE(YEAR(A567),MONTH(A567)+1,1),warehouse_shipments!$P:$P,B567,warehouse_shipments!$Q:$Q,C567,warehouse_shipments!$R:$R,D567)</f>
        <v>0</v>
      </c>
      <c r="H567" s="30">
        <f t="shared" si="1"/>
        <v>-514</v>
      </c>
      <c r="I567" s="65">
        <f t="shared" si="2"/>
        <v>0</v>
      </c>
      <c r="J567" s="30" t="s">
        <v>5306</v>
      </c>
    </row>
    <row r="568" ht="15.75" customHeight="1">
      <c r="A568" s="18">
        <v>46054.0</v>
      </c>
      <c r="B568" s="17" t="s">
        <v>4705</v>
      </c>
      <c r="C568" s="17" t="s">
        <v>67</v>
      </c>
      <c r="D568" s="17" t="s">
        <v>123</v>
      </c>
      <c r="E568" s="21">
        <v>224.0</v>
      </c>
      <c r="F568" s="21">
        <f>SUMIFS(crm_orders!$J:$J,crm_orders!$B:$B,"&gt;="&amp;A568,crm_orders!$B:$B,"&lt;"&amp;DATE(YEAR(A568),MONTH(A568)+1,1),crm_orders!$E:$E,B568,crm_orders!$G:$G,C568,crm_orders!$H:$H,D568)</f>
        <v>0</v>
      </c>
      <c r="G568" s="21">
        <f>SUMIFS(warehouse_shipments!$H:$H,warehouse_shipments!$C:$C,"&gt;="&amp;A568,warehouse_shipments!$C:$C,"&lt;"&amp;DATE(YEAR(A568),MONTH(A568)+1,1),warehouse_shipments!$P:$P,B568,warehouse_shipments!$Q:$Q,C568,warehouse_shipments!$R:$R,D568)</f>
        <v>0</v>
      </c>
      <c r="H568" s="22">
        <f t="shared" si="1"/>
        <v>-224</v>
      </c>
      <c r="I568" s="64">
        <f t="shared" si="2"/>
        <v>0</v>
      </c>
      <c r="J568" s="22" t="s">
        <v>5311</v>
      </c>
    </row>
    <row r="569" ht="15.75" customHeight="1">
      <c r="A569" s="26">
        <v>46054.0</v>
      </c>
      <c r="B569" s="25" t="s">
        <v>4705</v>
      </c>
      <c r="C569" s="25" t="s">
        <v>67</v>
      </c>
      <c r="D569" s="25" t="s">
        <v>190</v>
      </c>
      <c r="E569" s="29">
        <v>409.0</v>
      </c>
      <c r="F569" s="29">
        <f>SUMIFS(crm_orders!$J:$J,crm_orders!$B:$B,"&gt;="&amp;A569,crm_orders!$B:$B,"&lt;"&amp;DATE(YEAR(A569),MONTH(A569)+1,1),crm_orders!$E:$E,B569,crm_orders!$G:$G,C569,crm_orders!$H:$H,D569)</f>
        <v>0</v>
      </c>
      <c r="G569" s="29">
        <f>SUMIFS(warehouse_shipments!$H:$H,warehouse_shipments!$C:$C,"&gt;="&amp;A569,warehouse_shipments!$C:$C,"&lt;"&amp;DATE(YEAR(A569),MONTH(A569)+1,1),warehouse_shipments!$P:$P,B569,warehouse_shipments!$Q:$Q,C569,warehouse_shipments!$R:$R,D569)</f>
        <v>0</v>
      </c>
      <c r="H569" s="30">
        <f t="shared" si="1"/>
        <v>-409</v>
      </c>
      <c r="I569" s="65">
        <f t="shared" si="2"/>
        <v>0</v>
      </c>
      <c r="J569" s="30" t="s">
        <v>5309</v>
      </c>
    </row>
    <row r="570" ht="15.75" customHeight="1">
      <c r="A570" s="18">
        <v>46054.0</v>
      </c>
      <c r="B570" s="17" t="s">
        <v>4705</v>
      </c>
      <c r="C570" s="17" t="s">
        <v>89</v>
      </c>
      <c r="D570" s="17" t="s">
        <v>92</v>
      </c>
      <c r="E570" s="21">
        <v>367.0</v>
      </c>
      <c r="F570" s="21">
        <f>SUMIFS(crm_orders!$J:$J,crm_orders!$B:$B,"&gt;="&amp;A570,crm_orders!$B:$B,"&lt;"&amp;DATE(YEAR(A570),MONTH(A570)+1,1),crm_orders!$E:$E,B570,crm_orders!$G:$G,C570,crm_orders!$H:$H,D570)</f>
        <v>0</v>
      </c>
      <c r="G570" s="21">
        <f>SUMIFS(warehouse_shipments!$H:$H,warehouse_shipments!$C:$C,"&gt;="&amp;A570,warehouse_shipments!$C:$C,"&lt;"&amp;DATE(YEAR(A570),MONTH(A570)+1,1),warehouse_shipments!$P:$P,B570,warehouse_shipments!$Q:$Q,C570,warehouse_shipments!$R:$R,D570)</f>
        <v>0</v>
      </c>
      <c r="H570" s="22">
        <f t="shared" si="1"/>
        <v>-367</v>
      </c>
      <c r="I570" s="64">
        <f t="shared" si="2"/>
        <v>0</v>
      </c>
      <c r="J570" s="22" t="s">
        <v>5311</v>
      </c>
    </row>
    <row r="571" ht="15.75" customHeight="1">
      <c r="A571" s="26">
        <v>46054.0</v>
      </c>
      <c r="B571" s="25" t="s">
        <v>4705</v>
      </c>
      <c r="C571" s="25" t="s">
        <v>89</v>
      </c>
      <c r="D571" s="25" t="s">
        <v>162</v>
      </c>
      <c r="E571" s="29">
        <v>475.0</v>
      </c>
      <c r="F571" s="29">
        <f>SUMIFS(crm_orders!$J:$J,crm_orders!$B:$B,"&gt;="&amp;A571,crm_orders!$B:$B,"&lt;"&amp;DATE(YEAR(A571),MONTH(A571)+1,1),crm_orders!$E:$E,B571,crm_orders!$G:$G,C571,crm_orders!$H:$H,D571)</f>
        <v>0</v>
      </c>
      <c r="G571" s="29">
        <f>SUMIFS(warehouse_shipments!$H:$H,warehouse_shipments!$C:$C,"&gt;="&amp;A571,warehouse_shipments!$C:$C,"&lt;"&amp;DATE(YEAR(A571),MONTH(A571)+1,1),warehouse_shipments!$P:$P,B571,warehouse_shipments!$Q:$Q,C571,warehouse_shipments!$R:$R,D571)</f>
        <v>0</v>
      </c>
      <c r="H571" s="30">
        <f t="shared" si="1"/>
        <v>-475</v>
      </c>
      <c r="I571" s="65">
        <f t="shared" si="2"/>
        <v>0</v>
      </c>
      <c r="J571" s="30" t="s">
        <v>5309</v>
      </c>
    </row>
    <row r="572" ht="15.75" customHeight="1">
      <c r="A572" s="18">
        <v>46054.0</v>
      </c>
      <c r="B572" s="17" t="s">
        <v>4705</v>
      </c>
      <c r="C572" s="17" t="s">
        <v>89</v>
      </c>
      <c r="D572" s="17" t="s">
        <v>78</v>
      </c>
      <c r="E572" s="21">
        <v>384.0</v>
      </c>
      <c r="F572" s="21">
        <f>SUMIFS(crm_orders!$J:$J,crm_orders!$B:$B,"&gt;="&amp;A572,crm_orders!$B:$B,"&lt;"&amp;DATE(YEAR(A572),MONTH(A572)+1,1),crm_orders!$E:$E,B572,crm_orders!$G:$G,C572,crm_orders!$H:$H,D572)</f>
        <v>0</v>
      </c>
      <c r="G572" s="21">
        <f>SUMIFS(warehouse_shipments!$H:$H,warehouse_shipments!$C:$C,"&gt;="&amp;A572,warehouse_shipments!$C:$C,"&lt;"&amp;DATE(YEAR(A572),MONTH(A572)+1,1),warehouse_shipments!$P:$P,B572,warehouse_shipments!$Q:$Q,C572,warehouse_shipments!$R:$R,D572)</f>
        <v>0</v>
      </c>
      <c r="H572" s="22">
        <f t="shared" si="1"/>
        <v>-384</v>
      </c>
      <c r="I572" s="64">
        <f t="shared" si="2"/>
        <v>0</v>
      </c>
      <c r="J572" s="22" t="s">
        <v>5309</v>
      </c>
    </row>
    <row r="573" ht="15.75" customHeight="1">
      <c r="A573" s="26">
        <v>46054.0</v>
      </c>
      <c r="B573" s="25" t="s">
        <v>4705</v>
      </c>
      <c r="C573" s="25" t="s">
        <v>89</v>
      </c>
      <c r="D573" s="25" t="s">
        <v>74</v>
      </c>
      <c r="E573" s="29">
        <v>493.0</v>
      </c>
      <c r="F573" s="29">
        <f>SUMIFS(crm_orders!$J:$J,crm_orders!$B:$B,"&gt;="&amp;A573,crm_orders!$B:$B,"&lt;"&amp;DATE(YEAR(A573),MONTH(A573)+1,1),crm_orders!$E:$E,B573,crm_orders!$G:$G,C573,crm_orders!$H:$H,D573)</f>
        <v>48</v>
      </c>
      <c r="G573" s="29">
        <f>SUMIFS(warehouse_shipments!$H:$H,warehouse_shipments!$C:$C,"&gt;="&amp;A573,warehouse_shipments!$C:$C,"&lt;"&amp;DATE(YEAR(A573),MONTH(A573)+1,1),warehouse_shipments!$P:$P,B573,warehouse_shipments!$Q:$Q,C573,warehouse_shipments!$R:$R,D573)</f>
        <v>0</v>
      </c>
      <c r="H573" s="30">
        <f t="shared" si="1"/>
        <v>-445</v>
      </c>
      <c r="I573" s="65">
        <f t="shared" si="2"/>
        <v>0.09736308316</v>
      </c>
      <c r="J573" s="30" t="s">
        <v>5310</v>
      </c>
    </row>
    <row r="574" ht="15.75" customHeight="1">
      <c r="A574" s="18">
        <v>46054.0</v>
      </c>
      <c r="B574" s="17" t="s">
        <v>4705</v>
      </c>
      <c r="C574" s="17" t="s">
        <v>89</v>
      </c>
      <c r="D574" s="17" t="s">
        <v>115</v>
      </c>
      <c r="E574" s="21">
        <v>331.0</v>
      </c>
      <c r="F574" s="21">
        <f>SUMIFS(crm_orders!$J:$J,crm_orders!$B:$B,"&gt;="&amp;A574,crm_orders!$B:$B,"&lt;"&amp;DATE(YEAR(A574),MONTH(A574)+1,1),crm_orders!$E:$E,B574,crm_orders!$G:$G,C574,crm_orders!$H:$H,D574)</f>
        <v>0</v>
      </c>
      <c r="G574" s="21">
        <f>SUMIFS(warehouse_shipments!$H:$H,warehouse_shipments!$C:$C,"&gt;="&amp;A574,warehouse_shipments!$C:$C,"&lt;"&amp;DATE(YEAR(A574),MONTH(A574)+1,1),warehouse_shipments!$P:$P,B574,warehouse_shipments!$Q:$Q,C574,warehouse_shipments!$R:$R,D574)</f>
        <v>0</v>
      </c>
      <c r="H574" s="22">
        <f t="shared" si="1"/>
        <v>-331</v>
      </c>
      <c r="I574" s="64">
        <f t="shared" si="2"/>
        <v>0</v>
      </c>
      <c r="J574" s="22" t="s">
        <v>5309</v>
      </c>
    </row>
    <row r="575" ht="15.75" customHeight="1">
      <c r="A575" s="26">
        <v>46054.0</v>
      </c>
      <c r="B575" s="25" t="s">
        <v>4705</v>
      </c>
      <c r="C575" s="25" t="s">
        <v>89</v>
      </c>
      <c r="D575" s="25" t="s">
        <v>123</v>
      </c>
      <c r="E575" s="29">
        <v>255.0</v>
      </c>
      <c r="F575" s="29">
        <f>SUMIFS(crm_orders!$J:$J,crm_orders!$B:$B,"&gt;="&amp;A575,crm_orders!$B:$B,"&lt;"&amp;DATE(YEAR(A575),MONTH(A575)+1,1),crm_orders!$E:$E,B575,crm_orders!$G:$G,C575,crm_orders!$H:$H,D575)</f>
        <v>6</v>
      </c>
      <c r="G575" s="29">
        <f>SUMIFS(warehouse_shipments!$H:$H,warehouse_shipments!$C:$C,"&gt;="&amp;A575,warehouse_shipments!$C:$C,"&lt;"&amp;DATE(YEAR(A575),MONTH(A575)+1,1),warehouse_shipments!$P:$P,B575,warehouse_shipments!$Q:$Q,C575,warehouse_shipments!$R:$R,D575)</f>
        <v>6</v>
      </c>
      <c r="H575" s="30">
        <f t="shared" si="1"/>
        <v>-249</v>
      </c>
      <c r="I575" s="65">
        <f t="shared" si="2"/>
        <v>0.02352941176</v>
      </c>
      <c r="J575" s="30" t="s">
        <v>5308</v>
      </c>
    </row>
    <row r="576" ht="15.75" customHeight="1">
      <c r="A576" s="18">
        <v>46054.0</v>
      </c>
      <c r="B576" s="17" t="s">
        <v>4705</v>
      </c>
      <c r="C576" s="17" t="s">
        <v>89</v>
      </c>
      <c r="D576" s="17" t="s">
        <v>154</v>
      </c>
      <c r="E576" s="21">
        <v>262.0</v>
      </c>
      <c r="F576" s="21">
        <f>SUMIFS(crm_orders!$J:$J,crm_orders!$B:$B,"&gt;="&amp;A576,crm_orders!$B:$B,"&lt;"&amp;DATE(YEAR(A576),MONTH(A576)+1,1),crm_orders!$E:$E,B576,crm_orders!$G:$G,C576,crm_orders!$H:$H,D576)</f>
        <v>0</v>
      </c>
      <c r="G576" s="21">
        <f>SUMIFS(warehouse_shipments!$H:$H,warehouse_shipments!$C:$C,"&gt;="&amp;A576,warehouse_shipments!$C:$C,"&lt;"&amp;DATE(YEAR(A576),MONTH(A576)+1,1),warehouse_shipments!$P:$P,B576,warehouse_shipments!$Q:$Q,C576,warehouse_shipments!$R:$R,D576)</f>
        <v>0</v>
      </c>
      <c r="H576" s="22">
        <f t="shared" si="1"/>
        <v>-262</v>
      </c>
      <c r="I576" s="64">
        <f t="shared" si="2"/>
        <v>0</v>
      </c>
      <c r="J576" s="22" t="s">
        <v>5306</v>
      </c>
    </row>
    <row r="577" ht="15.75" customHeight="1">
      <c r="A577" s="26">
        <v>46054.0</v>
      </c>
      <c r="B577" s="25" t="s">
        <v>4705</v>
      </c>
      <c r="C577" s="25" t="s">
        <v>89</v>
      </c>
      <c r="D577" s="25" t="s">
        <v>90</v>
      </c>
      <c r="E577" s="29">
        <v>380.0</v>
      </c>
      <c r="F577" s="29">
        <f>SUMIFS(crm_orders!$J:$J,crm_orders!$B:$B,"&gt;="&amp;A577,crm_orders!$B:$B,"&lt;"&amp;DATE(YEAR(A577),MONTH(A577)+1,1),crm_orders!$E:$E,B577,crm_orders!$G:$G,C577,crm_orders!$H:$H,D577)</f>
        <v>120</v>
      </c>
      <c r="G577" s="29">
        <f>SUMIFS(warehouse_shipments!$H:$H,warehouse_shipments!$C:$C,"&gt;="&amp;A577,warehouse_shipments!$C:$C,"&lt;"&amp;DATE(YEAR(A577),MONTH(A577)+1,1),warehouse_shipments!$P:$P,B577,warehouse_shipments!$Q:$Q,C577,warehouse_shipments!$R:$R,D577)</f>
        <v>0</v>
      </c>
      <c r="H577" s="30">
        <f t="shared" si="1"/>
        <v>-260</v>
      </c>
      <c r="I577" s="65">
        <f t="shared" si="2"/>
        <v>0.3157894737</v>
      </c>
      <c r="J577" s="30" t="s">
        <v>5307</v>
      </c>
    </row>
    <row r="578" ht="15.75" customHeight="1">
      <c r="A578" s="18">
        <v>46082.0</v>
      </c>
      <c r="B578" s="17" t="s">
        <v>3849</v>
      </c>
      <c r="C578" s="17" t="s">
        <v>63</v>
      </c>
      <c r="D578" s="17" t="s">
        <v>92</v>
      </c>
      <c r="E578" s="21">
        <v>427.0</v>
      </c>
      <c r="F578" s="21">
        <f>SUMIFS(crm_orders!$J:$J,crm_orders!$B:$B,"&gt;="&amp;A578,crm_orders!$B:$B,"&lt;"&amp;DATE(YEAR(A578),MONTH(A578)+1,1),crm_orders!$E:$E,B578,crm_orders!$G:$G,C578,crm_orders!$H:$H,D578)</f>
        <v>0</v>
      </c>
      <c r="G578" s="21">
        <f>SUMIFS(warehouse_shipments!$H:$H,warehouse_shipments!$C:$C,"&gt;="&amp;A578,warehouse_shipments!$C:$C,"&lt;"&amp;DATE(YEAR(A578),MONTH(A578)+1,1),warehouse_shipments!$P:$P,B578,warehouse_shipments!$Q:$Q,C578,warehouse_shipments!$R:$R,D578)</f>
        <v>0</v>
      </c>
      <c r="H578" s="22">
        <f t="shared" si="1"/>
        <v>-427</v>
      </c>
      <c r="I578" s="64">
        <f t="shared" si="2"/>
        <v>0</v>
      </c>
      <c r="J578" s="22" t="s">
        <v>5310</v>
      </c>
    </row>
    <row r="579" ht="15.75" customHeight="1">
      <c r="A579" s="26">
        <v>46082.0</v>
      </c>
      <c r="B579" s="25" t="s">
        <v>3849</v>
      </c>
      <c r="C579" s="25" t="s">
        <v>63</v>
      </c>
      <c r="D579" s="25" t="s">
        <v>85</v>
      </c>
      <c r="E579" s="29">
        <v>389.0</v>
      </c>
      <c r="F579" s="29">
        <f>SUMIFS(crm_orders!$J:$J,crm_orders!$B:$B,"&gt;="&amp;A579,crm_orders!$B:$B,"&lt;"&amp;DATE(YEAR(A579),MONTH(A579)+1,1),crm_orders!$E:$E,B579,crm_orders!$G:$G,C579,crm_orders!$H:$H,D579)</f>
        <v>48</v>
      </c>
      <c r="G579" s="29">
        <f>SUMIFS(warehouse_shipments!$H:$H,warehouse_shipments!$C:$C,"&gt;="&amp;A579,warehouse_shipments!$C:$C,"&lt;"&amp;DATE(YEAR(A579),MONTH(A579)+1,1),warehouse_shipments!$P:$P,B579,warehouse_shipments!$Q:$Q,C579,warehouse_shipments!$R:$R,D579)</f>
        <v>48</v>
      </c>
      <c r="H579" s="30">
        <f t="shared" si="1"/>
        <v>-341</v>
      </c>
      <c r="I579" s="65">
        <f t="shared" si="2"/>
        <v>0.1233933162</v>
      </c>
      <c r="J579" s="30" t="s">
        <v>5311</v>
      </c>
    </row>
    <row r="580" ht="15.75" customHeight="1">
      <c r="A580" s="18">
        <v>46082.0</v>
      </c>
      <c r="B580" s="17" t="s">
        <v>3849</v>
      </c>
      <c r="C580" s="17" t="s">
        <v>63</v>
      </c>
      <c r="D580" s="17" t="s">
        <v>108</v>
      </c>
      <c r="E580" s="21">
        <v>202.0</v>
      </c>
      <c r="F580" s="21">
        <f>SUMIFS(crm_orders!$J:$J,crm_orders!$B:$B,"&gt;="&amp;A580,crm_orders!$B:$B,"&lt;"&amp;DATE(YEAR(A580),MONTH(A580)+1,1),crm_orders!$E:$E,B580,crm_orders!$G:$G,C580,crm_orders!$H:$H,D580)</f>
        <v>0</v>
      </c>
      <c r="G580" s="21">
        <f>SUMIFS(warehouse_shipments!$H:$H,warehouse_shipments!$C:$C,"&gt;="&amp;A580,warehouse_shipments!$C:$C,"&lt;"&amp;DATE(YEAR(A580),MONTH(A580)+1,1),warehouse_shipments!$P:$P,B580,warehouse_shipments!$Q:$Q,C580,warehouse_shipments!$R:$R,D580)</f>
        <v>0</v>
      </c>
      <c r="H580" s="22">
        <f t="shared" si="1"/>
        <v>-202</v>
      </c>
      <c r="I580" s="64">
        <f t="shared" si="2"/>
        <v>0</v>
      </c>
      <c r="J580" s="22" t="s">
        <v>5310</v>
      </c>
    </row>
    <row r="581" ht="15.75" customHeight="1">
      <c r="A581" s="26">
        <v>46082.0</v>
      </c>
      <c r="B581" s="25" t="s">
        <v>3849</v>
      </c>
      <c r="C581" s="25" t="s">
        <v>63</v>
      </c>
      <c r="D581" s="25" t="s">
        <v>74</v>
      </c>
      <c r="E581" s="29">
        <v>220.0</v>
      </c>
      <c r="F581" s="29">
        <f>SUMIFS(crm_orders!$J:$J,crm_orders!$B:$B,"&gt;="&amp;A581,crm_orders!$B:$B,"&lt;"&amp;DATE(YEAR(A581),MONTH(A581)+1,1),crm_orders!$E:$E,B581,crm_orders!$G:$G,C581,crm_orders!$H:$H,D581)</f>
        <v>0</v>
      </c>
      <c r="G581" s="29">
        <f>SUMIFS(warehouse_shipments!$H:$H,warehouse_shipments!$C:$C,"&gt;="&amp;A581,warehouse_shipments!$C:$C,"&lt;"&amp;DATE(YEAR(A581),MONTH(A581)+1,1),warehouse_shipments!$P:$P,B581,warehouse_shipments!$Q:$Q,C581,warehouse_shipments!$R:$R,D581)</f>
        <v>0</v>
      </c>
      <c r="H581" s="30">
        <f t="shared" si="1"/>
        <v>-220</v>
      </c>
      <c r="I581" s="65">
        <f t="shared" si="2"/>
        <v>0</v>
      </c>
      <c r="J581" s="30" t="s">
        <v>5310</v>
      </c>
    </row>
    <row r="582" ht="15.75" customHeight="1">
      <c r="A582" s="18">
        <v>46082.0</v>
      </c>
      <c r="B582" s="17" t="s">
        <v>3849</v>
      </c>
      <c r="C582" s="17" t="s">
        <v>63</v>
      </c>
      <c r="D582" s="17" t="s">
        <v>102</v>
      </c>
      <c r="E582" s="21">
        <v>182.0</v>
      </c>
      <c r="F582" s="21">
        <f>SUMIFS(crm_orders!$J:$J,crm_orders!$B:$B,"&gt;="&amp;A582,crm_orders!$B:$B,"&lt;"&amp;DATE(YEAR(A582),MONTH(A582)+1,1),crm_orders!$E:$E,B582,crm_orders!$G:$G,C582,crm_orders!$H:$H,D582)</f>
        <v>6</v>
      </c>
      <c r="G582" s="21">
        <f>SUMIFS(warehouse_shipments!$H:$H,warehouse_shipments!$C:$C,"&gt;="&amp;A582,warehouse_shipments!$C:$C,"&lt;"&amp;DATE(YEAR(A582),MONTH(A582)+1,1),warehouse_shipments!$P:$P,B582,warehouse_shipments!$Q:$Q,C582,warehouse_shipments!$R:$R,D582)</f>
        <v>6</v>
      </c>
      <c r="H582" s="22">
        <f t="shared" si="1"/>
        <v>-176</v>
      </c>
      <c r="I582" s="64">
        <f t="shared" si="2"/>
        <v>0.03296703297</v>
      </c>
      <c r="J582" s="22" t="s">
        <v>5310</v>
      </c>
    </row>
    <row r="583" ht="15.75" customHeight="1">
      <c r="A583" s="26">
        <v>46082.0</v>
      </c>
      <c r="B583" s="25" t="s">
        <v>3849</v>
      </c>
      <c r="C583" s="25" t="s">
        <v>63</v>
      </c>
      <c r="D583" s="25" t="s">
        <v>190</v>
      </c>
      <c r="E583" s="29">
        <v>237.0</v>
      </c>
      <c r="F583" s="29">
        <f>SUMIFS(crm_orders!$J:$J,crm_orders!$B:$B,"&gt;="&amp;A583,crm_orders!$B:$B,"&lt;"&amp;DATE(YEAR(A583),MONTH(A583)+1,1),crm_orders!$E:$E,B583,crm_orders!$G:$G,C583,crm_orders!$H:$H,D583)</f>
        <v>60</v>
      </c>
      <c r="G583" s="29">
        <f>SUMIFS(warehouse_shipments!$H:$H,warehouse_shipments!$C:$C,"&gt;="&amp;A583,warehouse_shipments!$C:$C,"&lt;"&amp;DATE(YEAR(A583),MONTH(A583)+1,1),warehouse_shipments!$P:$P,B583,warehouse_shipments!$Q:$Q,C583,warehouse_shipments!$R:$R,D583)</f>
        <v>36</v>
      </c>
      <c r="H583" s="30">
        <f t="shared" si="1"/>
        <v>-177</v>
      </c>
      <c r="I583" s="65">
        <f t="shared" si="2"/>
        <v>0.253164557</v>
      </c>
      <c r="J583" s="30" t="s">
        <v>5308</v>
      </c>
    </row>
    <row r="584" ht="15.75" customHeight="1">
      <c r="A584" s="18">
        <v>46082.0</v>
      </c>
      <c r="B584" s="17" t="s">
        <v>3849</v>
      </c>
      <c r="C584" s="17" t="s">
        <v>63</v>
      </c>
      <c r="D584" s="17" t="s">
        <v>71</v>
      </c>
      <c r="E584" s="21">
        <v>184.0</v>
      </c>
      <c r="F584" s="21">
        <f>SUMIFS(crm_orders!$J:$J,crm_orders!$B:$B,"&gt;="&amp;A584,crm_orders!$B:$B,"&lt;"&amp;DATE(YEAR(A584),MONTH(A584)+1,1),crm_orders!$E:$E,B584,crm_orders!$G:$G,C584,crm_orders!$H:$H,D584)</f>
        <v>0</v>
      </c>
      <c r="G584" s="21">
        <f>SUMIFS(warehouse_shipments!$H:$H,warehouse_shipments!$C:$C,"&gt;="&amp;A584,warehouse_shipments!$C:$C,"&lt;"&amp;DATE(YEAR(A584),MONTH(A584)+1,1),warehouse_shipments!$P:$P,B584,warehouse_shipments!$Q:$Q,C584,warehouse_shipments!$R:$R,D584)</f>
        <v>0</v>
      </c>
      <c r="H584" s="22">
        <f t="shared" si="1"/>
        <v>-184</v>
      </c>
      <c r="I584" s="64">
        <f t="shared" si="2"/>
        <v>0</v>
      </c>
      <c r="J584" s="22" t="s">
        <v>5310</v>
      </c>
    </row>
    <row r="585" ht="15.75" customHeight="1">
      <c r="A585" s="26">
        <v>46082.0</v>
      </c>
      <c r="B585" s="25" t="s">
        <v>3849</v>
      </c>
      <c r="C585" s="25" t="s">
        <v>63</v>
      </c>
      <c r="D585" s="25" t="s">
        <v>115</v>
      </c>
      <c r="E585" s="29">
        <v>439.0</v>
      </c>
      <c r="F585" s="29">
        <f>SUMIFS(crm_orders!$J:$J,crm_orders!$B:$B,"&gt;="&amp;A585,crm_orders!$B:$B,"&lt;"&amp;DATE(YEAR(A585),MONTH(A585)+1,1),crm_orders!$E:$E,B585,crm_orders!$G:$G,C585,crm_orders!$H:$H,D585)</f>
        <v>0</v>
      </c>
      <c r="G585" s="29">
        <f>SUMIFS(warehouse_shipments!$H:$H,warehouse_shipments!$C:$C,"&gt;="&amp;A585,warehouse_shipments!$C:$C,"&lt;"&amp;DATE(YEAR(A585),MONTH(A585)+1,1),warehouse_shipments!$P:$P,B585,warehouse_shipments!$Q:$Q,C585,warehouse_shipments!$R:$R,D585)</f>
        <v>0</v>
      </c>
      <c r="H585" s="30">
        <f t="shared" si="1"/>
        <v>-439</v>
      </c>
      <c r="I585" s="65">
        <f t="shared" si="2"/>
        <v>0</v>
      </c>
      <c r="J585" s="30" t="s">
        <v>5311</v>
      </c>
    </row>
    <row r="586" ht="15.75" customHeight="1">
      <c r="A586" s="18">
        <v>46082.0</v>
      </c>
      <c r="B586" s="17" t="s">
        <v>3849</v>
      </c>
      <c r="C586" s="17" t="s">
        <v>67</v>
      </c>
      <c r="D586" s="17" t="s">
        <v>156</v>
      </c>
      <c r="E586" s="21">
        <v>374.0</v>
      </c>
      <c r="F586" s="21">
        <f>SUMIFS(crm_orders!$J:$J,crm_orders!$B:$B,"&gt;="&amp;A586,crm_orders!$B:$B,"&lt;"&amp;DATE(YEAR(A586),MONTH(A586)+1,1),crm_orders!$E:$E,B586,crm_orders!$G:$G,C586,crm_orders!$H:$H,D586)</f>
        <v>72</v>
      </c>
      <c r="G586" s="21">
        <f>SUMIFS(warehouse_shipments!$H:$H,warehouse_shipments!$C:$C,"&gt;="&amp;A586,warehouse_shipments!$C:$C,"&lt;"&amp;DATE(YEAR(A586),MONTH(A586)+1,1),warehouse_shipments!$P:$P,B586,warehouse_shipments!$Q:$Q,C586,warehouse_shipments!$R:$R,D586)</f>
        <v>72</v>
      </c>
      <c r="H586" s="22">
        <f t="shared" si="1"/>
        <v>-302</v>
      </c>
      <c r="I586" s="64">
        <f t="shared" si="2"/>
        <v>0.192513369</v>
      </c>
      <c r="J586" s="22" t="s">
        <v>5311</v>
      </c>
    </row>
    <row r="587" ht="15.75" customHeight="1">
      <c r="A587" s="26">
        <v>46082.0</v>
      </c>
      <c r="B587" s="25" t="s">
        <v>3849</v>
      </c>
      <c r="C587" s="25" t="s">
        <v>67</v>
      </c>
      <c r="D587" s="25" t="s">
        <v>68</v>
      </c>
      <c r="E587" s="29">
        <v>118.0</v>
      </c>
      <c r="F587" s="29">
        <f>SUMIFS(crm_orders!$J:$J,crm_orders!$B:$B,"&gt;="&amp;A587,crm_orders!$B:$B,"&lt;"&amp;DATE(YEAR(A587),MONTH(A587)+1,1),crm_orders!$E:$E,B587,crm_orders!$G:$G,C587,crm_orders!$H:$H,D587)</f>
        <v>6</v>
      </c>
      <c r="G587" s="29">
        <f>SUMIFS(warehouse_shipments!$H:$H,warehouse_shipments!$C:$C,"&gt;="&amp;A587,warehouse_shipments!$C:$C,"&lt;"&amp;DATE(YEAR(A587),MONTH(A587)+1,1),warehouse_shipments!$P:$P,B587,warehouse_shipments!$Q:$Q,C587,warehouse_shipments!$R:$R,D587)</f>
        <v>0</v>
      </c>
      <c r="H587" s="30">
        <f t="shared" si="1"/>
        <v>-112</v>
      </c>
      <c r="I587" s="65">
        <f t="shared" si="2"/>
        <v>0.05084745763</v>
      </c>
      <c r="J587" s="30" t="s">
        <v>5309</v>
      </c>
    </row>
    <row r="588" ht="15.75" customHeight="1">
      <c r="A588" s="18">
        <v>46082.0</v>
      </c>
      <c r="B588" s="17" t="s">
        <v>3849</v>
      </c>
      <c r="C588" s="17" t="s">
        <v>67</v>
      </c>
      <c r="D588" s="17" t="s">
        <v>90</v>
      </c>
      <c r="E588" s="21">
        <v>489.0</v>
      </c>
      <c r="F588" s="21">
        <f>SUMIFS(crm_orders!$J:$J,crm_orders!$B:$B,"&gt;="&amp;A588,crm_orders!$B:$B,"&lt;"&amp;DATE(YEAR(A588),MONTH(A588)+1,1),crm_orders!$E:$E,B588,crm_orders!$G:$G,C588,crm_orders!$H:$H,D588)</f>
        <v>0</v>
      </c>
      <c r="G588" s="21">
        <f>SUMIFS(warehouse_shipments!$H:$H,warehouse_shipments!$C:$C,"&gt;="&amp;A588,warehouse_shipments!$C:$C,"&lt;"&amp;DATE(YEAR(A588),MONTH(A588)+1,1),warehouse_shipments!$P:$P,B588,warehouse_shipments!$Q:$Q,C588,warehouse_shipments!$R:$R,D588)</f>
        <v>0</v>
      </c>
      <c r="H588" s="22">
        <f t="shared" si="1"/>
        <v>-489</v>
      </c>
      <c r="I588" s="64">
        <f t="shared" si="2"/>
        <v>0</v>
      </c>
      <c r="J588" s="22" t="s">
        <v>5306</v>
      </c>
    </row>
    <row r="589" ht="15.75" customHeight="1">
      <c r="A589" s="26">
        <v>46082.0</v>
      </c>
      <c r="B589" s="25" t="s">
        <v>3849</v>
      </c>
      <c r="C589" s="25" t="s">
        <v>67</v>
      </c>
      <c r="D589" s="25" t="s">
        <v>71</v>
      </c>
      <c r="E589" s="29">
        <v>330.0</v>
      </c>
      <c r="F589" s="29">
        <f>SUMIFS(crm_orders!$J:$J,crm_orders!$B:$B,"&gt;="&amp;A589,crm_orders!$B:$B,"&lt;"&amp;DATE(YEAR(A589),MONTH(A589)+1,1),crm_orders!$E:$E,B589,crm_orders!$G:$G,C589,crm_orders!$H:$H,D589)</f>
        <v>0</v>
      </c>
      <c r="G589" s="29">
        <f>SUMIFS(warehouse_shipments!$H:$H,warehouse_shipments!$C:$C,"&gt;="&amp;A589,warehouse_shipments!$C:$C,"&lt;"&amp;DATE(YEAR(A589),MONTH(A589)+1,1),warehouse_shipments!$P:$P,B589,warehouse_shipments!$Q:$Q,C589,warehouse_shipments!$R:$R,D589)</f>
        <v>0</v>
      </c>
      <c r="H589" s="30">
        <f t="shared" si="1"/>
        <v>-330</v>
      </c>
      <c r="I589" s="65">
        <f t="shared" si="2"/>
        <v>0</v>
      </c>
      <c r="J589" s="30" t="s">
        <v>5311</v>
      </c>
    </row>
    <row r="590" ht="15.75" customHeight="1">
      <c r="A590" s="18">
        <v>46082.0</v>
      </c>
      <c r="B590" s="17" t="s">
        <v>3849</v>
      </c>
      <c r="C590" s="17" t="s">
        <v>67</v>
      </c>
      <c r="D590" s="17" t="s">
        <v>123</v>
      </c>
      <c r="E590" s="21">
        <v>159.0</v>
      </c>
      <c r="F590" s="21">
        <f>SUMIFS(crm_orders!$J:$J,crm_orders!$B:$B,"&gt;="&amp;A590,crm_orders!$B:$B,"&lt;"&amp;DATE(YEAR(A590),MONTH(A590)+1,1),crm_orders!$E:$E,B590,crm_orders!$G:$G,C590,crm_orders!$H:$H,D590)</f>
        <v>0</v>
      </c>
      <c r="G590" s="21">
        <f>SUMIFS(warehouse_shipments!$H:$H,warehouse_shipments!$C:$C,"&gt;="&amp;A590,warehouse_shipments!$C:$C,"&lt;"&amp;DATE(YEAR(A590),MONTH(A590)+1,1),warehouse_shipments!$P:$P,B590,warehouse_shipments!$Q:$Q,C590,warehouse_shipments!$R:$R,D590)</f>
        <v>0</v>
      </c>
      <c r="H590" s="22">
        <f t="shared" si="1"/>
        <v>-159</v>
      </c>
      <c r="I590" s="64">
        <f t="shared" si="2"/>
        <v>0</v>
      </c>
      <c r="J590" s="22" t="s">
        <v>5309</v>
      </c>
    </row>
    <row r="591" ht="15.75" customHeight="1">
      <c r="A591" s="26">
        <v>46082.0</v>
      </c>
      <c r="B591" s="25" t="s">
        <v>3849</v>
      </c>
      <c r="C591" s="25" t="s">
        <v>67</v>
      </c>
      <c r="D591" s="25" t="s">
        <v>95</v>
      </c>
      <c r="E591" s="29">
        <v>236.0</v>
      </c>
      <c r="F591" s="29">
        <f>SUMIFS(crm_orders!$J:$J,crm_orders!$B:$B,"&gt;="&amp;A591,crm_orders!$B:$B,"&lt;"&amp;DATE(YEAR(A591),MONTH(A591)+1,1),crm_orders!$E:$E,B591,crm_orders!$G:$G,C591,crm_orders!$H:$H,D591)</f>
        <v>0</v>
      </c>
      <c r="G591" s="29">
        <f>SUMIFS(warehouse_shipments!$H:$H,warehouse_shipments!$C:$C,"&gt;="&amp;A591,warehouse_shipments!$C:$C,"&lt;"&amp;DATE(YEAR(A591),MONTH(A591)+1,1),warehouse_shipments!$P:$P,B591,warehouse_shipments!$Q:$Q,C591,warehouse_shipments!$R:$R,D591)</f>
        <v>0</v>
      </c>
      <c r="H591" s="30">
        <f t="shared" si="1"/>
        <v>-236</v>
      </c>
      <c r="I591" s="65">
        <f t="shared" si="2"/>
        <v>0</v>
      </c>
      <c r="J591" s="30" t="s">
        <v>5308</v>
      </c>
    </row>
    <row r="592" ht="15.75" customHeight="1">
      <c r="A592" s="18">
        <v>46082.0</v>
      </c>
      <c r="B592" s="17" t="s">
        <v>3849</v>
      </c>
      <c r="C592" s="17" t="s">
        <v>67</v>
      </c>
      <c r="D592" s="17" t="s">
        <v>106</v>
      </c>
      <c r="E592" s="21">
        <v>211.0</v>
      </c>
      <c r="F592" s="21">
        <f>SUMIFS(crm_orders!$J:$J,crm_orders!$B:$B,"&gt;="&amp;A592,crm_orders!$B:$B,"&lt;"&amp;DATE(YEAR(A592),MONTH(A592)+1,1),crm_orders!$E:$E,B592,crm_orders!$G:$G,C592,crm_orders!$H:$H,D592)</f>
        <v>48</v>
      </c>
      <c r="G592" s="21">
        <f>SUMIFS(warehouse_shipments!$H:$H,warehouse_shipments!$C:$C,"&gt;="&amp;A592,warehouse_shipments!$C:$C,"&lt;"&amp;DATE(YEAR(A592),MONTH(A592)+1,1),warehouse_shipments!$P:$P,B592,warehouse_shipments!$Q:$Q,C592,warehouse_shipments!$R:$R,D592)</f>
        <v>0</v>
      </c>
      <c r="H592" s="22">
        <f t="shared" si="1"/>
        <v>-163</v>
      </c>
      <c r="I592" s="64">
        <f t="shared" si="2"/>
        <v>0.2274881517</v>
      </c>
      <c r="J592" s="22" t="s">
        <v>5311</v>
      </c>
    </row>
    <row r="593" ht="15.75" customHeight="1">
      <c r="A593" s="26">
        <v>46082.0</v>
      </c>
      <c r="B593" s="25" t="s">
        <v>3849</v>
      </c>
      <c r="C593" s="25" t="s">
        <v>67</v>
      </c>
      <c r="D593" s="25" t="s">
        <v>102</v>
      </c>
      <c r="E593" s="29">
        <v>339.0</v>
      </c>
      <c r="F593" s="29">
        <f>SUMIFS(crm_orders!$J:$J,crm_orders!$B:$B,"&gt;="&amp;A593,crm_orders!$B:$B,"&lt;"&amp;DATE(YEAR(A593),MONTH(A593)+1,1),crm_orders!$E:$E,B593,crm_orders!$G:$G,C593,crm_orders!$H:$H,D593)</f>
        <v>0</v>
      </c>
      <c r="G593" s="29">
        <f>SUMIFS(warehouse_shipments!$H:$H,warehouse_shipments!$C:$C,"&gt;="&amp;A593,warehouse_shipments!$C:$C,"&lt;"&amp;DATE(YEAR(A593),MONTH(A593)+1,1),warehouse_shipments!$P:$P,B593,warehouse_shipments!$Q:$Q,C593,warehouse_shipments!$R:$R,D593)</f>
        <v>0</v>
      </c>
      <c r="H593" s="30">
        <f t="shared" si="1"/>
        <v>-339</v>
      </c>
      <c r="I593" s="65">
        <f t="shared" si="2"/>
        <v>0</v>
      </c>
      <c r="J593" s="30" t="s">
        <v>5309</v>
      </c>
    </row>
    <row r="594" ht="15.75" customHeight="1">
      <c r="A594" s="18">
        <v>46082.0</v>
      </c>
      <c r="B594" s="17" t="s">
        <v>3849</v>
      </c>
      <c r="C594" s="17" t="s">
        <v>89</v>
      </c>
      <c r="D594" s="17" t="s">
        <v>78</v>
      </c>
      <c r="E594" s="21">
        <v>114.0</v>
      </c>
      <c r="F594" s="21">
        <f>SUMIFS(crm_orders!$J:$J,crm_orders!$B:$B,"&gt;="&amp;A594,crm_orders!$B:$B,"&lt;"&amp;DATE(YEAR(A594),MONTH(A594)+1,1),crm_orders!$E:$E,B594,crm_orders!$G:$G,C594,crm_orders!$H:$H,D594)</f>
        <v>0</v>
      </c>
      <c r="G594" s="21">
        <f>SUMIFS(warehouse_shipments!$H:$H,warehouse_shipments!$C:$C,"&gt;="&amp;A594,warehouse_shipments!$C:$C,"&lt;"&amp;DATE(YEAR(A594),MONTH(A594)+1,1),warehouse_shipments!$P:$P,B594,warehouse_shipments!$Q:$Q,C594,warehouse_shipments!$R:$R,D594)</f>
        <v>0</v>
      </c>
      <c r="H594" s="22">
        <f t="shared" si="1"/>
        <v>-114</v>
      </c>
      <c r="I594" s="64">
        <f t="shared" si="2"/>
        <v>0</v>
      </c>
      <c r="J594" s="22" t="s">
        <v>5306</v>
      </c>
    </row>
    <row r="595" ht="15.75" customHeight="1">
      <c r="A595" s="26">
        <v>46082.0</v>
      </c>
      <c r="B595" s="25" t="s">
        <v>3849</v>
      </c>
      <c r="C595" s="25" t="s">
        <v>89</v>
      </c>
      <c r="D595" s="25" t="s">
        <v>108</v>
      </c>
      <c r="E595" s="29">
        <v>95.0</v>
      </c>
      <c r="F595" s="29">
        <f>SUMIFS(crm_orders!$J:$J,crm_orders!$B:$B,"&gt;="&amp;A595,crm_orders!$B:$B,"&lt;"&amp;DATE(YEAR(A595),MONTH(A595)+1,1),crm_orders!$E:$E,B595,crm_orders!$G:$G,C595,crm_orders!$H:$H,D595)</f>
        <v>0</v>
      </c>
      <c r="G595" s="29">
        <f>SUMIFS(warehouse_shipments!$H:$H,warehouse_shipments!$C:$C,"&gt;="&amp;A595,warehouse_shipments!$C:$C,"&lt;"&amp;DATE(YEAR(A595),MONTH(A595)+1,1),warehouse_shipments!$P:$P,B595,warehouse_shipments!$Q:$Q,C595,warehouse_shipments!$R:$R,D595)</f>
        <v>0</v>
      </c>
      <c r="H595" s="30">
        <f t="shared" si="1"/>
        <v>-95</v>
      </c>
      <c r="I595" s="65">
        <f t="shared" si="2"/>
        <v>0</v>
      </c>
      <c r="J595" s="30" t="s">
        <v>5306</v>
      </c>
    </row>
    <row r="596" ht="15.75" customHeight="1">
      <c r="A596" s="18">
        <v>46082.0</v>
      </c>
      <c r="B596" s="17" t="s">
        <v>3849</v>
      </c>
      <c r="C596" s="17" t="s">
        <v>89</v>
      </c>
      <c r="D596" s="17" t="s">
        <v>64</v>
      </c>
      <c r="E596" s="21">
        <v>372.0</v>
      </c>
      <c r="F596" s="21">
        <f>SUMIFS(crm_orders!$J:$J,crm_orders!$B:$B,"&gt;="&amp;A596,crm_orders!$B:$B,"&lt;"&amp;DATE(YEAR(A596),MONTH(A596)+1,1),crm_orders!$E:$E,B596,crm_orders!$G:$G,C596,crm_orders!$H:$H,D596)</f>
        <v>0</v>
      </c>
      <c r="G596" s="21">
        <f>SUMIFS(warehouse_shipments!$H:$H,warehouse_shipments!$C:$C,"&gt;="&amp;A596,warehouse_shipments!$C:$C,"&lt;"&amp;DATE(YEAR(A596),MONTH(A596)+1,1),warehouse_shipments!$P:$P,B596,warehouse_shipments!$Q:$Q,C596,warehouse_shipments!$R:$R,D596)</f>
        <v>0</v>
      </c>
      <c r="H596" s="22">
        <f t="shared" si="1"/>
        <v>-372</v>
      </c>
      <c r="I596" s="64">
        <f t="shared" si="2"/>
        <v>0</v>
      </c>
      <c r="J596" s="22" t="s">
        <v>5311</v>
      </c>
    </row>
    <row r="597" ht="15.75" customHeight="1">
      <c r="A597" s="26">
        <v>46082.0</v>
      </c>
      <c r="B597" s="25" t="s">
        <v>3849</v>
      </c>
      <c r="C597" s="25" t="s">
        <v>89</v>
      </c>
      <c r="D597" s="25" t="s">
        <v>154</v>
      </c>
      <c r="E597" s="29">
        <v>473.0</v>
      </c>
      <c r="F597" s="29">
        <f>SUMIFS(crm_orders!$J:$J,crm_orders!$B:$B,"&gt;="&amp;A597,crm_orders!$B:$B,"&lt;"&amp;DATE(YEAR(A597),MONTH(A597)+1,1),crm_orders!$E:$E,B597,crm_orders!$G:$G,C597,crm_orders!$H:$H,D597)</f>
        <v>0</v>
      </c>
      <c r="G597" s="29">
        <f>SUMIFS(warehouse_shipments!$H:$H,warehouse_shipments!$C:$C,"&gt;="&amp;A597,warehouse_shipments!$C:$C,"&lt;"&amp;DATE(YEAR(A597),MONTH(A597)+1,1),warehouse_shipments!$P:$P,B597,warehouse_shipments!$Q:$Q,C597,warehouse_shipments!$R:$R,D597)</f>
        <v>0</v>
      </c>
      <c r="H597" s="30">
        <f t="shared" si="1"/>
        <v>-473</v>
      </c>
      <c r="I597" s="65">
        <f t="shared" si="2"/>
        <v>0</v>
      </c>
      <c r="J597" s="30" t="s">
        <v>5307</v>
      </c>
    </row>
    <row r="598" ht="15.75" customHeight="1">
      <c r="A598" s="18">
        <v>46082.0</v>
      </c>
      <c r="B598" s="17" t="s">
        <v>3849</v>
      </c>
      <c r="C598" s="17" t="s">
        <v>89</v>
      </c>
      <c r="D598" s="17" t="s">
        <v>68</v>
      </c>
      <c r="E598" s="21">
        <v>265.0</v>
      </c>
      <c r="F598" s="21">
        <f>SUMIFS(crm_orders!$J:$J,crm_orders!$B:$B,"&gt;="&amp;A598,crm_orders!$B:$B,"&lt;"&amp;DATE(YEAR(A598),MONTH(A598)+1,1),crm_orders!$E:$E,B598,crm_orders!$G:$G,C598,crm_orders!$H:$H,D598)</f>
        <v>0</v>
      </c>
      <c r="G598" s="21">
        <f>SUMIFS(warehouse_shipments!$H:$H,warehouse_shipments!$C:$C,"&gt;="&amp;A598,warehouse_shipments!$C:$C,"&lt;"&amp;DATE(YEAR(A598),MONTH(A598)+1,1),warehouse_shipments!$P:$P,B598,warehouse_shipments!$Q:$Q,C598,warehouse_shipments!$R:$R,D598)</f>
        <v>0</v>
      </c>
      <c r="H598" s="22">
        <f t="shared" si="1"/>
        <v>-265</v>
      </c>
      <c r="I598" s="64">
        <f t="shared" si="2"/>
        <v>0</v>
      </c>
      <c r="J598" s="22" t="s">
        <v>5306</v>
      </c>
    </row>
    <row r="599" ht="15.75" customHeight="1">
      <c r="A599" s="26">
        <v>46082.0</v>
      </c>
      <c r="B599" s="25" t="s">
        <v>3849</v>
      </c>
      <c r="C599" s="25" t="s">
        <v>89</v>
      </c>
      <c r="D599" s="25" t="s">
        <v>115</v>
      </c>
      <c r="E599" s="29">
        <v>168.0</v>
      </c>
      <c r="F599" s="29">
        <f>SUMIFS(crm_orders!$J:$J,crm_orders!$B:$B,"&gt;="&amp;A599,crm_orders!$B:$B,"&lt;"&amp;DATE(YEAR(A599),MONTH(A599)+1,1),crm_orders!$E:$E,B599,crm_orders!$G:$G,C599,crm_orders!$H:$H,D599)</f>
        <v>0</v>
      </c>
      <c r="G599" s="29">
        <f>SUMIFS(warehouse_shipments!$H:$H,warehouse_shipments!$C:$C,"&gt;="&amp;A599,warehouse_shipments!$C:$C,"&lt;"&amp;DATE(YEAR(A599),MONTH(A599)+1,1),warehouse_shipments!$P:$P,B599,warehouse_shipments!$Q:$Q,C599,warehouse_shipments!$R:$R,D599)</f>
        <v>0</v>
      </c>
      <c r="H599" s="30">
        <f t="shared" si="1"/>
        <v>-168</v>
      </c>
      <c r="I599" s="65">
        <f t="shared" si="2"/>
        <v>0</v>
      </c>
      <c r="J599" s="30" t="s">
        <v>5307</v>
      </c>
    </row>
    <row r="600" ht="15.75" customHeight="1">
      <c r="A600" s="18">
        <v>46082.0</v>
      </c>
      <c r="B600" s="17" t="s">
        <v>3849</v>
      </c>
      <c r="C600" s="17" t="s">
        <v>89</v>
      </c>
      <c r="D600" s="17" t="s">
        <v>81</v>
      </c>
      <c r="E600" s="21">
        <v>487.0</v>
      </c>
      <c r="F600" s="21">
        <f>SUMIFS(crm_orders!$J:$J,crm_orders!$B:$B,"&gt;="&amp;A600,crm_orders!$B:$B,"&lt;"&amp;DATE(YEAR(A600),MONTH(A600)+1,1),crm_orders!$E:$E,B600,crm_orders!$G:$G,C600,crm_orders!$H:$H,D600)</f>
        <v>0</v>
      </c>
      <c r="G600" s="21">
        <f>SUMIFS(warehouse_shipments!$H:$H,warehouse_shipments!$C:$C,"&gt;="&amp;A600,warehouse_shipments!$C:$C,"&lt;"&amp;DATE(YEAR(A600),MONTH(A600)+1,1),warehouse_shipments!$P:$P,B600,warehouse_shipments!$Q:$Q,C600,warehouse_shipments!$R:$R,D600)</f>
        <v>0</v>
      </c>
      <c r="H600" s="22">
        <f t="shared" si="1"/>
        <v>-487</v>
      </c>
      <c r="I600" s="64">
        <f t="shared" si="2"/>
        <v>0</v>
      </c>
      <c r="J600" s="22" t="s">
        <v>5311</v>
      </c>
    </row>
    <row r="601" ht="15.75" customHeight="1">
      <c r="A601" s="26">
        <v>46082.0</v>
      </c>
      <c r="B601" s="25" t="s">
        <v>3849</v>
      </c>
      <c r="C601" s="25" t="s">
        <v>89</v>
      </c>
      <c r="D601" s="25" t="s">
        <v>156</v>
      </c>
      <c r="E601" s="29">
        <v>93.0</v>
      </c>
      <c r="F601" s="29">
        <f>SUMIFS(crm_orders!$J:$J,crm_orders!$B:$B,"&gt;="&amp;A601,crm_orders!$B:$B,"&lt;"&amp;DATE(YEAR(A601),MONTH(A601)+1,1),crm_orders!$E:$E,B601,crm_orders!$G:$G,C601,crm_orders!$H:$H,D601)</f>
        <v>12</v>
      </c>
      <c r="G601" s="29">
        <f>SUMIFS(warehouse_shipments!$H:$H,warehouse_shipments!$C:$C,"&gt;="&amp;A601,warehouse_shipments!$C:$C,"&lt;"&amp;DATE(YEAR(A601),MONTH(A601)+1,1),warehouse_shipments!$P:$P,B601,warehouse_shipments!$Q:$Q,C601,warehouse_shipments!$R:$R,D601)</f>
        <v>12</v>
      </c>
      <c r="H601" s="30">
        <f t="shared" si="1"/>
        <v>-81</v>
      </c>
      <c r="I601" s="65">
        <f t="shared" si="2"/>
        <v>0.1290322581</v>
      </c>
      <c r="J601" s="30" t="s">
        <v>5308</v>
      </c>
    </row>
    <row r="602" ht="15.75" customHeight="1">
      <c r="A602" s="18">
        <v>46082.0</v>
      </c>
      <c r="B602" s="17" t="s">
        <v>3934</v>
      </c>
      <c r="C602" s="17" t="s">
        <v>63</v>
      </c>
      <c r="D602" s="17" t="s">
        <v>95</v>
      </c>
      <c r="E602" s="21">
        <v>375.0</v>
      </c>
      <c r="F602" s="21">
        <f>SUMIFS(crm_orders!$J:$J,crm_orders!$B:$B,"&gt;="&amp;A602,crm_orders!$B:$B,"&lt;"&amp;DATE(YEAR(A602),MONTH(A602)+1,1),crm_orders!$E:$E,B602,crm_orders!$G:$G,C602,crm_orders!$H:$H,D602)</f>
        <v>0</v>
      </c>
      <c r="G602" s="21">
        <f>SUMIFS(warehouse_shipments!$H:$H,warehouse_shipments!$C:$C,"&gt;="&amp;A602,warehouse_shipments!$C:$C,"&lt;"&amp;DATE(YEAR(A602),MONTH(A602)+1,1),warehouse_shipments!$P:$P,B602,warehouse_shipments!$Q:$Q,C602,warehouse_shipments!$R:$R,D602)</f>
        <v>0</v>
      </c>
      <c r="H602" s="22">
        <f t="shared" si="1"/>
        <v>-375</v>
      </c>
      <c r="I602" s="64">
        <f t="shared" si="2"/>
        <v>0</v>
      </c>
      <c r="J602" s="22" t="s">
        <v>5308</v>
      </c>
    </row>
    <row r="603" ht="15.75" customHeight="1">
      <c r="A603" s="26">
        <v>46082.0</v>
      </c>
      <c r="B603" s="25" t="s">
        <v>3934</v>
      </c>
      <c r="C603" s="25" t="s">
        <v>63</v>
      </c>
      <c r="D603" s="25" t="s">
        <v>64</v>
      </c>
      <c r="E603" s="29">
        <v>388.0</v>
      </c>
      <c r="F603" s="29">
        <f>SUMIFS(crm_orders!$J:$J,crm_orders!$B:$B,"&gt;="&amp;A603,crm_orders!$B:$B,"&lt;"&amp;DATE(YEAR(A603),MONTH(A603)+1,1),crm_orders!$E:$E,B603,crm_orders!$G:$G,C603,crm_orders!$H:$H,D603)</f>
        <v>6</v>
      </c>
      <c r="G603" s="29">
        <f>SUMIFS(warehouse_shipments!$H:$H,warehouse_shipments!$C:$C,"&gt;="&amp;A603,warehouse_shipments!$C:$C,"&lt;"&amp;DATE(YEAR(A603),MONTH(A603)+1,1),warehouse_shipments!$P:$P,B603,warehouse_shipments!$Q:$Q,C603,warehouse_shipments!$R:$R,D603)</f>
        <v>0</v>
      </c>
      <c r="H603" s="30">
        <f t="shared" si="1"/>
        <v>-382</v>
      </c>
      <c r="I603" s="65">
        <f t="shared" si="2"/>
        <v>0.01546391753</v>
      </c>
      <c r="J603" s="30" t="s">
        <v>5307</v>
      </c>
    </row>
    <row r="604" ht="15.75" customHeight="1">
      <c r="A604" s="18">
        <v>46082.0</v>
      </c>
      <c r="B604" s="17" t="s">
        <v>3934</v>
      </c>
      <c r="C604" s="17" t="s">
        <v>63</v>
      </c>
      <c r="D604" s="17" t="s">
        <v>68</v>
      </c>
      <c r="E604" s="21">
        <v>198.0</v>
      </c>
      <c r="F604" s="21">
        <f>SUMIFS(crm_orders!$J:$J,crm_orders!$B:$B,"&gt;="&amp;A604,crm_orders!$B:$B,"&lt;"&amp;DATE(YEAR(A604),MONTH(A604)+1,1),crm_orders!$E:$E,B604,crm_orders!$G:$G,C604,crm_orders!$H:$H,D604)</f>
        <v>0</v>
      </c>
      <c r="G604" s="21">
        <f>SUMIFS(warehouse_shipments!$H:$H,warehouse_shipments!$C:$C,"&gt;="&amp;A604,warehouse_shipments!$C:$C,"&lt;"&amp;DATE(YEAR(A604),MONTH(A604)+1,1),warehouse_shipments!$P:$P,B604,warehouse_shipments!$Q:$Q,C604,warehouse_shipments!$R:$R,D604)</f>
        <v>72</v>
      </c>
      <c r="H604" s="22">
        <f t="shared" si="1"/>
        <v>-198</v>
      </c>
      <c r="I604" s="64">
        <f t="shared" si="2"/>
        <v>0</v>
      </c>
      <c r="J604" s="22" t="s">
        <v>5307</v>
      </c>
    </row>
    <row r="605" ht="15.75" customHeight="1">
      <c r="A605" s="26">
        <v>46082.0</v>
      </c>
      <c r="B605" s="25" t="s">
        <v>3934</v>
      </c>
      <c r="C605" s="25" t="s">
        <v>63</v>
      </c>
      <c r="D605" s="25" t="s">
        <v>110</v>
      </c>
      <c r="E605" s="29">
        <v>396.0</v>
      </c>
      <c r="F605" s="29">
        <f>SUMIFS(crm_orders!$J:$J,crm_orders!$B:$B,"&gt;="&amp;A605,crm_orders!$B:$B,"&lt;"&amp;DATE(YEAR(A605),MONTH(A605)+1,1),crm_orders!$E:$E,B605,crm_orders!$G:$G,C605,crm_orders!$H:$H,D605)</f>
        <v>30</v>
      </c>
      <c r="G605" s="29">
        <f>SUMIFS(warehouse_shipments!$H:$H,warehouse_shipments!$C:$C,"&gt;="&amp;A605,warehouse_shipments!$C:$C,"&lt;"&amp;DATE(YEAR(A605),MONTH(A605)+1,1),warehouse_shipments!$P:$P,B605,warehouse_shipments!$Q:$Q,C605,warehouse_shipments!$R:$R,D605)</f>
        <v>30</v>
      </c>
      <c r="H605" s="30">
        <f t="shared" si="1"/>
        <v>-366</v>
      </c>
      <c r="I605" s="65">
        <f t="shared" si="2"/>
        <v>0.07575757576</v>
      </c>
      <c r="J605" s="30" t="s">
        <v>5308</v>
      </c>
    </row>
    <row r="606" ht="15.75" customHeight="1">
      <c r="A606" s="18">
        <v>46082.0</v>
      </c>
      <c r="B606" s="17" t="s">
        <v>3934</v>
      </c>
      <c r="C606" s="17" t="s">
        <v>63</v>
      </c>
      <c r="D606" s="17" t="s">
        <v>78</v>
      </c>
      <c r="E606" s="21">
        <v>113.0</v>
      </c>
      <c r="F606" s="21">
        <f>SUMIFS(crm_orders!$J:$J,crm_orders!$B:$B,"&gt;="&amp;A606,crm_orders!$B:$B,"&lt;"&amp;DATE(YEAR(A606),MONTH(A606)+1,1),crm_orders!$E:$E,B606,crm_orders!$G:$G,C606,crm_orders!$H:$H,D606)</f>
        <v>0</v>
      </c>
      <c r="G606" s="21">
        <f>SUMIFS(warehouse_shipments!$H:$H,warehouse_shipments!$C:$C,"&gt;="&amp;A606,warehouse_shipments!$C:$C,"&lt;"&amp;DATE(YEAR(A606),MONTH(A606)+1,1),warehouse_shipments!$P:$P,B606,warehouse_shipments!$Q:$Q,C606,warehouse_shipments!$R:$R,D606)</f>
        <v>60</v>
      </c>
      <c r="H606" s="22">
        <f t="shared" si="1"/>
        <v>-113</v>
      </c>
      <c r="I606" s="64">
        <f t="shared" si="2"/>
        <v>0</v>
      </c>
      <c r="J606" s="22" t="s">
        <v>5309</v>
      </c>
    </row>
    <row r="607" ht="15.75" customHeight="1">
      <c r="A607" s="26">
        <v>46082.0</v>
      </c>
      <c r="B607" s="25" t="s">
        <v>3934</v>
      </c>
      <c r="C607" s="25" t="s">
        <v>63</v>
      </c>
      <c r="D607" s="25" t="s">
        <v>71</v>
      </c>
      <c r="E607" s="29">
        <v>104.0</v>
      </c>
      <c r="F607" s="29">
        <f>SUMIFS(crm_orders!$J:$J,crm_orders!$B:$B,"&gt;="&amp;A607,crm_orders!$B:$B,"&lt;"&amp;DATE(YEAR(A607),MONTH(A607)+1,1),crm_orders!$E:$E,B607,crm_orders!$G:$G,C607,crm_orders!$H:$H,D607)</f>
        <v>0</v>
      </c>
      <c r="G607" s="29">
        <f>SUMIFS(warehouse_shipments!$H:$H,warehouse_shipments!$C:$C,"&gt;="&amp;A607,warehouse_shipments!$C:$C,"&lt;"&amp;DATE(YEAR(A607),MONTH(A607)+1,1),warehouse_shipments!$P:$P,B607,warehouse_shipments!$Q:$Q,C607,warehouse_shipments!$R:$R,D607)</f>
        <v>30</v>
      </c>
      <c r="H607" s="30">
        <f t="shared" si="1"/>
        <v>-104</v>
      </c>
      <c r="I607" s="65">
        <f t="shared" si="2"/>
        <v>0</v>
      </c>
      <c r="J607" s="30" t="s">
        <v>5308</v>
      </c>
    </row>
    <row r="608" ht="15.75" customHeight="1">
      <c r="A608" s="18">
        <v>46082.0</v>
      </c>
      <c r="B608" s="17" t="s">
        <v>3934</v>
      </c>
      <c r="C608" s="17" t="s">
        <v>63</v>
      </c>
      <c r="D608" s="17" t="s">
        <v>92</v>
      </c>
      <c r="E608" s="21">
        <v>513.0</v>
      </c>
      <c r="F608" s="21">
        <f>SUMIFS(crm_orders!$J:$J,crm_orders!$B:$B,"&gt;="&amp;A608,crm_orders!$B:$B,"&lt;"&amp;DATE(YEAR(A608),MONTH(A608)+1,1),crm_orders!$E:$E,B608,crm_orders!$G:$G,C608,crm_orders!$H:$H,D608)</f>
        <v>6</v>
      </c>
      <c r="G608" s="21">
        <f>SUMIFS(warehouse_shipments!$H:$H,warehouse_shipments!$C:$C,"&gt;="&amp;A608,warehouse_shipments!$C:$C,"&lt;"&amp;DATE(YEAR(A608),MONTH(A608)+1,1),warehouse_shipments!$P:$P,B608,warehouse_shipments!$Q:$Q,C608,warehouse_shipments!$R:$R,D608)</f>
        <v>0</v>
      </c>
      <c r="H608" s="22">
        <f t="shared" si="1"/>
        <v>-507</v>
      </c>
      <c r="I608" s="64">
        <f t="shared" si="2"/>
        <v>0.01169590643</v>
      </c>
      <c r="J608" s="22" t="s">
        <v>5306</v>
      </c>
    </row>
    <row r="609" ht="15.75" customHeight="1">
      <c r="A609" s="26">
        <v>46082.0</v>
      </c>
      <c r="B609" s="25" t="s">
        <v>3934</v>
      </c>
      <c r="C609" s="25" t="s">
        <v>63</v>
      </c>
      <c r="D609" s="25" t="s">
        <v>81</v>
      </c>
      <c r="E609" s="29">
        <v>165.0</v>
      </c>
      <c r="F609" s="29">
        <f>SUMIFS(crm_orders!$J:$J,crm_orders!$B:$B,"&gt;="&amp;A609,crm_orders!$B:$B,"&lt;"&amp;DATE(YEAR(A609),MONTH(A609)+1,1),crm_orders!$E:$E,B609,crm_orders!$G:$G,C609,crm_orders!$H:$H,D609)</f>
        <v>150</v>
      </c>
      <c r="G609" s="29">
        <f>SUMIFS(warehouse_shipments!$H:$H,warehouse_shipments!$C:$C,"&gt;="&amp;A609,warehouse_shipments!$C:$C,"&lt;"&amp;DATE(YEAR(A609),MONTH(A609)+1,1),warehouse_shipments!$P:$P,B609,warehouse_shipments!$Q:$Q,C609,warehouse_shipments!$R:$R,D609)</f>
        <v>54</v>
      </c>
      <c r="H609" s="30">
        <f t="shared" si="1"/>
        <v>-15</v>
      </c>
      <c r="I609" s="65">
        <f t="shared" si="2"/>
        <v>0.9090909091</v>
      </c>
      <c r="J609" s="30" t="s">
        <v>5306</v>
      </c>
    </row>
    <row r="610" ht="15.75" customHeight="1">
      <c r="A610" s="18">
        <v>46082.0</v>
      </c>
      <c r="B610" s="17" t="s">
        <v>3934</v>
      </c>
      <c r="C610" s="17" t="s">
        <v>67</v>
      </c>
      <c r="D610" s="17" t="s">
        <v>85</v>
      </c>
      <c r="E610" s="21">
        <v>443.0</v>
      </c>
      <c r="F610" s="21">
        <f>SUMIFS(crm_orders!$J:$J,crm_orders!$B:$B,"&gt;="&amp;A610,crm_orders!$B:$B,"&lt;"&amp;DATE(YEAR(A610),MONTH(A610)+1,1),crm_orders!$E:$E,B610,crm_orders!$G:$G,C610,crm_orders!$H:$H,D610)</f>
        <v>0</v>
      </c>
      <c r="G610" s="21">
        <f>SUMIFS(warehouse_shipments!$H:$H,warehouse_shipments!$C:$C,"&gt;="&amp;A610,warehouse_shipments!$C:$C,"&lt;"&amp;DATE(YEAR(A610),MONTH(A610)+1,1),warehouse_shipments!$P:$P,B610,warehouse_shipments!$Q:$Q,C610,warehouse_shipments!$R:$R,D610)</f>
        <v>72</v>
      </c>
      <c r="H610" s="22">
        <f t="shared" si="1"/>
        <v>-443</v>
      </c>
      <c r="I610" s="64">
        <f t="shared" si="2"/>
        <v>0</v>
      </c>
      <c r="J610" s="22" t="s">
        <v>5307</v>
      </c>
    </row>
    <row r="611" ht="15.75" customHeight="1">
      <c r="A611" s="26">
        <v>46082.0</v>
      </c>
      <c r="B611" s="25" t="s">
        <v>3934</v>
      </c>
      <c r="C611" s="25" t="s">
        <v>67</v>
      </c>
      <c r="D611" s="25" t="s">
        <v>162</v>
      </c>
      <c r="E611" s="29">
        <v>252.0</v>
      </c>
      <c r="F611" s="29">
        <f>SUMIFS(crm_orders!$J:$J,crm_orders!$B:$B,"&gt;="&amp;A611,crm_orders!$B:$B,"&lt;"&amp;DATE(YEAR(A611),MONTH(A611)+1,1),crm_orders!$E:$E,B611,crm_orders!$G:$G,C611,crm_orders!$H:$H,D611)</f>
        <v>0</v>
      </c>
      <c r="G611" s="29">
        <f>SUMIFS(warehouse_shipments!$H:$H,warehouse_shipments!$C:$C,"&gt;="&amp;A611,warehouse_shipments!$C:$C,"&lt;"&amp;DATE(YEAR(A611),MONTH(A611)+1,1),warehouse_shipments!$P:$P,B611,warehouse_shipments!$Q:$Q,C611,warehouse_shipments!$R:$R,D611)</f>
        <v>0</v>
      </c>
      <c r="H611" s="30">
        <f t="shared" si="1"/>
        <v>-252</v>
      </c>
      <c r="I611" s="65">
        <f t="shared" si="2"/>
        <v>0</v>
      </c>
      <c r="J611" s="30" t="s">
        <v>5309</v>
      </c>
    </row>
    <row r="612" ht="15.75" customHeight="1">
      <c r="A612" s="18">
        <v>46082.0</v>
      </c>
      <c r="B612" s="17" t="s">
        <v>3934</v>
      </c>
      <c r="C612" s="17" t="s">
        <v>67</v>
      </c>
      <c r="D612" s="17" t="s">
        <v>95</v>
      </c>
      <c r="E612" s="21">
        <v>110.0</v>
      </c>
      <c r="F612" s="21">
        <f>SUMIFS(crm_orders!$J:$J,crm_orders!$B:$B,"&gt;="&amp;A612,crm_orders!$B:$B,"&lt;"&amp;DATE(YEAR(A612),MONTH(A612)+1,1),crm_orders!$E:$E,B612,crm_orders!$G:$G,C612,crm_orders!$H:$H,D612)</f>
        <v>0</v>
      </c>
      <c r="G612" s="21">
        <f>SUMIFS(warehouse_shipments!$H:$H,warehouse_shipments!$C:$C,"&gt;="&amp;A612,warehouse_shipments!$C:$C,"&lt;"&amp;DATE(YEAR(A612),MONTH(A612)+1,1),warehouse_shipments!$P:$P,B612,warehouse_shipments!$Q:$Q,C612,warehouse_shipments!$R:$R,D612)</f>
        <v>0</v>
      </c>
      <c r="H612" s="22">
        <f t="shared" si="1"/>
        <v>-110</v>
      </c>
      <c r="I612" s="64">
        <f t="shared" si="2"/>
        <v>0</v>
      </c>
      <c r="J612" s="22" t="s">
        <v>5310</v>
      </c>
    </row>
    <row r="613" ht="15.75" customHeight="1">
      <c r="A613" s="26">
        <v>46082.0</v>
      </c>
      <c r="B613" s="25" t="s">
        <v>3934</v>
      </c>
      <c r="C613" s="25" t="s">
        <v>67</v>
      </c>
      <c r="D613" s="25" t="s">
        <v>64</v>
      </c>
      <c r="E613" s="29">
        <v>366.0</v>
      </c>
      <c r="F613" s="29">
        <f>SUMIFS(crm_orders!$J:$J,crm_orders!$B:$B,"&gt;="&amp;A613,crm_orders!$B:$B,"&lt;"&amp;DATE(YEAR(A613),MONTH(A613)+1,1),crm_orders!$E:$E,B613,crm_orders!$G:$G,C613,crm_orders!$H:$H,D613)</f>
        <v>0</v>
      </c>
      <c r="G613" s="29">
        <f>SUMIFS(warehouse_shipments!$H:$H,warehouse_shipments!$C:$C,"&gt;="&amp;A613,warehouse_shipments!$C:$C,"&lt;"&amp;DATE(YEAR(A613),MONTH(A613)+1,1),warehouse_shipments!$P:$P,B613,warehouse_shipments!$Q:$Q,C613,warehouse_shipments!$R:$R,D613)</f>
        <v>12</v>
      </c>
      <c r="H613" s="30">
        <f t="shared" si="1"/>
        <v>-366</v>
      </c>
      <c r="I613" s="65">
        <f t="shared" si="2"/>
        <v>0</v>
      </c>
      <c r="J613" s="30" t="s">
        <v>5311</v>
      </c>
    </row>
    <row r="614" ht="15.75" customHeight="1">
      <c r="A614" s="18">
        <v>46082.0</v>
      </c>
      <c r="B614" s="17" t="s">
        <v>3934</v>
      </c>
      <c r="C614" s="17" t="s">
        <v>67</v>
      </c>
      <c r="D614" s="17" t="s">
        <v>156</v>
      </c>
      <c r="E614" s="21">
        <v>351.0</v>
      </c>
      <c r="F614" s="21">
        <f>SUMIFS(crm_orders!$J:$J,crm_orders!$B:$B,"&gt;="&amp;A614,crm_orders!$B:$B,"&lt;"&amp;DATE(YEAR(A614),MONTH(A614)+1,1),crm_orders!$E:$E,B614,crm_orders!$G:$G,C614,crm_orders!$H:$H,D614)</f>
        <v>0</v>
      </c>
      <c r="G614" s="21">
        <f>SUMIFS(warehouse_shipments!$H:$H,warehouse_shipments!$C:$C,"&gt;="&amp;A614,warehouse_shipments!$C:$C,"&lt;"&amp;DATE(YEAR(A614),MONTH(A614)+1,1),warehouse_shipments!$P:$P,B614,warehouse_shipments!$Q:$Q,C614,warehouse_shipments!$R:$R,D614)</f>
        <v>0</v>
      </c>
      <c r="H614" s="22">
        <f t="shared" si="1"/>
        <v>-351</v>
      </c>
      <c r="I614" s="64">
        <f t="shared" si="2"/>
        <v>0</v>
      </c>
      <c r="J614" s="22" t="s">
        <v>5309</v>
      </c>
    </row>
    <row r="615" ht="15.75" customHeight="1">
      <c r="A615" s="26">
        <v>46082.0</v>
      </c>
      <c r="B615" s="25" t="s">
        <v>3934</v>
      </c>
      <c r="C615" s="25" t="s">
        <v>67</v>
      </c>
      <c r="D615" s="25" t="s">
        <v>110</v>
      </c>
      <c r="E615" s="29">
        <v>443.0</v>
      </c>
      <c r="F615" s="29">
        <f>SUMIFS(crm_orders!$J:$J,crm_orders!$B:$B,"&gt;="&amp;A615,crm_orders!$B:$B,"&lt;"&amp;DATE(YEAR(A615),MONTH(A615)+1,1),crm_orders!$E:$E,B615,crm_orders!$G:$G,C615,crm_orders!$H:$H,D615)</f>
        <v>0</v>
      </c>
      <c r="G615" s="29">
        <f>SUMIFS(warehouse_shipments!$H:$H,warehouse_shipments!$C:$C,"&gt;="&amp;A615,warehouse_shipments!$C:$C,"&lt;"&amp;DATE(YEAR(A615),MONTH(A615)+1,1),warehouse_shipments!$P:$P,B615,warehouse_shipments!$Q:$Q,C615,warehouse_shipments!$R:$R,D615)</f>
        <v>0</v>
      </c>
      <c r="H615" s="30">
        <f t="shared" si="1"/>
        <v>-443</v>
      </c>
      <c r="I615" s="65">
        <f t="shared" si="2"/>
        <v>0</v>
      </c>
      <c r="J615" s="30" t="s">
        <v>5308</v>
      </c>
    </row>
    <row r="616" ht="15.75" customHeight="1">
      <c r="A616" s="18">
        <v>46082.0</v>
      </c>
      <c r="B616" s="17" t="s">
        <v>3934</v>
      </c>
      <c r="C616" s="17" t="s">
        <v>67</v>
      </c>
      <c r="D616" s="17" t="s">
        <v>71</v>
      </c>
      <c r="E616" s="21">
        <v>494.0</v>
      </c>
      <c r="F616" s="21">
        <f>SUMIFS(crm_orders!$J:$J,crm_orders!$B:$B,"&gt;="&amp;A616,crm_orders!$B:$B,"&lt;"&amp;DATE(YEAR(A616),MONTH(A616)+1,1),crm_orders!$E:$E,B616,crm_orders!$G:$G,C616,crm_orders!$H:$H,D616)</f>
        <v>0</v>
      </c>
      <c r="G616" s="21">
        <f>SUMIFS(warehouse_shipments!$H:$H,warehouse_shipments!$C:$C,"&gt;="&amp;A616,warehouse_shipments!$C:$C,"&lt;"&amp;DATE(YEAR(A616),MONTH(A616)+1,1),warehouse_shipments!$P:$P,B616,warehouse_shipments!$Q:$Q,C616,warehouse_shipments!$R:$R,D616)</f>
        <v>0</v>
      </c>
      <c r="H616" s="22">
        <f t="shared" si="1"/>
        <v>-494</v>
      </c>
      <c r="I616" s="64">
        <f t="shared" si="2"/>
        <v>0</v>
      </c>
      <c r="J616" s="22" t="s">
        <v>5306</v>
      </c>
    </row>
    <row r="617" ht="15.75" customHeight="1">
      <c r="A617" s="26">
        <v>46082.0</v>
      </c>
      <c r="B617" s="25" t="s">
        <v>3934</v>
      </c>
      <c r="C617" s="25" t="s">
        <v>67</v>
      </c>
      <c r="D617" s="25" t="s">
        <v>115</v>
      </c>
      <c r="E617" s="29">
        <v>497.0</v>
      </c>
      <c r="F617" s="29">
        <f>SUMIFS(crm_orders!$J:$J,crm_orders!$B:$B,"&gt;="&amp;A617,crm_orders!$B:$B,"&lt;"&amp;DATE(YEAR(A617),MONTH(A617)+1,1),crm_orders!$E:$E,B617,crm_orders!$G:$G,C617,crm_orders!$H:$H,D617)</f>
        <v>90</v>
      </c>
      <c r="G617" s="29">
        <f>SUMIFS(warehouse_shipments!$H:$H,warehouse_shipments!$C:$C,"&gt;="&amp;A617,warehouse_shipments!$C:$C,"&lt;"&amp;DATE(YEAR(A617),MONTH(A617)+1,1),warehouse_shipments!$P:$P,B617,warehouse_shipments!$Q:$Q,C617,warehouse_shipments!$R:$R,D617)</f>
        <v>72</v>
      </c>
      <c r="H617" s="30">
        <f t="shared" si="1"/>
        <v>-407</v>
      </c>
      <c r="I617" s="65">
        <f t="shared" si="2"/>
        <v>0.1810865191</v>
      </c>
      <c r="J617" s="30" t="s">
        <v>5307</v>
      </c>
    </row>
    <row r="618" ht="15.75" customHeight="1">
      <c r="A618" s="18">
        <v>46082.0</v>
      </c>
      <c r="B618" s="17" t="s">
        <v>3934</v>
      </c>
      <c r="C618" s="17" t="s">
        <v>89</v>
      </c>
      <c r="D618" s="17" t="s">
        <v>71</v>
      </c>
      <c r="E618" s="21">
        <v>463.0</v>
      </c>
      <c r="F618" s="21">
        <f>SUMIFS(crm_orders!$J:$J,crm_orders!$B:$B,"&gt;="&amp;A618,crm_orders!$B:$B,"&lt;"&amp;DATE(YEAR(A618),MONTH(A618)+1,1),crm_orders!$E:$E,B618,crm_orders!$G:$G,C618,crm_orders!$H:$H,D618)</f>
        <v>0</v>
      </c>
      <c r="G618" s="21">
        <f>SUMIFS(warehouse_shipments!$H:$H,warehouse_shipments!$C:$C,"&gt;="&amp;A618,warehouse_shipments!$C:$C,"&lt;"&amp;DATE(YEAR(A618),MONTH(A618)+1,1),warehouse_shipments!$P:$P,B618,warehouse_shipments!$Q:$Q,C618,warehouse_shipments!$R:$R,D618)</f>
        <v>0</v>
      </c>
      <c r="H618" s="22">
        <f t="shared" si="1"/>
        <v>-463</v>
      </c>
      <c r="I618" s="64">
        <f t="shared" si="2"/>
        <v>0</v>
      </c>
      <c r="J618" s="22" t="s">
        <v>5307</v>
      </c>
    </row>
    <row r="619" ht="15.75" customHeight="1">
      <c r="A619" s="26">
        <v>46082.0</v>
      </c>
      <c r="B619" s="25" t="s">
        <v>3934</v>
      </c>
      <c r="C619" s="25" t="s">
        <v>89</v>
      </c>
      <c r="D619" s="25" t="s">
        <v>190</v>
      </c>
      <c r="E619" s="29">
        <v>162.0</v>
      </c>
      <c r="F619" s="29">
        <f>SUMIFS(crm_orders!$J:$J,crm_orders!$B:$B,"&gt;="&amp;A619,crm_orders!$B:$B,"&lt;"&amp;DATE(YEAR(A619),MONTH(A619)+1,1),crm_orders!$E:$E,B619,crm_orders!$G:$G,C619,crm_orders!$H:$H,D619)</f>
        <v>0</v>
      </c>
      <c r="G619" s="29">
        <f>SUMIFS(warehouse_shipments!$H:$H,warehouse_shipments!$C:$C,"&gt;="&amp;A619,warehouse_shipments!$C:$C,"&lt;"&amp;DATE(YEAR(A619),MONTH(A619)+1,1),warehouse_shipments!$P:$P,B619,warehouse_shipments!$Q:$Q,C619,warehouse_shipments!$R:$R,D619)</f>
        <v>0</v>
      </c>
      <c r="H619" s="30">
        <f t="shared" si="1"/>
        <v>-162</v>
      </c>
      <c r="I619" s="65">
        <f t="shared" si="2"/>
        <v>0</v>
      </c>
      <c r="J619" s="30" t="s">
        <v>5309</v>
      </c>
    </row>
    <row r="620" ht="15.75" customHeight="1">
      <c r="A620" s="18">
        <v>46082.0</v>
      </c>
      <c r="B620" s="17" t="s">
        <v>3934</v>
      </c>
      <c r="C620" s="17" t="s">
        <v>89</v>
      </c>
      <c r="D620" s="17" t="s">
        <v>74</v>
      </c>
      <c r="E620" s="21">
        <v>160.0</v>
      </c>
      <c r="F620" s="21">
        <f>SUMIFS(crm_orders!$J:$J,crm_orders!$B:$B,"&gt;="&amp;A620,crm_orders!$B:$B,"&lt;"&amp;DATE(YEAR(A620),MONTH(A620)+1,1),crm_orders!$E:$E,B620,crm_orders!$G:$G,C620,crm_orders!$H:$H,D620)</f>
        <v>0</v>
      </c>
      <c r="G620" s="21">
        <f>SUMIFS(warehouse_shipments!$H:$H,warehouse_shipments!$C:$C,"&gt;="&amp;A620,warehouse_shipments!$C:$C,"&lt;"&amp;DATE(YEAR(A620),MONTH(A620)+1,1),warehouse_shipments!$P:$P,B620,warehouse_shipments!$Q:$Q,C620,warehouse_shipments!$R:$R,D620)</f>
        <v>0</v>
      </c>
      <c r="H620" s="22">
        <f t="shared" si="1"/>
        <v>-160</v>
      </c>
      <c r="I620" s="64">
        <f t="shared" si="2"/>
        <v>0</v>
      </c>
      <c r="J620" s="22" t="s">
        <v>5309</v>
      </c>
    </row>
    <row r="621" ht="15.75" customHeight="1">
      <c r="A621" s="26">
        <v>46082.0</v>
      </c>
      <c r="B621" s="25" t="s">
        <v>3934</v>
      </c>
      <c r="C621" s="25" t="s">
        <v>89</v>
      </c>
      <c r="D621" s="25" t="s">
        <v>90</v>
      </c>
      <c r="E621" s="29">
        <v>240.0</v>
      </c>
      <c r="F621" s="29">
        <f>SUMIFS(crm_orders!$J:$J,crm_orders!$B:$B,"&gt;="&amp;A621,crm_orders!$B:$B,"&lt;"&amp;DATE(YEAR(A621),MONTH(A621)+1,1),crm_orders!$E:$E,B621,crm_orders!$G:$G,C621,crm_orders!$H:$H,D621)</f>
        <v>48</v>
      </c>
      <c r="G621" s="29">
        <f>SUMIFS(warehouse_shipments!$H:$H,warehouse_shipments!$C:$C,"&gt;="&amp;A621,warehouse_shipments!$C:$C,"&lt;"&amp;DATE(YEAR(A621),MONTH(A621)+1,1),warehouse_shipments!$P:$P,B621,warehouse_shipments!$Q:$Q,C621,warehouse_shipments!$R:$R,D621)</f>
        <v>48</v>
      </c>
      <c r="H621" s="30">
        <f t="shared" si="1"/>
        <v>-192</v>
      </c>
      <c r="I621" s="65">
        <f t="shared" si="2"/>
        <v>0.2</v>
      </c>
      <c r="J621" s="30" t="s">
        <v>5311</v>
      </c>
    </row>
    <row r="622" ht="15.75" customHeight="1">
      <c r="A622" s="18">
        <v>46082.0</v>
      </c>
      <c r="B622" s="17" t="s">
        <v>3934</v>
      </c>
      <c r="C622" s="17" t="s">
        <v>89</v>
      </c>
      <c r="D622" s="17" t="s">
        <v>106</v>
      </c>
      <c r="E622" s="21">
        <v>418.0</v>
      </c>
      <c r="F622" s="21">
        <f>SUMIFS(crm_orders!$J:$J,crm_orders!$B:$B,"&gt;="&amp;A622,crm_orders!$B:$B,"&lt;"&amp;DATE(YEAR(A622),MONTH(A622)+1,1),crm_orders!$E:$E,B622,crm_orders!$G:$G,C622,crm_orders!$H:$H,D622)</f>
        <v>0</v>
      </c>
      <c r="G622" s="21">
        <f>SUMIFS(warehouse_shipments!$H:$H,warehouse_shipments!$C:$C,"&gt;="&amp;A622,warehouse_shipments!$C:$C,"&lt;"&amp;DATE(YEAR(A622),MONTH(A622)+1,1),warehouse_shipments!$P:$P,B622,warehouse_shipments!$Q:$Q,C622,warehouse_shipments!$R:$R,D622)</f>
        <v>0</v>
      </c>
      <c r="H622" s="22">
        <f t="shared" si="1"/>
        <v>-418</v>
      </c>
      <c r="I622" s="64">
        <f t="shared" si="2"/>
        <v>0</v>
      </c>
      <c r="J622" s="22" t="s">
        <v>5306</v>
      </c>
    </row>
    <row r="623" ht="15.75" customHeight="1">
      <c r="A623" s="26">
        <v>46082.0</v>
      </c>
      <c r="B623" s="25" t="s">
        <v>3934</v>
      </c>
      <c r="C623" s="25" t="s">
        <v>89</v>
      </c>
      <c r="D623" s="25" t="s">
        <v>68</v>
      </c>
      <c r="E623" s="29">
        <v>240.0</v>
      </c>
      <c r="F623" s="29">
        <f>SUMIFS(crm_orders!$J:$J,crm_orders!$B:$B,"&gt;="&amp;A623,crm_orders!$B:$B,"&lt;"&amp;DATE(YEAR(A623),MONTH(A623)+1,1),crm_orders!$E:$E,B623,crm_orders!$G:$G,C623,crm_orders!$H:$H,D623)</f>
        <v>0</v>
      </c>
      <c r="G623" s="29">
        <f>SUMIFS(warehouse_shipments!$H:$H,warehouse_shipments!$C:$C,"&gt;="&amp;A623,warehouse_shipments!$C:$C,"&lt;"&amp;DATE(YEAR(A623),MONTH(A623)+1,1),warehouse_shipments!$P:$P,B623,warehouse_shipments!$Q:$Q,C623,warehouse_shipments!$R:$R,D623)</f>
        <v>0</v>
      </c>
      <c r="H623" s="30">
        <f t="shared" si="1"/>
        <v>-240</v>
      </c>
      <c r="I623" s="65">
        <f t="shared" si="2"/>
        <v>0</v>
      </c>
      <c r="J623" s="30" t="s">
        <v>5308</v>
      </c>
    </row>
    <row r="624" ht="15.75" customHeight="1">
      <c r="A624" s="18">
        <v>46082.0</v>
      </c>
      <c r="B624" s="17" t="s">
        <v>3934</v>
      </c>
      <c r="C624" s="17" t="s">
        <v>89</v>
      </c>
      <c r="D624" s="17" t="s">
        <v>108</v>
      </c>
      <c r="E624" s="21">
        <v>192.0</v>
      </c>
      <c r="F624" s="21">
        <f>SUMIFS(crm_orders!$J:$J,crm_orders!$B:$B,"&gt;="&amp;A624,crm_orders!$B:$B,"&lt;"&amp;DATE(YEAR(A624),MONTH(A624)+1,1),crm_orders!$E:$E,B624,crm_orders!$G:$G,C624,crm_orders!$H:$H,D624)</f>
        <v>0</v>
      </c>
      <c r="G624" s="21">
        <f>SUMIFS(warehouse_shipments!$H:$H,warehouse_shipments!$C:$C,"&gt;="&amp;A624,warehouse_shipments!$C:$C,"&lt;"&amp;DATE(YEAR(A624),MONTH(A624)+1,1),warehouse_shipments!$P:$P,B624,warehouse_shipments!$Q:$Q,C624,warehouse_shipments!$R:$R,D624)</f>
        <v>0</v>
      </c>
      <c r="H624" s="22">
        <f t="shared" si="1"/>
        <v>-192</v>
      </c>
      <c r="I624" s="64">
        <f t="shared" si="2"/>
        <v>0</v>
      </c>
      <c r="J624" s="22" t="s">
        <v>5310</v>
      </c>
    </row>
    <row r="625" ht="15.75" customHeight="1">
      <c r="A625" s="26">
        <v>46082.0</v>
      </c>
      <c r="B625" s="25" t="s">
        <v>3934</v>
      </c>
      <c r="C625" s="25" t="s">
        <v>89</v>
      </c>
      <c r="D625" s="25" t="s">
        <v>110</v>
      </c>
      <c r="E625" s="29">
        <v>114.0</v>
      </c>
      <c r="F625" s="29">
        <f>SUMIFS(crm_orders!$J:$J,crm_orders!$B:$B,"&gt;="&amp;A625,crm_orders!$B:$B,"&lt;"&amp;DATE(YEAR(A625),MONTH(A625)+1,1),crm_orders!$E:$E,B625,crm_orders!$G:$G,C625,crm_orders!$H:$H,D625)</f>
        <v>0</v>
      </c>
      <c r="G625" s="29">
        <f>SUMIFS(warehouse_shipments!$H:$H,warehouse_shipments!$C:$C,"&gt;="&amp;A625,warehouse_shipments!$C:$C,"&lt;"&amp;DATE(YEAR(A625),MONTH(A625)+1,1),warehouse_shipments!$P:$P,B625,warehouse_shipments!$Q:$Q,C625,warehouse_shipments!$R:$R,D625)</f>
        <v>6</v>
      </c>
      <c r="H625" s="30">
        <f t="shared" si="1"/>
        <v>-114</v>
      </c>
      <c r="I625" s="65">
        <f t="shared" si="2"/>
        <v>0</v>
      </c>
      <c r="J625" s="30" t="s">
        <v>5310</v>
      </c>
    </row>
    <row r="626" ht="15.75" customHeight="1">
      <c r="A626" s="18">
        <v>46082.0</v>
      </c>
      <c r="B626" s="17" t="s">
        <v>4020</v>
      </c>
      <c r="C626" s="17" t="s">
        <v>63</v>
      </c>
      <c r="D626" s="17" t="s">
        <v>110</v>
      </c>
      <c r="E626" s="21">
        <v>456.0</v>
      </c>
      <c r="F626" s="21">
        <f>SUMIFS(crm_orders!$J:$J,crm_orders!$B:$B,"&gt;="&amp;A626,crm_orders!$B:$B,"&lt;"&amp;DATE(YEAR(A626),MONTH(A626)+1,1),crm_orders!$E:$E,B626,crm_orders!$G:$G,C626,crm_orders!$H:$H,D626)</f>
        <v>30</v>
      </c>
      <c r="G626" s="21">
        <f>SUMIFS(warehouse_shipments!$H:$H,warehouse_shipments!$C:$C,"&gt;="&amp;A626,warehouse_shipments!$C:$C,"&lt;"&amp;DATE(YEAR(A626),MONTH(A626)+1,1),warehouse_shipments!$P:$P,B626,warehouse_shipments!$Q:$Q,C626,warehouse_shipments!$R:$R,D626)</f>
        <v>0</v>
      </c>
      <c r="H626" s="22">
        <f t="shared" si="1"/>
        <v>-426</v>
      </c>
      <c r="I626" s="64">
        <f t="shared" si="2"/>
        <v>0.06578947368</v>
      </c>
      <c r="J626" s="22" t="s">
        <v>5311</v>
      </c>
    </row>
    <row r="627" ht="15.75" customHeight="1">
      <c r="A627" s="26">
        <v>46082.0</v>
      </c>
      <c r="B627" s="25" t="s">
        <v>4020</v>
      </c>
      <c r="C627" s="25" t="s">
        <v>63</v>
      </c>
      <c r="D627" s="25" t="s">
        <v>74</v>
      </c>
      <c r="E627" s="29">
        <v>227.0</v>
      </c>
      <c r="F627" s="29">
        <f>SUMIFS(crm_orders!$J:$J,crm_orders!$B:$B,"&gt;="&amp;A627,crm_orders!$B:$B,"&lt;"&amp;DATE(YEAR(A627),MONTH(A627)+1,1),crm_orders!$E:$E,B627,crm_orders!$G:$G,C627,crm_orders!$H:$H,D627)</f>
        <v>0</v>
      </c>
      <c r="G627" s="29">
        <f>SUMIFS(warehouse_shipments!$H:$H,warehouse_shipments!$C:$C,"&gt;="&amp;A627,warehouse_shipments!$C:$C,"&lt;"&amp;DATE(YEAR(A627),MONTH(A627)+1,1),warehouse_shipments!$P:$P,B627,warehouse_shipments!$Q:$Q,C627,warehouse_shipments!$R:$R,D627)</f>
        <v>0</v>
      </c>
      <c r="H627" s="30">
        <f t="shared" si="1"/>
        <v>-227</v>
      </c>
      <c r="I627" s="65">
        <f t="shared" si="2"/>
        <v>0</v>
      </c>
      <c r="J627" s="30" t="s">
        <v>5306</v>
      </c>
    </row>
    <row r="628" ht="15.75" customHeight="1">
      <c r="A628" s="18">
        <v>46082.0</v>
      </c>
      <c r="B628" s="17" t="s">
        <v>4020</v>
      </c>
      <c r="C628" s="17" t="s">
        <v>63</v>
      </c>
      <c r="D628" s="17" t="s">
        <v>68</v>
      </c>
      <c r="E628" s="21">
        <v>245.0</v>
      </c>
      <c r="F628" s="21">
        <f>SUMIFS(crm_orders!$J:$J,crm_orders!$B:$B,"&gt;="&amp;A628,crm_orders!$B:$B,"&lt;"&amp;DATE(YEAR(A628),MONTH(A628)+1,1),crm_orders!$E:$E,B628,crm_orders!$G:$G,C628,crm_orders!$H:$H,D628)</f>
        <v>0</v>
      </c>
      <c r="G628" s="21">
        <f>SUMIFS(warehouse_shipments!$H:$H,warehouse_shipments!$C:$C,"&gt;="&amp;A628,warehouse_shipments!$C:$C,"&lt;"&amp;DATE(YEAR(A628),MONTH(A628)+1,1),warehouse_shipments!$P:$P,B628,warehouse_shipments!$Q:$Q,C628,warehouse_shipments!$R:$R,D628)</f>
        <v>24</v>
      </c>
      <c r="H628" s="22">
        <f t="shared" si="1"/>
        <v>-245</v>
      </c>
      <c r="I628" s="64">
        <f t="shared" si="2"/>
        <v>0</v>
      </c>
      <c r="J628" s="22" t="s">
        <v>5310</v>
      </c>
    </row>
    <row r="629" ht="15.75" customHeight="1">
      <c r="A629" s="26">
        <v>46082.0</v>
      </c>
      <c r="B629" s="25" t="s">
        <v>4020</v>
      </c>
      <c r="C629" s="25" t="s">
        <v>63</v>
      </c>
      <c r="D629" s="25" t="s">
        <v>106</v>
      </c>
      <c r="E629" s="29">
        <v>85.0</v>
      </c>
      <c r="F629" s="29">
        <f>SUMIFS(crm_orders!$J:$J,crm_orders!$B:$B,"&gt;="&amp;A629,crm_orders!$B:$B,"&lt;"&amp;DATE(YEAR(A629),MONTH(A629)+1,1),crm_orders!$E:$E,B629,crm_orders!$G:$G,C629,crm_orders!$H:$H,D629)</f>
        <v>120</v>
      </c>
      <c r="G629" s="29">
        <f>SUMIFS(warehouse_shipments!$H:$H,warehouse_shipments!$C:$C,"&gt;="&amp;A629,warehouse_shipments!$C:$C,"&lt;"&amp;DATE(YEAR(A629),MONTH(A629)+1,1),warehouse_shipments!$P:$P,B629,warehouse_shipments!$Q:$Q,C629,warehouse_shipments!$R:$R,D629)</f>
        <v>156</v>
      </c>
      <c r="H629" s="30">
        <f t="shared" si="1"/>
        <v>35</v>
      </c>
      <c r="I629" s="65">
        <f t="shared" si="2"/>
        <v>0.5882352941</v>
      </c>
      <c r="J629" s="30" t="s">
        <v>5308</v>
      </c>
    </row>
    <row r="630" ht="15.75" customHeight="1">
      <c r="A630" s="18">
        <v>46082.0</v>
      </c>
      <c r="B630" s="17" t="s">
        <v>4020</v>
      </c>
      <c r="C630" s="17" t="s">
        <v>63</v>
      </c>
      <c r="D630" s="17" t="s">
        <v>190</v>
      </c>
      <c r="E630" s="21">
        <v>511.0</v>
      </c>
      <c r="F630" s="21">
        <f>SUMIFS(crm_orders!$J:$J,crm_orders!$B:$B,"&gt;="&amp;A630,crm_orders!$B:$B,"&lt;"&amp;DATE(YEAR(A630),MONTH(A630)+1,1),crm_orders!$E:$E,B630,crm_orders!$G:$G,C630,crm_orders!$H:$H,D630)</f>
        <v>0</v>
      </c>
      <c r="G630" s="21">
        <f>SUMIFS(warehouse_shipments!$H:$H,warehouse_shipments!$C:$C,"&gt;="&amp;A630,warehouse_shipments!$C:$C,"&lt;"&amp;DATE(YEAR(A630),MONTH(A630)+1,1),warehouse_shipments!$P:$P,B630,warehouse_shipments!$Q:$Q,C630,warehouse_shipments!$R:$R,D630)</f>
        <v>18</v>
      </c>
      <c r="H630" s="22">
        <f t="shared" si="1"/>
        <v>-511</v>
      </c>
      <c r="I630" s="64">
        <f t="shared" si="2"/>
        <v>0</v>
      </c>
      <c r="J630" s="22" t="s">
        <v>5311</v>
      </c>
    </row>
    <row r="631" ht="15.75" customHeight="1">
      <c r="A631" s="26">
        <v>46082.0</v>
      </c>
      <c r="B631" s="25" t="s">
        <v>4020</v>
      </c>
      <c r="C631" s="25" t="s">
        <v>63</v>
      </c>
      <c r="D631" s="25" t="s">
        <v>78</v>
      </c>
      <c r="E631" s="29">
        <v>247.0</v>
      </c>
      <c r="F631" s="29">
        <f>SUMIFS(crm_orders!$J:$J,crm_orders!$B:$B,"&gt;="&amp;A631,crm_orders!$B:$B,"&lt;"&amp;DATE(YEAR(A631),MONTH(A631)+1,1),crm_orders!$E:$E,B631,crm_orders!$G:$G,C631,crm_orders!$H:$H,D631)</f>
        <v>0</v>
      </c>
      <c r="G631" s="29">
        <f>SUMIFS(warehouse_shipments!$H:$H,warehouse_shipments!$C:$C,"&gt;="&amp;A631,warehouse_shipments!$C:$C,"&lt;"&amp;DATE(YEAR(A631),MONTH(A631)+1,1),warehouse_shipments!$P:$P,B631,warehouse_shipments!$Q:$Q,C631,warehouse_shipments!$R:$R,D631)</f>
        <v>18</v>
      </c>
      <c r="H631" s="30">
        <f t="shared" si="1"/>
        <v>-247</v>
      </c>
      <c r="I631" s="65">
        <f t="shared" si="2"/>
        <v>0</v>
      </c>
      <c r="J631" s="30" t="s">
        <v>5307</v>
      </c>
    </row>
    <row r="632" ht="15.75" customHeight="1">
      <c r="A632" s="18">
        <v>46082.0</v>
      </c>
      <c r="B632" s="17" t="s">
        <v>4020</v>
      </c>
      <c r="C632" s="17" t="s">
        <v>63</v>
      </c>
      <c r="D632" s="17" t="s">
        <v>81</v>
      </c>
      <c r="E632" s="21">
        <v>441.0</v>
      </c>
      <c r="F632" s="21">
        <f>SUMIFS(crm_orders!$J:$J,crm_orders!$B:$B,"&gt;="&amp;A632,crm_orders!$B:$B,"&lt;"&amp;DATE(YEAR(A632),MONTH(A632)+1,1),crm_orders!$E:$E,B632,crm_orders!$G:$G,C632,crm_orders!$H:$H,D632)</f>
        <v>48</v>
      </c>
      <c r="G632" s="21">
        <f>SUMIFS(warehouse_shipments!$H:$H,warehouse_shipments!$C:$C,"&gt;="&amp;A632,warehouse_shipments!$C:$C,"&lt;"&amp;DATE(YEAR(A632),MONTH(A632)+1,1),warehouse_shipments!$P:$P,B632,warehouse_shipments!$Q:$Q,C632,warehouse_shipments!$R:$R,D632)</f>
        <v>48</v>
      </c>
      <c r="H632" s="22">
        <f t="shared" si="1"/>
        <v>-393</v>
      </c>
      <c r="I632" s="64">
        <f t="shared" si="2"/>
        <v>0.1088435374</v>
      </c>
      <c r="J632" s="22" t="s">
        <v>5307</v>
      </c>
    </row>
    <row r="633" ht="15.75" customHeight="1">
      <c r="A633" s="26">
        <v>46082.0</v>
      </c>
      <c r="B633" s="25" t="s">
        <v>4020</v>
      </c>
      <c r="C633" s="25" t="s">
        <v>63</v>
      </c>
      <c r="D633" s="25" t="s">
        <v>154</v>
      </c>
      <c r="E633" s="29">
        <v>514.0</v>
      </c>
      <c r="F633" s="29">
        <f>SUMIFS(crm_orders!$J:$J,crm_orders!$B:$B,"&gt;="&amp;A633,crm_orders!$B:$B,"&lt;"&amp;DATE(YEAR(A633),MONTH(A633)+1,1),crm_orders!$E:$E,B633,crm_orders!$G:$G,C633,crm_orders!$H:$H,D633)</f>
        <v>0</v>
      </c>
      <c r="G633" s="29">
        <f>SUMIFS(warehouse_shipments!$H:$H,warehouse_shipments!$C:$C,"&gt;="&amp;A633,warehouse_shipments!$C:$C,"&lt;"&amp;DATE(YEAR(A633),MONTH(A633)+1,1),warehouse_shipments!$P:$P,B633,warehouse_shipments!$Q:$Q,C633,warehouse_shipments!$R:$R,D633)</f>
        <v>0</v>
      </c>
      <c r="H633" s="30">
        <f t="shared" si="1"/>
        <v>-514</v>
      </c>
      <c r="I633" s="65">
        <f t="shared" si="2"/>
        <v>0</v>
      </c>
      <c r="J633" s="30" t="s">
        <v>5310</v>
      </c>
    </row>
    <row r="634" ht="15.75" customHeight="1">
      <c r="A634" s="18">
        <v>46082.0</v>
      </c>
      <c r="B634" s="17" t="s">
        <v>4020</v>
      </c>
      <c r="C634" s="17" t="s">
        <v>67</v>
      </c>
      <c r="D634" s="17" t="s">
        <v>92</v>
      </c>
      <c r="E634" s="21">
        <v>459.0</v>
      </c>
      <c r="F634" s="21">
        <f>SUMIFS(crm_orders!$J:$J,crm_orders!$B:$B,"&gt;="&amp;A634,crm_orders!$B:$B,"&lt;"&amp;DATE(YEAR(A634),MONTH(A634)+1,1),crm_orders!$E:$E,B634,crm_orders!$G:$G,C634,crm_orders!$H:$H,D634)</f>
        <v>0</v>
      </c>
      <c r="G634" s="21">
        <f>SUMIFS(warehouse_shipments!$H:$H,warehouse_shipments!$C:$C,"&gt;="&amp;A634,warehouse_shipments!$C:$C,"&lt;"&amp;DATE(YEAR(A634),MONTH(A634)+1,1),warehouse_shipments!$P:$P,B634,warehouse_shipments!$Q:$Q,C634,warehouse_shipments!$R:$R,D634)</f>
        <v>0</v>
      </c>
      <c r="H634" s="22">
        <f t="shared" si="1"/>
        <v>-459</v>
      </c>
      <c r="I634" s="64">
        <f t="shared" si="2"/>
        <v>0</v>
      </c>
      <c r="J634" s="22" t="s">
        <v>5307</v>
      </c>
    </row>
    <row r="635" ht="15.75" customHeight="1">
      <c r="A635" s="26">
        <v>46082.0</v>
      </c>
      <c r="B635" s="25" t="s">
        <v>4020</v>
      </c>
      <c r="C635" s="25" t="s">
        <v>67</v>
      </c>
      <c r="D635" s="25" t="s">
        <v>95</v>
      </c>
      <c r="E635" s="29">
        <v>232.0</v>
      </c>
      <c r="F635" s="29">
        <f>SUMIFS(crm_orders!$J:$J,crm_orders!$B:$B,"&gt;="&amp;A635,crm_orders!$B:$B,"&lt;"&amp;DATE(YEAR(A635),MONTH(A635)+1,1),crm_orders!$E:$E,B635,crm_orders!$G:$G,C635,crm_orders!$H:$H,D635)</f>
        <v>0</v>
      </c>
      <c r="G635" s="29">
        <f>SUMIFS(warehouse_shipments!$H:$H,warehouse_shipments!$C:$C,"&gt;="&amp;A635,warehouse_shipments!$C:$C,"&lt;"&amp;DATE(YEAR(A635),MONTH(A635)+1,1),warehouse_shipments!$P:$P,B635,warehouse_shipments!$Q:$Q,C635,warehouse_shipments!$R:$R,D635)</f>
        <v>0</v>
      </c>
      <c r="H635" s="30">
        <f t="shared" si="1"/>
        <v>-232</v>
      </c>
      <c r="I635" s="65">
        <f t="shared" si="2"/>
        <v>0</v>
      </c>
      <c r="J635" s="30" t="s">
        <v>5308</v>
      </c>
    </row>
    <row r="636" ht="15.75" customHeight="1">
      <c r="A636" s="18">
        <v>46082.0</v>
      </c>
      <c r="B636" s="17" t="s">
        <v>4020</v>
      </c>
      <c r="C636" s="17" t="s">
        <v>67</v>
      </c>
      <c r="D636" s="17" t="s">
        <v>108</v>
      </c>
      <c r="E636" s="21">
        <v>345.0</v>
      </c>
      <c r="F636" s="21">
        <f>SUMIFS(crm_orders!$J:$J,crm_orders!$B:$B,"&gt;="&amp;A636,crm_orders!$B:$B,"&lt;"&amp;DATE(YEAR(A636),MONTH(A636)+1,1),crm_orders!$E:$E,B636,crm_orders!$G:$G,C636,crm_orders!$H:$H,D636)</f>
        <v>0</v>
      </c>
      <c r="G636" s="21">
        <f>SUMIFS(warehouse_shipments!$H:$H,warehouse_shipments!$C:$C,"&gt;="&amp;A636,warehouse_shipments!$C:$C,"&lt;"&amp;DATE(YEAR(A636),MONTH(A636)+1,1),warehouse_shipments!$P:$P,B636,warehouse_shipments!$Q:$Q,C636,warehouse_shipments!$R:$R,D636)</f>
        <v>0</v>
      </c>
      <c r="H636" s="22">
        <f t="shared" si="1"/>
        <v>-345</v>
      </c>
      <c r="I636" s="64">
        <f t="shared" si="2"/>
        <v>0</v>
      </c>
      <c r="J636" s="22" t="s">
        <v>5310</v>
      </c>
    </row>
    <row r="637" ht="15.75" customHeight="1">
      <c r="A637" s="26">
        <v>46082.0</v>
      </c>
      <c r="B637" s="25" t="s">
        <v>4020</v>
      </c>
      <c r="C637" s="25" t="s">
        <v>67</v>
      </c>
      <c r="D637" s="25" t="s">
        <v>123</v>
      </c>
      <c r="E637" s="29">
        <v>121.0</v>
      </c>
      <c r="F637" s="29">
        <f>SUMIFS(crm_orders!$J:$J,crm_orders!$B:$B,"&gt;="&amp;A637,crm_orders!$B:$B,"&lt;"&amp;DATE(YEAR(A637),MONTH(A637)+1,1),crm_orders!$E:$E,B637,crm_orders!$G:$G,C637,crm_orders!$H:$H,D637)</f>
        <v>0</v>
      </c>
      <c r="G637" s="29">
        <f>SUMIFS(warehouse_shipments!$H:$H,warehouse_shipments!$C:$C,"&gt;="&amp;A637,warehouse_shipments!$C:$C,"&lt;"&amp;DATE(YEAR(A637),MONTH(A637)+1,1),warehouse_shipments!$P:$P,B637,warehouse_shipments!$Q:$Q,C637,warehouse_shipments!$R:$R,D637)</f>
        <v>0</v>
      </c>
      <c r="H637" s="30">
        <f t="shared" si="1"/>
        <v>-121</v>
      </c>
      <c r="I637" s="65">
        <f t="shared" si="2"/>
        <v>0</v>
      </c>
      <c r="J637" s="30" t="s">
        <v>5308</v>
      </c>
    </row>
    <row r="638" ht="15.75" customHeight="1">
      <c r="A638" s="18">
        <v>46082.0</v>
      </c>
      <c r="B638" s="17" t="s">
        <v>4020</v>
      </c>
      <c r="C638" s="17" t="s">
        <v>67</v>
      </c>
      <c r="D638" s="17" t="s">
        <v>74</v>
      </c>
      <c r="E638" s="21">
        <v>178.0</v>
      </c>
      <c r="F638" s="21">
        <f>SUMIFS(crm_orders!$J:$J,crm_orders!$B:$B,"&gt;="&amp;A638,crm_orders!$B:$B,"&lt;"&amp;DATE(YEAR(A638),MONTH(A638)+1,1),crm_orders!$E:$E,B638,crm_orders!$G:$G,C638,crm_orders!$H:$H,D638)</f>
        <v>0</v>
      </c>
      <c r="G638" s="21">
        <f>SUMIFS(warehouse_shipments!$H:$H,warehouse_shipments!$C:$C,"&gt;="&amp;A638,warehouse_shipments!$C:$C,"&lt;"&amp;DATE(YEAR(A638),MONTH(A638)+1,1),warehouse_shipments!$P:$P,B638,warehouse_shipments!$Q:$Q,C638,warehouse_shipments!$R:$R,D638)</f>
        <v>0</v>
      </c>
      <c r="H638" s="22">
        <f t="shared" si="1"/>
        <v>-178</v>
      </c>
      <c r="I638" s="64">
        <f t="shared" si="2"/>
        <v>0</v>
      </c>
      <c r="J638" s="22" t="s">
        <v>5310</v>
      </c>
    </row>
    <row r="639" ht="15.75" customHeight="1">
      <c r="A639" s="26">
        <v>46082.0</v>
      </c>
      <c r="B639" s="25" t="s">
        <v>4020</v>
      </c>
      <c r="C639" s="25" t="s">
        <v>67</v>
      </c>
      <c r="D639" s="25" t="s">
        <v>110</v>
      </c>
      <c r="E639" s="29">
        <v>92.0</v>
      </c>
      <c r="F639" s="29">
        <f>SUMIFS(crm_orders!$J:$J,crm_orders!$B:$B,"&gt;="&amp;A639,crm_orders!$B:$B,"&lt;"&amp;DATE(YEAR(A639),MONTH(A639)+1,1),crm_orders!$E:$E,B639,crm_orders!$G:$G,C639,crm_orders!$H:$H,D639)</f>
        <v>0</v>
      </c>
      <c r="G639" s="29">
        <f>SUMIFS(warehouse_shipments!$H:$H,warehouse_shipments!$C:$C,"&gt;="&amp;A639,warehouse_shipments!$C:$C,"&lt;"&amp;DATE(YEAR(A639),MONTH(A639)+1,1),warehouse_shipments!$P:$P,B639,warehouse_shipments!$Q:$Q,C639,warehouse_shipments!$R:$R,D639)</f>
        <v>0</v>
      </c>
      <c r="H639" s="30">
        <f t="shared" si="1"/>
        <v>-92</v>
      </c>
      <c r="I639" s="65">
        <f t="shared" si="2"/>
        <v>0</v>
      </c>
      <c r="J639" s="30" t="s">
        <v>5307</v>
      </c>
    </row>
    <row r="640" ht="15.75" customHeight="1">
      <c r="A640" s="18">
        <v>46082.0</v>
      </c>
      <c r="B640" s="17" t="s">
        <v>4020</v>
      </c>
      <c r="C640" s="17" t="s">
        <v>67</v>
      </c>
      <c r="D640" s="17" t="s">
        <v>90</v>
      </c>
      <c r="E640" s="21">
        <v>120.0</v>
      </c>
      <c r="F640" s="21">
        <f>SUMIFS(crm_orders!$J:$J,crm_orders!$B:$B,"&gt;="&amp;A640,crm_orders!$B:$B,"&lt;"&amp;DATE(YEAR(A640),MONTH(A640)+1,1),crm_orders!$E:$E,B640,crm_orders!$G:$G,C640,crm_orders!$H:$H,D640)</f>
        <v>0</v>
      </c>
      <c r="G640" s="21">
        <f>SUMIFS(warehouse_shipments!$H:$H,warehouse_shipments!$C:$C,"&gt;="&amp;A640,warehouse_shipments!$C:$C,"&lt;"&amp;DATE(YEAR(A640),MONTH(A640)+1,1),warehouse_shipments!$P:$P,B640,warehouse_shipments!$Q:$Q,C640,warehouse_shipments!$R:$R,D640)</f>
        <v>0</v>
      </c>
      <c r="H640" s="22">
        <f t="shared" si="1"/>
        <v>-120</v>
      </c>
      <c r="I640" s="64">
        <f t="shared" si="2"/>
        <v>0</v>
      </c>
      <c r="J640" s="22" t="s">
        <v>5307</v>
      </c>
    </row>
    <row r="641" ht="15.75" customHeight="1">
      <c r="A641" s="26">
        <v>46082.0</v>
      </c>
      <c r="B641" s="25" t="s">
        <v>4020</v>
      </c>
      <c r="C641" s="25" t="s">
        <v>67</v>
      </c>
      <c r="D641" s="25" t="s">
        <v>78</v>
      </c>
      <c r="E641" s="29">
        <v>468.0</v>
      </c>
      <c r="F641" s="29">
        <f>SUMIFS(crm_orders!$J:$J,crm_orders!$B:$B,"&gt;="&amp;A641,crm_orders!$B:$B,"&lt;"&amp;DATE(YEAR(A641),MONTH(A641)+1,1),crm_orders!$E:$E,B641,crm_orders!$G:$G,C641,crm_orders!$H:$H,D641)</f>
        <v>0</v>
      </c>
      <c r="G641" s="29">
        <f>SUMIFS(warehouse_shipments!$H:$H,warehouse_shipments!$C:$C,"&gt;="&amp;A641,warehouse_shipments!$C:$C,"&lt;"&amp;DATE(YEAR(A641),MONTH(A641)+1,1),warehouse_shipments!$P:$P,B641,warehouse_shipments!$Q:$Q,C641,warehouse_shipments!$R:$R,D641)</f>
        <v>0</v>
      </c>
      <c r="H641" s="30">
        <f t="shared" si="1"/>
        <v>-468</v>
      </c>
      <c r="I641" s="65">
        <f t="shared" si="2"/>
        <v>0</v>
      </c>
      <c r="J641" s="30" t="s">
        <v>5311</v>
      </c>
    </row>
    <row r="642" ht="15.75" customHeight="1">
      <c r="A642" s="18">
        <v>46082.0</v>
      </c>
      <c r="B642" s="17" t="s">
        <v>4020</v>
      </c>
      <c r="C642" s="17" t="s">
        <v>89</v>
      </c>
      <c r="D642" s="17" t="s">
        <v>92</v>
      </c>
      <c r="E642" s="21">
        <v>324.0</v>
      </c>
      <c r="F642" s="21">
        <f>SUMIFS(crm_orders!$J:$J,crm_orders!$B:$B,"&gt;="&amp;A642,crm_orders!$B:$B,"&lt;"&amp;DATE(YEAR(A642),MONTH(A642)+1,1),crm_orders!$E:$E,B642,crm_orders!$G:$G,C642,crm_orders!$H:$H,D642)</f>
        <v>12</v>
      </c>
      <c r="G642" s="21">
        <f>SUMIFS(warehouse_shipments!$H:$H,warehouse_shipments!$C:$C,"&gt;="&amp;A642,warehouse_shipments!$C:$C,"&lt;"&amp;DATE(YEAR(A642),MONTH(A642)+1,1),warehouse_shipments!$P:$P,B642,warehouse_shipments!$Q:$Q,C642,warehouse_shipments!$R:$R,D642)</f>
        <v>0</v>
      </c>
      <c r="H642" s="22">
        <f t="shared" si="1"/>
        <v>-312</v>
      </c>
      <c r="I642" s="64">
        <f t="shared" si="2"/>
        <v>0.03703703704</v>
      </c>
      <c r="J642" s="22" t="s">
        <v>5307</v>
      </c>
    </row>
    <row r="643" ht="15.75" customHeight="1">
      <c r="A643" s="26">
        <v>46082.0</v>
      </c>
      <c r="B643" s="25" t="s">
        <v>4020</v>
      </c>
      <c r="C643" s="25" t="s">
        <v>89</v>
      </c>
      <c r="D643" s="25" t="s">
        <v>110</v>
      </c>
      <c r="E643" s="29">
        <v>312.0</v>
      </c>
      <c r="F643" s="29">
        <f>SUMIFS(crm_orders!$J:$J,crm_orders!$B:$B,"&gt;="&amp;A643,crm_orders!$B:$B,"&lt;"&amp;DATE(YEAR(A643),MONTH(A643)+1,1),crm_orders!$E:$E,B643,crm_orders!$G:$G,C643,crm_orders!$H:$H,D643)</f>
        <v>36</v>
      </c>
      <c r="G643" s="29">
        <f>SUMIFS(warehouse_shipments!$H:$H,warehouse_shipments!$C:$C,"&gt;="&amp;A643,warehouse_shipments!$C:$C,"&lt;"&amp;DATE(YEAR(A643),MONTH(A643)+1,1),warehouse_shipments!$P:$P,B643,warehouse_shipments!$Q:$Q,C643,warehouse_shipments!$R:$R,D643)</f>
        <v>36</v>
      </c>
      <c r="H643" s="30">
        <f t="shared" si="1"/>
        <v>-276</v>
      </c>
      <c r="I643" s="65">
        <f t="shared" si="2"/>
        <v>0.1153846154</v>
      </c>
      <c r="J643" s="30" t="s">
        <v>5309</v>
      </c>
    </row>
    <row r="644" ht="15.75" customHeight="1">
      <c r="A644" s="18">
        <v>46082.0</v>
      </c>
      <c r="B644" s="17" t="s">
        <v>4020</v>
      </c>
      <c r="C644" s="17" t="s">
        <v>89</v>
      </c>
      <c r="D644" s="17" t="s">
        <v>156</v>
      </c>
      <c r="E644" s="21">
        <v>435.0</v>
      </c>
      <c r="F644" s="21">
        <f>SUMIFS(crm_orders!$J:$J,crm_orders!$B:$B,"&gt;="&amp;A644,crm_orders!$B:$B,"&lt;"&amp;DATE(YEAR(A644),MONTH(A644)+1,1),crm_orders!$E:$E,B644,crm_orders!$G:$G,C644,crm_orders!$H:$H,D644)</f>
        <v>60</v>
      </c>
      <c r="G644" s="21">
        <f>SUMIFS(warehouse_shipments!$H:$H,warehouse_shipments!$C:$C,"&gt;="&amp;A644,warehouse_shipments!$C:$C,"&lt;"&amp;DATE(YEAR(A644),MONTH(A644)+1,1),warehouse_shipments!$P:$P,B644,warehouse_shipments!$Q:$Q,C644,warehouse_shipments!$R:$R,D644)</f>
        <v>60</v>
      </c>
      <c r="H644" s="22">
        <f t="shared" si="1"/>
        <v>-375</v>
      </c>
      <c r="I644" s="64">
        <f t="shared" si="2"/>
        <v>0.1379310345</v>
      </c>
      <c r="J644" s="22" t="s">
        <v>5306</v>
      </c>
    </row>
    <row r="645" ht="15.75" customHeight="1">
      <c r="A645" s="26">
        <v>46082.0</v>
      </c>
      <c r="B645" s="25" t="s">
        <v>4020</v>
      </c>
      <c r="C645" s="25" t="s">
        <v>89</v>
      </c>
      <c r="D645" s="25" t="s">
        <v>95</v>
      </c>
      <c r="E645" s="29">
        <v>226.0</v>
      </c>
      <c r="F645" s="29">
        <f>SUMIFS(crm_orders!$J:$J,crm_orders!$B:$B,"&gt;="&amp;A645,crm_orders!$B:$B,"&lt;"&amp;DATE(YEAR(A645),MONTH(A645)+1,1),crm_orders!$E:$E,B645,crm_orders!$G:$G,C645,crm_orders!$H:$H,D645)</f>
        <v>0</v>
      </c>
      <c r="G645" s="29">
        <f>SUMIFS(warehouse_shipments!$H:$H,warehouse_shipments!$C:$C,"&gt;="&amp;A645,warehouse_shipments!$C:$C,"&lt;"&amp;DATE(YEAR(A645),MONTH(A645)+1,1),warehouse_shipments!$P:$P,B645,warehouse_shipments!$Q:$Q,C645,warehouse_shipments!$R:$R,D645)</f>
        <v>0</v>
      </c>
      <c r="H645" s="30">
        <f t="shared" si="1"/>
        <v>-226</v>
      </c>
      <c r="I645" s="65">
        <f t="shared" si="2"/>
        <v>0</v>
      </c>
      <c r="J645" s="30" t="s">
        <v>5306</v>
      </c>
    </row>
    <row r="646" ht="15.75" customHeight="1">
      <c r="A646" s="18">
        <v>46082.0</v>
      </c>
      <c r="B646" s="17" t="s">
        <v>4020</v>
      </c>
      <c r="C646" s="17" t="s">
        <v>89</v>
      </c>
      <c r="D646" s="17" t="s">
        <v>68</v>
      </c>
      <c r="E646" s="21">
        <v>242.0</v>
      </c>
      <c r="F646" s="21">
        <f>SUMIFS(crm_orders!$J:$J,crm_orders!$B:$B,"&gt;="&amp;A646,crm_orders!$B:$B,"&lt;"&amp;DATE(YEAR(A646),MONTH(A646)+1,1),crm_orders!$E:$E,B646,crm_orders!$G:$G,C646,crm_orders!$H:$H,D646)</f>
        <v>54</v>
      </c>
      <c r="G646" s="21">
        <f>SUMIFS(warehouse_shipments!$H:$H,warehouse_shipments!$C:$C,"&gt;="&amp;A646,warehouse_shipments!$C:$C,"&lt;"&amp;DATE(YEAR(A646),MONTH(A646)+1,1),warehouse_shipments!$P:$P,B646,warehouse_shipments!$Q:$Q,C646,warehouse_shipments!$R:$R,D646)</f>
        <v>54</v>
      </c>
      <c r="H646" s="22">
        <f t="shared" si="1"/>
        <v>-188</v>
      </c>
      <c r="I646" s="64">
        <f t="shared" si="2"/>
        <v>0.2231404959</v>
      </c>
      <c r="J646" s="22" t="s">
        <v>5310</v>
      </c>
    </row>
    <row r="647" ht="15.75" customHeight="1">
      <c r="A647" s="26">
        <v>46082.0</v>
      </c>
      <c r="B647" s="25" t="s">
        <v>4020</v>
      </c>
      <c r="C647" s="25" t="s">
        <v>89</v>
      </c>
      <c r="D647" s="25" t="s">
        <v>90</v>
      </c>
      <c r="E647" s="29">
        <v>312.0</v>
      </c>
      <c r="F647" s="29">
        <f>SUMIFS(crm_orders!$J:$J,crm_orders!$B:$B,"&gt;="&amp;A647,crm_orders!$B:$B,"&lt;"&amp;DATE(YEAR(A647),MONTH(A647)+1,1),crm_orders!$E:$E,B647,crm_orders!$G:$G,C647,crm_orders!$H:$H,D647)</f>
        <v>120</v>
      </c>
      <c r="G647" s="29">
        <f>SUMIFS(warehouse_shipments!$H:$H,warehouse_shipments!$C:$C,"&gt;="&amp;A647,warehouse_shipments!$C:$C,"&lt;"&amp;DATE(YEAR(A647),MONTH(A647)+1,1),warehouse_shipments!$P:$P,B647,warehouse_shipments!$Q:$Q,C647,warehouse_shipments!$R:$R,D647)</f>
        <v>96</v>
      </c>
      <c r="H647" s="30">
        <f t="shared" si="1"/>
        <v>-192</v>
      </c>
      <c r="I647" s="65">
        <f t="shared" si="2"/>
        <v>0.3846153846</v>
      </c>
      <c r="J647" s="30" t="s">
        <v>5307</v>
      </c>
    </row>
    <row r="648" ht="15.75" customHeight="1">
      <c r="A648" s="18">
        <v>46082.0</v>
      </c>
      <c r="B648" s="17" t="s">
        <v>4020</v>
      </c>
      <c r="C648" s="17" t="s">
        <v>89</v>
      </c>
      <c r="D648" s="17" t="s">
        <v>85</v>
      </c>
      <c r="E648" s="21">
        <v>340.0</v>
      </c>
      <c r="F648" s="21">
        <f>SUMIFS(crm_orders!$J:$J,crm_orders!$B:$B,"&gt;="&amp;A648,crm_orders!$B:$B,"&lt;"&amp;DATE(YEAR(A648),MONTH(A648)+1,1),crm_orders!$E:$E,B648,crm_orders!$G:$G,C648,crm_orders!$H:$H,D648)</f>
        <v>0</v>
      </c>
      <c r="G648" s="21">
        <f>SUMIFS(warehouse_shipments!$H:$H,warehouse_shipments!$C:$C,"&gt;="&amp;A648,warehouse_shipments!$C:$C,"&lt;"&amp;DATE(YEAR(A648),MONTH(A648)+1,1),warehouse_shipments!$P:$P,B648,warehouse_shipments!$Q:$Q,C648,warehouse_shipments!$R:$R,D648)</f>
        <v>0</v>
      </c>
      <c r="H648" s="22">
        <f t="shared" si="1"/>
        <v>-340</v>
      </c>
      <c r="I648" s="64">
        <f t="shared" si="2"/>
        <v>0</v>
      </c>
      <c r="J648" s="22" t="s">
        <v>5311</v>
      </c>
    </row>
    <row r="649" ht="15.75" customHeight="1">
      <c r="A649" s="26">
        <v>46082.0</v>
      </c>
      <c r="B649" s="25" t="s">
        <v>4020</v>
      </c>
      <c r="C649" s="25" t="s">
        <v>89</v>
      </c>
      <c r="D649" s="25" t="s">
        <v>154</v>
      </c>
      <c r="E649" s="29">
        <v>261.0</v>
      </c>
      <c r="F649" s="29">
        <f>SUMIFS(crm_orders!$J:$J,crm_orders!$B:$B,"&gt;="&amp;A649,crm_orders!$B:$B,"&lt;"&amp;DATE(YEAR(A649),MONTH(A649)+1,1),crm_orders!$E:$E,B649,crm_orders!$G:$G,C649,crm_orders!$H:$H,D649)</f>
        <v>0</v>
      </c>
      <c r="G649" s="29">
        <f>SUMIFS(warehouse_shipments!$H:$H,warehouse_shipments!$C:$C,"&gt;="&amp;A649,warehouse_shipments!$C:$C,"&lt;"&amp;DATE(YEAR(A649),MONTH(A649)+1,1),warehouse_shipments!$P:$P,B649,warehouse_shipments!$Q:$Q,C649,warehouse_shipments!$R:$R,D649)</f>
        <v>0</v>
      </c>
      <c r="H649" s="30">
        <f t="shared" si="1"/>
        <v>-261</v>
      </c>
      <c r="I649" s="65">
        <f t="shared" si="2"/>
        <v>0</v>
      </c>
      <c r="J649" s="30" t="s">
        <v>5310</v>
      </c>
    </row>
    <row r="650" ht="15.75" customHeight="1">
      <c r="A650" s="18">
        <v>46082.0</v>
      </c>
      <c r="B650" s="17" t="s">
        <v>4097</v>
      </c>
      <c r="C650" s="17" t="s">
        <v>63</v>
      </c>
      <c r="D650" s="17" t="s">
        <v>64</v>
      </c>
      <c r="E650" s="21">
        <v>365.0</v>
      </c>
      <c r="F650" s="21">
        <f>SUMIFS(crm_orders!$J:$J,crm_orders!$B:$B,"&gt;="&amp;A650,crm_orders!$B:$B,"&lt;"&amp;DATE(YEAR(A650),MONTH(A650)+1,1),crm_orders!$E:$E,B650,crm_orders!$G:$G,C650,crm_orders!$H:$H,D650)</f>
        <v>12</v>
      </c>
      <c r="G650" s="21">
        <f>SUMIFS(warehouse_shipments!$H:$H,warehouse_shipments!$C:$C,"&gt;="&amp;A650,warehouse_shipments!$C:$C,"&lt;"&amp;DATE(YEAR(A650),MONTH(A650)+1,1),warehouse_shipments!$P:$P,B650,warehouse_shipments!$Q:$Q,C650,warehouse_shipments!$R:$R,D650)</f>
        <v>132</v>
      </c>
      <c r="H650" s="22">
        <f t="shared" si="1"/>
        <v>-353</v>
      </c>
      <c r="I650" s="64">
        <f t="shared" si="2"/>
        <v>0.03287671233</v>
      </c>
      <c r="J650" s="22" t="s">
        <v>5307</v>
      </c>
    </row>
    <row r="651" ht="15.75" customHeight="1">
      <c r="A651" s="26">
        <v>46082.0</v>
      </c>
      <c r="B651" s="25" t="s">
        <v>4097</v>
      </c>
      <c r="C651" s="25" t="s">
        <v>63</v>
      </c>
      <c r="D651" s="25" t="s">
        <v>162</v>
      </c>
      <c r="E651" s="29">
        <v>146.0</v>
      </c>
      <c r="F651" s="29">
        <f>SUMIFS(crm_orders!$J:$J,crm_orders!$B:$B,"&gt;="&amp;A651,crm_orders!$B:$B,"&lt;"&amp;DATE(YEAR(A651),MONTH(A651)+1,1),crm_orders!$E:$E,B651,crm_orders!$G:$G,C651,crm_orders!$H:$H,D651)</f>
        <v>0</v>
      </c>
      <c r="G651" s="29">
        <f>SUMIFS(warehouse_shipments!$H:$H,warehouse_shipments!$C:$C,"&gt;="&amp;A651,warehouse_shipments!$C:$C,"&lt;"&amp;DATE(YEAR(A651),MONTH(A651)+1,1),warehouse_shipments!$P:$P,B651,warehouse_shipments!$Q:$Q,C651,warehouse_shipments!$R:$R,D651)</f>
        <v>0</v>
      </c>
      <c r="H651" s="30">
        <f t="shared" si="1"/>
        <v>-146</v>
      </c>
      <c r="I651" s="65">
        <f t="shared" si="2"/>
        <v>0</v>
      </c>
      <c r="J651" s="30" t="s">
        <v>5311</v>
      </c>
    </row>
    <row r="652" ht="15.75" customHeight="1">
      <c r="A652" s="18">
        <v>46082.0</v>
      </c>
      <c r="B652" s="17" t="s">
        <v>4097</v>
      </c>
      <c r="C652" s="17" t="s">
        <v>63</v>
      </c>
      <c r="D652" s="17" t="s">
        <v>102</v>
      </c>
      <c r="E652" s="21">
        <v>144.0</v>
      </c>
      <c r="F652" s="21">
        <f>SUMIFS(crm_orders!$J:$J,crm_orders!$B:$B,"&gt;="&amp;A652,crm_orders!$B:$B,"&lt;"&amp;DATE(YEAR(A652),MONTH(A652)+1,1),crm_orders!$E:$E,B652,crm_orders!$G:$G,C652,crm_orders!$H:$H,D652)</f>
        <v>96</v>
      </c>
      <c r="G652" s="21">
        <f>SUMIFS(warehouse_shipments!$H:$H,warehouse_shipments!$C:$C,"&gt;="&amp;A652,warehouse_shipments!$C:$C,"&lt;"&amp;DATE(YEAR(A652),MONTH(A652)+1,1),warehouse_shipments!$P:$P,B652,warehouse_shipments!$Q:$Q,C652,warehouse_shipments!$R:$R,D652)</f>
        <v>96</v>
      </c>
      <c r="H652" s="22">
        <f t="shared" si="1"/>
        <v>-48</v>
      </c>
      <c r="I652" s="64">
        <f t="shared" si="2"/>
        <v>0.6666666667</v>
      </c>
      <c r="J652" s="22" t="s">
        <v>5308</v>
      </c>
    </row>
    <row r="653" ht="15.75" customHeight="1">
      <c r="A653" s="26">
        <v>46082.0</v>
      </c>
      <c r="B653" s="25" t="s">
        <v>4097</v>
      </c>
      <c r="C653" s="25" t="s">
        <v>63</v>
      </c>
      <c r="D653" s="25" t="s">
        <v>123</v>
      </c>
      <c r="E653" s="29">
        <v>83.0</v>
      </c>
      <c r="F653" s="29">
        <f>SUMIFS(crm_orders!$J:$J,crm_orders!$B:$B,"&gt;="&amp;A653,crm_orders!$B:$B,"&lt;"&amp;DATE(YEAR(A653),MONTH(A653)+1,1),crm_orders!$E:$E,B653,crm_orders!$G:$G,C653,crm_orders!$H:$H,D653)</f>
        <v>72</v>
      </c>
      <c r="G653" s="29">
        <f>SUMIFS(warehouse_shipments!$H:$H,warehouse_shipments!$C:$C,"&gt;="&amp;A653,warehouse_shipments!$C:$C,"&lt;"&amp;DATE(YEAR(A653),MONTH(A653)+1,1),warehouse_shipments!$P:$P,B653,warehouse_shipments!$Q:$Q,C653,warehouse_shipments!$R:$R,D653)</f>
        <v>48</v>
      </c>
      <c r="H653" s="30">
        <f t="shared" si="1"/>
        <v>-11</v>
      </c>
      <c r="I653" s="65">
        <f t="shared" si="2"/>
        <v>0.8674698795</v>
      </c>
      <c r="J653" s="30" t="s">
        <v>5307</v>
      </c>
    </row>
    <row r="654" ht="15.75" customHeight="1">
      <c r="A654" s="18">
        <v>46082.0</v>
      </c>
      <c r="B654" s="17" t="s">
        <v>4097</v>
      </c>
      <c r="C654" s="17" t="s">
        <v>63</v>
      </c>
      <c r="D654" s="17" t="s">
        <v>154</v>
      </c>
      <c r="E654" s="21">
        <v>400.0</v>
      </c>
      <c r="F654" s="21">
        <f>SUMIFS(crm_orders!$J:$J,crm_orders!$B:$B,"&gt;="&amp;A654,crm_orders!$B:$B,"&lt;"&amp;DATE(YEAR(A654),MONTH(A654)+1,1),crm_orders!$E:$E,B654,crm_orders!$G:$G,C654,crm_orders!$H:$H,D654)</f>
        <v>18</v>
      </c>
      <c r="G654" s="21">
        <f>SUMIFS(warehouse_shipments!$H:$H,warehouse_shipments!$C:$C,"&gt;="&amp;A654,warehouse_shipments!$C:$C,"&lt;"&amp;DATE(YEAR(A654),MONTH(A654)+1,1),warehouse_shipments!$P:$P,B654,warehouse_shipments!$Q:$Q,C654,warehouse_shipments!$R:$R,D654)</f>
        <v>18</v>
      </c>
      <c r="H654" s="22">
        <f t="shared" si="1"/>
        <v>-382</v>
      </c>
      <c r="I654" s="64">
        <f t="shared" si="2"/>
        <v>0.045</v>
      </c>
      <c r="J654" s="22" t="s">
        <v>5307</v>
      </c>
    </row>
    <row r="655" ht="15.75" customHeight="1">
      <c r="A655" s="26">
        <v>46082.0</v>
      </c>
      <c r="B655" s="25" t="s">
        <v>4097</v>
      </c>
      <c r="C655" s="25" t="s">
        <v>63</v>
      </c>
      <c r="D655" s="25" t="s">
        <v>115</v>
      </c>
      <c r="E655" s="29">
        <v>240.0</v>
      </c>
      <c r="F655" s="29">
        <f>SUMIFS(crm_orders!$J:$J,crm_orders!$B:$B,"&gt;="&amp;A655,crm_orders!$B:$B,"&lt;"&amp;DATE(YEAR(A655),MONTH(A655)+1,1),crm_orders!$E:$E,B655,crm_orders!$G:$G,C655,crm_orders!$H:$H,D655)</f>
        <v>0</v>
      </c>
      <c r="G655" s="29">
        <f>SUMIFS(warehouse_shipments!$H:$H,warehouse_shipments!$C:$C,"&gt;="&amp;A655,warehouse_shipments!$C:$C,"&lt;"&amp;DATE(YEAR(A655),MONTH(A655)+1,1),warehouse_shipments!$P:$P,B655,warehouse_shipments!$Q:$Q,C655,warehouse_shipments!$R:$R,D655)</f>
        <v>0</v>
      </c>
      <c r="H655" s="30">
        <f t="shared" si="1"/>
        <v>-240</v>
      </c>
      <c r="I655" s="65">
        <f t="shared" si="2"/>
        <v>0</v>
      </c>
      <c r="J655" s="30" t="s">
        <v>5309</v>
      </c>
    </row>
    <row r="656" ht="15.75" customHeight="1">
      <c r="A656" s="18">
        <v>46082.0</v>
      </c>
      <c r="B656" s="17" t="s">
        <v>4097</v>
      </c>
      <c r="C656" s="17" t="s">
        <v>63</v>
      </c>
      <c r="D656" s="17" t="s">
        <v>106</v>
      </c>
      <c r="E656" s="21">
        <v>99.0</v>
      </c>
      <c r="F656" s="21">
        <f>SUMIFS(crm_orders!$J:$J,crm_orders!$B:$B,"&gt;="&amp;A656,crm_orders!$B:$B,"&lt;"&amp;DATE(YEAR(A656),MONTH(A656)+1,1),crm_orders!$E:$E,B656,crm_orders!$G:$G,C656,crm_orders!$H:$H,D656)</f>
        <v>6</v>
      </c>
      <c r="G656" s="21">
        <f>SUMIFS(warehouse_shipments!$H:$H,warehouse_shipments!$C:$C,"&gt;="&amp;A656,warehouse_shipments!$C:$C,"&lt;"&amp;DATE(YEAR(A656),MONTH(A656)+1,1),warehouse_shipments!$P:$P,B656,warehouse_shipments!$Q:$Q,C656,warehouse_shipments!$R:$R,D656)</f>
        <v>6</v>
      </c>
      <c r="H656" s="22">
        <f t="shared" si="1"/>
        <v>-93</v>
      </c>
      <c r="I656" s="64">
        <f t="shared" si="2"/>
        <v>0.06060606061</v>
      </c>
      <c r="J656" s="22" t="s">
        <v>5306</v>
      </c>
    </row>
    <row r="657" ht="15.75" customHeight="1">
      <c r="A657" s="26">
        <v>46082.0</v>
      </c>
      <c r="B657" s="25" t="s">
        <v>4097</v>
      </c>
      <c r="C657" s="25" t="s">
        <v>63</v>
      </c>
      <c r="D657" s="25" t="s">
        <v>81</v>
      </c>
      <c r="E657" s="29">
        <v>373.0</v>
      </c>
      <c r="F657" s="29">
        <f>SUMIFS(crm_orders!$J:$J,crm_orders!$B:$B,"&gt;="&amp;A657,crm_orders!$B:$B,"&lt;"&amp;DATE(YEAR(A657),MONTH(A657)+1,1),crm_orders!$E:$E,B657,crm_orders!$G:$G,C657,crm_orders!$H:$H,D657)</f>
        <v>0</v>
      </c>
      <c r="G657" s="29">
        <f>SUMIFS(warehouse_shipments!$H:$H,warehouse_shipments!$C:$C,"&gt;="&amp;A657,warehouse_shipments!$C:$C,"&lt;"&amp;DATE(YEAR(A657),MONTH(A657)+1,1),warehouse_shipments!$P:$P,B657,warehouse_shipments!$Q:$Q,C657,warehouse_shipments!$R:$R,D657)</f>
        <v>0</v>
      </c>
      <c r="H657" s="30">
        <f t="shared" si="1"/>
        <v>-373</v>
      </c>
      <c r="I657" s="65">
        <f t="shared" si="2"/>
        <v>0</v>
      </c>
      <c r="J657" s="30" t="s">
        <v>5307</v>
      </c>
    </row>
    <row r="658" ht="15.75" customHeight="1">
      <c r="A658" s="18">
        <v>46082.0</v>
      </c>
      <c r="B658" s="17" t="s">
        <v>4097</v>
      </c>
      <c r="C658" s="17" t="s">
        <v>67</v>
      </c>
      <c r="D658" s="17" t="s">
        <v>90</v>
      </c>
      <c r="E658" s="21">
        <v>479.0</v>
      </c>
      <c r="F658" s="21">
        <f>SUMIFS(crm_orders!$J:$J,crm_orders!$B:$B,"&gt;="&amp;A658,crm_orders!$B:$B,"&lt;"&amp;DATE(YEAR(A658),MONTH(A658)+1,1),crm_orders!$E:$E,B658,crm_orders!$G:$G,C658,crm_orders!$H:$H,D658)</f>
        <v>0</v>
      </c>
      <c r="G658" s="21">
        <f>SUMIFS(warehouse_shipments!$H:$H,warehouse_shipments!$C:$C,"&gt;="&amp;A658,warehouse_shipments!$C:$C,"&lt;"&amp;DATE(YEAR(A658),MONTH(A658)+1,1),warehouse_shipments!$P:$P,B658,warehouse_shipments!$Q:$Q,C658,warehouse_shipments!$R:$R,D658)</f>
        <v>0</v>
      </c>
      <c r="H658" s="22">
        <f t="shared" si="1"/>
        <v>-479</v>
      </c>
      <c r="I658" s="64">
        <f t="shared" si="2"/>
        <v>0</v>
      </c>
      <c r="J658" s="22" t="s">
        <v>5310</v>
      </c>
    </row>
    <row r="659" ht="15.75" customHeight="1">
      <c r="A659" s="26">
        <v>46082.0</v>
      </c>
      <c r="B659" s="25" t="s">
        <v>4097</v>
      </c>
      <c r="C659" s="25" t="s">
        <v>67</v>
      </c>
      <c r="D659" s="25" t="s">
        <v>154</v>
      </c>
      <c r="E659" s="29">
        <v>341.0</v>
      </c>
      <c r="F659" s="29">
        <f>SUMIFS(crm_orders!$J:$J,crm_orders!$B:$B,"&gt;="&amp;A659,crm_orders!$B:$B,"&lt;"&amp;DATE(YEAR(A659),MONTH(A659)+1,1),crm_orders!$E:$E,B659,crm_orders!$G:$G,C659,crm_orders!$H:$H,D659)</f>
        <v>0</v>
      </c>
      <c r="G659" s="29">
        <f>SUMIFS(warehouse_shipments!$H:$H,warehouse_shipments!$C:$C,"&gt;="&amp;A659,warehouse_shipments!$C:$C,"&lt;"&amp;DATE(YEAR(A659),MONTH(A659)+1,1),warehouse_shipments!$P:$P,B659,warehouse_shipments!$Q:$Q,C659,warehouse_shipments!$R:$R,D659)</f>
        <v>0</v>
      </c>
      <c r="H659" s="30">
        <f t="shared" si="1"/>
        <v>-341</v>
      </c>
      <c r="I659" s="65">
        <f t="shared" si="2"/>
        <v>0</v>
      </c>
      <c r="J659" s="30" t="s">
        <v>5306</v>
      </c>
    </row>
    <row r="660" ht="15.75" customHeight="1">
      <c r="A660" s="18">
        <v>46082.0</v>
      </c>
      <c r="B660" s="17" t="s">
        <v>4097</v>
      </c>
      <c r="C660" s="17" t="s">
        <v>67</v>
      </c>
      <c r="D660" s="17" t="s">
        <v>71</v>
      </c>
      <c r="E660" s="21">
        <v>91.0</v>
      </c>
      <c r="F660" s="21">
        <f>SUMIFS(crm_orders!$J:$J,crm_orders!$B:$B,"&gt;="&amp;A660,crm_orders!$B:$B,"&lt;"&amp;DATE(YEAR(A660),MONTH(A660)+1,1),crm_orders!$E:$E,B660,crm_orders!$G:$G,C660,crm_orders!$H:$H,D660)</f>
        <v>12</v>
      </c>
      <c r="G660" s="21">
        <f>SUMIFS(warehouse_shipments!$H:$H,warehouse_shipments!$C:$C,"&gt;="&amp;A660,warehouse_shipments!$C:$C,"&lt;"&amp;DATE(YEAR(A660),MONTH(A660)+1,1),warehouse_shipments!$P:$P,B660,warehouse_shipments!$Q:$Q,C660,warehouse_shipments!$R:$R,D660)</f>
        <v>0</v>
      </c>
      <c r="H660" s="22">
        <f t="shared" si="1"/>
        <v>-79</v>
      </c>
      <c r="I660" s="64">
        <f t="shared" si="2"/>
        <v>0.1318681319</v>
      </c>
      <c r="J660" s="22" t="s">
        <v>5311</v>
      </c>
    </row>
    <row r="661" ht="15.75" customHeight="1">
      <c r="A661" s="26">
        <v>46082.0</v>
      </c>
      <c r="B661" s="25" t="s">
        <v>4097</v>
      </c>
      <c r="C661" s="25" t="s">
        <v>67</v>
      </c>
      <c r="D661" s="25" t="s">
        <v>85</v>
      </c>
      <c r="E661" s="29">
        <v>360.0</v>
      </c>
      <c r="F661" s="29">
        <f>SUMIFS(crm_orders!$J:$J,crm_orders!$B:$B,"&gt;="&amp;A661,crm_orders!$B:$B,"&lt;"&amp;DATE(YEAR(A661),MONTH(A661)+1,1),crm_orders!$E:$E,B661,crm_orders!$G:$G,C661,crm_orders!$H:$H,D661)</f>
        <v>0</v>
      </c>
      <c r="G661" s="29">
        <f>SUMIFS(warehouse_shipments!$H:$H,warehouse_shipments!$C:$C,"&gt;="&amp;A661,warehouse_shipments!$C:$C,"&lt;"&amp;DATE(YEAR(A661),MONTH(A661)+1,1),warehouse_shipments!$P:$P,B661,warehouse_shipments!$Q:$Q,C661,warehouse_shipments!$R:$R,D661)</f>
        <v>0</v>
      </c>
      <c r="H661" s="30">
        <f t="shared" si="1"/>
        <v>-360</v>
      </c>
      <c r="I661" s="65">
        <f t="shared" si="2"/>
        <v>0</v>
      </c>
      <c r="J661" s="30" t="s">
        <v>5308</v>
      </c>
    </row>
    <row r="662" ht="15.75" customHeight="1">
      <c r="A662" s="18">
        <v>46082.0</v>
      </c>
      <c r="B662" s="17" t="s">
        <v>4097</v>
      </c>
      <c r="C662" s="17" t="s">
        <v>67</v>
      </c>
      <c r="D662" s="17" t="s">
        <v>68</v>
      </c>
      <c r="E662" s="21">
        <v>212.0</v>
      </c>
      <c r="F662" s="21">
        <f>SUMIFS(crm_orders!$J:$J,crm_orders!$B:$B,"&gt;="&amp;A662,crm_orders!$B:$B,"&lt;"&amp;DATE(YEAR(A662),MONTH(A662)+1,1),crm_orders!$E:$E,B662,crm_orders!$G:$G,C662,crm_orders!$H:$H,D662)</f>
        <v>0</v>
      </c>
      <c r="G662" s="21">
        <f>SUMIFS(warehouse_shipments!$H:$H,warehouse_shipments!$C:$C,"&gt;="&amp;A662,warehouse_shipments!$C:$C,"&lt;"&amp;DATE(YEAR(A662),MONTH(A662)+1,1),warehouse_shipments!$P:$P,B662,warehouse_shipments!$Q:$Q,C662,warehouse_shipments!$R:$R,D662)</f>
        <v>0</v>
      </c>
      <c r="H662" s="22">
        <f t="shared" si="1"/>
        <v>-212</v>
      </c>
      <c r="I662" s="64">
        <f t="shared" si="2"/>
        <v>0</v>
      </c>
      <c r="J662" s="22" t="s">
        <v>5309</v>
      </c>
    </row>
    <row r="663" ht="15.75" customHeight="1">
      <c r="A663" s="26">
        <v>46082.0</v>
      </c>
      <c r="B663" s="25" t="s">
        <v>4097</v>
      </c>
      <c r="C663" s="25" t="s">
        <v>67</v>
      </c>
      <c r="D663" s="25" t="s">
        <v>81</v>
      </c>
      <c r="E663" s="29">
        <v>391.0</v>
      </c>
      <c r="F663" s="29">
        <f>SUMIFS(crm_orders!$J:$J,crm_orders!$B:$B,"&gt;="&amp;A663,crm_orders!$B:$B,"&lt;"&amp;DATE(YEAR(A663),MONTH(A663)+1,1),crm_orders!$E:$E,B663,crm_orders!$G:$G,C663,crm_orders!$H:$H,D663)</f>
        <v>0</v>
      </c>
      <c r="G663" s="29">
        <f>SUMIFS(warehouse_shipments!$H:$H,warehouse_shipments!$C:$C,"&gt;="&amp;A663,warehouse_shipments!$C:$C,"&lt;"&amp;DATE(YEAR(A663),MONTH(A663)+1,1),warehouse_shipments!$P:$P,B663,warehouse_shipments!$Q:$Q,C663,warehouse_shipments!$R:$R,D663)</f>
        <v>0</v>
      </c>
      <c r="H663" s="30">
        <f t="shared" si="1"/>
        <v>-391</v>
      </c>
      <c r="I663" s="65">
        <f t="shared" si="2"/>
        <v>0</v>
      </c>
      <c r="J663" s="30" t="s">
        <v>5307</v>
      </c>
    </row>
    <row r="664" ht="15.75" customHeight="1">
      <c r="A664" s="18">
        <v>46082.0</v>
      </c>
      <c r="B664" s="17" t="s">
        <v>4097</v>
      </c>
      <c r="C664" s="17" t="s">
        <v>67</v>
      </c>
      <c r="D664" s="17" t="s">
        <v>102</v>
      </c>
      <c r="E664" s="21">
        <v>453.0</v>
      </c>
      <c r="F664" s="21">
        <f>SUMIFS(crm_orders!$J:$J,crm_orders!$B:$B,"&gt;="&amp;A664,crm_orders!$B:$B,"&lt;"&amp;DATE(YEAR(A664),MONTH(A664)+1,1),crm_orders!$E:$E,B664,crm_orders!$G:$G,C664,crm_orders!$H:$H,D664)</f>
        <v>72</v>
      </c>
      <c r="G664" s="21">
        <f>SUMIFS(warehouse_shipments!$H:$H,warehouse_shipments!$C:$C,"&gt;="&amp;A664,warehouse_shipments!$C:$C,"&lt;"&amp;DATE(YEAR(A664),MONTH(A664)+1,1),warehouse_shipments!$P:$P,B664,warehouse_shipments!$Q:$Q,C664,warehouse_shipments!$R:$R,D664)</f>
        <v>0</v>
      </c>
      <c r="H664" s="22">
        <f t="shared" si="1"/>
        <v>-381</v>
      </c>
      <c r="I664" s="64">
        <f t="shared" si="2"/>
        <v>0.1589403974</v>
      </c>
      <c r="J664" s="22" t="s">
        <v>5309</v>
      </c>
    </row>
    <row r="665" ht="15.75" customHeight="1">
      <c r="A665" s="26">
        <v>46082.0</v>
      </c>
      <c r="B665" s="25" t="s">
        <v>4097</v>
      </c>
      <c r="C665" s="25" t="s">
        <v>67</v>
      </c>
      <c r="D665" s="25" t="s">
        <v>106</v>
      </c>
      <c r="E665" s="29">
        <v>314.0</v>
      </c>
      <c r="F665" s="29">
        <f>SUMIFS(crm_orders!$J:$J,crm_orders!$B:$B,"&gt;="&amp;A665,crm_orders!$B:$B,"&lt;"&amp;DATE(YEAR(A665),MONTH(A665)+1,1),crm_orders!$E:$E,B665,crm_orders!$G:$G,C665,crm_orders!$H:$H,D665)</f>
        <v>96</v>
      </c>
      <c r="G665" s="29">
        <f>SUMIFS(warehouse_shipments!$H:$H,warehouse_shipments!$C:$C,"&gt;="&amp;A665,warehouse_shipments!$C:$C,"&lt;"&amp;DATE(YEAR(A665),MONTH(A665)+1,1),warehouse_shipments!$P:$P,B665,warehouse_shipments!$Q:$Q,C665,warehouse_shipments!$R:$R,D665)</f>
        <v>216</v>
      </c>
      <c r="H665" s="30">
        <f t="shared" si="1"/>
        <v>-218</v>
      </c>
      <c r="I665" s="65">
        <f t="shared" si="2"/>
        <v>0.3057324841</v>
      </c>
      <c r="J665" s="30" t="s">
        <v>5309</v>
      </c>
    </row>
    <row r="666" ht="15.75" customHeight="1">
      <c r="A666" s="18">
        <v>46082.0</v>
      </c>
      <c r="B666" s="17" t="s">
        <v>4097</v>
      </c>
      <c r="C666" s="17" t="s">
        <v>89</v>
      </c>
      <c r="D666" s="17" t="s">
        <v>115</v>
      </c>
      <c r="E666" s="21">
        <v>445.0</v>
      </c>
      <c r="F666" s="21">
        <f>SUMIFS(crm_orders!$J:$J,crm_orders!$B:$B,"&gt;="&amp;A666,crm_orders!$B:$B,"&lt;"&amp;DATE(YEAR(A666),MONTH(A666)+1,1),crm_orders!$E:$E,B666,crm_orders!$G:$G,C666,crm_orders!$H:$H,D666)</f>
        <v>0</v>
      </c>
      <c r="G666" s="21">
        <f>SUMIFS(warehouse_shipments!$H:$H,warehouse_shipments!$C:$C,"&gt;="&amp;A666,warehouse_shipments!$C:$C,"&lt;"&amp;DATE(YEAR(A666),MONTH(A666)+1,1),warehouse_shipments!$P:$P,B666,warehouse_shipments!$Q:$Q,C666,warehouse_shipments!$R:$R,D666)</f>
        <v>0</v>
      </c>
      <c r="H666" s="22">
        <f t="shared" si="1"/>
        <v>-445</v>
      </c>
      <c r="I666" s="64">
        <f t="shared" si="2"/>
        <v>0</v>
      </c>
      <c r="J666" s="22" t="s">
        <v>5308</v>
      </c>
    </row>
    <row r="667" ht="15.75" customHeight="1">
      <c r="A667" s="26">
        <v>46082.0</v>
      </c>
      <c r="B667" s="25" t="s">
        <v>4097</v>
      </c>
      <c r="C667" s="25" t="s">
        <v>89</v>
      </c>
      <c r="D667" s="25" t="s">
        <v>154</v>
      </c>
      <c r="E667" s="29">
        <v>403.0</v>
      </c>
      <c r="F667" s="29">
        <f>SUMIFS(crm_orders!$J:$J,crm_orders!$B:$B,"&gt;="&amp;A667,crm_orders!$B:$B,"&lt;"&amp;DATE(YEAR(A667),MONTH(A667)+1,1),crm_orders!$E:$E,B667,crm_orders!$G:$G,C667,crm_orders!$H:$H,D667)</f>
        <v>96</v>
      </c>
      <c r="G667" s="29">
        <f>SUMIFS(warehouse_shipments!$H:$H,warehouse_shipments!$C:$C,"&gt;="&amp;A667,warehouse_shipments!$C:$C,"&lt;"&amp;DATE(YEAR(A667),MONTH(A667)+1,1),warehouse_shipments!$P:$P,B667,warehouse_shipments!$Q:$Q,C667,warehouse_shipments!$R:$R,D667)</f>
        <v>96</v>
      </c>
      <c r="H667" s="30">
        <f t="shared" si="1"/>
        <v>-307</v>
      </c>
      <c r="I667" s="65">
        <f t="shared" si="2"/>
        <v>0.2382133995</v>
      </c>
      <c r="J667" s="30" t="s">
        <v>5310</v>
      </c>
    </row>
    <row r="668" ht="15.75" customHeight="1">
      <c r="A668" s="18">
        <v>46082.0</v>
      </c>
      <c r="B668" s="17" t="s">
        <v>4097</v>
      </c>
      <c r="C668" s="17" t="s">
        <v>89</v>
      </c>
      <c r="D668" s="17" t="s">
        <v>68</v>
      </c>
      <c r="E668" s="21">
        <v>406.0</v>
      </c>
      <c r="F668" s="21">
        <f>SUMIFS(crm_orders!$J:$J,crm_orders!$B:$B,"&gt;="&amp;A668,crm_orders!$B:$B,"&lt;"&amp;DATE(YEAR(A668),MONTH(A668)+1,1),crm_orders!$E:$E,B668,crm_orders!$G:$G,C668,crm_orders!$H:$H,D668)</f>
        <v>0</v>
      </c>
      <c r="G668" s="21">
        <f>SUMIFS(warehouse_shipments!$H:$H,warehouse_shipments!$C:$C,"&gt;="&amp;A668,warehouse_shipments!$C:$C,"&lt;"&amp;DATE(YEAR(A668),MONTH(A668)+1,1),warehouse_shipments!$P:$P,B668,warehouse_shipments!$Q:$Q,C668,warehouse_shipments!$R:$R,D668)</f>
        <v>0</v>
      </c>
      <c r="H668" s="22">
        <f t="shared" si="1"/>
        <v>-406</v>
      </c>
      <c r="I668" s="64">
        <f t="shared" si="2"/>
        <v>0</v>
      </c>
      <c r="J668" s="22" t="s">
        <v>5309</v>
      </c>
    </row>
    <row r="669" ht="15.75" customHeight="1">
      <c r="A669" s="26">
        <v>46082.0</v>
      </c>
      <c r="B669" s="25" t="s">
        <v>4097</v>
      </c>
      <c r="C669" s="25" t="s">
        <v>89</v>
      </c>
      <c r="D669" s="25" t="s">
        <v>78</v>
      </c>
      <c r="E669" s="29">
        <v>505.0</v>
      </c>
      <c r="F669" s="29">
        <f>SUMIFS(crm_orders!$J:$J,crm_orders!$B:$B,"&gt;="&amp;A669,crm_orders!$B:$B,"&lt;"&amp;DATE(YEAR(A669),MONTH(A669)+1,1),crm_orders!$E:$E,B669,crm_orders!$G:$G,C669,crm_orders!$H:$H,D669)</f>
        <v>24</v>
      </c>
      <c r="G669" s="29">
        <f>SUMIFS(warehouse_shipments!$H:$H,warehouse_shipments!$C:$C,"&gt;="&amp;A669,warehouse_shipments!$C:$C,"&lt;"&amp;DATE(YEAR(A669),MONTH(A669)+1,1),warehouse_shipments!$P:$P,B669,warehouse_shipments!$Q:$Q,C669,warehouse_shipments!$R:$R,D669)</f>
        <v>24</v>
      </c>
      <c r="H669" s="30">
        <f t="shared" si="1"/>
        <v>-481</v>
      </c>
      <c r="I669" s="65">
        <f t="shared" si="2"/>
        <v>0.04752475248</v>
      </c>
      <c r="J669" s="30" t="s">
        <v>5307</v>
      </c>
    </row>
    <row r="670" ht="15.75" customHeight="1">
      <c r="A670" s="18">
        <v>46082.0</v>
      </c>
      <c r="B670" s="17" t="s">
        <v>4097</v>
      </c>
      <c r="C670" s="17" t="s">
        <v>89</v>
      </c>
      <c r="D670" s="17" t="s">
        <v>162</v>
      </c>
      <c r="E670" s="21">
        <v>137.0</v>
      </c>
      <c r="F670" s="21">
        <f>SUMIFS(crm_orders!$J:$J,crm_orders!$B:$B,"&gt;="&amp;A670,crm_orders!$B:$B,"&lt;"&amp;DATE(YEAR(A670),MONTH(A670)+1,1),crm_orders!$E:$E,B670,crm_orders!$G:$G,C670,crm_orders!$H:$H,D670)</f>
        <v>0</v>
      </c>
      <c r="G670" s="21">
        <f>SUMIFS(warehouse_shipments!$H:$H,warehouse_shipments!$C:$C,"&gt;="&amp;A670,warehouse_shipments!$C:$C,"&lt;"&amp;DATE(YEAR(A670),MONTH(A670)+1,1),warehouse_shipments!$P:$P,B670,warehouse_shipments!$Q:$Q,C670,warehouse_shipments!$R:$R,D670)</f>
        <v>0</v>
      </c>
      <c r="H670" s="22">
        <f t="shared" si="1"/>
        <v>-137</v>
      </c>
      <c r="I670" s="64">
        <f t="shared" si="2"/>
        <v>0</v>
      </c>
      <c r="J670" s="22" t="s">
        <v>5307</v>
      </c>
    </row>
    <row r="671" ht="15.75" customHeight="1">
      <c r="A671" s="26">
        <v>46082.0</v>
      </c>
      <c r="B671" s="25" t="s">
        <v>4097</v>
      </c>
      <c r="C671" s="25" t="s">
        <v>89</v>
      </c>
      <c r="D671" s="25" t="s">
        <v>95</v>
      </c>
      <c r="E671" s="29">
        <v>383.0</v>
      </c>
      <c r="F671" s="29">
        <f>SUMIFS(crm_orders!$J:$J,crm_orders!$B:$B,"&gt;="&amp;A671,crm_orders!$B:$B,"&lt;"&amp;DATE(YEAR(A671),MONTH(A671)+1,1),crm_orders!$E:$E,B671,crm_orders!$G:$G,C671,crm_orders!$H:$H,D671)</f>
        <v>0</v>
      </c>
      <c r="G671" s="29">
        <f>SUMIFS(warehouse_shipments!$H:$H,warehouse_shipments!$C:$C,"&gt;="&amp;A671,warehouse_shipments!$C:$C,"&lt;"&amp;DATE(YEAR(A671),MONTH(A671)+1,1),warehouse_shipments!$P:$P,B671,warehouse_shipments!$Q:$Q,C671,warehouse_shipments!$R:$R,D671)</f>
        <v>0</v>
      </c>
      <c r="H671" s="30">
        <f t="shared" si="1"/>
        <v>-383</v>
      </c>
      <c r="I671" s="65">
        <f t="shared" si="2"/>
        <v>0</v>
      </c>
      <c r="J671" s="30" t="s">
        <v>5306</v>
      </c>
    </row>
    <row r="672" ht="15.75" customHeight="1">
      <c r="A672" s="18">
        <v>46082.0</v>
      </c>
      <c r="B672" s="17" t="s">
        <v>4097</v>
      </c>
      <c r="C672" s="17" t="s">
        <v>89</v>
      </c>
      <c r="D672" s="17" t="s">
        <v>81</v>
      </c>
      <c r="E672" s="21">
        <v>431.0</v>
      </c>
      <c r="F672" s="21">
        <f>SUMIFS(crm_orders!$J:$J,crm_orders!$B:$B,"&gt;="&amp;A672,crm_orders!$B:$B,"&lt;"&amp;DATE(YEAR(A672),MONTH(A672)+1,1),crm_orders!$E:$E,B672,crm_orders!$G:$G,C672,crm_orders!$H:$H,D672)</f>
        <v>0</v>
      </c>
      <c r="G672" s="21">
        <f>SUMIFS(warehouse_shipments!$H:$H,warehouse_shipments!$C:$C,"&gt;="&amp;A672,warehouse_shipments!$C:$C,"&lt;"&amp;DATE(YEAR(A672),MONTH(A672)+1,1),warehouse_shipments!$P:$P,B672,warehouse_shipments!$Q:$Q,C672,warehouse_shipments!$R:$R,D672)</f>
        <v>0</v>
      </c>
      <c r="H672" s="22">
        <f t="shared" si="1"/>
        <v>-431</v>
      </c>
      <c r="I672" s="64">
        <f t="shared" si="2"/>
        <v>0</v>
      </c>
      <c r="J672" s="22" t="s">
        <v>5311</v>
      </c>
    </row>
    <row r="673" ht="15.75" customHeight="1">
      <c r="A673" s="26">
        <v>46082.0</v>
      </c>
      <c r="B673" s="25" t="s">
        <v>4097</v>
      </c>
      <c r="C673" s="25" t="s">
        <v>89</v>
      </c>
      <c r="D673" s="25" t="s">
        <v>64</v>
      </c>
      <c r="E673" s="29">
        <v>99.0</v>
      </c>
      <c r="F673" s="29">
        <f>SUMIFS(crm_orders!$J:$J,crm_orders!$B:$B,"&gt;="&amp;A673,crm_orders!$B:$B,"&lt;"&amp;DATE(YEAR(A673),MONTH(A673)+1,1),crm_orders!$E:$E,B673,crm_orders!$G:$G,C673,crm_orders!$H:$H,D673)</f>
        <v>0</v>
      </c>
      <c r="G673" s="29">
        <f>SUMIFS(warehouse_shipments!$H:$H,warehouse_shipments!$C:$C,"&gt;="&amp;A673,warehouse_shipments!$C:$C,"&lt;"&amp;DATE(YEAR(A673),MONTH(A673)+1,1),warehouse_shipments!$P:$P,B673,warehouse_shipments!$Q:$Q,C673,warehouse_shipments!$R:$R,D673)</f>
        <v>0</v>
      </c>
      <c r="H673" s="30">
        <f t="shared" si="1"/>
        <v>-99</v>
      </c>
      <c r="I673" s="65">
        <f t="shared" si="2"/>
        <v>0</v>
      </c>
      <c r="J673" s="30" t="s">
        <v>5308</v>
      </c>
    </row>
    <row r="674" ht="15.75" customHeight="1">
      <c r="A674" s="18">
        <v>46082.0</v>
      </c>
      <c r="B674" s="17" t="s">
        <v>4186</v>
      </c>
      <c r="C674" s="17" t="s">
        <v>63</v>
      </c>
      <c r="D674" s="17" t="s">
        <v>85</v>
      </c>
      <c r="E674" s="21">
        <v>177.0</v>
      </c>
      <c r="F674" s="21">
        <f>SUMIFS(crm_orders!$J:$J,crm_orders!$B:$B,"&gt;="&amp;A674,crm_orders!$B:$B,"&lt;"&amp;DATE(YEAR(A674),MONTH(A674)+1,1),crm_orders!$E:$E,B674,crm_orders!$G:$G,C674,crm_orders!$H:$H,D674)</f>
        <v>0</v>
      </c>
      <c r="G674" s="21">
        <f>SUMIFS(warehouse_shipments!$H:$H,warehouse_shipments!$C:$C,"&gt;="&amp;A674,warehouse_shipments!$C:$C,"&lt;"&amp;DATE(YEAR(A674),MONTH(A674)+1,1),warehouse_shipments!$P:$P,B674,warehouse_shipments!$Q:$Q,C674,warehouse_shipments!$R:$R,D674)</f>
        <v>0</v>
      </c>
      <c r="H674" s="22">
        <f t="shared" si="1"/>
        <v>-177</v>
      </c>
      <c r="I674" s="64">
        <f t="shared" si="2"/>
        <v>0</v>
      </c>
      <c r="J674" s="22" t="s">
        <v>5311</v>
      </c>
    </row>
    <row r="675" ht="15.75" customHeight="1">
      <c r="A675" s="26">
        <v>46082.0</v>
      </c>
      <c r="B675" s="25" t="s">
        <v>4186</v>
      </c>
      <c r="C675" s="25" t="s">
        <v>63</v>
      </c>
      <c r="D675" s="25" t="s">
        <v>110</v>
      </c>
      <c r="E675" s="29">
        <v>163.0</v>
      </c>
      <c r="F675" s="29">
        <f>SUMIFS(crm_orders!$J:$J,crm_orders!$B:$B,"&gt;="&amp;A675,crm_orders!$B:$B,"&lt;"&amp;DATE(YEAR(A675),MONTH(A675)+1,1),crm_orders!$E:$E,B675,crm_orders!$G:$G,C675,crm_orders!$H:$H,D675)</f>
        <v>216</v>
      </c>
      <c r="G675" s="29">
        <f>SUMIFS(warehouse_shipments!$H:$H,warehouse_shipments!$C:$C,"&gt;="&amp;A675,warehouse_shipments!$C:$C,"&lt;"&amp;DATE(YEAR(A675),MONTH(A675)+1,1),warehouse_shipments!$P:$P,B675,warehouse_shipments!$Q:$Q,C675,warehouse_shipments!$R:$R,D675)</f>
        <v>216</v>
      </c>
      <c r="H675" s="30">
        <f t="shared" si="1"/>
        <v>53</v>
      </c>
      <c r="I675" s="65">
        <f t="shared" si="2"/>
        <v>0.6748466258</v>
      </c>
      <c r="J675" s="30" t="s">
        <v>5311</v>
      </c>
    </row>
    <row r="676" ht="15.75" customHeight="1">
      <c r="A676" s="18">
        <v>46082.0</v>
      </c>
      <c r="B676" s="17" t="s">
        <v>4186</v>
      </c>
      <c r="C676" s="17" t="s">
        <v>63</v>
      </c>
      <c r="D676" s="17" t="s">
        <v>154</v>
      </c>
      <c r="E676" s="21">
        <v>259.0</v>
      </c>
      <c r="F676" s="21">
        <f>SUMIFS(crm_orders!$J:$J,crm_orders!$B:$B,"&gt;="&amp;A676,crm_orders!$B:$B,"&lt;"&amp;DATE(YEAR(A676),MONTH(A676)+1,1),crm_orders!$E:$E,B676,crm_orders!$G:$G,C676,crm_orders!$H:$H,D676)</f>
        <v>0</v>
      </c>
      <c r="G676" s="21">
        <f>SUMIFS(warehouse_shipments!$H:$H,warehouse_shipments!$C:$C,"&gt;="&amp;A676,warehouse_shipments!$C:$C,"&lt;"&amp;DATE(YEAR(A676),MONTH(A676)+1,1),warehouse_shipments!$P:$P,B676,warehouse_shipments!$Q:$Q,C676,warehouse_shipments!$R:$R,D676)</f>
        <v>0</v>
      </c>
      <c r="H676" s="22">
        <f t="shared" si="1"/>
        <v>-259</v>
      </c>
      <c r="I676" s="64">
        <f t="shared" si="2"/>
        <v>0</v>
      </c>
      <c r="J676" s="22" t="s">
        <v>5311</v>
      </c>
    </row>
    <row r="677" ht="15.75" customHeight="1">
      <c r="A677" s="26">
        <v>46082.0</v>
      </c>
      <c r="B677" s="25" t="s">
        <v>4186</v>
      </c>
      <c r="C677" s="25" t="s">
        <v>63</v>
      </c>
      <c r="D677" s="25" t="s">
        <v>106</v>
      </c>
      <c r="E677" s="29">
        <v>104.0</v>
      </c>
      <c r="F677" s="29">
        <f>SUMIFS(crm_orders!$J:$J,crm_orders!$B:$B,"&gt;="&amp;A677,crm_orders!$B:$B,"&lt;"&amp;DATE(YEAR(A677),MONTH(A677)+1,1),crm_orders!$E:$E,B677,crm_orders!$G:$G,C677,crm_orders!$H:$H,D677)</f>
        <v>0</v>
      </c>
      <c r="G677" s="29">
        <f>SUMIFS(warehouse_shipments!$H:$H,warehouse_shipments!$C:$C,"&gt;="&amp;A677,warehouse_shipments!$C:$C,"&lt;"&amp;DATE(YEAR(A677),MONTH(A677)+1,1),warehouse_shipments!$P:$P,B677,warehouse_shipments!$Q:$Q,C677,warehouse_shipments!$R:$R,D677)</f>
        <v>0</v>
      </c>
      <c r="H677" s="30">
        <f t="shared" si="1"/>
        <v>-104</v>
      </c>
      <c r="I677" s="65">
        <f t="shared" si="2"/>
        <v>0</v>
      </c>
      <c r="J677" s="30" t="s">
        <v>5306</v>
      </c>
    </row>
    <row r="678" ht="15.75" customHeight="1">
      <c r="A678" s="18">
        <v>46082.0</v>
      </c>
      <c r="B678" s="17" t="s">
        <v>4186</v>
      </c>
      <c r="C678" s="17" t="s">
        <v>63</v>
      </c>
      <c r="D678" s="17" t="s">
        <v>156</v>
      </c>
      <c r="E678" s="21">
        <v>400.0</v>
      </c>
      <c r="F678" s="21">
        <f>SUMIFS(crm_orders!$J:$J,crm_orders!$B:$B,"&gt;="&amp;A678,crm_orders!$B:$B,"&lt;"&amp;DATE(YEAR(A678),MONTH(A678)+1,1),crm_orders!$E:$E,B678,crm_orders!$G:$G,C678,crm_orders!$H:$H,D678)</f>
        <v>0</v>
      </c>
      <c r="G678" s="21">
        <f>SUMIFS(warehouse_shipments!$H:$H,warehouse_shipments!$C:$C,"&gt;="&amp;A678,warehouse_shipments!$C:$C,"&lt;"&amp;DATE(YEAR(A678),MONTH(A678)+1,1),warehouse_shipments!$P:$P,B678,warehouse_shipments!$Q:$Q,C678,warehouse_shipments!$R:$R,D678)</f>
        <v>0</v>
      </c>
      <c r="H678" s="22">
        <f t="shared" si="1"/>
        <v>-400</v>
      </c>
      <c r="I678" s="64">
        <f t="shared" si="2"/>
        <v>0</v>
      </c>
      <c r="J678" s="22" t="s">
        <v>5306</v>
      </c>
    </row>
    <row r="679" ht="15.75" customHeight="1">
      <c r="A679" s="26">
        <v>46082.0</v>
      </c>
      <c r="B679" s="25" t="s">
        <v>4186</v>
      </c>
      <c r="C679" s="25" t="s">
        <v>63</v>
      </c>
      <c r="D679" s="25" t="s">
        <v>71</v>
      </c>
      <c r="E679" s="29">
        <v>482.0</v>
      </c>
      <c r="F679" s="29">
        <f>SUMIFS(crm_orders!$J:$J,crm_orders!$B:$B,"&gt;="&amp;A679,crm_orders!$B:$B,"&lt;"&amp;DATE(YEAR(A679),MONTH(A679)+1,1),crm_orders!$E:$E,B679,crm_orders!$G:$G,C679,crm_orders!$H:$H,D679)</f>
        <v>0</v>
      </c>
      <c r="G679" s="29">
        <f>SUMIFS(warehouse_shipments!$H:$H,warehouse_shipments!$C:$C,"&gt;="&amp;A679,warehouse_shipments!$C:$C,"&lt;"&amp;DATE(YEAR(A679),MONTH(A679)+1,1),warehouse_shipments!$P:$P,B679,warehouse_shipments!$Q:$Q,C679,warehouse_shipments!$R:$R,D679)</f>
        <v>0</v>
      </c>
      <c r="H679" s="30">
        <f t="shared" si="1"/>
        <v>-482</v>
      </c>
      <c r="I679" s="65">
        <f t="shared" si="2"/>
        <v>0</v>
      </c>
      <c r="J679" s="30" t="s">
        <v>5311</v>
      </c>
    </row>
    <row r="680" ht="15.75" customHeight="1">
      <c r="A680" s="18">
        <v>46082.0</v>
      </c>
      <c r="B680" s="17" t="s">
        <v>4186</v>
      </c>
      <c r="C680" s="17" t="s">
        <v>63</v>
      </c>
      <c r="D680" s="17" t="s">
        <v>102</v>
      </c>
      <c r="E680" s="21">
        <v>278.0</v>
      </c>
      <c r="F680" s="21">
        <f>SUMIFS(crm_orders!$J:$J,crm_orders!$B:$B,"&gt;="&amp;A680,crm_orders!$B:$B,"&lt;"&amp;DATE(YEAR(A680),MONTH(A680)+1,1),crm_orders!$E:$E,B680,crm_orders!$G:$G,C680,crm_orders!$H:$H,D680)</f>
        <v>168</v>
      </c>
      <c r="G680" s="21">
        <f>SUMIFS(warehouse_shipments!$H:$H,warehouse_shipments!$C:$C,"&gt;="&amp;A680,warehouse_shipments!$C:$C,"&lt;"&amp;DATE(YEAR(A680),MONTH(A680)+1,1),warehouse_shipments!$P:$P,B680,warehouse_shipments!$Q:$Q,C680,warehouse_shipments!$R:$R,D680)</f>
        <v>120</v>
      </c>
      <c r="H680" s="22">
        <f t="shared" si="1"/>
        <v>-110</v>
      </c>
      <c r="I680" s="64">
        <f t="shared" si="2"/>
        <v>0.6043165468</v>
      </c>
      <c r="J680" s="22" t="s">
        <v>5308</v>
      </c>
    </row>
    <row r="681" ht="15.75" customHeight="1">
      <c r="A681" s="26">
        <v>46082.0</v>
      </c>
      <c r="B681" s="25" t="s">
        <v>4186</v>
      </c>
      <c r="C681" s="25" t="s">
        <v>63</v>
      </c>
      <c r="D681" s="25" t="s">
        <v>108</v>
      </c>
      <c r="E681" s="29">
        <v>312.0</v>
      </c>
      <c r="F681" s="29">
        <f>SUMIFS(crm_orders!$J:$J,crm_orders!$B:$B,"&gt;="&amp;A681,crm_orders!$B:$B,"&lt;"&amp;DATE(YEAR(A681),MONTH(A681)+1,1),crm_orders!$E:$E,B681,crm_orders!$G:$G,C681,crm_orders!$H:$H,D681)</f>
        <v>0</v>
      </c>
      <c r="G681" s="29">
        <f>SUMIFS(warehouse_shipments!$H:$H,warehouse_shipments!$C:$C,"&gt;="&amp;A681,warehouse_shipments!$C:$C,"&lt;"&amp;DATE(YEAR(A681),MONTH(A681)+1,1),warehouse_shipments!$P:$P,B681,warehouse_shipments!$Q:$Q,C681,warehouse_shipments!$R:$R,D681)</f>
        <v>0</v>
      </c>
      <c r="H681" s="30">
        <f t="shared" si="1"/>
        <v>-312</v>
      </c>
      <c r="I681" s="65">
        <f t="shared" si="2"/>
        <v>0</v>
      </c>
      <c r="J681" s="30" t="s">
        <v>5307</v>
      </c>
    </row>
    <row r="682" ht="15.75" customHeight="1">
      <c r="A682" s="18">
        <v>46082.0</v>
      </c>
      <c r="B682" s="17" t="s">
        <v>4186</v>
      </c>
      <c r="C682" s="17" t="s">
        <v>67</v>
      </c>
      <c r="D682" s="17" t="s">
        <v>68</v>
      </c>
      <c r="E682" s="21">
        <v>240.0</v>
      </c>
      <c r="F682" s="21">
        <f>SUMIFS(crm_orders!$J:$J,crm_orders!$B:$B,"&gt;="&amp;A682,crm_orders!$B:$B,"&lt;"&amp;DATE(YEAR(A682),MONTH(A682)+1,1),crm_orders!$E:$E,B682,crm_orders!$G:$G,C682,crm_orders!$H:$H,D682)</f>
        <v>0</v>
      </c>
      <c r="G682" s="21">
        <f>SUMIFS(warehouse_shipments!$H:$H,warehouse_shipments!$C:$C,"&gt;="&amp;A682,warehouse_shipments!$C:$C,"&lt;"&amp;DATE(YEAR(A682),MONTH(A682)+1,1),warehouse_shipments!$P:$P,B682,warehouse_shipments!$Q:$Q,C682,warehouse_shipments!$R:$R,D682)</f>
        <v>0</v>
      </c>
      <c r="H682" s="22">
        <f t="shared" si="1"/>
        <v>-240</v>
      </c>
      <c r="I682" s="64">
        <f t="shared" si="2"/>
        <v>0</v>
      </c>
      <c r="J682" s="22" t="s">
        <v>5308</v>
      </c>
    </row>
    <row r="683" ht="15.75" customHeight="1">
      <c r="A683" s="26">
        <v>46082.0</v>
      </c>
      <c r="B683" s="25" t="s">
        <v>4186</v>
      </c>
      <c r="C683" s="25" t="s">
        <v>67</v>
      </c>
      <c r="D683" s="25" t="s">
        <v>154</v>
      </c>
      <c r="E683" s="29">
        <v>348.0</v>
      </c>
      <c r="F683" s="29">
        <f>SUMIFS(crm_orders!$J:$J,crm_orders!$B:$B,"&gt;="&amp;A683,crm_orders!$B:$B,"&lt;"&amp;DATE(YEAR(A683),MONTH(A683)+1,1),crm_orders!$E:$E,B683,crm_orders!$G:$G,C683,crm_orders!$H:$H,D683)</f>
        <v>0</v>
      </c>
      <c r="G683" s="29">
        <f>SUMIFS(warehouse_shipments!$H:$H,warehouse_shipments!$C:$C,"&gt;="&amp;A683,warehouse_shipments!$C:$C,"&lt;"&amp;DATE(YEAR(A683),MONTH(A683)+1,1),warehouse_shipments!$P:$P,B683,warehouse_shipments!$Q:$Q,C683,warehouse_shipments!$R:$R,D683)</f>
        <v>0</v>
      </c>
      <c r="H683" s="30">
        <f t="shared" si="1"/>
        <v>-348</v>
      </c>
      <c r="I683" s="65">
        <f t="shared" si="2"/>
        <v>0</v>
      </c>
      <c r="J683" s="30" t="s">
        <v>5309</v>
      </c>
    </row>
    <row r="684" ht="15.75" customHeight="1">
      <c r="A684" s="18">
        <v>46082.0</v>
      </c>
      <c r="B684" s="17" t="s">
        <v>4186</v>
      </c>
      <c r="C684" s="17" t="s">
        <v>67</v>
      </c>
      <c r="D684" s="17" t="s">
        <v>102</v>
      </c>
      <c r="E684" s="21">
        <v>95.0</v>
      </c>
      <c r="F684" s="21">
        <f>SUMIFS(crm_orders!$J:$J,crm_orders!$B:$B,"&gt;="&amp;A684,crm_orders!$B:$B,"&lt;"&amp;DATE(YEAR(A684),MONTH(A684)+1,1),crm_orders!$E:$E,B684,crm_orders!$G:$G,C684,crm_orders!$H:$H,D684)</f>
        <v>96</v>
      </c>
      <c r="G684" s="21">
        <f>SUMIFS(warehouse_shipments!$H:$H,warehouse_shipments!$C:$C,"&gt;="&amp;A684,warehouse_shipments!$C:$C,"&lt;"&amp;DATE(YEAR(A684),MONTH(A684)+1,1),warehouse_shipments!$P:$P,B684,warehouse_shipments!$Q:$Q,C684,warehouse_shipments!$R:$R,D684)</f>
        <v>96</v>
      </c>
      <c r="H684" s="22">
        <f t="shared" si="1"/>
        <v>1</v>
      </c>
      <c r="I684" s="64">
        <f t="shared" si="2"/>
        <v>0.9894736842</v>
      </c>
      <c r="J684" s="22" t="s">
        <v>5307</v>
      </c>
    </row>
    <row r="685" ht="15.75" customHeight="1">
      <c r="A685" s="26">
        <v>46082.0</v>
      </c>
      <c r="B685" s="25" t="s">
        <v>4186</v>
      </c>
      <c r="C685" s="25" t="s">
        <v>67</v>
      </c>
      <c r="D685" s="25" t="s">
        <v>95</v>
      </c>
      <c r="E685" s="29">
        <v>474.0</v>
      </c>
      <c r="F685" s="29">
        <f>SUMIFS(crm_orders!$J:$J,crm_orders!$B:$B,"&gt;="&amp;A685,crm_orders!$B:$B,"&lt;"&amp;DATE(YEAR(A685),MONTH(A685)+1,1),crm_orders!$E:$E,B685,crm_orders!$G:$G,C685,crm_orders!$H:$H,D685)</f>
        <v>0</v>
      </c>
      <c r="G685" s="29">
        <f>SUMIFS(warehouse_shipments!$H:$H,warehouse_shipments!$C:$C,"&gt;="&amp;A685,warehouse_shipments!$C:$C,"&lt;"&amp;DATE(YEAR(A685),MONTH(A685)+1,1),warehouse_shipments!$P:$P,B685,warehouse_shipments!$Q:$Q,C685,warehouse_shipments!$R:$R,D685)</f>
        <v>0</v>
      </c>
      <c r="H685" s="30">
        <f t="shared" si="1"/>
        <v>-474</v>
      </c>
      <c r="I685" s="65">
        <f t="shared" si="2"/>
        <v>0</v>
      </c>
      <c r="J685" s="30" t="s">
        <v>5308</v>
      </c>
    </row>
    <row r="686" ht="15.75" customHeight="1">
      <c r="A686" s="18">
        <v>46082.0</v>
      </c>
      <c r="B686" s="17" t="s">
        <v>4186</v>
      </c>
      <c r="C686" s="17" t="s">
        <v>67</v>
      </c>
      <c r="D686" s="17" t="s">
        <v>162</v>
      </c>
      <c r="E686" s="21">
        <v>106.0</v>
      </c>
      <c r="F686" s="21">
        <f>SUMIFS(crm_orders!$J:$J,crm_orders!$B:$B,"&gt;="&amp;A686,crm_orders!$B:$B,"&lt;"&amp;DATE(YEAR(A686),MONTH(A686)+1,1),crm_orders!$E:$E,B686,crm_orders!$G:$G,C686,crm_orders!$H:$H,D686)</f>
        <v>120</v>
      </c>
      <c r="G686" s="21">
        <f>SUMIFS(warehouse_shipments!$H:$H,warehouse_shipments!$C:$C,"&gt;="&amp;A686,warehouse_shipments!$C:$C,"&lt;"&amp;DATE(YEAR(A686),MONTH(A686)+1,1),warehouse_shipments!$P:$P,B686,warehouse_shipments!$Q:$Q,C686,warehouse_shipments!$R:$R,D686)</f>
        <v>0</v>
      </c>
      <c r="H686" s="22">
        <f t="shared" si="1"/>
        <v>14</v>
      </c>
      <c r="I686" s="64">
        <f t="shared" si="2"/>
        <v>0.8679245283</v>
      </c>
      <c r="J686" s="22" t="s">
        <v>5311</v>
      </c>
    </row>
    <row r="687" ht="15.75" customHeight="1">
      <c r="A687" s="26">
        <v>46082.0</v>
      </c>
      <c r="B687" s="25" t="s">
        <v>4186</v>
      </c>
      <c r="C687" s="25" t="s">
        <v>67</v>
      </c>
      <c r="D687" s="25" t="s">
        <v>74</v>
      </c>
      <c r="E687" s="29">
        <v>514.0</v>
      </c>
      <c r="F687" s="29">
        <f>SUMIFS(crm_orders!$J:$J,crm_orders!$B:$B,"&gt;="&amp;A687,crm_orders!$B:$B,"&lt;"&amp;DATE(YEAR(A687),MONTH(A687)+1,1),crm_orders!$E:$E,B687,crm_orders!$G:$G,C687,crm_orders!$H:$H,D687)</f>
        <v>0</v>
      </c>
      <c r="G687" s="29">
        <f>SUMIFS(warehouse_shipments!$H:$H,warehouse_shipments!$C:$C,"&gt;="&amp;A687,warehouse_shipments!$C:$C,"&lt;"&amp;DATE(YEAR(A687),MONTH(A687)+1,1),warehouse_shipments!$P:$P,B687,warehouse_shipments!$Q:$Q,C687,warehouse_shipments!$R:$R,D687)</f>
        <v>0</v>
      </c>
      <c r="H687" s="30">
        <f t="shared" si="1"/>
        <v>-514</v>
      </c>
      <c r="I687" s="65">
        <f t="shared" si="2"/>
        <v>0</v>
      </c>
      <c r="J687" s="30" t="s">
        <v>5307</v>
      </c>
    </row>
    <row r="688" ht="15.75" customHeight="1">
      <c r="A688" s="18">
        <v>46082.0</v>
      </c>
      <c r="B688" s="17" t="s">
        <v>4186</v>
      </c>
      <c r="C688" s="17" t="s">
        <v>67</v>
      </c>
      <c r="D688" s="17" t="s">
        <v>108</v>
      </c>
      <c r="E688" s="21">
        <v>379.0</v>
      </c>
      <c r="F688" s="21">
        <f>SUMIFS(crm_orders!$J:$J,crm_orders!$B:$B,"&gt;="&amp;A688,crm_orders!$B:$B,"&lt;"&amp;DATE(YEAR(A688),MONTH(A688)+1,1),crm_orders!$E:$E,B688,crm_orders!$G:$G,C688,crm_orders!$H:$H,D688)</f>
        <v>0</v>
      </c>
      <c r="G688" s="21">
        <f>SUMIFS(warehouse_shipments!$H:$H,warehouse_shipments!$C:$C,"&gt;="&amp;A688,warehouse_shipments!$C:$C,"&lt;"&amp;DATE(YEAR(A688),MONTH(A688)+1,1),warehouse_shipments!$P:$P,B688,warehouse_shipments!$Q:$Q,C688,warehouse_shipments!$R:$R,D688)</f>
        <v>0</v>
      </c>
      <c r="H688" s="22">
        <f t="shared" si="1"/>
        <v>-379</v>
      </c>
      <c r="I688" s="64">
        <f t="shared" si="2"/>
        <v>0</v>
      </c>
      <c r="J688" s="22" t="s">
        <v>5309</v>
      </c>
    </row>
    <row r="689" ht="15.75" customHeight="1">
      <c r="A689" s="26">
        <v>46082.0</v>
      </c>
      <c r="B689" s="25" t="s">
        <v>4186</v>
      </c>
      <c r="C689" s="25" t="s">
        <v>67</v>
      </c>
      <c r="D689" s="25" t="s">
        <v>85</v>
      </c>
      <c r="E689" s="29">
        <v>170.0</v>
      </c>
      <c r="F689" s="29">
        <f>SUMIFS(crm_orders!$J:$J,crm_orders!$B:$B,"&gt;="&amp;A689,crm_orders!$B:$B,"&lt;"&amp;DATE(YEAR(A689),MONTH(A689)+1,1),crm_orders!$E:$E,B689,crm_orders!$G:$G,C689,crm_orders!$H:$H,D689)</f>
        <v>0</v>
      </c>
      <c r="G689" s="29">
        <f>SUMIFS(warehouse_shipments!$H:$H,warehouse_shipments!$C:$C,"&gt;="&amp;A689,warehouse_shipments!$C:$C,"&lt;"&amp;DATE(YEAR(A689),MONTH(A689)+1,1),warehouse_shipments!$P:$P,B689,warehouse_shipments!$Q:$Q,C689,warehouse_shipments!$R:$R,D689)</f>
        <v>0</v>
      </c>
      <c r="H689" s="30">
        <f t="shared" si="1"/>
        <v>-170</v>
      </c>
      <c r="I689" s="65">
        <f t="shared" si="2"/>
        <v>0</v>
      </c>
      <c r="J689" s="30" t="s">
        <v>5311</v>
      </c>
    </row>
    <row r="690" ht="15.75" customHeight="1">
      <c r="A690" s="18">
        <v>46082.0</v>
      </c>
      <c r="B690" s="17" t="s">
        <v>4186</v>
      </c>
      <c r="C690" s="17" t="s">
        <v>89</v>
      </c>
      <c r="D690" s="17" t="s">
        <v>68</v>
      </c>
      <c r="E690" s="21">
        <v>85.0</v>
      </c>
      <c r="F690" s="21">
        <f>SUMIFS(crm_orders!$J:$J,crm_orders!$B:$B,"&gt;="&amp;A690,crm_orders!$B:$B,"&lt;"&amp;DATE(YEAR(A690),MONTH(A690)+1,1),crm_orders!$E:$E,B690,crm_orders!$G:$G,C690,crm_orders!$H:$H,D690)</f>
        <v>36</v>
      </c>
      <c r="G690" s="21">
        <f>SUMIFS(warehouse_shipments!$H:$H,warehouse_shipments!$C:$C,"&gt;="&amp;A690,warehouse_shipments!$C:$C,"&lt;"&amp;DATE(YEAR(A690),MONTH(A690)+1,1),warehouse_shipments!$P:$P,B690,warehouse_shipments!$Q:$Q,C690,warehouse_shipments!$R:$R,D690)</f>
        <v>0</v>
      </c>
      <c r="H690" s="22">
        <f t="shared" si="1"/>
        <v>-49</v>
      </c>
      <c r="I690" s="64">
        <f t="shared" si="2"/>
        <v>0.4235294118</v>
      </c>
      <c r="J690" s="22" t="s">
        <v>5309</v>
      </c>
    </row>
    <row r="691" ht="15.75" customHeight="1">
      <c r="A691" s="26">
        <v>46082.0</v>
      </c>
      <c r="B691" s="25" t="s">
        <v>4186</v>
      </c>
      <c r="C691" s="25" t="s">
        <v>89</v>
      </c>
      <c r="D691" s="25" t="s">
        <v>74</v>
      </c>
      <c r="E691" s="29">
        <v>195.0</v>
      </c>
      <c r="F691" s="29">
        <f>SUMIFS(crm_orders!$J:$J,crm_orders!$B:$B,"&gt;="&amp;A691,crm_orders!$B:$B,"&lt;"&amp;DATE(YEAR(A691),MONTH(A691)+1,1),crm_orders!$E:$E,B691,crm_orders!$G:$G,C691,crm_orders!$H:$H,D691)</f>
        <v>0</v>
      </c>
      <c r="G691" s="29">
        <f>SUMIFS(warehouse_shipments!$H:$H,warehouse_shipments!$C:$C,"&gt;="&amp;A691,warehouse_shipments!$C:$C,"&lt;"&amp;DATE(YEAR(A691),MONTH(A691)+1,1),warehouse_shipments!$P:$P,B691,warehouse_shipments!$Q:$Q,C691,warehouse_shipments!$R:$R,D691)</f>
        <v>0</v>
      </c>
      <c r="H691" s="30">
        <f t="shared" si="1"/>
        <v>-195</v>
      </c>
      <c r="I691" s="65">
        <f t="shared" si="2"/>
        <v>0</v>
      </c>
      <c r="J691" s="30" t="s">
        <v>5309</v>
      </c>
    </row>
    <row r="692" ht="15.75" customHeight="1">
      <c r="A692" s="18">
        <v>46082.0</v>
      </c>
      <c r="B692" s="17" t="s">
        <v>4186</v>
      </c>
      <c r="C692" s="17" t="s">
        <v>89</v>
      </c>
      <c r="D692" s="17" t="s">
        <v>115</v>
      </c>
      <c r="E692" s="21">
        <v>349.0</v>
      </c>
      <c r="F692" s="21">
        <f>SUMIFS(crm_orders!$J:$J,crm_orders!$B:$B,"&gt;="&amp;A692,crm_orders!$B:$B,"&lt;"&amp;DATE(YEAR(A692),MONTH(A692)+1,1),crm_orders!$E:$E,B692,crm_orders!$G:$G,C692,crm_orders!$H:$H,D692)</f>
        <v>0</v>
      </c>
      <c r="G692" s="21">
        <f>SUMIFS(warehouse_shipments!$H:$H,warehouse_shipments!$C:$C,"&gt;="&amp;A692,warehouse_shipments!$C:$C,"&lt;"&amp;DATE(YEAR(A692),MONTH(A692)+1,1),warehouse_shipments!$P:$P,B692,warehouse_shipments!$Q:$Q,C692,warehouse_shipments!$R:$R,D692)</f>
        <v>0</v>
      </c>
      <c r="H692" s="22">
        <f t="shared" si="1"/>
        <v>-349</v>
      </c>
      <c r="I692" s="64">
        <f t="shared" si="2"/>
        <v>0</v>
      </c>
      <c r="J692" s="22" t="s">
        <v>5307</v>
      </c>
    </row>
    <row r="693" ht="15.75" customHeight="1">
      <c r="A693" s="26">
        <v>46082.0</v>
      </c>
      <c r="B693" s="25" t="s">
        <v>4186</v>
      </c>
      <c r="C693" s="25" t="s">
        <v>89</v>
      </c>
      <c r="D693" s="25" t="s">
        <v>108</v>
      </c>
      <c r="E693" s="29">
        <v>420.0</v>
      </c>
      <c r="F693" s="29">
        <f>SUMIFS(crm_orders!$J:$J,crm_orders!$B:$B,"&gt;="&amp;A693,crm_orders!$B:$B,"&lt;"&amp;DATE(YEAR(A693),MONTH(A693)+1,1),crm_orders!$E:$E,B693,crm_orders!$G:$G,C693,crm_orders!$H:$H,D693)</f>
        <v>132</v>
      </c>
      <c r="G693" s="29">
        <f>SUMIFS(warehouse_shipments!$H:$H,warehouse_shipments!$C:$C,"&gt;="&amp;A693,warehouse_shipments!$C:$C,"&lt;"&amp;DATE(YEAR(A693),MONTH(A693)+1,1),warehouse_shipments!$P:$P,B693,warehouse_shipments!$Q:$Q,C693,warehouse_shipments!$R:$R,D693)</f>
        <v>120</v>
      </c>
      <c r="H693" s="30">
        <f t="shared" si="1"/>
        <v>-288</v>
      </c>
      <c r="I693" s="65">
        <f t="shared" si="2"/>
        <v>0.3142857143</v>
      </c>
      <c r="J693" s="30" t="s">
        <v>5310</v>
      </c>
    </row>
    <row r="694" ht="15.75" customHeight="1">
      <c r="A694" s="18">
        <v>46082.0</v>
      </c>
      <c r="B694" s="17" t="s">
        <v>4186</v>
      </c>
      <c r="C694" s="17" t="s">
        <v>89</v>
      </c>
      <c r="D694" s="17" t="s">
        <v>95</v>
      </c>
      <c r="E694" s="21">
        <v>297.0</v>
      </c>
      <c r="F694" s="21">
        <f>SUMIFS(crm_orders!$J:$J,crm_orders!$B:$B,"&gt;="&amp;A694,crm_orders!$B:$B,"&lt;"&amp;DATE(YEAR(A694),MONTH(A694)+1,1),crm_orders!$E:$E,B694,crm_orders!$G:$G,C694,crm_orders!$H:$H,D694)</f>
        <v>0</v>
      </c>
      <c r="G694" s="21">
        <f>SUMIFS(warehouse_shipments!$H:$H,warehouse_shipments!$C:$C,"&gt;="&amp;A694,warehouse_shipments!$C:$C,"&lt;"&amp;DATE(YEAR(A694),MONTH(A694)+1,1),warehouse_shipments!$P:$P,B694,warehouse_shipments!$Q:$Q,C694,warehouse_shipments!$R:$R,D694)</f>
        <v>0</v>
      </c>
      <c r="H694" s="22">
        <f t="shared" si="1"/>
        <v>-297</v>
      </c>
      <c r="I694" s="64">
        <f t="shared" si="2"/>
        <v>0</v>
      </c>
      <c r="J694" s="22" t="s">
        <v>5311</v>
      </c>
    </row>
    <row r="695" ht="15.75" customHeight="1">
      <c r="A695" s="26">
        <v>46082.0</v>
      </c>
      <c r="B695" s="25" t="s">
        <v>4186</v>
      </c>
      <c r="C695" s="25" t="s">
        <v>89</v>
      </c>
      <c r="D695" s="25" t="s">
        <v>78</v>
      </c>
      <c r="E695" s="29">
        <v>476.0</v>
      </c>
      <c r="F695" s="29">
        <f>SUMIFS(crm_orders!$J:$J,crm_orders!$B:$B,"&gt;="&amp;A695,crm_orders!$B:$B,"&lt;"&amp;DATE(YEAR(A695),MONTH(A695)+1,1),crm_orders!$E:$E,B695,crm_orders!$G:$G,C695,crm_orders!$H:$H,D695)</f>
        <v>0</v>
      </c>
      <c r="G695" s="29">
        <f>SUMIFS(warehouse_shipments!$H:$H,warehouse_shipments!$C:$C,"&gt;="&amp;A695,warehouse_shipments!$C:$C,"&lt;"&amp;DATE(YEAR(A695),MONTH(A695)+1,1),warehouse_shipments!$P:$P,B695,warehouse_shipments!$Q:$Q,C695,warehouse_shipments!$R:$R,D695)</f>
        <v>0</v>
      </c>
      <c r="H695" s="30">
        <f t="shared" si="1"/>
        <v>-476</v>
      </c>
      <c r="I695" s="65">
        <f t="shared" si="2"/>
        <v>0</v>
      </c>
      <c r="J695" s="30" t="s">
        <v>5308</v>
      </c>
    </row>
    <row r="696" ht="15.75" customHeight="1">
      <c r="A696" s="18">
        <v>46082.0</v>
      </c>
      <c r="B696" s="17" t="s">
        <v>4186</v>
      </c>
      <c r="C696" s="17" t="s">
        <v>89</v>
      </c>
      <c r="D696" s="17" t="s">
        <v>154</v>
      </c>
      <c r="E696" s="21">
        <v>485.0</v>
      </c>
      <c r="F696" s="21">
        <f>SUMIFS(crm_orders!$J:$J,crm_orders!$B:$B,"&gt;="&amp;A696,crm_orders!$B:$B,"&lt;"&amp;DATE(YEAR(A696),MONTH(A696)+1,1),crm_orders!$E:$E,B696,crm_orders!$G:$G,C696,crm_orders!$H:$H,D696)</f>
        <v>0</v>
      </c>
      <c r="G696" s="21">
        <f>SUMIFS(warehouse_shipments!$H:$H,warehouse_shipments!$C:$C,"&gt;="&amp;A696,warehouse_shipments!$C:$C,"&lt;"&amp;DATE(YEAR(A696),MONTH(A696)+1,1),warehouse_shipments!$P:$P,B696,warehouse_shipments!$Q:$Q,C696,warehouse_shipments!$R:$R,D696)</f>
        <v>0</v>
      </c>
      <c r="H696" s="22">
        <f t="shared" si="1"/>
        <v>-485</v>
      </c>
      <c r="I696" s="64">
        <f t="shared" si="2"/>
        <v>0</v>
      </c>
      <c r="J696" s="22" t="s">
        <v>5306</v>
      </c>
    </row>
    <row r="697" ht="15.75" customHeight="1">
      <c r="A697" s="26">
        <v>46082.0</v>
      </c>
      <c r="B697" s="25" t="s">
        <v>4186</v>
      </c>
      <c r="C697" s="25" t="s">
        <v>89</v>
      </c>
      <c r="D697" s="25" t="s">
        <v>123</v>
      </c>
      <c r="E697" s="29">
        <v>132.0</v>
      </c>
      <c r="F697" s="29">
        <f>SUMIFS(crm_orders!$J:$J,crm_orders!$B:$B,"&gt;="&amp;A697,crm_orders!$B:$B,"&lt;"&amp;DATE(YEAR(A697),MONTH(A697)+1,1),crm_orders!$E:$E,B697,crm_orders!$G:$G,C697,crm_orders!$H:$H,D697)</f>
        <v>0</v>
      </c>
      <c r="G697" s="29">
        <f>SUMIFS(warehouse_shipments!$H:$H,warehouse_shipments!$C:$C,"&gt;="&amp;A697,warehouse_shipments!$C:$C,"&lt;"&amp;DATE(YEAR(A697),MONTH(A697)+1,1),warehouse_shipments!$P:$P,B697,warehouse_shipments!$Q:$Q,C697,warehouse_shipments!$R:$R,D697)</f>
        <v>0</v>
      </c>
      <c r="H697" s="30">
        <f t="shared" si="1"/>
        <v>-132</v>
      </c>
      <c r="I697" s="65">
        <f t="shared" si="2"/>
        <v>0</v>
      </c>
      <c r="J697" s="30" t="s">
        <v>5308</v>
      </c>
    </row>
    <row r="698" ht="15.75" customHeight="1">
      <c r="A698" s="18">
        <v>46082.0</v>
      </c>
      <c r="B698" s="17" t="s">
        <v>4261</v>
      </c>
      <c r="C698" s="17" t="s">
        <v>63</v>
      </c>
      <c r="D698" s="17" t="s">
        <v>95</v>
      </c>
      <c r="E698" s="21">
        <v>117.0</v>
      </c>
      <c r="F698" s="21">
        <f>SUMIFS(crm_orders!$J:$J,crm_orders!$B:$B,"&gt;="&amp;A698,crm_orders!$B:$B,"&lt;"&amp;DATE(YEAR(A698),MONTH(A698)+1,1),crm_orders!$E:$E,B698,crm_orders!$G:$G,C698,crm_orders!$H:$H,D698)</f>
        <v>0</v>
      </c>
      <c r="G698" s="21">
        <f>SUMIFS(warehouse_shipments!$H:$H,warehouse_shipments!$C:$C,"&gt;="&amp;A698,warehouse_shipments!$C:$C,"&lt;"&amp;DATE(YEAR(A698),MONTH(A698)+1,1),warehouse_shipments!$P:$P,B698,warehouse_shipments!$Q:$Q,C698,warehouse_shipments!$R:$R,D698)</f>
        <v>0</v>
      </c>
      <c r="H698" s="22">
        <f t="shared" si="1"/>
        <v>-117</v>
      </c>
      <c r="I698" s="64">
        <f t="shared" si="2"/>
        <v>0</v>
      </c>
      <c r="J698" s="22" t="s">
        <v>5310</v>
      </c>
    </row>
    <row r="699" ht="15.75" customHeight="1">
      <c r="A699" s="26">
        <v>46082.0</v>
      </c>
      <c r="B699" s="25" t="s">
        <v>4261</v>
      </c>
      <c r="C699" s="25" t="s">
        <v>63</v>
      </c>
      <c r="D699" s="25" t="s">
        <v>68</v>
      </c>
      <c r="E699" s="29">
        <v>122.0</v>
      </c>
      <c r="F699" s="29">
        <f>SUMIFS(crm_orders!$J:$J,crm_orders!$B:$B,"&gt;="&amp;A699,crm_orders!$B:$B,"&lt;"&amp;DATE(YEAR(A699),MONTH(A699)+1,1),crm_orders!$E:$E,B699,crm_orders!$G:$G,C699,crm_orders!$H:$H,D699)</f>
        <v>0</v>
      </c>
      <c r="G699" s="29">
        <f>SUMIFS(warehouse_shipments!$H:$H,warehouse_shipments!$C:$C,"&gt;="&amp;A699,warehouse_shipments!$C:$C,"&lt;"&amp;DATE(YEAR(A699),MONTH(A699)+1,1),warehouse_shipments!$P:$P,B699,warehouse_shipments!$Q:$Q,C699,warehouse_shipments!$R:$R,D699)</f>
        <v>0</v>
      </c>
      <c r="H699" s="30">
        <f t="shared" si="1"/>
        <v>-122</v>
      </c>
      <c r="I699" s="65">
        <f t="shared" si="2"/>
        <v>0</v>
      </c>
      <c r="J699" s="30" t="s">
        <v>5308</v>
      </c>
    </row>
    <row r="700" ht="15.75" customHeight="1">
      <c r="A700" s="18">
        <v>46082.0</v>
      </c>
      <c r="B700" s="17" t="s">
        <v>4261</v>
      </c>
      <c r="C700" s="17" t="s">
        <v>63</v>
      </c>
      <c r="D700" s="17" t="s">
        <v>106</v>
      </c>
      <c r="E700" s="21">
        <v>460.0</v>
      </c>
      <c r="F700" s="21">
        <f>SUMIFS(crm_orders!$J:$J,crm_orders!$B:$B,"&gt;="&amp;A700,crm_orders!$B:$B,"&lt;"&amp;DATE(YEAR(A700),MONTH(A700)+1,1),crm_orders!$E:$E,B700,crm_orders!$G:$G,C700,crm_orders!$H:$H,D700)</f>
        <v>0</v>
      </c>
      <c r="G700" s="21">
        <f>SUMIFS(warehouse_shipments!$H:$H,warehouse_shipments!$C:$C,"&gt;="&amp;A700,warehouse_shipments!$C:$C,"&lt;"&amp;DATE(YEAR(A700),MONTH(A700)+1,1),warehouse_shipments!$P:$P,B700,warehouse_shipments!$Q:$Q,C700,warehouse_shipments!$R:$R,D700)</f>
        <v>0</v>
      </c>
      <c r="H700" s="22">
        <f t="shared" si="1"/>
        <v>-460</v>
      </c>
      <c r="I700" s="64">
        <f t="shared" si="2"/>
        <v>0</v>
      </c>
      <c r="J700" s="22" t="s">
        <v>5308</v>
      </c>
    </row>
    <row r="701" ht="15.75" customHeight="1">
      <c r="A701" s="26">
        <v>46082.0</v>
      </c>
      <c r="B701" s="25" t="s">
        <v>4261</v>
      </c>
      <c r="C701" s="25" t="s">
        <v>63</v>
      </c>
      <c r="D701" s="25" t="s">
        <v>78</v>
      </c>
      <c r="E701" s="29">
        <v>464.0</v>
      </c>
      <c r="F701" s="29">
        <f>SUMIFS(crm_orders!$J:$J,crm_orders!$B:$B,"&gt;="&amp;A701,crm_orders!$B:$B,"&lt;"&amp;DATE(YEAR(A701),MONTH(A701)+1,1),crm_orders!$E:$E,B701,crm_orders!$G:$G,C701,crm_orders!$H:$H,D701)</f>
        <v>0</v>
      </c>
      <c r="G701" s="29">
        <f>SUMIFS(warehouse_shipments!$H:$H,warehouse_shipments!$C:$C,"&gt;="&amp;A701,warehouse_shipments!$C:$C,"&lt;"&amp;DATE(YEAR(A701),MONTH(A701)+1,1),warehouse_shipments!$P:$P,B701,warehouse_shipments!$Q:$Q,C701,warehouse_shipments!$R:$R,D701)</f>
        <v>0</v>
      </c>
      <c r="H701" s="30">
        <f t="shared" si="1"/>
        <v>-464</v>
      </c>
      <c r="I701" s="65">
        <f t="shared" si="2"/>
        <v>0</v>
      </c>
      <c r="J701" s="30" t="s">
        <v>5306</v>
      </c>
    </row>
    <row r="702" ht="15.75" customHeight="1">
      <c r="A702" s="18">
        <v>46082.0</v>
      </c>
      <c r="B702" s="17" t="s">
        <v>4261</v>
      </c>
      <c r="C702" s="17" t="s">
        <v>63</v>
      </c>
      <c r="D702" s="17" t="s">
        <v>162</v>
      </c>
      <c r="E702" s="21">
        <v>84.0</v>
      </c>
      <c r="F702" s="21">
        <f>SUMIFS(crm_orders!$J:$J,crm_orders!$B:$B,"&gt;="&amp;A702,crm_orders!$B:$B,"&lt;"&amp;DATE(YEAR(A702),MONTH(A702)+1,1),crm_orders!$E:$E,B702,crm_orders!$G:$G,C702,crm_orders!$H:$H,D702)</f>
        <v>30</v>
      </c>
      <c r="G702" s="21">
        <f>SUMIFS(warehouse_shipments!$H:$H,warehouse_shipments!$C:$C,"&gt;="&amp;A702,warehouse_shipments!$C:$C,"&lt;"&amp;DATE(YEAR(A702),MONTH(A702)+1,1),warehouse_shipments!$P:$P,B702,warehouse_shipments!$Q:$Q,C702,warehouse_shipments!$R:$R,D702)</f>
        <v>30</v>
      </c>
      <c r="H702" s="22">
        <f t="shared" si="1"/>
        <v>-54</v>
      </c>
      <c r="I702" s="64">
        <f t="shared" si="2"/>
        <v>0.3571428571</v>
      </c>
      <c r="J702" s="22" t="s">
        <v>5310</v>
      </c>
    </row>
    <row r="703" ht="15.75" customHeight="1">
      <c r="A703" s="26">
        <v>46082.0</v>
      </c>
      <c r="B703" s="25" t="s">
        <v>4261</v>
      </c>
      <c r="C703" s="25" t="s">
        <v>63</v>
      </c>
      <c r="D703" s="25" t="s">
        <v>154</v>
      </c>
      <c r="E703" s="29">
        <v>224.0</v>
      </c>
      <c r="F703" s="29">
        <f>SUMIFS(crm_orders!$J:$J,crm_orders!$B:$B,"&gt;="&amp;A703,crm_orders!$B:$B,"&lt;"&amp;DATE(YEAR(A703),MONTH(A703)+1,1),crm_orders!$E:$E,B703,crm_orders!$G:$G,C703,crm_orders!$H:$H,D703)</f>
        <v>0</v>
      </c>
      <c r="G703" s="29">
        <f>SUMIFS(warehouse_shipments!$H:$H,warehouse_shipments!$C:$C,"&gt;="&amp;A703,warehouse_shipments!$C:$C,"&lt;"&amp;DATE(YEAR(A703),MONTH(A703)+1,1),warehouse_shipments!$P:$P,B703,warehouse_shipments!$Q:$Q,C703,warehouse_shipments!$R:$R,D703)</f>
        <v>0</v>
      </c>
      <c r="H703" s="30">
        <f t="shared" si="1"/>
        <v>-224</v>
      </c>
      <c r="I703" s="65">
        <f t="shared" si="2"/>
        <v>0</v>
      </c>
      <c r="J703" s="30" t="s">
        <v>5310</v>
      </c>
    </row>
    <row r="704" ht="15.75" customHeight="1">
      <c r="A704" s="18">
        <v>46082.0</v>
      </c>
      <c r="B704" s="17" t="s">
        <v>4261</v>
      </c>
      <c r="C704" s="17" t="s">
        <v>63</v>
      </c>
      <c r="D704" s="17" t="s">
        <v>92</v>
      </c>
      <c r="E704" s="21">
        <v>329.0</v>
      </c>
      <c r="F704" s="21">
        <f>SUMIFS(crm_orders!$J:$J,crm_orders!$B:$B,"&gt;="&amp;A704,crm_orders!$B:$B,"&lt;"&amp;DATE(YEAR(A704),MONTH(A704)+1,1),crm_orders!$E:$E,B704,crm_orders!$G:$G,C704,crm_orders!$H:$H,D704)</f>
        <v>0</v>
      </c>
      <c r="G704" s="21">
        <f>SUMIFS(warehouse_shipments!$H:$H,warehouse_shipments!$C:$C,"&gt;="&amp;A704,warehouse_shipments!$C:$C,"&lt;"&amp;DATE(YEAR(A704),MONTH(A704)+1,1),warehouse_shipments!$P:$P,B704,warehouse_shipments!$Q:$Q,C704,warehouse_shipments!$R:$R,D704)</f>
        <v>0</v>
      </c>
      <c r="H704" s="22">
        <f t="shared" si="1"/>
        <v>-329</v>
      </c>
      <c r="I704" s="64">
        <f t="shared" si="2"/>
        <v>0</v>
      </c>
      <c r="J704" s="22" t="s">
        <v>5311</v>
      </c>
    </row>
    <row r="705" ht="15.75" customHeight="1">
      <c r="A705" s="26">
        <v>46082.0</v>
      </c>
      <c r="B705" s="25" t="s">
        <v>4261</v>
      </c>
      <c r="C705" s="25" t="s">
        <v>63</v>
      </c>
      <c r="D705" s="25" t="s">
        <v>156</v>
      </c>
      <c r="E705" s="29">
        <v>203.0</v>
      </c>
      <c r="F705" s="29">
        <f>SUMIFS(crm_orders!$J:$J,crm_orders!$B:$B,"&gt;="&amp;A705,crm_orders!$B:$B,"&lt;"&amp;DATE(YEAR(A705),MONTH(A705)+1,1),crm_orders!$E:$E,B705,crm_orders!$G:$G,C705,crm_orders!$H:$H,D705)</f>
        <v>0</v>
      </c>
      <c r="G705" s="29">
        <f>SUMIFS(warehouse_shipments!$H:$H,warehouse_shipments!$C:$C,"&gt;="&amp;A705,warehouse_shipments!$C:$C,"&lt;"&amp;DATE(YEAR(A705),MONTH(A705)+1,1),warehouse_shipments!$P:$P,B705,warehouse_shipments!$Q:$Q,C705,warehouse_shipments!$R:$R,D705)</f>
        <v>0</v>
      </c>
      <c r="H705" s="30">
        <f t="shared" si="1"/>
        <v>-203</v>
      </c>
      <c r="I705" s="65">
        <f t="shared" si="2"/>
        <v>0</v>
      </c>
      <c r="J705" s="30" t="s">
        <v>5306</v>
      </c>
    </row>
    <row r="706" ht="15.75" customHeight="1">
      <c r="A706" s="18">
        <v>46082.0</v>
      </c>
      <c r="B706" s="17" t="s">
        <v>4261</v>
      </c>
      <c r="C706" s="17" t="s">
        <v>67</v>
      </c>
      <c r="D706" s="17" t="s">
        <v>190</v>
      </c>
      <c r="E706" s="21">
        <v>256.0</v>
      </c>
      <c r="F706" s="21">
        <f>SUMIFS(crm_orders!$J:$J,crm_orders!$B:$B,"&gt;="&amp;A706,crm_orders!$B:$B,"&lt;"&amp;DATE(YEAR(A706),MONTH(A706)+1,1),crm_orders!$E:$E,B706,crm_orders!$G:$G,C706,crm_orders!$H:$H,D706)</f>
        <v>0</v>
      </c>
      <c r="G706" s="21">
        <f>SUMIFS(warehouse_shipments!$H:$H,warehouse_shipments!$C:$C,"&gt;="&amp;A706,warehouse_shipments!$C:$C,"&lt;"&amp;DATE(YEAR(A706),MONTH(A706)+1,1),warehouse_shipments!$P:$P,B706,warehouse_shipments!$Q:$Q,C706,warehouse_shipments!$R:$R,D706)</f>
        <v>0</v>
      </c>
      <c r="H706" s="22">
        <f t="shared" si="1"/>
        <v>-256</v>
      </c>
      <c r="I706" s="64">
        <f t="shared" si="2"/>
        <v>0</v>
      </c>
      <c r="J706" s="22" t="s">
        <v>5308</v>
      </c>
    </row>
    <row r="707" ht="15.75" customHeight="1">
      <c r="A707" s="26">
        <v>46082.0</v>
      </c>
      <c r="B707" s="25" t="s">
        <v>4261</v>
      </c>
      <c r="C707" s="25" t="s">
        <v>67</v>
      </c>
      <c r="D707" s="25" t="s">
        <v>162</v>
      </c>
      <c r="E707" s="29">
        <v>97.0</v>
      </c>
      <c r="F707" s="29">
        <f>SUMIFS(crm_orders!$J:$J,crm_orders!$B:$B,"&gt;="&amp;A707,crm_orders!$B:$B,"&lt;"&amp;DATE(YEAR(A707),MONTH(A707)+1,1),crm_orders!$E:$E,B707,crm_orders!$G:$G,C707,crm_orders!$H:$H,D707)</f>
        <v>0</v>
      </c>
      <c r="G707" s="29">
        <f>SUMIFS(warehouse_shipments!$H:$H,warehouse_shipments!$C:$C,"&gt;="&amp;A707,warehouse_shipments!$C:$C,"&lt;"&amp;DATE(YEAR(A707),MONTH(A707)+1,1),warehouse_shipments!$P:$P,B707,warehouse_shipments!$Q:$Q,C707,warehouse_shipments!$R:$R,D707)</f>
        <v>0</v>
      </c>
      <c r="H707" s="30">
        <f t="shared" si="1"/>
        <v>-97</v>
      </c>
      <c r="I707" s="65">
        <f t="shared" si="2"/>
        <v>0</v>
      </c>
      <c r="J707" s="30" t="s">
        <v>5306</v>
      </c>
    </row>
    <row r="708" ht="15.75" customHeight="1">
      <c r="A708" s="18">
        <v>46082.0</v>
      </c>
      <c r="B708" s="17" t="s">
        <v>4261</v>
      </c>
      <c r="C708" s="17" t="s">
        <v>67</v>
      </c>
      <c r="D708" s="17" t="s">
        <v>108</v>
      </c>
      <c r="E708" s="21">
        <v>151.0</v>
      </c>
      <c r="F708" s="21">
        <f>SUMIFS(crm_orders!$J:$J,crm_orders!$B:$B,"&gt;="&amp;A708,crm_orders!$B:$B,"&lt;"&amp;DATE(YEAR(A708),MONTH(A708)+1,1),crm_orders!$E:$E,B708,crm_orders!$G:$G,C708,crm_orders!$H:$H,D708)</f>
        <v>0</v>
      </c>
      <c r="G708" s="21">
        <f>SUMIFS(warehouse_shipments!$H:$H,warehouse_shipments!$C:$C,"&gt;="&amp;A708,warehouse_shipments!$C:$C,"&lt;"&amp;DATE(YEAR(A708),MONTH(A708)+1,1),warehouse_shipments!$P:$P,B708,warehouse_shipments!$Q:$Q,C708,warehouse_shipments!$R:$R,D708)</f>
        <v>0</v>
      </c>
      <c r="H708" s="22">
        <f t="shared" si="1"/>
        <v>-151</v>
      </c>
      <c r="I708" s="64">
        <f t="shared" si="2"/>
        <v>0</v>
      </c>
      <c r="J708" s="22" t="s">
        <v>5309</v>
      </c>
    </row>
    <row r="709" ht="15.75" customHeight="1">
      <c r="A709" s="26">
        <v>46082.0</v>
      </c>
      <c r="B709" s="25" t="s">
        <v>4261</v>
      </c>
      <c r="C709" s="25" t="s">
        <v>67</v>
      </c>
      <c r="D709" s="25" t="s">
        <v>85</v>
      </c>
      <c r="E709" s="29">
        <v>356.0</v>
      </c>
      <c r="F709" s="29">
        <f>SUMIFS(crm_orders!$J:$J,crm_orders!$B:$B,"&gt;="&amp;A709,crm_orders!$B:$B,"&lt;"&amp;DATE(YEAR(A709),MONTH(A709)+1,1),crm_orders!$E:$E,B709,crm_orders!$G:$G,C709,crm_orders!$H:$H,D709)</f>
        <v>0</v>
      </c>
      <c r="G709" s="29">
        <f>SUMIFS(warehouse_shipments!$H:$H,warehouse_shipments!$C:$C,"&gt;="&amp;A709,warehouse_shipments!$C:$C,"&lt;"&amp;DATE(YEAR(A709),MONTH(A709)+1,1),warehouse_shipments!$P:$P,B709,warehouse_shipments!$Q:$Q,C709,warehouse_shipments!$R:$R,D709)</f>
        <v>0</v>
      </c>
      <c r="H709" s="30">
        <f t="shared" si="1"/>
        <v>-356</v>
      </c>
      <c r="I709" s="65">
        <f t="shared" si="2"/>
        <v>0</v>
      </c>
      <c r="J709" s="30" t="s">
        <v>5307</v>
      </c>
    </row>
    <row r="710" ht="15.75" customHeight="1">
      <c r="A710" s="18">
        <v>46082.0</v>
      </c>
      <c r="B710" s="17" t="s">
        <v>4261</v>
      </c>
      <c r="C710" s="17" t="s">
        <v>67</v>
      </c>
      <c r="D710" s="17" t="s">
        <v>102</v>
      </c>
      <c r="E710" s="21">
        <v>442.0</v>
      </c>
      <c r="F710" s="21">
        <f>SUMIFS(crm_orders!$J:$J,crm_orders!$B:$B,"&gt;="&amp;A710,crm_orders!$B:$B,"&lt;"&amp;DATE(YEAR(A710),MONTH(A710)+1,1),crm_orders!$E:$E,B710,crm_orders!$G:$G,C710,crm_orders!$H:$H,D710)</f>
        <v>0</v>
      </c>
      <c r="G710" s="21">
        <f>SUMIFS(warehouse_shipments!$H:$H,warehouse_shipments!$C:$C,"&gt;="&amp;A710,warehouse_shipments!$C:$C,"&lt;"&amp;DATE(YEAR(A710),MONTH(A710)+1,1),warehouse_shipments!$P:$P,B710,warehouse_shipments!$Q:$Q,C710,warehouse_shipments!$R:$R,D710)</f>
        <v>0</v>
      </c>
      <c r="H710" s="22">
        <f t="shared" si="1"/>
        <v>-442</v>
      </c>
      <c r="I710" s="64">
        <f t="shared" si="2"/>
        <v>0</v>
      </c>
      <c r="J710" s="22" t="s">
        <v>5309</v>
      </c>
    </row>
    <row r="711" ht="15.75" customHeight="1">
      <c r="A711" s="26">
        <v>46082.0</v>
      </c>
      <c r="B711" s="25" t="s">
        <v>4261</v>
      </c>
      <c r="C711" s="25" t="s">
        <v>67</v>
      </c>
      <c r="D711" s="25" t="s">
        <v>74</v>
      </c>
      <c r="E711" s="29">
        <v>347.0</v>
      </c>
      <c r="F711" s="29">
        <f>SUMIFS(crm_orders!$J:$J,crm_orders!$B:$B,"&gt;="&amp;A711,crm_orders!$B:$B,"&lt;"&amp;DATE(YEAR(A711),MONTH(A711)+1,1),crm_orders!$E:$E,B711,crm_orders!$G:$G,C711,crm_orders!$H:$H,D711)</f>
        <v>0</v>
      </c>
      <c r="G711" s="29">
        <f>SUMIFS(warehouse_shipments!$H:$H,warehouse_shipments!$C:$C,"&gt;="&amp;A711,warehouse_shipments!$C:$C,"&lt;"&amp;DATE(YEAR(A711),MONTH(A711)+1,1),warehouse_shipments!$P:$P,B711,warehouse_shipments!$Q:$Q,C711,warehouse_shipments!$R:$R,D711)</f>
        <v>0</v>
      </c>
      <c r="H711" s="30">
        <f t="shared" si="1"/>
        <v>-347</v>
      </c>
      <c r="I711" s="65">
        <f t="shared" si="2"/>
        <v>0</v>
      </c>
      <c r="J711" s="30" t="s">
        <v>5307</v>
      </c>
    </row>
    <row r="712" ht="15.75" customHeight="1">
      <c r="A712" s="18">
        <v>46082.0</v>
      </c>
      <c r="B712" s="17" t="s">
        <v>4261</v>
      </c>
      <c r="C712" s="17" t="s">
        <v>67</v>
      </c>
      <c r="D712" s="17" t="s">
        <v>123</v>
      </c>
      <c r="E712" s="21">
        <v>414.0</v>
      </c>
      <c r="F712" s="21">
        <f>SUMIFS(crm_orders!$J:$J,crm_orders!$B:$B,"&gt;="&amp;A712,crm_orders!$B:$B,"&lt;"&amp;DATE(YEAR(A712),MONTH(A712)+1,1),crm_orders!$E:$E,B712,crm_orders!$G:$G,C712,crm_orders!$H:$H,D712)</f>
        <v>0</v>
      </c>
      <c r="G712" s="21">
        <f>SUMIFS(warehouse_shipments!$H:$H,warehouse_shipments!$C:$C,"&gt;="&amp;A712,warehouse_shipments!$C:$C,"&lt;"&amp;DATE(YEAR(A712),MONTH(A712)+1,1),warehouse_shipments!$P:$P,B712,warehouse_shipments!$Q:$Q,C712,warehouse_shipments!$R:$R,D712)</f>
        <v>0</v>
      </c>
      <c r="H712" s="22">
        <f t="shared" si="1"/>
        <v>-414</v>
      </c>
      <c r="I712" s="64">
        <f t="shared" si="2"/>
        <v>0</v>
      </c>
      <c r="J712" s="22" t="s">
        <v>5310</v>
      </c>
    </row>
    <row r="713" ht="15.75" customHeight="1">
      <c r="A713" s="26">
        <v>46082.0</v>
      </c>
      <c r="B713" s="25" t="s">
        <v>4261</v>
      </c>
      <c r="C713" s="25" t="s">
        <v>67</v>
      </c>
      <c r="D713" s="25" t="s">
        <v>68</v>
      </c>
      <c r="E713" s="29">
        <v>446.0</v>
      </c>
      <c r="F713" s="29">
        <f>SUMIFS(crm_orders!$J:$J,crm_orders!$B:$B,"&gt;="&amp;A713,crm_orders!$B:$B,"&lt;"&amp;DATE(YEAR(A713),MONTH(A713)+1,1),crm_orders!$E:$E,B713,crm_orders!$G:$G,C713,crm_orders!$H:$H,D713)</f>
        <v>0</v>
      </c>
      <c r="G713" s="29">
        <f>SUMIFS(warehouse_shipments!$H:$H,warehouse_shipments!$C:$C,"&gt;="&amp;A713,warehouse_shipments!$C:$C,"&lt;"&amp;DATE(YEAR(A713),MONTH(A713)+1,1),warehouse_shipments!$P:$P,B713,warehouse_shipments!$Q:$Q,C713,warehouse_shipments!$R:$R,D713)</f>
        <v>0</v>
      </c>
      <c r="H713" s="30">
        <f t="shared" si="1"/>
        <v>-446</v>
      </c>
      <c r="I713" s="65">
        <f t="shared" si="2"/>
        <v>0</v>
      </c>
      <c r="J713" s="30" t="s">
        <v>5307</v>
      </c>
    </row>
    <row r="714" ht="15.75" customHeight="1">
      <c r="A714" s="18">
        <v>46082.0</v>
      </c>
      <c r="B714" s="17" t="s">
        <v>4261</v>
      </c>
      <c r="C714" s="17" t="s">
        <v>89</v>
      </c>
      <c r="D714" s="17" t="s">
        <v>154</v>
      </c>
      <c r="E714" s="21">
        <v>263.0</v>
      </c>
      <c r="F714" s="21">
        <f>SUMIFS(crm_orders!$J:$J,crm_orders!$B:$B,"&gt;="&amp;A714,crm_orders!$B:$B,"&lt;"&amp;DATE(YEAR(A714),MONTH(A714)+1,1),crm_orders!$E:$E,B714,crm_orders!$G:$G,C714,crm_orders!$H:$H,D714)</f>
        <v>0</v>
      </c>
      <c r="G714" s="21">
        <f>SUMIFS(warehouse_shipments!$H:$H,warehouse_shipments!$C:$C,"&gt;="&amp;A714,warehouse_shipments!$C:$C,"&lt;"&amp;DATE(YEAR(A714),MONTH(A714)+1,1),warehouse_shipments!$P:$P,B714,warehouse_shipments!$Q:$Q,C714,warehouse_shipments!$R:$R,D714)</f>
        <v>0</v>
      </c>
      <c r="H714" s="22">
        <f t="shared" si="1"/>
        <v>-263</v>
      </c>
      <c r="I714" s="64">
        <f t="shared" si="2"/>
        <v>0</v>
      </c>
      <c r="J714" s="22" t="s">
        <v>5311</v>
      </c>
    </row>
    <row r="715" ht="15.75" customHeight="1">
      <c r="A715" s="26">
        <v>46082.0</v>
      </c>
      <c r="B715" s="25" t="s">
        <v>4261</v>
      </c>
      <c r="C715" s="25" t="s">
        <v>89</v>
      </c>
      <c r="D715" s="25" t="s">
        <v>92</v>
      </c>
      <c r="E715" s="29">
        <v>419.0</v>
      </c>
      <c r="F715" s="29">
        <f>SUMIFS(crm_orders!$J:$J,crm_orders!$B:$B,"&gt;="&amp;A715,crm_orders!$B:$B,"&lt;"&amp;DATE(YEAR(A715),MONTH(A715)+1,1),crm_orders!$E:$E,B715,crm_orders!$G:$G,C715,crm_orders!$H:$H,D715)</f>
        <v>0</v>
      </c>
      <c r="G715" s="29">
        <f>SUMIFS(warehouse_shipments!$H:$H,warehouse_shipments!$C:$C,"&gt;="&amp;A715,warehouse_shipments!$C:$C,"&lt;"&amp;DATE(YEAR(A715),MONTH(A715)+1,1),warehouse_shipments!$P:$P,B715,warehouse_shipments!$Q:$Q,C715,warehouse_shipments!$R:$R,D715)</f>
        <v>0</v>
      </c>
      <c r="H715" s="30">
        <f t="shared" si="1"/>
        <v>-419</v>
      </c>
      <c r="I715" s="65">
        <f t="shared" si="2"/>
        <v>0</v>
      </c>
      <c r="J715" s="30" t="s">
        <v>5307</v>
      </c>
    </row>
    <row r="716" ht="15.75" customHeight="1">
      <c r="A716" s="18">
        <v>46082.0</v>
      </c>
      <c r="B716" s="17" t="s">
        <v>4261</v>
      </c>
      <c r="C716" s="17" t="s">
        <v>89</v>
      </c>
      <c r="D716" s="17" t="s">
        <v>108</v>
      </c>
      <c r="E716" s="21">
        <v>221.0</v>
      </c>
      <c r="F716" s="21">
        <f>SUMIFS(crm_orders!$J:$J,crm_orders!$B:$B,"&gt;="&amp;A716,crm_orders!$B:$B,"&lt;"&amp;DATE(YEAR(A716),MONTH(A716)+1,1),crm_orders!$E:$E,B716,crm_orders!$G:$G,C716,crm_orders!$H:$H,D716)</f>
        <v>0</v>
      </c>
      <c r="G716" s="21">
        <f>SUMIFS(warehouse_shipments!$H:$H,warehouse_shipments!$C:$C,"&gt;="&amp;A716,warehouse_shipments!$C:$C,"&lt;"&amp;DATE(YEAR(A716),MONTH(A716)+1,1),warehouse_shipments!$P:$P,B716,warehouse_shipments!$Q:$Q,C716,warehouse_shipments!$R:$R,D716)</f>
        <v>0</v>
      </c>
      <c r="H716" s="22">
        <f t="shared" si="1"/>
        <v>-221</v>
      </c>
      <c r="I716" s="64">
        <f t="shared" si="2"/>
        <v>0</v>
      </c>
      <c r="J716" s="22" t="s">
        <v>5306</v>
      </c>
    </row>
    <row r="717" ht="15.75" customHeight="1">
      <c r="A717" s="26">
        <v>46082.0</v>
      </c>
      <c r="B717" s="25" t="s">
        <v>4261</v>
      </c>
      <c r="C717" s="25" t="s">
        <v>89</v>
      </c>
      <c r="D717" s="25" t="s">
        <v>106</v>
      </c>
      <c r="E717" s="29">
        <v>123.0</v>
      </c>
      <c r="F717" s="29">
        <f>SUMIFS(crm_orders!$J:$J,crm_orders!$B:$B,"&gt;="&amp;A717,crm_orders!$B:$B,"&lt;"&amp;DATE(YEAR(A717),MONTH(A717)+1,1),crm_orders!$E:$E,B717,crm_orders!$G:$G,C717,crm_orders!$H:$H,D717)</f>
        <v>0</v>
      </c>
      <c r="G717" s="29">
        <f>SUMIFS(warehouse_shipments!$H:$H,warehouse_shipments!$C:$C,"&gt;="&amp;A717,warehouse_shipments!$C:$C,"&lt;"&amp;DATE(YEAR(A717),MONTH(A717)+1,1),warehouse_shipments!$P:$P,B717,warehouse_shipments!$Q:$Q,C717,warehouse_shipments!$R:$R,D717)</f>
        <v>0</v>
      </c>
      <c r="H717" s="30">
        <f t="shared" si="1"/>
        <v>-123</v>
      </c>
      <c r="I717" s="65">
        <f t="shared" si="2"/>
        <v>0</v>
      </c>
      <c r="J717" s="30" t="s">
        <v>5309</v>
      </c>
    </row>
    <row r="718" ht="15.75" customHeight="1">
      <c r="A718" s="18">
        <v>46082.0</v>
      </c>
      <c r="B718" s="17" t="s">
        <v>4261</v>
      </c>
      <c r="C718" s="17" t="s">
        <v>89</v>
      </c>
      <c r="D718" s="17" t="s">
        <v>95</v>
      </c>
      <c r="E718" s="21">
        <v>230.0</v>
      </c>
      <c r="F718" s="21">
        <f>SUMIFS(crm_orders!$J:$J,crm_orders!$B:$B,"&gt;="&amp;A718,crm_orders!$B:$B,"&lt;"&amp;DATE(YEAR(A718),MONTH(A718)+1,1),crm_orders!$E:$E,B718,crm_orders!$G:$G,C718,crm_orders!$H:$H,D718)</f>
        <v>0</v>
      </c>
      <c r="G718" s="21">
        <f>SUMIFS(warehouse_shipments!$H:$H,warehouse_shipments!$C:$C,"&gt;="&amp;A718,warehouse_shipments!$C:$C,"&lt;"&amp;DATE(YEAR(A718),MONTH(A718)+1,1),warehouse_shipments!$P:$P,B718,warehouse_shipments!$Q:$Q,C718,warehouse_shipments!$R:$R,D718)</f>
        <v>24</v>
      </c>
      <c r="H718" s="22">
        <f t="shared" si="1"/>
        <v>-230</v>
      </c>
      <c r="I718" s="64">
        <f t="shared" si="2"/>
        <v>0</v>
      </c>
      <c r="J718" s="22" t="s">
        <v>5310</v>
      </c>
    </row>
    <row r="719" ht="15.75" customHeight="1">
      <c r="A719" s="26">
        <v>46082.0</v>
      </c>
      <c r="B719" s="25" t="s">
        <v>4261</v>
      </c>
      <c r="C719" s="25" t="s">
        <v>89</v>
      </c>
      <c r="D719" s="25" t="s">
        <v>71</v>
      </c>
      <c r="E719" s="29">
        <v>323.0</v>
      </c>
      <c r="F719" s="29">
        <f>SUMIFS(crm_orders!$J:$J,crm_orders!$B:$B,"&gt;="&amp;A719,crm_orders!$B:$B,"&lt;"&amp;DATE(YEAR(A719),MONTH(A719)+1,1),crm_orders!$E:$E,B719,crm_orders!$G:$G,C719,crm_orders!$H:$H,D719)</f>
        <v>0</v>
      </c>
      <c r="G719" s="29">
        <f>SUMIFS(warehouse_shipments!$H:$H,warehouse_shipments!$C:$C,"&gt;="&amp;A719,warehouse_shipments!$C:$C,"&lt;"&amp;DATE(YEAR(A719),MONTH(A719)+1,1),warehouse_shipments!$P:$P,B719,warehouse_shipments!$Q:$Q,C719,warehouse_shipments!$R:$R,D719)</f>
        <v>0</v>
      </c>
      <c r="H719" s="30">
        <f t="shared" si="1"/>
        <v>-323</v>
      </c>
      <c r="I719" s="65">
        <f t="shared" si="2"/>
        <v>0</v>
      </c>
      <c r="J719" s="30" t="s">
        <v>5310</v>
      </c>
    </row>
    <row r="720" ht="15.75" customHeight="1">
      <c r="A720" s="18">
        <v>46082.0</v>
      </c>
      <c r="B720" s="17" t="s">
        <v>4261</v>
      </c>
      <c r="C720" s="17" t="s">
        <v>89</v>
      </c>
      <c r="D720" s="17" t="s">
        <v>156</v>
      </c>
      <c r="E720" s="21">
        <v>466.0</v>
      </c>
      <c r="F720" s="21">
        <f>SUMIFS(crm_orders!$J:$J,crm_orders!$B:$B,"&gt;="&amp;A720,crm_orders!$B:$B,"&lt;"&amp;DATE(YEAR(A720),MONTH(A720)+1,1),crm_orders!$E:$E,B720,crm_orders!$G:$G,C720,crm_orders!$H:$H,D720)</f>
        <v>0</v>
      </c>
      <c r="G720" s="21">
        <f>SUMIFS(warehouse_shipments!$H:$H,warehouse_shipments!$C:$C,"&gt;="&amp;A720,warehouse_shipments!$C:$C,"&lt;"&amp;DATE(YEAR(A720),MONTH(A720)+1,1),warehouse_shipments!$P:$P,B720,warehouse_shipments!$Q:$Q,C720,warehouse_shipments!$R:$R,D720)</f>
        <v>0</v>
      </c>
      <c r="H720" s="22">
        <f t="shared" si="1"/>
        <v>-466</v>
      </c>
      <c r="I720" s="64">
        <f t="shared" si="2"/>
        <v>0</v>
      </c>
      <c r="J720" s="22" t="s">
        <v>5310</v>
      </c>
    </row>
    <row r="721" ht="15.75" customHeight="1">
      <c r="A721" s="26">
        <v>46082.0</v>
      </c>
      <c r="B721" s="25" t="s">
        <v>4261</v>
      </c>
      <c r="C721" s="25" t="s">
        <v>89</v>
      </c>
      <c r="D721" s="25" t="s">
        <v>74</v>
      </c>
      <c r="E721" s="29">
        <v>417.0</v>
      </c>
      <c r="F721" s="29">
        <f>SUMIFS(crm_orders!$J:$J,crm_orders!$B:$B,"&gt;="&amp;A721,crm_orders!$B:$B,"&lt;"&amp;DATE(YEAR(A721),MONTH(A721)+1,1),crm_orders!$E:$E,B721,crm_orders!$G:$G,C721,crm_orders!$H:$H,D721)</f>
        <v>12</v>
      </c>
      <c r="G721" s="29">
        <f>SUMIFS(warehouse_shipments!$H:$H,warehouse_shipments!$C:$C,"&gt;="&amp;A721,warehouse_shipments!$C:$C,"&lt;"&amp;DATE(YEAR(A721),MONTH(A721)+1,1),warehouse_shipments!$P:$P,B721,warehouse_shipments!$Q:$Q,C721,warehouse_shipments!$R:$R,D721)</f>
        <v>0</v>
      </c>
      <c r="H721" s="30">
        <f t="shared" si="1"/>
        <v>-405</v>
      </c>
      <c r="I721" s="65">
        <f t="shared" si="2"/>
        <v>0.02877697842</v>
      </c>
      <c r="J721" s="30" t="s">
        <v>5308</v>
      </c>
    </row>
    <row r="722" ht="15.75" customHeight="1">
      <c r="A722" s="18">
        <v>46082.0</v>
      </c>
      <c r="B722" s="17" t="s">
        <v>4323</v>
      </c>
      <c r="C722" s="17" t="s">
        <v>63</v>
      </c>
      <c r="D722" s="17" t="s">
        <v>68</v>
      </c>
      <c r="E722" s="21">
        <v>295.0</v>
      </c>
      <c r="F722" s="21">
        <f>SUMIFS(crm_orders!$J:$J,crm_orders!$B:$B,"&gt;="&amp;A722,crm_orders!$B:$B,"&lt;"&amp;DATE(YEAR(A722),MONTH(A722)+1,1),crm_orders!$E:$E,B722,crm_orders!$G:$G,C722,crm_orders!$H:$H,D722)</f>
        <v>0</v>
      </c>
      <c r="G722" s="21">
        <f>SUMIFS(warehouse_shipments!$H:$H,warehouse_shipments!$C:$C,"&gt;="&amp;A722,warehouse_shipments!$C:$C,"&lt;"&amp;DATE(YEAR(A722),MONTH(A722)+1,1),warehouse_shipments!$P:$P,B722,warehouse_shipments!$Q:$Q,C722,warehouse_shipments!$R:$R,D722)</f>
        <v>0</v>
      </c>
      <c r="H722" s="22">
        <f t="shared" si="1"/>
        <v>-295</v>
      </c>
      <c r="I722" s="64">
        <f t="shared" si="2"/>
        <v>0</v>
      </c>
      <c r="J722" s="22" t="s">
        <v>5308</v>
      </c>
    </row>
    <row r="723" ht="15.75" customHeight="1">
      <c r="A723" s="26">
        <v>46082.0</v>
      </c>
      <c r="B723" s="25" t="s">
        <v>4323</v>
      </c>
      <c r="C723" s="25" t="s">
        <v>63</v>
      </c>
      <c r="D723" s="25" t="s">
        <v>95</v>
      </c>
      <c r="E723" s="29">
        <v>507.0</v>
      </c>
      <c r="F723" s="29">
        <f>SUMIFS(crm_orders!$J:$J,crm_orders!$B:$B,"&gt;="&amp;A723,crm_orders!$B:$B,"&lt;"&amp;DATE(YEAR(A723),MONTH(A723)+1,1),crm_orders!$E:$E,B723,crm_orders!$G:$G,C723,crm_orders!$H:$H,D723)</f>
        <v>12</v>
      </c>
      <c r="G723" s="29">
        <f>SUMIFS(warehouse_shipments!$H:$H,warehouse_shipments!$C:$C,"&gt;="&amp;A723,warehouse_shipments!$C:$C,"&lt;"&amp;DATE(YEAR(A723),MONTH(A723)+1,1),warehouse_shipments!$P:$P,B723,warehouse_shipments!$Q:$Q,C723,warehouse_shipments!$R:$R,D723)</f>
        <v>0</v>
      </c>
      <c r="H723" s="30">
        <f t="shared" si="1"/>
        <v>-495</v>
      </c>
      <c r="I723" s="65">
        <f t="shared" si="2"/>
        <v>0.02366863905</v>
      </c>
      <c r="J723" s="30" t="s">
        <v>5307</v>
      </c>
    </row>
    <row r="724" ht="15.75" customHeight="1">
      <c r="A724" s="18">
        <v>46082.0</v>
      </c>
      <c r="B724" s="17" t="s">
        <v>4323</v>
      </c>
      <c r="C724" s="17" t="s">
        <v>63</v>
      </c>
      <c r="D724" s="17" t="s">
        <v>78</v>
      </c>
      <c r="E724" s="21">
        <v>123.0</v>
      </c>
      <c r="F724" s="21">
        <f>SUMIFS(crm_orders!$J:$J,crm_orders!$B:$B,"&gt;="&amp;A724,crm_orders!$B:$B,"&lt;"&amp;DATE(YEAR(A724),MONTH(A724)+1,1),crm_orders!$E:$E,B724,crm_orders!$G:$G,C724,crm_orders!$H:$H,D724)</f>
        <v>0</v>
      </c>
      <c r="G724" s="21">
        <f>SUMIFS(warehouse_shipments!$H:$H,warehouse_shipments!$C:$C,"&gt;="&amp;A724,warehouse_shipments!$C:$C,"&lt;"&amp;DATE(YEAR(A724),MONTH(A724)+1,1),warehouse_shipments!$P:$P,B724,warehouse_shipments!$Q:$Q,C724,warehouse_shipments!$R:$R,D724)</f>
        <v>0</v>
      </c>
      <c r="H724" s="22">
        <f t="shared" si="1"/>
        <v>-123</v>
      </c>
      <c r="I724" s="64">
        <f t="shared" si="2"/>
        <v>0</v>
      </c>
      <c r="J724" s="22" t="s">
        <v>5311</v>
      </c>
    </row>
    <row r="725" ht="15.75" customHeight="1">
      <c r="A725" s="26">
        <v>46082.0</v>
      </c>
      <c r="B725" s="25" t="s">
        <v>4323</v>
      </c>
      <c r="C725" s="25" t="s">
        <v>63</v>
      </c>
      <c r="D725" s="25" t="s">
        <v>123</v>
      </c>
      <c r="E725" s="29">
        <v>428.0</v>
      </c>
      <c r="F725" s="29">
        <f>SUMIFS(crm_orders!$J:$J,crm_orders!$B:$B,"&gt;="&amp;A725,crm_orders!$B:$B,"&lt;"&amp;DATE(YEAR(A725),MONTH(A725)+1,1),crm_orders!$E:$E,B725,crm_orders!$G:$G,C725,crm_orders!$H:$H,D725)</f>
        <v>96</v>
      </c>
      <c r="G725" s="29">
        <f>SUMIFS(warehouse_shipments!$H:$H,warehouse_shipments!$C:$C,"&gt;="&amp;A725,warehouse_shipments!$C:$C,"&lt;"&amp;DATE(YEAR(A725),MONTH(A725)+1,1),warehouse_shipments!$P:$P,B725,warehouse_shipments!$Q:$Q,C725,warehouse_shipments!$R:$R,D725)</f>
        <v>48</v>
      </c>
      <c r="H725" s="30">
        <f t="shared" si="1"/>
        <v>-332</v>
      </c>
      <c r="I725" s="65">
        <f t="shared" si="2"/>
        <v>0.2242990654</v>
      </c>
      <c r="J725" s="30" t="s">
        <v>5306</v>
      </c>
    </row>
    <row r="726" ht="15.75" customHeight="1">
      <c r="A726" s="18">
        <v>46082.0</v>
      </c>
      <c r="B726" s="17" t="s">
        <v>4323</v>
      </c>
      <c r="C726" s="17" t="s">
        <v>63</v>
      </c>
      <c r="D726" s="17" t="s">
        <v>81</v>
      </c>
      <c r="E726" s="21">
        <v>476.0</v>
      </c>
      <c r="F726" s="21">
        <f>SUMIFS(crm_orders!$J:$J,crm_orders!$B:$B,"&gt;="&amp;A726,crm_orders!$B:$B,"&lt;"&amp;DATE(YEAR(A726),MONTH(A726)+1,1),crm_orders!$E:$E,B726,crm_orders!$G:$G,C726,crm_orders!$H:$H,D726)</f>
        <v>0</v>
      </c>
      <c r="G726" s="21">
        <f>SUMIFS(warehouse_shipments!$H:$H,warehouse_shipments!$C:$C,"&gt;="&amp;A726,warehouse_shipments!$C:$C,"&lt;"&amp;DATE(YEAR(A726),MONTH(A726)+1,1),warehouse_shipments!$P:$P,B726,warehouse_shipments!$Q:$Q,C726,warehouse_shipments!$R:$R,D726)</f>
        <v>0</v>
      </c>
      <c r="H726" s="22">
        <f t="shared" si="1"/>
        <v>-476</v>
      </c>
      <c r="I726" s="64">
        <f t="shared" si="2"/>
        <v>0</v>
      </c>
      <c r="J726" s="22" t="s">
        <v>5307</v>
      </c>
    </row>
    <row r="727" ht="15.75" customHeight="1">
      <c r="A727" s="26">
        <v>46082.0</v>
      </c>
      <c r="B727" s="25" t="s">
        <v>4323</v>
      </c>
      <c r="C727" s="25" t="s">
        <v>63</v>
      </c>
      <c r="D727" s="25" t="s">
        <v>64</v>
      </c>
      <c r="E727" s="29">
        <v>334.0</v>
      </c>
      <c r="F727" s="29">
        <f>SUMIFS(crm_orders!$J:$J,crm_orders!$B:$B,"&gt;="&amp;A727,crm_orders!$B:$B,"&lt;"&amp;DATE(YEAR(A727),MONTH(A727)+1,1),crm_orders!$E:$E,B727,crm_orders!$G:$G,C727,crm_orders!$H:$H,D727)</f>
        <v>6</v>
      </c>
      <c r="G727" s="29">
        <f>SUMIFS(warehouse_shipments!$H:$H,warehouse_shipments!$C:$C,"&gt;="&amp;A727,warehouse_shipments!$C:$C,"&lt;"&amp;DATE(YEAR(A727),MONTH(A727)+1,1),warehouse_shipments!$P:$P,B727,warehouse_shipments!$Q:$Q,C727,warehouse_shipments!$R:$R,D727)</f>
        <v>6</v>
      </c>
      <c r="H727" s="30">
        <f t="shared" si="1"/>
        <v>-328</v>
      </c>
      <c r="I727" s="65">
        <f t="shared" si="2"/>
        <v>0.01796407186</v>
      </c>
      <c r="J727" s="30" t="s">
        <v>5311</v>
      </c>
    </row>
    <row r="728" ht="15.75" customHeight="1">
      <c r="A728" s="18">
        <v>46082.0</v>
      </c>
      <c r="B728" s="17" t="s">
        <v>4323</v>
      </c>
      <c r="C728" s="17" t="s">
        <v>63</v>
      </c>
      <c r="D728" s="17" t="s">
        <v>156</v>
      </c>
      <c r="E728" s="21">
        <v>381.0</v>
      </c>
      <c r="F728" s="21">
        <f>SUMIFS(crm_orders!$J:$J,crm_orders!$B:$B,"&gt;="&amp;A728,crm_orders!$B:$B,"&lt;"&amp;DATE(YEAR(A728),MONTH(A728)+1,1),crm_orders!$E:$E,B728,crm_orders!$G:$G,C728,crm_orders!$H:$H,D728)</f>
        <v>0</v>
      </c>
      <c r="G728" s="21">
        <f>SUMIFS(warehouse_shipments!$H:$H,warehouse_shipments!$C:$C,"&gt;="&amp;A728,warehouse_shipments!$C:$C,"&lt;"&amp;DATE(YEAR(A728),MONTH(A728)+1,1),warehouse_shipments!$P:$P,B728,warehouse_shipments!$Q:$Q,C728,warehouse_shipments!$R:$R,D728)</f>
        <v>0</v>
      </c>
      <c r="H728" s="22">
        <f t="shared" si="1"/>
        <v>-381</v>
      </c>
      <c r="I728" s="64">
        <f t="shared" si="2"/>
        <v>0</v>
      </c>
      <c r="J728" s="22" t="s">
        <v>5306</v>
      </c>
    </row>
    <row r="729" ht="15.75" customHeight="1">
      <c r="A729" s="26">
        <v>46082.0</v>
      </c>
      <c r="B729" s="25" t="s">
        <v>4323</v>
      </c>
      <c r="C729" s="25" t="s">
        <v>63</v>
      </c>
      <c r="D729" s="25" t="s">
        <v>102</v>
      </c>
      <c r="E729" s="29">
        <v>491.0</v>
      </c>
      <c r="F729" s="29">
        <f>SUMIFS(crm_orders!$J:$J,crm_orders!$B:$B,"&gt;="&amp;A729,crm_orders!$B:$B,"&lt;"&amp;DATE(YEAR(A729),MONTH(A729)+1,1),crm_orders!$E:$E,B729,crm_orders!$G:$G,C729,crm_orders!$H:$H,D729)</f>
        <v>0</v>
      </c>
      <c r="G729" s="29">
        <f>SUMIFS(warehouse_shipments!$H:$H,warehouse_shipments!$C:$C,"&gt;="&amp;A729,warehouse_shipments!$C:$C,"&lt;"&amp;DATE(YEAR(A729),MONTH(A729)+1,1),warehouse_shipments!$P:$P,B729,warehouse_shipments!$Q:$Q,C729,warehouse_shipments!$R:$R,D729)</f>
        <v>0</v>
      </c>
      <c r="H729" s="30">
        <f t="shared" si="1"/>
        <v>-491</v>
      </c>
      <c r="I729" s="65">
        <f t="shared" si="2"/>
        <v>0</v>
      </c>
      <c r="J729" s="30" t="s">
        <v>5308</v>
      </c>
    </row>
    <row r="730" ht="15.75" customHeight="1">
      <c r="A730" s="18">
        <v>46082.0</v>
      </c>
      <c r="B730" s="17" t="s">
        <v>4323</v>
      </c>
      <c r="C730" s="17" t="s">
        <v>67</v>
      </c>
      <c r="D730" s="17" t="s">
        <v>92</v>
      </c>
      <c r="E730" s="21">
        <v>404.0</v>
      </c>
      <c r="F730" s="21">
        <f>SUMIFS(crm_orders!$J:$J,crm_orders!$B:$B,"&gt;="&amp;A730,crm_orders!$B:$B,"&lt;"&amp;DATE(YEAR(A730),MONTH(A730)+1,1),crm_orders!$E:$E,B730,crm_orders!$G:$G,C730,crm_orders!$H:$H,D730)</f>
        <v>0</v>
      </c>
      <c r="G730" s="21">
        <f>SUMIFS(warehouse_shipments!$H:$H,warehouse_shipments!$C:$C,"&gt;="&amp;A730,warehouse_shipments!$C:$C,"&lt;"&amp;DATE(YEAR(A730),MONTH(A730)+1,1),warehouse_shipments!$P:$P,B730,warehouse_shipments!$Q:$Q,C730,warehouse_shipments!$R:$R,D730)</f>
        <v>0</v>
      </c>
      <c r="H730" s="22">
        <f t="shared" si="1"/>
        <v>-404</v>
      </c>
      <c r="I730" s="64">
        <f t="shared" si="2"/>
        <v>0</v>
      </c>
      <c r="J730" s="22" t="s">
        <v>5311</v>
      </c>
    </row>
    <row r="731" ht="15.75" customHeight="1">
      <c r="A731" s="26">
        <v>46082.0</v>
      </c>
      <c r="B731" s="25" t="s">
        <v>4323</v>
      </c>
      <c r="C731" s="25" t="s">
        <v>67</v>
      </c>
      <c r="D731" s="25" t="s">
        <v>106</v>
      </c>
      <c r="E731" s="29">
        <v>510.0</v>
      </c>
      <c r="F731" s="29">
        <f>SUMIFS(crm_orders!$J:$J,crm_orders!$B:$B,"&gt;="&amp;A731,crm_orders!$B:$B,"&lt;"&amp;DATE(YEAR(A731),MONTH(A731)+1,1),crm_orders!$E:$E,B731,crm_orders!$G:$G,C731,crm_orders!$H:$H,D731)</f>
        <v>0</v>
      </c>
      <c r="G731" s="29">
        <f>SUMIFS(warehouse_shipments!$H:$H,warehouse_shipments!$C:$C,"&gt;="&amp;A731,warehouse_shipments!$C:$C,"&lt;"&amp;DATE(YEAR(A731),MONTH(A731)+1,1),warehouse_shipments!$P:$P,B731,warehouse_shipments!$Q:$Q,C731,warehouse_shipments!$R:$R,D731)</f>
        <v>0</v>
      </c>
      <c r="H731" s="30">
        <f t="shared" si="1"/>
        <v>-510</v>
      </c>
      <c r="I731" s="65">
        <f t="shared" si="2"/>
        <v>0</v>
      </c>
      <c r="J731" s="30" t="s">
        <v>5309</v>
      </c>
    </row>
    <row r="732" ht="15.75" customHeight="1">
      <c r="A732" s="18">
        <v>46082.0</v>
      </c>
      <c r="B732" s="17" t="s">
        <v>4323</v>
      </c>
      <c r="C732" s="17" t="s">
        <v>67</v>
      </c>
      <c r="D732" s="17" t="s">
        <v>154</v>
      </c>
      <c r="E732" s="21">
        <v>260.0</v>
      </c>
      <c r="F732" s="21">
        <f>SUMIFS(crm_orders!$J:$J,crm_orders!$B:$B,"&gt;="&amp;A732,crm_orders!$B:$B,"&lt;"&amp;DATE(YEAR(A732),MONTH(A732)+1,1),crm_orders!$E:$E,B732,crm_orders!$G:$G,C732,crm_orders!$H:$H,D732)</f>
        <v>0</v>
      </c>
      <c r="G732" s="21">
        <f>SUMIFS(warehouse_shipments!$H:$H,warehouse_shipments!$C:$C,"&gt;="&amp;A732,warehouse_shipments!$C:$C,"&lt;"&amp;DATE(YEAR(A732),MONTH(A732)+1,1),warehouse_shipments!$P:$P,B732,warehouse_shipments!$Q:$Q,C732,warehouse_shipments!$R:$R,D732)</f>
        <v>0</v>
      </c>
      <c r="H732" s="22">
        <f t="shared" si="1"/>
        <v>-260</v>
      </c>
      <c r="I732" s="64">
        <f t="shared" si="2"/>
        <v>0</v>
      </c>
      <c r="J732" s="22" t="s">
        <v>5311</v>
      </c>
    </row>
    <row r="733" ht="15.75" customHeight="1">
      <c r="A733" s="26">
        <v>46082.0</v>
      </c>
      <c r="B733" s="25" t="s">
        <v>4323</v>
      </c>
      <c r="C733" s="25" t="s">
        <v>67</v>
      </c>
      <c r="D733" s="25" t="s">
        <v>90</v>
      </c>
      <c r="E733" s="29">
        <v>391.0</v>
      </c>
      <c r="F733" s="29">
        <f>SUMIFS(crm_orders!$J:$J,crm_orders!$B:$B,"&gt;="&amp;A733,crm_orders!$B:$B,"&lt;"&amp;DATE(YEAR(A733),MONTH(A733)+1,1),crm_orders!$E:$E,B733,crm_orders!$G:$G,C733,crm_orders!$H:$H,D733)</f>
        <v>0</v>
      </c>
      <c r="G733" s="29">
        <f>SUMIFS(warehouse_shipments!$H:$H,warehouse_shipments!$C:$C,"&gt;="&amp;A733,warehouse_shipments!$C:$C,"&lt;"&amp;DATE(YEAR(A733),MONTH(A733)+1,1),warehouse_shipments!$P:$P,B733,warehouse_shipments!$Q:$Q,C733,warehouse_shipments!$R:$R,D733)</f>
        <v>0</v>
      </c>
      <c r="H733" s="30">
        <f t="shared" si="1"/>
        <v>-391</v>
      </c>
      <c r="I733" s="65">
        <f t="shared" si="2"/>
        <v>0</v>
      </c>
      <c r="J733" s="30" t="s">
        <v>5307</v>
      </c>
    </row>
    <row r="734" ht="15.75" customHeight="1">
      <c r="A734" s="18">
        <v>46082.0</v>
      </c>
      <c r="B734" s="17" t="s">
        <v>4323</v>
      </c>
      <c r="C734" s="17" t="s">
        <v>67</v>
      </c>
      <c r="D734" s="17" t="s">
        <v>102</v>
      </c>
      <c r="E734" s="21">
        <v>213.0</v>
      </c>
      <c r="F734" s="21">
        <f>SUMIFS(crm_orders!$J:$J,crm_orders!$B:$B,"&gt;="&amp;A734,crm_orders!$B:$B,"&lt;"&amp;DATE(YEAR(A734),MONTH(A734)+1,1),crm_orders!$E:$E,B734,crm_orders!$G:$G,C734,crm_orders!$H:$H,D734)</f>
        <v>0</v>
      </c>
      <c r="G734" s="21">
        <f>SUMIFS(warehouse_shipments!$H:$H,warehouse_shipments!$C:$C,"&gt;="&amp;A734,warehouse_shipments!$C:$C,"&lt;"&amp;DATE(YEAR(A734),MONTH(A734)+1,1),warehouse_shipments!$P:$P,B734,warehouse_shipments!$Q:$Q,C734,warehouse_shipments!$R:$R,D734)</f>
        <v>0</v>
      </c>
      <c r="H734" s="22">
        <f t="shared" si="1"/>
        <v>-213</v>
      </c>
      <c r="I734" s="64">
        <f t="shared" si="2"/>
        <v>0</v>
      </c>
      <c r="J734" s="22" t="s">
        <v>5310</v>
      </c>
    </row>
    <row r="735" ht="15.75" customHeight="1">
      <c r="A735" s="26">
        <v>46082.0</v>
      </c>
      <c r="B735" s="25" t="s">
        <v>4323</v>
      </c>
      <c r="C735" s="25" t="s">
        <v>67</v>
      </c>
      <c r="D735" s="25" t="s">
        <v>156</v>
      </c>
      <c r="E735" s="29">
        <v>313.0</v>
      </c>
      <c r="F735" s="29">
        <f>SUMIFS(crm_orders!$J:$J,crm_orders!$B:$B,"&gt;="&amp;A735,crm_orders!$B:$B,"&lt;"&amp;DATE(YEAR(A735),MONTH(A735)+1,1),crm_orders!$E:$E,B735,crm_orders!$G:$G,C735,crm_orders!$H:$H,D735)</f>
        <v>0</v>
      </c>
      <c r="G735" s="29">
        <f>SUMIFS(warehouse_shipments!$H:$H,warehouse_shipments!$C:$C,"&gt;="&amp;A735,warehouse_shipments!$C:$C,"&lt;"&amp;DATE(YEAR(A735),MONTH(A735)+1,1),warehouse_shipments!$P:$P,B735,warehouse_shipments!$Q:$Q,C735,warehouse_shipments!$R:$R,D735)</f>
        <v>0</v>
      </c>
      <c r="H735" s="30">
        <f t="shared" si="1"/>
        <v>-313</v>
      </c>
      <c r="I735" s="65">
        <f t="shared" si="2"/>
        <v>0</v>
      </c>
      <c r="J735" s="30" t="s">
        <v>5309</v>
      </c>
    </row>
    <row r="736" ht="15.75" customHeight="1">
      <c r="A736" s="18">
        <v>46082.0</v>
      </c>
      <c r="B736" s="17" t="s">
        <v>4323</v>
      </c>
      <c r="C736" s="17" t="s">
        <v>67</v>
      </c>
      <c r="D736" s="17" t="s">
        <v>108</v>
      </c>
      <c r="E736" s="21">
        <v>187.0</v>
      </c>
      <c r="F736" s="21">
        <f>SUMIFS(crm_orders!$J:$J,crm_orders!$B:$B,"&gt;="&amp;A736,crm_orders!$B:$B,"&lt;"&amp;DATE(YEAR(A736),MONTH(A736)+1,1),crm_orders!$E:$E,B736,crm_orders!$G:$G,C736,crm_orders!$H:$H,D736)</f>
        <v>96</v>
      </c>
      <c r="G736" s="21">
        <f>SUMIFS(warehouse_shipments!$H:$H,warehouse_shipments!$C:$C,"&gt;="&amp;A736,warehouse_shipments!$C:$C,"&lt;"&amp;DATE(YEAR(A736),MONTH(A736)+1,1),warehouse_shipments!$P:$P,B736,warehouse_shipments!$Q:$Q,C736,warehouse_shipments!$R:$R,D736)</f>
        <v>0</v>
      </c>
      <c r="H736" s="22">
        <f t="shared" si="1"/>
        <v>-91</v>
      </c>
      <c r="I736" s="64">
        <f t="shared" si="2"/>
        <v>0.513368984</v>
      </c>
      <c r="J736" s="22" t="s">
        <v>5311</v>
      </c>
    </row>
    <row r="737" ht="15.75" customHeight="1">
      <c r="A737" s="26">
        <v>46082.0</v>
      </c>
      <c r="B737" s="25" t="s">
        <v>4323</v>
      </c>
      <c r="C737" s="25" t="s">
        <v>67</v>
      </c>
      <c r="D737" s="25" t="s">
        <v>110</v>
      </c>
      <c r="E737" s="29">
        <v>291.0</v>
      </c>
      <c r="F737" s="29">
        <f>SUMIFS(crm_orders!$J:$J,crm_orders!$B:$B,"&gt;="&amp;A737,crm_orders!$B:$B,"&lt;"&amp;DATE(YEAR(A737),MONTH(A737)+1,1),crm_orders!$E:$E,B737,crm_orders!$G:$G,C737,crm_orders!$H:$H,D737)</f>
        <v>0</v>
      </c>
      <c r="G737" s="29">
        <f>SUMIFS(warehouse_shipments!$H:$H,warehouse_shipments!$C:$C,"&gt;="&amp;A737,warehouse_shipments!$C:$C,"&lt;"&amp;DATE(YEAR(A737),MONTH(A737)+1,1),warehouse_shipments!$P:$P,B737,warehouse_shipments!$Q:$Q,C737,warehouse_shipments!$R:$R,D737)</f>
        <v>0</v>
      </c>
      <c r="H737" s="30">
        <f t="shared" si="1"/>
        <v>-291</v>
      </c>
      <c r="I737" s="65">
        <f t="shared" si="2"/>
        <v>0</v>
      </c>
      <c r="J737" s="30" t="s">
        <v>5311</v>
      </c>
    </row>
    <row r="738" ht="15.75" customHeight="1">
      <c r="A738" s="18">
        <v>46082.0</v>
      </c>
      <c r="B738" s="17" t="s">
        <v>4323</v>
      </c>
      <c r="C738" s="17" t="s">
        <v>89</v>
      </c>
      <c r="D738" s="17" t="s">
        <v>64</v>
      </c>
      <c r="E738" s="21">
        <v>313.0</v>
      </c>
      <c r="F738" s="21">
        <f>SUMIFS(crm_orders!$J:$J,crm_orders!$B:$B,"&gt;="&amp;A738,crm_orders!$B:$B,"&lt;"&amp;DATE(YEAR(A738),MONTH(A738)+1,1),crm_orders!$E:$E,B738,crm_orders!$G:$G,C738,crm_orders!$H:$H,D738)</f>
        <v>0</v>
      </c>
      <c r="G738" s="21">
        <f>SUMIFS(warehouse_shipments!$H:$H,warehouse_shipments!$C:$C,"&gt;="&amp;A738,warehouse_shipments!$C:$C,"&lt;"&amp;DATE(YEAR(A738),MONTH(A738)+1,1),warehouse_shipments!$P:$P,B738,warehouse_shipments!$Q:$Q,C738,warehouse_shipments!$R:$R,D738)</f>
        <v>0</v>
      </c>
      <c r="H738" s="22">
        <f t="shared" si="1"/>
        <v>-313</v>
      </c>
      <c r="I738" s="64">
        <f t="shared" si="2"/>
        <v>0</v>
      </c>
      <c r="J738" s="22" t="s">
        <v>5307</v>
      </c>
    </row>
    <row r="739" ht="15.75" customHeight="1">
      <c r="A739" s="26">
        <v>46082.0</v>
      </c>
      <c r="B739" s="25" t="s">
        <v>4323</v>
      </c>
      <c r="C739" s="25" t="s">
        <v>89</v>
      </c>
      <c r="D739" s="25" t="s">
        <v>78</v>
      </c>
      <c r="E739" s="29">
        <v>220.0</v>
      </c>
      <c r="F739" s="29">
        <f>SUMIFS(crm_orders!$J:$J,crm_orders!$B:$B,"&gt;="&amp;A739,crm_orders!$B:$B,"&lt;"&amp;DATE(YEAR(A739),MONTH(A739)+1,1),crm_orders!$E:$E,B739,crm_orders!$G:$G,C739,crm_orders!$H:$H,D739)</f>
        <v>60</v>
      </c>
      <c r="G739" s="29">
        <f>SUMIFS(warehouse_shipments!$H:$H,warehouse_shipments!$C:$C,"&gt;="&amp;A739,warehouse_shipments!$C:$C,"&lt;"&amp;DATE(YEAR(A739),MONTH(A739)+1,1),warehouse_shipments!$P:$P,B739,warehouse_shipments!$Q:$Q,C739,warehouse_shipments!$R:$R,D739)</f>
        <v>0</v>
      </c>
      <c r="H739" s="30">
        <f t="shared" si="1"/>
        <v>-160</v>
      </c>
      <c r="I739" s="65">
        <f t="shared" si="2"/>
        <v>0.2727272727</v>
      </c>
      <c r="J739" s="30" t="s">
        <v>5307</v>
      </c>
    </row>
    <row r="740" ht="15.75" customHeight="1">
      <c r="A740" s="18">
        <v>46082.0</v>
      </c>
      <c r="B740" s="17" t="s">
        <v>4323</v>
      </c>
      <c r="C740" s="17" t="s">
        <v>89</v>
      </c>
      <c r="D740" s="17" t="s">
        <v>68</v>
      </c>
      <c r="E740" s="21">
        <v>314.0</v>
      </c>
      <c r="F740" s="21">
        <f>SUMIFS(crm_orders!$J:$J,crm_orders!$B:$B,"&gt;="&amp;A740,crm_orders!$B:$B,"&lt;"&amp;DATE(YEAR(A740),MONTH(A740)+1,1),crm_orders!$E:$E,B740,crm_orders!$G:$G,C740,crm_orders!$H:$H,D740)</f>
        <v>0</v>
      </c>
      <c r="G740" s="21">
        <f>SUMIFS(warehouse_shipments!$H:$H,warehouse_shipments!$C:$C,"&gt;="&amp;A740,warehouse_shipments!$C:$C,"&lt;"&amp;DATE(YEAR(A740),MONTH(A740)+1,1),warehouse_shipments!$P:$P,B740,warehouse_shipments!$Q:$Q,C740,warehouse_shipments!$R:$R,D740)</f>
        <v>0</v>
      </c>
      <c r="H740" s="22">
        <f t="shared" si="1"/>
        <v>-314</v>
      </c>
      <c r="I740" s="64">
        <f t="shared" si="2"/>
        <v>0</v>
      </c>
      <c r="J740" s="22" t="s">
        <v>5309</v>
      </c>
    </row>
    <row r="741" ht="15.75" customHeight="1">
      <c r="A741" s="26">
        <v>46082.0</v>
      </c>
      <c r="B741" s="25" t="s">
        <v>4323</v>
      </c>
      <c r="C741" s="25" t="s">
        <v>89</v>
      </c>
      <c r="D741" s="25" t="s">
        <v>102</v>
      </c>
      <c r="E741" s="29">
        <v>198.0</v>
      </c>
      <c r="F741" s="29">
        <f>SUMIFS(crm_orders!$J:$J,crm_orders!$B:$B,"&gt;="&amp;A741,crm_orders!$B:$B,"&lt;"&amp;DATE(YEAR(A741),MONTH(A741)+1,1),crm_orders!$E:$E,B741,crm_orders!$G:$G,C741,crm_orders!$H:$H,D741)</f>
        <v>0</v>
      </c>
      <c r="G741" s="29">
        <f>SUMIFS(warehouse_shipments!$H:$H,warehouse_shipments!$C:$C,"&gt;="&amp;A741,warehouse_shipments!$C:$C,"&lt;"&amp;DATE(YEAR(A741),MONTH(A741)+1,1),warehouse_shipments!$P:$P,B741,warehouse_shipments!$Q:$Q,C741,warehouse_shipments!$R:$R,D741)</f>
        <v>0</v>
      </c>
      <c r="H741" s="30">
        <f t="shared" si="1"/>
        <v>-198</v>
      </c>
      <c r="I741" s="65">
        <f t="shared" si="2"/>
        <v>0</v>
      </c>
      <c r="J741" s="30" t="s">
        <v>5306</v>
      </c>
    </row>
    <row r="742" ht="15.75" customHeight="1">
      <c r="A742" s="18">
        <v>46082.0</v>
      </c>
      <c r="B742" s="17" t="s">
        <v>4323</v>
      </c>
      <c r="C742" s="17" t="s">
        <v>89</v>
      </c>
      <c r="D742" s="17" t="s">
        <v>190</v>
      </c>
      <c r="E742" s="21">
        <v>266.0</v>
      </c>
      <c r="F742" s="21">
        <f>SUMIFS(crm_orders!$J:$J,crm_orders!$B:$B,"&gt;="&amp;A742,crm_orders!$B:$B,"&lt;"&amp;DATE(YEAR(A742),MONTH(A742)+1,1),crm_orders!$E:$E,B742,crm_orders!$G:$G,C742,crm_orders!$H:$H,D742)</f>
        <v>0</v>
      </c>
      <c r="G742" s="21">
        <f>SUMIFS(warehouse_shipments!$H:$H,warehouse_shipments!$C:$C,"&gt;="&amp;A742,warehouse_shipments!$C:$C,"&lt;"&amp;DATE(YEAR(A742),MONTH(A742)+1,1),warehouse_shipments!$P:$P,B742,warehouse_shipments!$Q:$Q,C742,warehouse_shipments!$R:$R,D742)</f>
        <v>0</v>
      </c>
      <c r="H742" s="22">
        <f t="shared" si="1"/>
        <v>-266</v>
      </c>
      <c r="I742" s="64">
        <f t="shared" si="2"/>
        <v>0</v>
      </c>
      <c r="J742" s="22" t="s">
        <v>5307</v>
      </c>
    </row>
    <row r="743" ht="15.75" customHeight="1">
      <c r="A743" s="26">
        <v>46082.0</v>
      </c>
      <c r="B743" s="25" t="s">
        <v>4323</v>
      </c>
      <c r="C743" s="25" t="s">
        <v>89</v>
      </c>
      <c r="D743" s="25" t="s">
        <v>156</v>
      </c>
      <c r="E743" s="29">
        <v>150.0</v>
      </c>
      <c r="F743" s="29">
        <f>SUMIFS(crm_orders!$J:$J,crm_orders!$B:$B,"&gt;="&amp;A743,crm_orders!$B:$B,"&lt;"&amp;DATE(YEAR(A743),MONTH(A743)+1,1),crm_orders!$E:$E,B743,crm_orders!$G:$G,C743,crm_orders!$H:$H,D743)</f>
        <v>0</v>
      </c>
      <c r="G743" s="29">
        <f>SUMIFS(warehouse_shipments!$H:$H,warehouse_shipments!$C:$C,"&gt;="&amp;A743,warehouse_shipments!$C:$C,"&lt;"&amp;DATE(YEAR(A743),MONTH(A743)+1,1),warehouse_shipments!$P:$P,B743,warehouse_shipments!$Q:$Q,C743,warehouse_shipments!$R:$R,D743)</f>
        <v>0</v>
      </c>
      <c r="H743" s="30">
        <f t="shared" si="1"/>
        <v>-150</v>
      </c>
      <c r="I743" s="65">
        <f t="shared" si="2"/>
        <v>0</v>
      </c>
      <c r="J743" s="30" t="s">
        <v>5308</v>
      </c>
    </row>
    <row r="744" ht="15.75" customHeight="1">
      <c r="A744" s="18">
        <v>46082.0</v>
      </c>
      <c r="B744" s="17" t="s">
        <v>4323</v>
      </c>
      <c r="C744" s="17" t="s">
        <v>89</v>
      </c>
      <c r="D744" s="17" t="s">
        <v>108</v>
      </c>
      <c r="E744" s="21">
        <v>169.0</v>
      </c>
      <c r="F744" s="21">
        <f>SUMIFS(crm_orders!$J:$J,crm_orders!$B:$B,"&gt;="&amp;A744,crm_orders!$B:$B,"&lt;"&amp;DATE(YEAR(A744),MONTH(A744)+1,1),crm_orders!$E:$E,B744,crm_orders!$G:$G,C744,crm_orders!$H:$H,D744)</f>
        <v>0</v>
      </c>
      <c r="G744" s="21">
        <f>SUMIFS(warehouse_shipments!$H:$H,warehouse_shipments!$C:$C,"&gt;="&amp;A744,warehouse_shipments!$C:$C,"&lt;"&amp;DATE(YEAR(A744),MONTH(A744)+1,1),warehouse_shipments!$P:$P,B744,warehouse_shipments!$Q:$Q,C744,warehouse_shipments!$R:$R,D744)</f>
        <v>0</v>
      </c>
      <c r="H744" s="22">
        <f t="shared" si="1"/>
        <v>-169</v>
      </c>
      <c r="I744" s="64">
        <f t="shared" si="2"/>
        <v>0</v>
      </c>
      <c r="J744" s="22" t="s">
        <v>5308</v>
      </c>
    </row>
    <row r="745" ht="15.75" customHeight="1">
      <c r="A745" s="26">
        <v>46082.0</v>
      </c>
      <c r="B745" s="25" t="s">
        <v>4323</v>
      </c>
      <c r="C745" s="25" t="s">
        <v>89</v>
      </c>
      <c r="D745" s="25" t="s">
        <v>115</v>
      </c>
      <c r="E745" s="29">
        <v>282.0</v>
      </c>
      <c r="F745" s="29">
        <f>SUMIFS(crm_orders!$J:$J,crm_orders!$B:$B,"&gt;="&amp;A745,crm_orders!$B:$B,"&lt;"&amp;DATE(YEAR(A745),MONTH(A745)+1,1),crm_orders!$E:$E,B745,crm_orders!$G:$G,C745,crm_orders!$H:$H,D745)</f>
        <v>72</v>
      </c>
      <c r="G745" s="29">
        <f>SUMIFS(warehouse_shipments!$H:$H,warehouse_shipments!$C:$C,"&gt;="&amp;A745,warehouse_shipments!$C:$C,"&lt;"&amp;DATE(YEAR(A745),MONTH(A745)+1,1),warehouse_shipments!$P:$P,B745,warehouse_shipments!$Q:$Q,C745,warehouse_shipments!$R:$R,D745)</f>
        <v>0</v>
      </c>
      <c r="H745" s="30">
        <f t="shared" si="1"/>
        <v>-210</v>
      </c>
      <c r="I745" s="65">
        <f t="shared" si="2"/>
        <v>0.2553191489</v>
      </c>
      <c r="J745" s="30" t="s">
        <v>5310</v>
      </c>
    </row>
    <row r="746" ht="15.75" customHeight="1">
      <c r="A746" s="18">
        <v>46082.0</v>
      </c>
      <c r="B746" s="17" t="s">
        <v>4390</v>
      </c>
      <c r="C746" s="17" t="s">
        <v>63</v>
      </c>
      <c r="D746" s="17" t="s">
        <v>115</v>
      </c>
      <c r="E746" s="21">
        <v>294.0</v>
      </c>
      <c r="F746" s="21">
        <f>SUMIFS(crm_orders!$J:$J,crm_orders!$B:$B,"&gt;="&amp;A746,crm_orders!$B:$B,"&lt;"&amp;DATE(YEAR(A746),MONTH(A746)+1,1),crm_orders!$E:$E,B746,crm_orders!$G:$G,C746,crm_orders!$H:$H,D746)</f>
        <v>0</v>
      </c>
      <c r="G746" s="21">
        <f>SUMIFS(warehouse_shipments!$H:$H,warehouse_shipments!$C:$C,"&gt;="&amp;A746,warehouse_shipments!$C:$C,"&lt;"&amp;DATE(YEAR(A746),MONTH(A746)+1,1),warehouse_shipments!$P:$P,B746,warehouse_shipments!$Q:$Q,C746,warehouse_shipments!$R:$R,D746)</f>
        <v>0</v>
      </c>
      <c r="H746" s="22">
        <f t="shared" si="1"/>
        <v>-294</v>
      </c>
      <c r="I746" s="64">
        <f t="shared" si="2"/>
        <v>0</v>
      </c>
      <c r="J746" s="22" t="s">
        <v>5306</v>
      </c>
    </row>
    <row r="747" ht="15.75" customHeight="1">
      <c r="A747" s="26">
        <v>46082.0</v>
      </c>
      <c r="B747" s="25" t="s">
        <v>4390</v>
      </c>
      <c r="C747" s="25" t="s">
        <v>63</v>
      </c>
      <c r="D747" s="25" t="s">
        <v>71</v>
      </c>
      <c r="E747" s="29">
        <v>445.0</v>
      </c>
      <c r="F747" s="29">
        <f>SUMIFS(crm_orders!$J:$J,crm_orders!$B:$B,"&gt;="&amp;A747,crm_orders!$B:$B,"&lt;"&amp;DATE(YEAR(A747),MONTH(A747)+1,1),crm_orders!$E:$E,B747,crm_orders!$G:$G,C747,crm_orders!$H:$H,D747)</f>
        <v>54</v>
      </c>
      <c r="G747" s="29">
        <f>SUMIFS(warehouse_shipments!$H:$H,warehouse_shipments!$C:$C,"&gt;="&amp;A747,warehouse_shipments!$C:$C,"&lt;"&amp;DATE(YEAR(A747),MONTH(A747)+1,1),warehouse_shipments!$P:$P,B747,warehouse_shipments!$Q:$Q,C747,warehouse_shipments!$R:$R,D747)</f>
        <v>48</v>
      </c>
      <c r="H747" s="30">
        <f t="shared" si="1"/>
        <v>-391</v>
      </c>
      <c r="I747" s="65">
        <f t="shared" si="2"/>
        <v>0.1213483146</v>
      </c>
      <c r="J747" s="30" t="s">
        <v>5307</v>
      </c>
    </row>
    <row r="748" ht="15.75" customHeight="1">
      <c r="A748" s="18">
        <v>46082.0</v>
      </c>
      <c r="B748" s="17" t="s">
        <v>4390</v>
      </c>
      <c r="C748" s="17" t="s">
        <v>63</v>
      </c>
      <c r="D748" s="17" t="s">
        <v>162</v>
      </c>
      <c r="E748" s="21">
        <v>241.0</v>
      </c>
      <c r="F748" s="21">
        <f>SUMIFS(crm_orders!$J:$J,crm_orders!$B:$B,"&gt;="&amp;A748,crm_orders!$B:$B,"&lt;"&amp;DATE(YEAR(A748),MONTH(A748)+1,1),crm_orders!$E:$E,B748,crm_orders!$G:$G,C748,crm_orders!$H:$H,D748)</f>
        <v>0</v>
      </c>
      <c r="G748" s="21">
        <f>SUMIFS(warehouse_shipments!$H:$H,warehouse_shipments!$C:$C,"&gt;="&amp;A748,warehouse_shipments!$C:$C,"&lt;"&amp;DATE(YEAR(A748),MONTH(A748)+1,1),warehouse_shipments!$P:$P,B748,warehouse_shipments!$Q:$Q,C748,warehouse_shipments!$R:$R,D748)</f>
        <v>96</v>
      </c>
      <c r="H748" s="22">
        <f t="shared" si="1"/>
        <v>-241</v>
      </c>
      <c r="I748" s="64">
        <f t="shared" si="2"/>
        <v>0</v>
      </c>
      <c r="J748" s="22" t="s">
        <v>5308</v>
      </c>
    </row>
    <row r="749" ht="15.75" customHeight="1">
      <c r="A749" s="26">
        <v>46082.0</v>
      </c>
      <c r="B749" s="25" t="s">
        <v>4390</v>
      </c>
      <c r="C749" s="25" t="s">
        <v>63</v>
      </c>
      <c r="D749" s="25" t="s">
        <v>64</v>
      </c>
      <c r="E749" s="29">
        <v>315.0</v>
      </c>
      <c r="F749" s="29">
        <f>SUMIFS(crm_orders!$J:$J,crm_orders!$B:$B,"&gt;="&amp;A749,crm_orders!$B:$B,"&lt;"&amp;DATE(YEAR(A749),MONTH(A749)+1,1),crm_orders!$E:$E,B749,crm_orders!$G:$G,C749,crm_orders!$H:$H,D749)</f>
        <v>0</v>
      </c>
      <c r="G749" s="29">
        <f>SUMIFS(warehouse_shipments!$H:$H,warehouse_shipments!$C:$C,"&gt;="&amp;A749,warehouse_shipments!$C:$C,"&lt;"&amp;DATE(YEAR(A749),MONTH(A749)+1,1),warehouse_shipments!$P:$P,B749,warehouse_shipments!$Q:$Q,C749,warehouse_shipments!$R:$R,D749)</f>
        <v>0</v>
      </c>
      <c r="H749" s="30">
        <f t="shared" si="1"/>
        <v>-315</v>
      </c>
      <c r="I749" s="65">
        <f t="shared" si="2"/>
        <v>0</v>
      </c>
      <c r="J749" s="30" t="s">
        <v>5307</v>
      </c>
    </row>
    <row r="750" ht="15.75" customHeight="1">
      <c r="A750" s="18">
        <v>46082.0</v>
      </c>
      <c r="B750" s="17" t="s">
        <v>4390</v>
      </c>
      <c r="C750" s="17" t="s">
        <v>63</v>
      </c>
      <c r="D750" s="17" t="s">
        <v>68</v>
      </c>
      <c r="E750" s="21">
        <v>299.0</v>
      </c>
      <c r="F750" s="21">
        <f>SUMIFS(crm_orders!$J:$J,crm_orders!$B:$B,"&gt;="&amp;A750,crm_orders!$B:$B,"&lt;"&amp;DATE(YEAR(A750),MONTH(A750)+1,1),crm_orders!$E:$E,B750,crm_orders!$G:$G,C750,crm_orders!$H:$H,D750)</f>
        <v>60</v>
      </c>
      <c r="G750" s="21">
        <f>SUMIFS(warehouse_shipments!$H:$H,warehouse_shipments!$C:$C,"&gt;="&amp;A750,warehouse_shipments!$C:$C,"&lt;"&amp;DATE(YEAR(A750),MONTH(A750)+1,1),warehouse_shipments!$P:$P,B750,warehouse_shipments!$Q:$Q,C750,warehouse_shipments!$R:$R,D750)</f>
        <v>60</v>
      </c>
      <c r="H750" s="22">
        <f t="shared" si="1"/>
        <v>-239</v>
      </c>
      <c r="I750" s="64">
        <f t="shared" si="2"/>
        <v>0.2006688963</v>
      </c>
      <c r="J750" s="22" t="s">
        <v>5310</v>
      </c>
    </row>
    <row r="751" ht="15.75" customHeight="1">
      <c r="A751" s="26">
        <v>46082.0</v>
      </c>
      <c r="B751" s="25" t="s">
        <v>4390</v>
      </c>
      <c r="C751" s="25" t="s">
        <v>63</v>
      </c>
      <c r="D751" s="25" t="s">
        <v>156</v>
      </c>
      <c r="E751" s="29">
        <v>386.0</v>
      </c>
      <c r="F751" s="29">
        <f>SUMIFS(crm_orders!$J:$J,crm_orders!$B:$B,"&gt;="&amp;A751,crm_orders!$B:$B,"&lt;"&amp;DATE(YEAR(A751),MONTH(A751)+1,1),crm_orders!$E:$E,B751,crm_orders!$G:$G,C751,crm_orders!$H:$H,D751)</f>
        <v>60</v>
      </c>
      <c r="G751" s="29">
        <f>SUMIFS(warehouse_shipments!$H:$H,warehouse_shipments!$C:$C,"&gt;="&amp;A751,warehouse_shipments!$C:$C,"&lt;"&amp;DATE(YEAR(A751),MONTH(A751)+1,1),warehouse_shipments!$P:$P,B751,warehouse_shipments!$Q:$Q,C751,warehouse_shipments!$R:$R,D751)</f>
        <v>0</v>
      </c>
      <c r="H751" s="30">
        <f t="shared" si="1"/>
        <v>-326</v>
      </c>
      <c r="I751" s="65">
        <f t="shared" si="2"/>
        <v>0.1554404145</v>
      </c>
      <c r="J751" s="30" t="s">
        <v>5308</v>
      </c>
    </row>
    <row r="752" ht="15.75" customHeight="1">
      <c r="A752" s="18">
        <v>46082.0</v>
      </c>
      <c r="B752" s="17" t="s">
        <v>4390</v>
      </c>
      <c r="C752" s="17" t="s">
        <v>63</v>
      </c>
      <c r="D752" s="17" t="s">
        <v>106</v>
      </c>
      <c r="E752" s="21">
        <v>344.0</v>
      </c>
      <c r="F752" s="21">
        <f>SUMIFS(crm_orders!$J:$J,crm_orders!$B:$B,"&gt;="&amp;A752,crm_orders!$B:$B,"&lt;"&amp;DATE(YEAR(A752),MONTH(A752)+1,1),crm_orders!$E:$E,B752,crm_orders!$G:$G,C752,crm_orders!$H:$H,D752)</f>
        <v>0</v>
      </c>
      <c r="G752" s="21">
        <f>SUMIFS(warehouse_shipments!$H:$H,warehouse_shipments!$C:$C,"&gt;="&amp;A752,warehouse_shipments!$C:$C,"&lt;"&amp;DATE(YEAR(A752),MONTH(A752)+1,1),warehouse_shipments!$P:$P,B752,warehouse_shipments!$Q:$Q,C752,warehouse_shipments!$R:$R,D752)</f>
        <v>0</v>
      </c>
      <c r="H752" s="22">
        <f t="shared" si="1"/>
        <v>-344</v>
      </c>
      <c r="I752" s="64">
        <f t="shared" si="2"/>
        <v>0</v>
      </c>
      <c r="J752" s="22" t="s">
        <v>5308</v>
      </c>
    </row>
    <row r="753" ht="15.75" customHeight="1">
      <c r="A753" s="26">
        <v>46082.0</v>
      </c>
      <c r="B753" s="25" t="s">
        <v>4390</v>
      </c>
      <c r="C753" s="25" t="s">
        <v>63</v>
      </c>
      <c r="D753" s="25" t="s">
        <v>102</v>
      </c>
      <c r="E753" s="29">
        <v>87.0</v>
      </c>
      <c r="F753" s="29">
        <f>SUMIFS(crm_orders!$J:$J,crm_orders!$B:$B,"&gt;="&amp;A753,crm_orders!$B:$B,"&lt;"&amp;DATE(YEAR(A753),MONTH(A753)+1,1),crm_orders!$E:$E,B753,crm_orders!$G:$G,C753,crm_orders!$H:$H,D753)</f>
        <v>180</v>
      </c>
      <c r="G753" s="29">
        <f>SUMIFS(warehouse_shipments!$H:$H,warehouse_shipments!$C:$C,"&gt;="&amp;A753,warehouse_shipments!$C:$C,"&lt;"&amp;DATE(YEAR(A753),MONTH(A753)+1,1),warehouse_shipments!$P:$P,B753,warehouse_shipments!$Q:$Q,C753,warehouse_shipments!$R:$R,D753)</f>
        <v>0</v>
      </c>
      <c r="H753" s="30">
        <f t="shared" si="1"/>
        <v>93</v>
      </c>
      <c r="I753" s="65">
        <f t="shared" si="2"/>
        <v>-0.06896551724</v>
      </c>
      <c r="J753" s="30" t="s">
        <v>5311</v>
      </c>
    </row>
    <row r="754" ht="15.75" customHeight="1">
      <c r="A754" s="18">
        <v>46082.0</v>
      </c>
      <c r="B754" s="17" t="s">
        <v>4390</v>
      </c>
      <c r="C754" s="17" t="s">
        <v>67</v>
      </c>
      <c r="D754" s="17" t="s">
        <v>64</v>
      </c>
      <c r="E754" s="21">
        <v>161.0</v>
      </c>
      <c r="F754" s="21">
        <f>SUMIFS(crm_orders!$J:$J,crm_orders!$B:$B,"&gt;="&amp;A754,crm_orders!$B:$B,"&lt;"&amp;DATE(YEAR(A754),MONTH(A754)+1,1),crm_orders!$E:$E,B754,crm_orders!$G:$G,C754,crm_orders!$H:$H,D754)</f>
        <v>0</v>
      </c>
      <c r="G754" s="21">
        <f>SUMIFS(warehouse_shipments!$H:$H,warehouse_shipments!$C:$C,"&gt;="&amp;A754,warehouse_shipments!$C:$C,"&lt;"&amp;DATE(YEAR(A754),MONTH(A754)+1,1),warehouse_shipments!$P:$P,B754,warehouse_shipments!$Q:$Q,C754,warehouse_shipments!$R:$R,D754)</f>
        <v>0</v>
      </c>
      <c r="H754" s="22">
        <f t="shared" si="1"/>
        <v>-161</v>
      </c>
      <c r="I754" s="64">
        <f t="shared" si="2"/>
        <v>0</v>
      </c>
      <c r="J754" s="22" t="s">
        <v>5307</v>
      </c>
    </row>
    <row r="755" ht="15.75" customHeight="1">
      <c r="A755" s="26">
        <v>46082.0</v>
      </c>
      <c r="B755" s="25" t="s">
        <v>4390</v>
      </c>
      <c r="C755" s="25" t="s">
        <v>67</v>
      </c>
      <c r="D755" s="25" t="s">
        <v>78</v>
      </c>
      <c r="E755" s="29">
        <v>113.0</v>
      </c>
      <c r="F755" s="29">
        <f>SUMIFS(crm_orders!$J:$J,crm_orders!$B:$B,"&gt;="&amp;A755,crm_orders!$B:$B,"&lt;"&amp;DATE(YEAR(A755),MONTH(A755)+1,1),crm_orders!$E:$E,B755,crm_orders!$G:$G,C755,crm_orders!$H:$H,D755)</f>
        <v>0</v>
      </c>
      <c r="G755" s="29">
        <f>SUMIFS(warehouse_shipments!$H:$H,warehouse_shipments!$C:$C,"&gt;="&amp;A755,warehouse_shipments!$C:$C,"&lt;"&amp;DATE(YEAR(A755),MONTH(A755)+1,1),warehouse_shipments!$P:$P,B755,warehouse_shipments!$Q:$Q,C755,warehouse_shipments!$R:$R,D755)</f>
        <v>0</v>
      </c>
      <c r="H755" s="30">
        <f t="shared" si="1"/>
        <v>-113</v>
      </c>
      <c r="I755" s="65">
        <f t="shared" si="2"/>
        <v>0</v>
      </c>
      <c r="J755" s="30" t="s">
        <v>5306</v>
      </c>
    </row>
    <row r="756" ht="15.75" customHeight="1">
      <c r="A756" s="18">
        <v>46082.0</v>
      </c>
      <c r="B756" s="17" t="s">
        <v>4390</v>
      </c>
      <c r="C756" s="17" t="s">
        <v>67</v>
      </c>
      <c r="D756" s="17" t="s">
        <v>71</v>
      </c>
      <c r="E756" s="21">
        <v>326.0</v>
      </c>
      <c r="F756" s="21">
        <f>SUMIFS(crm_orders!$J:$J,crm_orders!$B:$B,"&gt;="&amp;A756,crm_orders!$B:$B,"&lt;"&amp;DATE(YEAR(A756),MONTH(A756)+1,1),crm_orders!$E:$E,B756,crm_orders!$G:$G,C756,crm_orders!$H:$H,D756)</f>
        <v>0</v>
      </c>
      <c r="G756" s="21">
        <f>SUMIFS(warehouse_shipments!$H:$H,warehouse_shipments!$C:$C,"&gt;="&amp;A756,warehouse_shipments!$C:$C,"&lt;"&amp;DATE(YEAR(A756),MONTH(A756)+1,1),warehouse_shipments!$P:$P,B756,warehouse_shipments!$Q:$Q,C756,warehouse_shipments!$R:$R,D756)</f>
        <v>0</v>
      </c>
      <c r="H756" s="22">
        <f t="shared" si="1"/>
        <v>-326</v>
      </c>
      <c r="I756" s="64">
        <f t="shared" si="2"/>
        <v>0</v>
      </c>
      <c r="J756" s="22" t="s">
        <v>5307</v>
      </c>
    </row>
    <row r="757" ht="15.75" customHeight="1">
      <c r="A757" s="26">
        <v>46082.0</v>
      </c>
      <c r="B757" s="25" t="s">
        <v>4390</v>
      </c>
      <c r="C757" s="25" t="s">
        <v>67</v>
      </c>
      <c r="D757" s="25" t="s">
        <v>102</v>
      </c>
      <c r="E757" s="29">
        <v>267.0</v>
      </c>
      <c r="F757" s="29">
        <f>SUMIFS(crm_orders!$J:$J,crm_orders!$B:$B,"&gt;="&amp;A757,crm_orders!$B:$B,"&lt;"&amp;DATE(YEAR(A757),MONTH(A757)+1,1),crm_orders!$E:$E,B757,crm_orders!$G:$G,C757,crm_orders!$H:$H,D757)</f>
        <v>0</v>
      </c>
      <c r="G757" s="29">
        <f>SUMIFS(warehouse_shipments!$H:$H,warehouse_shipments!$C:$C,"&gt;="&amp;A757,warehouse_shipments!$C:$C,"&lt;"&amp;DATE(YEAR(A757),MONTH(A757)+1,1),warehouse_shipments!$P:$P,B757,warehouse_shipments!$Q:$Q,C757,warehouse_shipments!$R:$R,D757)</f>
        <v>0</v>
      </c>
      <c r="H757" s="30">
        <f t="shared" si="1"/>
        <v>-267</v>
      </c>
      <c r="I757" s="65">
        <f t="shared" si="2"/>
        <v>0</v>
      </c>
      <c r="J757" s="30" t="s">
        <v>5311</v>
      </c>
    </row>
    <row r="758" ht="15.75" customHeight="1">
      <c r="A758" s="18">
        <v>46082.0</v>
      </c>
      <c r="B758" s="17" t="s">
        <v>4390</v>
      </c>
      <c r="C758" s="17" t="s">
        <v>67</v>
      </c>
      <c r="D758" s="17" t="s">
        <v>110</v>
      </c>
      <c r="E758" s="21">
        <v>161.0</v>
      </c>
      <c r="F758" s="21">
        <f>SUMIFS(crm_orders!$J:$J,crm_orders!$B:$B,"&gt;="&amp;A758,crm_orders!$B:$B,"&lt;"&amp;DATE(YEAR(A758),MONTH(A758)+1,1),crm_orders!$E:$E,B758,crm_orders!$G:$G,C758,crm_orders!$H:$H,D758)</f>
        <v>0</v>
      </c>
      <c r="G758" s="21">
        <f>SUMIFS(warehouse_shipments!$H:$H,warehouse_shipments!$C:$C,"&gt;="&amp;A758,warehouse_shipments!$C:$C,"&lt;"&amp;DATE(YEAR(A758),MONTH(A758)+1,1),warehouse_shipments!$P:$P,B758,warehouse_shipments!$Q:$Q,C758,warehouse_shipments!$R:$R,D758)</f>
        <v>0</v>
      </c>
      <c r="H758" s="22">
        <f t="shared" si="1"/>
        <v>-161</v>
      </c>
      <c r="I758" s="64">
        <f t="shared" si="2"/>
        <v>0</v>
      </c>
      <c r="J758" s="22" t="s">
        <v>5307</v>
      </c>
    </row>
    <row r="759" ht="15.75" customHeight="1">
      <c r="A759" s="26">
        <v>46082.0</v>
      </c>
      <c r="B759" s="25" t="s">
        <v>4390</v>
      </c>
      <c r="C759" s="25" t="s">
        <v>67</v>
      </c>
      <c r="D759" s="25" t="s">
        <v>115</v>
      </c>
      <c r="E759" s="29">
        <v>492.0</v>
      </c>
      <c r="F759" s="29">
        <f>SUMIFS(crm_orders!$J:$J,crm_orders!$B:$B,"&gt;="&amp;A759,crm_orders!$B:$B,"&lt;"&amp;DATE(YEAR(A759),MONTH(A759)+1,1),crm_orders!$E:$E,B759,crm_orders!$G:$G,C759,crm_orders!$H:$H,D759)</f>
        <v>0</v>
      </c>
      <c r="G759" s="29">
        <f>SUMIFS(warehouse_shipments!$H:$H,warehouse_shipments!$C:$C,"&gt;="&amp;A759,warehouse_shipments!$C:$C,"&lt;"&amp;DATE(YEAR(A759),MONTH(A759)+1,1),warehouse_shipments!$P:$P,B759,warehouse_shipments!$Q:$Q,C759,warehouse_shipments!$R:$R,D759)</f>
        <v>0</v>
      </c>
      <c r="H759" s="30">
        <f t="shared" si="1"/>
        <v>-492</v>
      </c>
      <c r="I759" s="65">
        <f t="shared" si="2"/>
        <v>0</v>
      </c>
      <c r="J759" s="30" t="s">
        <v>5308</v>
      </c>
    </row>
    <row r="760" ht="15.75" customHeight="1">
      <c r="A760" s="18">
        <v>46082.0</v>
      </c>
      <c r="B760" s="17" t="s">
        <v>4390</v>
      </c>
      <c r="C760" s="17" t="s">
        <v>67</v>
      </c>
      <c r="D760" s="17" t="s">
        <v>85</v>
      </c>
      <c r="E760" s="21">
        <v>110.0</v>
      </c>
      <c r="F760" s="21">
        <f>SUMIFS(crm_orders!$J:$J,crm_orders!$B:$B,"&gt;="&amp;A760,crm_orders!$B:$B,"&lt;"&amp;DATE(YEAR(A760),MONTH(A760)+1,1),crm_orders!$E:$E,B760,crm_orders!$G:$G,C760,crm_orders!$H:$H,D760)</f>
        <v>0</v>
      </c>
      <c r="G760" s="21">
        <f>SUMIFS(warehouse_shipments!$H:$H,warehouse_shipments!$C:$C,"&gt;="&amp;A760,warehouse_shipments!$C:$C,"&lt;"&amp;DATE(YEAR(A760),MONTH(A760)+1,1),warehouse_shipments!$P:$P,B760,warehouse_shipments!$Q:$Q,C760,warehouse_shipments!$R:$R,D760)</f>
        <v>0</v>
      </c>
      <c r="H760" s="22">
        <f t="shared" si="1"/>
        <v>-110</v>
      </c>
      <c r="I760" s="64">
        <f t="shared" si="2"/>
        <v>0</v>
      </c>
      <c r="J760" s="22" t="s">
        <v>5306</v>
      </c>
    </row>
    <row r="761" ht="15.75" customHeight="1">
      <c r="A761" s="26">
        <v>46082.0</v>
      </c>
      <c r="B761" s="25" t="s">
        <v>4390</v>
      </c>
      <c r="C761" s="25" t="s">
        <v>67</v>
      </c>
      <c r="D761" s="25" t="s">
        <v>106</v>
      </c>
      <c r="E761" s="29">
        <v>126.0</v>
      </c>
      <c r="F761" s="29">
        <f>SUMIFS(crm_orders!$J:$J,crm_orders!$B:$B,"&gt;="&amp;A761,crm_orders!$B:$B,"&lt;"&amp;DATE(YEAR(A761),MONTH(A761)+1,1),crm_orders!$E:$E,B761,crm_orders!$G:$G,C761,crm_orders!$H:$H,D761)</f>
        <v>0</v>
      </c>
      <c r="G761" s="29">
        <f>SUMIFS(warehouse_shipments!$H:$H,warehouse_shipments!$C:$C,"&gt;="&amp;A761,warehouse_shipments!$C:$C,"&lt;"&amp;DATE(YEAR(A761),MONTH(A761)+1,1),warehouse_shipments!$P:$P,B761,warehouse_shipments!$Q:$Q,C761,warehouse_shipments!$R:$R,D761)</f>
        <v>0</v>
      </c>
      <c r="H761" s="30">
        <f t="shared" si="1"/>
        <v>-126</v>
      </c>
      <c r="I761" s="65">
        <f t="shared" si="2"/>
        <v>0</v>
      </c>
      <c r="J761" s="30" t="s">
        <v>5308</v>
      </c>
    </row>
    <row r="762" ht="15.75" customHeight="1">
      <c r="A762" s="18">
        <v>46082.0</v>
      </c>
      <c r="B762" s="17" t="s">
        <v>4390</v>
      </c>
      <c r="C762" s="17" t="s">
        <v>89</v>
      </c>
      <c r="D762" s="17" t="s">
        <v>108</v>
      </c>
      <c r="E762" s="21">
        <v>367.0</v>
      </c>
      <c r="F762" s="21">
        <f>SUMIFS(crm_orders!$J:$J,crm_orders!$B:$B,"&gt;="&amp;A762,crm_orders!$B:$B,"&lt;"&amp;DATE(YEAR(A762),MONTH(A762)+1,1),crm_orders!$E:$E,B762,crm_orders!$G:$G,C762,crm_orders!$H:$H,D762)</f>
        <v>0</v>
      </c>
      <c r="G762" s="21">
        <f>SUMIFS(warehouse_shipments!$H:$H,warehouse_shipments!$C:$C,"&gt;="&amp;A762,warehouse_shipments!$C:$C,"&lt;"&amp;DATE(YEAR(A762),MONTH(A762)+1,1),warehouse_shipments!$P:$P,B762,warehouse_shipments!$Q:$Q,C762,warehouse_shipments!$R:$R,D762)</f>
        <v>0</v>
      </c>
      <c r="H762" s="22">
        <f t="shared" si="1"/>
        <v>-367</v>
      </c>
      <c r="I762" s="64">
        <f t="shared" si="2"/>
        <v>0</v>
      </c>
      <c r="J762" s="22" t="s">
        <v>5306</v>
      </c>
    </row>
    <row r="763" ht="15.75" customHeight="1">
      <c r="A763" s="26">
        <v>46082.0</v>
      </c>
      <c r="B763" s="25" t="s">
        <v>4390</v>
      </c>
      <c r="C763" s="25" t="s">
        <v>89</v>
      </c>
      <c r="D763" s="25" t="s">
        <v>95</v>
      </c>
      <c r="E763" s="29">
        <v>220.0</v>
      </c>
      <c r="F763" s="29">
        <f>SUMIFS(crm_orders!$J:$J,crm_orders!$B:$B,"&gt;="&amp;A763,crm_orders!$B:$B,"&lt;"&amp;DATE(YEAR(A763),MONTH(A763)+1,1),crm_orders!$E:$E,B763,crm_orders!$G:$G,C763,crm_orders!$H:$H,D763)</f>
        <v>0</v>
      </c>
      <c r="G763" s="29">
        <f>SUMIFS(warehouse_shipments!$H:$H,warehouse_shipments!$C:$C,"&gt;="&amp;A763,warehouse_shipments!$C:$C,"&lt;"&amp;DATE(YEAR(A763),MONTH(A763)+1,1),warehouse_shipments!$P:$P,B763,warehouse_shipments!$Q:$Q,C763,warehouse_shipments!$R:$R,D763)</f>
        <v>0</v>
      </c>
      <c r="H763" s="30">
        <f t="shared" si="1"/>
        <v>-220</v>
      </c>
      <c r="I763" s="65">
        <f t="shared" si="2"/>
        <v>0</v>
      </c>
      <c r="J763" s="30" t="s">
        <v>5310</v>
      </c>
    </row>
    <row r="764" ht="15.75" customHeight="1">
      <c r="A764" s="18">
        <v>46082.0</v>
      </c>
      <c r="B764" s="17" t="s">
        <v>4390</v>
      </c>
      <c r="C764" s="17" t="s">
        <v>89</v>
      </c>
      <c r="D764" s="17" t="s">
        <v>154</v>
      </c>
      <c r="E764" s="21">
        <v>189.0</v>
      </c>
      <c r="F764" s="21">
        <f>SUMIFS(crm_orders!$J:$J,crm_orders!$B:$B,"&gt;="&amp;A764,crm_orders!$B:$B,"&lt;"&amp;DATE(YEAR(A764),MONTH(A764)+1,1),crm_orders!$E:$E,B764,crm_orders!$G:$G,C764,crm_orders!$H:$H,D764)</f>
        <v>0</v>
      </c>
      <c r="G764" s="21">
        <f>SUMIFS(warehouse_shipments!$H:$H,warehouse_shipments!$C:$C,"&gt;="&amp;A764,warehouse_shipments!$C:$C,"&lt;"&amp;DATE(YEAR(A764),MONTH(A764)+1,1),warehouse_shipments!$P:$P,B764,warehouse_shipments!$Q:$Q,C764,warehouse_shipments!$R:$R,D764)</f>
        <v>0</v>
      </c>
      <c r="H764" s="22">
        <f t="shared" si="1"/>
        <v>-189</v>
      </c>
      <c r="I764" s="64">
        <f t="shared" si="2"/>
        <v>0</v>
      </c>
      <c r="J764" s="22" t="s">
        <v>5310</v>
      </c>
    </row>
    <row r="765" ht="15.75" customHeight="1">
      <c r="A765" s="26">
        <v>46082.0</v>
      </c>
      <c r="B765" s="25" t="s">
        <v>4390</v>
      </c>
      <c r="C765" s="25" t="s">
        <v>89</v>
      </c>
      <c r="D765" s="25" t="s">
        <v>110</v>
      </c>
      <c r="E765" s="29">
        <v>150.0</v>
      </c>
      <c r="F765" s="29">
        <f>SUMIFS(crm_orders!$J:$J,crm_orders!$B:$B,"&gt;="&amp;A765,crm_orders!$B:$B,"&lt;"&amp;DATE(YEAR(A765),MONTH(A765)+1,1),crm_orders!$E:$E,B765,crm_orders!$G:$G,C765,crm_orders!$H:$H,D765)</f>
        <v>0</v>
      </c>
      <c r="G765" s="29">
        <f>SUMIFS(warehouse_shipments!$H:$H,warehouse_shipments!$C:$C,"&gt;="&amp;A765,warehouse_shipments!$C:$C,"&lt;"&amp;DATE(YEAR(A765),MONTH(A765)+1,1),warehouse_shipments!$P:$P,B765,warehouse_shipments!$Q:$Q,C765,warehouse_shipments!$R:$R,D765)</f>
        <v>0</v>
      </c>
      <c r="H765" s="30">
        <f t="shared" si="1"/>
        <v>-150</v>
      </c>
      <c r="I765" s="65">
        <f t="shared" si="2"/>
        <v>0</v>
      </c>
      <c r="J765" s="30" t="s">
        <v>5307</v>
      </c>
    </row>
    <row r="766" ht="15.75" customHeight="1">
      <c r="A766" s="18">
        <v>46082.0</v>
      </c>
      <c r="B766" s="17" t="s">
        <v>4390</v>
      </c>
      <c r="C766" s="17" t="s">
        <v>89</v>
      </c>
      <c r="D766" s="17" t="s">
        <v>102</v>
      </c>
      <c r="E766" s="21">
        <v>254.0</v>
      </c>
      <c r="F766" s="21">
        <f>SUMIFS(crm_orders!$J:$J,crm_orders!$B:$B,"&gt;="&amp;A766,crm_orders!$B:$B,"&lt;"&amp;DATE(YEAR(A766),MONTH(A766)+1,1),crm_orders!$E:$E,B766,crm_orders!$G:$G,C766,crm_orders!$H:$H,D766)</f>
        <v>0</v>
      </c>
      <c r="G766" s="21">
        <f>SUMIFS(warehouse_shipments!$H:$H,warehouse_shipments!$C:$C,"&gt;="&amp;A766,warehouse_shipments!$C:$C,"&lt;"&amp;DATE(YEAR(A766),MONTH(A766)+1,1),warehouse_shipments!$P:$P,B766,warehouse_shipments!$Q:$Q,C766,warehouse_shipments!$R:$R,D766)</f>
        <v>0</v>
      </c>
      <c r="H766" s="22">
        <f t="shared" si="1"/>
        <v>-254</v>
      </c>
      <c r="I766" s="64">
        <f t="shared" si="2"/>
        <v>0</v>
      </c>
      <c r="J766" s="22" t="s">
        <v>5311</v>
      </c>
    </row>
    <row r="767" ht="15.75" customHeight="1">
      <c r="A767" s="26">
        <v>46082.0</v>
      </c>
      <c r="B767" s="25" t="s">
        <v>4390</v>
      </c>
      <c r="C767" s="25" t="s">
        <v>89</v>
      </c>
      <c r="D767" s="25" t="s">
        <v>78</v>
      </c>
      <c r="E767" s="29">
        <v>309.0</v>
      </c>
      <c r="F767" s="29">
        <f>SUMIFS(crm_orders!$J:$J,crm_orders!$B:$B,"&gt;="&amp;A767,crm_orders!$B:$B,"&lt;"&amp;DATE(YEAR(A767),MONTH(A767)+1,1),crm_orders!$E:$E,B767,crm_orders!$G:$G,C767,crm_orders!$H:$H,D767)</f>
        <v>96</v>
      </c>
      <c r="G767" s="29">
        <f>SUMIFS(warehouse_shipments!$H:$H,warehouse_shipments!$C:$C,"&gt;="&amp;A767,warehouse_shipments!$C:$C,"&lt;"&amp;DATE(YEAR(A767),MONTH(A767)+1,1),warehouse_shipments!$P:$P,B767,warehouse_shipments!$Q:$Q,C767,warehouse_shipments!$R:$R,D767)</f>
        <v>0</v>
      </c>
      <c r="H767" s="30">
        <f t="shared" si="1"/>
        <v>-213</v>
      </c>
      <c r="I767" s="65">
        <f t="shared" si="2"/>
        <v>0.3106796117</v>
      </c>
      <c r="J767" s="30" t="s">
        <v>5308</v>
      </c>
    </row>
    <row r="768" ht="15.75" customHeight="1">
      <c r="A768" s="18">
        <v>46082.0</v>
      </c>
      <c r="B768" s="17" t="s">
        <v>4390</v>
      </c>
      <c r="C768" s="17" t="s">
        <v>89</v>
      </c>
      <c r="D768" s="17" t="s">
        <v>162</v>
      </c>
      <c r="E768" s="21">
        <v>278.0</v>
      </c>
      <c r="F768" s="21">
        <f>SUMIFS(crm_orders!$J:$J,crm_orders!$B:$B,"&gt;="&amp;A768,crm_orders!$B:$B,"&lt;"&amp;DATE(YEAR(A768),MONTH(A768)+1,1),crm_orders!$E:$E,B768,crm_orders!$G:$G,C768,crm_orders!$H:$H,D768)</f>
        <v>0</v>
      </c>
      <c r="G768" s="21">
        <f>SUMIFS(warehouse_shipments!$H:$H,warehouse_shipments!$C:$C,"&gt;="&amp;A768,warehouse_shipments!$C:$C,"&lt;"&amp;DATE(YEAR(A768),MONTH(A768)+1,1),warehouse_shipments!$P:$P,B768,warehouse_shipments!$Q:$Q,C768,warehouse_shipments!$R:$R,D768)</f>
        <v>0</v>
      </c>
      <c r="H768" s="22">
        <f t="shared" si="1"/>
        <v>-278</v>
      </c>
      <c r="I768" s="64">
        <f t="shared" si="2"/>
        <v>0</v>
      </c>
      <c r="J768" s="22" t="s">
        <v>5308</v>
      </c>
    </row>
    <row r="769" ht="15.75" customHeight="1">
      <c r="A769" s="26">
        <v>46082.0</v>
      </c>
      <c r="B769" s="25" t="s">
        <v>4390</v>
      </c>
      <c r="C769" s="25" t="s">
        <v>89</v>
      </c>
      <c r="D769" s="25" t="s">
        <v>90</v>
      </c>
      <c r="E769" s="29">
        <v>445.0</v>
      </c>
      <c r="F769" s="29">
        <f>SUMIFS(crm_orders!$J:$J,crm_orders!$B:$B,"&gt;="&amp;A769,crm_orders!$B:$B,"&lt;"&amp;DATE(YEAR(A769),MONTH(A769)+1,1),crm_orders!$E:$E,B769,crm_orders!$G:$G,C769,crm_orders!$H:$H,D769)</f>
        <v>0</v>
      </c>
      <c r="G769" s="29">
        <f>SUMIFS(warehouse_shipments!$H:$H,warehouse_shipments!$C:$C,"&gt;="&amp;A769,warehouse_shipments!$C:$C,"&lt;"&amp;DATE(YEAR(A769),MONTH(A769)+1,1),warehouse_shipments!$P:$P,B769,warehouse_shipments!$Q:$Q,C769,warehouse_shipments!$R:$R,D769)</f>
        <v>0</v>
      </c>
      <c r="H769" s="30">
        <f t="shared" si="1"/>
        <v>-445</v>
      </c>
      <c r="I769" s="65">
        <f t="shared" si="2"/>
        <v>0</v>
      </c>
      <c r="J769" s="30" t="s">
        <v>5307</v>
      </c>
    </row>
    <row r="770" ht="15.75" customHeight="1">
      <c r="A770" s="18">
        <v>46082.0</v>
      </c>
      <c r="B770" s="17" t="s">
        <v>4465</v>
      </c>
      <c r="C770" s="17" t="s">
        <v>63</v>
      </c>
      <c r="D770" s="17" t="s">
        <v>92</v>
      </c>
      <c r="E770" s="21">
        <v>455.0</v>
      </c>
      <c r="F770" s="21">
        <f>SUMIFS(crm_orders!$J:$J,crm_orders!$B:$B,"&gt;="&amp;A770,crm_orders!$B:$B,"&lt;"&amp;DATE(YEAR(A770),MONTH(A770)+1,1),crm_orders!$E:$E,B770,crm_orders!$G:$G,C770,crm_orders!$H:$H,D770)</f>
        <v>30</v>
      </c>
      <c r="G770" s="21">
        <f>SUMIFS(warehouse_shipments!$H:$H,warehouse_shipments!$C:$C,"&gt;="&amp;A770,warehouse_shipments!$C:$C,"&lt;"&amp;DATE(YEAR(A770),MONTH(A770)+1,1),warehouse_shipments!$P:$P,B770,warehouse_shipments!$Q:$Q,C770,warehouse_shipments!$R:$R,D770)</f>
        <v>0</v>
      </c>
      <c r="H770" s="22">
        <f t="shared" si="1"/>
        <v>-425</v>
      </c>
      <c r="I770" s="64">
        <f t="shared" si="2"/>
        <v>0.06593406593</v>
      </c>
      <c r="J770" s="22" t="s">
        <v>5309</v>
      </c>
    </row>
    <row r="771" ht="15.75" customHeight="1">
      <c r="A771" s="26">
        <v>46082.0</v>
      </c>
      <c r="B771" s="25" t="s">
        <v>4465</v>
      </c>
      <c r="C771" s="25" t="s">
        <v>63</v>
      </c>
      <c r="D771" s="25" t="s">
        <v>81</v>
      </c>
      <c r="E771" s="29">
        <v>407.0</v>
      </c>
      <c r="F771" s="29">
        <f>SUMIFS(crm_orders!$J:$J,crm_orders!$B:$B,"&gt;="&amp;A771,crm_orders!$B:$B,"&lt;"&amp;DATE(YEAR(A771),MONTH(A771)+1,1),crm_orders!$E:$E,B771,crm_orders!$G:$G,C771,crm_orders!$H:$H,D771)</f>
        <v>36</v>
      </c>
      <c r="G771" s="29">
        <f>SUMIFS(warehouse_shipments!$H:$H,warehouse_shipments!$C:$C,"&gt;="&amp;A771,warehouse_shipments!$C:$C,"&lt;"&amp;DATE(YEAR(A771),MONTH(A771)+1,1),warehouse_shipments!$P:$P,B771,warehouse_shipments!$Q:$Q,C771,warehouse_shipments!$R:$R,D771)</f>
        <v>36</v>
      </c>
      <c r="H771" s="30">
        <f t="shared" si="1"/>
        <v>-371</v>
      </c>
      <c r="I771" s="65">
        <f t="shared" si="2"/>
        <v>0.08845208845</v>
      </c>
      <c r="J771" s="30" t="s">
        <v>5306</v>
      </c>
    </row>
    <row r="772" ht="15.75" customHeight="1">
      <c r="A772" s="18">
        <v>46082.0</v>
      </c>
      <c r="B772" s="17" t="s">
        <v>4465</v>
      </c>
      <c r="C772" s="17" t="s">
        <v>63</v>
      </c>
      <c r="D772" s="17" t="s">
        <v>102</v>
      </c>
      <c r="E772" s="21">
        <v>354.0</v>
      </c>
      <c r="F772" s="21">
        <f>SUMIFS(crm_orders!$J:$J,crm_orders!$B:$B,"&gt;="&amp;A772,crm_orders!$B:$B,"&lt;"&amp;DATE(YEAR(A772),MONTH(A772)+1,1),crm_orders!$E:$E,B772,crm_orders!$G:$G,C772,crm_orders!$H:$H,D772)</f>
        <v>18</v>
      </c>
      <c r="G772" s="21">
        <f>SUMIFS(warehouse_shipments!$H:$H,warehouse_shipments!$C:$C,"&gt;="&amp;A772,warehouse_shipments!$C:$C,"&lt;"&amp;DATE(YEAR(A772),MONTH(A772)+1,1),warehouse_shipments!$P:$P,B772,warehouse_shipments!$Q:$Q,C772,warehouse_shipments!$R:$R,D772)</f>
        <v>0</v>
      </c>
      <c r="H772" s="22">
        <f t="shared" si="1"/>
        <v>-336</v>
      </c>
      <c r="I772" s="64">
        <f t="shared" si="2"/>
        <v>0.05084745763</v>
      </c>
      <c r="J772" s="22" t="s">
        <v>5307</v>
      </c>
    </row>
    <row r="773" ht="15.75" customHeight="1">
      <c r="A773" s="26">
        <v>46082.0</v>
      </c>
      <c r="B773" s="25" t="s">
        <v>4465</v>
      </c>
      <c r="C773" s="25" t="s">
        <v>63</v>
      </c>
      <c r="D773" s="25" t="s">
        <v>123</v>
      </c>
      <c r="E773" s="29">
        <v>437.0</v>
      </c>
      <c r="F773" s="29">
        <f>SUMIFS(crm_orders!$J:$J,crm_orders!$B:$B,"&gt;="&amp;A773,crm_orders!$B:$B,"&lt;"&amp;DATE(YEAR(A773),MONTH(A773)+1,1),crm_orders!$E:$E,B773,crm_orders!$G:$G,C773,crm_orders!$H:$H,D773)</f>
        <v>96</v>
      </c>
      <c r="G773" s="29">
        <f>SUMIFS(warehouse_shipments!$H:$H,warehouse_shipments!$C:$C,"&gt;="&amp;A773,warehouse_shipments!$C:$C,"&lt;"&amp;DATE(YEAR(A773),MONTH(A773)+1,1),warehouse_shipments!$P:$P,B773,warehouse_shipments!$Q:$Q,C773,warehouse_shipments!$R:$R,D773)</f>
        <v>96</v>
      </c>
      <c r="H773" s="30">
        <f t="shared" si="1"/>
        <v>-341</v>
      </c>
      <c r="I773" s="65">
        <f t="shared" si="2"/>
        <v>0.2196796339</v>
      </c>
      <c r="J773" s="30" t="s">
        <v>5311</v>
      </c>
    </row>
    <row r="774" ht="15.75" customHeight="1">
      <c r="A774" s="18">
        <v>46082.0</v>
      </c>
      <c r="B774" s="17" t="s">
        <v>4465</v>
      </c>
      <c r="C774" s="17" t="s">
        <v>63</v>
      </c>
      <c r="D774" s="17" t="s">
        <v>95</v>
      </c>
      <c r="E774" s="21">
        <v>225.0</v>
      </c>
      <c r="F774" s="21">
        <f>SUMIFS(crm_orders!$J:$J,crm_orders!$B:$B,"&gt;="&amp;A774,crm_orders!$B:$B,"&lt;"&amp;DATE(YEAR(A774),MONTH(A774)+1,1),crm_orders!$E:$E,B774,crm_orders!$G:$G,C774,crm_orders!$H:$H,D774)</f>
        <v>0</v>
      </c>
      <c r="G774" s="21">
        <f>SUMIFS(warehouse_shipments!$H:$H,warehouse_shipments!$C:$C,"&gt;="&amp;A774,warehouse_shipments!$C:$C,"&lt;"&amp;DATE(YEAR(A774),MONTH(A774)+1,1),warehouse_shipments!$P:$P,B774,warehouse_shipments!$Q:$Q,C774,warehouse_shipments!$R:$R,D774)</f>
        <v>0</v>
      </c>
      <c r="H774" s="22">
        <f t="shared" si="1"/>
        <v>-225</v>
      </c>
      <c r="I774" s="64">
        <f t="shared" si="2"/>
        <v>0</v>
      </c>
      <c r="J774" s="22" t="s">
        <v>5309</v>
      </c>
    </row>
    <row r="775" ht="15.75" customHeight="1">
      <c r="A775" s="26">
        <v>46082.0</v>
      </c>
      <c r="B775" s="25" t="s">
        <v>4465</v>
      </c>
      <c r="C775" s="25" t="s">
        <v>63</v>
      </c>
      <c r="D775" s="25" t="s">
        <v>190</v>
      </c>
      <c r="E775" s="29">
        <v>333.0</v>
      </c>
      <c r="F775" s="29">
        <f>SUMIFS(crm_orders!$J:$J,crm_orders!$B:$B,"&gt;="&amp;A775,crm_orders!$B:$B,"&lt;"&amp;DATE(YEAR(A775),MONTH(A775)+1,1),crm_orders!$E:$E,B775,crm_orders!$G:$G,C775,crm_orders!$H:$H,D775)</f>
        <v>0</v>
      </c>
      <c r="G775" s="29">
        <f>SUMIFS(warehouse_shipments!$H:$H,warehouse_shipments!$C:$C,"&gt;="&amp;A775,warehouse_shipments!$C:$C,"&lt;"&amp;DATE(YEAR(A775),MONTH(A775)+1,1),warehouse_shipments!$P:$P,B775,warehouse_shipments!$Q:$Q,C775,warehouse_shipments!$R:$R,D775)</f>
        <v>0</v>
      </c>
      <c r="H775" s="30">
        <f t="shared" si="1"/>
        <v>-333</v>
      </c>
      <c r="I775" s="65">
        <f t="shared" si="2"/>
        <v>0</v>
      </c>
      <c r="J775" s="30" t="s">
        <v>5308</v>
      </c>
    </row>
    <row r="776" ht="15.75" customHeight="1">
      <c r="A776" s="18">
        <v>46082.0</v>
      </c>
      <c r="B776" s="17" t="s">
        <v>4465</v>
      </c>
      <c r="C776" s="17" t="s">
        <v>63</v>
      </c>
      <c r="D776" s="17" t="s">
        <v>156</v>
      </c>
      <c r="E776" s="21">
        <v>397.0</v>
      </c>
      <c r="F776" s="21">
        <f>SUMIFS(crm_orders!$J:$J,crm_orders!$B:$B,"&gt;="&amp;A776,crm_orders!$B:$B,"&lt;"&amp;DATE(YEAR(A776),MONTH(A776)+1,1),crm_orders!$E:$E,B776,crm_orders!$G:$G,C776,crm_orders!$H:$H,D776)</f>
        <v>300</v>
      </c>
      <c r="G776" s="21">
        <f>SUMIFS(warehouse_shipments!$H:$H,warehouse_shipments!$C:$C,"&gt;="&amp;A776,warehouse_shipments!$C:$C,"&lt;"&amp;DATE(YEAR(A776),MONTH(A776)+1,1),warehouse_shipments!$P:$P,B776,warehouse_shipments!$Q:$Q,C776,warehouse_shipments!$R:$R,D776)</f>
        <v>120</v>
      </c>
      <c r="H776" s="22">
        <f t="shared" si="1"/>
        <v>-97</v>
      </c>
      <c r="I776" s="64">
        <f t="shared" si="2"/>
        <v>0.7556675063</v>
      </c>
      <c r="J776" s="22" t="s">
        <v>5306</v>
      </c>
    </row>
    <row r="777" ht="15.75" customHeight="1">
      <c r="A777" s="26">
        <v>46082.0</v>
      </c>
      <c r="B777" s="25" t="s">
        <v>4465</v>
      </c>
      <c r="C777" s="25" t="s">
        <v>63</v>
      </c>
      <c r="D777" s="25" t="s">
        <v>108</v>
      </c>
      <c r="E777" s="29">
        <v>157.0</v>
      </c>
      <c r="F777" s="29">
        <f>SUMIFS(crm_orders!$J:$J,crm_orders!$B:$B,"&gt;="&amp;A777,crm_orders!$B:$B,"&lt;"&amp;DATE(YEAR(A777),MONTH(A777)+1,1),crm_orders!$E:$E,B777,crm_orders!$G:$G,C777,crm_orders!$H:$H,D777)</f>
        <v>24</v>
      </c>
      <c r="G777" s="29">
        <f>SUMIFS(warehouse_shipments!$H:$H,warehouse_shipments!$C:$C,"&gt;="&amp;A777,warehouse_shipments!$C:$C,"&lt;"&amp;DATE(YEAR(A777),MONTH(A777)+1,1),warehouse_shipments!$P:$P,B777,warehouse_shipments!$Q:$Q,C777,warehouse_shipments!$R:$R,D777)</f>
        <v>24</v>
      </c>
      <c r="H777" s="30">
        <f t="shared" si="1"/>
        <v>-133</v>
      </c>
      <c r="I777" s="65">
        <f t="shared" si="2"/>
        <v>0.152866242</v>
      </c>
      <c r="J777" s="30" t="s">
        <v>5306</v>
      </c>
    </row>
    <row r="778" ht="15.75" customHeight="1">
      <c r="A778" s="18">
        <v>46082.0</v>
      </c>
      <c r="B778" s="17" t="s">
        <v>4465</v>
      </c>
      <c r="C778" s="17" t="s">
        <v>67</v>
      </c>
      <c r="D778" s="17" t="s">
        <v>156</v>
      </c>
      <c r="E778" s="21">
        <v>318.0</v>
      </c>
      <c r="F778" s="21">
        <f>SUMIFS(crm_orders!$J:$J,crm_orders!$B:$B,"&gt;="&amp;A778,crm_orders!$B:$B,"&lt;"&amp;DATE(YEAR(A778),MONTH(A778)+1,1),crm_orders!$E:$E,B778,crm_orders!$G:$G,C778,crm_orders!$H:$H,D778)</f>
        <v>0</v>
      </c>
      <c r="G778" s="21">
        <f>SUMIFS(warehouse_shipments!$H:$H,warehouse_shipments!$C:$C,"&gt;="&amp;A778,warehouse_shipments!$C:$C,"&lt;"&amp;DATE(YEAR(A778),MONTH(A778)+1,1),warehouse_shipments!$P:$P,B778,warehouse_shipments!$Q:$Q,C778,warehouse_shipments!$R:$R,D778)</f>
        <v>0</v>
      </c>
      <c r="H778" s="22">
        <f t="shared" si="1"/>
        <v>-318</v>
      </c>
      <c r="I778" s="64">
        <f t="shared" si="2"/>
        <v>0</v>
      </c>
      <c r="J778" s="22" t="s">
        <v>5308</v>
      </c>
    </row>
    <row r="779" ht="15.75" customHeight="1">
      <c r="A779" s="26">
        <v>46082.0</v>
      </c>
      <c r="B779" s="25" t="s">
        <v>4465</v>
      </c>
      <c r="C779" s="25" t="s">
        <v>67</v>
      </c>
      <c r="D779" s="25" t="s">
        <v>154</v>
      </c>
      <c r="E779" s="29">
        <v>212.0</v>
      </c>
      <c r="F779" s="29">
        <f>SUMIFS(crm_orders!$J:$J,crm_orders!$B:$B,"&gt;="&amp;A779,crm_orders!$B:$B,"&lt;"&amp;DATE(YEAR(A779),MONTH(A779)+1,1),crm_orders!$E:$E,B779,crm_orders!$G:$G,C779,crm_orders!$H:$H,D779)</f>
        <v>0</v>
      </c>
      <c r="G779" s="29">
        <f>SUMIFS(warehouse_shipments!$H:$H,warehouse_shipments!$C:$C,"&gt;="&amp;A779,warehouse_shipments!$C:$C,"&lt;"&amp;DATE(YEAR(A779),MONTH(A779)+1,1),warehouse_shipments!$P:$P,B779,warehouse_shipments!$Q:$Q,C779,warehouse_shipments!$R:$R,D779)</f>
        <v>0</v>
      </c>
      <c r="H779" s="30">
        <f t="shared" si="1"/>
        <v>-212</v>
      </c>
      <c r="I779" s="65">
        <f t="shared" si="2"/>
        <v>0</v>
      </c>
      <c r="J779" s="30" t="s">
        <v>5308</v>
      </c>
    </row>
    <row r="780" ht="15.75" customHeight="1">
      <c r="A780" s="18">
        <v>46082.0</v>
      </c>
      <c r="B780" s="17" t="s">
        <v>4465</v>
      </c>
      <c r="C780" s="17" t="s">
        <v>67</v>
      </c>
      <c r="D780" s="17" t="s">
        <v>123</v>
      </c>
      <c r="E780" s="21">
        <v>512.0</v>
      </c>
      <c r="F780" s="21">
        <f>SUMIFS(crm_orders!$J:$J,crm_orders!$B:$B,"&gt;="&amp;A780,crm_orders!$B:$B,"&lt;"&amp;DATE(YEAR(A780),MONTH(A780)+1,1),crm_orders!$E:$E,B780,crm_orders!$G:$G,C780,crm_orders!$H:$H,D780)</f>
        <v>0</v>
      </c>
      <c r="G780" s="21">
        <f>SUMIFS(warehouse_shipments!$H:$H,warehouse_shipments!$C:$C,"&gt;="&amp;A780,warehouse_shipments!$C:$C,"&lt;"&amp;DATE(YEAR(A780),MONTH(A780)+1,1),warehouse_shipments!$P:$P,B780,warehouse_shipments!$Q:$Q,C780,warehouse_shipments!$R:$R,D780)</f>
        <v>0</v>
      </c>
      <c r="H780" s="22">
        <f t="shared" si="1"/>
        <v>-512</v>
      </c>
      <c r="I780" s="64">
        <f t="shared" si="2"/>
        <v>0</v>
      </c>
      <c r="J780" s="22" t="s">
        <v>5311</v>
      </c>
    </row>
    <row r="781" ht="15.75" customHeight="1">
      <c r="A781" s="26">
        <v>46082.0</v>
      </c>
      <c r="B781" s="25" t="s">
        <v>4465</v>
      </c>
      <c r="C781" s="25" t="s">
        <v>67</v>
      </c>
      <c r="D781" s="25" t="s">
        <v>85</v>
      </c>
      <c r="E781" s="29">
        <v>231.0</v>
      </c>
      <c r="F781" s="29">
        <f>SUMIFS(crm_orders!$J:$J,crm_orders!$B:$B,"&gt;="&amp;A781,crm_orders!$B:$B,"&lt;"&amp;DATE(YEAR(A781),MONTH(A781)+1,1),crm_orders!$E:$E,B781,crm_orders!$G:$G,C781,crm_orders!$H:$H,D781)</f>
        <v>0</v>
      </c>
      <c r="G781" s="29">
        <f>SUMIFS(warehouse_shipments!$H:$H,warehouse_shipments!$C:$C,"&gt;="&amp;A781,warehouse_shipments!$C:$C,"&lt;"&amp;DATE(YEAR(A781),MONTH(A781)+1,1),warehouse_shipments!$P:$P,B781,warehouse_shipments!$Q:$Q,C781,warehouse_shipments!$R:$R,D781)</f>
        <v>0</v>
      </c>
      <c r="H781" s="30">
        <f t="shared" si="1"/>
        <v>-231</v>
      </c>
      <c r="I781" s="65">
        <f t="shared" si="2"/>
        <v>0</v>
      </c>
      <c r="J781" s="30" t="s">
        <v>5310</v>
      </c>
    </row>
    <row r="782" ht="15.75" customHeight="1">
      <c r="A782" s="18">
        <v>46082.0</v>
      </c>
      <c r="B782" s="17" t="s">
        <v>4465</v>
      </c>
      <c r="C782" s="17" t="s">
        <v>67</v>
      </c>
      <c r="D782" s="17" t="s">
        <v>110</v>
      </c>
      <c r="E782" s="21">
        <v>225.0</v>
      </c>
      <c r="F782" s="21">
        <f>SUMIFS(crm_orders!$J:$J,crm_orders!$B:$B,"&gt;="&amp;A782,crm_orders!$B:$B,"&lt;"&amp;DATE(YEAR(A782),MONTH(A782)+1,1),crm_orders!$E:$E,B782,crm_orders!$G:$G,C782,crm_orders!$H:$H,D782)</f>
        <v>0</v>
      </c>
      <c r="G782" s="21">
        <f>SUMIFS(warehouse_shipments!$H:$H,warehouse_shipments!$C:$C,"&gt;="&amp;A782,warehouse_shipments!$C:$C,"&lt;"&amp;DATE(YEAR(A782),MONTH(A782)+1,1),warehouse_shipments!$P:$P,B782,warehouse_shipments!$Q:$Q,C782,warehouse_shipments!$R:$R,D782)</f>
        <v>0</v>
      </c>
      <c r="H782" s="22">
        <f t="shared" si="1"/>
        <v>-225</v>
      </c>
      <c r="I782" s="64">
        <f t="shared" si="2"/>
        <v>0</v>
      </c>
      <c r="J782" s="22" t="s">
        <v>5307</v>
      </c>
    </row>
    <row r="783" ht="15.75" customHeight="1">
      <c r="A783" s="26">
        <v>46082.0</v>
      </c>
      <c r="B783" s="25" t="s">
        <v>4465</v>
      </c>
      <c r="C783" s="25" t="s">
        <v>67</v>
      </c>
      <c r="D783" s="25" t="s">
        <v>68</v>
      </c>
      <c r="E783" s="29">
        <v>381.0</v>
      </c>
      <c r="F783" s="29">
        <f>SUMIFS(crm_orders!$J:$J,crm_orders!$B:$B,"&gt;="&amp;A783,crm_orders!$B:$B,"&lt;"&amp;DATE(YEAR(A783),MONTH(A783)+1,1),crm_orders!$E:$E,B783,crm_orders!$G:$G,C783,crm_orders!$H:$H,D783)</f>
        <v>0</v>
      </c>
      <c r="G783" s="29">
        <f>SUMIFS(warehouse_shipments!$H:$H,warehouse_shipments!$C:$C,"&gt;="&amp;A783,warehouse_shipments!$C:$C,"&lt;"&amp;DATE(YEAR(A783),MONTH(A783)+1,1),warehouse_shipments!$P:$P,B783,warehouse_shipments!$Q:$Q,C783,warehouse_shipments!$R:$R,D783)</f>
        <v>0</v>
      </c>
      <c r="H783" s="30">
        <f t="shared" si="1"/>
        <v>-381</v>
      </c>
      <c r="I783" s="65">
        <f t="shared" si="2"/>
        <v>0</v>
      </c>
      <c r="J783" s="30" t="s">
        <v>5309</v>
      </c>
    </row>
    <row r="784" ht="15.75" customHeight="1">
      <c r="A784" s="18">
        <v>46082.0</v>
      </c>
      <c r="B784" s="17" t="s">
        <v>4465</v>
      </c>
      <c r="C784" s="17" t="s">
        <v>67</v>
      </c>
      <c r="D784" s="17" t="s">
        <v>71</v>
      </c>
      <c r="E784" s="21">
        <v>383.0</v>
      </c>
      <c r="F784" s="21">
        <f>SUMIFS(crm_orders!$J:$J,crm_orders!$B:$B,"&gt;="&amp;A784,crm_orders!$B:$B,"&lt;"&amp;DATE(YEAR(A784),MONTH(A784)+1,1),crm_orders!$E:$E,B784,crm_orders!$G:$G,C784,crm_orders!$H:$H,D784)</f>
        <v>0</v>
      </c>
      <c r="G784" s="21">
        <f>SUMIFS(warehouse_shipments!$H:$H,warehouse_shipments!$C:$C,"&gt;="&amp;A784,warehouse_shipments!$C:$C,"&lt;"&amp;DATE(YEAR(A784),MONTH(A784)+1,1),warehouse_shipments!$P:$P,B784,warehouse_shipments!$Q:$Q,C784,warehouse_shipments!$R:$R,D784)</f>
        <v>0</v>
      </c>
      <c r="H784" s="22">
        <f t="shared" si="1"/>
        <v>-383</v>
      </c>
      <c r="I784" s="64">
        <f t="shared" si="2"/>
        <v>0</v>
      </c>
      <c r="J784" s="22" t="s">
        <v>5307</v>
      </c>
    </row>
    <row r="785" ht="15.75" customHeight="1">
      <c r="A785" s="26">
        <v>46082.0</v>
      </c>
      <c r="B785" s="25" t="s">
        <v>4465</v>
      </c>
      <c r="C785" s="25" t="s">
        <v>67</v>
      </c>
      <c r="D785" s="25" t="s">
        <v>92</v>
      </c>
      <c r="E785" s="29">
        <v>310.0</v>
      </c>
      <c r="F785" s="29">
        <f>SUMIFS(crm_orders!$J:$J,crm_orders!$B:$B,"&gt;="&amp;A785,crm_orders!$B:$B,"&lt;"&amp;DATE(YEAR(A785),MONTH(A785)+1,1),crm_orders!$E:$E,B785,crm_orders!$G:$G,C785,crm_orders!$H:$H,D785)</f>
        <v>0</v>
      </c>
      <c r="G785" s="29">
        <f>SUMIFS(warehouse_shipments!$H:$H,warehouse_shipments!$C:$C,"&gt;="&amp;A785,warehouse_shipments!$C:$C,"&lt;"&amp;DATE(YEAR(A785),MONTH(A785)+1,1),warehouse_shipments!$P:$P,B785,warehouse_shipments!$Q:$Q,C785,warehouse_shipments!$R:$R,D785)</f>
        <v>0</v>
      </c>
      <c r="H785" s="30">
        <f t="shared" si="1"/>
        <v>-310</v>
      </c>
      <c r="I785" s="65">
        <f t="shared" si="2"/>
        <v>0</v>
      </c>
      <c r="J785" s="30" t="s">
        <v>5306</v>
      </c>
    </row>
    <row r="786" ht="15.75" customHeight="1">
      <c r="A786" s="18">
        <v>46082.0</v>
      </c>
      <c r="B786" s="17" t="s">
        <v>4465</v>
      </c>
      <c r="C786" s="17" t="s">
        <v>89</v>
      </c>
      <c r="D786" s="17" t="s">
        <v>190</v>
      </c>
      <c r="E786" s="21">
        <v>366.0</v>
      </c>
      <c r="F786" s="21">
        <f>SUMIFS(crm_orders!$J:$J,crm_orders!$B:$B,"&gt;="&amp;A786,crm_orders!$B:$B,"&lt;"&amp;DATE(YEAR(A786),MONTH(A786)+1,1),crm_orders!$E:$E,B786,crm_orders!$G:$G,C786,crm_orders!$H:$H,D786)</f>
        <v>0</v>
      </c>
      <c r="G786" s="21">
        <f>SUMIFS(warehouse_shipments!$H:$H,warehouse_shipments!$C:$C,"&gt;="&amp;A786,warehouse_shipments!$C:$C,"&lt;"&amp;DATE(YEAR(A786),MONTH(A786)+1,1),warehouse_shipments!$P:$P,B786,warehouse_shipments!$Q:$Q,C786,warehouse_shipments!$R:$R,D786)</f>
        <v>0</v>
      </c>
      <c r="H786" s="22">
        <f t="shared" si="1"/>
        <v>-366</v>
      </c>
      <c r="I786" s="64">
        <f t="shared" si="2"/>
        <v>0</v>
      </c>
      <c r="J786" s="22" t="s">
        <v>5310</v>
      </c>
    </row>
    <row r="787" ht="15.75" customHeight="1">
      <c r="A787" s="26">
        <v>46082.0</v>
      </c>
      <c r="B787" s="25" t="s">
        <v>4465</v>
      </c>
      <c r="C787" s="25" t="s">
        <v>89</v>
      </c>
      <c r="D787" s="25" t="s">
        <v>64</v>
      </c>
      <c r="E787" s="29">
        <v>493.0</v>
      </c>
      <c r="F787" s="29">
        <f>SUMIFS(crm_orders!$J:$J,crm_orders!$B:$B,"&gt;="&amp;A787,crm_orders!$B:$B,"&lt;"&amp;DATE(YEAR(A787),MONTH(A787)+1,1),crm_orders!$E:$E,B787,crm_orders!$G:$G,C787,crm_orders!$H:$H,D787)</f>
        <v>0</v>
      </c>
      <c r="G787" s="29">
        <f>SUMIFS(warehouse_shipments!$H:$H,warehouse_shipments!$C:$C,"&gt;="&amp;A787,warehouse_shipments!$C:$C,"&lt;"&amp;DATE(YEAR(A787),MONTH(A787)+1,1),warehouse_shipments!$P:$P,B787,warehouse_shipments!$Q:$Q,C787,warehouse_shipments!$R:$R,D787)</f>
        <v>0</v>
      </c>
      <c r="H787" s="30">
        <f t="shared" si="1"/>
        <v>-493</v>
      </c>
      <c r="I787" s="65">
        <f t="shared" si="2"/>
        <v>0</v>
      </c>
      <c r="J787" s="30" t="s">
        <v>5306</v>
      </c>
    </row>
    <row r="788" ht="15.75" customHeight="1">
      <c r="A788" s="18">
        <v>46082.0</v>
      </c>
      <c r="B788" s="17" t="s">
        <v>4465</v>
      </c>
      <c r="C788" s="17" t="s">
        <v>89</v>
      </c>
      <c r="D788" s="17" t="s">
        <v>68</v>
      </c>
      <c r="E788" s="21">
        <v>468.0</v>
      </c>
      <c r="F788" s="21">
        <f>SUMIFS(crm_orders!$J:$J,crm_orders!$B:$B,"&gt;="&amp;A788,crm_orders!$B:$B,"&lt;"&amp;DATE(YEAR(A788),MONTH(A788)+1,1),crm_orders!$E:$E,B788,crm_orders!$G:$G,C788,crm_orders!$H:$H,D788)</f>
        <v>0</v>
      </c>
      <c r="G788" s="21">
        <f>SUMIFS(warehouse_shipments!$H:$H,warehouse_shipments!$C:$C,"&gt;="&amp;A788,warehouse_shipments!$C:$C,"&lt;"&amp;DATE(YEAR(A788),MONTH(A788)+1,1),warehouse_shipments!$P:$P,B788,warehouse_shipments!$Q:$Q,C788,warehouse_shipments!$R:$R,D788)</f>
        <v>0</v>
      </c>
      <c r="H788" s="22">
        <f t="shared" si="1"/>
        <v>-468</v>
      </c>
      <c r="I788" s="64">
        <f t="shared" si="2"/>
        <v>0</v>
      </c>
      <c r="J788" s="22" t="s">
        <v>5308</v>
      </c>
    </row>
    <row r="789" ht="15.75" customHeight="1">
      <c r="A789" s="26">
        <v>46082.0</v>
      </c>
      <c r="B789" s="25" t="s">
        <v>4465</v>
      </c>
      <c r="C789" s="25" t="s">
        <v>89</v>
      </c>
      <c r="D789" s="25" t="s">
        <v>78</v>
      </c>
      <c r="E789" s="29">
        <v>413.0</v>
      </c>
      <c r="F789" s="29">
        <f>SUMIFS(crm_orders!$J:$J,crm_orders!$B:$B,"&gt;="&amp;A789,crm_orders!$B:$B,"&lt;"&amp;DATE(YEAR(A789),MONTH(A789)+1,1),crm_orders!$E:$E,B789,crm_orders!$G:$G,C789,crm_orders!$H:$H,D789)</f>
        <v>0</v>
      </c>
      <c r="G789" s="29">
        <f>SUMIFS(warehouse_shipments!$H:$H,warehouse_shipments!$C:$C,"&gt;="&amp;A789,warehouse_shipments!$C:$C,"&lt;"&amp;DATE(YEAR(A789),MONTH(A789)+1,1),warehouse_shipments!$P:$P,B789,warehouse_shipments!$Q:$Q,C789,warehouse_shipments!$R:$R,D789)</f>
        <v>0</v>
      </c>
      <c r="H789" s="30">
        <f t="shared" si="1"/>
        <v>-413</v>
      </c>
      <c r="I789" s="65">
        <f t="shared" si="2"/>
        <v>0</v>
      </c>
      <c r="J789" s="30" t="s">
        <v>5310</v>
      </c>
    </row>
    <row r="790" ht="15.75" customHeight="1">
      <c r="A790" s="18">
        <v>46082.0</v>
      </c>
      <c r="B790" s="17" t="s">
        <v>4465</v>
      </c>
      <c r="C790" s="17" t="s">
        <v>89</v>
      </c>
      <c r="D790" s="17" t="s">
        <v>110</v>
      </c>
      <c r="E790" s="21">
        <v>208.0</v>
      </c>
      <c r="F790" s="21">
        <f>SUMIFS(crm_orders!$J:$J,crm_orders!$B:$B,"&gt;="&amp;A790,crm_orders!$B:$B,"&lt;"&amp;DATE(YEAR(A790),MONTH(A790)+1,1),crm_orders!$E:$E,B790,crm_orders!$G:$G,C790,crm_orders!$H:$H,D790)</f>
        <v>186</v>
      </c>
      <c r="G790" s="21">
        <f>SUMIFS(warehouse_shipments!$H:$H,warehouse_shipments!$C:$C,"&gt;="&amp;A790,warehouse_shipments!$C:$C,"&lt;"&amp;DATE(YEAR(A790),MONTH(A790)+1,1),warehouse_shipments!$P:$P,B790,warehouse_shipments!$Q:$Q,C790,warehouse_shipments!$R:$R,D790)</f>
        <v>186</v>
      </c>
      <c r="H790" s="22">
        <f t="shared" si="1"/>
        <v>-22</v>
      </c>
      <c r="I790" s="64">
        <f t="shared" si="2"/>
        <v>0.8942307692</v>
      </c>
      <c r="J790" s="22" t="s">
        <v>5308</v>
      </c>
    </row>
    <row r="791" ht="15.75" customHeight="1">
      <c r="A791" s="26">
        <v>46082.0</v>
      </c>
      <c r="B791" s="25" t="s">
        <v>4465</v>
      </c>
      <c r="C791" s="25" t="s">
        <v>89</v>
      </c>
      <c r="D791" s="25" t="s">
        <v>95</v>
      </c>
      <c r="E791" s="29">
        <v>357.0</v>
      </c>
      <c r="F791" s="29">
        <f>SUMIFS(crm_orders!$J:$J,crm_orders!$B:$B,"&gt;="&amp;A791,crm_orders!$B:$B,"&lt;"&amp;DATE(YEAR(A791),MONTH(A791)+1,1),crm_orders!$E:$E,B791,crm_orders!$G:$G,C791,crm_orders!$H:$H,D791)</f>
        <v>0</v>
      </c>
      <c r="G791" s="29">
        <f>SUMIFS(warehouse_shipments!$H:$H,warehouse_shipments!$C:$C,"&gt;="&amp;A791,warehouse_shipments!$C:$C,"&lt;"&amp;DATE(YEAR(A791),MONTH(A791)+1,1),warehouse_shipments!$P:$P,B791,warehouse_shipments!$Q:$Q,C791,warehouse_shipments!$R:$R,D791)</f>
        <v>0</v>
      </c>
      <c r="H791" s="30">
        <f t="shared" si="1"/>
        <v>-357</v>
      </c>
      <c r="I791" s="65">
        <f t="shared" si="2"/>
        <v>0</v>
      </c>
      <c r="J791" s="30" t="s">
        <v>5309</v>
      </c>
    </row>
    <row r="792" ht="15.75" customHeight="1">
      <c r="A792" s="18">
        <v>46082.0</v>
      </c>
      <c r="B792" s="17" t="s">
        <v>4465</v>
      </c>
      <c r="C792" s="17" t="s">
        <v>89</v>
      </c>
      <c r="D792" s="17" t="s">
        <v>92</v>
      </c>
      <c r="E792" s="21">
        <v>481.0</v>
      </c>
      <c r="F792" s="21">
        <f>SUMIFS(crm_orders!$J:$J,crm_orders!$B:$B,"&gt;="&amp;A792,crm_orders!$B:$B,"&lt;"&amp;DATE(YEAR(A792),MONTH(A792)+1,1),crm_orders!$E:$E,B792,crm_orders!$G:$G,C792,crm_orders!$H:$H,D792)</f>
        <v>0</v>
      </c>
      <c r="G792" s="21">
        <f>SUMIFS(warehouse_shipments!$H:$H,warehouse_shipments!$C:$C,"&gt;="&amp;A792,warehouse_shipments!$C:$C,"&lt;"&amp;DATE(YEAR(A792),MONTH(A792)+1,1),warehouse_shipments!$P:$P,B792,warehouse_shipments!$Q:$Q,C792,warehouse_shipments!$R:$R,D792)</f>
        <v>0</v>
      </c>
      <c r="H792" s="22">
        <f t="shared" si="1"/>
        <v>-481</v>
      </c>
      <c r="I792" s="64">
        <f t="shared" si="2"/>
        <v>0</v>
      </c>
      <c r="J792" s="22" t="s">
        <v>5306</v>
      </c>
    </row>
    <row r="793" ht="15.75" customHeight="1">
      <c r="A793" s="26">
        <v>46082.0</v>
      </c>
      <c r="B793" s="25" t="s">
        <v>4465</v>
      </c>
      <c r="C793" s="25" t="s">
        <v>89</v>
      </c>
      <c r="D793" s="25" t="s">
        <v>108</v>
      </c>
      <c r="E793" s="29">
        <v>276.0</v>
      </c>
      <c r="F793" s="29">
        <f>SUMIFS(crm_orders!$J:$J,crm_orders!$B:$B,"&gt;="&amp;A793,crm_orders!$B:$B,"&lt;"&amp;DATE(YEAR(A793),MONTH(A793)+1,1),crm_orders!$E:$E,B793,crm_orders!$G:$G,C793,crm_orders!$H:$H,D793)</f>
        <v>0</v>
      </c>
      <c r="G793" s="29">
        <f>SUMIFS(warehouse_shipments!$H:$H,warehouse_shipments!$C:$C,"&gt;="&amp;A793,warehouse_shipments!$C:$C,"&lt;"&amp;DATE(YEAR(A793),MONTH(A793)+1,1),warehouse_shipments!$P:$P,B793,warehouse_shipments!$Q:$Q,C793,warehouse_shipments!$R:$R,D793)</f>
        <v>0</v>
      </c>
      <c r="H793" s="30">
        <f t="shared" si="1"/>
        <v>-276</v>
      </c>
      <c r="I793" s="65">
        <f t="shared" si="2"/>
        <v>0</v>
      </c>
      <c r="J793" s="30" t="s">
        <v>5309</v>
      </c>
    </row>
    <row r="794" ht="15.75" customHeight="1">
      <c r="A794" s="18">
        <v>46082.0</v>
      </c>
      <c r="B794" s="17" t="s">
        <v>4559</v>
      </c>
      <c r="C794" s="17" t="s">
        <v>63</v>
      </c>
      <c r="D794" s="17" t="s">
        <v>90</v>
      </c>
      <c r="E794" s="21">
        <v>347.0</v>
      </c>
      <c r="F794" s="21">
        <f>SUMIFS(crm_orders!$J:$J,crm_orders!$B:$B,"&gt;="&amp;A794,crm_orders!$B:$B,"&lt;"&amp;DATE(YEAR(A794),MONTH(A794)+1,1),crm_orders!$E:$E,B794,crm_orders!$G:$G,C794,crm_orders!$H:$H,D794)</f>
        <v>120</v>
      </c>
      <c r="G794" s="21">
        <f>SUMIFS(warehouse_shipments!$H:$H,warehouse_shipments!$C:$C,"&gt;="&amp;A794,warehouse_shipments!$C:$C,"&lt;"&amp;DATE(YEAR(A794),MONTH(A794)+1,1),warehouse_shipments!$P:$P,B794,warehouse_shipments!$Q:$Q,C794,warehouse_shipments!$R:$R,D794)</f>
        <v>120</v>
      </c>
      <c r="H794" s="22">
        <f t="shared" si="1"/>
        <v>-227</v>
      </c>
      <c r="I794" s="64">
        <f t="shared" si="2"/>
        <v>0.3458213256</v>
      </c>
      <c r="J794" s="22" t="s">
        <v>5308</v>
      </c>
    </row>
    <row r="795" ht="15.75" customHeight="1">
      <c r="A795" s="26">
        <v>46082.0</v>
      </c>
      <c r="B795" s="25" t="s">
        <v>4559</v>
      </c>
      <c r="C795" s="25" t="s">
        <v>63</v>
      </c>
      <c r="D795" s="25" t="s">
        <v>85</v>
      </c>
      <c r="E795" s="29">
        <v>483.0</v>
      </c>
      <c r="F795" s="29">
        <f>SUMIFS(crm_orders!$J:$J,crm_orders!$B:$B,"&gt;="&amp;A795,crm_orders!$B:$B,"&lt;"&amp;DATE(YEAR(A795),MONTH(A795)+1,1),crm_orders!$E:$E,B795,crm_orders!$G:$G,C795,crm_orders!$H:$H,D795)</f>
        <v>36</v>
      </c>
      <c r="G795" s="29">
        <f>SUMIFS(warehouse_shipments!$H:$H,warehouse_shipments!$C:$C,"&gt;="&amp;A795,warehouse_shipments!$C:$C,"&lt;"&amp;DATE(YEAR(A795),MONTH(A795)+1,1),warehouse_shipments!$P:$P,B795,warehouse_shipments!$Q:$Q,C795,warehouse_shipments!$R:$R,D795)</f>
        <v>36</v>
      </c>
      <c r="H795" s="30">
        <f t="shared" si="1"/>
        <v>-447</v>
      </c>
      <c r="I795" s="65">
        <f t="shared" si="2"/>
        <v>0.07453416149</v>
      </c>
      <c r="J795" s="30" t="s">
        <v>5309</v>
      </c>
    </row>
    <row r="796" ht="15.75" customHeight="1">
      <c r="A796" s="18">
        <v>46082.0</v>
      </c>
      <c r="B796" s="17" t="s">
        <v>4559</v>
      </c>
      <c r="C796" s="17" t="s">
        <v>63</v>
      </c>
      <c r="D796" s="17" t="s">
        <v>106</v>
      </c>
      <c r="E796" s="21">
        <v>150.0</v>
      </c>
      <c r="F796" s="21">
        <f>SUMIFS(crm_orders!$J:$J,crm_orders!$B:$B,"&gt;="&amp;A796,crm_orders!$B:$B,"&lt;"&amp;DATE(YEAR(A796),MONTH(A796)+1,1),crm_orders!$E:$E,B796,crm_orders!$G:$G,C796,crm_orders!$H:$H,D796)</f>
        <v>12</v>
      </c>
      <c r="G796" s="21">
        <f>SUMIFS(warehouse_shipments!$H:$H,warehouse_shipments!$C:$C,"&gt;="&amp;A796,warehouse_shipments!$C:$C,"&lt;"&amp;DATE(YEAR(A796),MONTH(A796)+1,1),warehouse_shipments!$P:$P,B796,warehouse_shipments!$Q:$Q,C796,warehouse_shipments!$R:$R,D796)</f>
        <v>0</v>
      </c>
      <c r="H796" s="22">
        <f t="shared" si="1"/>
        <v>-138</v>
      </c>
      <c r="I796" s="64">
        <f t="shared" si="2"/>
        <v>0.08</v>
      </c>
      <c r="J796" s="22" t="s">
        <v>5311</v>
      </c>
    </row>
    <row r="797" ht="15.75" customHeight="1">
      <c r="A797" s="26">
        <v>46082.0</v>
      </c>
      <c r="B797" s="25" t="s">
        <v>4559</v>
      </c>
      <c r="C797" s="25" t="s">
        <v>63</v>
      </c>
      <c r="D797" s="25" t="s">
        <v>162</v>
      </c>
      <c r="E797" s="29">
        <v>116.0</v>
      </c>
      <c r="F797" s="29">
        <f>SUMIFS(crm_orders!$J:$J,crm_orders!$B:$B,"&gt;="&amp;A797,crm_orders!$B:$B,"&lt;"&amp;DATE(YEAR(A797),MONTH(A797)+1,1),crm_orders!$E:$E,B797,crm_orders!$G:$G,C797,crm_orders!$H:$H,D797)</f>
        <v>0</v>
      </c>
      <c r="G797" s="29">
        <f>SUMIFS(warehouse_shipments!$H:$H,warehouse_shipments!$C:$C,"&gt;="&amp;A797,warehouse_shipments!$C:$C,"&lt;"&amp;DATE(YEAR(A797),MONTH(A797)+1,1),warehouse_shipments!$P:$P,B797,warehouse_shipments!$Q:$Q,C797,warehouse_shipments!$R:$R,D797)</f>
        <v>0</v>
      </c>
      <c r="H797" s="30">
        <f t="shared" si="1"/>
        <v>-116</v>
      </c>
      <c r="I797" s="65">
        <f t="shared" si="2"/>
        <v>0</v>
      </c>
      <c r="J797" s="30" t="s">
        <v>5309</v>
      </c>
    </row>
    <row r="798" ht="15.75" customHeight="1">
      <c r="A798" s="18">
        <v>46082.0</v>
      </c>
      <c r="B798" s="17" t="s">
        <v>4559</v>
      </c>
      <c r="C798" s="17" t="s">
        <v>63</v>
      </c>
      <c r="D798" s="17" t="s">
        <v>68</v>
      </c>
      <c r="E798" s="21">
        <v>329.0</v>
      </c>
      <c r="F798" s="21">
        <f>SUMIFS(crm_orders!$J:$J,crm_orders!$B:$B,"&gt;="&amp;A798,crm_orders!$B:$B,"&lt;"&amp;DATE(YEAR(A798),MONTH(A798)+1,1),crm_orders!$E:$E,B798,crm_orders!$G:$G,C798,crm_orders!$H:$H,D798)</f>
        <v>0</v>
      </c>
      <c r="G798" s="21">
        <f>SUMIFS(warehouse_shipments!$H:$H,warehouse_shipments!$C:$C,"&gt;="&amp;A798,warehouse_shipments!$C:$C,"&lt;"&amp;DATE(YEAR(A798),MONTH(A798)+1,1),warehouse_shipments!$P:$P,B798,warehouse_shipments!$Q:$Q,C798,warehouse_shipments!$R:$R,D798)</f>
        <v>0</v>
      </c>
      <c r="H798" s="22">
        <f t="shared" si="1"/>
        <v>-329</v>
      </c>
      <c r="I798" s="64">
        <f t="shared" si="2"/>
        <v>0</v>
      </c>
      <c r="J798" s="22" t="s">
        <v>5310</v>
      </c>
    </row>
    <row r="799" ht="15.75" customHeight="1">
      <c r="A799" s="26">
        <v>46082.0</v>
      </c>
      <c r="B799" s="25" t="s">
        <v>4559</v>
      </c>
      <c r="C799" s="25" t="s">
        <v>63</v>
      </c>
      <c r="D799" s="25" t="s">
        <v>108</v>
      </c>
      <c r="E799" s="29">
        <v>401.0</v>
      </c>
      <c r="F799" s="29">
        <f>SUMIFS(crm_orders!$J:$J,crm_orders!$B:$B,"&gt;="&amp;A799,crm_orders!$B:$B,"&lt;"&amp;DATE(YEAR(A799),MONTH(A799)+1,1),crm_orders!$E:$E,B799,crm_orders!$G:$G,C799,crm_orders!$H:$H,D799)</f>
        <v>0</v>
      </c>
      <c r="G799" s="29">
        <f>SUMIFS(warehouse_shipments!$H:$H,warehouse_shipments!$C:$C,"&gt;="&amp;A799,warehouse_shipments!$C:$C,"&lt;"&amp;DATE(YEAR(A799),MONTH(A799)+1,1),warehouse_shipments!$P:$P,B799,warehouse_shipments!$Q:$Q,C799,warehouse_shipments!$R:$R,D799)</f>
        <v>0</v>
      </c>
      <c r="H799" s="30">
        <f t="shared" si="1"/>
        <v>-401</v>
      </c>
      <c r="I799" s="65">
        <f t="shared" si="2"/>
        <v>0</v>
      </c>
      <c r="J799" s="30" t="s">
        <v>5310</v>
      </c>
    </row>
    <row r="800" ht="15.75" customHeight="1">
      <c r="A800" s="18">
        <v>46082.0</v>
      </c>
      <c r="B800" s="17" t="s">
        <v>4559</v>
      </c>
      <c r="C800" s="17" t="s">
        <v>63</v>
      </c>
      <c r="D800" s="17" t="s">
        <v>115</v>
      </c>
      <c r="E800" s="21">
        <v>300.0</v>
      </c>
      <c r="F800" s="21">
        <f>SUMIFS(crm_orders!$J:$J,crm_orders!$B:$B,"&gt;="&amp;A800,crm_orders!$B:$B,"&lt;"&amp;DATE(YEAR(A800),MONTH(A800)+1,1),crm_orders!$E:$E,B800,crm_orders!$G:$G,C800,crm_orders!$H:$H,D800)</f>
        <v>0</v>
      </c>
      <c r="G800" s="21">
        <f>SUMIFS(warehouse_shipments!$H:$H,warehouse_shipments!$C:$C,"&gt;="&amp;A800,warehouse_shipments!$C:$C,"&lt;"&amp;DATE(YEAR(A800),MONTH(A800)+1,1),warehouse_shipments!$P:$P,B800,warehouse_shipments!$Q:$Q,C800,warehouse_shipments!$R:$R,D800)</f>
        <v>0</v>
      </c>
      <c r="H800" s="22">
        <f t="shared" si="1"/>
        <v>-300</v>
      </c>
      <c r="I800" s="64">
        <f t="shared" si="2"/>
        <v>0</v>
      </c>
      <c r="J800" s="22" t="s">
        <v>5306</v>
      </c>
    </row>
    <row r="801" ht="15.75" customHeight="1">
      <c r="A801" s="26">
        <v>46082.0</v>
      </c>
      <c r="B801" s="25" t="s">
        <v>4559</v>
      </c>
      <c r="C801" s="25" t="s">
        <v>63</v>
      </c>
      <c r="D801" s="25" t="s">
        <v>78</v>
      </c>
      <c r="E801" s="29">
        <v>305.0</v>
      </c>
      <c r="F801" s="29">
        <f>SUMIFS(crm_orders!$J:$J,crm_orders!$B:$B,"&gt;="&amp;A801,crm_orders!$B:$B,"&lt;"&amp;DATE(YEAR(A801),MONTH(A801)+1,1),crm_orders!$E:$E,B801,crm_orders!$G:$G,C801,crm_orders!$H:$H,D801)</f>
        <v>18</v>
      </c>
      <c r="G801" s="29">
        <f>SUMIFS(warehouse_shipments!$H:$H,warehouse_shipments!$C:$C,"&gt;="&amp;A801,warehouse_shipments!$C:$C,"&lt;"&amp;DATE(YEAR(A801),MONTH(A801)+1,1),warehouse_shipments!$P:$P,B801,warehouse_shipments!$Q:$Q,C801,warehouse_shipments!$R:$R,D801)</f>
        <v>0</v>
      </c>
      <c r="H801" s="30">
        <f t="shared" si="1"/>
        <v>-287</v>
      </c>
      <c r="I801" s="65">
        <f t="shared" si="2"/>
        <v>0.05901639344</v>
      </c>
      <c r="J801" s="30" t="s">
        <v>5309</v>
      </c>
    </row>
    <row r="802" ht="15.75" customHeight="1">
      <c r="A802" s="18">
        <v>46082.0</v>
      </c>
      <c r="B802" s="17" t="s">
        <v>4559</v>
      </c>
      <c r="C802" s="17" t="s">
        <v>67</v>
      </c>
      <c r="D802" s="17" t="s">
        <v>110</v>
      </c>
      <c r="E802" s="21">
        <v>96.0</v>
      </c>
      <c r="F802" s="21">
        <f>SUMIFS(crm_orders!$J:$J,crm_orders!$B:$B,"&gt;="&amp;A802,crm_orders!$B:$B,"&lt;"&amp;DATE(YEAR(A802),MONTH(A802)+1,1),crm_orders!$E:$E,B802,crm_orders!$G:$G,C802,crm_orders!$H:$H,D802)</f>
        <v>0</v>
      </c>
      <c r="G802" s="21">
        <f>SUMIFS(warehouse_shipments!$H:$H,warehouse_shipments!$C:$C,"&gt;="&amp;A802,warehouse_shipments!$C:$C,"&lt;"&amp;DATE(YEAR(A802),MONTH(A802)+1,1),warehouse_shipments!$P:$P,B802,warehouse_shipments!$Q:$Q,C802,warehouse_shipments!$R:$R,D802)</f>
        <v>0</v>
      </c>
      <c r="H802" s="22">
        <f t="shared" si="1"/>
        <v>-96</v>
      </c>
      <c r="I802" s="64">
        <f t="shared" si="2"/>
        <v>0</v>
      </c>
      <c r="J802" s="22" t="s">
        <v>5306</v>
      </c>
    </row>
    <row r="803" ht="15.75" customHeight="1">
      <c r="A803" s="26">
        <v>46082.0</v>
      </c>
      <c r="B803" s="25" t="s">
        <v>4559</v>
      </c>
      <c r="C803" s="25" t="s">
        <v>67</v>
      </c>
      <c r="D803" s="25" t="s">
        <v>68</v>
      </c>
      <c r="E803" s="29">
        <v>405.0</v>
      </c>
      <c r="F803" s="29">
        <f>SUMIFS(crm_orders!$J:$J,crm_orders!$B:$B,"&gt;="&amp;A803,crm_orders!$B:$B,"&lt;"&amp;DATE(YEAR(A803),MONTH(A803)+1,1),crm_orders!$E:$E,B803,crm_orders!$G:$G,C803,crm_orders!$H:$H,D803)</f>
        <v>0</v>
      </c>
      <c r="G803" s="29">
        <f>SUMIFS(warehouse_shipments!$H:$H,warehouse_shipments!$C:$C,"&gt;="&amp;A803,warehouse_shipments!$C:$C,"&lt;"&amp;DATE(YEAR(A803),MONTH(A803)+1,1),warehouse_shipments!$P:$P,B803,warehouse_shipments!$Q:$Q,C803,warehouse_shipments!$R:$R,D803)</f>
        <v>60</v>
      </c>
      <c r="H803" s="30">
        <f t="shared" si="1"/>
        <v>-405</v>
      </c>
      <c r="I803" s="65">
        <f t="shared" si="2"/>
        <v>0</v>
      </c>
      <c r="J803" s="30" t="s">
        <v>5308</v>
      </c>
    </row>
    <row r="804" ht="15.75" customHeight="1">
      <c r="A804" s="18">
        <v>46082.0</v>
      </c>
      <c r="B804" s="17" t="s">
        <v>4559</v>
      </c>
      <c r="C804" s="17" t="s">
        <v>67</v>
      </c>
      <c r="D804" s="17" t="s">
        <v>81</v>
      </c>
      <c r="E804" s="21">
        <v>298.0</v>
      </c>
      <c r="F804" s="21">
        <f>SUMIFS(crm_orders!$J:$J,crm_orders!$B:$B,"&gt;="&amp;A804,crm_orders!$B:$B,"&lt;"&amp;DATE(YEAR(A804),MONTH(A804)+1,1),crm_orders!$E:$E,B804,crm_orders!$G:$G,C804,crm_orders!$H:$H,D804)</f>
        <v>24</v>
      </c>
      <c r="G804" s="21">
        <f>SUMIFS(warehouse_shipments!$H:$H,warehouse_shipments!$C:$C,"&gt;="&amp;A804,warehouse_shipments!$C:$C,"&lt;"&amp;DATE(YEAR(A804),MONTH(A804)+1,1),warehouse_shipments!$P:$P,B804,warehouse_shipments!$Q:$Q,C804,warehouse_shipments!$R:$R,D804)</f>
        <v>24</v>
      </c>
      <c r="H804" s="22">
        <f t="shared" si="1"/>
        <v>-274</v>
      </c>
      <c r="I804" s="64">
        <f t="shared" si="2"/>
        <v>0.08053691275</v>
      </c>
      <c r="J804" s="22" t="s">
        <v>5308</v>
      </c>
    </row>
    <row r="805" ht="15.75" customHeight="1">
      <c r="A805" s="26">
        <v>46082.0</v>
      </c>
      <c r="B805" s="25" t="s">
        <v>4559</v>
      </c>
      <c r="C805" s="25" t="s">
        <v>67</v>
      </c>
      <c r="D805" s="25" t="s">
        <v>92</v>
      </c>
      <c r="E805" s="29">
        <v>90.0</v>
      </c>
      <c r="F805" s="29">
        <f>SUMIFS(crm_orders!$J:$J,crm_orders!$B:$B,"&gt;="&amp;A805,crm_orders!$B:$B,"&lt;"&amp;DATE(YEAR(A805),MONTH(A805)+1,1),crm_orders!$E:$E,B805,crm_orders!$G:$G,C805,crm_orders!$H:$H,D805)</f>
        <v>0</v>
      </c>
      <c r="G805" s="29">
        <f>SUMIFS(warehouse_shipments!$H:$H,warehouse_shipments!$C:$C,"&gt;="&amp;A805,warehouse_shipments!$C:$C,"&lt;"&amp;DATE(YEAR(A805),MONTH(A805)+1,1),warehouse_shipments!$P:$P,B805,warehouse_shipments!$Q:$Q,C805,warehouse_shipments!$R:$R,D805)</f>
        <v>0</v>
      </c>
      <c r="H805" s="30">
        <f t="shared" si="1"/>
        <v>-90</v>
      </c>
      <c r="I805" s="65">
        <f t="shared" si="2"/>
        <v>0</v>
      </c>
      <c r="J805" s="30" t="s">
        <v>5308</v>
      </c>
    </row>
    <row r="806" ht="15.75" customHeight="1">
      <c r="A806" s="18">
        <v>46082.0</v>
      </c>
      <c r="B806" s="17" t="s">
        <v>4559</v>
      </c>
      <c r="C806" s="17" t="s">
        <v>67</v>
      </c>
      <c r="D806" s="17" t="s">
        <v>154</v>
      </c>
      <c r="E806" s="21">
        <v>86.0</v>
      </c>
      <c r="F806" s="21">
        <f>SUMIFS(crm_orders!$J:$J,crm_orders!$B:$B,"&gt;="&amp;A806,crm_orders!$B:$B,"&lt;"&amp;DATE(YEAR(A806),MONTH(A806)+1,1),crm_orders!$E:$E,B806,crm_orders!$G:$G,C806,crm_orders!$H:$H,D806)</f>
        <v>96</v>
      </c>
      <c r="G806" s="21">
        <f>SUMIFS(warehouse_shipments!$H:$H,warehouse_shipments!$C:$C,"&gt;="&amp;A806,warehouse_shipments!$C:$C,"&lt;"&amp;DATE(YEAR(A806),MONTH(A806)+1,1),warehouse_shipments!$P:$P,B806,warehouse_shipments!$Q:$Q,C806,warehouse_shipments!$R:$R,D806)</f>
        <v>0</v>
      </c>
      <c r="H806" s="22">
        <f t="shared" si="1"/>
        <v>10</v>
      </c>
      <c r="I806" s="64">
        <f t="shared" si="2"/>
        <v>0.8837209302</v>
      </c>
      <c r="J806" s="22" t="s">
        <v>5308</v>
      </c>
    </row>
    <row r="807" ht="15.75" customHeight="1">
      <c r="A807" s="26">
        <v>46082.0</v>
      </c>
      <c r="B807" s="25" t="s">
        <v>4559</v>
      </c>
      <c r="C807" s="25" t="s">
        <v>67</v>
      </c>
      <c r="D807" s="25" t="s">
        <v>162</v>
      </c>
      <c r="E807" s="29">
        <v>490.0</v>
      </c>
      <c r="F807" s="29">
        <f>SUMIFS(crm_orders!$J:$J,crm_orders!$B:$B,"&gt;="&amp;A807,crm_orders!$B:$B,"&lt;"&amp;DATE(YEAR(A807),MONTH(A807)+1,1),crm_orders!$E:$E,B807,crm_orders!$G:$G,C807,crm_orders!$H:$H,D807)</f>
        <v>0</v>
      </c>
      <c r="G807" s="29">
        <f>SUMIFS(warehouse_shipments!$H:$H,warehouse_shipments!$C:$C,"&gt;="&amp;A807,warehouse_shipments!$C:$C,"&lt;"&amp;DATE(YEAR(A807),MONTH(A807)+1,1),warehouse_shipments!$P:$P,B807,warehouse_shipments!$Q:$Q,C807,warehouse_shipments!$R:$R,D807)</f>
        <v>72</v>
      </c>
      <c r="H807" s="30">
        <f t="shared" si="1"/>
        <v>-490</v>
      </c>
      <c r="I807" s="65">
        <f t="shared" si="2"/>
        <v>0</v>
      </c>
      <c r="J807" s="30" t="s">
        <v>5308</v>
      </c>
    </row>
    <row r="808" ht="15.75" customHeight="1">
      <c r="A808" s="18">
        <v>46082.0</v>
      </c>
      <c r="B808" s="17" t="s">
        <v>4559</v>
      </c>
      <c r="C808" s="17" t="s">
        <v>67</v>
      </c>
      <c r="D808" s="17" t="s">
        <v>102</v>
      </c>
      <c r="E808" s="21">
        <v>209.0</v>
      </c>
      <c r="F808" s="21">
        <f>SUMIFS(crm_orders!$J:$J,crm_orders!$B:$B,"&gt;="&amp;A808,crm_orders!$B:$B,"&lt;"&amp;DATE(YEAR(A808),MONTH(A808)+1,1),crm_orders!$E:$E,B808,crm_orders!$G:$G,C808,crm_orders!$H:$H,D808)</f>
        <v>0</v>
      </c>
      <c r="G808" s="21">
        <f>SUMIFS(warehouse_shipments!$H:$H,warehouse_shipments!$C:$C,"&gt;="&amp;A808,warehouse_shipments!$C:$C,"&lt;"&amp;DATE(YEAR(A808),MONTH(A808)+1,1),warehouse_shipments!$P:$P,B808,warehouse_shipments!$Q:$Q,C808,warehouse_shipments!$R:$R,D808)</f>
        <v>0</v>
      </c>
      <c r="H808" s="22">
        <f t="shared" si="1"/>
        <v>-209</v>
      </c>
      <c r="I808" s="64">
        <f t="shared" si="2"/>
        <v>0</v>
      </c>
      <c r="J808" s="22" t="s">
        <v>5310</v>
      </c>
    </row>
    <row r="809" ht="15.75" customHeight="1">
      <c r="A809" s="26">
        <v>46082.0</v>
      </c>
      <c r="B809" s="25" t="s">
        <v>4559</v>
      </c>
      <c r="C809" s="25" t="s">
        <v>67</v>
      </c>
      <c r="D809" s="25" t="s">
        <v>90</v>
      </c>
      <c r="E809" s="29">
        <v>381.0</v>
      </c>
      <c r="F809" s="29">
        <f>SUMIFS(crm_orders!$J:$J,crm_orders!$B:$B,"&gt;="&amp;A809,crm_orders!$B:$B,"&lt;"&amp;DATE(YEAR(A809),MONTH(A809)+1,1),crm_orders!$E:$E,B809,crm_orders!$G:$G,C809,crm_orders!$H:$H,D809)</f>
        <v>0</v>
      </c>
      <c r="G809" s="29">
        <f>SUMIFS(warehouse_shipments!$H:$H,warehouse_shipments!$C:$C,"&gt;="&amp;A809,warehouse_shipments!$C:$C,"&lt;"&amp;DATE(YEAR(A809),MONTH(A809)+1,1),warehouse_shipments!$P:$P,B809,warehouse_shipments!$Q:$Q,C809,warehouse_shipments!$R:$R,D809)</f>
        <v>0</v>
      </c>
      <c r="H809" s="30">
        <f t="shared" si="1"/>
        <v>-381</v>
      </c>
      <c r="I809" s="65">
        <f t="shared" si="2"/>
        <v>0</v>
      </c>
      <c r="J809" s="30" t="s">
        <v>5306</v>
      </c>
    </row>
    <row r="810" ht="15.75" customHeight="1">
      <c r="A810" s="18">
        <v>46082.0</v>
      </c>
      <c r="B810" s="17" t="s">
        <v>4559</v>
      </c>
      <c r="C810" s="17" t="s">
        <v>89</v>
      </c>
      <c r="D810" s="17" t="s">
        <v>64</v>
      </c>
      <c r="E810" s="21">
        <v>426.0</v>
      </c>
      <c r="F810" s="21">
        <f>SUMIFS(crm_orders!$J:$J,crm_orders!$B:$B,"&gt;="&amp;A810,crm_orders!$B:$B,"&lt;"&amp;DATE(YEAR(A810),MONTH(A810)+1,1),crm_orders!$E:$E,B810,crm_orders!$G:$G,C810,crm_orders!$H:$H,D810)</f>
        <v>0</v>
      </c>
      <c r="G810" s="21">
        <f>SUMIFS(warehouse_shipments!$H:$H,warehouse_shipments!$C:$C,"&gt;="&amp;A810,warehouse_shipments!$C:$C,"&lt;"&amp;DATE(YEAR(A810),MONTH(A810)+1,1),warehouse_shipments!$P:$P,B810,warehouse_shipments!$Q:$Q,C810,warehouse_shipments!$R:$R,D810)</f>
        <v>0</v>
      </c>
      <c r="H810" s="22">
        <f t="shared" si="1"/>
        <v>-426</v>
      </c>
      <c r="I810" s="64">
        <f t="shared" si="2"/>
        <v>0</v>
      </c>
      <c r="J810" s="22" t="s">
        <v>5307</v>
      </c>
    </row>
    <row r="811" ht="15.75" customHeight="1">
      <c r="A811" s="26">
        <v>46082.0</v>
      </c>
      <c r="B811" s="25" t="s">
        <v>4559</v>
      </c>
      <c r="C811" s="25" t="s">
        <v>89</v>
      </c>
      <c r="D811" s="25" t="s">
        <v>190</v>
      </c>
      <c r="E811" s="29">
        <v>518.0</v>
      </c>
      <c r="F811" s="29">
        <f>SUMIFS(crm_orders!$J:$J,crm_orders!$B:$B,"&gt;="&amp;A811,crm_orders!$B:$B,"&lt;"&amp;DATE(YEAR(A811),MONTH(A811)+1,1),crm_orders!$E:$E,B811,crm_orders!$G:$G,C811,crm_orders!$H:$H,D811)</f>
        <v>0</v>
      </c>
      <c r="G811" s="29">
        <f>SUMIFS(warehouse_shipments!$H:$H,warehouse_shipments!$C:$C,"&gt;="&amp;A811,warehouse_shipments!$C:$C,"&lt;"&amp;DATE(YEAR(A811),MONTH(A811)+1,1),warehouse_shipments!$P:$P,B811,warehouse_shipments!$Q:$Q,C811,warehouse_shipments!$R:$R,D811)</f>
        <v>0</v>
      </c>
      <c r="H811" s="30">
        <f t="shared" si="1"/>
        <v>-518</v>
      </c>
      <c r="I811" s="65">
        <f t="shared" si="2"/>
        <v>0</v>
      </c>
      <c r="J811" s="30" t="s">
        <v>5310</v>
      </c>
    </row>
    <row r="812" ht="15.75" customHeight="1">
      <c r="A812" s="18">
        <v>46082.0</v>
      </c>
      <c r="B812" s="17" t="s">
        <v>4559</v>
      </c>
      <c r="C812" s="17" t="s">
        <v>89</v>
      </c>
      <c r="D812" s="17" t="s">
        <v>102</v>
      </c>
      <c r="E812" s="21">
        <v>228.0</v>
      </c>
      <c r="F812" s="21">
        <f>SUMIFS(crm_orders!$J:$J,crm_orders!$B:$B,"&gt;="&amp;A812,crm_orders!$B:$B,"&lt;"&amp;DATE(YEAR(A812),MONTH(A812)+1,1),crm_orders!$E:$E,B812,crm_orders!$G:$G,C812,crm_orders!$H:$H,D812)</f>
        <v>0</v>
      </c>
      <c r="G812" s="21">
        <f>SUMIFS(warehouse_shipments!$H:$H,warehouse_shipments!$C:$C,"&gt;="&amp;A812,warehouse_shipments!$C:$C,"&lt;"&amp;DATE(YEAR(A812),MONTH(A812)+1,1),warehouse_shipments!$P:$P,B812,warehouse_shipments!$Q:$Q,C812,warehouse_shipments!$R:$R,D812)</f>
        <v>0</v>
      </c>
      <c r="H812" s="22">
        <f t="shared" si="1"/>
        <v>-228</v>
      </c>
      <c r="I812" s="64">
        <f t="shared" si="2"/>
        <v>0</v>
      </c>
      <c r="J812" s="22" t="s">
        <v>5311</v>
      </c>
    </row>
    <row r="813" ht="15.75" customHeight="1">
      <c r="A813" s="26">
        <v>46082.0</v>
      </c>
      <c r="B813" s="25" t="s">
        <v>4559</v>
      </c>
      <c r="C813" s="25" t="s">
        <v>89</v>
      </c>
      <c r="D813" s="25" t="s">
        <v>154</v>
      </c>
      <c r="E813" s="29">
        <v>426.0</v>
      </c>
      <c r="F813" s="29">
        <f>SUMIFS(crm_orders!$J:$J,crm_orders!$B:$B,"&gt;="&amp;A813,crm_orders!$B:$B,"&lt;"&amp;DATE(YEAR(A813),MONTH(A813)+1,1),crm_orders!$E:$E,B813,crm_orders!$G:$G,C813,crm_orders!$H:$H,D813)</f>
        <v>0</v>
      </c>
      <c r="G813" s="29">
        <f>SUMIFS(warehouse_shipments!$H:$H,warehouse_shipments!$C:$C,"&gt;="&amp;A813,warehouse_shipments!$C:$C,"&lt;"&amp;DATE(YEAR(A813),MONTH(A813)+1,1),warehouse_shipments!$P:$P,B813,warehouse_shipments!$Q:$Q,C813,warehouse_shipments!$R:$R,D813)</f>
        <v>0</v>
      </c>
      <c r="H813" s="30">
        <f t="shared" si="1"/>
        <v>-426</v>
      </c>
      <c r="I813" s="65">
        <f t="shared" si="2"/>
        <v>0</v>
      </c>
      <c r="J813" s="30" t="s">
        <v>5310</v>
      </c>
    </row>
    <row r="814" ht="15.75" customHeight="1">
      <c r="A814" s="18">
        <v>46082.0</v>
      </c>
      <c r="B814" s="17" t="s">
        <v>4559</v>
      </c>
      <c r="C814" s="17" t="s">
        <v>89</v>
      </c>
      <c r="D814" s="17" t="s">
        <v>90</v>
      </c>
      <c r="E814" s="21">
        <v>287.0</v>
      </c>
      <c r="F814" s="21">
        <f>SUMIFS(crm_orders!$J:$J,crm_orders!$B:$B,"&gt;="&amp;A814,crm_orders!$B:$B,"&lt;"&amp;DATE(YEAR(A814),MONTH(A814)+1,1),crm_orders!$E:$E,B814,crm_orders!$G:$G,C814,crm_orders!$H:$H,D814)</f>
        <v>0</v>
      </c>
      <c r="G814" s="21">
        <f>SUMIFS(warehouse_shipments!$H:$H,warehouse_shipments!$C:$C,"&gt;="&amp;A814,warehouse_shipments!$C:$C,"&lt;"&amp;DATE(YEAR(A814),MONTH(A814)+1,1),warehouse_shipments!$P:$P,B814,warehouse_shipments!$Q:$Q,C814,warehouse_shipments!$R:$R,D814)</f>
        <v>0</v>
      </c>
      <c r="H814" s="22">
        <f t="shared" si="1"/>
        <v>-287</v>
      </c>
      <c r="I814" s="64">
        <f t="shared" si="2"/>
        <v>0</v>
      </c>
      <c r="J814" s="22" t="s">
        <v>5309</v>
      </c>
    </row>
    <row r="815" ht="15.75" customHeight="1">
      <c r="A815" s="26">
        <v>46082.0</v>
      </c>
      <c r="B815" s="25" t="s">
        <v>4559</v>
      </c>
      <c r="C815" s="25" t="s">
        <v>89</v>
      </c>
      <c r="D815" s="25" t="s">
        <v>156</v>
      </c>
      <c r="E815" s="29">
        <v>468.0</v>
      </c>
      <c r="F815" s="29">
        <f>SUMIFS(crm_orders!$J:$J,crm_orders!$B:$B,"&gt;="&amp;A815,crm_orders!$B:$B,"&lt;"&amp;DATE(YEAR(A815),MONTH(A815)+1,1),crm_orders!$E:$E,B815,crm_orders!$G:$G,C815,crm_orders!$H:$H,D815)</f>
        <v>0</v>
      </c>
      <c r="G815" s="29">
        <f>SUMIFS(warehouse_shipments!$H:$H,warehouse_shipments!$C:$C,"&gt;="&amp;A815,warehouse_shipments!$C:$C,"&lt;"&amp;DATE(YEAR(A815),MONTH(A815)+1,1),warehouse_shipments!$P:$P,B815,warehouse_shipments!$Q:$Q,C815,warehouse_shipments!$R:$R,D815)</f>
        <v>0</v>
      </c>
      <c r="H815" s="30">
        <f t="shared" si="1"/>
        <v>-468</v>
      </c>
      <c r="I815" s="65">
        <f t="shared" si="2"/>
        <v>0</v>
      </c>
      <c r="J815" s="30" t="s">
        <v>5307</v>
      </c>
    </row>
    <row r="816" ht="15.75" customHeight="1">
      <c r="A816" s="18">
        <v>46082.0</v>
      </c>
      <c r="B816" s="17" t="s">
        <v>4559</v>
      </c>
      <c r="C816" s="17" t="s">
        <v>89</v>
      </c>
      <c r="D816" s="17" t="s">
        <v>78</v>
      </c>
      <c r="E816" s="21">
        <v>251.0</v>
      </c>
      <c r="F816" s="21">
        <f>SUMIFS(crm_orders!$J:$J,crm_orders!$B:$B,"&gt;="&amp;A816,crm_orders!$B:$B,"&lt;"&amp;DATE(YEAR(A816),MONTH(A816)+1,1),crm_orders!$E:$E,B816,crm_orders!$G:$G,C816,crm_orders!$H:$H,D816)</f>
        <v>24</v>
      </c>
      <c r="G816" s="21">
        <f>SUMIFS(warehouse_shipments!$H:$H,warehouse_shipments!$C:$C,"&gt;="&amp;A816,warehouse_shipments!$C:$C,"&lt;"&amp;DATE(YEAR(A816),MONTH(A816)+1,1),warehouse_shipments!$P:$P,B816,warehouse_shipments!$Q:$Q,C816,warehouse_shipments!$R:$R,D816)</f>
        <v>0</v>
      </c>
      <c r="H816" s="22">
        <f t="shared" si="1"/>
        <v>-227</v>
      </c>
      <c r="I816" s="64">
        <f t="shared" si="2"/>
        <v>0.09561752988</v>
      </c>
      <c r="J816" s="22" t="s">
        <v>5307</v>
      </c>
    </row>
    <row r="817" ht="15.75" customHeight="1">
      <c r="A817" s="26">
        <v>46082.0</v>
      </c>
      <c r="B817" s="25" t="s">
        <v>4559</v>
      </c>
      <c r="C817" s="25" t="s">
        <v>89</v>
      </c>
      <c r="D817" s="25" t="s">
        <v>106</v>
      </c>
      <c r="E817" s="29">
        <v>117.0</v>
      </c>
      <c r="F817" s="29">
        <f>SUMIFS(crm_orders!$J:$J,crm_orders!$B:$B,"&gt;="&amp;A817,crm_orders!$B:$B,"&lt;"&amp;DATE(YEAR(A817),MONTH(A817)+1,1),crm_orders!$E:$E,B817,crm_orders!$G:$G,C817,crm_orders!$H:$H,D817)</f>
        <v>0</v>
      </c>
      <c r="G817" s="29">
        <f>SUMIFS(warehouse_shipments!$H:$H,warehouse_shipments!$C:$C,"&gt;="&amp;A817,warehouse_shipments!$C:$C,"&lt;"&amp;DATE(YEAR(A817),MONTH(A817)+1,1),warehouse_shipments!$P:$P,B817,warehouse_shipments!$Q:$Q,C817,warehouse_shipments!$R:$R,D817)</f>
        <v>0</v>
      </c>
      <c r="H817" s="30">
        <f t="shared" si="1"/>
        <v>-117</v>
      </c>
      <c r="I817" s="65">
        <f t="shared" si="2"/>
        <v>0</v>
      </c>
      <c r="J817" s="30" t="s">
        <v>5307</v>
      </c>
    </row>
    <row r="818" ht="15.75" customHeight="1">
      <c r="A818" s="18">
        <v>46082.0</v>
      </c>
      <c r="B818" s="17" t="s">
        <v>4618</v>
      </c>
      <c r="C818" s="17" t="s">
        <v>63</v>
      </c>
      <c r="D818" s="17" t="s">
        <v>190</v>
      </c>
      <c r="E818" s="21">
        <v>367.0</v>
      </c>
      <c r="F818" s="21">
        <f>SUMIFS(crm_orders!$J:$J,crm_orders!$B:$B,"&gt;="&amp;A818,crm_orders!$B:$B,"&lt;"&amp;DATE(YEAR(A818),MONTH(A818)+1,1),crm_orders!$E:$E,B818,crm_orders!$G:$G,C818,crm_orders!$H:$H,D818)</f>
        <v>0</v>
      </c>
      <c r="G818" s="21">
        <f>SUMIFS(warehouse_shipments!$H:$H,warehouse_shipments!$C:$C,"&gt;="&amp;A818,warehouse_shipments!$C:$C,"&lt;"&amp;DATE(YEAR(A818),MONTH(A818)+1,1),warehouse_shipments!$P:$P,B818,warehouse_shipments!$Q:$Q,C818,warehouse_shipments!$R:$R,D818)</f>
        <v>0</v>
      </c>
      <c r="H818" s="22">
        <f t="shared" si="1"/>
        <v>-367</v>
      </c>
      <c r="I818" s="64">
        <f t="shared" si="2"/>
        <v>0</v>
      </c>
      <c r="J818" s="22" t="s">
        <v>5306</v>
      </c>
    </row>
    <row r="819" ht="15.75" customHeight="1">
      <c r="A819" s="26">
        <v>46082.0</v>
      </c>
      <c r="B819" s="25" t="s">
        <v>4618</v>
      </c>
      <c r="C819" s="25" t="s">
        <v>63</v>
      </c>
      <c r="D819" s="25" t="s">
        <v>85</v>
      </c>
      <c r="E819" s="29">
        <v>246.0</v>
      </c>
      <c r="F819" s="29">
        <f>SUMIFS(crm_orders!$J:$J,crm_orders!$B:$B,"&gt;="&amp;A819,crm_orders!$B:$B,"&lt;"&amp;DATE(YEAR(A819),MONTH(A819)+1,1),crm_orders!$E:$E,B819,crm_orders!$G:$G,C819,crm_orders!$H:$H,D819)</f>
        <v>0</v>
      </c>
      <c r="G819" s="29">
        <f>SUMIFS(warehouse_shipments!$H:$H,warehouse_shipments!$C:$C,"&gt;="&amp;A819,warehouse_shipments!$C:$C,"&lt;"&amp;DATE(YEAR(A819),MONTH(A819)+1,1),warehouse_shipments!$P:$P,B819,warehouse_shipments!$Q:$Q,C819,warehouse_shipments!$R:$R,D819)</f>
        <v>0</v>
      </c>
      <c r="H819" s="30">
        <f t="shared" si="1"/>
        <v>-246</v>
      </c>
      <c r="I819" s="65">
        <f t="shared" si="2"/>
        <v>0</v>
      </c>
      <c r="J819" s="30" t="s">
        <v>5308</v>
      </c>
    </row>
    <row r="820" ht="15.75" customHeight="1">
      <c r="A820" s="18">
        <v>46082.0</v>
      </c>
      <c r="B820" s="17" t="s">
        <v>4618</v>
      </c>
      <c r="C820" s="17" t="s">
        <v>63</v>
      </c>
      <c r="D820" s="17" t="s">
        <v>115</v>
      </c>
      <c r="E820" s="21">
        <v>174.0</v>
      </c>
      <c r="F820" s="21">
        <f>SUMIFS(crm_orders!$J:$J,crm_orders!$B:$B,"&gt;="&amp;A820,crm_orders!$B:$B,"&lt;"&amp;DATE(YEAR(A820),MONTH(A820)+1,1),crm_orders!$E:$E,B820,crm_orders!$G:$G,C820,crm_orders!$H:$H,D820)</f>
        <v>0</v>
      </c>
      <c r="G820" s="21">
        <f>SUMIFS(warehouse_shipments!$H:$H,warehouse_shipments!$C:$C,"&gt;="&amp;A820,warehouse_shipments!$C:$C,"&lt;"&amp;DATE(YEAR(A820),MONTH(A820)+1,1),warehouse_shipments!$P:$P,B820,warehouse_shipments!$Q:$Q,C820,warehouse_shipments!$R:$R,D820)</f>
        <v>0</v>
      </c>
      <c r="H820" s="22">
        <f t="shared" si="1"/>
        <v>-174</v>
      </c>
      <c r="I820" s="64">
        <f t="shared" si="2"/>
        <v>0</v>
      </c>
      <c r="J820" s="22" t="s">
        <v>5308</v>
      </c>
    </row>
    <row r="821" ht="15.75" customHeight="1">
      <c r="A821" s="26">
        <v>46082.0</v>
      </c>
      <c r="B821" s="25" t="s">
        <v>4618</v>
      </c>
      <c r="C821" s="25" t="s">
        <v>63</v>
      </c>
      <c r="D821" s="25" t="s">
        <v>74</v>
      </c>
      <c r="E821" s="29">
        <v>191.0</v>
      </c>
      <c r="F821" s="29">
        <f>SUMIFS(crm_orders!$J:$J,crm_orders!$B:$B,"&gt;="&amp;A821,crm_orders!$B:$B,"&lt;"&amp;DATE(YEAR(A821),MONTH(A821)+1,1),crm_orders!$E:$E,B821,crm_orders!$G:$G,C821,crm_orders!$H:$H,D821)</f>
        <v>138</v>
      </c>
      <c r="G821" s="29">
        <f>SUMIFS(warehouse_shipments!$H:$H,warehouse_shipments!$C:$C,"&gt;="&amp;A821,warehouse_shipments!$C:$C,"&lt;"&amp;DATE(YEAR(A821),MONTH(A821)+1,1),warehouse_shipments!$P:$P,B821,warehouse_shipments!$Q:$Q,C821,warehouse_shipments!$R:$R,D821)</f>
        <v>36</v>
      </c>
      <c r="H821" s="30">
        <f t="shared" si="1"/>
        <v>-53</v>
      </c>
      <c r="I821" s="65">
        <f t="shared" si="2"/>
        <v>0.722513089</v>
      </c>
      <c r="J821" s="30" t="s">
        <v>5306</v>
      </c>
    </row>
    <row r="822" ht="15.75" customHeight="1">
      <c r="A822" s="18">
        <v>46082.0</v>
      </c>
      <c r="B822" s="17" t="s">
        <v>4618</v>
      </c>
      <c r="C822" s="17" t="s">
        <v>63</v>
      </c>
      <c r="D822" s="17" t="s">
        <v>64</v>
      </c>
      <c r="E822" s="21">
        <v>499.0</v>
      </c>
      <c r="F822" s="21">
        <f>SUMIFS(crm_orders!$J:$J,crm_orders!$B:$B,"&gt;="&amp;A822,crm_orders!$B:$B,"&lt;"&amp;DATE(YEAR(A822),MONTH(A822)+1,1),crm_orders!$E:$E,B822,crm_orders!$G:$G,C822,crm_orders!$H:$H,D822)</f>
        <v>0</v>
      </c>
      <c r="G822" s="21">
        <f>SUMIFS(warehouse_shipments!$H:$H,warehouse_shipments!$C:$C,"&gt;="&amp;A822,warehouse_shipments!$C:$C,"&lt;"&amp;DATE(YEAR(A822),MONTH(A822)+1,1),warehouse_shipments!$P:$P,B822,warehouse_shipments!$Q:$Q,C822,warehouse_shipments!$R:$R,D822)</f>
        <v>0</v>
      </c>
      <c r="H822" s="22">
        <f t="shared" si="1"/>
        <v>-499</v>
      </c>
      <c r="I822" s="64">
        <f t="shared" si="2"/>
        <v>0</v>
      </c>
      <c r="J822" s="22" t="s">
        <v>5309</v>
      </c>
    </row>
    <row r="823" ht="15.75" customHeight="1">
      <c r="A823" s="26">
        <v>46082.0</v>
      </c>
      <c r="B823" s="25" t="s">
        <v>4618</v>
      </c>
      <c r="C823" s="25" t="s">
        <v>63</v>
      </c>
      <c r="D823" s="25" t="s">
        <v>102</v>
      </c>
      <c r="E823" s="29">
        <v>475.0</v>
      </c>
      <c r="F823" s="29">
        <f>SUMIFS(crm_orders!$J:$J,crm_orders!$B:$B,"&gt;="&amp;A823,crm_orders!$B:$B,"&lt;"&amp;DATE(YEAR(A823),MONTH(A823)+1,1),crm_orders!$E:$E,B823,crm_orders!$G:$G,C823,crm_orders!$H:$H,D823)</f>
        <v>204</v>
      </c>
      <c r="G823" s="29">
        <f>SUMIFS(warehouse_shipments!$H:$H,warehouse_shipments!$C:$C,"&gt;="&amp;A823,warehouse_shipments!$C:$C,"&lt;"&amp;DATE(YEAR(A823),MONTH(A823)+1,1),warehouse_shipments!$P:$P,B823,warehouse_shipments!$Q:$Q,C823,warehouse_shipments!$R:$R,D823)</f>
        <v>204</v>
      </c>
      <c r="H823" s="30">
        <f t="shared" si="1"/>
        <v>-271</v>
      </c>
      <c r="I823" s="65">
        <f t="shared" si="2"/>
        <v>0.4294736842</v>
      </c>
      <c r="J823" s="30" t="s">
        <v>5310</v>
      </c>
    </row>
    <row r="824" ht="15.75" customHeight="1">
      <c r="A824" s="18">
        <v>46082.0</v>
      </c>
      <c r="B824" s="17" t="s">
        <v>4618</v>
      </c>
      <c r="C824" s="17" t="s">
        <v>63</v>
      </c>
      <c r="D824" s="17" t="s">
        <v>123</v>
      </c>
      <c r="E824" s="21">
        <v>431.0</v>
      </c>
      <c r="F824" s="21">
        <f>SUMIFS(crm_orders!$J:$J,crm_orders!$B:$B,"&gt;="&amp;A824,crm_orders!$B:$B,"&lt;"&amp;DATE(YEAR(A824),MONTH(A824)+1,1),crm_orders!$E:$E,B824,crm_orders!$G:$G,C824,crm_orders!$H:$H,D824)</f>
        <v>60</v>
      </c>
      <c r="G824" s="21">
        <f>SUMIFS(warehouse_shipments!$H:$H,warehouse_shipments!$C:$C,"&gt;="&amp;A824,warehouse_shipments!$C:$C,"&lt;"&amp;DATE(YEAR(A824),MONTH(A824)+1,1),warehouse_shipments!$P:$P,B824,warehouse_shipments!$Q:$Q,C824,warehouse_shipments!$R:$R,D824)</f>
        <v>120</v>
      </c>
      <c r="H824" s="22">
        <f t="shared" si="1"/>
        <v>-371</v>
      </c>
      <c r="I824" s="64">
        <f t="shared" si="2"/>
        <v>0.1392111369</v>
      </c>
      <c r="J824" s="22" t="s">
        <v>5307</v>
      </c>
    </row>
    <row r="825" ht="15.75" customHeight="1">
      <c r="A825" s="26">
        <v>46082.0</v>
      </c>
      <c r="B825" s="25" t="s">
        <v>4618</v>
      </c>
      <c r="C825" s="25" t="s">
        <v>63</v>
      </c>
      <c r="D825" s="25" t="s">
        <v>106</v>
      </c>
      <c r="E825" s="29">
        <v>314.0</v>
      </c>
      <c r="F825" s="29">
        <f>SUMIFS(crm_orders!$J:$J,crm_orders!$B:$B,"&gt;="&amp;A825,crm_orders!$B:$B,"&lt;"&amp;DATE(YEAR(A825),MONTH(A825)+1,1),crm_orders!$E:$E,B825,crm_orders!$G:$G,C825,crm_orders!$H:$H,D825)</f>
        <v>0</v>
      </c>
      <c r="G825" s="29">
        <f>SUMIFS(warehouse_shipments!$H:$H,warehouse_shipments!$C:$C,"&gt;="&amp;A825,warehouse_shipments!$C:$C,"&lt;"&amp;DATE(YEAR(A825),MONTH(A825)+1,1),warehouse_shipments!$P:$P,B825,warehouse_shipments!$Q:$Q,C825,warehouse_shipments!$R:$R,D825)</f>
        <v>36</v>
      </c>
      <c r="H825" s="30">
        <f t="shared" si="1"/>
        <v>-314</v>
      </c>
      <c r="I825" s="65">
        <f t="shared" si="2"/>
        <v>0</v>
      </c>
      <c r="J825" s="30" t="s">
        <v>5307</v>
      </c>
    </row>
    <row r="826" ht="15.75" customHeight="1">
      <c r="A826" s="18">
        <v>46082.0</v>
      </c>
      <c r="B826" s="17" t="s">
        <v>4618</v>
      </c>
      <c r="C826" s="17" t="s">
        <v>67</v>
      </c>
      <c r="D826" s="17" t="s">
        <v>115</v>
      </c>
      <c r="E826" s="21">
        <v>392.0</v>
      </c>
      <c r="F826" s="21">
        <f>SUMIFS(crm_orders!$J:$J,crm_orders!$B:$B,"&gt;="&amp;A826,crm_orders!$B:$B,"&lt;"&amp;DATE(YEAR(A826),MONTH(A826)+1,1),crm_orders!$E:$E,B826,crm_orders!$G:$G,C826,crm_orders!$H:$H,D826)</f>
        <v>0</v>
      </c>
      <c r="G826" s="21">
        <f>SUMIFS(warehouse_shipments!$H:$H,warehouse_shipments!$C:$C,"&gt;="&amp;A826,warehouse_shipments!$C:$C,"&lt;"&amp;DATE(YEAR(A826),MONTH(A826)+1,1),warehouse_shipments!$P:$P,B826,warehouse_shipments!$Q:$Q,C826,warehouse_shipments!$R:$R,D826)</f>
        <v>0</v>
      </c>
      <c r="H826" s="22">
        <f t="shared" si="1"/>
        <v>-392</v>
      </c>
      <c r="I826" s="64">
        <f t="shared" si="2"/>
        <v>0</v>
      </c>
      <c r="J826" s="22" t="s">
        <v>5307</v>
      </c>
    </row>
    <row r="827" ht="15.75" customHeight="1">
      <c r="A827" s="26">
        <v>46082.0</v>
      </c>
      <c r="B827" s="25" t="s">
        <v>4618</v>
      </c>
      <c r="C827" s="25" t="s">
        <v>67</v>
      </c>
      <c r="D827" s="25" t="s">
        <v>162</v>
      </c>
      <c r="E827" s="29">
        <v>284.0</v>
      </c>
      <c r="F827" s="29">
        <f>SUMIFS(crm_orders!$J:$J,crm_orders!$B:$B,"&gt;="&amp;A827,crm_orders!$B:$B,"&lt;"&amp;DATE(YEAR(A827),MONTH(A827)+1,1),crm_orders!$E:$E,B827,crm_orders!$G:$G,C827,crm_orders!$H:$H,D827)</f>
        <v>0</v>
      </c>
      <c r="G827" s="29">
        <f>SUMIFS(warehouse_shipments!$H:$H,warehouse_shipments!$C:$C,"&gt;="&amp;A827,warehouse_shipments!$C:$C,"&lt;"&amp;DATE(YEAR(A827),MONTH(A827)+1,1),warehouse_shipments!$P:$P,B827,warehouse_shipments!$Q:$Q,C827,warehouse_shipments!$R:$R,D827)</f>
        <v>0</v>
      </c>
      <c r="H827" s="30">
        <f t="shared" si="1"/>
        <v>-284</v>
      </c>
      <c r="I827" s="65">
        <f t="shared" si="2"/>
        <v>0</v>
      </c>
      <c r="J827" s="30" t="s">
        <v>5309</v>
      </c>
    </row>
    <row r="828" ht="15.75" customHeight="1">
      <c r="A828" s="18">
        <v>46082.0</v>
      </c>
      <c r="B828" s="17" t="s">
        <v>4618</v>
      </c>
      <c r="C828" s="17" t="s">
        <v>67</v>
      </c>
      <c r="D828" s="17" t="s">
        <v>90</v>
      </c>
      <c r="E828" s="21">
        <v>456.0</v>
      </c>
      <c r="F828" s="21">
        <f>SUMIFS(crm_orders!$J:$J,crm_orders!$B:$B,"&gt;="&amp;A828,crm_orders!$B:$B,"&lt;"&amp;DATE(YEAR(A828),MONTH(A828)+1,1),crm_orders!$E:$E,B828,crm_orders!$G:$G,C828,crm_orders!$H:$H,D828)</f>
        <v>0</v>
      </c>
      <c r="G828" s="21">
        <f>SUMIFS(warehouse_shipments!$H:$H,warehouse_shipments!$C:$C,"&gt;="&amp;A828,warehouse_shipments!$C:$C,"&lt;"&amp;DATE(YEAR(A828),MONTH(A828)+1,1),warehouse_shipments!$P:$P,B828,warehouse_shipments!$Q:$Q,C828,warehouse_shipments!$R:$R,D828)</f>
        <v>0</v>
      </c>
      <c r="H828" s="22">
        <f t="shared" si="1"/>
        <v>-456</v>
      </c>
      <c r="I828" s="64">
        <f t="shared" si="2"/>
        <v>0</v>
      </c>
      <c r="J828" s="22" t="s">
        <v>5309</v>
      </c>
    </row>
    <row r="829" ht="15.75" customHeight="1">
      <c r="A829" s="26">
        <v>46082.0</v>
      </c>
      <c r="B829" s="25" t="s">
        <v>4618</v>
      </c>
      <c r="C829" s="25" t="s">
        <v>67</v>
      </c>
      <c r="D829" s="25" t="s">
        <v>123</v>
      </c>
      <c r="E829" s="29">
        <v>440.0</v>
      </c>
      <c r="F829" s="29">
        <f>SUMIFS(crm_orders!$J:$J,crm_orders!$B:$B,"&gt;="&amp;A829,crm_orders!$B:$B,"&lt;"&amp;DATE(YEAR(A829),MONTH(A829)+1,1),crm_orders!$E:$E,B829,crm_orders!$G:$G,C829,crm_orders!$H:$H,D829)</f>
        <v>0</v>
      </c>
      <c r="G829" s="29">
        <f>SUMIFS(warehouse_shipments!$H:$H,warehouse_shipments!$C:$C,"&gt;="&amp;A829,warehouse_shipments!$C:$C,"&lt;"&amp;DATE(YEAR(A829),MONTH(A829)+1,1),warehouse_shipments!$P:$P,B829,warehouse_shipments!$Q:$Q,C829,warehouse_shipments!$R:$R,D829)</f>
        <v>0</v>
      </c>
      <c r="H829" s="30">
        <f t="shared" si="1"/>
        <v>-440</v>
      </c>
      <c r="I829" s="65">
        <f t="shared" si="2"/>
        <v>0</v>
      </c>
      <c r="J829" s="30" t="s">
        <v>5310</v>
      </c>
    </row>
    <row r="830" ht="15.75" customHeight="1">
      <c r="A830" s="18">
        <v>46082.0</v>
      </c>
      <c r="B830" s="17" t="s">
        <v>4618</v>
      </c>
      <c r="C830" s="17" t="s">
        <v>67</v>
      </c>
      <c r="D830" s="17" t="s">
        <v>64</v>
      </c>
      <c r="E830" s="21">
        <v>211.0</v>
      </c>
      <c r="F830" s="21">
        <f>SUMIFS(crm_orders!$J:$J,crm_orders!$B:$B,"&gt;="&amp;A830,crm_orders!$B:$B,"&lt;"&amp;DATE(YEAR(A830),MONTH(A830)+1,1),crm_orders!$E:$E,B830,crm_orders!$G:$G,C830,crm_orders!$H:$H,D830)</f>
        <v>0</v>
      </c>
      <c r="G830" s="21">
        <f>SUMIFS(warehouse_shipments!$H:$H,warehouse_shipments!$C:$C,"&gt;="&amp;A830,warehouse_shipments!$C:$C,"&lt;"&amp;DATE(YEAR(A830),MONTH(A830)+1,1),warehouse_shipments!$P:$P,B830,warehouse_shipments!$Q:$Q,C830,warehouse_shipments!$R:$R,D830)</f>
        <v>0</v>
      </c>
      <c r="H830" s="22">
        <f t="shared" si="1"/>
        <v>-211</v>
      </c>
      <c r="I830" s="64">
        <f t="shared" si="2"/>
        <v>0</v>
      </c>
      <c r="J830" s="22" t="s">
        <v>5309</v>
      </c>
    </row>
    <row r="831" ht="15.75" customHeight="1">
      <c r="A831" s="26">
        <v>46082.0</v>
      </c>
      <c r="B831" s="25" t="s">
        <v>4618</v>
      </c>
      <c r="C831" s="25" t="s">
        <v>67</v>
      </c>
      <c r="D831" s="25" t="s">
        <v>85</v>
      </c>
      <c r="E831" s="29">
        <v>339.0</v>
      </c>
      <c r="F831" s="29">
        <f>SUMIFS(crm_orders!$J:$J,crm_orders!$B:$B,"&gt;="&amp;A831,crm_orders!$B:$B,"&lt;"&amp;DATE(YEAR(A831),MONTH(A831)+1,1),crm_orders!$E:$E,B831,crm_orders!$G:$G,C831,crm_orders!$H:$H,D831)</f>
        <v>0</v>
      </c>
      <c r="G831" s="29">
        <f>SUMIFS(warehouse_shipments!$H:$H,warehouse_shipments!$C:$C,"&gt;="&amp;A831,warehouse_shipments!$C:$C,"&lt;"&amp;DATE(YEAR(A831),MONTH(A831)+1,1),warehouse_shipments!$P:$P,B831,warehouse_shipments!$Q:$Q,C831,warehouse_shipments!$R:$R,D831)</f>
        <v>0</v>
      </c>
      <c r="H831" s="30">
        <f t="shared" si="1"/>
        <v>-339</v>
      </c>
      <c r="I831" s="65">
        <f t="shared" si="2"/>
        <v>0</v>
      </c>
      <c r="J831" s="30" t="s">
        <v>5307</v>
      </c>
    </row>
    <row r="832" ht="15.75" customHeight="1">
      <c r="A832" s="18">
        <v>46082.0</v>
      </c>
      <c r="B832" s="17" t="s">
        <v>4618</v>
      </c>
      <c r="C832" s="17" t="s">
        <v>67</v>
      </c>
      <c r="D832" s="17" t="s">
        <v>156</v>
      </c>
      <c r="E832" s="21">
        <v>508.0</v>
      </c>
      <c r="F832" s="21">
        <f>SUMIFS(crm_orders!$J:$J,crm_orders!$B:$B,"&gt;="&amp;A832,crm_orders!$B:$B,"&lt;"&amp;DATE(YEAR(A832),MONTH(A832)+1,1),crm_orders!$E:$E,B832,crm_orders!$G:$G,C832,crm_orders!$H:$H,D832)</f>
        <v>0</v>
      </c>
      <c r="G832" s="21">
        <f>SUMIFS(warehouse_shipments!$H:$H,warehouse_shipments!$C:$C,"&gt;="&amp;A832,warehouse_shipments!$C:$C,"&lt;"&amp;DATE(YEAR(A832),MONTH(A832)+1,1),warehouse_shipments!$P:$P,B832,warehouse_shipments!$Q:$Q,C832,warehouse_shipments!$R:$R,D832)</f>
        <v>0</v>
      </c>
      <c r="H832" s="22">
        <f t="shared" si="1"/>
        <v>-508</v>
      </c>
      <c r="I832" s="64">
        <f t="shared" si="2"/>
        <v>0</v>
      </c>
      <c r="J832" s="22" t="s">
        <v>5309</v>
      </c>
    </row>
    <row r="833" ht="15.75" customHeight="1">
      <c r="A833" s="26">
        <v>46082.0</v>
      </c>
      <c r="B833" s="25" t="s">
        <v>4618</v>
      </c>
      <c r="C833" s="25" t="s">
        <v>67</v>
      </c>
      <c r="D833" s="25" t="s">
        <v>108</v>
      </c>
      <c r="E833" s="29">
        <v>173.0</v>
      </c>
      <c r="F833" s="29">
        <f>SUMIFS(crm_orders!$J:$J,crm_orders!$B:$B,"&gt;="&amp;A833,crm_orders!$B:$B,"&lt;"&amp;DATE(YEAR(A833),MONTH(A833)+1,1),crm_orders!$E:$E,B833,crm_orders!$G:$G,C833,crm_orders!$H:$H,D833)</f>
        <v>0</v>
      </c>
      <c r="G833" s="29">
        <f>SUMIFS(warehouse_shipments!$H:$H,warehouse_shipments!$C:$C,"&gt;="&amp;A833,warehouse_shipments!$C:$C,"&lt;"&amp;DATE(YEAR(A833),MONTH(A833)+1,1),warehouse_shipments!$P:$P,B833,warehouse_shipments!$Q:$Q,C833,warehouse_shipments!$R:$R,D833)</f>
        <v>12</v>
      </c>
      <c r="H833" s="30">
        <f t="shared" si="1"/>
        <v>-173</v>
      </c>
      <c r="I833" s="65">
        <f t="shared" si="2"/>
        <v>0</v>
      </c>
      <c r="J833" s="30" t="s">
        <v>5306</v>
      </c>
    </row>
    <row r="834" ht="15.75" customHeight="1">
      <c r="A834" s="18">
        <v>46082.0</v>
      </c>
      <c r="B834" s="17" t="s">
        <v>4618</v>
      </c>
      <c r="C834" s="17" t="s">
        <v>89</v>
      </c>
      <c r="D834" s="17" t="s">
        <v>92</v>
      </c>
      <c r="E834" s="21">
        <v>344.0</v>
      </c>
      <c r="F834" s="21">
        <f>SUMIFS(crm_orders!$J:$J,crm_orders!$B:$B,"&gt;="&amp;A834,crm_orders!$B:$B,"&lt;"&amp;DATE(YEAR(A834),MONTH(A834)+1,1),crm_orders!$E:$E,B834,crm_orders!$G:$G,C834,crm_orders!$H:$H,D834)</f>
        <v>0</v>
      </c>
      <c r="G834" s="21">
        <f>SUMIFS(warehouse_shipments!$H:$H,warehouse_shipments!$C:$C,"&gt;="&amp;A834,warehouse_shipments!$C:$C,"&lt;"&amp;DATE(YEAR(A834),MONTH(A834)+1,1),warehouse_shipments!$P:$P,B834,warehouse_shipments!$Q:$Q,C834,warehouse_shipments!$R:$R,D834)</f>
        <v>0</v>
      </c>
      <c r="H834" s="22">
        <f t="shared" si="1"/>
        <v>-344</v>
      </c>
      <c r="I834" s="64">
        <f t="shared" si="2"/>
        <v>0</v>
      </c>
      <c r="J834" s="22" t="s">
        <v>5311</v>
      </c>
    </row>
    <row r="835" ht="15.75" customHeight="1">
      <c r="A835" s="26">
        <v>46082.0</v>
      </c>
      <c r="B835" s="25" t="s">
        <v>4618</v>
      </c>
      <c r="C835" s="25" t="s">
        <v>89</v>
      </c>
      <c r="D835" s="25" t="s">
        <v>106</v>
      </c>
      <c r="E835" s="29">
        <v>148.0</v>
      </c>
      <c r="F835" s="29">
        <f>SUMIFS(crm_orders!$J:$J,crm_orders!$B:$B,"&gt;="&amp;A835,crm_orders!$B:$B,"&lt;"&amp;DATE(YEAR(A835),MONTH(A835)+1,1),crm_orders!$E:$E,B835,crm_orders!$G:$G,C835,crm_orders!$H:$H,D835)</f>
        <v>72</v>
      </c>
      <c r="G835" s="29">
        <f>SUMIFS(warehouse_shipments!$H:$H,warehouse_shipments!$C:$C,"&gt;="&amp;A835,warehouse_shipments!$C:$C,"&lt;"&amp;DATE(YEAR(A835),MONTH(A835)+1,1),warehouse_shipments!$P:$P,B835,warehouse_shipments!$Q:$Q,C835,warehouse_shipments!$R:$R,D835)</f>
        <v>60</v>
      </c>
      <c r="H835" s="30">
        <f t="shared" si="1"/>
        <v>-76</v>
      </c>
      <c r="I835" s="65">
        <f t="shared" si="2"/>
        <v>0.4864864865</v>
      </c>
      <c r="J835" s="30" t="s">
        <v>5311</v>
      </c>
    </row>
    <row r="836" ht="15.75" customHeight="1">
      <c r="A836" s="18">
        <v>46082.0</v>
      </c>
      <c r="B836" s="17" t="s">
        <v>4618</v>
      </c>
      <c r="C836" s="17" t="s">
        <v>89</v>
      </c>
      <c r="D836" s="17" t="s">
        <v>78</v>
      </c>
      <c r="E836" s="21">
        <v>250.0</v>
      </c>
      <c r="F836" s="21">
        <f>SUMIFS(crm_orders!$J:$J,crm_orders!$B:$B,"&gt;="&amp;A836,crm_orders!$B:$B,"&lt;"&amp;DATE(YEAR(A836),MONTH(A836)+1,1),crm_orders!$E:$E,B836,crm_orders!$G:$G,C836,crm_orders!$H:$H,D836)</f>
        <v>0</v>
      </c>
      <c r="G836" s="21">
        <f>SUMIFS(warehouse_shipments!$H:$H,warehouse_shipments!$C:$C,"&gt;="&amp;A836,warehouse_shipments!$C:$C,"&lt;"&amp;DATE(YEAR(A836),MONTH(A836)+1,1),warehouse_shipments!$P:$P,B836,warehouse_shipments!$Q:$Q,C836,warehouse_shipments!$R:$R,D836)</f>
        <v>0</v>
      </c>
      <c r="H836" s="22">
        <f t="shared" si="1"/>
        <v>-250</v>
      </c>
      <c r="I836" s="64">
        <f t="shared" si="2"/>
        <v>0</v>
      </c>
      <c r="J836" s="22" t="s">
        <v>5306</v>
      </c>
    </row>
    <row r="837" ht="15.75" customHeight="1">
      <c r="A837" s="26">
        <v>46082.0</v>
      </c>
      <c r="B837" s="25" t="s">
        <v>4618</v>
      </c>
      <c r="C837" s="25" t="s">
        <v>89</v>
      </c>
      <c r="D837" s="25" t="s">
        <v>156</v>
      </c>
      <c r="E837" s="29">
        <v>289.0</v>
      </c>
      <c r="F837" s="29">
        <f>SUMIFS(crm_orders!$J:$J,crm_orders!$B:$B,"&gt;="&amp;A837,crm_orders!$B:$B,"&lt;"&amp;DATE(YEAR(A837),MONTH(A837)+1,1),crm_orders!$E:$E,B837,crm_orders!$G:$G,C837,crm_orders!$H:$H,D837)</f>
        <v>0</v>
      </c>
      <c r="G837" s="29">
        <f>SUMIFS(warehouse_shipments!$H:$H,warehouse_shipments!$C:$C,"&gt;="&amp;A837,warehouse_shipments!$C:$C,"&lt;"&amp;DATE(YEAR(A837),MONTH(A837)+1,1),warehouse_shipments!$P:$P,B837,warehouse_shipments!$Q:$Q,C837,warehouse_shipments!$R:$R,D837)</f>
        <v>0</v>
      </c>
      <c r="H837" s="30">
        <f t="shared" si="1"/>
        <v>-289</v>
      </c>
      <c r="I837" s="65">
        <f t="shared" si="2"/>
        <v>0</v>
      </c>
      <c r="J837" s="30" t="s">
        <v>5308</v>
      </c>
    </row>
    <row r="838" ht="15.75" customHeight="1">
      <c r="A838" s="18">
        <v>46082.0</v>
      </c>
      <c r="B838" s="17" t="s">
        <v>4618</v>
      </c>
      <c r="C838" s="17" t="s">
        <v>89</v>
      </c>
      <c r="D838" s="17" t="s">
        <v>85</v>
      </c>
      <c r="E838" s="21">
        <v>457.0</v>
      </c>
      <c r="F838" s="21">
        <f>SUMIFS(crm_orders!$J:$J,crm_orders!$B:$B,"&gt;="&amp;A838,crm_orders!$B:$B,"&lt;"&amp;DATE(YEAR(A838),MONTH(A838)+1,1),crm_orders!$E:$E,B838,crm_orders!$G:$G,C838,crm_orders!$H:$H,D838)</f>
        <v>0</v>
      </c>
      <c r="G838" s="21">
        <f>SUMIFS(warehouse_shipments!$H:$H,warehouse_shipments!$C:$C,"&gt;="&amp;A838,warehouse_shipments!$C:$C,"&lt;"&amp;DATE(YEAR(A838),MONTH(A838)+1,1),warehouse_shipments!$P:$P,B838,warehouse_shipments!$Q:$Q,C838,warehouse_shipments!$R:$R,D838)</f>
        <v>0</v>
      </c>
      <c r="H838" s="22">
        <f t="shared" si="1"/>
        <v>-457</v>
      </c>
      <c r="I838" s="64">
        <f t="shared" si="2"/>
        <v>0</v>
      </c>
      <c r="J838" s="22" t="s">
        <v>5307</v>
      </c>
    </row>
    <row r="839" ht="15.75" customHeight="1">
      <c r="A839" s="26">
        <v>46082.0</v>
      </c>
      <c r="B839" s="25" t="s">
        <v>4618</v>
      </c>
      <c r="C839" s="25" t="s">
        <v>89</v>
      </c>
      <c r="D839" s="25" t="s">
        <v>81</v>
      </c>
      <c r="E839" s="29">
        <v>82.0</v>
      </c>
      <c r="F839" s="29">
        <f>SUMIFS(crm_orders!$J:$J,crm_orders!$B:$B,"&gt;="&amp;A839,crm_orders!$B:$B,"&lt;"&amp;DATE(YEAR(A839),MONTH(A839)+1,1),crm_orders!$E:$E,B839,crm_orders!$G:$G,C839,crm_orders!$H:$H,D839)</f>
        <v>0</v>
      </c>
      <c r="G839" s="29">
        <f>SUMIFS(warehouse_shipments!$H:$H,warehouse_shipments!$C:$C,"&gt;="&amp;A839,warehouse_shipments!$C:$C,"&lt;"&amp;DATE(YEAR(A839),MONTH(A839)+1,1),warehouse_shipments!$P:$P,B839,warehouse_shipments!$Q:$Q,C839,warehouse_shipments!$R:$R,D839)</f>
        <v>0</v>
      </c>
      <c r="H839" s="30">
        <f t="shared" si="1"/>
        <v>-82</v>
      </c>
      <c r="I839" s="65">
        <f t="shared" si="2"/>
        <v>0</v>
      </c>
      <c r="J839" s="30" t="s">
        <v>5306</v>
      </c>
    </row>
    <row r="840" ht="15.75" customHeight="1">
      <c r="A840" s="18">
        <v>46082.0</v>
      </c>
      <c r="B840" s="17" t="s">
        <v>4618</v>
      </c>
      <c r="C840" s="17" t="s">
        <v>89</v>
      </c>
      <c r="D840" s="17" t="s">
        <v>110</v>
      </c>
      <c r="E840" s="21">
        <v>363.0</v>
      </c>
      <c r="F840" s="21">
        <f>SUMIFS(crm_orders!$J:$J,crm_orders!$B:$B,"&gt;="&amp;A840,crm_orders!$B:$B,"&lt;"&amp;DATE(YEAR(A840),MONTH(A840)+1,1),crm_orders!$E:$E,B840,crm_orders!$G:$G,C840,crm_orders!$H:$H,D840)</f>
        <v>0</v>
      </c>
      <c r="G840" s="21">
        <f>SUMIFS(warehouse_shipments!$H:$H,warehouse_shipments!$C:$C,"&gt;="&amp;A840,warehouse_shipments!$C:$C,"&lt;"&amp;DATE(YEAR(A840),MONTH(A840)+1,1),warehouse_shipments!$P:$P,B840,warehouse_shipments!$Q:$Q,C840,warehouse_shipments!$R:$R,D840)</f>
        <v>0</v>
      </c>
      <c r="H840" s="22">
        <f t="shared" si="1"/>
        <v>-363</v>
      </c>
      <c r="I840" s="64">
        <f t="shared" si="2"/>
        <v>0</v>
      </c>
      <c r="J840" s="22" t="s">
        <v>5310</v>
      </c>
    </row>
    <row r="841" ht="15.75" customHeight="1">
      <c r="A841" s="26">
        <v>46082.0</v>
      </c>
      <c r="B841" s="25" t="s">
        <v>4618</v>
      </c>
      <c r="C841" s="25" t="s">
        <v>89</v>
      </c>
      <c r="D841" s="25" t="s">
        <v>95</v>
      </c>
      <c r="E841" s="29">
        <v>252.0</v>
      </c>
      <c r="F841" s="29">
        <f>SUMIFS(crm_orders!$J:$J,crm_orders!$B:$B,"&gt;="&amp;A841,crm_orders!$B:$B,"&lt;"&amp;DATE(YEAR(A841),MONTH(A841)+1,1),crm_orders!$E:$E,B841,crm_orders!$G:$G,C841,crm_orders!$H:$H,D841)</f>
        <v>0</v>
      </c>
      <c r="G841" s="29">
        <f>SUMIFS(warehouse_shipments!$H:$H,warehouse_shipments!$C:$C,"&gt;="&amp;A841,warehouse_shipments!$C:$C,"&lt;"&amp;DATE(YEAR(A841),MONTH(A841)+1,1),warehouse_shipments!$P:$P,B841,warehouse_shipments!$Q:$Q,C841,warehouse_shipments!$R:$R,D841)</f>
        <v>0</v>
      </c>
      <c r="H841" s="30">
        <f t="shared" si="1"/>
        <v>-252</v>
      </c>
      <c r="I841" s="65">
        <f t="shared" si="2"/>
        <v>0</v>
      </c>
      <c r="J841" s="30" t="s">
        <v>5309</v>
      </c>
    </row>
    <row r="842" ht="15.75" customHeight="1">
      <c r="A842" s="18">
        <v>46082.0</v>
      </c>
      <c r="B842" s="17" t="s">
        <v>4705</v>
      </c>
      <c r="C842" s="17" t="s">
        <v>63</v>
      </c>
      <c r="D842" s="17" t="s">
        <v>85</v>
      </c>
      <c r="E842" s="21">
        <v>399.0</v>
      </c>
      <c r="F842" s="21">
        <f>SUMIFS(crm_orders!$J:$J,crm_orders!$B:$B,"&gt;="&amp;A842,crm_orders!$B:$B,"&lt;"&amp;DATE(YEAR(A842),MONTH(A842)+1,1),crm_orders!$E:$E,B842,crm_orders!$G:$G,C842,crm_orders!$H:$H,D842)</f>
        <v>42</v>
      </c>
      <c r="G842" s="21">
        <f>SUMIFS(warehouse_shipments!$H:$H,warehouse_shipments!$C:$C,"&gt;="&amp;A842,warehouse_shipments!$C:$C,"&lt;"&amp;DATE(YEAR(A842),MONTH(A842)+1,1),warehouse_shipments!$P:$P,B842,warehouse_shipments!$Q:$Q,C842,warehouse_shipments!$R:$R,D842)</f>
        <v>42</v>
      </c>
      <c r="H842" s="22">
        <f t="shared" si="1"/>
        <v>-357</v>
      </c>
      <c r="I842" s="64">
        <f t="shared" si="2"/>
        <v>0.1052631579</v>
      </c>
      <c r="J842" s="22" t="s">
        <v>5310</v>
      </c>
    </row>
    <row r="843" ht="15.75" customHeight="1">
      <c r="A843" s="26">
        <v>46082.0</v>
      </c>
      <c r="B843" s="25" t="s">
        <v>4705</v>
      </c>
      <c r="C843" s="25" t="s">
        <v>63</v>
      </c>
      <c r="D843" s="25" t="s">
        <v>106</v>
      </c>
      <c r="E843" s="29">
        <v>145.0</v>
      </c>
      <c r="F843" s="29">
        <f>SUMIFS(crm_orders!$J:$J,crm_orders!$B:$B,"&gt;="&amp;A843,crm_orders!$B:$B,"&lt;"&amp;DATE(YEAR(A843),MONTH(A843)+1,1),crm_orders!$E:$E,B843,crm_orders!$G:$G,C843,crm_orders!$H:$H,D843)</f>
        <v>0</v>
      </c>
      <c r="G843" s="29">
        <f>SUMIFS(warehouse_shipments!$H:$H,warehouse_shipments!$C:$C,"&gt;="&amp;A843,warehouse_shipments!$C:$C,"&lt;"&amp;DATE(YEAR(A843),MONTH(A843)+1,1),warehouse_shipments!$P:$P,B843,warehouse_shipments!$Q:$Q,C843,warehouse_shipments!$R:$R,D843)</f>
        <v>0</v>
      </c>
      <c r="H843" s="30">
        <f t="shared" si="1"/>
        <v>-145</v>
      </c>
      <c r="I843" s="65">
        <f t="shared" si="2"/>
        <v>0</v>
      </c>
      <c r="J843" s="30" t="s">
        <v>5306</v>
      </c>
    </row>
    <row r="844" ht="15.75" customHeight="1">
      <c r="A844" s="18">
        <v>46082.0</v>
      </c>
      <c r="B844" s="17" t="s">
        <v>4705</v>
      </c>
      <c r="C844" s="17" t="s">
        <v>63</v>
      </c>
      <c r="D844" s="17" t="s">
        <v>74</v>
      </c>
      <c r="E844" s="21">
        <v>84.0</v>
      </c>
      <c r="F844" s="21">
        <f>SUMIFS(crm_orders!$J:$J,crm_orders!$B:$B,"&gt;="&amp;A844,crm_orders!$B:$B,"&lt;"&amp;DATE(YEAR(A844),MONTH(A844)+1,1),crm_orders!$E:$E,B844,crm_orders!$G:$G,C844,crm_orders!$H:$H,D844)</f>
        <v>0</v>
      </c>
      <c r="G844" s="21">
        <f>SUMIFS(warehouse_shipments!$H:$H,warehouse_shipments!$C:$C,"&gt;="&amp;A844,warehouse_shipments!$C:$C,"&lt;"&amp;DATE(YEAR(A844),MONTH(A844)+1,1),warehouse_shipments!$P:$P,B844,warehouse_shipments!$Q:$Q,C844,warehouse_shipments!$R:$R,D844)</f>
        <v>0</v>
      </c>
      <c r="H844" s="22">
        <f t="shared" si="1"/>
        <v>-84</v>
      </c>
      <c r="I844" s="64">
        <f t="shared" si="2"/>
        <v>0</v>
      </c>
      <c r="J844" s="22" t="s">
        <v>5306</v>
      </c>
    </row>
    <row r="845" ht="15.75" customHeight="1">
      <c r="A845" s="26">
        <v>46082.0</v>
      </c>
      <c r="B845" s="25" t="s">
        <v>4705</v>
      </c>
      <c r="C845" s="25" t="s">
        <v>63</v>
      </c>
      <c r="D845" s="25" t="s">
        <v>64</v>
      </c>
      <c r="E845" s="29">
        <v>480.0</v>
      </c>
      <c r="F845" s="29">
        <f>SUMIFS(crm_orders!$J:$J,crm_orders!$B:$B,"&gt;="&amp;A845,crm_orders!$B:$B,"&lt;"&amp;DATE(YEAR(A845),MONTH(A845)+1,1),crm_orders!$E:$E,B845,crm_orders!$G:$G,C845,crm_orders!$H:$H,D845)</f>
        <v>66</v>
      </c>
      <c r="G845" s="29">
        <f>SUMIFS(warehouse_shipments!$H:$H,warehouse_shipments!$C:$C,"&gt;="&amp;A845,warehouse_shipments!$C:$C,"&lt;"&amp;DATE(YEAR(A845),MONTH(A845)+1,1),warehouse_shipments!$P:$P,B845,warehouse_shipments!$Q:$Q,C845,warehouse_shipments!$R:$R,D845)</f>
        <v>0</v>
      </c>
      <c r="H845" s="30">
        <f t="shared" si="1"/>
        <v>-414</v>
      </c>
      <c r="I845" s="65">
        <f t="shared" si="2"/>
        <v>0.1375</v>
      </c>
      <c r="J845" s="30" t="s">
        <v>5307</v>
      </c>
    </row>
    <row r="846" ht="15.75" customHeight="1">
      <c r="A846" s="18">
        <v>46082.0</v>
      </c>
      <c r="B846" s="17" t="s">
        <v>4705</v>
      </c>
      <c r="C846" s="17" t="s">
        <v>63</v>
      </c>
      <c r="D846" s="17" t="s">
        <v>95</v>
      </c>
      <c r="E846" s="21">
        <v>468.0</v>
      </c>
      <c r="F846" s="21">
        <f>SUMIFS(crm_orders!$J:$J,crm_orders!$B:$B,"&gt;="&amp;A846,crm_orders!$B:$B,"&lt;"&amp;DATE(YEAR(A846),MONTH(A846)+1,1),crm_orders!$E:$E,B846,crm_orders!$G:$G,C846,crm_orders!$H:$H,D846)</f>
        <v>18</v>
      </c>
      <c r="G846" s="21">
        <f>SUMIFS(warehouse_shipments!$H:$H,warehouse_shipments!$C:$C,"&gt;="&amp;A846,warehouse_shipments!$C:$C,"&lt;"&amp;DATE(YEAR(A846),MONTH(A846)+1,1),warehouse_shipments!$P:$P,B846,warehouse_shipments!$Q:$Q,C846,warehouse_shipments!$R:$R,D846)</f>
        <v>18</v>
      </c>
      <c r="H846" s="22">
        <f t="shared" si="1"/>
        <v>-450</v>
      </c>
      <c r="I846" s="64">
        <f t="shared" si="2"/>
        <v>0.03846153846</v>
      </c>
      <c r="J846" s="22" t="s">
        <v>5309</v>
      </c>
    </row>
    <row r="847" ht="15.75" customHeight="1">
      <c r="A847" s="26">
        <v>46082.0</v>
      </c>
      <c r="B847" s="25" t="s">
        <v>4705</v>
      </c>
      <c r="C847" s="25" t="s">
        <v>63</v>
      </c>
      <c r="D847" s="25" t="s">
        <v>90</v>
      </c>
      <c r="E847" s="29">
        <v>85.0</v>
      </c>
      <c r="F847" s="29">
        <f>SUMIFS(crm_orders!$J:$J,crm_orders!$B:$B,"&gt;="&amp;A847,crm_orders!$B:$B,"&lt;"&amp;DATE(YEAR(A847),MONTH(A847)+1,1),crm_orders!$E:$E,B847,crm_orders!$G:$G,C847,crm_orders!$H:$H,D847)</f>
        <v>0</v>
      </c>
      <c r="G847" s="29">
        <f>SUMIFS(warehouse_shipments!$H:$H,warehouse_shipments!$C:$C,"&gt;="&amp;A847,warehouse_shipments!$C:$C,"&lt;"&amp;DATE(YEAR(A847),MONTH(A847)+1,1),warehouse_shipments!$P:$P,B847,warehouse_shipments!$Q:$Q,C847,warehouse_shipments!$R:$R,D847)</f>
        <v>0</v>
      </c>
      <c r="H847" s="30">
        <f t="shared" si="1"/>
        <v>-85</v>
      </c>
      <c r="I847" s="65">
        <f t="shared" si="2"/>
        <v>0</v>
      </c>
      <c r="J847" s="30" t="s">
        <v>5306</v>
      </c>
    </row>
    <row r="848" ht="15.75" customHeight="1">
      <c r="A848" s="18">
        <v>46082.0</v>
      </c>
      <c r="B848" s="17" t="s">
        <v>4705</v>
      </c>
      <c r="C848" s="17" t="s">
        <v>63</v>
      </c>
      <c r="D848" s="17" t="s">
        <v>123</v>
      </c>
      <c r="E848" s="21">
        <v>495.0</v>
      </c>
      <c r="F848" s="21">
        <f>SUMIFS(crm_orders!$J:$J,crm_orders!$B:$B,"&gt;="&amp;A848,crm_orders!$B:$B,"&lt;"&amp;DATE(YEAR(A848),MONTH(A848)+1,1),crm_orders!$E:$E,B848,crm_orders!$G:$G,C848,crm_orders!$H:$H,D848)</f>
        <v>120</v>
      </c>
      <c r="G848" s="21">
        <f>SUMIFS(warehouse_shipments!$H:$H,warehouse_shipments!$C:$C,"&gt;="&amp;A848,warehouse_shipments!$C:$C,"&lt;"&amp;DATE(YEAR(A848),MONTH(A848)+1,1),warehouse_shipments!$P:$P,B848,warehouse_shipments!$Q:$Q,C848,warehouse_shipments!$R:$R,D848)</f>
        <v>0</v>
      </c>
      <c r="H848" s="22">
        <f t="shared" si="1"/>
        <v>-375</v>
      </c>
      <c r="I848" s="64">
        <f t="shared" si="2"/>
        <v>0.2424242424</v>
      </c>
      <c r="J848" s="22" t="s">
        <v>5310</v>
      </c>
    </row>
    <row r="849" ht="15.75" customHeight="1">
      <c r="A849" s="26">
        <v>46082.0</v>
      </c>
      <c r="B849" s="25" t="s">
        <v>4705</v>
      </c>
      <c r="C849" s="25" t="s">
        <v>63</v>
      </c>
      <c r="D849" s="25" t="s">
        <v>115</v>
      </c>
      <c r="E849" s="29">
        <v>450.0</v>
      </c>
      <c r="F849" s="29">
        <f>SUMIFS(crm_orders!$J:$J,crm_orders!$B:$B,"&gt;="&amp;A849,crm_orders!$B:$B,"&lt;"&amp;DATE(YEAR(A849),MONTH(A849)+1,1),crm_orders!$E:$E,B849,crm_orders!$G:$G,C849,crm_orders!$H:$H,D849)</f>
        <v>90</v>
      </c>
      <c r="G849" s="29">
        <f>SUMIFS(warehouse_shipments!$H:$H,warehouse_shipments!$C:$C,"&gt;="&amp;A849,warehouse_shipments!$C:$C,"&lt;"&amp;DATE(YEAR(A849),MONTH(A849)+1,1),warehouse_shipments!$P:$P,B849,warehouse_shipments!$Q:$Q,C849,warehouse_shipments!$R:$R,D849)</f>
        <v>72</v>
      </c>
      <c r="H849" s="30">
        <f t="shared" si="1"/>
        <v>-360</v>
      </c>
      <c r="I849" s="65">
        <f t="shared" si="2"/>
        <v>0.2</v>
      </c>
      <c r="J849" s="30" t="s">
        <v>5309</v>
      </c>
    </row>
    <row r="850" ht="15.75" customHeight="1">
      <c r="A850" s="18">
        <v>46082.0</v>
      </c>
      <c r="B850" s="17" t="s">
        <v>4705</v>
      </c>
      <c r="C850" s="17" t="s">
        <v>67</v>
      </c>
      <c r="D850" s="17" t="s">
        <v>108</v>
      </c>
      <c r="E850" s="21">
        <v>290.0</v>
      </c>
      <c r="F850" s="21">
        <f>SUMIFS(crm_orders!$J:$J,crm_orders!$B:$B,"&gt;="&amp;A850,crm_orders!$B:$B,"&lt;"&amp;DATE(YEAR(A850),MONTH(A850)+1,1),crm_orders!$E:$E,B850,crm_orders!$G:$G,C850,crm_orders!$H:$H,D850)</f>
        <v>0</v>
      </c>
      <c r="G850" s="21">
        <f>SUMIFS(warehouse_shipments!$H:$H,warehouse_shipments!$C:$C,"&gt;="&amp;A850,warehouse_shipments!$C:$C,"&lt;"&amp;DATE(YEAR(A850),MONTH(A850)+1,1),warehouse_shipments!$P:$P,B850,warehouse_shipments!$Q:$Q,C850,warehouse_shipments!$R:$R,D850)</f>
        <v>0</v>
      </c>
      <c r="H850" s="22">
        <f t="shared" si="1"/>
        <v>-290</v>
      </c>
      <c r="I850" s="64">
        <f t="shared" si="2"/>
        <v>0</v>
      </c>
      <c r="J850" s="22" t="s">
        <v>5310</v>
      </c>
    </row>
    <row r="851" ht="15.75" customHeight="1">
      <c r="A851" s="26">
        <v>46082.0</v>
      </c>
      <c r="B851" s="25" t="s">
        <v>4705</v>
      </c>
      <c r="C851" s="25" t="s">
        <v>67</v>
      </c>
      <c r="D851" s="25" t="s">
        <v>115</v>
      </c>
      <c r="E851" s="29">
        <v>497.0</v>
      </c>
      <c r="F851" s="29">
        <f>SUMIFS(crm_orders!$J:$J,crm_orders!$B:$B,"&gt;="&amp;A851,crm_orders!$B:$B,"&lt;"&amp;DATE(YEAR(A851),MONTH(A851)+1,1),crm_orders!$E:$E,B851,crm_orders!$G:$G,C851,crm_orders!$H:$H,D851)</f>
        <v>60</v>
      </c>
      <c r="G851" s="29">
        <f>SUMIFS(warehouse_shipments!$H:$H,warehouse_shipments!$C:$C,"&gt;="&amp;A851,warehouse_shipments!$C:$C,"&lt;"&amp;DATE(YEAR(A851),MONTH(A851)+1,1),warehouse_shipments!$P:$P,B851,warehouse_shipments!$Q:$Q,C851,warehouse_shipments!$R:$R,D851)</f>
        <v>60</v>
      </c>
      <c r="H851" s="30">
        <f t="shared" si="1"/>
        <v>-437</v>
      </c>
      <c r="I851" s="65">
        <f t="shared" si="2"/>
        <v>0.1207243461</v>
      </c>
      <c r="J851" s="30" t="s">
        <v>5308</v>
      </c>
    </row>
    <row r="852" ht="15.75" customHeight="1">
      <c r="A852" s="18">
        <v>46082.0</v>
      </c>
      <c r="B852" s="17" t="s">
        <v>4705</v>
      </c>
      <c r="C852" s="17" t="s">
        <v>67</v>
      </c>
      <c r="D852" s="17" t="s">
        <v>110</v>
      </c>
      <c r="E852" s="21">
        <v>304.0</v>
      </c>
      <c r="F852" s="21">
        <f>SUMIFS(crm_orders!$J:$J,crm_orders!$B:$B,"&gt;="&amp;A852,crm_orders!$B:$B,"&lt;"&amp;DATE(YEAR(A852),MONTH(A852)+1,1),crm_orders!$E:$E,B852,crm_orders!$G:$G,C852,crm_orders!$H:$H,D852)</f>
        <v>0</v>
      </c>
      <c r="G852" s="21">
        <f>SUMIFS(warehouse_shipments!$H:$H,warehouse_shipments!$C:$C,"&gt;="&amp;A852,warehouse_shipments!$C:$C,"&lt;"&amp;DATE(YEAR(A852),MONTH(A852)+1,1),warehouse_shipments!$P:$P,B852,warehouse_shipments!$Q:$Q,C852,warehouse_shipments!$R:$R,D852)</f>
        <v>0</v>
      </c>
      <c r="H852" s="22">
        <f t="shared" si="1"/>
        <v>-304</v>
      </c>
      <c r="I852" s="64">
        <f t="shared" si="2"/>
        <v>0</v>
      </c>
      <c r="J852" s="22" t="s">
        <v>5309</v>
      </c>
    </row>
    <row r="853" ht="15.75" customHeight="1">
      <c r="A853" s="26">
        <v>46082.0</v>
      </c>
      <c r="B853" s="25" t="s">
        <v>4705</v>
      </c>
      <c r="C853" s="25" t="s">
        <v>67</v>
      </c>
      <c r="D853" s="25" t="s">
        <v>92</v>
      </c>
      <c r="E853" s="29">
        <v>401.0</v>
      </c>
      <c r="F853" s="29">
        <f>SUMIFS(crm_orders!$J:$J,crm_orders!$B:$B,"&gt;="&amp;A853,crm_orders!$B:$B,"&lt;"&amp;DATE(YEAR(A853),MONTH(A853)+1,1),crm_orders!$E:$E,B853,crm_orders!$G:$G,C853,crm_orders!$H:$H,D853)</f>
        <v>0</v>
      </c>
      <c r="G853" s="29">
        <f>SUMIFS(warehouse_shipments!$H:$H,warehouse_shipments!$C:$C,"&gt;="&amp;A853,warehouse_shipments!$C:$C,"&lt;"&amp;DATE(YEAR(A853),MONTH(A853)+1,1),warehouse_shipments!$P:$P,B853,warehouse_shipments!$Q:$Q,C853,warehouse_shipments!$R:$R,D853)</f>
        <v>0</v>
      </c>
      <c r="H853" s="30">
        <f t="shared" si="1"/>
        <v>-401</v>
      </c>
      <c r="I853" s="65">
        <f t="shared" si="2"/>
        <v>0</v>
      </c>
      <c r="J853" s="30" t="s">
        <v>5309</v>
      </c>
    </row>
    <row r="854" ht="15.75" customHeight="1">
      <c r="A854" s="18">
        <v>46082.0</v>
      </c>
      <c r="B854" s="17" t="s">
        <v>4705</v>
      </c>
      <c r="C854" s="17" t="s">
        <v>67</v>
      </c>
      <c r="D854" s="17" t="s">
        <v>81</v>
      </c>
      <c r="E854" s="21">
        <v>144.0</v>
      </c>
      <c r="F854" s="21">
        <f>SUMIFS(crm_orders!$J:$J,crm_orders!$B:$B,"&gt;="&amp;A854,crm_orders!$B:$B,"&lt;"&amp;DATE(YEAR(A854),MONTH(A854)+1,1),crm_orders!$E:$E,B854,crm_orders!$G:$G,C854,crm_orders!$H:$H,D854)</f>
        <v>0</v>
      </c>
      <c r="G854" s="21">
        <f>SUMIFS(warehouse_shipments!$H:$H,warehouse_shipments!$C:$C,"&gt;="&amp;A854,warehouse_shipments!$C:$C,"&lt;"&amp;DATE(YEAR(A854),MONTH(A854)+1,1),warehouse_shipments!$P:$P,B854,warehouse_shipments!$Q:$Q,C854,warehouse_shipments!$R:$R,D854)</f>
        <v>0</v>
      </c>
      <c r="H854" s="22">
        <f t="shared" si="1"/>
        <v>-144</v>
      </c>
      <c r="I854" s="64">
        <f t="shared" si="2"/>
        <v>0</v>
      </c>
      <c r="J854" s="22" t="s">
        <v>5311</v>
      </c>
    </row>
    <row r="855" ht="15.75" customHeight="1">
      <c r="A855" s="26">
        <v>46082.0</v>
      </c>
      <c r="B855" s="25" t="s">
        <v>4705</v>
      </c>
      <c r="C855" s="25" t="s">
        <v>67</v>
      </c>
      <c r="D855" s="25" t="s">
        <v>71</v>
      </c>
      <c r="E855" s="29">
        <v>132.0</v>
      </c>
      <c r="F855" s="29">
        <f>SUMIFS(crm_orders!$J:$J,crm_orders!$B:$B,"&gt;="&amp;A855,crm_orders!$B:$B,"&lt;"&amp;DATE(YEAR(A855),MONTH(A855)+1,1),crm_orders!$E:$E,B855,crm_orders!$G:$G,C855,crm_orders!$H:$H,D855)</f>
        <v>0</v>
      </c>
      <c r="G855" s="29">
        <f>SUMIFS(warehouse_shipments!$H:$H,warehouse_shipments!$C:$C,"&gt;="&amp;A855,warehouse_shipments!$C:$C,"&lt;"&amp;DATE(YEAR(A855),MONTH(A855)+1,1),warehouse_shipments!$P:$P,B855,warehouse_shipments!$Q:$Q,C855,warehouse_shipments!$R:$R,D855)</f>
        <v>0</v>
      </c>
      <c r="H855" s="30">
        <f t="shared" si="1"/>
        <v>-132</v>
      </c>
      <c r="I855" s="65">
        <f t="shared" si="2"/>
        <v>0</v>
      </c>
      <c r="J855" s="30" t="s">
        <v>5308</v>
      </c>
    </row>
    <row r="856" ht="15.75" customHeight="1">
      <c r="A856" s="18">
        <v>46082.0</v>
      </c>
      <c r="B856" s="17" t="s">
        <v>4705</v>
      </c>
      <c r="C856" s="17" t="s">
        <v>67</v>
      </c>
      <c r="D856" s="17" t="s">
        <v>64</v>
      </c>
      <c r="E856" s="21">
        <v>196.0</v>
      </c>
      <c r="F856" s="21">
        <f>SUMIFS(crm_orders!$J:$J,crm_orders!$B:$B,"&gt;="&amp;A856,crm_orders!$B:$B,"&lt;"&amp;DATE(YEAR(A856),MONTH(A856)+1,1),crm_orders!$E:$E,B856,crm_orders!$G:$G,C856,crm_orders!$H:$H,D856)</f>
        <v>0</v>
      </c>
      <c r="G856" s="21">
        <f>SUMIFS(warehouse_shipments!$H:$H,warehouse_shipments!$C:$C,"&gt;="&amp;A856,warehouse_shipments!$C:$C,"&lt;"&amp;DATE(YEAR(A856),MONTH(A856)+1,1),warehouse_shipments!$P:$P,B856,warehouse_shipments!$Q:$Q,C856,warehouse_shipments!$R:$R,D856)</f>
        <v>0</v>
      </c>
      <c r="H856" s="22">
        <f t="shared" si="1"/>
        <v>-196</v>
      </c>
      <c r="I856" s="64">
        <f t="shared" si="2"/>
        <v>0</v>
      </c>
      <c r="J856" s="22" t="s">
        <v>5309</v>
      </c>
    </row>
    <row r="857" ht="15.75" customHeight="1">
      <c r="A857" s="26">
        <v>46082.0</v>
      </c>
      <c r="B857" s="25" t="s">
        <v>4705</v>
      </c>
      <c r="C857" s="25" t="s">
        <v>67</v>
      </c>
      <c r="D857" s="25" t="s">
        <v>102</v>
      </c>
      <c r="E857" s="29">
        <v>428.0</v>
      </c>
      <c r="F857" s="29">
        <f>SUMIFS(crm_orders!$J:$J,crm_orders!$B:$B,"&gt;="&amp;A857,crm_orders!$B:$B,"&lt;"&amp;DATE(YEAR(A857),MONTH(A857)+1,1),crm_orders!$E:$E,B857,crm_orders!$G:$G,C857,crm_orders!$H:$H,D857)</f>
        <v>0</v>
      </c>
      <c r="G857" s="29">
        <f>SUMIFS(warehouse_shipments!$H:$H,warehouse_shipments!$C:$C,"&gt;="&amp;A857,warehouse_shipments!$C:$C,"&lt;"&amp;DATE(YEAR(A857),MONTH(A857)+1,1),warehouse_shipments!$P:$P,B857,warehouse_shipments!$Q:$Q,C857,warehouse_shipments!$R:$R,D857)</f>
        <v>0</v>
      </c>
      <c r="H857" s="30">
        <f t="shared" si="1"/>
        <v>-428</v>
      </c>
      <c r="I857" s="65">
        <f t="shared" si="2"/>
        <v>0</v>
      </c>
      <c r="J857" s="30" t="s">
        <v>5310</v>
      </c>
    </row>
    <row r="858" ht="15.75" customHeight="1">
      <c r="A858" s="18">
        <v>46082.0</v>
      </c>
      <c r="B858" s="17" t="s">
        <v>4705</v>
      </c>
      <c r="C858" s="17" t="s">
        <v>89</v>
      </c>
      <c r="D858" s="17" t="s">
        <v>95</v>
      </c>
      <c r="E858" s="21">
        <v>104.0</v>
      </c>
      <c r="F858" s="21">
        <f>SUMIFS(crm_orders!$J:$J,crm_orders!$B:$B,"&gt;="&amp;A858,crm_orders!$B:$B,"&lt;"&amp;DATE(YEAR(A858),MONTH(A858)+1,1),crm_orders!$E:$E,B858,crm_orders!$G:$G,C858,crm_orders!$H:$H,D858)</f>
        <v>0</v>
      </c>
      <c r="G858" s="21">
        <f>SUMIFS(warehouse_shipments!$H:$H,warehouse_shipments!$C:$C,"&gt;="&amp;A858,warehouse_shipments!$C:$C,"&lt;"&amp;DATE(YEAR(A858),MONTH(A858)+1,1),warehouse_shipments!$P:$P,B858,warehouse_shipments!$Q:$Q,C858,warehouse_shipments!$R:$R,D858)</f>
        <v>0</v>
      </c>
      <c r="H858" s="22">
        <f t="shared" si="1"/>
        <v>-104</v>
      </c>
      <c r="I858" s="64">
        <f t="shared" si="2"/>
        <v>0</v>
      </c>
      <c r="J858" s="22" t="s">
        <v>5309</v>
      </c>
    </row>
    <row r="859" ht="15.75" customHeight="1">
      <c r="A859" s="26">
        <v>46082.0</v>
      </c>
      <c r="B859" s="25" t="s">
        <v>4705</v>
      </c>
      <c r="C859" s="25" t="s">
        <v>89</v>
      </c>
      <c r="D859" s="25" t="s">
        <v>156</v>
      </c>
      <c r="E859" s="29">
        <v>481.0</v>
      </c>
      <c r="F859" s="29">
        <f>SUMIFS(crm_orders!$J:$J,crm_orders!$B:$B,"&gt;="&amp;A859,crm_orders!$B:$B,"&lt;"&amp;DATE(YEAR(A859),MONTH(A859)+1,1),crm_orders!$E:$E,B859,crm_orders!$G:$G,C859,crm_orders!$H:$H,D859)</f>
        <v>0</v>
      </c>
      <c r="G859" s="29">
        <f>SUMIFS(warehouse_shipments!$H:$H,warehouse_shipments!$C:$C,"&gt;="&amp;A859,warehouse_shipments!$C:$C,"&lt;"&amp;DATE(YEAR(A859),MONTH(A859)+1,1),warehouse_shipments!$P:$P,B859,warehouse_shipments!$Q:$Q,C859,warehouse_shipments!$R:$R,D859)</f>
        <v>0</v>
      </c>
      <c r="H859" s="30">
        <f t="shared" si="1"/>
        <v>-481</v>
      </c>
      <c r="I859" s="65">
        <f t="shared" si="2"/>
        <v>0</v>
      </c>
      <c r="J859" s="30" t="s">
        <v>5308</v>
      </c>
    </row>
    <row r="860" ht="15.75" customHeight="1">
      <c r="A860" s="18">
        <v>46082.0</v>
      </c>
      <c r="B860" s="17" t="s">
        <v>4705</v>
      </c>
      <c r="C860" s="17" t="s">
        <v>89</v>
      </c>
      <c r="D860" s="17" t="s">
        <v>190</v>
      </c>
      <c r="E860" s="21">
        <v>207.0</v>
      </c>
      <c r="F860" s="21">
        <f>SUMIFS(crm_orders!$J:$J,crm_orders!$B:$B,"&gt;="&amp;A860,crm_orders!$B:$B,"&lt;"&amp;DATE(YEAR(A860),MONTH(A860)+1,1),crm_orders!$E:$E,B860,crm_orders!$G:$G,C860,crm_orders!$H:$H,D860)</f>
        <v>0</v>
      </c>
      <c r="G860" s="21">
        <f>SUMIFS(warehouse_shipments!$H:$H,warehouse_shipments!$C:$C,"&gt;="&amp;A860,warehouse_shipments!$C:$C,"&lt;"&amp;DATE(YEAR(A860),MONTH(A860)+1,1),warehouse_shipments!$P:$P,B860,warehouse_shipments!$Q:$Q,C860,warehouse_shipments!$R:$R,D860)</f>
        <v>0</v>
      </c>
      <c r="H860" s="22">
        <f t="shared" si="1"/>
        <v>-207</v>
      </c>
      <c r="I860" s="64">
        <f t="shared" si="2"/>
        <v>0</v>
      </c>
      <c r="J860" s="22" t="s">
        <v>5309</v>
      </c>
    </row>
    <row r="861" ht="15.75" customHeight="1">
      <c r="A861" s="26">
        <v>46082.0</v>
      </c>
      <c r="B861" s="25" t="s">
        <v>4705</v>
      </c>
      <c r="C861" s="25" t="s">
        <v>89</v>
      </c>
      <c r="D861" s="25" t="s">
        <v>78</v>
      </c>
      <c r="E861" s="29">
        <v>388.0</v>
      </c>
      <c r="F861" s="29">
        <f>SUMIFS(crm_orders!$J:$J,crm_orders!$B:$B,"&gt;="&amp;A861,crm_orders!$B:$B,"&lt;"&amp;DATE(YEAR(A861),MONTH(A861)+1,1),crm_orders!$E:$E,B861,crm_orders!$G:$G,C861,crm_orders!$H:$H,D861)</f>
        <v>0</v>
      </c>
      <c r="G861" s="29">
        <f>SUMIFS(warehouse_shipments!$H:$H,warehouse_shipments!$C:$C,"&gt;="&amp;A861,warehouse_shipments!$C:$C,"&lt;"&amp;DATE(YEAR(A861),MONTH(A861)+1,1),warehouse_shipments!$P:$P,B861,warehouse_shipments!$Q:$Q,C861,warehouse_shipments!$R:$R,D861)</f>
        <v>0</v>
      </c>
      <c r="H861" s="30">
        <f t="shared" si="1"/>
        <v>-388</v>
      </c>
      <c r="I861" s="65">
        <f t="shared" si="2"/>
        <v>0</v>
      </c>
      <c r="J861" s="30" t="s">
        <v>5310</v>
      </c>
    </row>
    <row r="862" ht="15.75" customHeight="1">
      <c r="A862" s="18">
        <v>46082.0</v>
      </c>
      <c r="B862" s="17" t="s">
        <v>4705</v>
      </c>
      <c r="C862" s="17" t="s">
        <v>89</v>
      </c>
      <c r="D862" s="17" t="s">
        <v>90</v>
      </c>
      <c r="E862" s="21">
        <v>305.0</v>
      </c>
      <c r="F862" s="21">
        <f>SUMIFS(crm_orders!$J:$J,crm_orders!$B:$B,"&gt;="&amp;A862,crm_orders!$B:$B,"&lt;"&amp;DATE(YEAR(A862),MONTH(A862)+1,1),crm_orders!$E:$E,B862,crm_orders!$G:$G,C862,crm_orders!$H:$H,D862)</f>
        <v>0</v>
      </c>
      <c r="G862" s="21">
        <f>SUMIFS(warehouse_shipments!$H:$H,warehouse_shipments!$C:$C,"&gt;="&amp;A862,warehouse_shipments!$C:$C,"&lt;"&amp;DATE(YEAR(A862),MONTH(A862)+1,1),warehouse_shipments!$P:$P,B862,warehouse_shipments!$Q:$Q,C862,warehouse_shipments!$R:$R,D862)</f>
        <v>120</v>
      </c>
      <c r="H862" s="22">
        <f t="shared" si="1"/>
        <v>-305</v>
      </c>
      <c r="I862" s="64">
        <f t="shared" si="2"/>
        <v>0</v>
      </c>
      <c r="J862" s="22" t="s">
        <v>5311</v>
      </c>
    </row>
    <row r="863" ht="15.75" customHeight="1">
      <c r="A863" s="26">
        <v>46082.0</v>
      </c>
      <c r="B863" s="25" t="s">
        <v>4705</v>
      </c>
      <c r="C863" s="25" t="s">
        <v>89</v>
      </c>
      <c r="D863" s="25" t="s">
        <v>106</v>
      </c>
      <c r="E863" s="29">
        <v>443.0</v>
      </c>
      <c r="F863" s="29">
        <f>SUMIFS(crm_orders!$J:$J,crm_orders!$B:$B,"&gt;="&amp;A863,crm_orders!$B:$B,"&lt;"&amp;DATE(YEAR(A863),MONTH(A863)+1,1),crm_orders!$E:$E,B863,crm_orders!$G:$G,C863,crm_orders!$H:$H,D863)</f>
        <v>0</v>
      </c>
      <c r="G863" s="29">
        <f>SUMIFS(warehouse_shipments!$H:$H,warehouse_shipments!$C:$C,"&gt;="&amp;A863,warehouse_shipments!$C:$C,"&lt;"&amp;DATE(YEAR(A863),MONTH(A863)+1,1),warehouse_shipments!$P:$P,B863,warehouse_shipments!$Q:$Q,C863,warehouse_shipments!$R:$R,D863)</f>
        <v>0</v>
      </c>
      <c r="H863" s="30">
        <f t="shared" si="1"/>
        <v>-443</v>
      </c>
      <c r="I863" s="65">
        <f t="shared" si="2"/>
        <v>0</v>
      </c>
      <c r="J863" s="30" t="s">
        <v>5308</v>
      </c>
    </row>
    <row r="864" ht="15.75" customHeight="1">
      <c r="A864" s="18">
        <v>46082.0</v>
      </c>
      <c r="B864" s="17" t="s">
        <v>4705</v>
      </c>
      <c r="C864" s="17" t="s">
        <v>89</v>
      </c>
      <c r="D864" s="17" t="s">
        <v>110</v>
      </c>
      <c r="E864" s="21">
        <v>198.0</v>
      </c>
      <c r="F864" s="21">
        <f>SUMIFS(crm_orders!$J:$J,crm_orders!$B:$B,"&gt;="&amp;A864,crm_orders!$B:$B,"&lt;"&amp;DATE(YEAR(A864),MONTH(A864)+1,1),crm_orders!$E:$E,B864,crm_orders!$G:$G,C864,crm_orders!$H:$H,D864)</f>
        <v>0</v>
      </c>
      <c r="G864" s="21">
        <f>SUMIFS(warehouse_shipments!$H:$H,warehouse_shipments!$C:$C,"&gt;="&amp;A864,warehouse_shipments!$C:$C,"&lt;"&amp;DATE(YEAR(A864),MONTH(A864)+1,1),warehouse_shipments!$P:$P,B864,warehouse_shipments!$Q:$Q,C864,warehouse_shipments!$R:$R,D864)</f>
        <v>0</v>
      </c>
      <c r="H864" s="22">
        <f t="shared" si="1"/>
        <v>-198</v>
      </c>
      <c r="I864" s="64">
        <f t="shared" si="2"/>
        <v>0</v>
      </c>
      <c r="J864" s="22" t="s">
        <v>5306</v>
      </c>
    </row>
    <row r="865" ht="15.75" customHeight="1">
      <c r="A865" s="26">
        <v>46082.0</v>
      </c>
      <c r="B865" s="25" t="s">
        <v>4705</v>
      </c>
      <c r="C865" s="25" t="s">
        <v>89</v>
      </c>
      <c r="D865" s="25" t="s">
        <v>71</v>
      </c>
      <c r="E865" s="29">
        <v>358.0</v>
      </c>
      <c r="F865" s="29">
        <f>SUMIFS(crm_orders!$J:$J,crm_orders!$B:$B,"&gt;="&amp;A865,crm_orders!$B:$B,"&lt;"&amp;DATE(YEAR(A865),MONTH(A865)+1,1),crm_orders!$E:$E,B865,crm_orders!$G:$G,C865,crm_orders!$H:$H,D865)</f>
        <v>0</v>
      </c>
      <c r="G865" s="29">
        <f>SUMIFS(warehouse_shipments!$H:$H,warehouse_shipments!$C:$C,"&gt;="&amp;A865,warehouse_shipments!$C:$C,"&lt;"&amp;DATE(YEAR(A865),MONTH(A865)+1,1),warehouse_shipments!$P:$P,B865,warehouse_shipments!$Q:$Q,C865,warehouse_shipments!$R:$R,D865)</f>
        <v>0</v>
      </c>
      <c r="H865" s="30">
        <f t="shared" si="1"/>
        <v>-358</v>
      </c>
      <c r="I865" s="65">
        <f t="shared" si="2"/>
        <v>0</v>
      </c>
      <c r="J865" s="30" t="s">
        <v>5311</v>
      </c>
    </row>
    <row r="866" ht="15.75" customHeight="1">
      <c r="A866" s="18">
        <v>46113.0</v>
      </c>
      <c r="B866" s="17" t="s">
        <v>3849</v>
      </c>
      <c r="C866" s="17" t="s">
        <v>63</v>
      </c>
      <c r="D866" s="17" t="s">
        <v>123</v>
      </c>
      <c r="E866" s="21">
        <v>109.0</v>
      </c>
      <c r="F866" s="21">
        <f>SUMIFS(crm_orders!$J:$J,crm_orders!$B:$B,"&gt;="&amp;A866,crm_orders!$B:$B,"&lt;"&amp;DATE(YEAR(A866),MONTH(A866)+1,1),crm_orders!$E:$E,B866,crm_orders!$G:$G,C866,crm_orders!$H:$H,D866)</f>
        <v>0</v>
      </c>
      <c r="G866" s="21">
        <f>SUMIFS(warehouse_shipments!$H:$H,warehouse_shipments!$C:$C,"&gt;="&amp;A866,warehouse_shipments!$C:$C,"&lt;"&amp;DATE(YEAR(A866),MONTH(A866)+1,1),warehouse_shipments!$P:$P,B866,warehouse_shipments!$Q:$Q,C866,warehouse_shipments!$R:$R,D866)</f>
        <v>0</v>
      </c>
      <c r="H866" s="22">
        <f t="shared" si="1"/>
        <v>-109</v>
      </c>
      <c r="I866" s="64">
        <f t="shared" si="2"/>
        <v>0</v>
      </c>
      <c r="J866" s="22" t="s">
        <v>5309</v>
      </c>
    </row>
    <row r="867" ht="15.75" customHeight="1">
      <c r="A867" s="26">
        <v>46113.0</v>
      </c>
      <c r="B867" s="25" t="s">
        <v>3849</v>
      </c>
      <c r="C867" s="25" t="s">
        <v>63</v>
      </c>
      <c r="D867" s="25" t="s">
        <v>108</v>
      </c>
      <c r="E867" s="29">
        <v>90.0</v>
      </c>
      <c r="F867" s="29">
        <f>SUMIFS(crm_orders!$J:$J,crm_orders!$B:$B,"&gt;="&amp;A867,crm_orders!$B:$B,"&lt;"&amp;DATE(YEAR(A867),MONTH(A867)+1,1),crm_orders!$E:$E,B867,crm_orders!$G:$G,C867,crm_orders!$H:$H,D867)</f>
        <v>0</v>
      </c>
      <c r="G867" s="29">
        <f>SUMIFS(warehouse_shipments!$H:$H,warehouse_shipments!$C:$C,"&gt;="&amp;A867,warehouse_shipments!$C:$C,"&lt;"&amp;DATE(YEAR(A867),MONTH(A867)+1,1),warehouse_shipments!$P:$P,B867,warehouse_shipments!$Q:$Q,C867,warehouse_shipments!$R:$R,D867)</f>
        <v>0</v>
      </c>
      <c r="H867" s="30">
        <f t="shared" si="1"/>
        <v>-90</v>
      </c>
      <c r="I867" s="65">
        <f t="shared" si="2"/>
        <v>0</v>
      </c>
      <c r="J867" s="30" t="s">
        <v>5307</v>
      </c>
    </row>
    <row r="868" ht="15.75" customHeight="1">
      <c r="A868" s="18">
        <v>46113.0</v>
      </c>
      <c r="B868" s="17" t="s">
        <v>3849</v>
      </c>
      <c r="C868" s="17" t="s">
        <v>63</v>
      </c>
      <c r="D868" s="17" t="s">
        <v>154</v>
      </c>
      <c r="E868" s="21">
        <v>348.0</v>
      </c>
      <c r="F868" s="21">
        <f>SUMIFS(crm_orders!$J:$J,crm_orders!$B:$B,"&gt;="&amp;A868,crm_orders!$B:$B,"&lt;"&amp;DATE(YEAR(A868),MONTH(A868)+1,1),crm_orders!$E:$E,B868,crm_orders!$G:$G,C868,crm_orders!$H:$H,D868)</f>
        <v>0</v>
      </c>
      <c r="G868" s="21">
        <f>SUMIFS(warehouse_shipments!$H:$H,warehouse_shipments!$C:$C,"&gt;="&amp;A868,warehouse_shipments!$C:$C,"&lt;"&amp;DATE(YEAR(A868),MONTH(A868)+1,1),warehouse_shipments!$P:$P,B868,warehouse_shipments!$Q:$Q,C868,warehouse_shipments!$R:$R,D868)</f>
        <v>0</v>
      </c>
      <c r="H868" s="22">
        <f t="shared" si="1"/>
        <v>-348</v>
      </c>
      <c r="I868" s="64">
        <f t="shared" si="2"/>
        <v>0</v>
      </c>
      <c r="J868" s="22" t="s">
        <v>5309</v>
      </c>
    </row>
    <row r="869" ht="15.75" customHeight="1">
      <c r="A869" s="26">
        <v>46113.0</v>
      </c>
      <c r="B869" s="25" t="s">
        <v>3849</v>
      </c>
      <c r="C869" s="25" t="s">
        <v>63</v>
      </c>
      <c r="D869" s="25" t="s">
        <v>106</v>
      </c>
      <c r="E869" s="29">
        <v>283.0</v>
      </c>
      <c r="F869" s="29">
        <f>SUMIFS(crm_orders!$J:$J,crm_orders!$B:$B,"&gt;="&amp;A869,crm_orders!$B:$B,"&lt;"&amp;DATE(YEAR(A869),MONTH(A869)+1,1),crm_orders!$E:$E,B869,crm_orders!$G:$G,C869,crm_orders!$H:$H,D869)</f>
        <v>24</v>
      </c>
      <c r="G869" s="29">
        <f>SUMIFS(warehouse_shipments!$H:$H,warehouse_shipments!$C:$C,"&gt;="&amp;A869,warehouse_shipments!$C:$C,"&lt;"&amp;DATE(YEAR(A869),MONTH(A869)+1,1),warehouse_shipments!$P:$P,B869,warehouse_shipments!$Q:$Q,C869,warehouse_shipments!$R:$R,D869)</f>
        <v>24</v>
      </c>
      <c r="H869" s="30">
        <f t="shared" si="1"/>
        <v>-259</v>
      </c>
      <c r="I869" s="65">
        <f t="shared" si="2"/>
        <v>0.08480565371</v>
      </c>
      <c r="J869" s="30" t="s">
        <v>5309</v>
      </c>
    </row>
    <row r="870" ht="15.75" customHeight="1">
      <c r="A870" s="18">
        <v>46113.0</v>
      </c>
      <c r="B870" s="17" t="s">
        <v>3849</v>
      </c>
      <c r="C870" s="17" t="s">
        <v>63</v>
      </c>
      <c r="D870" s="17" t="s">
        <v>115</v>
      </c>
      <c r="E870" s="21">
        <v>178.0</v>
      </c>
      <c r="F870" s="21">
        <f>SUMIFS(crm_orders!$J:$J,crm_orders!$B:$B,"&gt;="&amp;A870,crm_orders!$B:$B,"&lt;"&amp;DATE(YEAR(A870),MONTH(A870)+1,1),crm_orders!$E:$E,B870,crm_orders!$G:$G,C870,crm_orders!$H:$H,D870)</f>
        <v>18</v>
      </c>
      <c r="G870" s="21">
        <f>SUMIFS(warehouse_shipments!$H:$H,warehouse_shipments!$C:$C,"&gt;="&amp;A870,warehouse_shipments!$C:$C,"&lt;"&amp;DATE(YEAR(A870),MONTH(A870)+1,1),warehouse_shipments!$P:$P,B870,warehouse_shipments!$Q:$Q,C870,warehouse_shipments!$R:$R,D870)</f>
        <v>0</v>
      </c>
      <c r="H870" s="22">
        <f t="shared" si="1"/>
        <v>-160</v>
      </c>
      <c r="I870" s="64">
        <f t="shared" si="2"/>
        <v>0.1011235955</v>
      </c>
      <c r="J870" s="22" t="s">
        <v>5307</v>
      </c>
    </row>
    <row r="871" ht="15.75" customHeight="1">
      <c r="A871" s="26">
        <v>46113.0</v>
      </c>
      <c r="B871" s="25" t="s">
        <v>3849</v>
      </c>
      <c r="C871" s="25" t="s">
        <v>63</v>
      </c>
      <c r="D871" s="25" t="s">
        <v>81</v>
      </c>
      <c r="E871" s="29">
        <v>489.0</v>
      </c>
      <c r="F871" s="29">
        <f>SUMIFS(crm_orders!$J:$J,crm_orders!$B:$B,"&gt;="&amp;A871,crm_orders!$B:$B,"&lt;"&amp;DATE(YEAR(A871),MONTH(A871)+1,1),crm_orders!$E:$E,B871,crm_orders!$G:$G,C871,crm_orders!$H:$H,D871)</f>
        <v>0</v>
      </c>
      <c r="G871" s="29">
        <f>SUMIFS(warehouse_shipments!$H:$H,warehouse_shipments!$C:$C,"&gt;="&amp;A871,warehouse_shipments!$C:$C,"&lt;"&amp;DATE(YEAR(A871),MONTH(A871)+1,1),warehouse_shipments!$P:$P,B871,warehouse_shipments!$Q:$Q,C871,warehouse_shipments!$R:$R,D871)</f>
        <v>0</v>
      </c>
      <c r="H871" s="30">
        <f t="shared" si="1"/>
        <v>-489</v>
      </c>
      <c r="I871" s="65">
        <f t="shared" si="2"/>
        <v>0</v>
      </c>
      <c r="J871" s="30" t="s">
        <v>5310</v>
      </c>
    </row>
    <row r="872" ht="15.75" customHeight="1">
      <c r="A872" s="18">
        <v>46113.0</v>
      </c>
      <c r="B872" s="17" t="s">
        <v>3849</v>
      </c>
      <c r="C872" s="17" t="s">
        <v>63</v>
      </c>
      <c r="D872" s="17" t="s">
        <v>110</v>
      </c>
      <c r="E872" s="21">
        <v>84.0</v>
      </c>
      <c r="F872" s="21">
        <f>SUMIFS(crm_orders!$J:$J,crm_orders!$B:$B,"&gt;="&amp;A872,crm_orders!$B:$B,"&lt;"&amp;DATE(YEAR(A872),MONTH(A872)+1,1),crm_orders!$E:$E,B872,crm_orders!$G:$G,C872,crm_orders!$H:$H,D872)</f>
        <v>30</v>
      </c>
      <c r="G872" s="21">
        <f>SUMIFS(warehouse_shipments!$H:$H,warehouse_shipments!$C:$C,"&gt;="&amp;A872,warehouse_shipments!$C:$C,"&lt;"&amp;DATE(YEAR(A872),MONTH(A872)+1,1),warehouse_shipments!$P:$P,B872,warehouse_shipments!$Q:$Q,C872,warehouse_shipments!$R:$R,D872)</f>
        <v>0</v>
      </c>
      <c r="H872" s="22">
        <f t="shared" si="1"/>
        <v>-54</v>
      </c>
      <c r="I872" s="64">
        <f t="shared" si="2"/>
        <v>0.3571428571</v>
      </c>
      <c r="J872" s="22" t="s">
        <v>5310</v>
      </c>
    </row>
    <row r="873" ht="15.75" customHeight="1">
      <c r="A873" s="26">
        <v>46113.0</v>
      </c>
      <c r="B873" s="25" t="s">
        <v>3849</v>
      </c>
      <c r="C873" s="25" t="s">
        <v>63</v>
      </c>
      <c r="D873" s="25" t="s">
        <v>102</v>
      </c>
      <c r="E873" s="29">
        <v>182.0</v>
      </c>
      <c r="F873" s="29">
        <f>SUMIFS(crm_orders!$J:$J,crm_orders!$B:$B,"&gt;="&amp;A873,crm_orders!$B:$B,"&lt;"&amp;DATE(YEAR(A873),MONTH(A873)+1,1),crm_orders!$E:$E,B873,crm_orders!$G:$G,C873,crm_orders!$H:$H,D873)</f>
        <v>0</v>
      </c>
      <c r="G873" s="29">
        <f>SUMIFS(warehouse_shipments!$H:$H,warehouse_shipments!$C:$C,"&gt;="&amp;A873,warehouse_shipments!$C:$C,"&lt;"&amp;DATE(YEAR(A873),MONTH(A873)+1,1),warehouse_shipments!$P:$P,B873,warehouse_shipments!$Q:$Q,C873,warehouse_shipments!$R:$R,D873)</f>
        <v>0</v>
      </c>
      <c r="H873" s="30">
        <f t="shared" si="1"/>
        <v>-182</v>
      </c>
      <c r="I873" s="65">
        <f t="shared" si="2"/>
        <v>0</v>
      </c>
      <c r="J873" s="30" t="s">
        <v>5307</v>
      </c>
    </row>
    <row r="874" ht="15.75" customHeight="1">
      <c r="A874" s="18">
        <v>46113.0</v>
      </c>
      <c r="B874" s="17" t="s">
        <v>3849</v>
      </c>
      <c r="C874" s="17" t="s">
        <v>67</v>
      </c>
      <c r="D874" s="17" t="s">
        <v>74</v>
      </c>
      <c r="E874" s="21">
        <v>221.0</v>
      </c>
      <c r="F874" s="21">
        <f>SUMIFS(crm_orders!$J:$J,crm_orders!$B:$B,"&gt;="&amp;A874,crm_orders!$B:$B,"&lt;"&amp;DATE(YEAR(A874),MONTH(A874)+1,1),crm_orders!$E:$E,B874,crm_orders!$G:$G,C874,crm_orders!$H:$H,D874)</f>
        <v>0</v>
      </c>
      <c r="G874" s="21">
        <f>SUMIFS(warehouse_shipments!$H:$H,warehouse_shipments!$C:$C,"&gt;="&amp;A874,warehouse_shipments!$C:$C,"&lt;"&amp;DATE(YEAR(A874),MONTH(A874)+1,1),warehouse_shipments!$P:$P,B874,warehouse_shipments!$Q:$Q,C874,warehouse_shipments!$R:$R,D874)</f>
        <v>36</v>
      </c>
      <c r="H874" s="22">
        <f t="shared" si="1"/>
        <v>-221</v>
      </c>
      <c r="I874" s="64">
        <f t="shared" si="2"/>
        <v>0</v>
      </c>
      <c r="J874" s="22" t="s">
        <v>5309</v>
      </c>
    </row>
    <row r="875" ht="15.75" customHeight="1">
      <c r="A875" s="26">
        <v>46113.0</v>
      </c>
      <c r="B875" s="25" t="s">
        <v>3849</v>
      </c>
      <c r="C875" s="25" t="s">
        <v>67</v>
      </c>
      <c r="D875" s="25" t="s">
        <v>162</v>
      </c>
      <c r="E875" s="29">
        <v>406.0</v>
      </c>
      <c r="F875" s="29">
        <f>SUMIFS(crm_orders!$J:$J,crm_orders!$B:$B,"&gt;="&amp;A875,crm_orders!$B:$B,"&lt;"&amp;DATE(YEAR(A875),MONTH(A875)+1,1),crm_orders!$E:$E,B875,crm_orders!$G:$G,C875,crm_orders!$H:$H,D875)</f>
        <v>0</v>
      </c>
      <c r="G875" s="29">
        <f>SUMIFS(warehouse_shipments!$H:$H,warehouse_shipments!$C:$C,"&gt;="&amp;A875,warehouse_shipments!$C:$C,"&lt;"&amp;DATE(YEAR(A875),MONTH(A875)+1,1),warehouse_shipments!$P:$P,B875,warehouse_shipments!$Q:$Q,C875,warehouse_shipments!$R:$R,D875)</f>
        <v>0</v>
      </c>
      <c r="H875" s="30">
        <f t="shared" si="1"/>
        <v>-406</v>
      </c>
      <c r="I875" s="65">
        <f t="shared" si="2"/>
        <v>0</v>
      </c>
      <c r="J875" s="30" t="s">
        <v>5309</v>
      </c>
    </row>
    <row r="876" ht="15.75" customHeight="1">
      <c r="A876" s="18">
        <v>46113.0</v>
      </c>
      <c r="B876" s="17" t="s">
        <v>3849</v>
      </c>
      <c r="C876" s="17" t="s">
        <v>67</v>
      </c>
      <c r="D876" s="17" t="s">
        <v>92</v>
      </c>
      <c r="E876" s="21">
        <v>301.0</v>
      </c>
      <c r="F876" s="21">
        <f>SUMIFS(crm_orders!$J:$J,crm_orders!$B:$B,"&gt;="&amp;A876,crm_orders!$B:$B,"&lt;"&amp;DATE(YEAR(A876),MONTH(A876)+1,1),crm_orders!$E:$E,B876,crm_orders!$G:$G,C876,crm_orders!$H:$H,D876)</f>
        <v>0</v>
      </c>
      <c r="G876" s="21">
        <f>SUMIFS(warehouse_shipments!$H:$H,warehouse_shipments!$C:$C,"&gt;="&amp;A876,warehouse_shipments!$C:$C,"&lt;"&amp;DATE(YEAR(A876),MONTH(A876)+1,1),warehouse_shipments!$P:$P,B876,warehouse_shipments!$Q:$Q,C876,warehouse_shipments!$R:$R,D876)</f>
        <v>0</v>
      </c>
      <c r="H876" s="22">
        <f t="shared" si="1"/>
        <v>-301</v>
      </c>
      <c r="I876" s="64">
        <f t="shared" si="2"/>
        <v>0</v>
      </c>
      <c r="J876" s="22" t="s">
        <v>5311</v>
      </c>
    </row>
    <row r="877" ht="15.75" customHeight="1">
      <c r="A877" s="26">
        <v>46113.0</v>
      </c>
      <c r="B877" s="25" t="s">
        <v>3849</v>
      </c>
      <c r="C877" s="25" t="s">
        <v>67</v>
      </c>
      <c r="D877" s="25" t="s">
        <v>102</v>
      </c>
      <c r="E877" s="29">
        <v>238.0</v>
      </c>
      <c r="F877" s="29">
        <f>SUMIFS(crm_orders!$J:$J,crm_orders!$B:$B,"&gt;="&amp;A877,crm_orders!$B:$B,"&lt;"&amp;DATE(YEAR(A877),MONTH(A877)+1,1),crm_orders!$E:$E,B877,crm_orders!$G:$G,C877,crm_orders!$H:$H,D877)</f>
        <v>0</v>
      </c>
      <c r="G877" s="29">
        <f>SUMIFS(warehouse_shipments!$H:$H,warehouse_shipments!$C:$C,"&gt;="&amp;A877,warehouse_shipments!$C:$C,"&lt;"&amp;DATE(YEAR(A877),MONTH(A877)+1,1),warehouse_shipments!$P:$P,B877,warehouse_shipments!$Q:$Q,C877,warehouse_shipments!$R:$R,D877)</f>
        <v>0</v>
      </c>
      <c r="H877" s="30">
        <f t="shared" si="1"/>
        <v>-238</v>
      </c>
      <c r="I877" s="65">
        <f t="shared" si="2"/>
        <v>0</v>
      </c>
      <c r="J877" s="30" t="s">
        <v>5309</v>
      </c>
    </row>
    <row r="878" ht="15.75" customHeight="1">
      <c r="A878" s="18">
        <v>46113.0</v>
      </c>
      <c r="B878" s="17" t="s">
        <v>3849</v>
      </c>
      <c r="C878" s="17" t="s">
        <v>67</v>
      </c>
      <c r="D878" s="17" t="s">
        <v>71</v>
      </c>
      <c r="E878" s="21">
        <v>331.0</v>
      </c>
      <c r="F878" s="21">
        <f>SUMIFS(crm_orders!$J:$J,crm_orders!$B:$B,"&gt;="&amp;A878,crm_orders!$B:$B,"&lt;"&amp;DATE(YEAR(A878),MONTH(A878)+1,1),crm_orders!$E:$E,B878,crm_orders!$G:$G,C878,crm_orders!$H:$H,D878)</f>
        <v>0</v>
      </c>
      <c r="G878" s="21">
        <f>SUMIFS(warehouse_shipments!$H:$H,warehouse_shipments!$C:$C,"&gt;="&amp;A878,warehouse_shipments!$C:$C,"&lt;"&amp;DATE(YEAR(A878),MONTH(A878)+1,1),warehouse_shipments!$P:$P,B878,warehouse_shipments!$Q:$Q,C878,warehouse_shipments!$R:$R,D878)</f>
        <v>0</v>
      </c>
      <c r="H878" s="22">
        <f t="shared" si="1"/>
        <v>-331</v>
      </c>
      <c r="I878" s="64">
        <f t="shared" si="2"/>
        <v>0</v>
      </c>
      <c r="J878" s="22" t="s">
        <v>5306</v>
      </c>
    </row>
    <row r="879" ht="15.75" customHeight="1">
      <c r="A879" s="26">
        <v>46113.0</v>
      </c>
      <c r="B879" s="25" t="s">
        <v>3849</v>
      </c>
      <c r="C879" s="25" t="s">
        <v>67</v>
      </c>
      <c r="D879" s="25" t="s">
        <v>90</v>
      </c>
      <c r="E879" s="29">
        <v>221.0</v>
      </c>
      <c r="F879" s="29">
        <f>SUMIFS(crm_orders!$J:$J,crm_orders!$B:$B,"&gt;="&amp;A879,crm_orders!$B:$B,"&lt;"&amp;DATE(YEAR(A879),MONTH(A879)+1,1),crm_orders!$E:$E,B879,crm_orders!$G:$G,C879,crm_orders!$H:$H,D879)</f>
        <v>0</v>
      </c>
      <c r="G879" s="29">
        <f>SUMIFS(warehouse_shipments!$H:$H,warehouse_shipments!$C:$C,"&gt;="&amp;A879,warehouse_shipments!$C:$C,"&lt;"&amp;DATE(YEAR(A879),MONTH(A879)+1,1),warehouse_shipments!$P:$P,B879,warehouse_shipments!$Q:$Q,C879,warehouse_shipments!$R:$R,D879)</f>
        <v>0</v>
      </c>
      <c r="H879" s="30">
        <f t="shared" si="1"/>
        <v>-221</v>
      </c>
      <c r="I879" s="65">
        <f t="shared" si="2"/>
        <v>0</v>
      </c>
      <c r="J879" s="30" t="s">
        <v>5306</v>
      </c>
    </row>
    <row r="880" ht="15.75" customHeight="1">
      <c r="A880" s="18">
        <v>46113.0</v>
      </c>
      <c r="B880" s="17" t="s">
        <v>3849</v>
      </c>
      <c r="C880" s="17" t="s">
        <v>67</v>
      </c>
      <c r="D880" s="17" t="s">
        <v>68</v>
      </c>
      <c r="E880" s="21">
        <v>325.0</v>
      </c>
      <c r="F880" s="21">
        <f>SUMIFS(crm_orders!$J:$J,crm_orders!$B:$B,"&gt;="&amp;A880,crm_orders!$B:$B,"&lt;"&amp;DATE(YEAR(A880),MONTH(A880)+1,1),crm_orders!$E:$E,B880,crm_orders!$G:$G,C880,crm_orders!$H:$H,D880)</f>
        <v>0</v>
      </c>
      <c r="G880" s="21">
        <f>SUMIFS(warehouse_shipments!$H:$H,warehouse_shipments!$C:$C,"&gt;="&amp;A880,warehouse_shipments!$C:$C,"&lt;"&amp;DATE(YEAR(A880),MONTH(A880)+1,1),warehouse_shipments!$P:$P,B880,warehouse_shipments!$Q:$Q,C880,warehouse_shipments!$R:$R,D880)</f>
        <v>6</v>
      </c>
      <c r="H880" s="22">
        <f t="shared" si="1"/>
        <v>-325</v>
      </c>
      <c r="I880" s="64">
        <f t="shared" si="2"/>
        <v>0</v>
      </c>
      <c r="J880" s="22" t="s">
        <v>5309</v>
      </c>
    </row>
    <row r="881" ht="15.75" customHeight="1">
      <c r="A881" s="26">
        <v>46113.0</v>
      </c>
      <c r="B881" s="25" t="s">
        <v>3849</v>
      </c>
      <c r="C881" s="25" t="s">
        <v>67</v>
      </c>
      <c r="D881" s="25" t="s">
        <v>95</v>
      </c>
      <c r="E881" s="29">
        <v>251.0</v>
      </c>
      <c r="F881" s="29">
        <f>SUMIFS(crm_orders!$J:$J,crm_orders!$B:$B,"&gt;="&amp;A881,crm_orders!$B:$B,"&lt;"&amp;DATE(YEAR(A881),MONTH(A881)+1,1),crm_orders!$E:$E,B881,crm_orders!$G:$G,C881,crm_orders!$H:$H,D881)</f>
        <v>0</v>
      </c>
      <c r="G881" s="29">
        <f>SUMIFS(warehouse_shipments!$H:$H,warehouse_shipments!$C:$C,"&gt;="&amp;A881,warehouse_shipments!$C:$C,"&lt;"&amp;DATE(YEAR(A881),MONTH(A881)+1,1),warehouse_shipments!$P:$P,B881,warehouse_shipments!$Q:$Q,C881,warehouse_shipments!$R:$R,D881)</f>
        <v>0</v>
      </c>
      <c r="H881" s="30">
        <f t="shared" si="1"/>
        <v>-251</v>
      </c>
      <c r="I881" s="65">
        <f t="shared" si="2"/>
        <v>0</v>
      </c>
      <c r="J881" s="30" t="s">
        <v>5310</v>
      </c>
    </row>
    <row r="882" ht="15.75" customHeight="1">
      <c r="A882" s="18">
        <v>46113.0</v>
      </c>
      <c r="B882" s="17" t="s">
        <v>3849</v>
      </c>
      <c r="C882" s="17" t="s">
        <v>89</v>
      </c>
      <c r="D882" s="17" t="s">
        <v>162</v>
      </c>
      <c r="E882" s="21">
        <v>306.0</v>
      </c>
      <c r="F882" s="21">
        <f>SUMIFS(crm_orders!$J:$J,crm_orders!$B:$B,"&gt;="&amp;A882,crm_orders!$B:$B,"&lt;"&amp;DATE(YEAR(A882),MONTH(A882)+1,1),crm_orders!$E:$E,B882,crm_orders!$G:$G,C882,crm_orders!$H:$H,D882)</f>
        <v>0</v>
      </c>
      <c r="G882" s="21">
        <f>SUMIFS(warehouse_shipments!$H:$H,warehouse_shipments!$C:$C,"&gt;="&amp;A882,warehouse_shipments!$C:$C,"&lt;"&amp;DATE(YEAR(A882),MONTH(A882)+1,1),warehouse_shipments!$P:$P,B882,warehouse_shipments!$Q:$Q,C882,warehouse_shipments!$R:$R,D882)</f>
        <v>0</v>
      </c>
      <c r="H882" s="22">
        <f t="shared" si="1"/>
        <v>-306</v>
      </c>
      <c r="I882" s="64">
        <f t="shared" si="2"/>
        <v>0</v>
      </c>
      <c r="J882" s="22" t="s">
        <v>5308</v>
      </c>
    </row>
    <row r="883" ht="15.75" customHeight="1">
      <c r="A883" s="26">
        <v>46113.0</v>
      </c>
      <c r="B883" s="25" t="s">
        <v>3849</v>
      </c>
      <c r="C883" s="25" t="s">
        <v>89</v>
      </c>
      <c r="D883" s="25" t="s">
        <v>123</v>
      </c>
      <c r="E883" s="29">
        <v>339.0</v>
      </c>
      <c r="F883" s="29">
        <f>SUMIFS(crm_orders!$J:$J,crm_orders!$B:$B,"&gt;="&amp;A883,crm_orders!$B:$B,"&lt;"&amp;DATE(YEAR(A883),MONTH(A883)+1,1),crm_orders!$E:$E,B883,crm_orders!$G:$G,C883,crm_orders!$H:$H,D883)</f>
        <v>0</v>
      </c>
      <c r="G883" s="29">
        <f>SUMIFS(warehouse_shipments!$H:$H,warehouse_shipments!$C:$C,"&gt;="&amp;A883,warehouse_shipments!$C:$C,"&lt;"&amp;DATE(YEAR(A883),MONTH(A883)+1,1),warehouse_shipments!$P:$P,B883,warehouse_shipments!$Q:$Q,C883,warehouse_shipments!$R:$R,D883)</f>
        <v>0</v>
      </c>
      <c r="H883" s="30">
        <f t="shared" si="1"/>
        <v>-339</v>
      </c>
      <c r="I883" s="65">
        <f t="shared" si="2"/>
        <v>0</v>
      </c>
      <c r="J883" s="30" t="s">
        <v>5307</v>
      </c>
    </row>
    <row r="884" ht="15.75" customHeight="1">
      <c r="A884" s="18">
        <v>46113.0</v>
      </c>
      <c r="B884" s="17" t="s">
        <v>3849</v>
      </c>
      <c r="C884" s="17" t="s">
        <v>89</v>
      </c>
      <c r="D884" s="17" t="s">
        <v>115</v>
      </c>
      <c r="E884" s="21">
        <v>480.0</v>
      </c>
      <c r="F884" s="21">
        <f>SUMIFS(crm_orders!$J:$J,crm_orders!$B:$B,"&gt;="&amp;A884,crm_orders!$B:$B,"&lt;"&amp;DATE(YEAR(A884),MONTH(A884)+1,1),crm_orders!$E:$E,B884,crm_orders!$G:$G,C884,crm_orders!$H:$H,D884)</f>
        <v>0</v>
      </c>
      <c r="G884" s="21">
        <f>SUMIFS(warehouse_shipments!$H:$H,warehouse_shipments!$C:$C,"&gt;="&amp;A884,warehouse_shipments!$C:$C,"&lt;"&amp;DATE(YEAR(A884),MONTH(A884)+1,1),warehouse_shipments!$P:$P,B884,warehouse_shipments!$Q:$Q,C884,warehouse_shipments!$R:$R,D884)</f>
        <v>0</v>
      </c>
      <c r="H884" s="22">
        <f t="shared" si="1"/>
        <v>-480</v>
      </c>
      <c r="I884" s="64">
        <f t="shared" si="2"/>
        <v>0</v>
      </c>
      <c r="J884" s="22" t="s">
        <v>5311</v>
      </c>
    </row>
    <row r="885" ht="15.75" customHeight="1">
      <c r="A885" s="26">
        <v>46113.0</v>
      </c>
      <c r="B885" s="25" t="s">
        <v>3849</v>
      </c>
      <c r="C885" s="25" t="s">
        <v>89</v>
      </c>
      <c r="D885" s="25" t="s">
        <v>190</v>
      </c>
      <c r="E885" s="29">
        <v>214.0</v>
      </c>
      <c r="F885" s="29">
        <f>SUMIFS(crm_orders!$J:$J,crm_orders!$B:$B,"&gt;="&amp;A885,crm_orders!$B:$B,"&lt;"&amp;DATE(YEAR(A885),MONTH(A885)+1,1),crm_orders!$E:$E,B885,crm_orders!$G:$G,C885,crm_orders!$H:$H,D885)</f>
        <v>0</v>
      </c>
      <c r="G885" s="29">
        <f>SUMIFS(warehouse_shipments!$H:$H,warehouse_shipments!$C:$C,"&gt;="&amp;A885,warehouse_shipments!$C:$C,"&lt;"&amp;DATE(YEAR(A885),MONTH(A885)+1,1),warehouse_shipments!$P:$P,B885,warehouse_shipments!$Q:$Q,C885,warehouse_shipments!$R:$R,D885)</f>
        <v>0</v>
      </c>
      <c r="H885" s="30">
        <f t="shared" si="1"/>
        <v>-214</v>
      </c>
      <c r="I885" s="65">
        <f t="shared" si="2"/>
        <v>0</v>
      </c>
      <c r="J885" s="30" t="s">
        <v>5307</v>
      </c>
    </row>
    <row r="886" ht="15.75" customHeight="1">
      <c r="A886" s="18">
        <v>46113.0</v>
      </c>
      <c r="B886" s="17" t="s">
        <v>3849</v>
      </c>
      <c r="C886" s="17" t="s">
        <v>89</v>
      </c>
      <c r="D886" s="17" t="s">
        <v>106</v>
      </c>
      <c r="E886" s="21">
        <v>113.0</v>
      </c>
      <c r="F886" s="21">
        <f>SUMIFS(crm_orders!$J:$J,crm_orders!$B:$B,"&gt;="&amp;A886,crm_orders!$B:$B,"&lt;"&amp;DATE(YEAR(A886),MONTH(A886)+1,1),crm_orders!$E:$E,B886,crm_orders!$G:$G,C886,crm_orders!$H:$H,D886)</f>
        <v>0</v>
      </c>
      <c r="G886" s="21">
        <f>SUMIFS(warehouse_shipments!$H:$H,warehouse_shipments!$C:$C,"&gt;="&amp;A886,warehouse_shipments!$C:$C,"&lt;"&amp;DATE(YEAR(A886),MONTH(A886)+1,1),warehouse_shipments!$P:$P,B886,warehouse_shipments!$Q:$Q,C886,warehouse_shipments!$R:$R,D886)</f>
        <v>0</v>
      </c>
      <c r="H886" s="22">
        <f t="shared" si="1"/>
        <v>-113</v>
      </c>
      <c r="I886" s="64">
        <f t="shared" si="2"/>
        <v>0</v>
      </c>
      <c r="J886" s="22" t="s">
        <v>5309</v>
      </c>
    </row>
    <row r="887" ht="15.75" customHeight="1">
      <c r="A887" s="26">
        <v>46113.0</v>
      </c>
      <c r="B887" s="25" t="s">
        <v>3849</v>
      </c>
      <c r="C887" s="25" t="s">
        <v>89</v>
      </c>
      <c r="D887" s="25" t="s">
        <v>90</v>
      </c>
      <c r="E887" s="29">
        <v>192.0</v>
      </c>
      <c r="F887" s="29">
        <f>SUMIFS(crm_orders!$J:$J,crm_orders!$B:$B,"&gt;="&amp;A887,crm_orders!$B:$B,"&lt;"&amp;DATE(YEAR(A887),MONTH(A887)+1,1),crm_orders!$E:$E,B887,crm_orders!$G:$G,C887,crm_orders!$H:$H,D887)</f>
        <v>60</v>
      </c>
      <c r="G887" s="29">
        <f>SUMIFS(warehouse_shipments!$H:$H,warehouse_shipments!$C:$C,"&gt;="&amp;A887,warehouse_shipments!$C:$C,"&lt;"&amp;DATE(YEAR(A887),MONTH(A887)+1,1),warehouse_shipments!$P:$P,B887,warehouse_shipments!$Q:$Q,C887,warehouse_shipments!$R:$R,D887)</f>
        <v>60</v>
      </c>
      <c r="H887" s="30">
        <f t="shared" si="1"/>
        <v>-132</v>
      </c>
      <c r="I887" s="65">
        <f t="shared" si="2"/>
        <v>0.3125</v>
      </c>
      <c r="J887" s="30" t="s">
        <v>5306</v>
      </c>
    </row>
    <row r="888" ht="15.75" customHeight="1">
      <c r="A888" s="18">
        <v>46113.0</v>
      </c>
      <c r="B888" s="17" t="s">
        <v>3849</v>
      </c>
      <c r="C888" s="17" t="s">
        <v>89</v>
      </c>
      <c r="D888" s="17" t="s">
        <v>64</v>
      </c>
      <c r="E888" s="21">
        <v>495.0</v>
      </c>
      <c r="F888" s="21">
        <f>SUMIFS(crm_orders!$J:$J,crm_orders!$B:$B,"&gt;="&amp;A888,crm_orders!$B:$B,"&lt;"&amp;DATE(YEAR(A888),MONTH(A888)+1,1),crm_orders!$E:$E,B888,crm_orders!$G:$G,C888,crm_orders!$H:$H,D888)</f>
        <v>0</v>
      </c>
      <c r="G888" s="21">
        <f>SUMIFS(warehouse_shipments!$H:$H,warehouse_shipments!$C:$C,"&gt;="&amp;A888,warehouse_shipments!$C:$C,"&lt;"&amp;DATE(YEAR(A888),MONTH(A888)+1,1),warehouse_shipments!$P:$P,B888,warehouse_shipments!$Q:$Q,C888,warehouse_shipments!$R:$R,D888)</f>
        <v>0</v>
      </c>
      <c r="H888" s="22">
        <f t="shared" si="1"/>
        <v>-495</v>
      </c>
      <c r="I888" s="64">
        <f t="shared" si="2"/>
        <v>0</v>
      </c>
      <c r="J888" s="22" t="s">
        <v>5306</v>
      </c>
    </row>
    <row r="889" ht="15.75" customHeight="1">
      <c r="A889" s="26">
        <v>46113.0</v>
      </c>
      <c r="B889" s="25" t="s">
        <v>3849</v>
      </c>
      <c r="C889" s="25" t="s">
        <v>89</v>
      </c>
      <c r="D889" s="25" t="s">
        <v>92</v>
      </c>
      <c r="E889" s="29">
        <v>224.0</v>
      </c>
      <c r="F889" s="29">
        <f>SUMIFS(crm_orders!$J:$J,crm_orders!$B:$B,"&gt;="&amp;A889,crm_orders!$B:$B,"&lt;"&amp;DATE(YEAR(A889),MONTH(A889)+1,1),crm_orders!$E:$E,B889,crm_orders!$G:$G,C889,crm_orders!$H:$H,D889)</f>
        <v>0</v>
      </c>
      <c r="G889" s="29">
        <f>SUMIFS(warehouse_shipments!$H:$H,warehouse_shipments!$C:$C,"&gt;="&amp;A889,warehouse_shipments!$C:$C,"&lt;"&amp;DATE(YEAR(A889),MONTH(A889)+1,1),warehouse_shipments!$P:$P,B889,warehouse_shipments!$Q:$Q,C889,warehouse_shipments!$R:$R,D889)</f>
        <v>0</v>
      </c>
      <c r="H889" s="30">
        <f t="shared" si="1"/>
        <v>-224</v>
      </c>
      <c r="I889" s="65">
        <f t="shared" si="2"/>
        <v>0</v>
      </c>
      <c r="J889" s="30" t="s">
        <v>5308</v>
      </c>
    </row>
    <row r="890" ht="15.75" customHeight="1">
      <c r="A890" s="18">
        <v>46113.0</v>
      </c>
      <c r="B890" s="17" t="s">
        <v>3934</v>
      </c>
      <c r="C890" s="17" t="s">
        <v>63</v>
      </c>
      <c r="D890" s="17" t="s">
        <v>64</v>
      </c>
      <c r="E890" s="21">
        <v>225.0</v>
      </c>
      <c r="F890" s="21">
        <f>SUMIFS(crm_orders!$J:$J,crm_orders!$B:$B,"&gt;="&amp;A890,crm_orders!$B:$B,"&lt;"&amp;DATE(YEAR(A890),MONTH(A890)+1,1),crm_orders!$E:$E,B890,crm_orders!$G:$G,C890,crm_orders!$H:$H,D890)</f>
        <v>30</v>
      </c>
      <c r="G890" s="21">
        <f>SUMIFS(warehouse_shipments!$H:$H,warehouse_shipments!$C:$C,"&gt;="&amp;A890,warehouse_shipments!$C:$C,"&lt;"&amp;DATE(YEAR(A890),MONTH(A890)+1,1),warehouse_shipments!$P:$P,B890,warehouse_shipments!$Q:$Q,C890,warehouse_shipments!$R:$R,D890)</f>
        <v>0</v>
      </c>
      <c r="H890" s="22">
        <f t="shared" si="1"/>
        <v>-195</v>
      </c>
      <c r="I890" s="64">
        <f t="shared" si="2"/>
        <v>0.1333333333</v>
      </c>
      <c r="J890" s="22" t="s">
        <v>5308</v>
      </c>
    </row>
    <row r="891" ht="15.75" customHeight="1">
      <c r="A891" s="26">
        <v>46113.0</v>
      </c>
      <c r="B891" s="25" t="s">
        <v>3934</v>
      </c>
      <c r="C891" s="25" t="s">
        <v>63</v>
      </c>
      <c r="D891" s="25" t="s">
        <v>92</v>
      </c>
      <c r="E891" s="29">
        <v>155.0</v>
      </c>
      <c r="F891" s="29">
        <f>SUMIFS(crm_orders!$J:$J,crm_orders!$B:$B,"&gt;="&amp;A891,crm_orders!$B:$B,"&lt;"&amp;DATE(YEAR(A891),MONTH(A891)+1,1),crm_orders!$E:$E,B891,crm_orders!$G:$G,C891,crm_orders!$H:$H,D891)</f>
        <v>0</v>
      </c>
      <c r="G891" s="29">
        <f>SUMIFS(warehouse_shipments!$H:$H,warehouse_shipments!$C:$C,"&gt;="&amp;A891,warehouse_shipments!$C:$C,"&lt;"&amp;DATE(YEAR(A891),MONTH(A891)+1,1),warehouse_shipments!$P:$P,B891,warehouse_shipments!$Q:$Q,C891,warehouse_shipments!$R:$R,D891)</f>
        <v>0</v>
      </c>
      <c r="H891" s="30">
        <f t="shared" si="1"/>
        <v>-155</v>
      </c>
      <c r="I891" s="65">
        <f t="shared" si="2"/>
        <v>0</v>
      </c>
      <c r="J891" s="30" t="s">
        <v>5310</v>
      </c>
    </row>
    <row r="892" ht="15.75" customHeight="1">
      <c r="A892" s="18">
        <v>46113.0</v>
      </c>
      <c r="B892" s="17" t="s">
        <v>3934</v>
      </c>
      <c r="C892" s="17" t="s">
        <v>63</v>
      </c>
      <c r="D892" s="17" t="s">
        <v>154</v>
      </c>
      <c r="E892" s="21">
        <v>96.0</v>
      </c>
      <c r="F892" s="21">
        <f>SUMIFS(crm_orders!$J:$J,crm_orders!$B:$B,"&gt;="&amp;A892,crm_orders!$B:$B,"&lt;"&amp;DATE(YEAR(A892),MONTH(A892)+1,1),crm_orders!$E:$E,B892,crm_orders!$G:$G,C892,crm_orders!$H:$H,D892)</f>
        <v>6</v>
      </c>
      <c r="G892" s="21">
        <f>SUMIFS(warehouse_shipments!$H:$H,warehouse_shipments!$C:$C,"&gt;="&amp;A892,warehouse_shipments!$C:$C,"&lt;"&amp;DATE(YEAR(A892),MONTH(A892)+1,1),warehouse_shipments!$P:$P,B892,warehouse_shipments!$Q:$Q,C892,warehouse_shipments!$R:$R,D892)</f>
        <v>0</v>
      </c>
      <c r="H892" s="22">
        <f t="shared" si="1"/>
        <v>-90</v>
      </c>
      <c r="I892" s="64">
        <f t="shared" si="2"/>
        <v>0.0625</v>
      </c>
      <c r="J892" s="22" t="s">
        <v>5308</v>
      </c>
    </row>
    <row r="893" ht="15.75" customHeight="1">
      <c r="A893" s="26">
        <v>46113.0</v>
      </c>
      <c r="B893" s="25" t="s">
        <v>3934</v>
      </c>
      <c r="C893" s="25" t="s">
        <v>63</v>
      </c>
      <c r="D893" s="25" t="s">
        <v>68</v>
      </c>
      <c r="E893" s="29">
        <v>160.0</v>
      </c>
      <c r="F893" s="29">
        <f>SUMIFS(crm_orders!$J:$J,crm_orders!$B:$B,"&gt;="&amp;A893,crm_orders!$B:$B,"&lt;"&amp;DATE(YEAR(A893),MONTH(A893)+1,1),crm_orders!$E:$E,B893,crm_orders!$G:$G,C893,crm_orders!$H:$H,D893)</f>
        <v>0</v>
      </c>
      <c r="G893" s="29">
        <f>SUMIFS(warehouse_shipments!$H:$H,warehouse_shipments!$C:$C,"&gt;="&amp;A893,warehouse_shipments!$C:$C,"&lt;"&amp;DATE(YEAR(A893),MONTH(A893)+1,1),warehouse_shipments!$P:$P,B893,warehouse_shipments!$Q:$Q,C893,warehouse_shipments!$R:$R,D893)</f>
        <v>0</v>
      </c>
      <c r="H893" s="30">
        <f t="shared" si="1"/>
        <v>-160</v>
      </c>
      <c r="I893" s="65">
        <f t="shared" si="2"/>
        <v>0</v>
      </c>
      <c r="J893" s="30" t="s">
        <v>5306</v>
      </c>
    </row>
    <row r="894" ht="15.75" customHeight="1">
      <c r="A894" s="18">
        <v>46113.0</v>
      </c>
      <c r="B894" s="17" t="s">
        <v>3934</v>
      </c>
      <c r="C894" s="17" t="s">
        <v>63</v>
      </c>
      <c r="D894" s="17" t="s">
        <v>110</v>
      </c>
      <c r="E894" s="21">
        <v>505.0</v>
      </c>
      <c r="F894" s="21">
        <f>SUMIFS(crm_orders!$J:$J,crm_orders!$B:$B,"&gt;="&amp;A894,crm_orders!$B:$B,"&lt;"&amp;DATE(YEAR(A894),MONTH(A894)+1,1),crm_orders!$E:$E,B894,crm_orders!$G:$G,C894,crm_orders!$H:$H,D894)</f>
        <v>72</v>
      </c>
      <c r="G894" s="21">
        <f>SUMIFS(warehouse_shipments!$H:$H,warehouse_shipments!$C:$C,"&gt;="&amp;A894,warehouse_shipments!$C:$C,"&lt;"&amp;DATE(YEAR(A894),MONTH(A894)+1,1),warehouse_shipments!$P:$P,B894,warehouse_shipments!$Q:$Q,C894,warehouse_shipments!$R:$R,D894)</f>
        <v>72</v>
      </c>
      <c r="H894" s="22">
        <f t="shared" si="1"/>
        <v>-433</v>
      </c>
      <c r="I894" s="64">
        <f t="shared" si="2"/>
        <v>0.1425742574</v>
      </c>
      <c r="J894" s="22" t="s">
        <v>5308</v>
      </c>
    </row>
    <row r="895" ht="15.75" customHeight="1">
      <c r="A895" s="26">
        <v>46113.0</v>
      </c>
      <c r="B895" s="25" t="s">
        <v>3934</v>
      </c>
      <c r="C895" s="25" t="s">
        <v>63</v>
      </c>
      <c r="D895" s="25" t="s">
        <v>95</v>
      </c>
      <c r="E895" s="29">
        <v>205.0</v>
      </c>
      <c r="F895" s="29">
        <f>SUMIFS(crm_orders!$J:$J,crm_orders!$B:$B,"&gt;="&amp;A895,crm_orders!$B:$B,"&lt;"&amp;DATE(YEAR(A895),MONTH(A895)+1,1),crm_orders!$E:$E,B895,crm_orders!$G:$G,C895,crm_orders!$H:$H,D895)</f>
        <v>0</v>
      </c>
      <c r="G895" s="29">
        <f>SUMIFS(warehouse_shipments!$H:$H,warehouse_shipments!$C:$C,"&gt;="&amp;A895,warehouse_shipments!$C:$C,"&lt;"&amp;DATE(YEAR(A895),MONTH(A895)+1,1),warehouse_shipments!$P:$P,B895,warehouse_shipments!$Q:$Q,C895,warehouse_shipments!$R:$R,D895)</f>
        <v>0</v>
      </c>
      <c r="H895" s="30">
        <f t="shared" si="1"/>
        <v>-205</v>
      </c>
      <c r="I895" s="65">
        <f t="shared" si="2"/>
        <v>0</v>
      </c>
      <c r="J895" s="30" t="s">
        <v>5308</v>
      </c>
    </row>
    <row r="896" ht="15.75" customHeight="1">
      <c r="A896" s="18">
        <v>46113.0</v>
      </c>
      <c r="B896" s="17" t="s">
        <v>3934</v>
      </c>
      <c r="C896" s="17" t="s">
        <v>63</v>
      </c>
      <c r="D896" s="17" t="s">
        <v>71</v>
      </c>
      <c r="E896" s="21">
        <v>492.0</v>
      </c>
      <c r="F896" s="21">
        <f>SUMIFS(crm_orders!$J:$J,crm_orders!$B:$B,"&gt;="&amp;A896,crm_orders!$B:$B,"&lt;"&amp;DATE(YEAR(A896),MONTH(A896)+1,1),crm_orders!$E:$E,B896,crm_orders!$G:$G,C896,crm_orders!$H:$H,D896)</f>
        <v>132</v>
      </c>
      <c r="G896" s="21">
        <f>SUMIFS(warehouse_shipments!$H:$H,warehouse_shipments!$C:$C,"&gt;="&amp;A896,warehouse_shipments!$C:$C,"&lt;"&amp;DATE(YEAR(A896),MONTH(A896)+1,1),warehouse_shipments!$P:$P,B896,warehouse_shipments!$Q:$Q,C896,warehouse_shipments!$R:$R,D896)</f>
        <v>0</v>
      </c>
      <c r="H896" s="22">
        <f t="shared" si="1"/>
        <v>-360</v>
      </c>
      <c r="I896" s="64">
        <f t="shared" si="2"/>
        <v>0.2682926829</v>
      </c>
      <c r="J896" s="22" t="s">
        <v>5307</v>
      </c>
    </row>
    <row r="897" ht="15.75" customHeight="1">
      <c r="A897" s="26">
        <v>46113.0</v>
      </c>
      <c r="B897" s="25" t="s">
        <v>3934</v>
      </c>
      <c r="C897" s="25" t="s">
        <v>63</v>
      </c>
      <c r="D897" s="25" t="s">
        <v>85</v>
      </c>
      <c r="E897" s="29">
        <v>328.0</v>
      </c>
      <c r="F897" s="29">
        <f>SUMIFS(crm_orders!$J:$J,crm_orders!$B:$B,"&gt;="&amp;A897,crm_orders!$B:$B,"&lt;"&amp;DATE(YEAR(A897),MONTH(A897)+1,1),crm_orders!$E:$E,B897,crm_orders!$G:$G,C897,crm_orders!$H:$H,D897)</f>
        <v>6</v>
      </c>
      <c r="G897" s="29">
        <f>SUMIFS(warehouse_shipments!$H:$H,warehouse_shipments!$C:$C,"&gt;="&amp;A897,warehouse_shipments!$C:$C,"&lt;"&amp;DATE(YEAR(A897),MONTH(A897)+1,1),warehouse_shipments!$P:$P,B897,warehouse_shipments!$Q:$Q,C897,warehouse_shipments!$R:$R,D897)</f>
        <v>12</v>
      </c>
      <c r="H897" s="30">
        <f t="shared" si="1"/>
        <v>-322</v>
      </c>
      <c r="I897" s="65">
        <f t="shared" si="2"/>
        <v>0.01829268293</v>
      </c>
      <c r="J897" s="30" t="s">
        <v>5309</v>
      </c>
    </row>
    <row r="898" ht="15.75" customHeight="1">
      <c r="A898" s="18">
        <v>46113.0</v>
      </c>
      <c r="B898" s="17" t="s">
        <v>3934</v>
      </c>
      <c r="C898" s="17" t="s">
        <v>67</v>
      </c>
      <c r="D898" s="17" t="s">
        <v>190</v>
      </c>
      <c r="E898" s="21">
        <v>265.0</v>
      </c>
      <c r="F898" s="21">
        <f>SUMIFS(crm_orders!$J:$J,crm_orders!$B:$B,"&gt;="&amp;A898,crm_orders!$B:$B,"&lt;"&amp;DATE(YEAR(A898),MONTH(A898)+1,1),crm_orders!$E:$E,B898,crm_orders!$G:$G,C898,crm_orders!$H:$H,D898)</f>
        <v>0</v>
      </c>
      <c r="G898" s="21">
        <f>SUMIFS(warehouse_shipments!$H:$H,warehouse_shipments!$C:$C,"&gt;="&amp;A898,warehouse_shipments!$C:$C,"&lt;"&amp;DATE(YEAR(A898),MONTH(A898)+1,1),warehouse_shipments!$P:$P,B898,warehouse_shipments!$Q:$Q,C898,warehouse_shipments!$R:$R,D898)</f>
        <v>0</v>
      </c>
      <c r="H898" s="22">
        <f t="shared" si="1"/>
        <v>-265</v>
      </c>
      <c r="I898" s="64">
        <f t="shared" si="2"/>
        <v>0</v>
      </c>
      <c r="J898" s="22" t="s">
        <v>5306</v>
      </c>
    </row>
    <row r="899" ht="15.75" customHeight="1">
      <c r="A899" s="26">
        <v>46113.0</v>
      </c>
      <c r="B899" s="25" t="s">
        <v>3934</v>
      </c>
      <c r="C899" s="25" t="s">
        <v>67</v>
      </c>
      <c r="D899" s="25" t="s">
        <v>106</v>
      </c>
      <c r="E899" s="29">
        <v>128.0</v>
      </c>
      <c r="F899" s="29">
        <f>SUMIFS(crm_orders!$J:$J,crm_orders!$B:$B,"&gt;="&amp;A899,crm_orders!$B:$B,"&lt;"&amp;DATE(YEAR(A899),MONTH(A899)+1,1),crm_orders!$E:$E,B899,crm_orders!$G:$G,C899,crm_orders!$H:$H,D899)</f>
        <v>0</v>
      </c>
      <c r="G899" s="29">
        <f>SUMIFS(warehouse_shipments!$H:$H,warehouse_shipments!$C:$C,"&gt;="&amp;A899,warehouse_shipments!$C:$C,"&lt;"&amp;DATE(YEAR(A899),MONTH(A899)+1,1),warehouse_shipments!$P:$P,B899,warehouse_shipments!$Q:$Q,C899,warehouse_shipments!$R:$R,D899)</f>
        <v>0</v>
      </c>
      <c r="H899" s="30">
        <f t="shared" si="1"/>
        <v>-128</v>
      </c>
      <c r="I899" s="65">
        <f t="shared" si="2"/>
        <v>0</v>
      </c>
      <c r="J899" s="30" t="s">
        <v>5309</v>
      </c>
    </row>
    <row r="900" ht="15.75" customHeight="1">
      <c r="A900" s="18">
        <v>46113.0</v>
      </c>
      <c r="B900" s="17" t="s">
        <v>3934</v>
      </c>
      <c r="C900" s="17" t="s">
        <v>67</v>
      </c>
      <c r="D900" s="17" t="s">
        <v>154</v>
      </c>
      <c r="E900" s="21">
        <v>179.0</v>
      </c>
      <c r="F900" s="21">
        <f>SUMIFS(crm_orders!$J:$J,crm_orders!$B:$B,"&gt;="&amp;A900,crm_orders!$B:$B,"&lt;"&amp;DATE(YEAR(A900),MONTH(A900)+1,1),crm_orders!$E:$E,B900,crm_orders!$G:$G,C900,crm_orders!$H:$H,D900)</f>
        <v>0</v>
      </c>
      <c r="G900" s="21">
        <f>SUMIFS(warehouse_shipments!$H:$H,warehouse_shipments!$C:$C,"&gt;="&amp;A900,warehouse_shipments!$C:$C,"&lt;"&amp;DATE(YEAR(A900),MONTH(A900)+1,1),warehouse_shipments!$P:$P,B900,warehouse_shipments!$Q:$Q,C900,warehouse_shipments!$R:$R,D900)</f>
        <v>0</v>
      </c>
      <c r="H900" s="22">
        <f t="shared" si="1"/>
        <v>-179</v>
      </c>
      <c r="I900" s="64">
        <f t="shared" si="2"/>
        <v>0</v>
      </c>
      <c r="J900" s="22" t="s">
        <v>5308</v>
      </c>
    </row>
    <row r="901" ht="15.75" customHeight="1">
      <c r="A901" s="26">
        <v>46113.0</v>
      </c>
      <c r="B901" s="25" t="s">
        <v>3934</v>
      </c>
      <c r="C901" s="25" t="s">
        <v>67</v>
      </c>
      <c r="D901" s="25" t="s">
        <v>78</v>
      </c>
      <c r="E901" s="29">
        <v>479.0</v>
      </c>
      <c r="F901" s="29">
        <f>SUMIFS(crm_orders!$J:$J,crm_orders!$B:$B,"&gt;="&amp;A901,crm_orders!$B:$B,"&lt;"&amp;DATE(YEAR(A901),MONTH(A901)+1,1),crm_orders!$E:$E,B901,crm_orders!$G:$G,C901,crm_orders!$H:$H,D901)</f>
        <v>0</v>
      </c>
      <c r="G901" s="29">
        <f>SUMIFS(warehouse_shipments!$H:$H,warehouse_shipments!$C:$C,"&gt;="&amp;A901,warehouse_shipments!$C:$C,"&lt;"&amp;DATE(YEAR(A901),MONTH(A901)+1,1),warehouse_shipments!$P:$P,B901,warehouse_shipments!$Q:$Q,C901,warehouse_shipments!$R:$R,D901)</f>
        <v>0</v>
      </c>
      <c r="H901" s="30">
        <f t="shared" si="1"/>
        <v>-479</v>
      </c>
      <c r="I901" s="65">
        <f t="shared" si="2"/>
        <v>0</v>
      </c>
      <c r="J901" s="30" t="s">
        <v>5308</v>
      </c>
    </row>
    <row r="902" ht="15.75" customHeight="1">
      <c r="A902" s="18">
        <v>46113.0</v>
      </c>
      <c r="B902" s="17" t="s">
        <v>3934</v>
      </c>
      <c r="C902" s="17" t="s">
        <v>67</v>
      </c>
      <c r="D902" s="17" t="s">
        <v>102</v>
      </c>
      <c r="E902" s="21">
        <v>239.0</v>
      </c>
      <c r="F902" s="21">
        <f>SUMIFS(crm_orders!$J:$J,crm_orders!$B:$B,"&gt;="&amp;A902,crm_orders!$B:$B,"&lt;"&amp;DATE(YEAR(A902),MONTH(A902)+1,1),crm_orders!$E:$E,B902,crm_orders!$G:$G,C902,crm_orders!$H:$H,D902)</f>
        <v>0</v>
      </c>
      <c r="G902" s="21">
        <f>SUMIFS(warehouse_shipments!$H:$H,warehouse_shipments!$C:$C,"&gt;="&amp;A902,warehouse_shipments!$C:$C,"&lt;"&amp;DATE(YEAR(A902),MONTH(A902)+1,1),warehouse_shipments!$P:$P,B902,warehouse_shipments!$Q:$Q,C902,warehouse_shipments!$R:$R,D902)</f>
        <v>0</v>
      </c>
      <c r="H902" s="22">
        <f t="shared" si="1"/>
        <v>-239</v>
      </c>
      <c r="I902" s="64">
        <f t="shared" si="2"/>
        <v>0</v>
      </c>
      <c r="J902" s="22" t="s">
        <v>5309</v>
      </c>
    </row>
    <row r="903" ht="15.75" customHeight="1">
      <c r="A903" s="26">
        <v>46113.0</v>
      </c>
      <c r="B903" s="25" t="s">
        <v>3934</v>
      </c>
      <c r="C903" s="25" t="s">
        <v>67</v>
      </c>
      <c r="D903" s="25" t="s">
        <v>95</v>
      </c>
      <c r="E903" s="29">
        <v>466.0</v>
      </c>
      <c r="F903" s="29">
        <f>SUMIFS(crm_orders!$J:$J,crm_orders!$B:$B,"&gt;="&amp;A903,crm_orders!$B:$B,"&lt;"&amp;DATE(YEAR(A903),MONTH(A903)+1,1),crm_orders!$E:$E,B903,crm_orders!$G:$G,C903,crm_orders!$H:$H,D903)</f>
        <v>0</v>
      </c>
      <c r="G903" s="29">
        <f>SUMIFS(warehouse_shipments!$H:$H,warehouse_shipments!$C:$C,"&gt;="&amp;A903,warehouse_shipments!$C:$C,"&lt;"&amp;DATE(YEAR(A903),MONTH(A903)+1,1),warehouse_shipments!$P:$P,B903,warehouse_shipments!$Q:$Q,C903,warehouse_shipments!$R:$R,D903)</f>
        <v>0</v>
      </c>
      <c r="H903" s="30">
        <f t="shared" si="1"/>
        <v>-466</v>
      </c>
      <c r="I903" s="65">
        <f t="shared" si="2"/>
        <v>0</v>
      </c>
      <c r="J903" s="30" t="s">
        <v>5311</v>
      </c>
    </row>
    <row r="904" ht="15.75" customHeight="1">
      <c r="A904" s="18">
        <v>46113.0</v>
      </c>
      <c r="B904" s="17" t="s">
        <v>3934</v>
      </c>
      <c r="C904" s="17" t="s">
        <v>67</v>
      </c>
      <c r="D904" s="17" t="s">
        <v>74</v>
      </c>
      <c r="E904" s="21">
        <v>372.0</v>
      </c>
      <c r="F904" s="21">
        <f>SUMIFS(crm_orders!$J:$J,crm_orders!$B:$B,"&gt;="&amp;A904,crm_orders!$B:$B,"&lt;"&amp;DATE(YEAR(A904),MONTH(A904)+1,1),crm_orders!$E:$E,B904,crm_orders!$G:$G,C904,crm_orders!$H:$H,D904)</f>
        <v>0</v>
      </c>
      <c r="G904" s="21">
        <f>SUMIFS(warehouse_shipments!$H:$H,warehouse_shipments!$C:$C,"&gt;="&amp;A904,warehouse_shipments!$C:$C,"&lt;"&amp;DATE(YEAR(A904),MONTH(A904)+1,1),warehouse_shipments!$P:$P,B904,warehouse_shipments!$Q:$Q,C904,warehouse_shipments!$R:$R,D904)</f>
        <v>24</v>
      </c>
      <c r="H904" s="22">
        <f t="shared" si="1"/>
        <v>-372</v>
      </c>
      <c r="I904" s="64">
        <f t="shared" si="2"/>
        <v>0</v>
      </c>
      <c r="J904" s="22" t="s">
        <v>5311</v>
      </c>
    </row>
    <row r="905" ht="15.75" customHeight="1">
      <c r="A905" s="26">
        <v>46113.0</v>
      </c>
      <c r="B905" s="25" t="s">
        <v>3934</v>
      </c>
      <c r="C905" s="25" t="s">
        <v>67</v>
      </c>
      <c r="D905" s="25" t="s">
        <v>64</v>
      </c>
      <c r="E905" s="29">
        <v>389.0</v>
      </c>
      <c r="F905" s="29">
        <f>SUMIFS(crm_orders!$J:$J,crm_orders!$B:$B,"&gt;="&amp;A905,crm_orders!$B:$B,"&lt;"&amp;DATE(YEAR(A905),MONTH(A905)+1,1),crm_orders!$E:$E,B905,crm_orders!$G:$G,C905,crm_orders!$H:$H,D905)</f>
        <v>0</v>
      </c>
      <c r="G905" s="29">
        <f>SUMIFS(warehouse_shipments!$H:$H,warehouse_shipments!$C:$C,"&gt;="&amp;A905,warehouse_shipments!$C:$C,"&lt;"&amp;DATE(YEAR(A905),MONTH(A905)+1,1),warehouse_shipments!$P:$P,B905,warehouse_shipments!$Q:$Q,C905,warehouse_shipments!$R:$R,D905)</f>
        <v>0</v>
      </c>
      <c r="H905" s="30">
        <f t="shared" si="1"/>
        <v>-389</v>
      </c>
      <c r="I905" s="65">
        <f t="shared" si="2"/>
        <v>0</v>
      </c>
      <c r="J905" s="30" t="s">
        <v>5311</v>
      </c>
    </row>
    <row r="906" ht="15.75" customHeight="1">
      <c r="A906" s="18">
        <v>46113.0</v>
      </c>
      <c r="B906" s="17" t="s">
        <v>3934</v>
      </c>
      <c r="C906" s="17" t="s">
        <v>89</v>
      </c>
      <c r="D906" s="17" t="s">
        <v>78</v>
      </c>
      <c r="E906" s="21">
        <v>313.0</v>
      </c>
      <c r="F906" s="21">
        <f>SUMIFS(crm_orders!$J:$J,crm_orders!$B:$B,"&gt;="&amp;A906,crm_orders!$B:$B,"&lt;"&amp;DATE(YEAR(A906),MONTH(A906)+1,1),crm_orders!$E:$E,B906,crm_orders!$G:$G,C906,crm_orders!$H:$H,D906)</f>
        <v>0</v>
      </c>
      <c r="G906" s="21">
        <f>SUMIFS(warehouse_shipments!$H:$H,warehouse_shipments!$C:$C,"&gt;="&amp;A906,warehouse_shipments!$C:$C,"&lt;"&amp;DATE(YEAR(A906),MONTH(A906)+1,1),warehouse_shipments!$P:$P,B906,warehouse_shipments!$Q:$Q,C906,warehouse_shipments!$R:$R,D906)</f>
        <v>120</v>
      </c>
      <c r="H906" s="22">
        <f t="shared" si="1"/>
        <v>-313</v>
      </c>
      <c r="I906" s="64">
        <f t="shared" si="2"/>
        <v>0</v>
      </c>
      <c r="J906" s="22" t="s">
        <v>5310</v>
      </c>
    </row>
    <row r="907" ht="15.75" customHeight="1">
      <c r="A907" s="26">
        <v>46113.0</v>
      </c>
      <c r="B907" s="25" t="s">
        <v>3934</v>
      </c>
      <c r="C907" s="25" t="s">
        <v>89</v>
      </c>
      <c r="D907" s="25" t="s">
        <v>90</v>
      </c>
      <c r="E907" s="29">
        <v>331.0</v>
      </c>
      <c r="F907" s="29">
        <f>SUMIFS(crm_orders!$J:$J,crm_orders!$B:$B,"&gt;="&amp;A907,crm_orders!$B:$B,"&lt;"&amp;DATE(YEAR(A907),MONTH(A907)+1,1),crm_orders!$E:$E,B907,crm_orders!$G:$G,C907,crm_orders!$H:$H,D907)</f>
        <v>6</v>
      </c>
      <c r="G907" s="29">
        <f>SUMIFS(warehouse_shipments!$H:$H,warehouse_shipments!$C:$C,"&gt;="&amp;A907,warehouse_shipments!$C:$C,"&lt;"&amp;DATE(YEAR(A907),MONTH(A907)+1,1),warehouse_shipments!$P:$P,B907,warehouse_shipments!$Q:$Q,C907,warehouse_shipments!$R:$R,D907)</f>
        <v>6</v>
      </c>
      <c r="H907" s="30">
        <f t="shared" si="1"/>
        <v>-325</v>
      </c>
      <c r="I907" s="65">
        <f t="shared" si="2"/>
        <v>0.01812688822</v>
      </c>
      <c r="J907" s="30" t="s">
        <v>5306</v>
      </c>
    </row>
    <row r="908" ht="15.75" customHeight="1">
      <c r="A908" s="18">
        <v>46113.0</v>
      </c>
      <c r="B908" s="17" t="s">
        <v>3934</v>
      </c>
      <c r="C908" s="17" t="s">
        <v>89</v>
      </c>
      <c r="D908" s="17" t="s">
        <v>92</v>
      </c>
      <c r="E908" s="21">
        <v>186.0</v>
      </c>
      <c r="F908" s="21">
        <f>SUMIFS(crm_orders!$J:$J,crm_orders!$B:$B,"&gt;="&amp;A908,crm_orders!$B:$B,"&lt;"&amp;DATE(YEAR(A908),MONTH(A908)+1,1),crm_orders!$E:$E,B908,crm_orders!$G:$G,C908,crm_orders!$H:$H,D908)</f>
        <v>0</v>
      </c>
      <c r="G908" s="21">
        <f>SUMIFS(warehouse_shipments!$H:$H,warehouse_shipments!$C:$C,"&gt;="&amp;A908,warehouse_shipments!$C:$C,"&lt;"&amp;DATE(YEAR(A908),MONTH(A908)+1,1),warehouse_shipments!$P:$P,B908,warehouse_shipments!$Q:$Q,C908,warehouse_shipments!$R:$R,D908)</f>
        <v>0</v>
      </c>
      <c r="H908" s="22">
        <f t="shared" si="1"/>
        <v>-186</v>
      </c>
      <c r="I908" s="64">
        <f t="shared" si="2"/>
        <v>0</v>
      </c>
      <c r="J908" s="22" t="s">
        <v>5310</v>
      </c>
    </row>
    <row r="909" ht="15.75" customHeight="1">
      <c r="A909" s="26">
        <v>46113.0</v>
      </c>
      <c r="B909" s="25" t="s">
        <v>3934</v>
      </c>
      <c r="C909" s="25" t="s">
        <v>89</v>
      </c>
      <c r="D909" s="25" t="s">
        <v>156</v>
      </c>
      <c r="E909" s="29">
        <v>155.0</v>
      </c>
      <c r="F909" s="29">
        <f>SUMIFS(crm_orders!$J:$J,crm_orders!$B:$B,"&gt;="&amp;A909,crm_orders!$B:$B,"&lt;"&amp;DATE(YEAR(A909),MONTH(A909)+1,1),crm_orders!$E:$E,B909,crm_orders!$G:$G,C909,crm_orders!$H:$H,D909)</f>
        <v>0</v>
      </c>
      <c r="G909" s="29">
        <f>SUMIFS(warehouse_shipments!$H:$H,warehouse_shipments!$C:$C,"&gt;="&amp;A909,warehouse_shipments!$C:$C,"&lt;"&amp;DATE(YEAR(A909),MONTH(A909)+1,1),warehouse_shipments!$P:$P,B909,warehouse_shipments!$Q:$Q,C909,warehouse_shipments!$R:$R,D909)</f>
        <v>96</v>
      </c>
      <c r="H909" s="30">
        <f t="shared" si="1"/>
        <v>-155</v>
      </c>
      <c r="I909" s="65">
        <f t="shared" si="2"/>
        <v>0</v>
      </c>
      <c r="J909" s="30" t="s">
        <v>5308</v>
      </c>
    </row>
    <row r="910" ht="15.75" customHeight="1">
      <c r="A910" s="18">
        <v>46113.0</v>
      </c>
      <c r="B910" s="17" t="s">
        <v>3934</v>
      </c>
      <c r="C910" s="17" t="s">
        <v>89</v>
      </c>
      <c r="D910" s="17" t="s">
        <v>71</v>
      </c>
      <c r="E910" s="21">
        <v>125.0</v>
      </c>
      <c r="F910" s="21">
        <f>SUMIFS(crm_orders!$J:$J,crm_orders!$B:$B,"&gt;="&amp;A910,crm_orders!$B:$B,"&lt;"&amp;DATE(YEAR(A910),MONTH(A910)+1,1),crm_orders!$E:$E,B910,crm_orders!$G:$G,C910,crm_orders!$H:$H,D910)</f>
        <v>0</v>
      </c>
      <c r="G910" s="21">
        <f>SUMIFS(warehouse_shipments!$H:$H,warehouse_shipments!$C:$C,"&gt;="&amp;A910,warehouse_shipments!$C:$C,"&lt;"&amp;DATE(YEAR(A910),MONTH(A910)+1,1),warehouse_shipments!$P:$P,B910,warehouse_shipments!$Q:$Q,C910,warehouse_shipments!$R:$R,D910)</f>
        <v>0</v>
      </c>
      <c r="H910" s="22">
        <f t="shared" si="1"/>
        <v>-125</v>
      </c>
      <c r="I910" s="64">
        <f t="shared" si="2"/>
        <v>0</v>
      </c>
      <c r="J910" s="22" t="s">
        <v>5306</v>
      </c>
    </row>
    <row r="911" ht="15.75" customHeight="1">
      <c r="A911" s="26">
        <v>46113.0</v>
      </c>
      <c r="B911" s="25" t="s">
        <v>3934</v>
      </c>
      <c r="C911" s="25" t="s">
        <v>89</v>
      </c>
      <c r="D911" s="25" t="s">
        <v>81</v>
      </c>
      <c r="E911" s="29">
        <v>515.0</v>
      </c>
      <c r="F911" s="29">
        <f>SUMIFS(crm_orders!$J:$J,crm_orders!$B:$B,"&gt;="&amp;A911,crm_orders!$B:$B,"&lt;"&amp;DATE(YEAR(A911),MONTH(A911)+1,1),crm_orders!$E:$E,B911,crm_orders!$G:$G,C911,crm_orders!$H:$H,D911)</f>
        <v>0</v>
      </c>
      <c r="G911" s="29">
        <f>SUMIFS(warehouse_shipments!$H:$H,warehouse_shipments!$C:$C,"&gt;="&amp;A911,warehouse_shipments!$C:$C,"&lt;"&amp;DATE(YEAR(A911),MONTH(A911)+1,1),warehouse_shipments!$P:$P,B911,warehouse_shipments!$Q:$Q,C911,warehouse_shipments!$R:$R,D911)</f>
        <v>0</v>
      </c>
      <c r="H911" s="30">
        <f t="shared" si="1"/>
        <v>-515</v>
      </c>
      <c r="I911" s="65">
        <f t="shared" si="2"/>
        <v>0</v>
      </c>
      <c r="J911" s="30" t="s">
        <v>5311</v>
      </c>
    </row>
    <row r="912" ht="15.75" customHeight="1">
      <c r="A912" s="18">
        <v>46113.0</v>
      </c>
      <c r="B912" s="17" t="s">
        <v>3934</v>
      </c>
      <c r="C912" s="17" t="s">
        <v>89</v>
      </c>
      <c r="D912" s="17" t="s">
        <v>190</v>
      </c>
      <c r="E912" s="21">
        <v>105.0</v>
      </c>
      <c r="F912" s="21">
        <f>SUMIFS(crm_orders!$J:$J,crm_orders!$B:$B,"&gt;="&amp;A912,crm_orders!$B:$B,"&lt;"&amp;DATE(YEAR(A912),MONTH(A912)+1,1),crm_orders!$E:$E,B912,crm_orders!$G:$G,C912,crm_orders!$H:$H,D912)</f>
        <v>36</v>
      </c>
      <c r="G912" s="21">
        <f>SUMIFS(warehouse_shipments!$H:$H,warehouse_shipments!$C:$C,"&gt;="&amp;A912,warehouse_shipments!$C:$C,"&lt;"&amp;DATE(YEAR(A912),MONTH(A912)+1,1),warehouse_shipments!$P:$P,B912,warehouse_shipments!$Q:$Q,C912,warehouse_shipments!$R:$R,D912)</f>
        <v>0</v>
      </c>
      <c r="H912" s="22">
        <f t="shared" si="1"/>
        <v>-69</v>
      </c>
      <c r="I912" s="64">
        <f t="shared" si="2"/>
        <v>0.3428571429</v>
      </c>
      <c r="J912" s="22" t="s">
        <v>5308</v>
      </c>
    </row>
    <row r="913" ht="15.75" customHeight="1">
      <c r="A913" s="26">
        <v>46113.0</v>
      </c>
      <c r="B913" s="25" t="s">
        <v>3934</v>
      </c>
      <c r="C913" s="25" t="s">
        <v>89</v>
      </c>
      <c r="D913" s="25" t="s">
        <v>64</v>
      </c>
      <c r="E913" s="29">
        <v>288.0</v>
      </c>
      <c r="F913" s="29">
        <f>SUMIFS(crm_orders!$J:$J,crm_orders!$B:$B,"&gt;="&amp;A913,crm_orders!$B:$B,"&lt;"&amp;DATE(YEAR(A913),MONTH(A913)+1,1),crm_orders!$E:$E,B913,crm_orders!$G:$G,C913,crm_orders!$H:$H,D913)</f>
        <v>0</v>
      </c>
      <c r="G913" s="29">
        <f>SUMIFS(warehouse_shipments!$H:$H,warehouse_shipments!$C:$C,"&gt;="&amp;A913,warehouse_shipments!$C:$C,"&lt;"&amp;DATE(YEAR(A913),MONTH(A913)+1,1),warehouse_shipments!$P:$P,B913,warehouse_shipments!$Q:$Q,C913,warehouse_shipments!$R:$R,D913)</f>
        <v>0</v>
      </c>
      <c r="H913" s="30">
        <f t="shared" si="1"/>
        <v>-288</v>
      </c>
      <c r="I913" s="65">
        <f t="shared" si="2"/>
        <v>0</v>
      </c>
      <c r="J913" s="30" t="s">
        <v>5307</v>
      </c>
    </row>
    <row r="914" ht="15.75" customHeight="1">
      <c r="A914" s="18">
        <v>46113.0</v>
      </c>
      <c r="B914" s="17" t="s">
        <v>4020</v>
      </c>
      <c r="C914" s="17" t="s">
        <v>63</v>
      </c>
      <c r="D914" s="17" t="s">
        <v>68</v>
      </c>
      <c r="E914" s="21">
        <v>197.0</v>
      </c>
      <c r="F914" s="21">
        <f>SUMIFS(crm_orders!$J:$J,crm_orders!$B:$B,"&gt;="&amp;A914,crm_orders!$B:$B,"&lt;"&amp;DATE(YEAR(A914),MONTH(A914)+1,1),crm_orders!$E:$E,B914,crm_orders!$G:$G,C914,crm_orders!$H:$H,D914)</f>
        <v>0</v>
      </c>
      <c r="G914" s="21">
        <f>SUMIFS(warehouse_shipments!$H:$H,warehouse_shipments!$C:$C,"&gt;="&amp;A914,warehouse_shipments!$C:$C,"&lt;"&amp;DATE(YEAR(A914),MONTH(A914)+1,1),warehouse_shipments!$P:$P,B914,warehouse_shipments!$Q:$Q,C914,warehouse_shipments!$R:$R,D914)</f>
        <v>0</v>
      </c>
      <c r="H914" s="22">
        <f t="shared" si="1"/>
        <v>-197</v>
      </c>
      <c r="I914" s="64">
        <f t="shared" si="2"/>
        <v>0</v>
      </c>
      <c r="J914" s="22" t="s">
        <v>5309</v>
      </c>
    </row>
    <row r="915" ht="15.75" customHeight="1">
      <c r="A915" s="26">
        <v>46113.0</v>
      </c>
      <c r="B915" s="25" t="s">
        <v>4020</v>
      </c>
      <c r="C915" s="25" t="s">
        <v>63</v>
      </c>
      <c r="D915" s="25" t="s">
        <v>106</v>
      </c>
      <c r="E915" s="29">
        <v>490.0</v>
      </c>
      <c r="F915" s="29">
        <f>SUMIFS(crm_orders!$J:$J,crm_orders!$B:$B,"&gt;="&amp;A915,crm_orders!$B:$B,"&lt;"&amp;DATE(YEAR(A915),MONTH(A915)+1,1),crm_orders!$E:$E,B915,crm_orders!$G:$G,C915,crm_orders!$H:$H,D915)</f>
        <v>48</v>
      </c>
      <c r="G915" s="29">
        <f>SUMIFS(warehouse_shipments!$H:$H,warehouse_shipments!$C:$C,"&gt;="&amp;A915,warehouse_shipments!$C:$C,"&lt;"&amp;DATE(YEAR(A915),MONTH(A915)+1,1),warehouse_shipments!$P:$P,B915,warehouse_shipments!$Q:$Q,C915,warehouse_shipments!$R:$R,D915)</f>
        <v>48</v>
      </c>
      <c r="H915" s="30">
        <f t="shared" si="1"/>
        <v>-442</v>
      </c>
      <c r="I915" s="65">
        <f t="shared" si="2"/>
        <v>0.09795918367</v>
      </c>
      <c r="J915" s="30" t="s">
        <v>5311</v>
      </c>
    </row>
    <row r="916" ht="15.75" customHeight="1">
      <c r="A916" s="18">
        <v>46113.0</v>
      </c>
      <c r="B916" s="17" t="s">
        <v>4020</v>
      </c>
      <c r="C916" s="17" t="s">
        <v>63</v>
      </c>
      <c r="D916" s="17" t="s">
        <v>110</v>
      </c>
      <c r="E916" s="21">
        <v>145.0</v>
      </c>
      <c r="F916" s="21">
        <f>SUMIFS(crm_orders!$J:$J,crm_orders!$B:$B,"&gt;="&amp;A916,crm_orders!$B:$B,"&lt;"&amp;DATE(YEAR(A916),MONTH(A916)+1,1),crm_orders!$E:$E,B916,crm_orders!$G:$G,C916,crm_orders!$H:$H,D916)</f>
        <v>144</v>
      </c>
      <c r="G916" s="21">
        <f>SUMIFS(warehouse_shipments!$H:$H,warehouse_shipments!$C:$C,"&gt;="&amp;A916,warehouse_shipments!$C:$C,"&lt;"&amp;DATE(YEAR(A916),MONTH(A916)+1,1),warehouse_shipments!$P:$P,B916,warehouse_shipments!$Q:$Q,C916,warehouse_shipments!$R:$R,D916)</f>
        <v>72</v>
      </c>
      <c r="H916" s="22">
        <f t="shared" si="1"/>
        <v>-1</v>
      </c>
      <c r="I916" s="64">
        <f t="shared" si="2"/>
        <v>0.9931034483</v>
      </c>
      <c r="J916" s="22" t="s">
        <v>5308</v>
      </c>
    </row>
    <row r="917" ht="15.75" customHeight="1">
      <c r="A917" s="26">
        <v>46113.0</v>
      </c>
      <c r="B917" s="25" t="s">
        <v>4020</v>
      </c>
      <c r="C917" s="25" t="s">
        <v>63</v>
      </c>
      <c r="D917" s="25" t="s">
        <v>95</v>
      </c>
      <c r="E917" s="29">
        <v>187.0</v>
      </c>
      <c r="F917" s="29">
        <f>SUMIFS(crm_orders!$J:$J,crm_orders!$B:$B,"&gt;="&amp;A917,crm_orders!$B:$B,"&lt;"&amp;DATE(YEAR(A917),MONTH(A917)+1,1),crm_orders!$E:$E,B917,crm_orders!$G:$G,C917,crm_orders!$H:$H,D917)</f>
        <v>0</v>
      </c>
      <c r="G917" s="29">
        <f>SUMIFS(warehouse_shipments!$H:$H,warehouse_shipments!$C:$C,"&gt;="&amp;A917,warehouse_shipments!$C:$C,"&lt;"&amp;DATE(YEAR(A917),MONTH(A917)+1,1),warehouse_shipments!$P:$P,B917,warehouse_shipments!$Q:$Q,C917,warehouse_shipments!$R:$R,D917)</f>
        <v>0</v>
      </c>
      <c r="H917" s="30">
        <f t="shared" si="1"/>
        <v>-187</v>
      </c>
      <c r="I917" s="65">
        <f t="shared" si="2"/>
        <v>0</v>
      </c>
      <c r="J917" s="30" t="s">
        <v>5306</v>
      </c>
    </row>
    <row r="918" ht="15.75" customHeight="1">
      <c r="A918" s="18">
        <v>46113.0</v>
      </c>
      <c r="B918" s="17" t="s">
        <v>4020</v>
      </c>
      <c r="C918" s="17" t="s">
        <v>63</v>
      </c>
      <c r="D918" s="17" t="s">
        <v>78</v>
      </c>
      <c r="E918" s="21">
        <v>125.0</v>
      </c>
      <c r="F918" s="21">
        <f>SUMIFS(crm_orders!$J:$J,crm_orders!$B:$B,"&gt;="&amp;A918,crm_orders!$B:$B,"&lt;"&amp;DATE(YEAR(A918),MONTH(A918)+1,1),crm_orders!$E:$E,B918,crm_orders!$G:$G,C918,crm_orders!$H:$H,D918)</f>
        <v>30</v>
      </c>
      <c r="G918" s="21">
        <f>SUMIFS(warehouse_shipments!$H:$H,warehouse_shipments!$C:$C,"&gt;="&amp;A918,warehouse_shipments!$C:$C,"&lt;"&amp;DATE(YEAR(A918),MONTH(A918)+1,1),warehouse_shipments!$P:$P,B918,warehouse_shipments!$Q:$Q,C918,warehouse_shipments!$R:$R,D918)</f>
        <v>24</v>
      </c>
      <c r="H918" s="22">
        <f t="shared" si="1"/>
        <v>-95</v>
      </c>
      <c r="I918" s="64">
        <f t="shared" si="2"/>
        <v>0.24</v>
      </c>
      <c r="J918" s="22" t="s">
        <v>5311</v>
      </c>
    </row>
    <row r="919" ht="15.75" customHeight="1">
      <c r="A919" s="26">
        <v>46113.0</v>
      </c>
      <c r="B919" s="25" t="s">
        <v>4020</v>
      </c>
      <c r="C919" s="25" t="s">
        <v>63</v>
      </c>
      <c r="D919" s="25" t="s">
        <v>102</v>
      </c>
      <c r="E919" s="29">
        <v>356.0</v>
      </c>
      <c r="F919" s="29">
        <f>SUMIFS(crm_orders!$J:$J,crm_orders!$B:$B,"&gt;="&amp;A919,crm_orders!$B:$B,"&lt;"&amp;DATE(YEAR(A919),MONTH(A919)+1,1),crm_orders!$E:$E,B919,crm_orders!$G:$G,C919,crm_orders!$H:$H,D919)</f>
        <v>36</v>
      </c>
      <c r="G919" s="29">
        <f>SUMIFS(warehouse_shipments!$H:$H,warehouse_shipments!$C:$C,"&gt;="&amp;A919,warehouse_shipments!$C:$C,"&lt;"&amp;DATE(YEAR(A919),MONTH(A919)+1,1),warehouse_shipments!$P:$P,B919,warehouse_shipments!$Q:$Q,C919,warehouse_shipments!$R:$R,D919)</f>
        <v>18</v>
      </c>
      <c r="H919" s="30">
        <f t="shared" si="1"/>
        <v>-320</v>
      </c>
      <c r="I919" s="65">
        <f t="shared" si="2"/>
        <v>0.1011235955</v>
      </c>
      <c r="J919" s="30" t="s">
        <v>5306</v>
      </c>
    </row>
    <row r="920" ht="15.75" customHeight="1">
      <c r="A920" s="18">
        <v>46113.0</v>
      </c>
      <c r="B920" s="17" t="s">
        <v>4020</v>
      </c>
      <c r="C920" s="17" t="s">
        <v>63</v>
      </c>
      <c r="D920" s="17" t="s">
        <v>71</v>
      </c>
      <c r="E920" s="21">
        <v>462.0</v>
      </c>
      <c r="F920" s="21">
        <f>SUMIFS(crm_orders!$J:$J,crm_orders!$B:$B,"&gt;="&amp;A920,crm_orders!$B:$B,"&lt;"&amp;DATE(YEAR(A920),MONTH(A920)+1,1),crm_orders!$E:$E,B920,crm_orders!$G:$G,C920,crm_orders!$H:$H,D920)</f>
        <v>0</v>
      </c>
      <c r="G920" s="21">
        <f>SUMIFS(warehouse_shipments!$H:$H,warehouse_shipments!$C:$C,"&gt;="&amp;A920,warehouse_shipments!$C:$C,"&lt;"&amp;DATE(YEAR(A920),MONTH(A920)+1,1),warehouse_shipments!$P:$P,B920,warehouse_shipments!$Q:$Q,C920,warehouse_shipments!$R:$R,D920)</f>
        <v>0</v>
      </c>
      <c r="H920" s="22">
        <f t="shared" si="1"/>
        <v>-462</v>
      </c>
      <c r="I920" s="64">
        <f t="shared" si="2"/>
        <v>0</v>
      </c>
      <c r="J920" s="22" t="s">
        <v>5311</v>
      </c>
    </row>
    <row r="921" ht="15.75" customHeight="1">
      <c r="A921" s="26">
        <v>46113.0</v>
      </c>
      <c r="B921" s="25" t="s">
        <v>4020</v>
      </c>
      <c r="C921" s="25" t="s">
        <v>63</v>
      </c>
      <c r="D921" s="25" t="s">
        <v>154</v>
      </c>
      <c r="E921" s="29">
        <v>407.0</v>
      </c>
      <c r="F921" s="29">
        <f>SUMIFS(crm_orders!$J:$J,crm_orders!$B:$B,"&gt;="&amp;A921,crm_orders!$B:$B,"&lt;"&amp;DATE(YEAR(A921),MONTH(A921)+1,1),crm_orders!$E:$E,B921,crm_orders!$G:$G,C921,crm_orders!$H:$H,D921)</f>
        <v>42</v>
      </c>
      <c r="G921" s="29">
        <f>SUMIFS(warehouse_shipments!$H:$H,warehouse_shipments!$C:$C,"&gt;="&amp;A921,warehouse_shipments!$C:$C,"&lt;"&amp;DATE(YEAR(A921),MONTH(A921)+1,1),warehouse_shipments!$P:$P,B921,warehouse_shipments!$Q:$Q,C921,warehouse_shipments!$R:$R,D921)</f>
        <v>6</v>
      </c>
      <c r="H921" s="30">
        <f t="shared" si="1"/>
        <v>-365</v>
      </c>
      <c r="I921" s="65">
        <f t="shared" si="2"/>
        <v>0.1031941032</v>
      </c>
      <c r="J921" s="30" t="s">
        <v>5308</v>
      </c>
    </row>
    <row r="922" ht="15.75" customHeight="1">
      <c r="A922" s="18">
        <v>46113.0</v>
      </c>
      <c r="B922" s="17" t="s">
        <v>4020</v>
      </c>
      <c r="C922" s="17" t="s">
        <v>67</v>
      </c>
      <c r="D922" s="17" t="s">
        <v>90</v>
      </c>
      <c r="E922" s="21">
        <v>297.0</v>
      </c>
      <c r="F922" s="21">
        <f>SUMIFS(crm_orders!$J:$J,crm_orders!$B:$B,"&gt;="&amp;A922,crm_orders!$B:$B,"&lt;"&amp;DATE(YEAR(A922),MONTH(A922)+1,1),crm_orders!$E:$E,B922,crm_orders!$G:$G,C922,crm_orders!$H:$H,D922)</f>
        <v>0</v>
      </c>
      <c r="G922" s="21">
        <f>SUMIFS(warehouse_shipments!$H:$H,warehouse_shipments!$C:$C,"&gt;="&amp;A922,warehouse_shipments!$C:$C,"&lt;"&amp;DATE(YEAR(A922),MONTH(A922)+1,1),warehouse_shipments!$P:$P,B922,warehouse_shipments!$Q:$Q,C922,warehouse_shipments!$R:$R,D922)</f>
        <v>0</v>
      </c>
      <c r="H922" s="22">
        <f t="shared" si="1"/>
        <v>-297</v>
      </c>
      <c r="I922" s="64">
        <f t="shared" si="2"/>
        <v>0</v>
      </c>
      <c r="J922" s="22" t="s">
        <v>5307</v>
      </c>
    </row>
    <row r="923" ht="15.75" customHeight="1">
      <c r="A923" s="26">
        <v>46113.0</v>
      </c>
      <c r="B923" s="25" t="s">
        <v>4020</v>
      </c>
      <c r="C923" s="25" t="s">
        <v>67</v>
      </c>
      <c r="D923" s="25" t="s">
        <v>154</v>
      </c>
      <c r="E923" s="29">
        <v>219.0</v>
      </c>
      <c r="F923" s="29">
        <f>SUMIFS(crm_orders!$J:$J,crm_orders!$B:$B,"&gt;="&amp;A923,crm_orders!$B:$B,"&lt;"&amp;DATE(YEAR(A923),MONTH(A923)+1,1),crm_orders!$E:$E,B923,crm_orders!$G:$G,C923,crm_orders!$H:$H,D923)</f>
        <v>0</v>
      </c>
      <c r="G923" s="29">
        <f>SUMIFS(warehouse_shipments!$H:$H,warehouse_shipments!$C:$C,"&gt;="&amp;A923,warehouse_shipments!$C:$C,"&lt;"&amp;DATE(YEAR(A923),MONTH(A923)+1,1),warehouse_shipments!$P:$P,B923,warehouse_shipments!$Q:$Q,C923,warehouse_shipments!$R:$R,D923)</f>
        <v>0</v>
      </c>
      <c r="H923" s="30">
        <f t="shared" si="1"/>
        <v>-219</v>
      </c>
      <c r="I923" s="65">
        <f t="shared" si="2"/>
        <v>0</v>
      </c>
      <c r="J923" s="30" t="s">
        <v>5309</v>
      </c>
    </row>
    <row r="924" ht="15.75" customHeight="1">
      <c r="A924" s="18">
        <v>46113.0</v>
      </c>
      <c r="B924" s="17" t="s">
        <v>4020</v>
      </c>
      <c r="C924" s="17" t="s">
        <v>67</v>
      </c>
      <c r="D924" s="17" t="s">
        <v>64</v>
      </c>
      <c r="E924" s="21">
        <v>272.0</v>
      </c>
      <c r="F924" s="21">
        <f>SUMIFS(crm_orders!$J:$J,crm_orders!$B:$B,"&gt;="&amp;A924,crm_orders!$B:$B,"&lt;"&amp;DATE(YEAR(A924),MONTH(A924)+1,1),crm_orders!$E:$E,B924,crm_orders!$G:$G,C924,crm_orders!$H:$H,D924)</f>
        <v>0</v>
      </c>
      <c r="G924" s="21">
        <f>SUMIFS(warehouse_shipments!$H:$H,warehouse_shipments!$C:$C,"&gt;="&amp;A924,warehouse_shipments!$C:$C,"&lt;"&amp;DATE(YEAR(A924),MONTH(A924)+1,1),warehouse_shipments!$P:$P,B924,warehouse_shipments!$Q:$Q,C924,warehouse_shipments!$R:$R,D924)</f>
        <v>0</v>
      </c>
      <c r="H924" s="22">
        <f t="shared" si="1"/>
        <v>-272</v>
      </c>
      <c r="I924" s="64">
        <f t="shared" si="2"/>
        <v>0</v>
      </c>
      <c r="J924" s="22" t="s">
        <v>5306</v>
      </c>
    </row>
    <row r="925" ht="15.75" customHeight="1">
      <c r="A925" s="26">
        <v>46113.0</v>
      </c>
      <c r="B925" s="25" t="s">
        <v>4020</v>
      </c>
      <c r="C925" s="25" t="s">
        <v>67</v>
      </c>
      <c r="D925" s="25" t="s">
        <v>108</v>
      </c>
      <c r="E925" s="29">
        <v>203.0</v>
      </c>
      <c r="F925" s="29">
        <f>SUMIFS(crm_orders!$J:$J,crm_orders!$B:$B,"&gt;="&amp;A925,crm_orders!$B:$B,"&lt;"&amp;DATE(YEAR(A925),MONTH(A925)+1,1),crm_orders!$E:$E,B925,crm_orders!$G:$G,C925,crm_orders!$H:$H,D925)</f>
        <v>0</v>
      </c>
      <c r="G925" s="29">
        <f>SUMIFS(warehouse_shipments!$H:$H,warehouse_shipments!$C:$C,"&gt;="&amp;A925,warehouse_shipments!$C:$C,"&lt;"&amp;DATE(YEAR(A925),MONTH(A925)+1,1),warehouse_shipments!$P:$P,B925,warehouse_shipments!$Q:$Q,C925,warehouse_shipments!$R:$R,D925)</f>
        <v>0</v>
      </c>
      <c r="H925" s="30">
        <f t="shared" si="1"/>
        <v>-203</v>
      </c>
      <c r="I925" s="65">
        <f t="shared" si="2"/>
        <v>0</v>
      </c>
      <c r="J925" s="30" t="s">
        <v>5307</v>
      </c>
    </row>
    <row r="926" ht="15.75" customHeight="1">
      <c r="A926" s="18">
        <v>46113.0</v>
      </c>
      <c r="B926" s="17" t="s">
        <v>4020</v>
      </c>
      <c r="C926" s="17" t="s">
        <v>67</v>
      </c>
      <c r="D926" s="17" t="s">
        <v>81</v>
      </c>
      <c r="E926" s="21">
        <v>360.0</v>
      </c>
      <c r="F926" s="21">
        <f>SUMIFS(crm_orders!$J:$J,crm_orders!$B:$B,"&gt;="&amp;A926,crm_orders!$B:$B,"&lt;"&amp;DATE(YEAR(A926),MONTH(A926)+1,1),crm_orders!$E:$E,B926,crm_orders!$G:$G,C926,crm_orders!$H:$H,D926)</f>
        <v>36</v>
      </c>
      <c r="G926" s="21">
        <f>SUMIFS(warehouse_shipments!$H:$H,warehouse_shipments!$C:$C,"&gt;="&amp;A926,warehouse_shipments!$C:$C,"&lt;"&amp;DATE(YEAR(A926),MONTH(A926)+1,1),warehouse_shipments!$P:$P,B926,warehouse_shipments!$Q:$Q,C926,warehouse_shipments!$R:$R,D926)</f>
        <v>12</v>
      </c>
      <c r="H926" s="22">
        <f t="shared" si="1"/>
        <v>-324</v>
      </c>
      <c r="I926" s="64">
        <f t="shared" si="2"/>
        <v>0.1</v>
      </c>
      <c r="J926" s="22" t="s">
        <v>5311</v>
      </c>
    </row>
    <row r="927" ht="15.75" customHeight="1">
      <c r="A927" s="26">
        <v>46113.0</v>
      </c>
      <c r="B927" s="25" t="s">
        <v>4020</v>
      </c>
      <c r="C927" s="25" t="s">
        <v>67</v>
      </c>
      <c r="D927" s="25" t="s">
        <v>115</v>
      </c>
      <c r="E927" s="29">
        <v>351.0</v>
      </c>
      <c r="F927" s="29">
        <f>SUMIFS(crm_orders!$J:$J,crm_orders!$B:$B,"&gt;="&amp;A927,crm_orders!$B:$B,"&lt;"&amp;DATE(YEAR(A927),MONTH(A927)+1,1),crm_orders!$E:$E,B927,crm_orders!$G:$G,C927,crm_orders!$H:$H,D927)</f>
        <v>0</v>
      </c>
      <c r="G927" s="29">
        <f>SUMIFS(warehouse_shipments!$H:$H,warehouse_shipments!$C:$C,"&gt;="&amp;A927,warehouse_shipments!$C:$C,"&lt;"&amp;DATE(YEAR(A927),MONTH(A927)+1,1),warehouse_shipments!$P:$P,B927,warehouse_shipments!$Q:$Q,C927,warehouse_shipments!$R:$R,D927)</f>
        <v>0</v>
      </c>
      <c r="H927" s="30">
        <f t="shared" si="1"/>
        <v>-351</v>
      </c>
      <c r="I927" s="65">
        <f t="shared" si="2"/>
        <v>0</v>
      </c>
      <c r="J927" s="30" t="s">
        <v>5308</v>
      </c>
    </row>
    <row r="928" ht="15.75" customHeight="1">
      <c r="A928" s="18">
        <v>46113.0</v>
      </c>
      <c r="B928" s="17" t="s">
        <v>4020</v>
      </c>
      <c r="C928" s="17" t="s">
        <v>67</v>
      </c>
      <c r="D928" s="17" t="s">
        <v>156</v>
      </c>
      <c r="E928" s="21">
        <v>197.0</v>
      </c>
      <c r="F928" s="21">
        <f>SUMIFS(crm_orders!$J:$J,crm_orders!$B:$B,"&gt;="&amp;A928,crm_orders!$B:$B,"&lt;"&amp;DATE(YEAR(A928),MONTH(A928)+1,1),crm_orders!$E:$E,B928,crm_orders!$G:$G,C928,crm_orders!$H:$H,D928)</f>
        <v>0</v>
      </c>
      <c r="G928" s="21">
        <f>SUMIFS(warehouse_shipments!$H:$H,warehouse_shipments!$C:$C,"&gt;="&amp;A928,warehouse_shipments!$C:$C,"&lt;"&amp;DATE(YEAR(A928),MONTH(A928)+1,1),warehouse_shipments!$P:$P,B928,warehouse_shipments!$Q:$Q,C928,warehouse_shipments!$R:$R,D928)</f>
        <v>0</v>
      </c>
      <c r="H928" s="22">
        <f t="shared" si="1"/>
        <v>-197</v>
      </c>
      <c r="I928" s="64">
        <f t="shared" si="2"/>
        <v>0</v>
      </c>
      <c r="J928" s="22" t="s">
        <v>5307</v>
      </c>
    </row>
    <row r="929" ht="15.75" customHeight="1">
      <c r="A929" s="26">
        <v>46113.0</v>
      </c>
      <c r="B929" s="25" t="s">
        <v>4020</v>
      </c>
      <c r="C929" s="25" t="s">
        <v>67</v>
      </c>
      <c r="D929" s="25" t="s">
        <v>71</v>
      </c>
      <c r="E929" s="29">
        <v>489.0</v>
      </c>
      <c r="F929" s="29">
        <f>SUMIFS(crm_orders!$J:$J,crm_orders!$B:$B,"&gt;="&amp;A929,crm_orders!$B:$B,"&lt;"&amp;DATE(YEAR(A929),MONTH(A929)+1,1),crm_orders!$E:$E,B929,crm_orders!$G:$G,C929,crm_orders!$H:$H,D929)</f>
        <v>0</v>
      </c>
      <c r="G929" s="29">
        <f>SUMIFS(warehouse_shipments!$H:$H,warehouse_shipments!$C:$C,"&gt;="&amp;A929,warehouse_shipments!$C:$C,"&lt;"&amp;DATE(YEAR(A929),MONTH(A929)+1,1),warehouse_shipments!$P:$P,B929,warehouse_shipments!$Q:$Q,C929,warehouse_shipments!$R:$R,D929)</f>
        <v>0</v>
      </c>
      <c r="H929" s="30">
        <f t="shared" si="1"/>
        <v>-489</v>
      </c>
      <c r="I929" s="65">
        <f t="shared" si="2"/>
        <v>0</v>
      </c>
      <c r="J929" s="30" t="s">
        <v>5311</v>
      </c>
    </row>
    <row r="930" ht="15.75" customHeight="1">
      <c r="A930" s="18">
        <v>46113.0</v>
      </c>
      <c r="B930" s="17" t="s">
        <v>4020</v>
      </c>
      <c r="C930" s="17" t="s">
        <v>89</v>
      </c>
      <c r="D930" s="17" t="s">
        <v>81</v>
      </c>
      <c r="E930" s="21">
        <v>293.0</v>
      </c>
      <c r="F930" s="21">
        <f>SUMIFS(crm_orders!$J:$J,crm_orders!$B:$B,"&gt;="&amp;A930,crm_orders!$B:$B,"&lt;"&amp;DATE(YEAR(A930),MONTH(A930)+1,1),crm_orders!$E:$E,B930,crm_orders!$G:$G,C930,crm_orders!$H:$H,D930)</f>
        <v>0</v>
      </c>
      <c r="G930" s="21">
        <f>SUMIFS(warehouse_shipments!$H:$H,warehouse_shipments!$C:$C,"&gt;="&amp;A930,warehouse_shipments!$C:$C,"&lt;"&amp;DATE(YEAR(A930),MONTH(A930)+1,1),warehouse_shipments!$P:$P,B930,warehouse_shipments!$Q:$Q,C930,warehouse_shipments!$R:$R,D930)</f>
        <v>12</v>
      </c>
      <c r="H930" s="22">
        <f t="shared" si="1"/>
        <v>-293</v>
      </c>
      <c r="I930" s="64">
        <f t="shared" si="2"/>
        <v>0</v>
      </c>
      <c r="J930" s="22" t="s">
        <v>5307</v>
      </c>
    </row>
    <row r="931" ht="15.75" customHeight="1">
      <c r="A931" s="26">
        <v>46113.0</v>
      </c>
      <c r="B931" s="25" t="s">
        <v>4020</v>
      </c>
      <c r="C931" s="25" t="s">
        <v>89</v>
      </c>
      <c r="D931" s="25" t="s">
        <v>106</v>
      </c>
      <c r="E931" s="29">
        <v>315.0</v>
      </c>
      <c r="F931" s="29">
        <f>SUMIFS(crm_orders!$J:$J,crm_orders!$B:$B,"&gt;="&amp;A931,crm_orders!$B:$B,"&lt;"&amp;DATE(YEAR(A931),MONTH(A931)+1,1),crm_orders!$E:$E,B931,crm_orders!$G:$G,C931,crm_orders!$H:$H,D931)</f>
        <v>0</v>
      </c>
      <c r="G931" s="29">
        <f>SUMIFS(warehouse_shipments!$H:$H,warehouse_shipments!$C:$C,"&gt;="&amp;A931,warehouse_shipments!$C:$C,"&lt;"&amp;DATE(YEAR(A931),MONTH(A931)+1,1),warehouse_shipments!$P:$P,B931,warehouse_shipments!$Q:$Q,C931,warehouse_shipments!$R:$R,D931)</f>
        <v>0</v>
      </c>
      <c r="H931" s="30">
        <f t="shared" si="1"/>
        <v>-315</v>
      </c>
      <c r="I931" s="65">
        <f t="shared" si="2"/>
        <v>0</v>
      </c>
      <c r="J931" s="30" t="s">
        <v>5307</v>
      </c>
    </row>
    <row r="932" ht="15.75" customHeight="1">
      <c r="A932" s="18">
        <v>46113.0</v>
      </c>
      <c r="B932" s="17" t="s">
        <v>4020</v>
      </c>
      <c r="C932" s="17" t="s">
        <v>89</v>
      </c>
      <c r="D932" s="17" t="s">
        <v>64</v>
      </c>
      <c r="E932" s="21">
        <v>276.0</v>
      </c>
      <c r="F932" s="21">
        <f>SUMIFS(crm_orders!$J:$J,crm_orders!$B:$B,"&gt;="&amp;A932,crm_orders!$B:$B,"&lt;"&amp;DATE(YEAR(A932),MONTH(A932)+1,1),crm_orders!$E:$E,B932,crm_orders!$G:$G,C932,crm_orders!$H:$H,D932)</f>
        <v>0</v>
      </c>
      <c r="G932" s="21">
        <f>SUMIFS(warehouse_shipments!$H:$H,warehouse_shipments!$C:$C,"&gt;="&amp;A932,warehouse_shipments!$C:$C,"&lt;"&amp;DATE(YEAR(A932),MONTH(A932)+1,1),warehouse_shipments!$P:$P,B932,warehouse_shipments!$Q:$Q,C932,warehouse_shipments!$R:$R,D932)</f>
        <v>0</v>
      </c>
      <c r="H932" s="22">
        <f t="shared" si="1"/>
        <v>-276</v>
      </c>
      <c r="I932" s="64">
        <f t="shared" si="2"/>
        <v>0</v>
      </c>
      <c r="J932" s="22" t="s">
        <v>5307</v>
      </c>
    </row>
    <row r="933" ht="15.75" customHeight="1">
      <c r="A933" s="26">
        <v>46113.0</v>
      </c>
      <c r="B933" s="25" t="s">
        <v>4020</v>
      </c>
      <c r="C933" s="25" t="s">
        <v>89</v>
      </c>
      <c r="D933" s="25" t="s">
        <v>108</v>
      </c>
      <c r="E933" s="29">
        <v>463.0</v>
      </c>
      <c r="F933" s="29">
        <f>SUMIFS(crm_orders!$J:$J,crm_orders!$B:$B,"&gt;="&amp;A933,crm_orders!$B:$B,"&lt;"&amp;DATE(YEAR(A933),MONTH(A933)+1,1),crm_orders!$E:$E,B933,crm_orders!$G:$G,C933,crm_orders!$H:$H,D933)</f>
        <v>0</v>
      </c>
      <c r="G933" s="29">
        <f>SUMIFS(warehouse_shipments!$H:$H,warehouse_shipments!$C:$C,"&gt;="&amp;A933,warehouse_shipments!$C:$C,"&lt;"&amp;DATE(YEAR(A933),MONTH(A933)+1,1),warehouse_shipments!$P:$P,B933,warehouse_shipments!$Q:$Q,C933,warehouse_shipments!$R:$R,D933)</f>
        <v>0</v>
      </c>
      <c r="H933" s="30">
        <f t="shared" si="1"/>
        <v>-463</v>
      </c>
      <c r="I933" s="65">
        <f t="shared" si="2"/>
        <v>0</v>
      </c>
      <c r="J933" s="30" t="s">
        <v>5307</v>
      </c>
    </row>
    <row r="934" ht="15.75" customHeight="1">
      <c r="A934" s="18">
        <v>46113.0</v>
      </c>
      <c r="B934" s="17" t="s">
        <v>4020</v>
      </c>
      <c r="C934" s="17" t="s">
        <v>89</v>
      </c>
      <c r="D934" s="17" t="s">
        <v>74</v>
      </c>
      <c r="E934" s="21">
        <v>89.0</v>
      </c>
      <c r="F934" s="21">
        <f>SUMIFS(crm_orders!$J:$J,crm_orders!$B:$B,"&gt;="&amp;A934,crm_orders!$B:$B,"&lt;"&amp;DATE(YEAR(A934),MONTH(A934)+1,1),crm_orders!$E:$E,B934,crm_orders!$G:$G,C934,crm_orders!$H:$H,D934)</f>
        <v>0</v>
      </c>
      <c r="G934" s="21">
        <f>SUMIFS(warehouse_shipments!$H:$H,warehouse_shipments!$C:$C,"&gt;="&amp;A934,warehouse_shipments!$C:$C,"&lt;"&amp;DATE(YEAR(A934),MONTH(A934)+1,1),warehouse_shipments!$P:$P,B934,warehouse_shipments!$Q:$Q,C934,warehouse_shipments!$R:$R,D934)</f>
        <v>0</v>
      </c>
      <c r="H934" s="22">
        <f t="shared" si="1"/>
        <v>-89</v>
      </c>
      <c r="I934" s="64">
        <f t="shared" si="2"/>
        <v>0</v>
      </c>
      <c r="J934" s="22" t="s">
        <v>5310</v>
      </c>
    </row>
    <row r="935" ht="15.75" customHeight="1">
      <c r="A935" s="26">
        <v>46113.0</v>
      </c>
      <c r="B935" s="25" t="s">
        <v>4020</v>
      </c>
      <c r="C935" s="25" t="s">
        <v>89</v>
      </c>
      <c r="D935" s="25" t="s">
        <v>115</v>
      </c>
      <c r="E935" s="29">
        <v>504.0</v>
      </c>
      <c r="F935" s="29">
        <f>SUMIFS(crm_orders!$J:$J,crm_orders!$B:$B,"&gt;="&amp;A935,crm_orders!$B:$B,"&lt;"&amp;DATE(YEAR(A935),MONTH(A935)+1,1),crm_orders!$E:$E,B935,crm_orders!$G:$G,C935,crm_orders!$H:$H,D935)</f>
        <v>0</v>
      </c>
      <c r="G935" s="29">
        <f>SUMIFS(warehouse_shipments!$H:$H,warehouse_shipments!$C:$C,"&gt;="&amp;A935,warehouse_shipments!$C:$C,"&lt;"&amp;DATE(YEAR(A935),MONTH(A935)+1,1),warehouse_shipments!$P:$P,B935,warehouse_shipments!$Q:$Q,C935,warehouse_shipments!$R:$R,D935)</f>
        <v>0</v>
      </c>
      <c r="H935" s="30">
        <f t="shared" si="1"/>
        <v>-504</v>
      </c>
      <c r="I935" s="65">
        <f t="shared" si="2"/>
        <v>0</v>
      </c>
      <c r="J935" s="30" t="s">
        <v>5309</v>
      </c>
    </row>
    <row r="936" ht="15.75" customHeight="1">
      <c r="A936" s="18">
        <v>46113.0</v>
      </c>
      <c r="B936" s="17" t="s">
        <v>4020</v>
      </c>
      <c r="C936" s="17" t="s">
        <v>89</v>
      </c>
      <c r="D936" s="17" t="s">
        <v>190</v>
      </c>
      <c r="E936" s="21">
        <v>300.0</v>
      </c>
      <c r="F936" s="21">
        <f>SUMIFS(crm_orders!$J:$J,crm_orders!$B:$B,"&gt;="&amp;A936,crm_orders!$B:$B,"&lt;"&amp;DATE(YEAR(A936),MONTH(A936)+1,1),crm_orders!$E:$E,B936,crm_orders!$G:$G,C936,crm_orders!$H:$H,D936)</f>
        <v>96</v>
      </c>
      <c r="G936" s="21">
        <f>SUMIFS(warehouse_shipments!$H:$H,warehouse_shipments!$C:$C,"&gt;="&amp;A936,warehouse_shipments!$C:$C,"&lt;"&amp;DATE(YEAR(A936),MONTH(A936)+1,1),warehouse_shipments!$P:$P,B936,warehouse_shipments!$Q:$Q,C936,warehouse_shipments!$R:$R,D936)</f>
        <v>96</v>
      </c>
      <c r="H936" s="22">
        <f t="shared" si="1"/>
        <v>-204</v>
      </c>
      <c r="I936" s="64">
        <f t="shared" si="2"/>
        <v>0.32</v>
      </c>
      <c r="J936" s="22" t="s">
        <v>5306</v>
      </c>
    </row>
    <row r="937" ht="15.75" customHeight="1">
      <c r="A937" s="26">
        <v>46113.0</v>
      </c>
      <c r="B937" s="25" t="s">
        <v>4020</v>
      </c>
      <c r="C937" s="25" t="s">
        <v>89</v>
      </c>
      <c r="D937" s="25" t="s">
        <v>95</v>
      </c>
      <c r="E937" s="29">
        <v>259.0</v>
      </c>
      <c r="F937" s="29">
        <f>SUMIFS(crm_orders!$J:$J,crm_orders!$B:$B,"&gt;="&amp;A937,crm_orders!$B:$B,"&lt;"&amp;DATE(YEAR(A937),MONTH(A937)+1,1),crm_orders!$E:$E,B937,crm_orders!$G:$G,C937,crm_orders!$H:$H,D937)</f>
        <v>0</v>
      </c>
      <c r="G937" s="29">
        <f>SUMIFS(warehouse_shipments!$H:$H,warehouse_shipments!$C:$C,"&gt;="&amp;A937,warehouse_shipments!$C:$C,"&lt;"&amp;DATE(YEAR(A937),MONTH(A937)+1,1),warehouse_shipments!$P:$P,B937,warehouse_shipments!$Q:$Q,C937,warehouse_shipments!$R:$R,D937)</f>
        <v>0</v>
      </c>
      <c r="H937" s="30">
        <f t="shared" si="1"/>
        <v>-259</v>
      </c>
      <c r="I937" s="65">
        <f t="shared" si="2"/>
        <v>0</v>
      </c>
      <c r="J937" s="30" t="s">
        <v>5308</v>
      </c>
    </row>
    <row r="938" ht="15.75" customHeight="1">
      <c r="A938" s="18">
        <v>46113.0</v>
      </c>
      <c r="B938" s="17" t="s">
        <v>4097</v>
      </c>
      <c r="C938" s="17" t="s">
        <v>63</v>
      </c>
      <c r="D938" s="17" t="s">
        <v>78</v>
      </c>
      <c r="E938" s="21">
        <v>374.0</v>
      </c>
      <c r="F938" s="21">
        <f>SUMIFS(crm_orders!$J:$J,crm_orders!$B:$B,"&gt;="&amp;A938,crm_orders!$B:$B,"&lt;"&amp;DATE(YEAR(A938),MONTH(A938)+1,1),crm_orders!$E:$E,B938,crm_orders!$G:$G,C938,crm_orders!$H:$H,D938)</f>
        <v>90</v>
      </c>
      <c r="G938" s="21">
        <f>SUMIFS(warehouse_shipments!$H:$H,warehouse_shipments!$C:$C,"&gt;="&amp;A938,warehouse_shipments!$C:$C,"&lt;"&amp;DATE(YEAR(A938),MONTH(A938)+1,1),warehouse_shipments!$P:$P,B938,warehouse_shipments!$Q:$Q,C938,warehouse_shipments!$R:$R,D938)</f>
        <v>90</v>
      </c>
      <c r="H938" s="22">
        <f t="shared" si="1"/>
        <v>-284</v>
      </c>
      <c r="I938" s="64">
        <f t="shared" si="2"/>
        <v>0.2406417112</v>
      </c>
      <c r="J938" s="22" t="s">
        <v>5309</v>
      </c>
    </row>
    <row r="939" ht="15.75" customHeight="1">
      <c r="A939" s="26">
        <v>46113.0</v>
      </c>
      <c r="B939" s="25" t="s">
        <v>4097</v>
      </c>
      <c r="C939" s="25" t="s">
        <v>63</v>
      </c>
      <c r="D939" s="25" t="s">
        <v>106</v>
      </c>
      <c r="E939" s="29">
        <v>263.0</v>
      </c>
      <c r="F939" s="29">
        <f>SUMIFS(crm_orders!$J:$J,crm_orders!$B:$B,"&gt;="&amp;A939,crm_orders!$B:$B,"&lt;"&amp;DATE(YEAR(A939),MONTH(A939)+1,1),crm_orders!$E:$E,B939,crm_orders!$G:$G,C939,crm_orders!$H:$H,D939)</f>
        <v>12</v>
      </c>
      <c r="G939" s="29">
        <f>SUMIFS(warehouse_shipments!$H:$H,warehouse_shipments!$C:$C,"&gt;="&amp;A939,warehouse_shipments!$C:$C,"&lt;"&amp;DATE(YEAR(A939),MONTH(A939)+1,1),warehouse_shipments!$P:$P,B939,warehouse_shipments!$Q:$Q,C939,warehouse_shipments!$R:$R,D939)</f>
        <v>0</v>
      </c>
      <c r="H939" s="30">
        <f t="shared" si="1"/>
        <v>-251</v>
      </c>
      <c r="I939" s="65">
        <f t="shared" si="2"/>
        <v>0.04562737643</v>
      </c>
      <c r="J939" s="30" t="s">
        <v>5310</v>
      </c>
    </row>
    <row r="940" ht="15.75" customHeight="1">
      <c r="A940" s="18">
        <v>46113.0</v>
      </c>
      <c r="B940" s="17" t="s">
        <v>4097</v>
      </c>
      <c r="C940" s="17" t="s">
        <v>63</v>
      </c>
      <c r="D940" s="17" t="s">
        <v>123</v>
      </c>
      <c r="E940" s="21">
        <v>371.0</v>
      </c>
      <c r="F940" s="21">
        <f>SUMIFS(crm_orders!$J:$J,crm_orders!$B:$B,"&gt;="&amp;A940,crm_orders!$B:$B,"&lt;"&amp;DATE(YEAR(A940),MONTH(A940)+1,1),crm_orders!$E:$E,B940,crm_orders!$G:$G,C940,crm_orders!$H:$H,D940)</f>
        <v>48</v>
      </c>
      <c r="G940" s="21">
        <f>SUMIFS(warehouse_shipments!$H:$H,warehouse_shipments!$C:$C,"&gt;="&amp;A940,warehouse_shipments!$C:$C,"&lt;"&amp;DATE(YEAR(A940),MONTH(A940)+1,1),warehouse_shipments!$P:$P,B940,warehouse_shipments!$Q:$Q,C940,warehouse_shipments!$R:$R,D940)</f>
        <v>30</v>
      </c>
      <c r="H940" s="22">
        <f t="shared" si="1"/>
        <v>-323</v>
      </c>
      <c r="I940" s="64">
        <f t="shared" si="2"/>
        <v>0.1293800539</v>
      </c>
      <c r="J940" s="22" t="s">
        <v>5309</v>
      </c>
    </row>
    <row r="941" ht="15.75" customHeight="1">
      <c r="A941" s="26">
        <v>46113.0</v>
      </c>
      <c r="B941" s="25" t="s">
        <v>4097</v>
      </c>
      <c r="C941" s="25" t="s">
        <v>63</v>
      </c>
      <c r="D941" s="25" t="s">
        <v>115</v>
      </c>
      <c r="E941" s="29">
        <v>279.0</v>
      </c>
      <c r="F941" s="29">
        <f>SUMIFS(crm_orders!$J:$J,crm_orders!$B:$B,"&gt;="&amp;A941,crm_orders!$B:$B,"&lt;"&amp;DATE(YEAR(A941),MONTH(A941)+1,1),crm_orders!$E:$E,B941,crm_orders!$G:$G,C941,crm_orders!$H:$H,D941)</f>
        <v>0</v>
      </c>
      <c r="G941" s="29">
        <f>SUMIFS(warehouse_shipments!$H:$H,warehouse_shipments!$C:$C,"&gt;="&amp;A941,warehouse_shipments!$C:$C,"&lt;"&amp;DATE(YEAR(A941),MONTH(A941)+1,1),warehouse_shipments!$P:$P,B941,warehouse_shipments!$Q:$Q,C941,warehouse_shipments!$R:$R,D941)</f>
        <v>0</v>
      </c>
      <c r="H941" s="30">
        <f t="shared" si="1"/>
        <v>-279</v>
      </c>
      <c r="I941" s="65">
        <f t="shared" si="2"/>
        <v>0</v>
      </c>
      <c r="J941" s="30" t="s">
        <v>5311</v>
      </c>
    </row>
    <row r="942" ht="15.75" customHeight="1">
      <c r="A942" s="18">
        <v>46113.0</v>
      </c>
      <c r="B942" s="17" t="s">
        <v>4097</v>
      </c>
      <c r="C942" s="17" t="s">
        <v>63</v>
      </c>
      <c r="D942" s="17" t="s">
        <v>108</v>
      </c>
      <c r="E942" s="21">
        <v>511.0</v>
      </c>
      <c r="F942" s="21">
        <f>SUMIFS(crm_orders!$J:$J,crm_orders!$B:$B,"&gt;="&amp;A942,crm_orders!$B:$B,"&lt;"&amp;DATE(YEAR(A942),MONTH(A942)+1,1),crm_orders!$E:$E,B942,crm_orders!$G:$G,C942,crm_orders!$H:$H,D942)</f>
        <v>48</v>
      </c>
      <c r="G942" s="21">
        <f>SUMIFS(warehouse_shipments!$H:$H,warehouse_shipments!$C:$C,"&gt;="&amp;A942,warehouse_shipments!$C:$C,"&lt;"&amp;DATE(YEAR(A942),MONTH(A942)+1,1),warehouse_shipments!$P:$P,B942,warehouse_shipments!$Q:$Q,C942,warehouse_shipments!$R:$R,D942)</f>
        <v>84</v>
      </c>
      <c r="H942" s="22">
        <f t="shared" si="1"/>
        <v>-463</v>
      </c>
      <c r="I942" s="64">
        <f t="shared" si="2"/>
        <v>0.0939334638</v>
      </c>
      <c r="J942" s="22" t="s">
        <v>5311</v>
      </c>
    </row>
    <row r="943" ht="15.75" customHeight="1">
      <c r="A943" s="26">
        <v>46113.0</v>
      </c>
      <c r="B943" s="25" t="s">
        <v>4097</v>
      </c>
      <c r="C943" s="25" t="s">
        <v>63</v>
      </c>
      <c r="D943" s="25" t="s">
        <v>162</v>
      </c>
      <c r="E943" s="29">
        <v>398.0</v>
      </c>
      <c r="F943" s="29">
        <f>SUMIFS(crm_orders!$J:$J,crm_orders!$B:$B,"&gt;="&amp;A943,crm_orders!$B:$B,"&lt;"&amp;DATE(YEAR(A943),MONTH(A943)+1,1),crm_orders!$E:$E,B943,crm_orders!$G:$G,C943,crm_orders!$H:$H,D943)</f>
        <v>0</v>
      </c>
      <c r="G943" s="29">
        <f>SUMIFS(warehouse_shipments!$H:$H,warehouse_shipments!$C:$C,"&gt;="&amp;A943,warehouse_shipments!$C:$C,"&lt;"&amp;DATE(YEAR(A943),MONTH(A943)+1,1),warehouse_shipments!$P:$P,B943,warehouse_shipments!$Q:$Q,C943,warehouse_shipments!$R:$R,D943)</f>
        <v>0</v>
      </c>
      <c r="H943" s="30">
        <f t="shared" si="1"/>
        <v>-398</v>
      </c>
      <c r="I943" s="65">
        <f t="shared" si="2"/>
        <v>0</v>
      </c>
      <c r="J943" s="30" t="s">
        <v>5309</v>
      </c>
    </row>
    <row r="944" ht="15.75" customHeight="1">
      <c r="A944" s="18">
        <v>46113.0</v>
      </c>
      <c r="B944" s="17" t="s">
        <v>4097</v>
      </c>
      <c r="C944" s="17" t="s">
        <v>63</v>
      </c>
      <c r="D944" s="17" t="s">
        <v>68</v>
      </c>
      <c r="E944" s="21">
        <v>199.0</v>
      </c>
      <c r="F944" s="21">
        <f>SUMIFS(crm_orders!$J:$J,crm_orders!$B:$B,"&gt;="&amp;A944,crm_orders!$B:$B,"&lt;"&amp;DATE(YEAR(A944),MONTH(A944)+1,1),crm_orders!$E:$E,B944,crm_orders!$G:$G,C944,crm_orders!$H:$H,D944)</f>
        <v>0</v>
      </c>
      <c r="G944" s="21">
        <f>SUMIFS(warehouse_shipments!$H:$H,warehouse_shipments!$C:$C,"&gt;="&amp;A944,warehouse_shipments!$C:$C,"&lt;"&amp;DATE(YEAR(A944),MONTH(A944)+1,1),warehouse_shipments!$P:$P,B944,warehouse_shipments!$Q:$Q,C944,warehouse_shipments!$R:$R,D944)</f>
        <v>60</v>
      </c>
      <c r="H944" s="22">
        <f t="shared" si="1"/>
        <v>-199</v>
      </c>
      <c r="I944" s="64">
        <f t="shared" si="2"/>
        <v>0</v>
      </c>
      <c r="J944" s="22" t="s">
        <v>5309</v>
      </c>
    </row>
    <row r="945" ht="15.75" customHeight="1">
      <c r="A945" s="26">
        <v>46113.0</v>
      </c>
      <c r="B945" s="25" t="s">
        <v>4097</v>
      </c>
      <c r="C945" s="25" t="s">
        <v>63</v>
      </c>
      <c r="D945" s="25" t="s">
        <v>190</v>
      </c>
      <c r="E945" s="29">
        <v>133.0</v>
      </c>
      <c r="F945" s="29">
        <f>SUMIFS(crm_orders!$J:$J,crm_orders!$B:$B,"&gt;="&amp;A945,crm_orders!$B:$B,"&lt;"&amp;DATE(YEAR(A945),MONTH(A945)+1,1),crm_orders!$E:$E,B945,crm_orders!$G:$G,C945,crm_orders!$H:$H,D945)</f>
        <v>18</v>
      </c>
      <c r="G945" s="29">
        <f>SUMIFS(warehouse_shipments!$H:$H,warehouse_shipments!$C:$C,"&gt;="&amp;A945,warehouse_shipments!$C:$C,"&lt;"&amp;DATE(YEAR(A945),MONTH(A945)+1,1),warehouse_shipments!$P:$P,B945,warehouse_shipments!$Q:$Q,C945,warehouse_shipments!$R:$R,D945)</f>
        <v>0</v>
      </c>
      <c r="H945" s="30">
        <f t="shared" si="1"/>
        <v>-115</v>
      </c>
      <c r="I945" s="65">
        <f t="shared" si="2"/>
        <v>0.1353383459</v>
      </c>
      <c r="J945" s="30" t="s">
        <v>5311</v>
      </c>
    </row>
    <row r="946" ht="15.75" customHeight="1">
      <c r="A946" s="18">
        <v>46113.0</v>
      </c>
      <c r="B946" s="17" t="s">
        <v>4097</v>
      </c>
      <c r="C946" s="17" t="s">
        <v>67</v>
      </c>
      <c r="D946" s="17" t="s">
        <v>85</v>
      </c>
      <c r="E946" s="21">
        <v>267.0</v>
      </c>
      <c r="F946" s="21">
        <f>SUMIFS(crm_orders!$J:$J,crm_orders!$B:$B,"&gt;="&amp;A946,crm_orders!$B:$B,"&lt;"&amp;DATE(YEAR(A946),MONTH(A946)+1,1),crm_orders!$E:$E,B946,crm_orders!$G:$G,C946,crm_orders!$H:$H,D946)</f>
        <v>0</v>
      </c>
      <c r="G946" s="21">
        <f>SUMIFS(warehouse_shipments!$H:$H,warehouse_shipments!$C:$C,"&gt;="&amp;A946,warehouse_shipments!$C:$C,"&lt;"&amp;DATE(YEAR(A946),MONTH(A946)+1,1),warehouse_shipments!$P:$P,B946,warehouse_shipments!$Q:$Q,C946,warehouse_shipments!$R:$R,D946)</f>
        <v>0</v>
      </c>
      <c r="H946" s="22">
        <f t="shared" si="1"/>
        <v>-267</v>
      </c>
      <c r="I946" s="64">
        <f t="shared" si="2"/>
        <v>0</v>
      </c>
      <c r="J946" s="22" t="s">
        <v>5308</v>
      </c>
    </row>
    <row r="947" ht="15.75" customHeight="1">
      <c r="A947" s="26">
        <v>46113.0</v>
      </c>
      <c r="B947" s="25" t="s">
        <v>4097</v>
      </c>
      <c r="C947" s="25" t="s">
        <v>67</v>
      </c>
      <c r="D947" s="25" t="s">
        <v>90</v>
      </c>
      <c r="E947" s="29">
        <v>368.0</v>
      </c>
      <c r="F947" s="29">
        <f>SUMIFS(crm_orders!$J:$J,crm_orders!$B:$B,"&gt;="&amp;A947,crm_orders!$B:$B,"&lt;"&amp;DATE(YEAR(A947),MONTH(A947)+1,1),crm_orders!$E:$E,B947,crm_orders!$G:$G,C947,crm_orders!$H:$H,D947)</f>
        <v>0</v>
      </c>
      <c r="G947" s="29">
        <f>SUMIFS(warehouse_shipments!$H:$H,warehouse_shipments!$C:$C,"&gt;="&amp;A947,warehouse_shipments!$C:$C,"&lt;"&amp;DATE(YEAR(A947),MONTH(A947)+1,1),warehouse_shipments!$P:$P,B947,warehouse_shipments!$Q:$Q,C947,warehouse_shipments!$R:$R,D947)</f>
        <v>0</v>
      </c>
      <c r="H947" s="30">
        <f t="shared" si="1"/>
        <v>-368</v>
      </c>
      <c r="I947" s="65">
        <f t="shared" si="2"/>
        <v>0</v>
      </c>
      <c r="J947" s="30" t="s">
        <v>5307</v>
      </c>
    </row>
    <row r="948" ht="15.75" customHeight="1">
      <c r="A948" s="18">
        <v>46113.0</v>
      </c>
      <c r="B948" s="17" t="s">
        <v>4097</v>
      </c>
      <c r="C948" s="17" t="s">
        <v>67</v>
      </c>
      <c r="D948" s="17" t="s">
        <v>81</v>
      </c>
      <c r="E948" s="21">
        <v>260.0</v>
      </c>
      <c r="F948" s="21">
        <f>SUMIFS(crm_orders!$J:$J,crm_orders!$B:$B,"&gt;="&amp;A948,crm_orders!$B:$B,"&lt;"&amp;DATE(YEAR(A948),MONTH(A948)+1,1),crm_orders!$E:$E,B948,crm_orders!$G:$G,C948,crm_orders!$H:$H,D948)</f>
        <v>0</v>
      </c>
      <c r="G948" s="21">
        <f>SUMIFS(warehouse_shipments!$H:$H,warehouse_shipments!$C:$C,"&gt;="&amp;A948,warehouse_shipments!$C:$C,"&lt;"&amp;DATE(YEAR(A948),MONTH(A948)+1,1),warehouse_shipments!$P:$P,B948,warehouse_shipments!$Q:$Q,C948,warehouse_shipments!$R:$R,D948)</f>
        <v>0</v>
      </c>
      <c r="H948" s="22">
        <f t="shared" si="1"/>
        <v>-260</v>
      </c>
      <c r="I948" s="64">
        <f t="shared" si="2"/>
        <v>0</v>
      </c>
      <c r="J948" s="22" t="s">
        <v>5309</v>
      </c>
    </row>
    <row r="949" ht="15.75" customHeight="1">
      <c r="A949" s="26">
        <v>46113.0</v>
      </c>
      <c r="B949" s="25" t="s">
        <v>4097</v>
      </c>
      <c r="C949" s="25" t="s">
        <v>67</v>
      </c>
      <c r="D949" s="25" t="s">
        <v>123</v>
      </c>
      <c r="E949" s="29">
        <v>137.0</v>
      </c>
      <c r="F949" s="29">
        <f>SUMIFS(crm_orders!$J:$J,crm_orders!$B:$B,"&gt;="&amp;A949,crm_orders!$B:$B,"&lt;"&amp;DATE(YEAR(A949),MONTH(A949)+1,1),crm_orders!$E:$E,B949,crm_orders!$G:$G,C949,crm_orders!$H:$H,D949)</f>
        <v>0</v>
      </c>
      <c r="G949" s="29">
        <f>SUMIFS(warehouse_shipments!$H:$H,warehouse_shipments!$C:$C,"&gt;="&amp;A949,warehouse_shipments!$C:$C,"&lt;"&amp;DATE(YEAR(A949),MONTH(A949)+1,1),warehouse_shipments!$P:$P,B949,warehouse_shipments!$Q:$Q,C949,warehouse_shipments!$R:$R,D949)</f>
        <v>0</v>
      </c>
      <c r="H949" s="30">
        <f t="shared" si="1"/>
        <v>-137</v>
      </c>
      <c r="I949" s="65">
        <f t="shared" si="2"/>
        <v>0</v>
      </c>
      <c r="J949" s="30" t="s">
        <v>5308</v>
      </c>
    </row>
    <row r="950" ht="15.75" customHeight="1">
      <c r="A950" s="18">
        <v>46113.0</v>
      </c>
      <c r="B950" s="17" t="s">
        <v>4097</v>
      </c>
      <c r="C950" s="17" t="s">
        <v>67</v>
      </c>
      <c r="D950" s="17" t="s">
        <v>74</v>
      </c>
      <c r="E950" s="21">
        <v>143.0</v>
      </c>
      <c r="F950" s="21">
        <f>SUMIFS(crm_orders!$J:$J,crm_orders!$B:$B,"&gt;="&amp;A950,crm_orders!$B:$B,"&lt;"&amp;DATE(YEAR(A950),MONTH(A950)+1,1),crm_orders!$E:$E,B950,crm_orders!$G:$G,C950,crm_orders!$H:$H,D950)</f>
        <v>0</v>
      </c>
      <c r="G950" s="21">
        <f>SUMIFS(warehouse_shipments!$H:$H,warehouse_shipments!$C:$C,"&gt;="&amp;A950,warehouse_shipments!$C:$C,"&lt;"&amp;DATE(YEAR(A950),MONTH(A950)+1,1),warehouse_shipments!$P:$P,B950,warehouse_shipments!$Q:$Q,C950,warehouse_shipments!$R:$R,D950)</f>
        <v>0</v>
      </c>
      <c r="H950" s="22">
        <f t="shared" si="1"/>
        <v>-143</v>
      </c>
      <c r="I950" s="64">
        <f t="shared" si="2"/>
        <v>0</v>
      </c>
      <c r="J950" s="22" t="s">
        <v>5306</v>
      </c>
    </row>
    <row r="951" ht="15.75" customHeight="1">
      <c r="A951" s="26">
        <v>46113.0</v>
      </c>
      <c r="B951" s="25" t="s">
        <v>4097</v>
      </c>
      <c r="C951" s="25" t="s">
        <v>67</v>
      </c>
      <c r="D951" s="25" t="s">
        <v>108</v>
      </c>
      <c r="E951" s="29">
        <v>269.0</v>
      </c>
      <c r="F951" s="29">
        <f>SUMIFS(crm_orders!$J:$J,crm_orders!$B:$B,"&gt;="&amp;A951,crm_orders!$B:$B,"&lt;"&amp;DATE(YEAR(A951),MONTH(A951)+1,1),crm_orders!$E:$E,B951,crm_orders!$G:$G,C951,crm_orders!$H:$H,D951)</f>
        <v>0</v>
      </c>
      <c r="G951" s="29">
        <f>SUMIFS(warehouse_shipments!$H:$H,warehouse_shipments!$C:$C,"&gt;="&amp;A951,warehouse_shipments!$C:$C,"&lt;"&amp;DATE(YEAR(A951),MONTH(A951)+1,1),warehouse_shipments!$P:$P,B951,warehouse_shipments!$Q:$Q,C951,warehouse_shipments!$R:$R,D951)</f>
        <v>0</v>
      </c>
      <c r="H951" s="30">
        <f t="shared" si="1"/>
        <v>-269</v>
      </c>
      <c r="I951" s="65">
        <f t="shared" si="2"/>
        <v>0</v>
      </c>
      <c r="J951" s="30" t="s">
        <v>5310</v>
      </c>
    </row>
    <row r="952" ht="15.75" customHeight="1">
      <c r="A952" s="18">
        <v>46113.0</v>
      </c>
      <c r="B952" s="17" t="s">
        <v>4097</v>
      </c>
      <c r="C952" s="17" t="s">
        <v>67</v>
      </c>
      <c r="D952" s="17" t="s">
        <v>95</v>
      </c>
      <c r="E952" s="21">
        <v>94.0</v>
      </c>
      <c r="F952" s="21">
        <f>SUMIFS(crm_orders!$J:$J,crm_orders!$B:$B,"&gt;="&amp;A952,crm_orders!$B:$B,"&lt;"&amp;DATE(YEAR(A952),MONTH(A952)+1,1),crm_orders!$E:$E,B952,crm_orders!$G:$G,C952,crm_orders!$H:$H,D952)</f>
        <v>0</v>
      </c>
      <c r="G952" s="21">
        <f>SUMIFS(warehouse_shipments!$H:$H,warehouse_shipments!$C:$C,"&gt;="&amp;A952,warehouse_shipments!$C:$C,"&lt;"&amp;DATE(YEAR(A952),MONTH(A952)+1,1),warehouse_shipments!$P:$P,B952,warehouse_shipments!$Q:$Q,C952,warehouse_shipments!$R:$R,D952)</f>
        <v>0</v>
      </c>
      <c r="H952" s="22">
        <f t="shared" si="1"/>
        <v>-94</v>
      </c>
      <c r="I952" s="64">
        <f t="shared" si="2"/>
        <v>0</v>
      </c>
      <c r="J952" s="22" t="s">
        <v>5311</v>
      </c>
    </row>
    <row r="953" ht="15.75" customHeight="1">
      <c r="A953" s="26">
        <v>46113.0</v>
      </c>
      <c r="B953" s="25" t="s">
        <v>4097</v>
      </c>
      <c r="C953" s="25" t="s">
        <v>67</v>
      </c>
      <c r="D953" s="25" t="s">
        <v>71</v>
      </c>
      <c r="E953" s="29">
        <v>357.0</v>
      </c>
      <c r="F953" s="29">
        <f>SUMIFS(crm_orders!$J:$J,crm_orders!$B:$B,"&gt;="&amp;A953,crm_orders!$B:$B,"&lt;"&amp;DATE(YEAR(A953),MONTH(A953)+1,1),crm_orders!$E:$E,B953,crm_orders!$G:$G,C953,crm_orders!$H:$H,D953)</f>
        <v>0</v>
      </c>
      <c r="G953" s="29">
        <f>SUMIFS(warehouse_shipments!$H:$H,warehouse_shipments!$C:$C,"&gt;="&amp;A953,warehouse_shipments!$C:$C,"&lt;"&amp;DATE(YEAR(A953),MONTH(A953)+1,1),warehouse_shipments!$P:$P,B953,warehouse_shipments!$Q:$Q,C953,warehouse_shipments!$R:$R,D953)</f>
        <v>12</v>
      </c>
      <c r="H953" s="30">
        <f t="shared" si="1"/>
        <v>-357</v>
      </c>
      <c r="I953" s="65">
        <f t="shared" si="2"/>
        <v>0</v>
      </c>
      <c r="J953" s="30" t="s">
        <v>5309</v>
      </c>
    </row>
    <row r="954" ht="15.75" customHeight="1">
      <c r="A954" s="18">
        <v>46113.0</v>
      </c>
      <c r="B954" s="17" t="s">
        <v>4097</v>
      </c>
      <c r="C954" s="17" t="s">
        <v>89</v>
      </c>
      <c r="D954" s="17" t="s">
        <v>90</v>
      </c>
      <c r="E954" s="21">
        <v>295.0</v>
      </c>
      <c r="F954" s="21">
        <f>SUMIFS(crm_orders!$J:$J,crm_orders!$B:$B,"&gt;="&amp;A954,crm_orders!$B:$B,"&lt;"&amp;DATE(YEAR(A954),MONTH(A954)+1,1),crm_orders!$E:$E,B954,crm_orders!$G:$G,C954,crm_orders!$H:$H,D954)</f>
        <v>0</v>
      </c>
      <c r="G954" s="21">
        <f>SUMIFS(warehouse_shipments!$H:$H,warehouse_shipments!$C:$C,"&gt;="&amp;A954,warehouse_shipments!$C:$C,"&lt;"&amp;DATE(YEAR(A954),MONTH(A954)+1,1),warehouse_shipments!$P:$P,B954,warehouse_shipments!$Q:$Q,C954,warehouse_shipments!$R:$R,D954)</f>
        <v>0</v>
      </c>
      <c r="H954" s="22">
        <f t="shared" si="1"/>
        <v>-295</v>
      </c>
      <c r="I954" s="64">
        <f t="shared" si="2"/>
        <v>0</v>
      </c>
      <c r="J954" s="22" t="s">
        <v>5310</v>
      </c>
    </row>
    <row r="955" ht="15.75" customHeight="1">
      <c r="A955" s="26">
        <v>46113.0</v>
      </c>
      <c r="B955" s="25" t="s">
        <v>4097</v>
      </c>
      <c r="C955" s="25" t="s">
        <v>89</v>
      </c>
      <c r="D955" s="25" t="s">
        <v>81</v>
      </c>
      <c r="E955" s="29">
        <v>226.0</v>
      </c>
      <c r="F955" s="29">
        <f>SUMIFS(crm_orders!$J:$J,crm_orders!$B:$B,"&gt;="&amp;A955,crm_orders!$B:$B,"&lt;"&amp;DATE(YEAR(A955),MONTH(A955)+1,1),crm_orders!$E:$E,B955,crm_orders!$G:$G,C955,crm_orders!$H:$H,D955)</f>
        <v>48</v>
      </c>
      <c r="G955" s="29">
        <f>SUMIFS(warehouse_shipments!$H:$H,warehouse_shipments!$C:$C,"&gt;="&amp;A955,warehouse_shipments!$C:$C,"&lt;"&amp;DATE(YEAR(A955),MONTH(A955)+1,1),warehouse_shipments!$P:$P,B955,warehouse_shipments!$Q:$Q,C955,warehouse_shipments!$R:$R,D955)</f>
        <v>48</v>
      </c>
      <c r="H955" s="30">
        <f t="shared" si="1"/>
        <v>-178</v>
      </c>
      <c r="I955" s="65">
        <f t="shared" si="2"/>
        <v>0.2123893805</v>
      </c>
      <c r="J955" s="30" t="s">
        <v>5309</v>
      </c>
    </row>
    <row r="956" ht="15.75" customHeight="1">
      <c r="A956" s="18">
        <v>46113.0</v>
      </c>
      <c r="B956" s="17" t="s">
        <v>4097</v>
      </c>
      <c r="C956" s="17" t="s">
        <v>89</v>
      </c>
      <c r="D956" s="17" t="s">
        <v>106</v>
      </c>
      <c r="E956" s="21">
        <v>318.0</v>
      </c>
      <c r="F956" s="21">
        <f>SUMIFS(crm_orders!$J:$J,crm_orders!$B:$B,"&gt;="&amp;A956,crm_orders!$B:$B,"&lt;"&amp;DATE(YEAR(A956),MONTH(A956)+1,1),crm_orders!$E:$E,B956,crm_orders!$G:$G,C956,crm_orders!$H:$H,D956)</f>
        <v>0</v>
      </c>
      <c r="G956" s="21">
        <f>SUMIFS(warehouse_shipments!$H:$H,warehouse_shipments!$C:$C,"&gt;="&amp;A956,warehouse_shipments!$C:$C,"&lt;"&amp;DATE(YEAR(A956),MONTH(A956)+1,1),warehouse_shipments!$P:$P,B956,warehouse_shipments!$Q:$Q,C956,warehouse_shipments!$R:$R,D956)</f>
        <v>0</v>
      </c>
      <c r="H956" s="22">
        <f t="shared" si="1"/>
        <v>-318</v>
      </c>
      <c r="I956" s="64">
        <f t="shared" si="2"/>
        <v>0</v>
      </c>
      <c r="J956" s="22" t="s">
        <v>5306</v>
      </c>
    </row>
    <row r="957" ht="15.75" customHeight="1">
      <c r="A957" s="26">
        <v>46113.0</v>
      </c>
      <c r="B957" s="25" t="s">
        <v>4097</v>
      </c>
      <c r="C957" s="25" t="s">
        <v>89</v>
      </c>
      <c r="D957" s="25" t="s">
        <v>110</v>
      </c>
      <c r="E957" s="29">
        <v>222.0</v>
      </c>
      <c r="F957" s="29">
        <f>SUMIFS(crm_orders!$J:$J,crm_orders!$B:$B,"&gt;="&amp;A957,crm_orders!$B:$B,"&lt;"&amp;DATE(YEAR(A957),MONTH(A957)+1,1),crm_orders!$E:$E,B957,crm_orders!$G:$G,C957,crm_orders!$H:$H,D957)</f>
        <v>0</v>
      </c>
      <c r="G957" s="29">
        <f>SUMIFS(warehouse_shipments!$H:$H,warehouse_shipments!$C:$C,"&gt;="&amp;A957,warehouse_shipments!$C:$C,"&lt;"&amp;DATE(YEAR(A957),MONTH(A957)+1,1),warehouse_shipments!$P:$P,B957,warehouse_shipments!$Q:$Q,C957,warehouse_shipments!$R:$R,D957)</f>
        <v>0</v>
      </c>
      <c r="H957" s="30">
        <f t="shared" si="1"/>
        <v>-222</v>
      </c>
      <c r="I957" s="65">
        <f t="shared" si="2"/>
        <v>0</v>
      </c>
      <c r="J957" s="30" t="s">
        <v>5306</v>
      </c>
    </row>
    <row r="958" ht="15.75" customHeight="1">
      <c r="A958" s="18">
        <v>46113.0</v>
      </c>
      <c r="B958" s="17" t="s">
        <v>4097</v>
      </c>
      <c r="C958" s="17" t="s">
        <v>89</v>
      </c>
      <c r="D958" s="17" t="s">
        <v>190</v>
      </c>
      <c r="E958" s="21">
        <v>510.0</v>
      </c>
      <c r="F958" s="21">
        <f>SUMIFS(crm_orders!$J:$J,crm_orders!$B:$B,"&gt;="&amp;A958,crm_orders!$B:$B,"&lt;"&amp;DATE(YEAR(A958),MONTH(A958)+1,1),crm_orders!$E:$E,B958,crm_orders!$G:$G,C958,crm_orders!$H:$H,D958)</f>
        <v>18</v>
      </c>
      <c r="G958" s="21">
        <f>SUMIFS(warehouse_shipments!$H:$H,warehouse_shipments!$C:$C,"&gt;="&amp;A958,warehouse_shipments!$C:$C,"&lt;"&amp;DATE(YEAR(A958),MONTH(A958)+1,1),warehouse_shipments!$P:$P,B958,warehouse_shipments!$Q:$Q,C958,warehouse_shipments!$R:$R,D958)</f>
        <v>0</v>
      </c>
      <c r="H958" s="22">
        <f t="shared" si="1"/>
        <v>-492</v>
      </c>
      <c r="I958" s="64">
        <f t="shared" si="2"/>
        <v>0.03529411765</v>
      </c>
      <c r="J958" s="22" t="s">
        <v>5306</v>
      </c>
    </row>
    <row r="959" ht="15.75" customHeight="1">
      <c r="A959" s="26">
        <v>46113.0</v>
      </c>
      <c r="B959" s="25" t="s">
        <v>4097</v>
      </c>
      <c r="C959" s="25" t="s">
        <v>89</v>
      </c>
      <c r="D959" s="25" t="s">
        <v>154</v>
      </c>
      <c r="E959" s="29">
        <v>206.0</v>
      </c>
      <c r="F959" s="29">
        <f>SUMIFS(crm_orders!$J:$J,crm_orders!$B:$B,"&gt;="&amp;A959,crm_orders!$B:$B,"&lt;"&amp;DATE(YEAR(A959),MONTH(A959)+1,1),crm_orders!$E:$E,B959,crm_orders!$G:$G,C959,crm_orders!$H:$H,D959)</f>
        <v>0</v>
      </c>
      <c r="G959" s="29">
        <f>SUMIFS(warehouse_shipments!$H:$H,warehouse_shipments!$C:$C,"&gt;="&amp;A959,warehouse_shipments!$C:$C,"&lt;"&amp;DATE(YEAR(A959),MONTH(A959)+1,1),warehouse_shipments!$P:$P,B959,warehouse_shipments!$Q:$Q,C959,warehouse_shipments!$R:$R,D959)</f>
        <v>0</v>
      </c>
      <c r="H959" s="30">
        <f t="shared" si="1"/>
        <v>-206</v>
      </c>
      <c r="I959" s="65">
        <f t="shared" si="2"/>
        <v>0</v>
      </c>
      <c r="J959" s="30" t="s">
        <v>5310</v>
      </c>
    </row>
    <row r="960" ht="15.75" customHeight="1">
      <c r="A960" s="18">
        <v>46113.0</v>
      </c>
      <c r="B960" s="17" t="s">
        <v>4097</v>
      </c>
      <c r="C960" s="17" t="s">
        <v>89</v>
      </c>
      <c r="D960" s="17" t="s">
        <v>78</v>
      </c>
      <c r="E960" s="21">
        <v>456.0</v>
      </c>
      <c r="F960" s="21">
        <f>SUMIFS(crm_orders!$J:$J,crm_orders!$B:$B,"&gt;="&amp;A960,crm_orders!$B:$B,"&lt;"&amp;DATE(YEAR(A960),MONTH(A960)+1,1),crm_orders!$E:$E,B960,crm_orders!$G:$G,C960,crm_orders!$H:$H,D960)</f>
        <v>0</v>
      </c>
      <c r="G960" s="21">
        <f>SUMIFS(warehouse_shipments!$H:$H,warehouse_shipments!$C:$C,"&gt;="&amp;A960,warehouse_shipments!$C:$C,"&lt;"&amp;DATE(YEAR(A960),MONTH(A960)+1,1),warehouse_shipments!$P:$P,B960,warehouse_shipments!$Q:$Q,C960,warehouse_shipments!$R:$R,D960)</f>
        <v>0</v>
      </c>
      <c r="H960" s="22">
        <f t="shared" si="1"/>
        <v>-456</v>
      </c>
      <c r="I960" s="64">
        <f t="shared" si="2"/>
        <v>0</v>
      </c>
      <c r="J960" s="22" t="s">
        <v>5309</v>
      </c>
    </row>
    <row r="961" ht="15.75" customHeight="1">
      <c r="A961" s="26">
        <v>46113.0</v>
      </c>
      <c r="B961" s="25" t="s">
        <v>4097</v>
      </c>
      <c r="C961" s="25" t="s">
        <v>89</v>
      </c>
      <c r="D961" s="25" t="s">
        <v>64</v>
      </c>
      <c r="E961" s="29">
        <v>206.0</v>
      </c>
      <c r="F961" s="29">
        <f>SUMIFS(crm_orders!$J:$J,crm_orders!$B:$B,"&gt;="&amp;A961,crm_orders!$B:$B,"&lt;"&amp;DATE(YEAR(A961),MONTH(A961)+1,1),crm_orders!$E:$E,B961,crm_orders!$G:$G,C961,crm_orders!$H:$H,D961)</f>
        <v>30</v>
      </c>
      <c r="G961" s="29">
        <f>SUMIFS(warehouse_shipments!$H:$H,warehouse_shipments!$C:$C,"&gt;="&amp;A961,warehouse_shipments!$C:$C,"&lt;"&amp;DATE(YEAR(A961),MONTH(A961)+1,1),warehouse_shipments!$P:$P,B961,warehouse_shipments!$Q:$Q,C961,warehouse_shipments!$R:$R,D961)</f>
        <v>30</v>
      </c>
      <c r="H961" s="30">
        <f t="shared" si="1"/>
        <v>-176</v>
      </c>
      <c r="I961" s="65">
        <f t="shared" si="2"/>
        <v>0.145631068</v>
      </c>
      <c r="J961" s="30" t="s">
        <v>5307</v>
      </c>
    </row>
    <row r="962" ht="15.75" customHeight="1">
      <c r="A962" s="18">
        <v>46113.0</v>
      </c>
      <c r="B962" s="17" t="s">
        <v>4186</v>
      </c>
      <c r="C962" s="17" t="s">
        <v>63</v>
      </c>
      <c r="D962" s="17" t="s">
        <v>78</v>
      </c>
      <c r="E962" s="21">
        <v>126.0</v>
      </c>
      <c r="F962" s="21">
        <f>SUMIFS(crm_orders!$J:$J,crm_orders!$B:$B,"&gt;="&amp;A962,crm_orders!$B:$B,"&lt;"&amp;DATE(YEAR(A962),MONTH(A962)+1,1),crm_orders!$E:$E,B962,crm_orders!$G:$G,C962,crm_orders!$H:$H,D962)</f>
        <v>168</v>
      </c>
      <c r="G962" s="21">
        <f>SUMIFS(warehouse_shipments!$H:$H,warehouse_shipments!$C:$C,"&gt;="&amp;A962,warehouse_shipments!$C:$C,"&lt;"&amp;DATE(YEAR(A962),MONTH(A962)+1,1),warehouse_shipments!$P:$P,B962,warehouse_shipments!$Q:$Q,C962,warehouse_shipments!$R:$R,D962)</f>
        <v>168</v>
      </c>
      <c r="H962" s="22">
        <f t="shared" si="1"/>
        <v>42</v>
      </c>
      <c r="I962" s="64">
        <f t="shared" si="2"/>
        <v>0.6666666667</v>
      </c>
      <c r="J962" s="22" t="s">
        <v>5308</v>
      </c>
    </row>
    <row r="963" ht="15.75" customHeight="1">
      <c r="A963" s="26">
        <v>46113.0</v>
      </c>
      <c r="B963" s="25" t="s">
        <v>4186</v>
      </c>
      <c r="C963" s="25" t="s">
        <v>63</v>
      </c>
      <c r="D963" s="25" t="s">
        <v>190</v>
      </c>
      <c r="E963" s="29">
        <v>345.0</v>
      </c>
      <c r="F963" s="29">
        <f>SUMIFS(crm_orders!$J:$J,crm_orders!$B:$B,"&gt;="&amp;A963,crm_orders!$B:$B,"&lt;"&amp;DATE(YEAR(A963),MONTH(A963)+1,1),crm_orders!$E:$E,B963,crm_orders!$G:$G,C963,crm_orders!$H:$H,D963)</f>
        <v>0</v>
      </c>
      <c r="G963" s="29">
        <f>SUMIFS(warehouse_shipments!$H:$H,warehouse_shipments!$C:$C,"&gt;="&amp;A963,warehouse_shipments!$C:$C,"&lt;"&amp;DATE(YEAR(A963),MONTH(A963)+1,1),warehouse_shipments!$P:$P,B963,warehouse_shipments!$Q:$Q,C963,warehouse_shipments!$R:$R,D963)</f>
        <v>0</v>
      </c>
      <c r="H963" s="30">
        <f t="shared" si="1"/>
        <v>-345</v>
      </c>
      <c r="I963" s="65">
        <f t="shared" si="2"/>
        <v>0</v>
      </c>
      <c r="J963" s="30" t="s">
        <v>5310</v>
      </c>
    </row>
    <row r="964" ht="15.75" customHeight="1">
      <c r="A964" s="18">
        <v>46113.0</v>
      </c>
      <c r="B964" s="17" t="s">
        <v>4186</v>
      </c>
      <c r="C964" s="17" t="s">
        <v>63</v>
      </c>
      <c r="D964" s="17" t="s">
        <v>71</v>
      </c>
      <c r="E964" s="21">
        <v>212.0</v>
      </c>
      <c r="F964" s="21">
        <f>SUMIFS(crm_orders!$J:$J,crm_orders!$B:$B,"&gt;="&amp;A964,crm_orders!$B:$B,"&lt;"&amp;DATE(YEAR(A964),MONTH(A964)+1,1),crm_orders!$E:$E,B964,crm_orders!$G:$G,C964,crm_orders!$H:$H,D964)</f>
        <v>48</v>
      </c>
      <c r="G964" s="21">
        <f>SUMIFS(warehouse_shipments!$H:$H,warehouse_shipments!$C:$C,"&gt;="&amp;A964,warehouse_shipments!$C:$C,"&lt;"&amp;DATE(YEAR(A964),MONTH(A964)+1,1),warehouse_shipments!$P:$P,B964,warehouse_shipments!$Q:$Q,C964,warehouse_shipments!$R:$R,D964)</f>
        <v>48</v>
      </c>
      <c r="H964" s="22">
        <f t="shared" si="1"/>
        <v>-164</v>
      </c>
      <c r="I964" s="64">
        <f t="shared" si="2"/>
        <v>0.2264150943</v>
      </c>
      <c r="J964" s="22" t="s">
        <v>5306</v>
      </c>
    </row>
    <row r="965" ht="15.75" customHeight="1">
      <c r="A965" s="26">
        <v>46113.0</v>
      </c>
      <c r="B965" s="25" t="s">
        <v>4186</v>
      </c>
      <c r="C965" s="25" t="s">
        <v>63</v>
      </c>
      <c r="D965" s="25" t="s">
        <v>85</v>
      </c>
      <c r="E965" s="29">
        <v>276.0</v>
      </c>
      <c r="F965" s="29">
        <f>SUMIFS(crm_orders!$J:$J,crm_orders!$B:$B,"&gt;="&amp;A965,crm_orders!$B:$B,"&lt;"&amp;DATE(YEAR(A965),MONTH(A965)+1,1),crm_orders!$E:$E,B965,crm_orders!$G:$G,C965,crm_orders!$H:$H,D965)</f>
        <v>30</v>
      </c>
      <c r="G965" s="29">
        <f>SUMIFS(warehouse_shipments!$H:$H,warehouse_shipments!$C:$C,"&gt;="&amp;A965,warehouse_shipments!$C:$C,"&lt;"&amp;DATE(YEAR(A965),MONTH(A965)+1,1),warehouse_shipments!$P:$P,B965,warehouse_shipments!$Q:$Q,C965,warehouse_shipments!$R:$R,D965)</f>
        <v>0</v>
      </c>
      <c r="H965" s="30">
        <f t="shared" si="1"/>
        <v>-246</v>
      </c>
      <c r="I965" s="65">
        <f t="shared" si="2"/>
        <v>0.1086956522</v>
      </c>
      <c r="J965" s="30" t="s">
        <v>5306</v>
      </c>
    </row>
    <row r="966" ht="15.75" customHeight="1">
      <c r="A966" s="18">
        <v>46113.0</v>
      </c>
      <c r="B966" s="17" t="s">
        <v>4186</v>
      </c>
      <c r="C966" s="17" t="s">
        <v>63</v>
      </c>
      <c r="D966" s="17" t="s">
        <v>64</v>
      </c>
      <c r="E966" s="21">
        <v>489.0</v>
      </c>
      <c r="F966" s="21">
        <f>SUMIFS(crm_orders!$J:$J,crm_orders!$B:$B,"&gt;="&amp;A966,crm_orders!$B:$B,"&lt;"&amp;DATE(YEAR(A966),MONTH(A966)+1,1),crm_orders!$E:$E,B966,crm_orders!$G:$G,C966,crm_orders!$H:$H,D966)</f>
        <v>0</v>
      </c>
      <c r="G966" s="21">
        <f>SUMIFS(warehouse_shipments!$H:$H,warehouse_shipments!$C:$C,"&gt;="&amp;A966,warehouse_shipments!$C:$C,"&lt;"&amp;DATE(YEAR(A966),MONTH(A966)+1,1),warehouse_shipments!$P:$P,B966,warehouse_shipments!$Q:$Q,C966,warehouse_shipments!$R:$R,D966)</f>
        <v>0</v>
      </c>
      <c r="H966" s="22">
        <f t="shared" si="1"/>
        <v>-489</v>
      </c>
      <c r="I966" s="64">
        <f t="shared" si="2"/>
        <v>0</v>
      </c>
      <c r="J966" s="22" t="s">
        <v>5308</v>
      </c>
    </row>
    <row r="967" ht="15.75" customHeight="1">
      <c r="A967" s="26">
        <v>46113.0</v>
      </c>
      <c r="B967" s="25" t="s">
        <v>4186</v>
      </c>
      <c r="C967" s="25" t="s">
        <v>63</v>
      </c>
      <c r="D967" s="25" t="s">
        <v>110</v>
      </c>
      <c r="E967" s="29">
        <v>217.0</v>
      </c>
      <c r="F967" s="29">
        <f>SUMIFS(crm_orders!$J:$J,crm_orders!$B:$B,"&gt;="&amp;A967,crm_orders!$B:$B,"&lt;"&amp;DATE(YEAR(A967),MONTH(A967)+1,1),crm_orders!$E:$E,B967,crm_orders!$G:$G,C967,crm_orders!$H:$H,D967)</f>
        <v>60</v>
      </c>
      <c r="G967" s="29">
        <f>SUMIFS(warehouse_shipments!$H:$H,warehouse_shipments!$C:$C,"&gt;="&amp;A967,warehouse_shipments!$C:$C,"&lt;"&amp;DATE(YEAR(A967),MONTH(A967)+1,1),warehouse_shipments!$P:$P,B967,warehouse_shipments!$Q:$Q,C967,warehouse_shipments!$R:$R,D967)</f>
        <v>60</v>
      </c>
      <c r="H967" s="30">
        <f t="shared" si="1"/>
        <v>-157</v>
      </c>
      <c r="I967" s="65">
        <f t="shared" si="2"/>
        <v>0.2764976959</v>
      </c>
      <c r="J967" s="30" t="s">
        <v>5310</v>
      </c>
    </row>
    <row r="968" ht="15.75" customHeight="1">
      <c r="A968" s="18">
        <v>46113.0</v>
      </c>
      <c r="B968" s="17" t="s">
        <v>4186</v>
      </c>
      <c r="C968" s="17" t="s">
        <v>63</v>
      </c>
      <c r="D968" s="17" t="s">
        <v>102</v>
      </c>
      <c r="E968" s="21">
        <v>133.0</v>
      </c>
      <c r="F968" s="21">
        <f>SUMIFS(crm_orders!$J:$J,crm_orders!$B:$B,"&gt;="&amp;A968,crm_orders!$B:$B,"&lt;"&amp;DATE(YEAR(A968),MONTH(A968)+1,1),crm_orders!$E:$E,B968,crm_orders!$G:$G,C968,crm_orders!$H:$H,D968)</f>
        <v>24</v>
      </c>
      <c r="G968" s="21">
        <f>SUMIFS(warehouse_shipments!$H:$H,warehouse_shipments!$C:$C,"&gt;="&amp;A968,warehouse_shipments!$C:$C,"&lt;"&amp;DATE(YEAR(A968),MONTH(A968)+1,1),warehouse_shipments!$P:$P,B968,warehouse_shipments!$Q:$Q,C968,warehouse_shipments!$R:$R,D968)</f>
        <v>24</v>
      </c>
      <c r="H968" s="22">
        <f t="shared" si="1"/>
        <v>-109</v>
      </c>
      <c r="I968" s="64">
        <f t="shared" si="2"/>
        <v>0.1804511278</v>
      </c>
      <c r="J968" s="22" t="s">
        <v>5306</v>
      </c>
    </row>
    <row r="969" ht="15.75" customHeight="1">
      <c r="A969" s="26">
        <v>46113.0</v>
      </c>
      <c r="B969" s="25" t="s">
        <v>4186</v>
      </c>
      <c r="C969" s="25" t="s">
        <v>63</v>
      </c>
      <c r="D969" s="25" t="s">
        <v>156</v>
      </c>
      <c r="E969" s="29">
        <v>274.0</v>
      </c>
      <c r="F969" s="29">
        <f>SUMIFS(crm_orders!$J:$J,crm_orders!$B:$B,"&gt;="&amp;A969,crm_orders!$B:$B,"&lt;"&amp;DATE(YEAR(A969),MONTH(A969)+1,1),crm_orders!$E:$E,B969,crm_orders!$G:$G,C969,crm_orders!$H:$H,D969)</f>
        <v>0</v>
      </c>
      <c r="G969" s="29">
        <f>SUMIFS(warehouse_shipments!$H:$H,warehouse_shipments!$C:$C,"&gt;="&amp;A969,warehouse_shipments!$C:$C,"&lt;"&amp;DATE(YEAR(A969),MONTH(A969)+1,1),warehouse_shipments!$P:$P,B969,warehouse_shipments!$Q:$Q,C969,warehouse_shipments!$R:$R,D969)</f>
        <v>0</v>
      </c>
      <c r="H969" s="30">
        <f t="shared" si="1"/>
        <v>-274</v>
      </c>
      <c r="I969" s="65">
        <f t="shared" si="2"/>
        <v>0</v>
      </c>
      <c r="J969" s="30" t="s">
        <v>5308</v>
      </c>
    </row>
    <row r="970" ht="15.75" customHeight="1">
      <c r="A970" s="18">
        <v>46113.0</v>
      </c>
      <c r="B970" s="17" t="s">
        <v>4186</v>
      </c>
      <c r="C970" s="17" t="s">
        <v>67</v>
      </c>
      <c r="D970" s="17" t="s">
        <v>68</v>
      </c>
      <c r="E970" s="21">
        <v>117.0</v>
      </c>
      <c r="F970" s="21">
        <f>SUMIFS(crm_orders!$J:$J,crm_orders!$B:$B,"&gt;="&amp;A970,crm_orders!$B:$B,"&lt;"&amp;DATE(YEAR(A970),MONTH(A970)+1,1),crm_orders!$E:$E,B970,crm_orders!$G:$G,C970,crm_orders!$H:$H,D970)</f>
        <v>0</v>
      </c>
      <c r="G970" s="21">
        <f>SUMIFS(warehouse_shipments!$H:$H,warehouse_shipments!$C:$C,"&gt;="&amp;A970,warehouse_shipments!$C:$C,"&lt;"&amp;DATE(YEAR(A970),MONTH(A970)+1,1),warehouse_shipments!$P:$P,B970,warehouse_shipments!$Q:$Q,C970,warehouse_shipments!$R:$R,D970)</f>
        <v>0</v>
      </c>
      <c r="H970" s="22">
        <f t="shared" si="1"/>
        <v>-117</v>
      </c>
      <c r="I970" s="64">
        <f t="shared" si="2"/>
        <v>0</v>
      </c>
      <c r="J970" s="22" t="s">
        <v>5307</v>
      </c>
    </row>
    <row r="971" ht="15.75" customHeight="1">
      <c r="A971" s="26">
        <v>46113.0</v>
      </c>
      <c r="B971" s="25" t="s">
        <v>4186</v>
      </c>
      <c r="C971" s="25" t="s">
        <v>67</v>
      </c>
      <c r="D971" s="25" t="s">
        <v>162</v>
      </c>
      <c r="E971" s="29">
        <v>365.0</v>
      </c>
      <c r="F971" s="29">
        <f>SUMIFS(crm_orders!$J:$J,crm_orders!$B:$B,"&gt;="&amp;A971,crm_orders!$B:$B,"&lt;"&amp;DATE(YEAR(A971),MONTH(A971)+1,1),crm_orders!$E:$E,B971,crm_orders!$G:$G,C971,crm_orders!$H:$H,D971)</f>
        <v>0</v>
      </c>
      <c r="G971" s="29">
        <f>SUMIFS(warehouse_shipments!$H:$H,warehouse_shipments!$C:$C,"&gt;="&amp;A971,warehouse_shipments!$C:$C,"&lt;"&amp;DATE(YEAR(A971),MONTH(A971)+1,1),warehouse_shipments!$P:$P,B971,warehouse_shipments!$Q:$Q,C971,warehouse_shipments!$R:$R,D971)</f>
        <v>120</v>
      </c>
      <c r="H971" s="30">
        <f t="shared" si="1"/>
        <v>-365</v>
      </c>
      <c r="I971" s="65">
        <f t="shared" si="2"/>
        <v>0</v>
      </c>
      <c r="J971" s="30" t="s">
        <v>5307</v>
      </c>
    </row>
    <row r="972" ht="15.75" customHeight="1">
      <c r="A972" s="18">
        <v>46113.0</v>
      </c>
      <c r="B972" s="17" t="s">
        <v>4186</v>
      </c>
      <c r="C972" s="17" t="s">
        <v>67</v>
      </c>
      <c r="D972" s="17" t="s">
        <v>115</v>
      </c>
      <c r="E972" s="21">
        <v>450.0</v>
      </c>
      <c r="F972" s="21">
        <f>SUMIFS(crm_orders!$J:$J,crm_orders!$B:$B,"&gt;="&amp;A972,crm_orders!$B:$B,"&lt;"&amp;DATE(YEAR(A972),MONTH(A972)+1,1),crm_orders!$E:$E,B972,crm_orders!$G:$G,C972,crm_orders!$H:$H,D972)</f>
        <v>0</v>
      </c>
      <c r="G972" s="21">
        <f>SUMIFS(warehouse_shipments!$H:$H,warehouse_shipments!$C:$C,"&gt;="&amp;A972,warehouse_shipments!$C:$C,"&lt;"&amp;DATE(YEAR(A972),MONTH(A972)+1,1),warehouse_shipments!$P:$P,B972,warehouse_shipments!$Q:$Q,C972,warehouse_shipments!$R:$R,D972)</f>
        <v>24</v>
      </c>
      <c r="H972" s="22">
        <f t="shared" si="1"/>
        <v>-450</v>
      </c>
      <c r="I972" s="64">
        <f t="shared" si="2"/>
        <v>0</v>
      </c>
      <c r="J972" s="22" t="s">
        <v>5309</v>
      </c>
    </row>
    <row r="973" ht="15.75" customHeight="1">
      <c r="A973" s="26">
        <v>46113.0</v>
      </c>
      <c r="B973" s="25" t="s">
        <v>4186</v>
      </c>
      <c r="C973" s="25" t="s">
        <v>67</v>
      </c>
      <c r="D973" s="25" t="s">
        <v>123</v>
      </c>
      <c r="E973" s="29">
        <v>410.0</v>
      </c>
      <c r="F973" s="29">
        <f>SUMIFS(crm_orders!$J:$J,crm_orders!$B:$B,"&gt;="&amp;A973,crm_orders!$B:$B,"&lt;"&amp;DATE(YEAR(A973),MONTH(A973)+1,1),crm_orders!$E:$E,B973,crm_orders!$G:$G,C973,crm_orders!$H:$H,D973)</f>
        <v>0</v>
      </c>
      <c r="G973" s="29">
        <f>SUMIFS(warehouse_shipments!$H:$H,warehouse_shipments!$C:$C,"&gt;="&amp;A973,warehouse_shipments!$C:$C,"&lt;"&amp;DATE(YEAR(A973),MONTH(A973)+1,1),warehouse_shipments!$P:$P,B973,warehouse_shipments!$Q:$Q,C973,warehouse_shipments!$R:$R,D973)</f>
        <v>0</v>
      </c>
      <c r="H973" s="30">
        <f t="shared" si="1"/>
        <v>-410</v>
      </c>
      <c r="I973" s="65">
        <f t="shared" si="2"/>
        <v>0</v>
      </c>
      <c r="J973" s="30" t="s">
        <v>5311</v>
      </c>
    </row>
    <row r="974" ht="15.75" customHeight="1">
      <c r="A974" s="18">
        <v>46113.0</v>
      </c>
      <c r="B974" s="17" t="s">
        <v>4186</v>
      </c>
      <c r="C974" s="17" t="s">
        <v>67</v>
      </c>
      <c r="D974" s="17" t="s">
        <v>154</v>
      </c>
      <c r="E974" s="21">
        <v>420.0</v>
      </c>
      <c r="F974" s="21">
        <f>SUMIFS(crm_orders!$J:$J,crm_orders!$B:$B,"&gt;="&amp;A974,crm_orders!$B:$B,"&lt;"&amp;DATE(YEAR(A974),MONTH(A974)+1,1),crm_orders!$E:$E,B974,crm_orders!$G:$G,C974,crm_orders!$H:$H,D974)</f>
        <v>0</v>
      </c>
      <c r="G974" s="21">
        <f>SUMIFS(warehouse_shipments!$H:$H,warehouse_shipments!$C:$C,"&gt;="&amp;A974,warehouse_shipments!$C:$C,"&lt;"&amp;DATE(YEAR(A974),MONTH(A974)+1,1),warehouse_shipments!$P:$P,B974,warehouse_shipments!$Q:$Q,C974,warehouse_shipments!$R:$R,D974)</f>
        <v>0</v>
      </c>
      <c r="H974" s="22">
        <f t="shared" si="1"/>
        <v>-420</v>
      </c>
      <c r="I974" s="64">
        <f t="shared" si="2"/>
        <v>0</v>
      </c>
      <c r="J974" s="22" t="s">
        <v>5307</v>
      </c>
    </row>
    <row r="975" ht="15.75" customHeight="1">
      <c r="A975" s="26">
        <v>46113.0</v>
      </c>
      <c r="B975" s="25" t="s">
        <v>4186</v>
      </c>
      <c r="C975" s="25" t="s">
        <v>67</v>
      </c>
      <c r="D975" s="25" t="s">
        <v>102</v>
      </c>
      <c r="E975" s="29">
        <v>395.0</v>
      </c>
      <c r="F975" s="29">
        <f>SUMIFS(crm_orders!$J:$J,crm_orders!$B:$B,"&gt;="&amp;A975,crm_orders!$B:$B,"&lt;"&amp;DATE(YEAR(A975),MONTH(A975)+1,1),crm_orders!$E:$E,B975,crm_orders!$G:$G,C975,crm_orders!$H:$H,D975)</f>
        <v>0</v>
      </c>
      <c r="G975" s="29">
        <f>SUMIFS(warehouse_shipments!$H:$H,warehouse_shipments!$C:$C,"&gt;="&amp;A975,warehouse_shipments!$C:$C,"&lt;"&amp;DATE(YEAR(A975),MONTH(A975)+1,1),warehouse_shipments!$P:$P,B975,warehouse_shipments!$Q:$Q,C975,warehouse_shipments!$R:$R,D975)</f>
        <v>0</v>
      </c>
      <c r="H975" s="30">
        <f t="shared" si="1"/>
        <v>-395</v>
      </c>
      <c r="I975" s="65">
        <f t="shared" si="2"/>
        <v>0</v>
      </c>
      <c r="J975" s="30" t="s">
        <v>5310</v>
      </c>
    </row>
    <row r="976" ht="15.75" customHeight="1">
      <c r="A976" s="18">
        <v>46113.0</v>
      </c>
      <c r="B976" s="17" t="s">
        <v>4186</v>
      </c>
      <c r="C976" s="17" t="s">
        <v>67</v>
      </c>
      <c r="D976" s="17" t="s">
        <v>90</v>
      </c>
      <c r="E976" s="21">
        <v>446.0</v>
      </c>
      <c r="F976" s="21">
        <f>SUMIFS(crm_orders!$J:$J,crm_orders!$B:$B,"&gt;="&amp;A976,crm_orders!$B:$B,"&lt;"&amp;DATE(YEAR(A976),MONTH(A976)+1,1),crm_orders!$E:$E,B976,crm_orders!$G:$G,C976,crm_orders!$H:$H,D976)</f>
        <v>72</v>
      </c>
      <c r="G976" s="21">
        <f>SUMIFS(warehouse_shipments!$H:$H,warehouse_shipments!$C:$C,"&gt;="&amp;A976,warehouse_shipments!$C:$C,"&lt;"&amp;DATE(YEAR(A976),MONTH(A976)+1,1),warehouse_shipments!$P:$P,B976,warehouse_shipments!$Q:$Q,C976,warehouse_shipments!$R:$R,D976)</f>
        <v>72</v>
      </c>
      <c r="H976" s="22">
        <f t="shared" si="1"/>
        <v>-374</v>
      </c>
      <c r="I976" s="64">
        <f t="shared" si="2"/>
        <v>0.1614349776</v>
      </c>
      <c r="J976" s="22" t="s">
        <v>5306</v>
      </c>
    </row>
    <row r="977" ht="15.75" customHeight="1">
      <c r="A977" s="26">
        <v>46113.0</v>
      </c>
      <c r="B977" s="25" t="s">
        <v>4186</v>
      </c>
      <c r="C977" s="25" t="s">
        <v>67</v>
      </c>
      <c r="D977" s="25" t="s">
        <v>64</v>
      </c>
      <c r="E977" s="29">
        <v>307.0</v>
      </c>
      <c r="F977" s="29">
        <f>SUMIFS(crm_orders!$J:$J,crm_orders!$B:$B,"&gt;="&amp;A977,crm_orders!$B:$B,"&lt;"&amp;DATE(YEAR(A977),MONTH(A977)+1,1),crm_orders!$E:$E,B977,crm_orders!$G:$G,C977,crm_orders!$H:$H,D977)</f>
        <v>0</v>
      </c>
      <c r="G977" s="29">
        <f>SUMIFS(warehouse_shipments!$H:$H,warehouse_shipments!$C:$C,"&gt;="&amp;A977,warehouse_shipments!$C:$C,"&lt;"&amp;DATE(YEAR(A977),MONTH(A977)+1,1),warehouse_shipments!$P:$P,B977,warehouse_shipments!$Q:$Q,C977,warehouse_shipments!$R:$R,D977)</f>
        <v>0</v>
      </c>
      <c r="H977" s="30">
        <f t="shared" si="1"/>
        <v>-307</v>
      </c>
      <c r="I977" s="65">
        <f t="shared" si="2"/>
        <v>0</v>
      </c>
      <c r="J977" s="30" t="s">
        <v>5307</v>
      </c>
    </row>
    <row r="978" ht="15.75" customHeight="1">
      <c r="A978" s="18">
        <v>46113.0</v>
      </c>
      <c r="B978" s="17" t="s">
        <v>4186</v>
      </c>
      <c r="C978" s="17" t="s">
        <v>89</v>
      </c>
      <c r="D978" s="17" t="s">
        <v>90</v>
      </c>
      <c r="E978" s="21">
        <v>216.0</v>
      </c>
      <c r="F978" s="21">
        <f>SUMIFS(crm_orders!$J:$J,crm_orders!$B:$B,"&gt;="&amp;A978,crm_orders!$B:$B,"&lt;"&amp;DATE(YEAR(A978),MONTH(A978)+1,1),crm_orders!$E:$E,B978,crm_orders!$G:$G,C978,crm_orders!$H:$H,D978)</f>
        <v>6</v>
      </c>
      <c r="G978" s="21">
        <f>SUMIFS(warehouse_shipments!$H:$H,warehouse_shipments!$C:$C,"&gt;="&amp;A978,warehouse_shipments!$C:$C,"&lt;"&amp;DATE(YEAR(A978),MONTH(A978)+1,1),warehouse_shipments!$P:$P,B978,warehouse_shipments!$Q:$Q,C978,warehouse_shipments!$R:$R,D978)</f>
        <v>6</v>
      </c>
      <c r="H978" s="22">
        <f t="shared" si="1"/>
        <v>-210</v>
      </c>
      <c r="I978" s="64">
        <f t="shared" si="2"/>
        <v>0.02777777778</v>
      </c>
      <c r="J978" s="22" t="s">
        <v>5307</v>
      </c>
    </row>
    <row r="979" ht="15.75" customHeight="1">
      <c r="A979" s="26">
        <v>46113.0</v>
      </c>
      <c r="B979" s="25" t="s">
        <v>4186</v>
      </c>
      <c r="C979" s="25" t="s">
        <v>89</v>
      </c>
      <c r="D979" s="25" t="s">
        <v>102</v>
      </c>
      <c r="E979" s="29">
        <v>130.0</v>
      </c>
      <c r="F979" s="29">
        <f>SUMIFS(crm_orders!$J:$J,crm_orders!$B:$B,"&gt;="&amp;A979,crm_orders!$B:$B,"&lt;"&amp;DATE(YEAR(A979),MONTH(A979)+1,1),crm_orders!$E:$E,B979,crm_orders!$G:$G,C979,crm_orders!$H:$H,D979)</f>
        <v>48</v>
      </c>
      <c r="G979" s="29">
        <f>SUMIFS(warehouse_shipments!$H:$H,warehouse_shipments!$C:$C,"&gt;="&amp;A979,warehouse_shipments!$C:$C,"&lt;"&amp;DATE(YEAR(A979),MONTH(A979)+1,1),warehouse_shipments!$P:$P,B979,warehouse_shipments!$Q:$Q,C979,warehouse_shipments!$R:$R,D979)</f>
        <v>48</v>
      </c>
      <c r="H979" s="30">
        <f t="shared" si="1"/>
        <v>-82</v>
      </c>
      <c r="I979" s="65">
        <f t="shared" si="2"/>
        <v>0.3692307692</v>
      </c>
      <c r="J979" s="30" t="s">
        <v>5309</v>
      </c>
    </row>
    <row r="980" ht="15.75" customHeight="1">
      <c r="A980" s="18">
        <v>46113.0</v>
      </c>
      <c r="B980" s="17" t="s">
        <v>4186</v>
      </c>
      <c r="C980" s="17" t="s">
        <v>89</v>
      </c>
      <c r="D980" s="17" t="s">
        <v>95</v>
      </c>
      <c r="E980" s="21">
        <v>441.0</v>
      </c>
      <c r="F980" s="21">
        <f>SUMIFS(crm_orders!$J:$J,crm_orders!$B:$B,"&gt;="&amp;A980,crm_orders!$B:$B,"&lt;"&amp;DATE(YEAR(A980),MONTH(A980)+1,1),crm_orders!$E:$E,B980,crm_orders!$G:$G,C980,crm_orders!$H:$H,D980)</f>
        <v>0</v>
      </c>
      <c r="G980" s="21">
        <f>SUMIFS(warehouse_shipments!$H:$H,warehouse_shipments!$C:$C,"&gt;="&amp;A980,warehouse_shipments!$C:$C,"&lt;"&amp;DATE(YEAR(A980),MONTH(A980)+1,1),warehouse_shipments!$P:$P,B980,warehouse_shipments!$Q:$Q,C980,warehouse_shipments!$R:$R,D980)</f>
        <v>0</v>
      </c>
      <c r="H980" s="22">
        <f t="shared" si="1"/>
        <v>-441</v>
      </c>
      <c r="I980" s="64">
        <f t="shared" si="2"/>
        <v>0</v>
      </c>
      <c r="J980" s="22" t="s">
        <v>5306</v>
      </c>
    </row>
    <row r="981" ht="15.75" customHeight="1">
      <c r="A981" s="26">
        <v>46113.0</v>
      </c>
      <c r="B981" s="25" t="s">
        <v>4186</v>
      </c>
      <c r="C981" s="25" t="s">
        <v>89</v>
      </c>
      <c r="D981" s="25" t="s">
        <v>68</v>
      </c>
      <c r="E981" s="29">
        <v>105.0</v>
      </c>
      <c r="F981" s="29">
        <f>SUMIFS(crm_orders!$J:$J,crm_orders!$B:$B,"&gt;="&amp;A981,crm_orders!$B:$B,"&lt;"&amp;DATE(YEAR(A981),MONTH(A981)+1,1),crm_orders!$E:$E,B981,crm_orders!$G:$G,C981,crm_orders!$H:$H,D981)</f>
        <v>0</v>
      </c>
      <c r="G981" s="29">
        <f>SUMIFS(warehouse_shipments!$H:$H,warehouse_shipments!$C:$C,"&gt;="&amp;A981,warehouse_shipments!$C:$C,"&lt;"&amp;DATE(YEAR(A981),MONTH(A981)+1,1),warehouse_shipments!$P:$P,B981,warehouse_shipments!$Q:$Q,C981,warehouse_shipments!$R:$R,D981)</f>
        <v>36</v>
      </c>
      <c r="H981" s="30">
        <f t="shared" si="1"/>
        <v>-105</v>
      </c>
      <c r="I981" s="65">
        <f t="shared" si="2"/>
        <v>0</v>
      </c>
      <c r="J981" s="30" t="s">
        <v>5307</v>
      </c>
    </row>
    <row r="982" ht="15.75" customHeight="1">
      <c r="A982" s="18">
        <v>46113.0</v>
      </c>
      <c r="B982" s="17" t="s">
        <v>4186</v>
      </c>
      <c r="C982" s="17" t="s">
        <v>89</v>
      </c>
      <c r="D982" s="17" t="s">
        <v>108</v>
      </c>
      <c r="E982" s="21">
        <v>282.0</v>
      </c>
      <c r="F982" s="21">
        <f>SUMIFS(crm_orders!$J:$J,crm_orders!$B:$B,"&gt;="&amp;A982,crm_orders!$B:$B,"&lt;"&amp;DATE(YEAR(A982),MONTH(A982)+1,1),crm_orders!$E:$E,B982,crm_orders!$G:$G,C982,crm_orders!$H:$H,D982)</f>
        <v>0</v>
      </c>
      <c r="G982" s="21">
        <f>SUMIFS(warehouse_shipments!$H:$H,warehouse_shipments!$C:$C,"&gt;="&amp;A982,warehouse_shipments!$C:$C,"&lt;"&amp;DATE(YEAR(A982),MONTH(A982)+1,1),warehouse_shipments!$P:$P,B982,warehouse_shipments!$Q:$Q,C982,warehouse_shipments!$R:$R,D982)</f>
        <v>0</v>
      </c>
      <c r="H982" s="22">
        <f t="shared" si="1"/>
        <v>-282</v>
      </c>
      <c r="I982" s="64">
        <f t="shared" si="2"/>
        <v>0</v>
      </c>
      <c r="J982" s="22" t="s">
        <v>5306</v>
      </c>
    </row>
    <row r="983" ht="15.75" customHeight="1">
      <c r="A983" s="26">
        <v>46113.0</v>
      </c>
      <c r="B983" s="25" t="s">
        <v>4186</v>
      </c>
      <c r="C983" s="25" t="s">
        <v>89</v>
      </c>
      <c r="D983" s="25" t="s">
        <v>106</v>
      </c>
      <c r="E983" s="29">
        <v>279.0</v>
      </c>
      <c r="F983" s="29">
        <f>SUMIFS(crm_orders!$J:$J,crm_orders!$B:$B,"&gt;="&amp;A983,crm_orders!$B:$B,"&lt;"&amp;DATE(YEAR(A983),MONTH(A983)+1,1),crm_orders!$E:$E,B983,crm_orders!$G:$G,C983,crm_orders!$H:$H,D983)</f>
        <v>18</v>
      </c>
      <c r="G983" s="29">
        <f>SUMIFS(warehouse_shipments!$H:$H,warehouse_shipments!$C:$C,"&gt;="&amp;A983,warehouse_shipments!$C:$C,"&lt;"&amp;DATE(YEAR(A983),MONTH(A983)+1,1),warehouse_shipments!$P:$P,B983,warehouse_shipments!$Q:$Q,C983,warehouse_shipments!$R:$R,D983)</f>
        <v>24</v>
      </c>
      <c r="H983" s="30">
        <f t="shared" si="1"/>
        <v>-261</v>
      </c>
      <c r="I983" s="65">
        <f t="shared" si="2"/>
        <v>0.06451612903</v>
      </c>
      <c r="J983" s="30" t="s">
        <v>5310</v>
      </c>
    </row>
    <row r="984" ht="15.75" customHeight="1">
      <c r="A984" s="18">
        <v>46113.0</v>
      </c>
      <c r="B984" s="17" t="s">
        <v>4186</v>
      </c>
      <c r="C984" s="17" t="s">
        <v>89</v>
      </c>
      <c r="D984" s="17" t="s">
        <v>78</v>
      </c>
      <c r="E984" s="21">
        <v>507.0</v>
      </c>
      <c r="F984" s="21">
        <f>SUMIFS(crm_orders!$J:$J,crm_orders!$B:$B,"&gt;="&amp;A984,crm_orders!$B:$B,"&lt;"&amp;DATE(YEAR(A984),MONTH(A984)+1,1),crm_orders!$E:$E,B984,crm_orders!$G:$G,C984,crm_orders!$H:$H,D984)</f>
        <v>0</v>
      </c>
      <c r="G984" s="21">
        <f>SUMIFS(warehouse_shipments!$H:$H,warehouse_shipments!$C:$C,"&gt;="&amp;A984,warehouse_shipments!$C:$C,"&lt;"&amp;DATE(YEAR(A984),MONTH(A984)+1,1),warehouse_shipments!$P:$P,B984,warehouse_shipments!$Q:$Q,C984,warehouse_shipments!$R:$R,D984)</f>
        <v>0</v>
      </c>
      <c r="H984" s="22">
        <f t="shared" si="1"/>
        <v>-507</v>
      </c>
      <c r="I984" s="64">
        <f t="shared" si="2"/>
        <v>0</v>
      </c>
      <c r="J984" s="22" t="s">
        <v>5311</v>
      </c>
    </row>
    <row r="985" ht="15.75" customHeight="1">
      <c r="A985" s="26">
        <v>46113.0</v>
      </c>
      <c r="B985" s="25" t="s">
        <v>4186</v>
      </c>
      <c r="C985" s="25" t="s">
        <v>89</v>
      </c>
      <c r="D985" s="25" t="s">
        <v>85</v>
      </c>
      <c r="E985" s="29">
        <v>113.0</v>
      </c>
      <c r="F985" s="29">
        <f>SUMIFS(crm_orders!$J:$J,crm_orders!$B:$B,"&gt;="&amp;A985,crm_orders!$B:$B,"&lt;"&amp;DATE(YEAR(A985),MONTH(A985)+1,1),crm_orders!$E:$E,B985,crm_orders!$G:$G,C985,crm_orders!$H:$H,D985)</f>
        <v>0</v>
      </c>
      <c r="G985" s="29">
        <f>SUMIFS(warehouse_shipments!$H:$H,warehouse_shipments!$C:$C,"&gt;="&amp;A985,warehouse_shipments!$C:$C,"&lt;"&amp;DATE(YEAR(A985),MONTH(A985)+1,1),warehouse_shipments!$P:$P,B985,warehouse_shipments!$Q:$Q,C985,warehouse_shipments!$R:$R,D985)</f>
        <v>0</v>
      </c>
      <c r="H985" s="30">
        <f t="shared" si="1"/>
        <v>-113</v>
      </c>
      <c r="I985" s="65">
        <f t="shared" si="2"/>
        <v>0</v>
      </c>
      <c r="J985" s="30" t="s">
        <v>5307</v>
      </c>
    </row>
    <row r="986" ht="15.75" customHeight="1">
      <c r="A986" s="18">
        <v>46113.0</v>
      </c>
      <c r="B986" s="17" t="s">
        <v>4261</v>
      </c>
      <c r="C986" s="17" t="s">
        <v>63</v>
      </c>
      <c r="D986" s="17" t="s">
        <v>156</v>
      </c>
      <c r="E986" s="21">
        <v>106.0</v>
      </c>
      <c r="F986" s="21">
        <f>SUMIFS(crm_orders!$J:$J,crm_orders!$B:$B,"&gt;="&amp;A986,crm_orders!$B:$B,"&lt;"&amp;DATE(YEAR(A986),MONTH(A986)+1,1),crm_orders!$E:$E,B986,crm_orders!$G:$G,C986,crm_orders!$H:$H,D986)</f>
        <v>0</v>
      </c>
      <c r="G986" s="21">
        <f>SUMIFS(warehouse_shipments!$H:$H,warehouse_shipments!$C:$C,"&gt;="&amp;A986,warehouse_shipments!$C:$C,"&lt;"&amp;DATE(YEAR(A986),MONTH(A986)+1,1),warehouse_shipments!$P:$P,B986,warehouse_shipments!$Q:$Q,C986,warehouse_shipments!$R:$R,D986)</f>
        <v>0</v>
      </c>
      <c r="H986" s="22">
        <f t="shared" si="1"/>
        <v>-106</v>
      </c>
      <c r="I986" s="64">
        <f t="shared" si="2"/>
        <v>0</v>
      </c>
      <c r="J986" s="22" t="s">
        <v>5310</v>
      </c>
    </row>
    <row r="987" ht="15.75" customHeight="1">
      <c r="A987" s="26">
        <v>46113.0</v>
      </c>
      <c r="B987" s="25" t="s">
        <v>4261</v>
      </c>
      <c r="C987" s="25" t="s">
        <v>63</v>
      </c>
      <c r="D987" s="25" t="s">
        <v>71</v>
      </c>
      <c r="E987" s="29">
        <v>329.0</v>
      </c>
      <c r="F987" s="29">
        <f>SUMIFS(crm_orders!$J:$J,crm_orders!$B:$B,"&gt;="&amp;A987,crm_orders!$B:$B,"&lt;"&amp;DATE(YEAR(A987),MONTH(A987)+1,1),crm_orders!$E:$E,B987,crm_orders!$G:$G,C987,crm_orders!$H:$H,D987)</f>
        <v>120</v>
      </c>
      <c r="G987" s="29">
        <f>SUMIFS(warehouse_shipments!$H:$H,warehouse_shipments!$C:$C,"&gt;="&amp;A987,warehouse_shipments!$C:$C,"&lt;"&amp;DATE(YEAR(A987),MONTH(A987)+1,1),warehouse_shipments!$P:$P,B987,warehouse_shipments!$Q:$Q,C987,warehouse_shipments!$R:$R,D987)</f>
        <v>96</v>
      </c>
      <c r="H987" s="30">
        <f t="shared" si="1"/>
        <v>-209</v>
      </c>
      <c r="I987" s="65">
        <f t="shared" si="2"/>
        <v>0.3647416413</v>
      </c>
      <c r="J987" s="30" t="s">
        <v>5308</v>
      </c>
    </row>
    <row r="988" ht="15.75" customHeight="1">
      <c r="A988" s="18">
        <v>46113.0</v>
      </c>
      <c r="B988" s="17" t="s">
        <v>4261</v>
      </c>
      <c r="C988" s="17" t="s">
        <v>63</v>
      </c>
      <c r="D988" s="17" t="s">
        <v>81</v>
      </c>
      <c r="E988" s="21">
        <v>192.0</v>
      </c>
      <c r="F988" s="21">
        <f>SUMIFS(crm_orders!$J:$J,crm_orders!$B:$B,"&gt;="&amp;A988,crm_orders!$B:$B,"&lt;"&amp;DATE(YEAR(A988),MONTH(A988)+1,1),crm_orders!$E:$E,B988,crm_orders!$G:$G,C988,crm_orders!$H:$H,D988)</f>
        <v>96</v>
      </c>
      <c r="G988" s="21">
        <f>SUMIFS(warehouse_shipments!$H:$H,warehouse_shipments!$C:$C,"&gt;="&amp;A988,warehouse_shipments!$C:$C,"&lt;"&amp;DATE(YEAR(A988),MONTH(A988)+1,1),warehouse_shipments!$P:$P,B988,warehouse_shipments!$Q:$Q,C988,warehouse_shipments!$R:$R,D988)</f>
        <v>0</v>
      </c>
      <c r="H988" s="22">
        <f t="shared" si="1"/>
        <v>-96</v>
      </c>
      <c r="I988" s="64">
        <f t="shared" si="2"/>
        <v>0.5</v>
      </c>
      <c r="J988" s="22" t="s">
        <v>5309</v>
      </c>
    </row>
    <row r="989" ht="15.75" customHeight="1">
      <c r="A989" s="26">
        <v>46113.0</v>
      </c>
      <c r="B989" s="25" t="s">
        <v>4261</v>
      </c>
      <c r="C989" s="25" t="s">
        <v>63</v>
      </c>
      <c r="D989" s="25" t="s">
        <v>78</v>
      </c>
      <c r="E989" s="29">
        <v>440.0</v>
      </c>
      <c r="F989" s="29">
        <f>SUMIFS(crm_orders!$J:$J,crm_orders!$B:$B,"&gt;="&amp;A989,crm_orders!$B:$B,"&lt;"&amp;DATE(YEAR(A989),MONTH(A989)+1,1),crm_orders!$E:$E,B989,crm_orders!$G:$G,C989,crm_orders!$H:$H,D989)</f>
        <v>24</v>
      </c>
      <c r="G989" s="29">
        <f>SUMIFS(warehouse_shipments!$H:$H,warehouse_shipments!$C:$C,"&gt;="&amp;A989,warehouse_shipments!$C:$C,"&lt;"&amp;DATE(YEAR(A989),MONTH(A989)+1,1),warehouse_shipments!$P:$P,B989,warehouse_shipments!$Q:$Q,C989,warehouse_shipments!$R:$R,D989)</f>
        <v>0</v>
      </c>
      <c r="H989" s="30">
        <f t="shared" si="1"/>
        <v>-416</v>
      </c>
      <c r="I989" s="65">
        <f t="shared" si="2"/>
        <v>0.05454545455</v>
      </c>
      <c r="J989" s="30" t="s">
        <v>5307</v>
      </c>
    </row>
    <row r="990" ht="15.75" customHeight="1">
      <c r="A990" s="18">
        <v>46113.0</v>
      </c>
      <c r="B990" s="17" t="s">
        <v>4261</v>
      </c>
      <c r="C990" s="17" t="s">
        <v>63</v>
      </c>
      <c r="D990" s="17" t="s">
        <v>95</v>
      </c>
      <c r="E990" s="21">
        <v>362.0</v>
      </c>
      <c r="F990" s="21">
        <f>SUMIFS(crm_orders!$J:$J,crm_orders!$B:$B,"&gt;="&amp;A990,crm_orders!$B:$B,"&lt;"&amp;DATE(YEAR(A990),MONTH(A990)+1,1),crm_orders!$E:$E,B990,crm_orders!$G:$G,C990,crm_orders!$H:$H,D990)</f>
        <v>0</v>
      </c>
      <c r="G990" s="21">
        <f>SUMIFS(warehouse_shipments!$H:$H,warehouse_shipments!$C:$C,"&gt;="&amp;A990,warehouse_shipments!$C:$C,"&lt;"&amp;DATE(YEAR(A990),MONTH(A990)+1,1),warehouse_shipments!$P:$P,B990,warehouse_shipments!$Q:$Q,C990,warehouse_shipments!$R:$R,D990)</f>
        <v>0</v>
      </c>
      <c r="H990" s="22">
        <f t="shared" si="1"/>
        <v>-362</v>
      </c>
      <c r="I990" s="64">
        <f t="shared" si="2"/>
        <v>0</v>
      </c>
      <c r="J990" s="22" t="s">
        <v>5308</v>
      </c>
    </row>
    <row r="991" ht="15.75" customHeight="1">
      <c r="A991" s="26">
        <v>46113.0</v>
      </c>
      <c r="B991" s="25" t="s">
        <v>4261</v>
      </c>
      <c r="C991" s="25" t="s">
        <v>63</v>
      </c>
      <c r="D991" s="25" t="s">
        <v>85</v>
      </c>
      <c r="E991" s="29">
        <v>99.0</v>
      </c>
      <c r="F991" s="29">
        <f>SUMIFS(crm_orders!$J:$J,crm_orders!$B:$B,"&gt;="&amp;A991,crm_orders!$B:$B,"&lt;"&amp;DATE(YEAR(A991),MONTH(A991)+1,1),crm_orders!$E:$E,B991,crm_orders!$G:$G,C991,crm_orders!$H:$H,D991)</f>
        <v>0</v>
      </c>
      <c r="G991" s="29">
        <f>SUMIFS(warehouse_shipments!$H:$H,warehouse_shipments!$C:$C,"&gt;="&amp;A991,warehouse_shipments!$C:$C,"&lt;"&amp;DATE(YEAR(A991),MONTH(A991)+1,1),warehouse_shipments!$P:$P,B991,warehouse_shipments!$Q:$Q,C991,warehouse_shipments!$R:$R,D991)</f>
        <v>0</v>
      </c>
      <c r="H991" s="30">
        <f t="shared" si="1"/>
        <v>-99</v>
      </c>
      <c r="I991" s="65">
        <f t="shared" si="2"/>
        <v>0</v>
      </c>
      <c r="J991" s="30" t="s">
        <v>5310</v>
      </c>
    </row>
    <row r="992" ht="15.75" customHeight="1">
      <c r="A992" s="18">
        <v>46113.0</v>
      </c>
      <c r="B992" s="17" t="s">
        <v>4261</v>
      </c>
      <c r="C992" s="17" t="s">
        <v>63</v>
      </c>
      <c r="D992" s="17" t="s">
        <v>106</v>
      </c>
      <c r="E992" s="21">
        <v>480.0</v>
      </c>
      <c r="F992" s="21">
        <f>SUMIFS(crm_orders!$J:$J,crm_orders!$B:$B,"&gt;="&amp;A992,crm_orders!$B:$B,"&lt;"&amp;DATE(YEAR(A992),MONTH(A992)+1,1),crm_orders!$E:$E,B992,crm_orders!$G:$G,C992,crm_orders!$H:$H,D992)</f>
        <v>24</v>
      </c>
      <c r="G992" s="21">
        <f>SUMIFS(warehouse_shipments!$H:$H,warehouse_shipments!$C:$C,"&gt;="&amp;A992,warehouse_shipments!$C:$C,"&lt;"&amp;DATE(YEAR(A992),MONTH(A992)+1,1),warehouse_shipments!$P:$P,B992,warehouse_shipments!$Q:$Q,C992,warehouse_shipments!$R:$R,D992)</f>
        <v>0</v>
      </c>
      <c r="H992" s="22">
        <f t="shared" si="1"/>
        <v>-456</v>
      </c>
      <c r="I992" s="64">
        <f t="shared" si="2"/>
        <v>0.05</v>
      </c>
      <c r="J992" s="22" t="s">
        <v>5310</v>
      </c>
    </row>
    <row r="993" ht="15.75" customHeight="1">
      <c r="A993" s="26">
        <v>46113.0</v>
      </c>
      <c r="B993" s="25" t="s">
        <v>4261</v>
      </c>
      <c r="C993" s="25" t="s">
        <v>63</v>
      </c>
      <c r="D993" s="25" t="s">
        <v>154</v>
      </c>
      <c r="E993" s="29">
        <v>204.0</v>
      </c>
      <c r="F993" s="29">
        <f>SUMIFS(crm_orders!$J:$J,crm_orders!$B:$B,"&gt;="&amp;A993,crm_orders!$B:$B,"&lt;"&amp;DATE(YEAR(A993),MONTH(A993)+1,1),crm_orders!$E:$E,B993,crm_orders!$G:$G,C993,crm_orders!$H:$H,D993)</f>
        <v>0</v>
      </c>
      <c r="G993" s="29">
        <f>SUMIFS(warehouse_shipments!$H:$H,warehouse_shipments!$C:$C,"&gt;="&amp;A993,warehouse_shipments!$C:$C,"&lt;"&amp;DATE(YEAR(A993),MONTH(A993)+1,1),warehouse_shipments!$P:$P,B993,warehouse_shipments!$Q:$Q,C993,warehouse_shipments!$R:$R,D993)</f>
        <v>0</v>
      </c>
      <c r="H993" s="30">
        <f t="shared" si="1"/>
        <v>-204</v>
      </c>
      <c r="I993" s="65">
        <f t="shared" si="2"/>
        <v>0</v>
      </c>
      <c r="J993" s="30" t="s">
        <v>5308</v>
      </c>
    </row>
    <row r="994" ht="15.75" customHeight="1">
      <c r="A994" s="18">
        <v>46113.0</v>
      </c>
      <c r="B994" s="17" t="s">
        <v>4261</v>
      </c>
      <c r="C994" s="17" t="s">
        <v>67</v>
      </c>
      <c r="D994" s="17" t="s">
        <v>110</v>
      </c>
      <c r="E994" s="21">
        <v>185.0</v>
      </c>
      <c r="F994" s="21">
        <f>SUMIFS(crm_orders!$J:$J,crm_orders!$B:$B,"&gt;="&amp;A994,crm_orders!$B:$B,"&lt;"&amp;DATE(YEAR(A994),MONTH(A994)+1,1),crm_orders!$E:$E,B994,crm_orders!$G:$G,C994,crm_orders!$H:$H,D994)</f>
        <v>0</v>
      </c>
      <c r="G994" s="21">
        <f>SUMIFS(warehouse_shipments!$H:$H,warehouse_shipments!$C:$C,"&gt;="&amp;A994,warehouse_shipments!$C:$C,"&lt;"&amp;DATE(YEAR(A994),MONTH(A994)+1,1),warehouse_shipments!$P:$P,B994,warehouse_shipments!$Q:$Q,C994,warehouse_shipments!$R:$R,D994)</f>
        <v>0</v>
      </c>
      <c r="H994" s="22">
        <f t="shared" si="1"/>
        <v>-185</v>
      </c>
      <c r="I994" s="64">
        <f t="shared" si="2"/>
        <v>0</v>
      </c>
      <c r="J994" s="22" t="s">
        <v>5307</v>
      </c>
    </row>
    <row r="995" ht="15.75" customHeight="1">
      <c r="A995" s="26">
        <v>46113.0</v>
      </c>
      <c r="B995" s="25" t="s">
        <v>4261</v>
      </c>
      <c r="C995" s="25" t="s">
        <v>67</v>
      </c>
      <c r="D995" s="25" t="s">
        <v>85</v>
      </c>
      <c r="E995" s="29">
        <v>134.0</v>
      </c>
      <c r="F995" s="29">
        <f>SUMIFS(crm_orders!$J:$J,crm_orders!$B:$B,"&gt;="&amp;A995,crm_orders!$B:$B,"&lt;"&amp;DATE(YEAR(A995),MONTH(A995)+1,1),crm_orders!$E:$E,B995,crm_orders!$G:$G,C995,crm_orders!$H:$H,D995)</f>
        <v>0</v>
      </c>
      <c r="G995" s="29">
        <f>SUMIFS(warehouse_shipments!$H:$H,warehouse_shipments!$C:$C,"&gt;="&amp;A995,warehouse_shipments!$C:$C,"&lt;"&amp;DATE(YEAR(A995),MONTH(A995)+1,1),warehouse_shipments!$P:$P,B995,warehouse_shipments!$Q:$Q,C995,warehouse_shipments!$R:$R,D995)</f>
        <v>0</v>
      </c>
      <c r="H995" s="30">
        <f t="shared" si="1"/>
        <v>-134</v>
      </c>
      <c r="I995" s="65">
        <f t="shared" si="2"/>
        <v>0</v>
      </c>
      <c r="J995" s="30" t="s">
        <v>5306</v>
      </c>
    </row>
    <row r="996" ht="15.75" customHeight="1">
      <c r="A996" s="18">
        <v>46113.0</v>
      </c>
      <c r="B996" s="17" t="s">
        <v>4261</v>
      </c>
      <c r="C996" s="17" t="s">
        <v>67</v>
      </c>
      <c r="D996" s="17" t="s">
        <v>162</v>
      </c>
      <c r="E996" s="21">
        <v>393.0</v>
      </c>
      <c r="F996" s="21">
        <f>SUMIFS(crm_orders!$J:$J,crm_orders!$B:$B,"&gt;="&amp;A996,crm_orders!$B:$B,"&lt;"&amp;DATE(YEAR(A996),MONTH(A996)+1,1),crm_orders!$E:$E,B996,crm_orders!$G:$G,C996,crm_orders!$H:$H,D996)</f>
        <v>0</v>
      </c>
      <c r="G996" s="21">
        <f>SUMIFS(warehouse_shipments!$H:$H,warehouse_shipments!$C:$C,"&gt;="&amp;A996,warehouse_shipments!$C:$C,"&lt;"&amp;DATE(YEAR(A996),MONTH(A996)+1,1),warehouse_shipments!$P:$P,B996,warehouse_shipments!$Q:$Q,C996,warehouse_shipments!$R:$R,D996)</f>
        <v>0</v>
      </c>
      <c r="H996" s="22">
        <f t="shared" si="1"/>
        <v>-393</v>
      </c>
      <c r="I996" s="64">
        <f t="shared" si="2"/>
        <v>0</v>
      </c>
      <c r="J996" s="22" t="s">
        <v>5310</v>
      </c>
    </row>
    <row r="997" ht="15.75" customHeight="1">
      <c r="A997" s="26">
        <v>46113.0</v>
      </c>
      <c r="B997" s="25" t="s">
        <v>4261</v>
      </c>
      <c r="C997" s="25" t="s">
        <v>67</v>
      </c>
      <c r="D997" s="25" t="s">
        <v>68</v>
      </c>
      <c r="E997" s="29">
        <v>456.0</v>
      </c>
      <c r="F997" s="29">
        <f>SUMIFS(crm_orders!$J:$J,crm_orders!$B:$B,"&gt;="&amp;A997,crm_orders!$B:$B,"&lt;"&amp;DATE(YEAR(A997),MONTH(A997)+1,1),crm_orders!$E:$E,B997,crm_orders!$G:$G,C997,crm_orders!$H:$H,D997)</f>
        <v>0</v>
      </c>
      <c r="G997" s="29">
        <f>SUMIFS(warehouse_shipments!$H:$H,warehouse_shipments!$C:$C,"&gt;="&amp;A997,warehouse_shipments!$C:$C,"&lt;"&amp;DATE(YEAR(A997),MONTH(A997)+1,1),warehouse_shipments!$P:$P,B997,warehouse_shipments!$Q:$Q,C997,warehouse_shipments!$R:$R,D997)</f>
        <v>0</v>
      </c>
      <c r="H997" s="30">
        <f t="shared" si="1"/>
        <v>-456</v>
      </c>
      <c r="I997" s="65">
        <f t="shared" si="2"/>
        <v>0</v>
      </c>
      <c r="J997" s="30" t="s">
        <v>5306</v>
      </c>
    </row>
    <row r="998" ht="15.75" customHeight="1">
      <c r="A998" s="18">
        <v>46113.0</v>
      </c>
      <c r="B998" s="17" t="s">
        <v>4261</v>
      </c>
      <c r="C998" s="17" t="s">
        <v>67</v>
      </c>
      <c r="D998" s="17" t="s">
        <v>115</v>
      </c>
      <c r="E998" s="21">
        <v>265.0</v>
      </c>
      <c r="F998" s="21">
        <f>SUMIFS(crm_orders!$J:$J,crm_orders!$B:$B,"&gt;="&amp;A998,crm_orders!$B:$B,"&lt;"&amp;DATE(YEAR(A998),MONTH(A998)+1,1),crm_orders!$E:$E,B998,crm_orders!$G:$G,C998,crm_orders!$H:$H,D998)</f>
        <v>0</v>
      </c>
      <c r="G998" s="21">
        <f>SUMIFS(warehouse_shipments!$H:$H,warehouse_shipments!$C:$C,"&gt;="&amp;A998,warehouse_shipments!$C:$C,"&lt;"&amp;DATE(YEAR(A998),MONTH(A998)+1,1),warehouse_shipments!$P:$P,B998,warehouse_shipments!$Q:$Q,C998,warehouse_shipments!$R:$R,D998)</f>
        <v>0</v>
      </c>
      <c r="H998" s="22">
        <f t="shared" si="1"/>
        <v>-265</v>
      </c>
      <c r="I998" s="64">
        <f t="shared" si="2"/>
        <v>0</v>
      </c>
      <c r="J998" s="22" t="s">
        <v>5309</v>
      </c>
    </row>
    <row r="999" ht="15.75" customHeight="1">
      <c r="A999" s="26">
        <v>46113.0</v>
      </c>
      <c r="B999" s="25" t="s">
        <v>4261</v>
      </c>
      <c r="C999" s="25" t="s">
        <v>67</v>
      </c>
      <c r="D999" s="25" t="s">
        <v>81</v>
      </c>
      <c r="E999" s="29">
        <v>300.0</v>
      </c>
      <c r="F999" s="29">
        <f>SUMIFS(crm_orders!$J:$J,crm_orders!$B:$B,"&gt;="&amp;A999,crm_orders!$B:$B,"&lt;"&amp;DATE(YEAR(A999),MONTH(A999)+1,1),crm_orders!$E:$E,B999,crm_orders!$G:$G,C999,crm_orders!$H:$H,D999)</f>
        <v>0</v>
      </c>
      <c r="G999" s="29">
        <f>SUMIFS(warehouse_shipments!$H:$H,warehouse_shipments!$C:$C,"&gt;="&amp;A999,warehouse_shipments!$C:$C,"&lt;"&amp;DATE(YEAR(A999),MONTH(A999)+1,1),warehouse_shipments!$P:$P,B999,warehouse_shipments!$Q:$Q,C999,warehouse_shipments!$R:$R,D999)</f>
        <v>0</v>
      </c>
      <c r="H999" s="30">
        <f t="shared" si="1"/>
        <v>-300</v>
      </c>
      <c r="I999" s="65">
        <f t="shared" si="2"/>
        <v>0</v>
      </c>
      <c r="J999" s="30" t="s">
        <v>5307</v>
      </c>
    </row>
    <row r="1000" ht="15.75" customHeight="1">
      <c r="A1000" s="18">
        <v>46113.0</v>
      </c>
      <c r="B1000" s="17" t="s">
        <v>4261</v>
      </c>
      <c r="C1000" s="17" t="s">
        <v>67</v>
      </c>
      <c r="D1000" s="17" t="s">
        <v>64</v>
      </c>
      <c r="E1000" s="21">
        <v>380.0</v>
      </c>
      <c r="F1000" s="21">
        <f>SUMIFS(crm_orders!$J:$J,crm_orders!$B:$B,"&gt;="&amp;A1000,crm_orders!$B:$B,"&lt;"&amp;DATE(YEAR(A1000),MONTH(A1000)+1,1),crm_orders!$E:$E,B1000,crm_orders!$G:$G,C1000,crm_orders!$H:$H,D1000)</f>
        <v>96</v>
      </c>
      <c r="G1000" s="21">
        <f>SUMIFS(warehouse_shipments!$H:$H,warehouse_shipments!$C:$C,"&gt;="&amp;A1000,warehouse_shipments!$C:$C,"&lt;"&amp;DATE(YEAR(A1000),MONTH(A1000)+1,1),warehouse_shipments!$P:$P,B1000,warehouse_shipments!$Q:$Q,C1000,warehouse_shipments!$R:$R,D1000)</f>
        <v>90</v>
      </c>
      <c r="H1000" s="22">
        <f t="shared" si="1"/>
        <v>-284</v>
      </c>
      <c r="I1000" s="64">
        <f t="shared" si="2"/>
        <v>0.2526315789</v>
      </c>
      <c r="J1000" s="22" t="s">
        <v>5308</v>
      </c>
    </row>
    <row r="1001" ht="15.75" customHeight="1">
      <c r="A1001" s="26">
        <v>46113.0</v>
      </c>
      <c r="B1001" s="25" t="s">
        <v>4261</v>
      </c>
      <c r="C1001" s="25" t="s">
        <v>67</v>
      </c>
      <c r="D1001" s="25" t="s">
        <v>92</v>
      </c>
      <c r="E1001" s="29">
        <v>186.0</v>
      </c>
      <c r="F1001" s="29">
        <f>SUMIFS(crm_orders!$J:$J,crm_orders!$B:$B,"&gt;="&amp;A1001,crm_orders!$B:$B,"&lt;"&amp;DATE(YEAR(A1001),MONTH(A1001)+1,1),crm_orders!$E:$E,B1001,crm_orders!$G:$G,C1001,crm_orders!$H:$H,D1001)</f>
        <v>0</v>
      </c>
      <c r="G1001" s="29">
        <f>SUMIFS(warehouse_shipments!$H:$H,warehouse_shipments!$C:$C,"&gt;="&amp;A1001,warehouse_shipments!$C:$C,"&lt;"&amp;DATE(YEAR(A1001),MONTH(A1001)+1,1),warehouse_shipments!$P:$P,B1001,warehouse_shipments!$Q:$Q,C1001,warehouse_shipments!$R:$R,D1001)</f>
        <v>0</v>
      </c>
      <c r="H1001" s="30">
        <f t="shared" si="1"/>
        <v>-186</v>
      </c>
      <c r="I1001" s="65">
        <f t="shared" si="2"/>
        <v>0</v>
      </c>
      <c r="J1001" s="30" t="s">
        <v>5306</v>
      </c>
    </row>
    <row r="1002" ht="15.75" customHeight="1">
      <c r="A1002" s="18">
        <v>46113.0</v>
      </c>
      <c r="B1002" s="17" t="s">
        <v>4261</v>
      </c>
      <c r="C1002" s="17" t="s">
        <v>89</v>
      </c>
      <c r="D1002" s="17" t="s">
        <v>154</v>
      </c>
      <c r="E1002" s="21">
        <v>262.0</v>
      </c>
      <c r="F1002" s="21">
        <f>SUMIFS(crm_orders!$J:$J,crm_orders!$B:$B,"&gt;="&amp;A1002,crm_orders!$B:$B,"&lt;"&amp;DATE(YEAR(A1002),MONTH(A1002)+1,1),crm_orders!$E:$E,B1002,crm_orders!$G:$G,C1002,crm_orders!$H:$H,D1002)</f>
        <v>0</v>
      </c>
      <c r="G1002" s="21">
        <f>SUMIFS(warehouse_shipments!$H:$H,warehouse_shipments!$C:$C,"&gt;="&amp;A1002,warehouse_shipments!$C:$C,"&lt;"&amp;DATE(YEAR(A1002),MONTH(A1002)+1,1),warehouse_shipments!$P:$P,B1002,warehouse_shipments!$Q:$Q,C1002,warehouse_shipments!$R:$R,D1002)</f>
        <v>0</v>
      </c>
      <c r="H1002" s="22">
        <f t="shared" si="1"/>
        <v>-262</v>
      </c>
      <c r="I1002" s="64">
        <f t="shared" si="2"/>
        <v>0</v>
      </c>
      <c r="J1002" s="22" t="s">
        <v>5310</v>
      </c>
    </row>
    <row r="1003" ht="15.75" customHeight="1">
      <c r="A1003" s="26">
        <v>46113.0</v>
      </c>
      <c r="B1003" s="25" t="s">
        <v>4261</v>
      </c>
      <c r="C1003" s="25" t="s">
        <v>89</v>
      </c>
      <c r="D1003" s="25" t="s">
        <v>64</v>
      </c>
      <c r="E1003" s="29">
        <v>468.0</v>
      </c>
      <c r="F1003" s="29">
        <f>SUMIFS(crm_orders!$J:$J,crm_orders!$B:$B,"&gt;="&amp;A1003,crm_orders!$B:$B,"&lt;"&amp;DATE(YEAR(A1003),MONTH(A1003)+1,1),crm_orders!$E:$E,B1003,crm_orders!$G:$G,C1003,crm_orders!$H:$H,D1003)</f>
        <v>0</v>
      </c>
      <c r="G1003" s="29">
        <f>SUMIFS(warehouse_shipments!$H:$H,warehouse_shipments!$C:$C,"&gt;="&amp;A1003,warehouse_shipments!$C:$C,"&lt;"&amp;DATE(YEAR(A1003),MONTH(A1003)+1,1),warehouse_shipments!$P:$P,B1003,warehouse_shipments!$Q:$Q,C1003,warehouse_shipments!$R:$R,D1003)</f>
        <v>0</v>
      </c>
      <c r="H1003" s="30">
        <f t="shared" si="1"/>
        <v>-468</v>
      </c>
      <c r="I1003" s="65">
        <f t="shared" si="2"/>
        <v>0</v>
      </c>
      <c r="J1003" s="30" t="s">
        <v>5309</v>
      </c>
    </row>
    <row r="1004" ht="15.75" customHeight="1">
      <c r="A1004" s="18">
        <v>46113.0</v>
      </c>
      <c r="B1004" s="17" t="s">
        <v>4261</v>
      </c>
      <c r="C1004" s="17" t="s">
        <v>89</v>
      </c>
      <c r="D1004" s="17" t="s">
        <v>190</v>
      </c>
      <c r="E1004" s="21">
        <v>389.0</v>
      </c>
      <c r="F1004" s="21">
        <f>SUMIFS(crm_orders!$J:$J,crm_orders!$B:$B,"&gt;="&amp;A1004,crm_orders!$B:$B,"&lt;"&amp;DATE(YEAR(A1004),MONTH(A1004)+1,1),crm_orders!$E:$E,B1004,crm_orders!$G:$G,C1004,crm_orders!$H:$H,D1004)</f>
        <v>0</v>
      </c>
      <c r="G1004" s="21">
        <f>SUMIFS(warehouse_shipments!$H:$H,warehouse_shipments!$C:$C,"&gt;="&amp;A1004,warehouse_shipments!$C:$C,"&lt;"&amp;DATE(YEAR(A1004),MONTH(A1004)+1,1),warehouse_shipments!$P:$P,B1004,warehouse_shipments!$Q:$Q,C1004,warehouse_shipments!$R:$R,D1004)</f>
        <v>0</v>
      </c>
      <c r="H1004" s="22">
        <f t="shared" si="1"/>
        <v>-389</v>
      </c>
      <c r="I1004" s="64">
        <f t="shared" si="2"/>
        <v>0</v>
      </c>
      <c r="J1004" s="22" t="s">
        <v>5310</v>
      </c>
    </row>
    <row r="1005" ht="15.75" customHeight="1">
      <c r="A1005" s="26">
        <v>46113.0</v>
      </c>
      <c r="B1005" s="25" t="s">
        <v>4261</v>
      </c>
      <c r="C1005" s="25" t="s">
        <v>89</v>
      </c>
      <c r="D1005" s="25" t="s">
        <v>78</v>
      </c>
      <c r="E1005" s="29">
        <v>245.0</v>
      </c>
      <c r="F1005" s="29">
        <f>SUMIFS(crm_orders!$J:$J,crm_orders!$B:$B,"&gt;="&amp;A1005,crm_orders!$B:$B,"&lt;"&amp;DATE(YEAR(A1005),MONTH(A1005)+1,1),crm_orders!$E:$E,B1005,crm_orders!$G:$G,C1005,crm_orders!$H:$H,D1005)</f>
        <v>0</v>
      </c>
      <c r="G1005" s="29">
        <f>SUMIFS(warehouse_shipments!$H:$H,warehouse_shipments!$C:$C,"&gt;="&amp;A1005,warehouse_shipments!$C:$C,"&lt;"&amp;DATE(YEAR(A1005),MONTH(A1005)+1,1),warehouse_shipments!$P:$P,B1005,warehouse_shipments!$Q:$Q,C1005,warehouse_shipments!$R:$R,D1005)</f>
        <v>0</v>
      </c>
      <c r="H1005" s="30">
        <f t="shared" si="1"/>
        <v>-245</v>
      </c>
      <c r="I1005" s="65">
        <f t="shared" si="2"/>
        <v>0</v>
      </c>
      <c r="J1005" s="30" t="s">
        <v>5311</v>
      </c>
    </row>
    <row r="1006" ht="15.75" customHeight="1">
      <c r="A1006" s="18">
        <v>46113.0</v>
      </c>
      <c r="B1006" s="17" t="s">
        <v>4261</v>
      </c>
      <c r="C1006" s="17" t="s">
        <v>89</v>
      </c>
      <c r="D1006" s="17" t="s">
        <v>68</v>
      </c>
      <c r="E1006" s="21">
        <v>243.0</v>
      </c>
      <c r="F1006" s="21">
        <f>SUMIFS(crm_orders!$J:$J,crm_orders!$B:$B,"&gt;="&amp;A1006,crm_orders!$B:$B,"&lt;"&amp;DATE(YEAR(A1006),MONTH(A1006)+1,1),crm_orders!$E:$E,B1006,crm_orders!$G:$G,C1006,crm_orders!$H:$H,D1006)</f>
        <v>0</v>
      </c>
      <c r="G1006" s="21">
        <f>SUMIFS(warehouse_shipments!$H:$H,warehouse_shipments!$C:$C,"&gt;="&amp;A1006,warehouse_shipments!$C:$C,"&lt;"&amp;DATE(YEAR(A1006),MONTH(A1006)+1,1),warehouse_shipments!$P:$P,B1006,warehouse_shipments!$Q:$Q,C1006,warehouse_shipments!$R:$R,D1006)</f>
        <v>0</v>
      </c>
      <c r="H1006" s="22">
        <f t="shared" si="1"/>
        <v>-243</v>
      </c>
      <c r="I1006" s="64">
        <f t="shared" si="2"/>
        <v>0</v>
      </c>
      <c r="J1006" s="22" t="s">
        <v>5308</v>
      </c>
    </row>
    <row r="1007" ht="15.75" customHeight="1">
      <c r="A1007" s="26">
        <v>46113.0</v>
      </c>
      <c r="B1007" s="25" t="s">
        <v>4261</v>
      </c>
      <c r="C1007" s="25" t="s">
        <v>89</v>
      </c>
      <c r="D1007" s="25" t="s">
        <v>81</v>
      </c>
      <c r="E1007" s="29">
        <v>249.0</v>
      </c>
      <c r="F1007" s="29">
        <f>SUMIFS(crm_orders!$J:$J,crm_orders!$B:$B,"&gt;="&amp;A1007,crm_orders!$B:$B,"&lt;"&amp;DATE(YEAR(A1007),MONTH(A1007)+1,1),crm_orders!$E:$E,B1007,crm_orders!$G:$G,C1007,crm_orders!$H:$H,D1007)</f>
        <v>0</v>
      </c>
      <c r="G1007" s="29">
        <f>SUMIFS(warehouse_shipments!$H:$H,warehouse_shipments!$C:$C,"&gt;="&amp;A1007,warehouse_shipments!$C:$C,"&lt;"&amp;DATE(YEAR(A1007),MONTH(A1007)+1,1),warehouse_shipments!$P:$P,B1007,warehouse_shipments!$Q:$Q,C1007,warehouse_shipments!$R:$R,D1007)</f>
        <v>0</v>
      </c>
      <c r="H1007" s="30">
        <f t="shared" si="1"/>
        <v>-249</v>
      </c>
      <c r="I1007" s="65">
        <f t="shared" si="2"/>
        <v>0</v>
      </c>
      <c r="J1007" s="30" t="s">
        <v>5309</v>
      </c>
    </row>
    <row r="1008" ht="15.75" customHeight="1">
      <c r="A1008" s="18">
        <v>46113.0</v>
      </c>
      <c r="B1008" s="17" t="s">
        <v>4261</v>
      </c>
      <c r="C1008" s="17" t="s">
        <v>89</v>
      </c>
      <c r="D1008" s="17" t="s">
        <v>85</v>
      </c>
      <c r="E1008" s="21">
        <v>99.0</v>
      </c>
      <c r="F1008" s="21">
        <f>SUMIFS(crm_orders!$J:$J,crm_orders!$B:$B,"&gt;="&amp;A1008,crm_orders!$B:$B,"&lt;"&amp;DATE(YEAR(A1008),MONTH(A1008)+1,1),crm_orders!$E:$E,B1008,crm_orders!$G:$G,C1008,crm_orders!$H:$H,D1008)</f>
        <v>0</v>
      </c>
      <c r="G1008" s="21">
        <f>SUMIFS(warehouse_shipments!$H:$H,warehouse_shipments!$C:$C,"&gt;="&amp;A1008,warehouse_shipments!$C:$C,"&lt;"&amp;DATE(YEAR(A1008),MONTH(A1008)+1,1),warehouse_shipments!$P:$P,B1008,warehouse_shipments!$Q:$Q,C1008,warehouse_shipments!$R:$R,D1008)</f>
        <v>0</v>
      </c>
      <c r="H1008" s="22">
        <f t="shared" si="1"/>
        <v>-99</v>
      </c>
      <c r="I1008" s="64">
        <f t="shared" si="2"/>
        <v>0</v>
      </c>
      <c r="J1008" s="22" t="s">
        <v>5308</v>
      </c>
    </row>
    <row r="1009" ht="15.75" customHeight="1">
      <c r="A1009" s="26">
        <v>46113.0</v>
      </c>
      <c r="B1009" s="25" t="s">
        <v>4261</v>
      </c>
      <c r="C1009" s="25" t="s">
        <v>89</v>
      </c>
      <c r="D1009" s="25" t="s">
        <v>115</v>
      </c>
      <c r="E1009" s="29">
        <v>401.0</v>
      </c>
      <c r="F1009" s="29">
        <f>SUMIFS(crm_orders!$J:$J,crm_orders!$B:$B,"&gt;="&amp;A1009,crm_orders!$B:$B,"&lt;"&amp;DATE(YEAR(A1009),MONTH(A1009)+1,1),crm_orders!$E:$E,B1009,crm_orders!$G:$G,C1009,crm_orders!$H:$H,D1009)</f>
        <v>0</v>
      </c>
      <c r="G1009" s="29">
        <f>SUMIFS(warehouse_shipments!$H:$H,warehouse_shipments!$C:$C,"&gt;="&amp;A1009,warehouse_shipments!$C:$C,"&lt;"&amp;DATE(YEAR(A1009),MONTH(A1009)+1,1),warehouse_shipments!$P:$P,B1009,warehouse_shipments!$Q:$Q,C1009,warehouse_shipments!$R:$R,D1009)</f>
        <v>0</v>
      </c>
      <c r="H1009" s="30">
        <f t="shared" si="1"/>
        <v>-401</v>
      </c>
      <c r="I1009" s="65">
        <f t="shared" si="2"/>
        <v>0</v>
      </c>
      <c r="J1009" s="30" t="s">
        <v>5309</v>
      </c>
    </row>
    <row r="1010" ht="15.75" customHeight="1">
      <c r="A1010" s="18">
        <v>46113.0</v>
      </c>
      <c r="B1010" s="17" t="s">
        <v>4323</v>
      </c>
      <c r="C1010" s="17" t="s">
        <v>63</v>
      </c>
      <c r="D1010" s="17" t="s">
        <v>81</v>
      </c>
      <c r="E1010" s="21">
        <v>178.0</v>
      </c>
      <c r="F1010" s="21">
        <f>SUMIFS(crm_orders!$J:$J,crm_orders!$B:$B,"&gt;="&amp;A1010,crm_orders!$B:$B,"&lt;"&amp;DATE(YEAR(A1010),MONTH(A1010)+1,1),crm_orders!$E:$E,B1010,crm_orders!$G:$G,C1010,crm_orders!$H:$H,D1010)</f>
        <v>24</v>
      </c>
      <c r="G1010" s="21">
        <f>SUMIFS(warehouse_shipments!$H:$H,warehouse_shipments!$C:$C,"&gt;="&amp;A1010,warehouse_shipments!$C:$C,"&lt;"&amp;DATE(YEAR(A1010),MONTH(A1010)+1,1),warehouse_shipments!$P:$P,B1010,warehouse_shipments!$Q:$Q,C1010,warehouse_shipments!$R:$R,D1010)</f>
        <v>6</v>
      </c>
      <c r="H1010" s="22">
        <f t="shared" si="1"/>
        <v>-154</v>
      </c>
      <c r="I1010" s="64">
        <f t="shared" si="2"/>
        <v>0.1348314607</v>
      </c>
      <c r="J1010" s="22" t="s">
        <v>5309</v>
      </c>
    </row>
    <row r="1011" ht="15.75" customHeight="1">
      <c r="A1011" s="26">
        <v>46113.0</v>
      </c>
      <c r="B1011" s="25" t="s">
        <v>4323</v>
      </c>
      <c r="C1011" s="25" t="s">
        <v>63</v>
      </c>
      <c r="D1011" s="25" t="s">
        <v>85</v>
      </c>
      <c r="E1011" s="29">
        <v>332.0</v>
      </c>
      <c r="F1011" s="29">
        <f>SUMIFS(crm_orders!$J:$J,crm_orders!$B:$B,"&gt;="&amp;A1011,crm_orders!$B:$B,"&lt;"&amp;DATE(YEAR(A1011),MONTH(A1011)+1,1),crm_orders!$E:$E,B1011,crm_orders!$G:$G,C1011,crm_orders!$H:$H,D1011)</f>
        <v>0</v>
      </c>
      <c r="G1011" s="29">
        <f>SUMIFS(warehouse_shipments!$H:$H,warehouse_shipments!$C:$C,"&gt;="&amp;A1011,warehouse_shipments!$C:$C,"&lt;"&amp;DATE(YEAR(A1011),MONTH(A1011)+1,1),warehouse_shipments!$P:$P,B1011,warehouse_shipments!$Q:$Q,C1011,warehouse_shipments!$R:$R,D1011)</f>
        <v>0</v>
      </c>
      <c r="H1011" s="30">
        <f t="shared" si="1"/>
        <v>-332</v>
      </c>
      <c r="I1011" s="65">
        <f t="shared" si="2"/>
        <v>0</v>
      </c>
      <c r="J1011" s="30" t="s">
        <v>5308</v>
      </c>
    </row>
    <row r="1012" ht="15.75" customHeight="1">
      <c r="A1012" s="18">
        <v>46113.0</v>
      </c>
      <c r="B1012" s="17" t="s">
        <v>4323</v>
      </c>
      <c r="C1012" s="17" t="s">
        <v>63</v>
      </c>
      <c r="D1012" s="17" t="s">
        <v>156</v>
      </c>
      <c r="E1012" s="21">
        <v>486.0</v>
      </c>
      <c r="F1012" s="21">
        <f>SUMIFS(crm_orders!$J:$J,crm_orders!$B:$B,"&gt;="&amp;A1012,crm_orders!$B:$B,"&lt;"&amp;DATE(YEAR(A1012),MONTH(A1012)+1,1),crm_orders!$E:$E,B1012,crm_orders!$G:$G,C1012,crm_orders!$H:$H,D1012)</f>
        <v>18</v>
      </c>
      <c r="G1012" s="21">
        <f>SUMIFS(warehouse_shipments!$H:$H,warehouse_shipments!$C:$C,"&gt;="&amp;A1012,warehouse_shipments!$C:$C,"&lt;"&amp;DATE(YEAR(A1012),MONTH(A1012)+1,1),warehouse_shipments!$P:$P,B1012,warehouse_shipments!$Q:$Q,C1012,warehouse_shipments!$R:$R,D1012)</f>
        <v>6</v>
      </c>
      <c r="H1012" s="22">
        <f t="shared" si="1"/>
        <v>-468</v>
      </c>
      <c r="I1012" s="64">
        <f t="shared" si="2"/>
        <v>0.03703703704</v>
      </c>
      <c r="J1012" s="22" t="s">
        <v>5309</v>
      </c>
    </row>
    <row r="1013" ht="15.75" customHeight="1">
      <c r="A1013" s="26">
        <v>46113.0</v>
      </c>
      <c r="B1013" s="25" t="s">
        <v>4323</v>
      </c>
      <c r="C1013" s="25" t="s">
        <v>63</v>
      </c>
      <c r="D1013" s="25" t="s">
        <v>90</v>
      </c>
      <c r="E1013" s="29">
        <v>202.0</v>
      </c>
      <c r="F1013" s="29">
        <f>SUMIFS(crm_orders!$J:$J,crm_orders!$B:$B,"&gt;="&amp;A1013,crm_orders!$B:$B,"&lt;"&amp;DATE(YEAR(A1013),MONTH(A1013)+1,1),crm_orders!$E:$E,B1013,crm_orders!$G:$G,C1013,crm_orders!$H:$H,D1013)</f>
        <v>6</v>
      </c>
      <c r="G1013" s="29">
        <f>SUMIFS(warehouse_shipments!$H:$H,warehouse_shipments!$C:$C,"&gt;="&amp;A1013,warehouse_shipments!$C:$C,"&lt;"&amp;DATE(YEAR(A1013),MONTH(A1013)+1,1),warehouse_shipments!$P:$P,B1013,warehouse_shipments!$Q:$Q,C1013,warehouse_shipments!$R:$R,D1013)</f>
        <v>0</v>
      </c>
      <c r="H1013" s="30">
        <f t="shared" si="1"/>
        <v>-196</v>
      </c>
      <c r="I1013" s="65">
        <f t="shared" si="2"/>
        <v>0.0297029703</v>
      </c>
      <c r="J1013" s="30" t="s">
        <v>5310</v>
      </c>
    </row>
    <row r="1014" ht="15.75" customHeight="1">
      <c r="A1014" s="18">
        <v>46113.0</v>
      </c>
      <c r="B1014" s="17" t="s">
        <v>4323</v>
      </c>
      <c r="C1014" s="17" t="s">
        <v>63</v>
      </c>
      <c r="D1014" s="17" t="s">
        <v>110</v>
      </c>
      <c r="E1014" s="21">
        <v>370.0</v>
      </c>
      <c r="F1014" s="21">
        <f>SUMIFS(crm_orders!$J:$J,crm_orders!$B:$B,"&gt;="&amp;A1014,crm_orders!$B:$B,"&lt;"&amp;DATE(YEAR(A1014),MONTH(A1014)+1,1),crm_orders!$E:$E,B1014,crm_orders!$G:$G,C1014,crm_orders!$H:$H,D1014)</f>
        <v>132</v>
      </c>
      <c r="G1014" s="21">
        <f>SUMIFS(warehouse_shipments!$H:$H,warehouse_shipments!$C:$C,"&gt;="&amp;A1014,warehouse_shipments!$C:$C,"&lt;"&amp;DATE(YEAR(A1014),MONTH(A1014)+1,1),warehouse_shipments!$P:$P,B1014,warehouse_shipments!$Q:$Q,C1014,warehouse_shipments!$R:$R,D1014)</f>
        <v>192</v>
      </c>
      <c r="H1014" s="22">
        <f t="shared" si="1"/>
        <v>-238</v>
      </c>
      <c r="I1014" s="64">
        <f t="shared" si="2"/>
        <v>0.3567567568</v>
      </c>
      <c r="J1014" s="22" t="s">
        <v>5311</v>
      </c>
    </row>
    <row r="1015" ht="15.75" customHeight="1">
      <c r="A1015" s="26">
        <v>46113.0</v>
      </c>
      <c r="B1015" s="25" t="s">
        <v>4323</v>
      </c>
      <c r="C1015" s="25" t="s">
        <v>63</v>
      </c>
      <c r="D1015" s="25" t="s">
        <v>115</v>
      </c>
      <c r="E1015" s="29">
        <v>320.0</v>
      </c>
      <c r="F1015" s="29">
        <f>SUMIFS(crm_orders!$J:$J,crm_orders!$B:$B,"&gt;="&amp;A1015,crm_orders!$B:$B,"&lt;"&amp;DATE(YEAR(A1015),MONTH(A1015)+1,1),crm_orders!$E:$E,B1015,crm_orders!$G:$G,C1015,crm_orders!$H:$H,D1015)</f>
        <v>0</v>
      </c>
      <c r="G1015" s="29">
        <f>SUMIFS(warehouse_shipments!$H:$H,warehouse_shipments!$C:$C,"&gt;="&amp;A1015,warehouse_shipments!$C:$C,"&lt;"&amp;DATE(YEAR(A1015),MONTH(A1015)+1,1),warehouse_shipments!$P:$P,B1015,warehouse_shipments!$Q:$Q,C1015,warehouse_shipments!$R:$R,D1015)</f>
        <v>0</v>
      </c>
      <c r="H1015" s="30">
        <f t="shared" si="1"/>
        <v>-320</v>
      </c>
      <c r="I1015" s="65">
        <f t="shared" si="2"/>
        <v>0</v>
      </c>
      <c r="J1015" s="30" t="s">
        <v>5308</v>
      </c>
    </row>
    <row r="1016" ht="15.75" customHeight="1">
      <c r="A1016" s="18">
        <v>46113.0</v>
      </c>
      <c r="B1016" s="17" t="s">
        <v>4323</v>
      </c>
      <c r="C1016" s="17" t="s">
        <v>63</v>
      </c>
      <c r="D1016" s="17" t="s">
        <v>64</v>
      </c>
      <c r="E1016" s="21">
        <v>278.0</v>
      </c>
      <c r="F1016" s="21">
        <f>SUMIFS(crm_orders!$J:$J,crm_orders!$B:$B,"&gt;="&amp;A1016,crm_orders!$B:$B,"&lt;"&amp;DATE(YEAR(A1016),MONTH(A1016)+1,1),crm_orders!$E:$E,B1016,crm_orders!$G:$G,C1016,crm_orders!$H:$H,D1016)</f>
        <v>0</v>
      </c>
      <c r="G1016" s="21">
        <f>SUMIFS(warehouse_shipments!$H:$H,warehouse_shipments!$C:$C,"&gt;="&amp;A1016,warehouse_shipments!$C:$C,"&lt;"&amp;DATE(YEAR(A1016),MONTH(A1016)+1,1),warehouse_shipments!$P:$P,B1016,warehouse_shipments!$Q:$Q,C1016,warehouse_shipments!$R:$R,D1016)</f>
        <v>0</v>
      </c>
      <c r="H1016" s="22">
        <f t="shared" si="1"/>
        <v>-278</v>
      </c>
      <c r="I1016" s="64">
        <f t="shared" si="2"/>
        <v>0</v>
      </c>
      <c r="J1016" s="22" t="s">
        <v>5306</v>
      </c>
    </row>
    <row r="1017" ht="15.75" customHeight="1">
      <c r="A1017" s="26">
        <v>46113.0</v>
      </c>
      <c r="B1017" s="25" t="s">
        <v>4323</v>
      </c>
      <c r="C1017" s="25" t="s">
        <v>63</v>
      </c>
      <c r="D1017" s="25" t="s">
        <v>74</v>
      </c>
      <c r="E1017" s="29">
        <v>129.0</v>
      </c>
      <c r="F1017" s="29">
        <f>SUMIFS(crm_orders!$J:$J,crm_orders!$B:$B,"&gt;="&amp;A1017,crm_orders!$B:$B,"&lt;"&amp;DATE(YEAR(A1017),MONTH(A1017)+1,1),crm_orders!$E:$E,B1017,crm_orders!$G:$G,C1017,crm_orders!$H:$H,D1017)</f>
        <v>0</v>
      </c>
      <c r="G1017" s="29">
        <f>SUMIFS(warehouse_shipments!$H:$H,warehouse_shipments!$C:$C,"&gt;="&amp;A1017,warehouse_shipments!$C:$C,"&lt;"&amp;DATE(YEAR(A1017),MONTH(A1017)+1,1),warehouse_shipments!$P:$P,B1017,warehouse_shipments!$Q:$Q,C1017,warehouse_shipments!$R:$R,D1017)</f>
        <v>0</v>
      </c>
      <c r="H1017" s="30">
        <f t="shared" si="1"/>
        <v>-129</v>
      </c>
      <c r="I1017" s="65">
        <f t="shared" si="2"/>
        <v>0</v>
      </c>
      <c r="J1017" s="30" t="s">
        <v>5307</v>
      </c>
    </row>
    <row r="1018" ht="15.75" customHeight="1">
      <c r="A1018" s="18">
        <v>46113.0</v>
      </c>
      <c r="B1018" s="17" t="s">
        <v>4323</v>
      </c>
      <c r="C1018" s="17" t="s">
        <v>67</v>
      </c>
      <c r="D1018" s="17" t="s">
        <v>78</v>
      </c>
      <c r="E1018" s="21">
        <v>455.0</v>
      </c>
      <c r="F1018" s="21">
        <f>SUMIFS(crm_orders!$J:$J,crm_orders!$B:$B,"&gt;="&amp;A1018,crm_orders!$B:$B,"&lt;"&amp;DATE(YEAR(A1018),MONTH(A1018)+1,1),crm_orders!$E:$E,B1018,crm_orders!$G:$G,C1018,crm_orders!$H:$H,D1018)</f>
        <v>30</v>
      </c>
      <c r="G1018" s="21">
        <f>SUMIFS(warehouse_shipments!$H:$H,warehouse_shipments!$C:$C,"&gt;="&amp;A1018,warehouse_shipments!$C:$C,"&lt;"&amp;DATE(YEAR(A1018),MONTH(A1018)+1,1),warehouse_shipments!$P:$P,B1018,warehouse_shipments!$Q:$Q,C1018,warehouse_shipments!$R:$R,D1018)</f>
        <v>30</v>
      </c>
      <c r="H1018" s="22">
        <f t="shared" si="1"/>
        <v>-425</v>
      </c>
      <c r="I1018" s="64">
        <f t="shared" si="2"/>
        <v>0.06593406593</v>
      </c>
      <c r="J1018" s="22" t="s">
        <v>5310</v>
      </c>
    </row>
    <row r="1019" ht="15.75" customHeight="1">
      <c r="A1019" s="26">
        <v>46113.0</v>
      </c>
      <c r="B1019" s="25" t="s">
        <v>4323</v>
      </c>
      <c r="C1019" s="25" t="s">
        <v>67</v>
      </c>
      <c r="D1019" s="25" t="s">
        <v>81</v>
      </c>
      <c r="E1019" s="29">
        <v>443.0</v>
      </c>
      <c r="F1019" s="29">
        <f>SUMIFS(crm_orders!$J:$J,crm_orders!$B:$B,"&gt;="&amp;A1019,crm_orders!$B:$B,"&lt;"&amp;DATE(YEAR(A1019),MONTH(A1019)+1,1),crm_orders!$E:$E,B1019,crm_orders!$G:$G,C1019,crm_orders!$H:$H,D1019)</f>
        <v>0</v>
      </c>
      <c r="G1019" s="29">
        <f>SUMIFS(warehouse_shipments!$H:$H,warehouse_shipments!$C:$C,"&gt;="&amp;A1019,warehouse_shipments!$C:$C,"&lt;"&amp;DATE(YEAR(A1019),MONTH(A1019)+1,1),warehouse_shipments!$P:$P,B1019,warehouse_shipments!$Q:$Q,C1019,warehouse_shipments!$R:$R,D1019)</f>
        <v>0</v>
      </c>
      <c r="H1019" s="30">
        <f t="shared" si="1"/>
        <v>-443</v>
      </c>
      <c r="I1019" s="65">
        <f t="shared" si="2"/>
        <v>0</v>
      </c>
      <c r="J1019" s="30" t="s">
        <v>5306</v>
      </c>
    </row>
    <row r="1020" ht="15.75" customHeight="1">
      <c r="A1020" s="18">
        <v>46113.0</v>
      </c>
      <c r="B1020" s="17" t="s">
        <v>4323</v>
      </c>
      <c r="C1020" s="17" t="s">
        <v>67</v>
      </c>
      <c r="D1020" s="17" t="s">
        <v>102</v>
      </c>
      <c r="E1020" s="21">
        <v>208.0</v>
      </c>
      <c r="F1020" s="21">
        <f>SUMIFS(crm_orders!$J:$J,crm_orders!$B:$B,"&gt;="&amp;A1020,crm_orders!$B:$B,"&lt;"&amp;DATE(YEAR(A1020),MONTH(A1020)+1,1),crm_orders!$E:$E,B1020,crm_orders!$G:$G,C1020,crm_orders!$H:$H,D1020)</f>
        <v>0</v>
      </c>
      <c r="G1020" s="21">
        <f>SUMIFS(warehouse_shipments!$H:$H,warehouse_shipments!$C:$C,"&gt;="&amp;A1020,warehouse_shipments!$C:$C,"&lt;"&amp;DATE(YEAR(A1020),MONTH(A1020)+1,1),warehouse_shipments!$P:$P,B1020,warehouse_shipments!$Q:$Q,C1020,warehouse_shipments!$R:$R,D1020)</f>
        <v>0</v>
      </c>
      <c r="H1020" s="22">
        <f t="shared" si="1"/>
        <v>-208</v>
      </c>
      <c r="I1020" s="64">
        <f t="shared" si="2"/>
        <v>0</v>
      </c>
      <c r="J1020" s="22" t="s">
        <v>5310</v>
      </c>
    </row>
    <row r="1021" ht="15.75" customHeight="1">
      <c r="A1021" s="26">
        <v>46113.0</v>
      </c>
      <c r="B1021" s="25" t="s">
        <v>4323</v>
      </c>
      <c r="C1021" s="25" t="s">
        <v>67</v>
      </c>
      <c r="D1021" s="25" t="s">
        <v>95</v>
      </c>
      <c r="E1021" s="29">
        <v>509.0</v>
      </c>
      <c r="F1021" s="29">
        <f>SUMIFS(crm_orders!$J:$J,crm_orders!$B:$B,"&gt;="&amp;A1021,crm_orders!$B:$B,"&lt;"&amp;DATE(YEAR(A1021),MONTH(A1021)+1,1),crm_orders!$E:$E,B1021,crm_orders!$G:$G,C1021,crm_orders!$H:$H,D1021)</f>
        <v>0</v>
      </c>
      <c r="G1021" s="29">
        <f>SUMIFS(warehouse_shipments!$H:$H,warehouse_shipments!$C:$C,"&gt;="&amp;A1021,warehouse_shipments!$C:$C,"&lt;"&amp;DATE(YEAR(A1021),MONTH(A1021)+1,1),warehouse_shipments!$P:$P,B1021,warehouse_shipments!$Q:$Q,C1021,warehouse_shipments!$R:$R,D1021)</f>
        <v>0</v>
      </c>
      <c r="H1021" s="30">
        <f t="shared" si="1"/>
        <v>-509</v>
      </c>
      <c r="I1021" s="65">
        <f t="shared" si="2"/>
        <v>0</v>
      </c>
      <c r="J1021" s="30" t="s">
        <v>5310</v>
      </c>
    </row>
    <row r="1022" ht="15.75" customHeight="1">
      <c r="A1022" s="18">
        <v>46113.0</v>
      </c>
      <c r="B1022" s="17" t="s">
        <v>4323</v>
      </c>
      <c r="C1022" s="17" t="s">
        <v>67</v>
      </c>
      <c r="D1022" s="17" t="s">
        <v>71</v>
      </c>
      <c r="E1022" s="21">
        <v>411.0</v>
      </c>
      <c r="F1022" s="21">
        <f>SUMIFS(crm_orders!$J:$J,crm_orders!$B:$B,"&gt;="&amp;A1022,crm_orders!$B:$B,"&lt;"&amp;DATE(YEAR(A1022),MONTH(A1022)+1,1),crm_orders!$E:$E,B1022,crm_orders!$G:$G,C1022,crm_orders!$H:$H,D1022)</f>
        <v>0</v>
      </c>
      <c r="G1022" s="21">
        <f>SUMIFS(warehouse_shipments!$H:$H,warehouse_shipments!$C:$C,"&gt;="&amp;A1022,warehouse_shipments!$C:$C,"&lt;"&amp;DATE(YEAR(A1022),MONTH(A1022)+1,1),warehouse_shipments!$P:$P,B1022,warehouse_shipments!$Q:$Q,C1022,warehouse_shipments!$R:$R,D1022)</f>
        <v>0</v>
      </c>
      <c r="H1022" s="22">
        <f t="shared" si="1"/>
        <v>-411</v>
      </c>
      <c r="I1022" s="64">
        <f t="shared" si="2"/>
        <v>0</v>
      </c>
      <c r="J1022" s="22" t="s">
        <v>5306</v>
      </c>
    </row>
    <row r="1023" ht="15.75" customHeight="1">
      <c r="A1023" s="26">
        <v>46113.0</v>
      </c>
      <c r="B1023" s="25" t="s">
        <v>4323</v>
      </c>
      <c r="C1023" s="25" t="s">
        <v>67</v>
      </c>
      <c r="D1023" s="25" t="s">
        <v>154</v>
      </c>
      <c r="E1023" s="29">
        <v>228.0</v>
      </c>
      <c r="F1023" s="29">
        <f>SUMIFS(crm_orders!$J:$J,crm_orders!$B:$B,"&gt;="&amp;A1023,crm_orders!$B:$B,"&lt;"&amp;DATE(YEAR(A1023),MONTH(A1023)+1,1),crm_orders!$E:$E,B1023,crm_orders!$G:$G,C1023,crm_orders!$H:$H,D1023)</f>
        <v>0</v>
      </c>
      <c r="G1023" s="29">
        <f>SUMIFS(warehouse_shipments!$H:$H,warehouse_shipments!$C:$C,"&gt;="&amp;A1023,warehouse_shipments!$C:$C,"&lt;"&amp;DATE(YEAR(A1023),MONTH(A1023)+1,1),warehouse_shipments!$P:$P,B1023,warehouse_shipments!$Q:$Q,C1023,warehouse_shipments!$R:$R,D1023)</f>
        <v>0</v>
      </c>
      <c r="H1023" s="30">
        <f t="shared" si="1"/>
        <v>-228</v>
      </c>
      <c r="I1023" s="65">
        <f t="shared" si="2"/>
        <v>0</v>
      </c>
      <c r="J1023" s="30" t="s">
        <v>5310</v>
      </c>
    </row>
    <row r="1024" ht="15.75" customHeight="1">
      <c r="A1024" s="18">
        <v>46113.0</v>
      </c>
      <c r="B1024" s="17" t="s">
        <v>4323</v>
      </c>
      <c r="C1024" s="17" t="s">
        <v>67</v>
      </c>
      <c r="D1024" s="17" t="s">
        <v>68</v>
      </c>
      <c r="E1024" s="21">
        <v>290.0</v>
      </c>
      <c r="F1024" s="21">
        <f>SUMIFS(crm_orders!$J:$J,crm_orders!$B:$B,"&gt;="&amp;A1024,crm_orders!$B:$B,"&lt;"&amp;DATE(YEAR(A1024),MONTH(A1024)+1,1),crm_orders!$E:$E,B1024,crm_orders!$G:$G,C1024,crm_orders!$H:$H,D1024)</f>
        <v>0</v>
      </c>
      <c r="G1024" s="21">
        <f>SUMIFS(warehouse_shipments!$H:$H,warehouse_shipments!$C:$C,"&gt;="&amp;A1024,warehouse_shipments!$C:$C,"&lt;"&amp;DATE(YEAR(A1024),MONTH(A1024)+1,1),warehouse_shipments!$P:$P,B1024,warehouse_shipments!$Q:$Q,C1024,warehouse_shipments!$R:$R,D1024)</f>
        <v>0</v>
      </c>
      <c r="H1024" s="22">
        <f t="shared" si="1"/>
        <v>-290</v>
      </c>
      <c r="I1024" s="64">
        <f t="shared" si="2"/>
        <v>0</v>
      </c>
      <c r="J1024" s="22" t="s">
        <v>5310</v>
      </c>
    </row>
    <row r="1025" ht="15.75" customHeight="1">
      <c r="A1025" s="26">
        <v>46113.0</v>
      </c>
      <c r="B1025" s="25" t="s">
        <v>4323</v>
      </c>
      <c r="C1025" s="25" t="s">
        <v>67</v>
      </c>
      <c r="D1025" s="25" t="s">
        <v>108</v>
      </c>
      <c r="E1025" s="29">
        <v>444.0</v>
      </c>
      <c r="F1025" s="29">
        <f>SUMIFS(crm_orders!$J:$J,crm_orders!$B:$B,"&gt;="&amp;A1025,crm_orders!$B:$B,"&lt;"&amp;DATE(YEAR(A1025),MONTH(A1025)+1,1),crm_orders!$E:$E,B1025,crm_orders!$G:$G,C1025,crm_orders!$H:$H,D1025)</f>
        <v>0</v>
      </c>
      <c r="G1025" s="29">
        <f>SUMIFS(warehouse_shipments!$H:$H,warehouse_shipments!$C:$C,"&gt;="&amp;A1025,warehouse_shipments!$C:$C,"&lt;"&amp;DATE(YEAR(A1025),MONTH(A1025)+1,1),warehouse_shipments!$P:$P,B1025,warehouse_shipments!$Q:$Q,C1025,warehouse_shipments!$R:$R,D1025)</f>
        <v>0</v>
      </c>
      <c r="H1025" s="30">
        <f t="shared" si="1"/>
        <v>-444</v>
      </c>
      <c r="I1025" s="65">
        <f t="shared" si="2"/>
        <v>0</v>
      </c>
      <c r="J1025" s="30" t="s">
        <v>5307</v>
      </c>
    </row>
    <row r="1026" ht="15.75" customHeight="1">
      <c r="A1026" s="18">
        <v>46113.0</v>
      </c>
      <c r="B1026" s="17" t="s">
        <v>4323</v>
      </c>
      <c r="C1026" s="17" t="s">
        <v>89</v>
      </c>
      <c r="D1026" s="17" t="s">
        <v>81</v>
      </c>
      <c r="E1026" s="21">
        <v>261.0</v>
      </c>
      <c r="F1026" s="21">
        <f>SUMIFS(crm_orders!$J:$J,crm_orders!$B:$B,"&gt;="&amp;A1026,crm_orders!$B:$B,"&lt;"&amp;DATE(YEAR(A1026),MONTH(A1026)+1,1),crm_orders!$E:$E,B1026,crm_orders!$G:$G,C1026,crm_orders!$H:$H,D1026)</f>
        <v>72</v>
      </c>
      <c r="G1026" s="21">
        <f>SUMIFS(warehouse_shipments!$H:$H,warehouse_shipments!$C:$C,"&gt;="&amp;A1026,warehouse_shipments!$C:$C,"&lt;"&amp;DATE(YEAR(A1026),MONTH(A1026)+1,1),warehouse_shipments!$P:$P,B1026,warehouse_shipments!$Q:$Q,C1026,warehouse_shipments!$R:$R,D1026)</f>
        <v>0</v>
      </c>
      <c r="H1026" s="22">
        <f t="shared" si="1"/>
        <v>-189</v>
      </c>
      <c r="I1026" s="64">
        <f t="shared" si="2"/>
        <v>0.275862069</v>
      </c>
      <c r="J1026" s="22" t="s">
        <v>5307</v>
      </c>
    </row>
    <row r="1027" ht="15.75" customHeight="1">
      <c r="A1027" s="26">
        <v>46113.0</v>
      </c>
      <c r="B1027" s="25" t="s">
        <v>4323</v>
      </c>
      <c r="C1027" s="25" t="s">
        <v>89</v>
      </c>
      <c r="D1027" s="25" t="s">
        <v>190</v>
      </c>
      <c r="E1027" s="29">
        <v>380.0</v>
      </c>
      <c r="F1027" s="29">
        <f>SUMIFS(crm_orders!$J:$J,crm_orders!$B:$B,"&gt;="&amp;A1027,crm_orders!$B:$B,"&lt;"&amp;DATE(YEAR(A1027),MONTH(A1027)+1,1),crm_orders!$E:$E,B1027,crm_orders!$G:$G,C1027,crm_orders!$H:$H,D1027)</f>
        <v>0</v>
      </c>
      <c r="G1027" s="29">
        <f>SUMIFS(warehouse_shipments!$H:$H,warehouse_shipments!$C:$C,"&gt;="&amp;A1027,warehouse_shipments!$C:$C,"&lt;"&amp;DATE(YEAR(A1027),MONTH(A1027)+1,1),warehouse_shipments!$P:$P,B1027,warehouse_shipments!$Q:$Q,C1027,warehouse_shipments!$R:$R,D1027)</f>
        <v>0</v>
      </c>
      <c r="H1027" s="30">
        <f t="shared" si="1"/>
        <v>-380</v>
      </c>
      <c r="I1027" s="65">
        <f t="shared" si="2"/>
        <v>0</v>
      </c>
      <c r="J1027" s="30" t="s">
        <v>5308</v>
      </c>
    </row>
    <row r="1028" ht="15.75" customHeight="1">
      <c r="A1028" s="18">
        <v>46113.0</v>
      </c>
      <c r="B1028" s="17" t="s">
        <v>4323</v>
      </c>
      <c r="C1028" s="17" t="s">
        <v>89</v>
      </c>
      <c r="D1028" s="17" t="s">
        <v>68</v>
      </c>
      <c r="E1028" s="21">
        <v>231.0</v>
      </c>
      <c r="F1028" s="21">
        <f>SUMIFS(crm_orders!$J:$J,crm_orders!$B:$B,"&gt;="&amp;A1028,crm_orders!$B:$B,"&lt;"&amp;DATE(YEAR(A1028),MONTH(A1028)+1,1),crm_orders!$E:$E,B1028,crm_orders!$G:$G,C1028,crm_orders!$H:$H,D1028)</f>
        <v>0</v>
      </c>
      <c r="G1028" s="21">
        <f>SUMIFS(warehouse_shipments!$H:$H,warehouse_shipments!$C:$C,"&gt;="&amp;A1028,warehouse_shipments!$C:$C,"&lt;"&amp;DATE(YEAR(A1028),MONTH(A1028)+1,1),warehouse_shipments!$P:$P,B1028,warehouse_shipments!$Q:$Q,C1028,warehouse_shipments!$R:$R,D1028)</f>
        <v>0</v>
      </c>
      <c r="H1028" s="22">
        <f t="shared" si="1"/>
        <v>-231</v>
      </c>
      <c r="I1028" s="64">
        <f t="shared" si="2"/>
        <v>0</v>
      </c>
      <c r="J1028" s="22" t="s">
        <v>5308</v>
      </c>
    </row>
    <row r="1029" ht="15.75" customHeight="1">
      <c r="A1029" s="26">
        <v>46113.0</v>
      </c>
      <c r="B1029" s="25" t="s">
        <v>4323</v>
      </c>
      <c r="C1029" s="25" t="s">
        <v>89</v>
      </c>
      <c r="D1029" s="25" t="s">
        <v>156</v>
      </c>
      <c r="E1029" s="29">
        <v>91.0</v>
      </c>
      <c r="F1029" s="29">
        <f>SUMIFS(crm_orders!$J:$J,crm_orders!$B:$B,"&gt;="&amp;A1029,crm_orders!$B:$B,"&lt;"&amp;DATE(YEAR(A1029),MONTH(A1029)+1,1),crm_orders!$E:$E,B1029,crm_orders!$G:$G,C1029,crm_orders!$H:$H,D1029)</f>
        <v>0</v>
      </c>
      <c r="G1029" s="29">
        <f>SUMIFS(warehouse_shipments!$H:$H,warehouse_shipments!$C:$C,"&gt;="&amp;A1029,warehouse_shipments!$C:$C,"&lt;"&amp;DATE(YEAR(A1029),MONTH(A1029)+1,1),warehouse_shipments!$P:$P,B1029,warehouse_shipments!$Q:$Q,C1029,warehouse_shipments!$R:$R,D1029)</f>
        <v>0</v>
      </c>
      <c r="H1029" s="30">
        <f t="shared" si="1"/>
        <v>-91</v>
      </c>
      <c r="I1029" s="65">
        <f t="shared" si="2"/>
        <v>0</v>
      </c>
      <c r="J1029" s="30" t="s">
        <v>5307</v>
      </c>
    </row>
    <row r="1030" ht="15.75" customHeight="1">
      <c r="A1030" s="18">
        <v>46113.0</v>
      </c>
      <c r="B1030" s="17" t="s">
        <v>4323</v>
      </c>
      <c r="C1030" s="17" t="s">
        <v>89</v>
      </c>
      <c r="D1030" s="17" t="s">
        <v>71</v>
      </c>
      <c r="E1030" s="21">
        <v>481.0</v>
      </c>
      <c r="F1030" s="21">
        <f>SUMIFS(crm_orders!$J:$J,crm_orders!$B:$B,"&gt;="&amp;A1030,crm_orders!$B:$B,"&lt;"&amp;DATE(YEAR(A1030),MONTH(A1030)+1,1),crm_orders!$E:$E,B1030,crm_orders!$G:$G,C1030,crm_orders!$H:$H,D1030)</f>
        <v>0</v>
      </c>
      <c r="G1030" s="21">
        <f>SUMIFS(warehouse_shipments!$H:$H,warehouse_shipments!$C:$C,"&gt;="&amp;A1030,warehouse_shipments!$C:$C,"&lt;"&amp;DATE(YEAR(A1030),MONTH(A1030)+1,1),warehouse_shipments!$P:$P,B1030,warehouse_shipments!$Q:$Q,C1030,warehouse_shipments!$R:$R,D1030)</f>
        <v>0</v>
      </c>
      <c r="H1030" s="22">
        <f t="shared" si="1"/>
        <v>-481</v>
      </c>
      <c r="I1030" s="64">
        <f t="shared" si="2"/>
        <v>0</v>
      </c>
      <c r="J1030" s="22" t="s">
        <v>5308</v>
      </c>
    </row>
    <row r="1031" ht="15.75" customHeight="1">
      <c r="A1031" s="26">
        <v>46113.0</v>
      </c>
      <c r="B1031" s="25" t="s">
        <v>4323</v>
      </c>
      <c r="C1031" s="25" t="s">
        <v>89</v>
      </c>
      <c r="D1031" s="25" t="s">
        <v>74</v>
      </c>
      <c r="E1031" s="29">
        <v>448.0</v>
      </c>
      <c r="F1031" s="29">
        <f>SUMIFS(crm_orders!$J:$J,crm_orders!$B:$B,"&gt;="&amp;A1031,crm_orders!$B:$B,"&lt;"&amp;DATE(YEAR(A1031),MONTH(A1031)+1,1),crm_orders!$E:$E,B1031,crm_orders!$G:$G,C1031,crm_orders!$H:$H,D1031)</f>
        <v>18</v>
      </c>
      <c r="G1031" s="29">
        <f>SUMIFS(warehouse_shipments!$H:$H,warehouse_shipments!$C:$C,"&gt;="&amp;A1031,warehouse_shipments!$C:$C,"&lt;"&amp;DATE(YEAR(A1031),MONTH(A1031)+1,1),warehouse_shipments!$P:$P,B1031,warehouse_shipments!$Q:$Q,C1031,warehouse_shipments!$R:$R,D1031)</f>
        <v>18</v>
      </c>
      <c r="H1031" s="30">
        <f t="shared" si="1"/>
        <v>-430</v>
      </c>
      <c r="I1031" s="65">
        <f t="shared" si="2"/>
        <v>0.04017857143</v>
      </c>
      <c r="J1031" s="30" t="s">
        <v>5309</v>
      </c>
    </row>
    <row r="1032" ht="15.75" customHeight="1">
      <c r="A1032" s="18">
        <v>46113.0</v>
      </c>
      <c r="B1032" s="17" t="s">
        <v>4323</v>
      </c>
      <c r="C1032" s="17" t="s">
        <v>89</v>
      </c>
      <c r="D1032" s="17" t="s">
        <v>92</v>
      </c>
      <c r="E1032" s="21">
        <v>366.0</v>
      </c>
      <c r="F1032" s="21">
        <f>SUMIFS(crm_orders!$J:$J,crm_orders!$B:$B,"&gt;="&amp;A1032,crm_orders!$B:$B,"&lt;"&amp;DATE(YEAR(A1032),MONTH(A1032)+1,1),crm_orders!$E:$E,B1032,crm_orders!$G:$G,C1032,crm_orders!$H:$H,D1032)</f>
        <v>0</v>
      </c>
      <c r="G1032" s="21">
        <f>SUMIFS(warehouse_shipments!$H:$H,warehouse_shipments!$C:$C,"&gt;="&amp;A1032,warehouse_shipments!$C:$C,"&lt;"&amp;DATE(YEAR(A1032),MONTH(A1032)+1,1),warehouse_shipments!$P:$P,B1032,warehouse_shipments!$Q:$Q,C1032,warehouse_shipments!$R:$R,D1032)</f>
        <v>30</v>
      </c>
      <c r="H1032" s="22">
        <f t="shared" si="1"/>
        <v>-366</v>
      </c>
      <c r="I1032" s="64">
        <f t="shared" si="2"/>
        <v>0</v>
      </c>
      <c r="J1032" s="22" t="s">
        <v>5307</v>
      </c>
    </row>
    <row r="1033" ht="15.75" customHeight="1">
      <c r="A1033" s="26">
        <v>46113.0</v>
      </c>
      <c r="B1033" s="25" t="s">
        <v>4323</v>
      </c>
      <c r="C1033" s="25" t="s">
        <v>89</v>
      </c>
      <c r="D1033" s="25" t="s">
        <v>110</v>
      </c>
      <c r="E1033" s="29">
        <v>454.0</v>
      </c>
      <c r="F1033" s="29">
        <f>SUMIFS(crm_orders!$J:$J,crm_orders!$B:$B,"&gt;="&amp;A1033,crm_orders!$B:$B,"&lt;"&amp;DATE(YEAR(A1033),MONTH(A1033)+1,1),crm_orders!$E:$E,B1033,crm_orders!$G:$G,C1033,crm_orders!$H:$H,D1033)</f>
        <v>0</v>
      </c>
      <c r="G1033" s="29">
        <f>SUMIFS(warehouse_shipments!$H:$H,warehouse_shipments!$C:$C,"&gt;="&amp;A1033,warehouse_shipments!$C:$C,"&lt;"&amp;DATE(YEAR(A1033),MONTH(A1033)+1,1),warehouse_shipments!$P:$P,B1033,warehouse_shipments!$Q:$Q,C1033,warehouse_shipments!$R:$R,D1033)</f>
        <v>0</v>
      </c>
      <c r="H1033" s="30">
        <f t="shared" si="1"/>
        <v>-454</v>
      </c>
      <c r="I1033" s="65">
        <f t="shared" si="2"/>
        <v>0</v>
      </c>
      <c r="J1033" s="30" t="s">
        <v>5310</v>
      </c>
    </row>
    <row r="1034" ht="15.75" customHeight="1">
      <c r="A1034" s="18">
        <v>46113.0</v>
      </c>
      <c r="B1034" s="17" t="s">
        <v>4390</v>
      </c>
      <c r="C1034" s="17" t="s">
        <v>63</v>
      </c>
      <c r="D1034" s="17" t="s">
        <v>123</v>
      </c>
      <c r="E1034" s="21">
        <v>410.0</v>
      </c>
      <c r="F1034" s="21">
        <f>SUMIFS(crm_orders!$J:$J,crm_orders!$B:$B,"&gt;="&amp;A1034,crm_orders!$B:$B,"&lt;"&amp;DATE(YEAR(A1034),MONTH(A1034)+1,1),crm_orders!$E:$E,B1034,crm_orders!$G:$G,C1034,crm_orders!$H:$H,D1034)</f>
        <v>0</v>
      </c>
      <c r="G1034" s="21">
        <f>SUMIFS(warehouse_shipments!$H:$H,warehouse_shipments!$C:$C,"&gt;="&amp;A1034,warehouse_shipments!$C:$C,"&lt;"&amp;DATE(YEAR(A1034),MONTH(A1034)+1,1),warehouse_shipments!$P:$P,B1034,warehouse_shipments!$Q:$Q,C1034,warehouse_shipments!$R:$R,D1034)</f>
        <v>0</v>
      </c>
      <c r="H1034" s="22">
        <f t="shared" si="1"/>
        <v>-410</v>
      </c>
      <c r="I1034" s="64">
        <f t="shared" si="2"/>
        <v>0</v>
      </c>
      <c r="J1034" s="22" t="s">
        <v>5306</v>
      </c>
    </row>
    <row r="1035" ht="15.75" customHeight="1">
      <c r="A1035" s="26">
        <v>46113.0</v>
      </c>
      <c r="B1035" s="25" t="s">
        <v>4390</v>
      </c>
      <c r="C1035" s="25" t="s">
        <v>63</v>
      </c>
      <c r="D1035" s="25" t="s">
        <v>92</v>
      </c>
      <c r="E1035" s="29">
        <v>138.0</v>
      </c>
      <c r="F1035" s="29">
        <f>SUMIFS(crm_orders!$J:$J,crm_orders!$B:$B,"&gt;="&amp;A1035,crm_orders!$B:$B,"&lt;"&amp;DATE(YEAR(A1035),MONTH(A1035)+1,1),crm_orders!$E:$E,B1035,crm_orders!$G:$G,C1035,crm_orders!$H:$H,D1035)</f>
        <v>84</v>
      </c>
      <c r="G1035" s="29">
        <f>SUMIFS(warehouse_shipments!$H:$H,warehouse_shipments!$C:$C,"&gt;="&amp;A1035,warehouse_shipments!$C:$C,"&lt;"&amp;DATE(YEAR(A1035),MONTH(A1035)+1,1),warehouse_shipments!$P:$P,B1035,warehouse_shipments!$Q:$Q,C1035,warehouse_shipments!$R:$R,D1035)</f>
        <v>120</v>
      </c>
      <c r="H1035" s="30">
        <f t="shared" si="1"/>
        <v>-54</v>
      </c>
      <c r="I1035" s="65">
        <f t="shared" si="2"/>
        <v>0.6086956522</v>
      </c>
      <c r="J1035" s="30" t="s">
        <v>5307</v>
      </c>
    </row>
    <row r="1036" ht="15.75" customHeight="1">
      <c r="A1036" s="18">
        <v>46113.0</v>
      </c>
      <c r="B1036" s="17" t="s">
        <v>4390</v>
      </c>
      <c r="C1036" s="17" t="s">
        <v>63</v>
      </c>
      <c r="D1036" s="17" t="s">
        <v>154</v>
      </c>
      <c r="E1036" s="21">
        <v>352.0</v>
      </c>
      <c r="F1036" s="21">
        <f>SUMIFS(crm_orders!$J:$J,crm_orders!$B:$B,"&gt;="&amp;A1036,crm_orders!$B:$B,"&lt;"&amp;DATE(YEAR(A1036),MONTH(A1036)+1,1),crm_orders!$E:$E,B1036,crm_orders!$G:$G,C1036,crm_orders!$H:$H,D1036)</f>
        <v>0</v>
      </c>
      <c r="G1036" s="21">
        <f>SUMIFS(warehouse_shipments!$H:$H,warehouse_shipments!$C:$C,"&gt;="&amp;A1036,warehouse_shipments!$C:$C,"&lt;"&amp;DATE(YEAR(A1036),MONTH(A1036)+1,1),warehouse_shipments!$P:$P,B1036,warehouse_shipments!$Q:$Q,C1036,warehouse_shipments!$R:$R,D1036)</f>
        <v>0</v>
      </c>
      <c r="H1036" s="22">
        <f t="shared" si="1"/>
        <v>-352</v>
      </c>
      <c r="I1036" s="64">
        <f t="shared" si="2"/>
        <v>0</v>
      </c>
      <c r="J1036" s="22" t="s">
        <v>5306</v>
      </c>
    </row>
    <row r="1037" ht="15.75" customHeight="1">
      <c r="A1037" s="26">
        <v>46113.0</v>
      </c>
      <c r="B1037" s="25" t="s">
        <v>4390</v>
      </c>
      <c r="C1037" s="25" t="s">
        <v>63</v>
      </c>
      <c r="D1037" s="25" t="s">
        <v>156</v>
      </c>
      <c r="E1037" s="29">
        <v>241.0</v>
      </c>
      <c r="F1037" s="29">
        <f>SUMIFS(crm_orders!$J:$J,crm_orders!$B:$B,"&gt;="&amp;A1037,crm_orders!$B:$B,"&lt;"&amp;DATE(YEAR(A1037),MONTH(A1037)+1,1),crm_orders!$E:$E,B1037,crm_orders!$G:$G,C1037,crm_orders!$H:$H,D1037)</f>
        <v>0</v>
      </c>
      <c r="G1037" s="29">
        <f>SUMIFS(warehouse_shipments!$H:$H,warehouse_shipments!$C:$C,"&gt;="&amp;A1037,warehouse_shipments!$C:$C,"&lt;"&amp;DATE(YEAR(A1037),MONTH(A1037)+1,1),warehouse_shipments!$P:$P,B1037,warehouse_shipments!$Q:$Q,C1037,warehouse_shipments!$R:$R,D1037)</f>
        <v>60</v>
      </c>
      <c r="H1037" s="30">
        <f t="shared" si="1"/>
        <v>-241</v>
      </c>
      <c r="I1037" s="65">
        <f t="shared" si="2"/>
        <v>0</v>
      </c>
      <c r="J1037" s="30" t="s">
        <v>5307</v>
      </c>
    </row>
    <row r="1038" ht="15.75" customHeight="1">
      <c r="A1038" s="18">
        <v>46113.0</v>
      </c>
      <c r="B1038" s="17" t="s">
        <v>4390</v>
      </c>
      <c r="C1038" s="17" t="s">
        <v>63</v>
      </c>
      <c r="D1038" s="17" t="s">
        <v>190</v>
      </c>
      <c r="E1038" s="21">
        <v>112.0</v>
      </c>
      <c r="F1038" s="21">
        <f>SUMIFS(crm_orders!$J:$J,crm_orders!$B:$B,"&gt;="&amp;A1038,crm_orders!$B:$B,"&lt;"&amp;DATE(YEAR(A1038),MONTH(A1038)+1,1),crm_orders!$E:$E,B1038,crm_orders!$G:$G,C1038,crm_orders!$H:$H,D1038)</f>
        <v>0</v>
      </c>
      <c r="G1038" s="21">
        <f>SUMIFS(warehouse_shipments!$H:$H,warehouse_shipments!$C:$C,"&gt;="&amp;A1038,warehouse_shipments!$C:$C,"&lt;"&amp;DATE(YEAR(A1038),MONTH(A1038)+1,1),warehouse_shipments!$P:$P,B1038,warehouse_shipments!$Q:$Q,C1038,warehouse_shipments!$R:$R,D1038)</f>
        <v>132</v>
      </c>
      <c r="H1038" s="22">
        <f t="shared" si="1"/>
        <v>-112</v>
      </c>
      <c r="I1038" s="64">
        <f t="shared" si="2"/>
        <v>0</v>
      </c>
      <c r="J1038" s="22" t="s">
        <v>5306</v>
      </c>
    </row>
    <row r="1039" ht="15.75" customHeight="1">
      <c r="A1039" s="26">
        <v>46113.0</v>
      </c>
      <c r="B1039" s="25" t="s">
        <v>4390</v>
      </c>
      <c r="C1039" s="25" t="s">
        <v>63</v>
      </c>
      <c r="D1039" s="25" t="s">
        <v>102</v>
      </c>
      <c r="E1039" s="29">
        <v>154.0</v>
      </c>
      <c r="F1039" s="29">
        <f>SUMIFS(crm_orders!$J:$J,crm_orders!$B:$B,"&gt;="&amp;A1039,crm_orders!$B:$B,"&lt;"&amp;DATE(YEAR(A1039),MONTH(A1039)+1,1),crm_orders!$E:$E,B1039,crm_orders!$G:$G,C1039,crm_orders!$H:$H,D1039)</f>
        <v>6</v>
      </c>
      <c r="G1039" s="29">
        <f>SUMIFS(warehouse_shipments!$H:$H,warehouse_shipments!$C:$C,"&gt;="&amp;A1039,warehouse_shipments!$C:$C,"&lt;"&amp;DATE(YEAR(A1039),MONTH(A1039)+1,1),warehouse_shipments!$P:$P,B1039,warehouse_shipments!$Q:$Q,C1039,warehouse_shipments!$R:$R,D1039)</f>
        <v>6</v>
      </c>
      <c r="H1039" s="30">
        <f t="shared" si="1"/>
        <v>-148</v>
      </c>
      <c r="I1039" s="65">
        <f t="shared" si="2"/>
        <v>0.03896103896</v>
      </c>
      <c r="J1039" s="30" t="s">
        <v>5311</v>
      </c>
    </row>
    <row r="1040" ht="15.75" customHeight="1">
      <c r="A1040" s="18">
        <v>46113.0</v>
      </c>
      <c r="B1040" s="17" t="s">
        <v>4390</v>
      </c>
      <c r="C1040" s="17" t="s">
        <v>63</v>
      </c>
      <c r="D1040" s="17" t="s">
        <v>115</v>
      </c>
      <c r="E1040" s="21">
        <v>86.0</v>
      </c>
      <c r="F1040" s="21">
        <f>SUMIFS(crm_orders!$J:$J,crm_orders!$B:$B,"&gt;="&amp;A1040,crm_orders!$B:$B,"&lt;"&amp;DATE(YEAR(A1040),MONTH(A1040)+1,1),crm_orders!$E:$E,B1040,crm_orders!$G:$G,C1040,crm_orders!$H:$H,D1040)</f>
        <v>0</v>
      </c>
      <c r="G1040" s="21">
        <f>SUMIFS(warehouse_shipments!$H:$H,warehouse_shipments!$C:$C,"&gt;="&amp;A1040,warehouse_shipments!$C:$C,"&lt;"&amp;DATE(YEAR(A1040),MONTH(A1040)+1,1),warehouse_shipments!$P:$P,B1040,warehouse_shipments!$Q:$Q,C1040,warehouse_shipments!$R:$R,D1040)</f>
        <v>0</v>
      </c>
      <c r="H1040" s="22">
        <f t="shared" si="1"/>
        <v>-86</v>
      </c>
      <c r="I1040" s="64">
        <f t="shared" si="2"/>
        <v>0</v>
      </c>
      <c r="J1040" s="22" t="s">
        <v>5308</v>
      </c>
    </row>
    <row r="1041" ht="15.75" customHeight="1">
      <c r="A1041" s="26">
        <v>46113.0</v>
      </c>
      <c r="B1041" s="25" t="s">
        <v>4390</v>
      </c>
      <c r="C1041" s="25" t="s">
        <v>63</v>
      </c>
      <c r="D1041" s="25" t="s">
        <v>85</v>
      </c>
      <c r="E1041" s="29">
        <v>352.0</v>
      </c>
      <c r="F1041" s="29">
        <f>SUMIFS(crm_orders!$J:$J,crm_orders!$B:$B,"&gt;="&amp;A1041,crm_orders!$B:$B,"&lt;"&amp;DATE(YEAR(A1041),MONTH(A1041)+1,1),crm_orders!$E:$E,B1041,crm_orders!$G:$G,C1041,crm_orders!$H:$H,D1041)</f>
        <v>0</v>
      </c>
      <c r="G1041" s="29">
        <f>SUMIFS(warehouse_shipments!$H:$H,warehouse_shipments!$C:$C,"&gt;="&amp;A1041,warehouse_shipments!$C:$C,"&lt;"&amp;DATE(YEAR(A1041),MONTH(A1041)+1,1),warehouse_shipments!$P:$P,B1041,warehouse_shipments!$Q:$Q,C1041,warehouse_shipments!$R:$R,D1041)</f>
        <v>0</v>
      </c>
      <c r="H1041" s="30">
        <f t="shared" si="1"/>
        <v>-352</v>
      </c>
      <c r="I1041" s="65">
        <f t="shared" si="2"/>
        <v>0</v>
      </c>
      <c r="J1041" s="30" t="s">
        <v>5310</v>
      </c>
    </row>
    <row r="1042" ht="15.75" customHeight="1">
      <c r="A1042" s="18">
        <v>46113.0</v>
      </c>
      <c r="B1042" s="17" t="s">
        <v>4390</v>
      </c>
      <c r="C1042" s="17" t="s">
        <v>67</v>
      </c>
      <c r="D1042" s="17" t="s">
        <v>108</v>
      </c>
      <c r="E1042" s="21">
        <v>109.0</v>
      </c>
      <c r="F1042" s="21">
        <f>SUMIFS(crm_orders!$J:$J,crm_orders!$B:$B,"&gt;="&amp;A1042,crm_orders!$B:$B,"&lt;"&amp;DATE(YEAR(A1042),MONTH(A1042)+1,1),crm_orders!$E:$E,B1042,crm_orders!$G:$G,C1042,crm_orders!$H:$H,D1042)</f>
        <v>0</v>
      </c>
      <c r="G1042" s="21">
        <f>SUMIFS(warehouse_shipments!$H:$H,warehouse_shipments!$C:$C,"&gt;="&amp;A1042,warehouse_shipments!$C:$C,"&lt;"&amp;DATE(YEAR(A1042),MONTH(A1042)+1,1),warehouse_shipments!$P:$P,B1042,warehouse_shipments!$Q:$Q,C1042,warehouse_shipments!$R:$R,D1042)</f>
        <v>0</v>
      </c>
      <c r="H1042" s="22">
        <f t="shared" si="1"/>
        <v>-109</v>
      </c>
      <c r="I1042" s="64">
        <f t="shared" si="2"/>
        <v>0</v>
      </c>
      <c r="J1042" s="22" t="s">
        <v>5310</v>
      </c>
    </row>
    <row r="1043" ht="15.75" customHeight="1">
      <c r="A1043" s="26">
        <v>46113.0</v>
      </c>
      <c r="B1043" s="25" t="s">
        <v>4390</v>
      </c>
      <c r="C1043" s="25" t="s">
        <v>67</v>
      </c>
      <c r="D1043" s="25" t="s">
        <v>106</v>
      </c>
      <c r="E1043" s="29">
        <v>183.0</v>
      </c>
      <c r="F1043" s="29">
        <f>SUMIFS(crm_orders!$J:$J,crm_orders!$B:$B,"&gt;="&amp;A1043,crm_orders!$B:$B,"&lt;"&amp;DATE(YEAR(A1043),MONTH(A1043)+1,1),crm_orders!$E:$E,B1043,crm_orders!$G:$G,C1043,crm_orders!$H:$H,D1043)</f>
        <v>0</v>
      </c>
      <c r="G1043" s="29">
        <f>SUMIFS(warehouse_shipments!$H:$H,warehouse_shipments!$C:$C,"&gt;="&amp;A1043,warehouse_shipments!$C:$C,"&lt;"&amp;DATE(YEAR(A1043),MONTH(A1043)+1,1),warehouse_shipments!$P:$P,B1043,warehouse_shipments!$Q:$Q,C1043,warehouse_shipments!$R:$R,D1043)</f>
        <v>0</v>
      </c>
      <c r="H1043" s="30">
        <f t="shared" si="1"/>
        <v>-183</v>
      </c>
      <c r="I1043" s="65">
        <f t="shared" si="2"/>
        <v>0</v>
      </c>
      <c r="J1043" s="30" t="s">
        <v>5306</v>
      </c>
    </row>
    <row r="1044" ht="15.75" customHeight="1">
      <c r="A1044" s="18">
        <v>46113.0</v>
      </c>
      <c r="B1044" s="17" t="s">
        <v>4390</v>
      </c>
      <c r="C1044" s="17" t="s">
        <v>67</v>
      </c>
      <c r="D1044" s="17" t="s">
        <v>123</v>
      </c>
      <c r="E1044" s="21">
        <v>499.0</v>
      </c>
      <c r="F1044" s="21">
        <f>SUMIFS(crm_orders!$J:$J,crm_orders!$B:$B,"&gt;="&amp;A1044,crm_orders!$B:$B,"&lt;"&amp;DATE(YEAR(A1044),MONTH(A1044)+1,1),crm_orders!$E:$E,B1044,crm_orders!$G:$G,C1044,crm_orders!$H:$H,D1044)</f>
        <v>72</v>
      </c>
      <c r="G1044" s="21">
        <f>SUMIFS(warehouse_shipments!$H:$H,warehouse_shipments!$C:$C,"&gt;="&amp;A1044,warehouse_shipments!$C:$C,"&lt;"&amp;DATE(YEAR(A1044),MONTH(A1044)+1,1),warehouse_shipments!$P:$P,B1044,warehouse_shipments!$Q:$Q,C1044,warehouse_shipments!$R:$R,D1044)</f>
        <v>0</v>
      </c>
      <c r="H1044" s="22">
        <f t="shared" si="1"/>
        <v>-427</v>
      </c>
      <c r="I1044" s="64">
        <f t="shared" si="2"/>
        <v>0.1442885772</v>
      </c>
      <c r="J1044" s="22" t="s">
        <v>5307</v>
      </c>
    </row>
    <row r="1045" ht="15.75" customHeight="1">
      <c r="A1045" s="26">
        <v>46113.0</v>
      </c>
      <c r="B1045" s="25" t="s">
        <v>4390</v>
      </c>
      <c r="C1045" s="25" t="s">
        <v>67</v>
      </c>
      <c r="D1045" s="25" t="s">
        <v>95</v>
      </c>
      <c r="E1045" s="29">
        <v>343.0</v>
      </c>
      <c r="F1045" s="29">
        <f>SUMIFS(crm_orders!$J:$J,crm_orders!$B:$B,"&gt;="&amp;A1045,crm_orders!$B:$B,"&lt;"&amp;DATE(YEAR(A1045),MONTH(A1045)+1,1),crm_orders!$E:$E,B1045,crm_orders!$G:$G,C1045,crm_orders!$H:$H,D1045)</f>
        <v>0</v>
      </c>
      <c r="G1045" s="29">
        <f>SUMIFS(warehouse_shipments!$H:$H,warehouse_shipments!$C:$C,"&gt;="&amp;A1045,warehouse_shipments!$C:$C,"&lt;"&amp;DATE(YEAR(A1045),MONTH(A1045)+1,1),warehouse_shipments!$P:$P,B1045,warehouse_shipments!$Q:$Q,C1045,warehouse_shipments!$R:$R,D1045)</f>
        <v>0</v>
      </c>
      <c r="H1045" s="30">
        <f t="shared" si="1"/>
        <v>-343</v>
      </c>
      <c r="I1045" s="65">
        <f t="shared" si="2"/>
        <v>0</v>
      </c>
      <c r="J1045" s="30" t="s">
        <v>5306</v>
      </c>
    </row>
    <row r="1046" ht="15.75" customHeight="1">
      <c r="A1046" s="18">
        <v>46113.0</v>
      </c>
      <c r="B1046" s="17" t="s">
        <v>4390</v>
      </c>
      <c r="C1046" s="17" t="s">
        <v>67</v>
      </c>
      <c r="D1046" s="17" t="s">
        <v>156</v>
      </c>
      <c r="E1046" s="21">
        <v>323.0</v>
      </c>
      <c r="F1046" s="21">
        <f>SUMIFS(crm_orders!$J:$J,crm_orders!$B:$B,"&gt;="&amp;A1046,crm_orders!$B:$B,"&lt;"&amp;DATE(YEAR(A1046),MONTH(A1046)+1,1),crm_orders!$E:$E,B1046,crm_orders!$G:$G,C1046,crm_orders!$H:$H,D1046)</f>
        <v>0</v>
      </c>
      <c r="G1046" s="21">
        <f>SUMIFS(warehouse_shipments!$H:$H,warehouse_shipments!$C:$C,"&gt;="&amp;A1046,warehouse_shipments!$C:$C,"&lt;"&amp;DATE(YEAR(A1046),MONTH(A1046)+1,1),warehouse_shipments!$P:$P,B1046,warehouse_shipments!$Q:$Q,C1046,warehouse_shipments!$R:$R,D1046)</f>
        <v>0</v>
      </c>
      <c r="H1046" s="22">
        <f t="shared" si="1"/>
        <v>-323</v>
      </c>
      <c r="I1046" s="64">
        <f t="shared" si="2"/>
        <v>0</v>
      </c>
      <c r="J1046" s="22" t="s">
        <v>5307</v>
      </c>
    </row>
    <row r="1047" ht="15.75" customHeight="1">
      <c r="A1047" s="26">
        <v>46113.0</v>
      </c>
      <c r="B1047" s="25" t="s">
        <v>4390</v>
      </c>
      <c r="C1047" s="25" t="s">
        <v>67</v>
      </c>
      <c r="D1047" s="25" t="s">
        <v>162</v>
      </c>
      <c r="E1047" s="29">
        <v>455.0</v>
      </c>
      <c r="F1047" s="29">
        <f>SUMIFS(crm_orders!$J:$J,crm_orders!$B:$B,"&gt;="&amp;A1047,crm_orders!$B:$B,"&lt;"&amp;DATE(YEAR(A1047),MONTH(A1047)+1,1),crm_orders!$E:$E,B1047,crm_orders!$G:$G,C1047,crm_orders!$H:$H,D1047)</f>
        <v>0</v>
      </c>
      <c r="G1047" s="29">
        <f>SUMIFS(warehouse_shipments!$H:$H,warehouse_shipments!$C:$C,"&gt;="&amp;A1047,warehouse_shipments!$C:$C,"&lt;"&amp;DATE(YEAR(A1047),MONTH(A1047)+1,1),warehouse_shipments!$P:$P,B1047,warehouse_shipments!$Q:$Q,C1047,warehouse_shipments!$R:$R,D1047)</f>
        <v>0</v>
      </c>
      <c r="H1047" s="30">
        <f t="shared" si="1"/>
        <v>-455</v>
      </c>
      <c r="I1047" s="65">
        <f t="shared" si="2"/>
        <v>0</v>
      </c>
      <c r="J1047" s="30" t="s">
        <v>5307</v>
      </c>
    </row>
    <row r="1048" ht="15.75" customHeight="1">
      <c r="A1048" s="18">
        <v>46113.0</v>
      </c>
      <c r="B1048" s="17" t="s">
        <v>4390</v>
      </c>
      <c r="C1048" s="17" t="s">
        <v>67</v>
      </c>
      <c r="D1048" s="17" t="s">
        <v>85</v>
      </c>
      <c r="E1048" s="21">
        <v>147.0</v>
      </c>
      <c r="F1048" s="21">
        <f>SUMIFS(crm_orders!$J:$J,crm_orders!$B:$B,"&gt;="&amp;A1048,crm_orders!$B:$B,"&lt;"&amp;DATE(YEAR(A1048),MONTH(A1048)+1,1),crm_orders!$E:$E,B1048,crm_orders!$G:$G,C1048,crm_orders!$H:$H,D1048)</f>
        <v>0</v>
      </c>
      <c r="G1048" s="21">
        <f>SUMIFS(warehouse_shipments!$H:$H,warehouse_shipments!$C:$C,"&gt;="&amp;A1048,warehouse_shipments!$C:$C,"&lt;"&amp;DATE(YEAR(A1048),MONTH(A1048)+1,1),warehouse_shipments!$P:$P,B1048,warehouse_shipments!$Q:$Q,C1048,warehouse_shipments!$R:$R,D1048)</f>
        <v>0</v>
      </c>
      <c r="H1048" s="22">
        <f t="shared" si="1"/>
        <v>-147</v>
      </c>
      <c r="I1048" s="64">
        <f t="shared" si="2"/>
        <v>0</v>
      </c>
      <c r="J1048" s="22" t="s">
        <v>5307</v>
      </c>
    </row>
    <row r="1049" ht="15.75" customHeight="1">
      <c r="A1049" s="26">
        <v>46113.0</v>
      </c>
      <c r="B1049" s="25" t="s">
        <v>4390</v>
      </c>
      <c r="C1049" s="25" t="s">
        <v>67</v>
      </c>
      <c r="D1049" s="25" t="s">
        <v>68</v>
      </c>
      <c r="E1049" s="29">
        <v>341.0</v>
      </c>
      <c r="F1049" s="29">
        <f>SUMIFS(crm_orders!$J:$J,crm_orders!$B:$B,"&gt;="&amp;A1049,crm_orders!$B:$B,"&lt;"&amp;DATE(YEAR(A1049),MONTH(A1049)+1,1),crm_orders!$E:$E,B1049,crm_orders!$G:$G,C1049,crm_orders!$H:$H,D1049)</f>
        <v>0</v>
      </c>
      <c r="G1049" s="29">
        <f>SUMIFS(warehouse_shipments!$H:$H,warehouse_shipments!$C:$C,"&gt;="&amp;A1049,warehouse_shipments!$C:$C,"&lt;"&amp;DATE(YEAR(A1049),MONTH(A1049)+1,1),warehouse_shipments!$P:$P,B1049,warehouse_shipments!$Q:$Q,C1049,warehouse_shipments!$R:$R,D1049)</f>
        <v>0</v>
      </c>
      <c r="H1049" s="30">
        <f t="shared" si="1"/>
        <v>-341</v>
      </c>
      <c r="I1049" s="65">
        <f t="shared" si="2"/>
        <v>0</v>
      </c>
      <c r="J1049" s="30" t="s">
        <v>5307</v>
      </c>
    </row>
    <row r="1050" ht="15.75" customHeight="1">
      <c r="A1050" s="18">
        <v>46113.0</v>
      </c>
      <c r="B1050" s="17" t="s">
        <v>4390</v>
      </c>
      <c r="C1050" s="17" t="s">
        <v>89</v>
      </c>
      <c r="D1050" s="17" t="s">
        <v>102</v>
      </c>
      <c r="E1050" s="21">
        <v>363.0</v>
      </c>
      <c r="F1050" s="21">
        <f>SUMIFS(crm_orders!$J:$J,crm_orders!$B:$B,"&gt;="&amp;A1050,crm_orders!$B:$B,"&lt;"&amp;DATE(YEAR(A1050),MONTH(A1050)+1,1),crm_orders!$E:$E,B1050,crm_orders!$G:$G,C1050,crm_orders!$H:$H,D1050)</f>
        <v>0</v>
      </c>
      <c r="G1050" s="21">
        <f>SUMIFS(warehouse_shipments!$H:$H,warehouse_shipments!$C:$C,"&gt;="&amp;A1050,warehouse_shipments!$C:$C,"&lt;"&amp;DATE(YEAR(A1050),MONTH(A1050)+1,1),warehouse_shipments!$P:$P,B1050,warehouse_shipments!$Q:$Q,C1050,warehouse_shipments!$R:$R,D1050)</f>
        <v>0</v>
      </c>
      <c r="H1050" s="22">
        <f t="shared" si="1"/>
        <v>-363</v>
      </c>
      <c r="I1050" s="64">
        <f t="shared" si="2"/>
        <v>0</v>
      </c>
      <c r="J1050" s="22" t="s">
        <v>5309</v>
      </c>
    </row>
    <row r="1051" ht="15.75" customHeight="1">
      <c r="A1051" s="26">
        <v>46113.0</v>
      </c>
      <c r="B1051" s="25" t="s">
        <v>4390</v>
      </c>
      <c r="C1051" s="25" t="s">
        <v>89</v>
      </c>
      <c r="D1051" s="25" t="s">
        <v>110</v>
      </c>
      <c r="E1051" s="29">
        <v>455.0</v>
      </c>
      <c r="F1051" s="29">
        <f>SUMIFS(crm_orders!$J:$J,crm_orders!$B:$B,"&gt;="&amp;A1051,crm_orders!$B:$B,"&lt;"&amp;DATE(YEAR(A1051),MONTH(A1051)+1,1),crm_orders!$E:$E,B1051,crm_orders!$G:$G,C1051,crm_orders!$H:$H,D1051)</f>
        <v>0</v>
      </c>
      <c r="G1051" s="29">
        <f>SUMIFS(warehouse_shipments!$H:$H,warehouse_shipments!$C:$C,"&gt;="&amp;A1051,warehouse_shipments!$C:$C,"&lt;"&amp;DATE(YEAR(A1051),MONTH(A1051)+1,1),warehouse_shipments!$P:$P,B1051,warehouse_shipments!$Q:$Q,C1051,warehouse_shipments!$R:$R,D1051)</f>
        <v>0</v>
      </c>
      <c r="H1051" s="30">
        <f t="shared" si="1"/>
        <v>-455</v>
      </c>
      <c r="I1051" s="65">
        <f t="shared" si="2"/>
        <v>0</v>
      </c>
      <c r="J1051" s="30" t="s">
        <v>5310</v>
      </c>
    </row>
    <row r="1052" ht="15.75" customHeight="1">
      <c r="A1052" s="18">
        <v>46113.0</v>
      </c>
      <c r="B1052" s="17" t="s">
        <v>4390</v>
      </c>
      <c r="C1052" s="17" t="s">
        <v>89</v>
      </c>
      <c r="D1052" s="17" t="s">
        <v>78</v>
      </c>
      <c r="E1052" s="21">
        <v>475.0</v>
      </c>
      <c r="F1052" s="21">
        <f>SUMIFS(crm_orders!$J:$J,crm_orders!$B:$B,"&gt;="&amp;A1052,crm_orders!$B:$B,"&lt;"&amp;DATE(YEAR(A1052),MONTH(A1052)+1,1),crm_orders!$E:$E,B1052,crm_orders!$G:$G,C1052,crm_orders!$H:$H,D1052)</f>
        <v>90</v>
      </c>
      <c r="G1052" s="21">
        <f>SUMIFS(warehouse_shipments!$H:$H,warehouse_shipments!$C:$C,"&gt;="&amp;A1052,warehouse_shipments!$C:$C,"&lt;"&amp;DATE(YEAR(A1052),MONTH(A1052)+1,1),warehouse_shipments!$P:$P,B1052,warehouse_shipments!$Q:$Q,C1052,warehouse_shipments!$R:$R,D1052)</f>
        <v>36</v>
      </c>
      <c r="H1052" s="22">
        <f t="shared" si="1"/>
        <v>-385</v>
      </c>
      <c r="I1052" s="64">
        <f t="shared" si="2"/>
        <v>0.1894736842</v>
      </c>
      <c r="J1052" s="22" t="s">
        <v>5310</v>
      </c>
    </row>
    <row r="1053" ht="15.75" customHeight="1">
      <c r="A1053" s="26">
        <v>46113.0</v>
      </c>
      <c r="B1053" s="25" t="s">
        <v>4390</v>
      </c>
      <c r="C1053" s="25" t="s">
        <v>89</v>
      </c>
      <c r="D1053" s="25" t="s">
        <v>190</v>
      </c>
      <c r="E1053" s="29">
        <v>100.0</v>
      </c>
      <c r="F1053" s="29">
        <f>SUMIFS(crm_orders!$J:$J,crm_orders!$B:$B,"&gt;="&amp;A1053,crm_orders!$B:$B,"&lt;"&amp;DATE(YEAR(A1053),MONTH(A1053)+1,1),crm_orders!$E:$E,B1053,crm_orders!$G:$G,C1053,crm_orders!$H:$H,D1053)</f>
        <v>6</v>
      </c>
      <c r="G1053" s="29">
        <f>SUMIFS(warehouse_shipments!$H:$H,warehouse_shipments!$C:$C,"&gt;="&amp;A1053,warehouse_shipments!$C:$C,"&lt;"&amp;DATE(YEAR(A1053),MONTH(A1053)+1,1),warehouse_shipments!$P:$P,B1053,warehouse_shipments!$Q:$Q,C1053,warehouse_shipments!$R:$R,D1053)</f>
        <v>0</v>
      </c>
      <c r="H1053" s="30">
        <f t="shared" si="1"/>
        <v>-94</v>
      </c>
      <c r="I1053" s="65">
        <f t="shared" si="2"/>
        <v>0.06</v>
      </c>
      <c r="J1053" s="30" t="s">
        <v>5306</v>
      </c>
    </row>
    <row r="1054" ht="15.75" customHeight="1">
      <c r="A1054" s="18">
        <v>46113.0</v>
      </c>
      <c r="B1054" s="17" t="s">
        <v>4390</v>
      </c>
      <c r="C1054" s="17" t="s">
        <v>89</v>
      </c>
      <c r="D1054" s="17" t="s">
        <v>156</v>
      </c>
      <c r="E1054" s="21">
        <v>357.0</v>
      </c>
      <c r="F1054" s="21">
        <f>SUMIFS(crm_orders!$J:$J,crm_orders!$B:$B,"&gt;="&amp;A1054,crm_orders!$B:$B,"&lt;"&amp;DATE(YEAR(A1054),MONTH(A1054)+1,1),crm_orders!$E:$E,B1054,crm_orders!$G:$G,C1054,crm_orders!$H:$H,D1054)</f>
        <v>0</v>
      </c>
      <c r="G1054" s="21">
        <f>SUMIFS(warehouse_shipments!$H:$H,warehouse_shipments!$C:$C,"&gt;="&amp;A1054,warehouse_shipments!$C:$C,"&lt;"&amp;DATE(YEAR(A1054),MONTH(A1054)+1,1),warehouse_shipments!$P:$P,B1054,warehouse_shipments!$Q:$Q,C1054,warehouse_shipments!$R:$R,D1054)</f>
        <v>0</v>
      </c>
      <c r="H1054" s="22">
        <f t="shared" si="1"/>
        <v>-357</v>
      </c>
      <c r="I1054" s="64">
        <f t="shared" si="2"/>
        <v>0</v>
      </c>
      <c r="J1054" s="22" t="s">
        <v>5310</v>
      </c>
    </row>
    <row r="1055" ht="15.75" customHeight="1">
      <c r="A1055" s="26">
        <v>46113.0</v>
      </c>
      <c r="B1055" s="25" t="s">
        <v>4390</v>
      </c>
      <c r="C1055" s="25" t="s">
        <v>89</v>
      </c>
      <c r="D1055" s="25" t="s">
        <v>123</v>
      </c>
      <c r="E1055" s="29">
        <v>249.0</v>
      </c>
      <c r="F1055" s="29">
        <f>SUMIFS(crm_orders!$J:$J,crm_orders!$B:$B,"&gt;="&amp;A1055,crm_orders!$B:$B,"&lt;"&amp;DATE(YEAR(A1055),MONTH(A1055)+1,1),crm_orders!$E:$E,B1055,crm_orders!$G:$G,C1055,crm_orders!$H:$H,D1055)</f>
        <v>0</v>
      </c>
      <c r="G1055" s="29">
        <f>SUMIFS(warehouse_shipments!$H:$H,warehouse_shipments!$C:$C,"&gt;="&amp;A1055,warehouse_shipments!$C:$C,"&lt;"&amp;DATE(YEAR(A1055),MONTH(A1055)+1,1),warehouse_shipments!$P:$P,B1055,warehouse_shipments!$Q:$Q,C1055,warehouse_shipments!$R:$R,D1055)</f>
        <v>0</v>
      </c>
      <c r="H1055" s="30">
        <f t="shared" si="1"/>
        <v>-249</v>
      </c>
      <c r="I1055" s="65">
        <f t="shared" si="2"/>
        <v>0</v>
      </c>
      <c r="J1055" s="30" t="s">
        <v>5307</v>
      </c>
    </row>
    <row r="1056" ht="15.75" customHeight="1">
      <c r="A1056" s="18">
        <v>46113.0</v>
      </c>
      <c r="B1056" s="17" t="s">
        <v>4390</v>
      </c>
      <c r="C1056" s="17" t="s">
        <v>89</v>
      </c>
      <c r="D1056" s="17" t="s">
        <v>92</v>
      </c>
      <c r="E1056" s="21">
        <v>255.0</v>
      </c>
      <c r="F1056" s="21">
        <f>SUMIFS(crm_orders!$J:$J,crm_orders!$B:$B,"&gt;="&amp;A1056,crm_orders!$B:$B,"&lt;"&amp;DATE(YEAR(A1056),MONTH(A1056)+1,1),crm_orders!$E:$E,B1056,crm_orders!$G:$G,C1056,crm_orders!$H:$H,D1056)</f>
        <v>0</v>
      </c>
      <c r="G1056" s="21">
        <f>SUMIFS(warehouse_shipments!$H:$H,warehouse_shipments!$C:$C,"&gt;="&amp;A1056,warehouse_shipments!$C:$C,"&lt;"&amp;DATE(YEAR(A1056),MONTH(A1056)+1,1),warehouse_shipments!$P:$P,B1056,warehouse_shipments!$Q:$Q,C1056,warehouse_shipments!$R:$R,D1056)</f>
        <v>0</v>
      </c>
      <c r="H1056" s="22">
        <f t="shared" si="1"/>
        <v>-255</v>
      </c>
      <c r="I1056" s="64">
        <f t="shared" si="2"/>
        <v>0</v>
      </c>
      <c r="J1056" s="22" t="s">
        <v>5306</v>
      </c>
    </row>
    <row r="1057" ht="15.75" customHeight="1">
      <c r="A1057" s="26">
        <v>46113.0</v>
      </c>
      <c r="B1057" s="25" t="s">
        <v>4390</v>
      </c>
      <c r="C1057" s="25" t="s">
        <v>89</v>
      </c>
      <c r="D1057" s="25" t="s">
        <v>64</v>
      </c>
      <c r="E1057" s="29">
        <v>472.0</v>
      </c>
      <c r="F1057" s="29">
        <f>SUMIFS(crm_orders!$J:$J,crm_orders!$B:$B,"&gt;="&amp;A1057,crm_orders!$B:$B,"&lt;"&amp;DATE(YEAR(A1057),MONTH(A1057)+1,1),crm_orders!$E:$E,B1057,crm_orders!$G:$G,C1057,crm_orders!$H:$H,D1057)</f>
        <v>0</v>
      </c>
      <c r="G1057" s="29">
        <f>SUMIFS(warehouse_shipments!$H:$H,warehouse_shipments!$C:$C,"&gt;="&amp;A1057,warehouse_shipments!$C:$C,"&lt;"&amp;DATE(YEAR(A1057),MONTH(A1057)+1,1),warehouse_shipments!$P:$P,B1057,warehouse_shipments!$Q:$Q,C1057,warehouse_shipments!$R:$R,D1057)</f>
        <v>0</v>
      </c>
      <c r="H1057" s="30">
        <f t="shared" si="1"/>
        <v>-472</v>
      </c>
      <c r="I1057" s="65">
        <f t="shared" si="2"/>
        <v>0</v>
      </c>
      <c r="J1057" s="30" t="s">
        <v>5306</v>
      </c>
    </row>
    <row r="1058" ht="15.75" customHeight="1">
      <c r="A1058" s="18">
        <v>46113.0</v>
      </c>
      <c r="B1058" s="17" t="s">
        <v>4465</v>
      </c>
      <c r="C1058" s="17" t="s">
        <v>63</v>
      </c>
      <c r="D1058" s="17" t="s">
        <v>154</v>
      </c>
      <c r="E1058" s="21">
        <v>248.0</v>
      </c>
      <c r="F1058" s="21">
        <f>SUMIFS(crm_orders!$J:$J,crm_orders!$B:$B,"&gt;="&amp;A1058,crm_orders!$B:$B,"&lt;"&amp;DATE(YEAR(A1058),MONTH(A1058)+1,1),crm_orders!$E:$E,B1058,crm_orders!$G:$G,C1058,crm_orders!$H:$H,D1058)</f>
        <v>36</v>
      </c>
      <c r="G1058" s="21">
        <f>SUMIFS(warehouse_shipments!$H:$H,warehouse_shipments!$C:$C,"&gt;="&amp;A1058,warehouse_shipments!$C:$C,"&lt;"&amp;DATE(YEAR(A1058),MONTH(A1058)+1,1),warehouse_shipments!$P:$P,B1058,warehouse_shipments!$Q:$Q,C1058,warehouse_shipments!$R:$R,D1058)</f>
        <v>36</v>
      </c>
      <c r="H1058" s="22">
        <f t="shared" si="1"/>
        <v>-212</v>
      </c>
      <c r="I1058" s="64">
        <f t="shared" si="2"/>
        <v>0.1451612903</v>
      </c>
      <c r="J1058" s="22" t="s">
        <v>5309</v>
      </c>
    </row>
    <row r="1059" ht="15.75" customHeight="1">
      <c r="A1059" s="26">
        <v>46113.0</v>
      </c>
      <c r="B1059" s="25" t="s">
        <v>4465</v>
      </c>
      <c r="C1059" s="25" t="s">
        <v>63</v>
      </c>
      <c r="D1059" s="25" t="s">
        <v>95</v>
      </c>
      <c r="E1059" s="29">
        <v>116.0</v>
      </c>
      <c r="F1059" s="29">
        <f>SUMIFS(crm_orders!$J:$J,crm_orders!$B:$B,"&gt;="&amp;A1059,crm_orders!$B:$B,"&lt;"&amp;DATE(YEAR(A1059),MONTH(A1059)+1,1),crm_orders!$E:$E,B1059,crm_orders!$G:$G,C1059,crm_orders!$H:$H,D1059)</f>
        <v>120</v>
      </c>
      <c r="G1059" s="29">
        <f>SUMIFS(warehouse_shipments!$H:$H,warehouse_shipments!$C:$C,"&gt;="&amp;A1059,warehouse_shipments!$C:$C,"&lt;"&amp;DATE(YEAR(A1059),MONTH(A1059)+1,1),warehouse_shipments!$P:$P,B1059,warehouse_shipments!$Q:$Q,C1059,warehouse_shipments!$R:$R,D1059)</f>
        <v>0</v>
      </c>
      <c r="H1059" s="30">
        <f t="shared" si="1"/>
        <v>4</v>
      </c>
      <c r="I1059" s="65">
        <f t="shared" si="2"/>
        <v>0.9655172414</v>
      </c>
      <c r="J1059" s="30" t="s">
        <v>5306</v>
      </c>
    </row>
    <row r="1060" ht="15.75" customHeight="1">
      <c r="A1060" s="18">
        <v>46113.0</v>
      </c>
      <c r="B1060" s="17" t="s">
        <v>4465</v>
      </c>
      <c r="C1060" s="17" t="s">
        <v>63</v>
      </c>
      <c r="D1060" s="17" t="s">
        <v>110</v>
      </c>
      <c r="E1060" s="21">
        <v>138.0</v>
      </c>
      <c r="F1060" s="21">
        <f>SUMIFS(crm_orders!$J:$J,crm_orders!$B:$B,"&gt;="&amp;A1060,crm_orders!$B:$B,"&lt;"&amp;DATE(YEAR(A1060),MONTH(A1060)+1,1),crm_orders!$E:$E,B1060,crm_orders!$G:$G,C1060,crm_orders!$H:$H,D1060)</f>
        <v>66</v>
      </c>
      <c r="G1060" s="21">
        <f>SUMIFS(warehouse_shipments!$H:$H,warehouse_shipments!$C:$C,"&gt;="&amp;A1060,warehouse_shipments!$C:$C,"&lt;"&amp;DATE(YEAR(A1060),MONTH(A1060)+1,1),warehouse_shipments!$P:$P,B1060,warehouse_shipments!$Q:$Q,C1060,warehouse_shipments!$R:$R,D1060)</f>
        <v>12</v>
      </c>
      <c r="H1060" s="22">
        <f t="shared" si="1"/>
        <v>-72</v>
      </c>
      <c r="I1060" s="64">
        <f t="shared" si="2"/>
        <v>0.4782608696</v>
      </c>
      <c r="J1060" s="22" t="s">
        <v>5306</v>
      </c>
    </row>
    <row r="1061" ht="15.75" customHeight="1">
      <c r="A1061" s="26">
        <v>46113.0</v>
      </c>
      <c r="B1061" s="25" t="s">
        <v>4465</v>
      </c>
      <c r="C1061" s="25" t="s">
        <v>63</v>
      </c>
      <c r="D1061" s="25" t="s">
        <v>108</v>
      </c>
      <c r="E1061" s="29">
        <v>331.0</v>
      </c>
      <c r="F1061" s="29">
        <f>SUMIFS(crm_orders!$J:$J,crm_orders!$B:$B,"&gt;="&amp;A1061,crm_orders!$B:$B,"&lt;"&amp;DATE(YEAR(A1061),MONTH(A1061)+1,1),crm_orders!$E:$E,B1061,crm_orders!$G:$G,C1061,crm_orders!$H:$H,D1061)</f>
        <v>0</v>
      </c>
      <c r="G1061" s="29">
        <f>SUMIFS(warehouse_shipments!$H:$H,warehouse_shipments!$C:$C,"&gt;="&amp;A1061,warehouse_shipments!$C:$C,"&lt;"&amp;DATE(YEAR(A1061),MONTH(A1061)+1,1),warehouse_shipments!$P:$P,B1061,warehouse_shipments!$Q:$Q,C1061,warehouse_shipments!$R:$R,D1061)</f>
        <v>0</v>
      </c>
      <c r="H1061" s="30">
        <f t="shared" si="1"/>
        <v>-331</v>
      </c>
      <c r="I1061" s="65">
        <f t="shared" si="2"/>
        <v>0</v>
      </c>
      <c r="J1061" s="30" t="s">
        <v>5309</v>
      </c>
    </row>
    <row r="1062" ht="15.75" customHeight="1">
      <c r="A1062" s="18">
        <v>46113.0</v>
      </c>
      <c r="B1062" s="17" t="s">
        <v>4465</v>
      </c>
      <c r="C1062" s="17" t="s">
        <v>63</v>
      </c>
      <c r="D1062" s="17" t="s">
        <v>90</v>
      </c>
      <c r="E1062" s="21">
        <v>229.0</v>
      </c>
      <c r="F1062" s="21">
        <f>SUMIFS(crm_orders!$J:$J,crm_orders!$B:$B,"&gt;="&amp;A1062,crm_orders!$B:$B,"&lt;"&amp;DATE(YEAR(A1062),MONTH(A1062)+1,1),crm_orders!$E:$E,B1062,crm_orders!$G:$G,C1062,crm_orders!$H:$H,D1062)</f>
        <v>24</v>
      </c>
      <c r="G1062" s="21">
        <f>SUMIFS(warehouse_shipments!$H:$H,warehouse_shipments!$C:$C,"&gt;="&amp;A1062,warehouse_shipments!$C:$C,"&lt;"&amp;DATE(YEAR(A1062),MONTH(A1062)+1,1),warehouse_shipments!$P:$P,B1062,warehouse_shipments!$Q:$Q,C1062,warehouse_shipments!$R:$R,D1062)</f>
        <v>12</v>
      </c>
      <c r="H1062" s="22">
        <f t="shared" si="1"/>
        <v>-205</v>
      </c>
      <c r="I1062" s="64">
        <f t="shared" si="2"/>
        <v>0.1048034934</v>
      </c>
      <c r="J1062" s="22" t="s">
        <v>5311</v>
      </c>
    </row>
    <row r="1063" ht="15.75" customHeight="1">
      <c r="A1063" s="26">
        <v>46113.0</v>
      </c>
      <c r="B1063" s="25" t="s">
        <v>4465</v>
      </c>
      <c r="C1063" s="25" t="s">
        <v>63</v>
      </c>
      <c r="D1063" s="25" t="s">
        <v>102</v>
      </c>
      <c r="E1063" s="29">
        <v>382.0</v>
      </c>
      <c r="F1063" s="29">
        <f>SUMIFS(crm_orders!$J:$J,crm_orders!$B:$B,"&gt;="&amp;A1063,crm_orders!$B:$B,"&lt;"&amp;DATE(YEAR(A1063),MONTH(A1063)+1,1),crm_orders!$E:$E,B1063,crm_orders!$G:$G,C1063,crm_orders!$H:$H,D1063)</f>
        <v>6</v>
      </c>
      <c r="G1063" s="29">
        <f>SUMIFS(warehouse_shipments!$H:$H,warehouse_shipments!$C:$C,"&gt;="&amp;A1063,warehouse_shipments!$C:$C,"&lt;"&amp;DATE(YEAR(A1063),MONTH(A1063)+1,1),warehouse_shipments!$P:$P,B1063,warehouse_shipments!$Q:$Q,C1063,warehouse_shipments!$R:$R,D1063)</f>
        <v>24</v>
      </c>
      <c r="H1063" s="30">
        <f t="shared" si="1"/>
        <v>-376</v>
      </c>
      <c r="I1063" s="65">
        <f t="shared" si="2"/>
        <v>0.01570680628</v>
      </c>
      <c r="J1063" s="30" t="s">
        <v>5310</v>
      </c>
    </row>
    <row r="1064" ht="15.75" customHeight="1">
      <c r="A1064" s="18">
        <v>46113.0</v>
      </c>
      <c r="B1064" s="17" t="s">
        <v>4465</v>
      </c>
      <c r="C1064" s="17" t="s">
        <v>63</v>
      </c>
      <c r="D1064" s="17" t="s">
        <v>190</v>
      </c>
      <c r="E1064" s="21">
        <v>448.0</v>
      </c>
      <c r="F1064" s="21">
        <f>SUMIFS(crm_orders!$J:$J,crm_orders!$B:$B,"&gt;="&amp;A1064,crm_orders!$B:$B,"&lt;"&amp;DATE(YEAR(A1064),MONTH(A1064)+1,1),crm_orders!$E:$E,B1064,crm_orders!$G:$G,C1064,crm_orders!$H:$H,D1064)</f>
        <v>84</v>
      </c>
      <c r="G1064" s="21">
        <f>SUMIFS(warehouse_shipments!$H:$H,warehouse_shipments!$C:$C,"&gt;="&amp;A1064,warehouse_shipments!$C:$C,"&lt;"&amp;DATE(YEAR(A1064),MONTH(A1064)+1,1),warehouse_shipments!$P:$P,B1064,warehouse_shipments!$Q:$Q,C1064,warehouse_shipments!$R:$R,D1064)</f>
        <v>0</v>
      </c>
      <c r="H1064" s="22">
        <f t="shared" si="1"/>
        <v>-364</v>
      </c>
      <c r="I1064" s="64">
        <f t="shared" si="2"/>
        <v>0.1875</v>
      </c>
      <c r="J1064" s="22" t="s">
        <v>5309</v>
      </c>
    </row>
    <row r="1065" ht="15.75" customHeight="1">
      <c r="A1065" s="26">
        <v>46113.0</v>
      </c>
      <c r="B1065" s="25" t="s">
        <v>4465</v>
      </c>
      <c r="C1065" s="25" t="s">
        <v>63</v>
      </c>
      <c r="D1065" s="25" t="s">
        <v>71</v>
      </c>
      <c r="E1065" s="29">
        <v>401.0</v>
      </c>
      <c r="F1065" s="29">
        <f>SUMIFS(crm_orders!$J:$J,crm_orders!$B:$B,"&gt;="&amp;A1065,crm_orders!$B:$B,"&lt;"&amp;DATE(YEAR(A1065),MONTH(A1065)+1,1),crm_orders!$E:$E,B1065,crm_orders!$G:$G,C1065,crm_orders!$H:$H,D1065)</f>
        <v>60</v>
      </c>
      <c r="G1065" s="29">
        <f>SUMIFS(warehouse_shipments!$H:$H,warehouse_shipments!$C:$C,"&gt;="&amp;A1065,warehouse_shipments!$C:$C,"&lt;"&amp;DATE(YEAR(A1065),MONTH(A1065)+1,1),warehouse_shipments!$P:$P,B1065,warehouse_shipments!$Q:$Q,C1065,warehouse_shipments!$R:$R,D1065)</f>
        <v>30</v>
      </c>
      <c r="H1065" s="30">
        <f t="shared" si="1"/>
        <v>-341</v>
      </c>
      <c r="I1065" s="65">
        <f t="shared" si="2"/>
        <v>0.1496259352</v>
      </c>
      <c r="J1065" s="30" t="s">
        <v>5310</v>
      </c>
    </row>
    <row r="1066" ht="15.75" customHeight="1">
      <c r="A1066" s="18">
        <v>46113.0</v>
      </c>
      <c r="B1066" s="17" t="s">
        <v>4465</v>
      </c>
      <c r="C1066" s="17" t="s">
        <v>67</v>
      </c>
      <c r="D1066" s="17" t="s">
        <v>162</v>
      </c>
      <c r="E1066" s="21">
        <v>80.0</v>
      </c>
      <c r="F1066" s="21">
        <f>SUMIFS(crm_orders!$J:$J,crm_orders!$B:$B,"&gt;="&amp;A1066,crm_orders!$B:$B,"&lt;"&amp;DATE(YEAR(A1066),MONTH(A1066)+1,1),crm_orders!$E:$E,B1066,crm_orders!$G:$G,C1066,crm_orders!$H:$H,D1066)</f>
        <v>0</v>
      </c>
      <c r="G1066" s="21">
        <f>SUMIFS(warehouse_shipments!$H:$H,warehouse_shipments!$C:$C,"&gt;="&amp;A1066,warehouse_shipments!$C:$C,"&lt;"&amp;DATE(YEAR(A1066),MONTH(A1066)+1,1),warehouse_shipments!$P:$P,B1066,warehouse_shipments!$Q:$Q,C1066,warehouse_shipments!$R:$R,D1066)</f>
        <v>0</v>
      </c>
      <c r="H1066" s="22">
        <f t="shared" si="1"/>
        <v>-80</v>
      </c>
      <c r="I1066" s="64">
        <f t="shared" si="2"/>
        <v>0</v>
      </c>
      <c r="J1066" s="22" t="s">
        <v>5309</v>
      </c>
    </row>
    <row r="1067" ht="15.75" customHeight="1">
      <c r="A1067" s="26">
        <v>46113.0</v>
      </c>
      <c r="B1067" s="25" t="s">
        <v>4465</v>
      </c>
      <c r="C1067" s="25" t="s">
        <v>67</v>
      </c>
      <c r="D1067" s="25" t="s">
        <v>78</v>
      </c>
      <c r="E1067" s="29">
        <v>264.0</v>
      </c>
      <c r="F1067" s="29">
        <f>SUMIFS(crm_orders!$J:$J,crm_orders!$B:$B,"&gt;="&amp;A1067,crm_orders!$B:$B,"&lt;"&amp;DATE(YEAR(A1067),MONTH(A1067)+1,1),crm_orders!$E:$E,B1067,crm_orders!$G:$G,C1067,crm_orders!$H:$H,D1067)</f>
        <v>0</v>
      </c>
      <c r="G1067" s="29">
        <f>SUMIFS(warehouse_shipments!$H:$H,warehouse_shipments!$C:$C,"&gt;="&amp;A1067,warehouse_shipments!$C:$C,"&lt;"&amp;DATE(YEAR(A1067),MONTH(A1067)+1,1),warehouse_shipments!$P:$P,B1067,warehouse_shipments!$Q:$Q,C1067,warehouse_shipments!$R:$R,D1067)</f>
        <v>0</v>
      </c>
      <c r="H1067" s="30">
        <f t="shared" si="1"/>
        <v>-264</v>
      </c>
      <c r="I1067" s="65">
        <f t="shared" si="2"/>
        <v>0</v>
      </c>
      <c r="J1067" s="30" t="s">
        <v>5308</v>
      </c>
    </row>
    <row r="1068" ht="15.75" customHeight="1">
      <c r="A1068" s="18">
        <v>46113.0</v>
      </c>
      <c r="B1068" s="17" t="s">
        <v>4465</v>
      </c>
      <c r="C1068" s="17" t="s">
        <v>67</v>
      </c>
      <c r="D1068" s="17" t="s">
        <v>74</v>
      </c>
      <c r="E1068" s="21">
        <v>132.0</v>
      </c>
      <c r="F1068" s="21">
        <f>SUMIFS(crm_orders!$J:$J,crm_orders!$B:$B,"&gt;="&amp;A1068,crm_orders!$B:$B,"&lt;"&amp;DATE(YEAR(A1068),MONTH(A1068)+1,1),crm_orders!$E:$E,B1068,crm_orders!$G:$G,C1068,crm_orders!$H:$H,D1068)</f>
        <v>72</v>
      </c>
      <c r="G1068" s="21">
        <f>SUMIFS(warehouse_shipments!$H:$H,warehouse_shipments!$C:$C,"&gt;="&amp;A1068,warehouse_shipments!$C:$C,"&lt;"&amp;DATE(YEAR(A1068),MONTH(A1068)+1,1),warehouse_shipments!$P:$P,B1068,warehouse_shipments!$Q:$Q,C1068,warehouse_shipments!$R:$R,D1068)</f>
        <v>0</v>
      </c>
      <c r="H1068" s="22">
        <f t="shared" si="1"/>
        <v>-60</v>
      </c>
      <c r="I1068" s="64">
        <f t="shared" si="2"/>
        <v>0.5454545455</v>
      </c>
      <c r="J1068" s="22" t="s">
        <v>5310</v>
      </c>
    </row>
    <row r="1069" ht="15.75" customHeight="1">
      <c r="A1069" s="26">
        <v>46113.0</v>
      </c>
      <c r="B1069" s="25" t="s">
        <v>4465</v>
      </c>
      <c r="C1069" s="25" t="s">
        <v>67</v>
      </c>
      <c r="D1069" s="25" t="s">
        <v>90</v>
      </c>
      <c r="E1069" s="29">
        <v>496.0</v>
      </c>
      <c r="F1069" s="29">
        <f>SUMIFS(crm_orders!$J:$J,crm_orders!$B:$B,"&gt;="&amp;A1069,crm_orders!$B:$B,"&lt;"&amp;DATE(YEAR(A1069),MONTH(A1069)+1,1),crm_orders!$E:$E,B1069,crm_orders!$G:$G,C1069,crm_orders!$H:$H,D1069)</f>
        <v>0</v>
      </c>
      <c r="G1069" s="29">
        <f>SUMIFS(warehouse_shipments!$H:$H,warehouse_shipments!$C:$C,"&gt;="&amp;A1069,warehouse_shipments!$C:$C,"&lt;"&amp;DATE(YEAR(A1069),MONTH(A1069)+1,1),warehouse_shipments!$P:$P,B1069,warehouse_shipments!$Q:$Q,C1069,warehouse_shipments!$R:$R,D1069)</f>
        <v>0</v>
      </c>
      <c r="H1069" s="30">
        <f t="shared" si="1"/>
        <v>-496</v>
      </c>
      <c r="I1069" s="65">
        <f t="shared" si="2"/>
        <v>0</v>
      </c>
      <c r="J1069" s="30" t="s">
        <v>5306</v>
      </c>
    </row>
    <row r="1070" ht="15.75" customHeight="1">
      <c r="A1070" s="18">
        <v>46113.0</v>
      </c>
      <c r="B1070" s="17" t="s">
        <v>4465</v>
      </c>
      <c r="C1070" s="17" t="s">
        <v>67</v>
      </c>
      <c r="D1070" s="17" t="s">
        <v>102</v>
      </c>
      <c r="E1070" s="21">
        <v>337.0</v>
      </c>
      <c r="F1070" s="21">
        <f>SUMIFS(crm_orders!$J:$J,crm_orders!$B:$B,"&gt;="&amp;A1070,crm_orders!$B:$B,"&lt;"&amp;DATE(YEAR(A1070),MONTH(A1070)+1,1),crm_orders!$E:$E,B1070,crm_orders!$G:$G,C1070,crm_orders!$H:$H,D1070)</f>
        <v>0</v>
      </c>
      <c r="G1070" s="21">
        <f>SUMIFS(warehouse_shipments!$H:$H,warehouse_shipments!$C:$C,"&gt;="&amp;A1070,warehouse_shipments!$C:$C,"&lt;"&amp;DATE(YEAR(A1070),MONTH(A1070)+1,1),warehouse_shipments!$P:$P,B1070,warehouse_shipments!$Q:$Q,C1070,warehouse_shipments!$R:$R,D1070)</f>
        <v>0</v>
      </c>
      <c r="H1070" s="22">
        <f t="shared" si="1"/>
        <v>-337</v>
      </c>
      <c r="I1070" s="64">
        <f t="shared" si="2"/>
        <v>0</v>
      </c>
      <c r="J1070" s="22" t="s">
        <v>5310</v>
      </c>
    </row>
    <row r="1071" ht="15.75" customHeight="1">
      <c r="A1071" s="26">
        <v>46113.0</v>
      </c>
      <c r="B1071" s="25" t="s">
        <v>4465</v>
      </c>
      <c r="C1071" s="25" t="s">
        <v>67</v>
      </c>
      <c r="D1071" s="25" t="s">
        <v>154</v>
      </c>
      <c r="E1071" s="29">
        <v>150.0</v>
      </c>
      <c r="F1071" s="29">
        <f>SUMIFS(crm_orders!$J:$J,crm_orders!$B:$B,"&gt;="&amp;A1071,crm_orders!$B:$B,"&lt;"&amp;DATE(YEAR(A1071),MONTH(A1071)+1,1),crm_orders!$E:$E,B1071,crm_orders!$G:$G,C1071,crm_orders!$H:$H,D1071)</f>
        <v>0</v>
      </c>
      <c r="G1071" s="29">
        <f>SUMIFS(warehouse_shipments!$H:$H,warehouse_shipments!$C:$C,"&gt;="&amp;A1071,warehouse_shipments!$C:$C,"&lt;"&amp;DATE(YEAR(A1071),MONTH(A1071)+1,1),warehouse_shipments!$P:$P,B1071,warehouse_shipments!$Q:$Q,C1071,warehouse_shipments!$R:$R,D1071)</f>
        <v>0</v>
      </c>
      <c r="H1071" s="30">
        <f t="shared" si="1"/>
        <v>-150</v>
      </c>
      <c r="I1071" s="65">
        <f t="shared" si="2"/>
        <v>0</v>
      </c>
      <c r="J1071" s="30" t="s">
        <v>5311</v>
      </c>
    </row>
    <row r="1072" ht="15.75" customHeight="1">
      <c r="A1072" s="18">
        <v>46113.0</v>
      </c>
      <c r="B1072" s="17" t="s">
        <v>4465</v>
      </c>
      <c r="C1072" s="17" t="s">
        <v>67</v>
      </c>
      <c r="D1072" s="17" t="s">
        <v>123</v>
      </c>
      <c r="E1072" s="21">
        <v>267.0</v>
      </c>
      <c r="F1072" s="21">
        <f>SUMIFS(crm_orders!$J:$J,crm_orders!$B:$B,"&gt;="&amp;A1072,crm_orders!$B:$B,"&lt;"&amp;DATE(YEAR(A1072),MONTH(A1072)+1,1),crm_orders!$E:$E,B1072,crm_orders!$G:$G,C1072,crm_orders!$H:$H,D1072)</f>
        <v>0</v>
      </c>
      <c r="G1072" s="21">
        <f>SUMIFS(warehouse_shipments!$H:$H,warehouse_shipments!$C:$C,"&gt;="&amp;A1072,warehouse_shipments!$C:$C,"&lt;"&amp;DATE(YEAR(A1072),MONTH(A1072)+1,1),warehouse_shipments!$P:$P,B1072,warehouse_shipments!$Q:$Q,C1072,warehouse_shipments!$R:$R,D1072)</f>
        <v>0</v>
      </c>
      <c r="H1072" s="22">
        <f t="shared" si="1"/>
        <v>-267</v>
      </c>
      <c r="I1072" s="64">
        <f t="shared" si="2"/>
        <v>0</v>
      </c>
      <c r="J1072" s="22" t="s">
        <v>5309</v>
      </c>
    </row>
    <row r="1073" ht="15.75" customHeight="1">
      <c r="A1073" s="26">
        <v>46113.0</v>
      </c>
      <c r="B1073" s="25" t="s">
        <v>4465</v>
      </c>
      <c r="C1073" s="25" t="s">
        <v>67</v>
      </c>
      <c r="D1073" s="25" t="s">
        <v>92</v>
      </c>
      <c r="E1073" s="29">
        <v>323.0</v>
      </c>
      <c r="F1073" s="29">
        <f>SUMIFS(crm_orders!$J:$J,crm_orders!$B:$B,"&gt;="&amp;A1073,crm_orders!$B:$B,"&lt;"&amp;DATE(YEAR(A1073),MONTH(A1073)+1,1),crm_orders!$E:$E,B1073,crm_orders!$G:$G,C1073,crm_orders!$H:$H,D1073)</f>
        <v>0</v>
      </c>
      <c r="G1073" s="29">
        <f>SUMIFS(warehouse_shipments!$H:$H,warehouse_shipments!$C:$C,"&gt;="&amp;A1073,warehouse_shipments!$C:$C,"&lt;"&amp;DATE(YEAR(A1073),MONTH(A1073)+1,1),warehouse_shipments!$P:$P,B1073,warehouse_shipments!$Q:$Q,C1073,warehouse_shipments!$R:$R,D1073)</f>
        <v>0</v>
      </c>
      <c r="H1073" s="30">
        <f t="shared" si="1"/>
        <v>-323</v>
      </c>
      <c r="I1073" s="65">
        <f t="shared" si="2"/>
        <v>0</v>
      </c>
      <c r="J1073" s="30" t="s">
        <v>5309</v>
      </c>
    </row>
    <row r="1074" ht="15.75" customHeight="1">
      <c r="A1074" s="18">
        <v>46113.0</v>
      </c>
      <c r="B1074" s="17" t="s">
        <v>4465</v>
      </c>
      <c r="C1074" s="17" t="s">
        <v>89</v>
      </c>
      <c r="D1074" s="17" t="s">
        <v>162</v>
      </c>
      <c r="E1074" s="21">
        <v>464.0</v>
      </c>
      <c r="F1074" s="21">
        <f>SUMIFS(crm_orders!$J:$J,crm_orders!$B:$B,"&gt;="&amp;A1074,crm_orders!$B:$B,"&lt;"&amp;DATE(YEAR(A1074),MONTH(A1074)+1,1),crm_orders!$E:$E,B1074,crm_orders!$G:$G,C1074,crm_orders!$H:$H,D1074)</f>
        <v>0</v>
      </c>
      <c r="G1074" s="21">
        <f>SUMIFS(warehouse_shipments!$H:$H,warehouse_shipments!$C:$C,"&gt;="&amp;A1074,warehouse_shipments!$C:$C,"&lt;"&amp;DATE(YEAR(A1074),MONTH(A1074)+1,1),warehouse_shipments!$P:$P,B1074,warehouse_shipments!$Q:$Q,C1074,warehouse_shipments!$R:$R,D1074)</f>
        <v>0</v>
      </c>
      <c r="H1074" s="22">
        <f t="shared" si="1"/>
        <v>-464</v>
      </c>
      <c r="I1074" s="64">
        <f t="shared" si="2"/>
        <v>0</v>
      </c>
      <c r="J1074" s="22" t="s">
        <v>5309</v>
      </c>
    </row>
    <row r="1075" ht="15.75" customHeight="1">
      <c r="A1075" s="26">
        <v>46113.0</v>
      </c>
      <c r="B1075" s="25" t="s">
        <v>4465</v>
      </c>
      <c r="C1075" s="25" t="s">
        <v>89</v>
      </c>
      <c r="D1075" s="25" t="s">
        <v>68</v>
      </c>
      <c r="E1075" s="29">
        <v>517.0</v>
      </c>
      <c r="F1075" s="29">
        <f>SUMIFS(crm_orders!$J:$J,crm_orders!$B:$B,"&gt;="&amp;A1075,crm_orders!$B:$B,"&lt;"&amp;DATE(YEAR(A1075),MONTH(A1075)+1,1),crm_orders!$E:$E,B1075,crm_orders!$G:$G,C1075,crm_orders!$H:$H,D1075)</f>
        <v>0</v>
      </c>
      <c r="G1075" s="29">
        <f>SUMIFS(warehouse_shipments!$H:$H,warehouse_shipments!$C:$C,"&gt;="&amp;A1075,warehouse_shipments!$C:$C,"&lt;"&amp;DATE(YEAR(A1075),MONTH(A1075)+1,1),warehouse_shipments!$P:$P,B1075,warehouse_shipments!$Q:$Q,C1075,warehouse_shipments!$R:$R,D1075)</f>
        <v>0</v>
      </c>
      <c r="H1075" s="30">
        <f t="shared" si="1"/>
        <v>-517</v>
      </c>
      <c r="I1075" s="65">
        <f t="shared" si="2"/>
        <v>0</v>
      </c>
      <c r="J1075" s="30" t="s">
        <v>5308</v>
      </c>
    </row>
    <row r="1076" ht="15.75" customHeight="1">
      <c r="A1076" s="18">
        <v>46113.0</v>
      </c>
      <c r="B1076" s="17" t="s">
        <v>4465</v>
      </c>
      <c r="C1076" s="17" t="s">
        <v>89</v>
      </c>
      <c r="D1076" s="17" t="s">
        <v>102</v>
      </c>
      <c r="E1076" s="21">
        <v>122.0</v>
      </c>
      <c r="F1076" s="21">
        <f>SUMIFS(crm_orders!$J:$J,crm_orders!$B:$B,"&gt;="&amp;A1076,crm_orders!$B:$B,"&lt;"&amp;DATE(YEAR(A1076),MONTH(A1076)+1,1),crm_orders!$E:$E,B1076,crm_orders!$G:$G,C1076,crm_orders!$H:$H,D1076)</f>
        <v>0</v>
      </c>
      <c r="G1076" s="21">
        <f>SUMIFS(warehouse_shipments!$H:$H,warehouse_shipments!$C:$C,"&gt;="&amp;A1076,warehouse_shipments!$C:$C,"&lt;"&amp;DATE(YEAR(A1076),MONTH(A1076)+1,1),warehouse_shipments!$P:$P,B1076,warehouse_shipments!$Q:$Q,C1076,warehouse_shipments!$R:$R,D1076)</f>
        <v>0</v>
      </c>
      <c r="H1076" s="22">
        <f t="shared" si="1"/>
        <v>-122</v>
      </c>
      <c r="I1076" s="64">
        <f t="shared" si="2"/>
        <v>0</v>
      </c>
      <c r="J1076" s="22" t="s">
        <v>5311</v>
      </c>
    </row>
    <row r="1077" ht="15.75" customHeight="1">
      <c r="A1077" s="26">
        <v>46113.0</v>
      </c>
      <c r="B1077" s="25" t="s">
        <v>4465</v>
      </c>
      <c r="C1077" s="25" t="s">
        <v>89</v>
      </c>
      <c r="D1077" s="25" t="s">
        <v>156</v>
      </c>
      <c r="E1077" s="29">
        <v>214.0</v>
      </c>
      <c r="F1077" s="29">
        <f>SUMIFS(crm_orders!$J:$J,crm_orders!$B:$B,"&gt;="&amp;A1077,crm_orders!$B:$B,"&lt;"&amp;DATE(YEAR(A1077),MONTH(A1077)+1,1),crm_orders!$E:$E,B1077,crm_orders!$G:$G,C1077,crm_orders!$H:$H,D1077)</f>
        <v>0</v>
      </c>
      <c r="G1077" s="29">
        <f>SUMIFS(warehouse_shipments!$H:$H,warehouse_shipments!$C:$C,"&gt;="&amp;A1077,warehouse_shipments!$C:$C,"&lt;"&amp;DATE(YEAR(A1077),MONTH(A1077)+1,1),warehouse_shipments!$P:$P,B1077,warehouse_shipments!$Q:$Q,C1077,warehouse_shipments!$R:$R,D1077)</f>
        <v>78</v>
      </c>
      <c r="H1077" s="30">
        <f t="shared" si="1"/>
        <v>-214</v>
      </c>
      <c r="I1077" s="65">
        <f t="shared" si="2"/>
        <v>0</v>
      </c>
      <c r="J1077" s="30" t="s">
        <v>5310</v>
      </c>
    </row>
    <row r="1078" ht="15.75" customHeight="1">
      <c r="A1078" s="18">
        <v>46113.0</v>
      </c>
      <c r="B1078" s="17" t="s">
        <v>4465</v>
      </c>
      <c r="C1078" s="17" t="s">
        <v>89</v>
      </c>
      <c r="D1078" s="17" t="s">
        <v>106</v>
      </c>
      <c r="E1078" s="21">
        <v>203.0</v>
      </c>
      <c r="F1078" s="21">
        <f>SUMIFS(crm_orders!$J:$J,crm_orders!$B:$B,"&gt;="&amp;A1078,crm_orders!$B:$B,"&lt;"&amp;DATE(YEAR(A1078),MONTH(A1078)+1,1),crm_orders!$E:$E,B1078,crm_orders!$G:$G,C1078,crm_orders!$H:$H,D1078)</f>
        <v>0</v>
      </c>
      <c r="G1078" s="21">
        <f>SUMIFS(warehouse_shipments!$H:$H,warehouse_shipments!$C:$C,"&gt;="&amp;A1078,warehouse_shipments!$C:$C,"&lt;"&amp;DATE(YEAR(A1078),MONTH(A1078)+1,1),warehouse_shipments!$P:$P,B1078,warehouse_shipments!$Q:$Q,C1078,warehouse_shipments!$R:$R,D1078)</f>
        <v>0</v>
      </c>
      <c r="H1078" s="22">
        <f t="shared" si="1"/>
        <v>-203</v>
      </c>
      <c r="I1078" s="64">
        <f t="shared" si="2"/>
        <v>0</v>
      </c>
      <c r="J1078" s="22" t="s">
        <v>5311</v>
      </c>
    </row>
    <row r="1079" ht="15.75" customHeight="1">
      <c r="A1079" s="26">
        <v>46113.0</v>
      </c>
      <c r="B1079" s="25" t="s">
        <v>4465</v>
      </c>
      <c r="C1079" s="25" t="s">
        <v>89</v>
      </c>
      <c r="D1079" s="25" t="s">
        <v>154</v>
      </c>
      <c r="E1079" s="29">
        <v>356.0</v>
      </c>
      <c r="F1079" s="29">
        <f>SUMIFS(crm_orders!$J:$J,crm_orders!$B:$B,"&gt;="&amp;A1079,crm_orders!$B:$B,"&lt;"&amp;DATE(YEAR(A1079),MONTH(A1079)+1,1),crm_orders!$E:$E,B1079,crm_orders!$G:$G,C1079,crm_orders!$H:$H,D1079)</f>
        <v>18</v>
      </c>
      <c r="G1079" s="29">
        <f>SUMIFS(warehouse_shipments!$H:$H,warehouse_shipments!$C:$C,"&gt;="&amp;A1079,warehouse_shipments!$C:$C,"&lt;"&amp;DATE(YEAR(A1079),MONTH(A1079)+1,1),warehouse_shipments!$P:$P,B1079,warehouse_shipments!$Q:$Q,C1079,warehouse_shipments!$R:$R,D1079)</f>
        <v>18</v>
      </c>
      <c r="H1079" s="30">
        <f t="shared" si="1"/>
        <v>-338</v>
      </c>
      <c r="I1079" s="65">
        <f t="shared" si="2"/>
        <v>0.05056179775</v>
      </c>
      <c r="J1079" s="30" t="s">
        <v>5309</v>
      </c>
    </row>
    <row r="1080" ht="15.75" customHeight="1">
      <c r="A1080" s="18">
        <v>46113.0</v>
      </c>
      <c r="B1080" s="17" t="s">
        <v>4465</v>
      </c>
      <c r="C1080" s="17" t="s">
        <v>89</v>
      </c>
      <c r="D1080" s="17" t="s">
        <v>92</v>
      </c>
      <c r="E1080" s="21">
        <v>134.0</v>
      </c>
      <c r="F1080" s="21">
        <f>SUMIFS(crm_orders!$J:$J,crm_orders!$B:$B,"&gt;="&amp;A1080,crm_orders!$B:$B,"&lt;"&amp;DATE(YEAR(A1080),MONTH(A1080)+1,1),crm_orders!$E:$E,B1080,crm_orders!$G:$G,C1080,crm_orders!$H:$H,D1080)</f>
        <v>60</v>
      </c>
      <c r="G1080" s="21">
        <f>SUMIFS(warehouse_shipments!$H:$H,warehouse_shipments!$C:$C,"&gt;="&amp;A1080,warehouse_shipments!$C:$C,"&lt;"&amp;DATE(YEAR(A1080),MONTH(A1080)+1,1),warehouse_shipments!$P:$P,B1080,warehouse_shipments!$Q:$Q,C1080,warehouse_shipments!$R:$R,D1080)</f>
        <v>36</v>
      </c>
      <c r="H1080" s="22">
        <f t="shared" si="1"/>
        <v>-74</v>
      </c>
      <c r="I1080" s="64">
        <f t="shared" si="2"/>
        <v>0.447761194</v>
      </c>
      <c r="J1080" s="22" t="s">
        <v>5307</v>
      </c>
    </row>
    <row r="1081" ht="15.75" customHeight="1">
      <c r="A1081" s="26">
        <v>46113.0</v>
      </c>
      <c r="B1081" s="25" t="s">
        <v>4465</v>
      </c>
      <c r="C1081" s="25" t="s">
        <v>89</v>
      </c>
      <c r="D1081" s="25" t="s">
        <v>85</v>
      </c>
      <c r="E1081" s="29">
        <v>284.0</v>
      </c>
      <c r="F1081" s="29">
        <f>SUMIFS(crm_orders!$J:$J,crm_orders!$B:$B,"&gt;="&amp;A1081,crm_orders!$B:$B,"&lt;"&amp;DATE(YEAR(A1081),MONTH(A1081)+1,1),crm_orders!$E:$E,B1081,crm_orders!$G:$G,C1081,crm_orders!$H:$H,D1081)</f>
        <v>24</v>
      </c>
      <c r="G1081" s="29">
        <f>SUMIFS(warehouse_shipments!$H:$H,warehouse_shipments!$C:$C,"&gt;="&amp;A1081,warehouse_shipments!$C:$C,"&lt;"&amp;DATE(YEAR(A1081),MONTH(A1081)+1,1),warehouse_shipments!$P:$P,B1081,warehouse_shipments!$Q:$Q,C1081,warehouse_shipments!$R:$R,D1081)</f>
        <v>24</v>
      </c>
      <c r="H1081" s="30">
        <f t="shared" si="1"/>
        <v>-260</v>
      </c>
      <c r="I1081" s="65">
        <f t="shared" si="2"/>
        <v>0.08450704225</v>
      </c>
      <c r="J1081" s="30" t="s">
        <v>5306</v>
      </c>
    </row>
    <row r="1082" ht="15.75" customHeight="1">
      <c r="A1082" s="18">
        <v>46113.0</v>
      </c>
      <c r="B1082" s="17" t="s">
        <v>4559</v>
      </c>
      <c r="C1082" s="17" t="s">
        <v>63</v>
      </c>
      <c r="D1082" s="17" t="s">
        <v>102</v>
      </c>
      <c r="E1082" s="21">
        <v>370.0</v>
      </c>
      <c r="F1082" s="21">
        <f>SUMIFS(crm_orders!$J:$J,crm_orders!$B:$B,"&gt;="&amp;A1082,crm_orders!$B:$B,"&lt;"&amp;DATE(YEAR(A1082),MONTH(A1082)+1,1),crm_orders!$E:$E,B1082,crm_orders!$G:$G,C1082,crm_orders!$H:$H,D1082)</f>
        <v>0</v>
      </c>
      <c r="G1082" s="21">
        <f>SUMIFS(warehouse_shipments!$H:$H,warehouse_shipments!$C:$C,"&gt;="&amp;A1082,warehouse_shipments!$C:$C,"&lt;"&amp;DATE(YEAR(A1082),MONTH(A1082)+1,1),warehouse_shipments!$P:$P,B1082,warehouse_shipments!$Q:$Q,C1082,warehouse_shipments!$R:$R,D1082)</f>
        <v>0</v>
      </c>
      <c r="H1082" s="22">
        <f t="shared" si="1"/>
        <v>-370</v>
      </c>
      <c r="I1082" s="64">
        <f t="shared" si="2"/>
        <v>0</v>
      </c>
      <c r="J1082" s="22" t="s">
        <v>5311</v>
      </c>
    </row>
    <row r="1083" ht="15.75" customHeight="1">
      <c r="A1083" s="26">
        <v>46113.0</v>
      </c>
      <c r="B1083" s="25" t="s">
        <v>4559</v>
      </c>
      <c r="C1083" s="25" t="s">
        <v>63</v>
      </c>
      <c r="D1083" s="25" t="s">
        <v>78</v>
      </c>
      <c r="E1083" s="29">
        <v>143.0</v>
      </c>
      <c r="F1083" s="29">
        <f>SUMIFS(crm_orders!$J:$J,crm_orders!$B:$B,"&gt;="&amp;A1083,crm_orders!$B:$B,"&lt;"&amp;DATE(YEAR(A1083),MONTH(A1083)+1,1),crm_orders!$E:$E,B1083,crm_orders!$G:$G,C1083,crm_orders!$H:$H,D1083)</f>
        <v>180</v>
      </c>
      <c r="G1083" s="29">
        <f>SUMIFS(warehouse_shipments!$H:$H,warehouse_shipments!$C:$C,"&gt;="&amp;A1083,warehouse_shipments!$C:$C,"&lt;"&amp;DATE(YEAR(A1083),MONTH(A1083)+1,1),warehouse_shipments!$P:$P,B1083,warehouse_shipments!$Q:$Q,C1083,warehouse_shipments!$R:$R,D1083)</f>
        <v>60</v>
      </c>
      <c r="H1083" s="30">
        <f t="shared" si="1"/>
        <v>37</v>
      </c>
      <c r="I1083" s="65">
        <f t="shared" si="2"/>
        <v>0.7412587413</v>
      </c>
      <c r="J1083" s="30" t="s">
        <v>5311</v>
      </c>
    </row>
    <row r="1084" ht="15.75" customHeight="1">
      <c r="A1084" s="18">
        <v>46113.0</v>
      </c>
      <c r="B1084" s="17" t="s">
        <v>4559</v>
      </c>
      <c r="C1084" s="17" t="s">
        <v>63</v>
      </c>
      <c r="D1084" s="17" t="s">
        <v>108</v>
      </c>
      <c r="E1084" s="21">
        <v>206.0</v>
      </c>
      <c r="F1084" s="21">
        <f>SUMIFS(crm_orders!$J:$J,crm_orders!$B:$B,"&gt;="&amp;A1084,crm_orders!$B:$B,"&lt;"&amp;DATE(YEAR(A1084),MONTH(A1084)+1,1),crm_orders!$E:$E,B1084,crm_orders!$G:$G,C1084,crm_orders!$H:$H,D1084)</f>
        <v>0</v>
      </c>
      <c r="G1084" s="21">
        <f>SUMIFS(warehouse_shipments!$H:$H,warehouse_shipments!$C:$C,"&gt;="&amp;A1084,warehouse_shipments!$C:$C,"&lt;"&amp;DATE(YEAR(A1084),MONTH(A1084)+1,1),warehouse_shipments!$P:$P,B1084,warehouse_shipments!$Q:$Q,C1084,warehouse_shipments!$R:$R,D1084)</f>
        <v>36</v>
      </c>
      <c r="H1084" s="22">
        <f t="shared" si="1"/>
        <v>-206</v>
      </c>
      <c r="I1084" s="64">
        <f t="shared" si="2"/>
        <v>0</v>
      </c>
      <c r="J1084" s="22" t="s">
        <v>5306</v>
      </c>
    </row>
    <row r="1085" ht="15.75" customHeight="1">
      <c r="A1085" s="26">
        <v>46113.0</v>
      </c>
      <c r="B1085" s="25" t="s">
        <v>4559</v>
      </c>
      <c r="C1085" s="25" t="s">
        <v>63</v>
      </c>
      <c r="D1085" s="25" t="s">
        <v>115</v>
      </c>
      <c r="E1085" s="29">
        <v>293.0</v>
      </c>
      <c r="F1085" s="29">
        <f>SUMIFS(crm_orders!$J:$J,crm_orders!$B:$B,"&gt;="&amp;A1085,crm_orders!$B:$B,"&lt;"&amp;DATE(YEAR(A1085),MONTH(A1085)+1,1),crm_orders!$E:$E,B1085,crm_orders!$G:$G,C1085,crm_orders!$H:$H,D1085)</f>
        <v>0</v>
      </c>
      <c r="G1085" s="29">
        <f>SUMIFS(warehouse_shipments!$H:$H,warehouse_shipments!$C:$C,"&gt;="&amp;A1085,warehouse_shipments!$C:$C,"&lt;"&amp;DATE(YEAR(A1085),MONTH(A1085)+1,1),warehouse_shipments!$P:$P,B1085,warehouse_shipments!$Q:$Q,C1085,warehouse_shipments!$R:$R,D1085)</f>
        <v>0</v>
      </c>
      <c r="H1085" s="30">
        <f t="shared" si="1"/>
        <v>-293</v>
      </c>
      <c r="I1085" s="65">
        <f t="shared" si="2"/>
        <v>0</v>
      </c>
      <c r="J1085" s="30" t="s">
        <v>5309</v>
      </c>
    </row>
    <row r="1086" ht="15.75" customHeight="1">
      <c r="A1086" s="18">
        <v>46113.0</v>
      </c>
      <c r="B1086" s="17" t="s">
        <v>4559</v>
      </c>
      <c r="C1086" s="17" t="s">
        <v>63</v>
      </c>
      <c r="D1086" s="17" t="s">
        <v>85</v>
      </c>
      <c r="E1086" s="21">
        <v>197.0</v>
      </c>
      <c r="F1086" s="21">
        <f>SUMIFS(crm_orders!$J:$J,crm_orders!$B:$B,"&gt;="&amp;A1086,crm_orders!$B:$B,"&lt;"&amp;DATE(YEAR(A1086),MONTH(A1086)+1,1),crm_orders!$E:$E,B1086,crm_orders!$G:$G,C1086,crm_orders!$H:$H,D1086)</f>
        <v>96</v>
      </c>
      <c r="G1086" s="21">
        <f>SUMIFS(warehouse_shipments!$H:$H,warehouse_shipments!$C:$C,"&gt;="&amp;A1086,warehouse_shipments!$C:$C,"&lt;"&amp;DATE(YEAR(A1086),MONTH(A1086)+1,1),warehouse_shipments!$P:$P,B1086,warehouse_shipments!$Q:$Q,C1086,warehouse_shipments!$R:$R,D1086)</f>
        <v>96</v>
      </c>
      <c r="H1086" s="22">
        <f t="shared" si="1"/>
        <v>-101</v>
      </c>
      <c r="I1086" s="64">
        <f t="shared" si="2"/>
        <v>0.4873096447</v>
      </c>
      <c r="J1086" s="22" t="s">
        <v>5308</v>
      </c>
    </row>
    <row r="1087" ht="15.75" customHeight="1">
      <c r="A1087" s="26">
        <v>46113.0</v>
      </c>
      <c r="B1087" s="25" t="s">
        <v>4559</v>
      </c>
      <c r="C1087" s="25" t="s">
        <v>63</v>
      </c>
      <c r="D1087" s="25" t="s">
        <v>64</v>
      </c>
      <c r="E1087" s="29">
        <v>130.0</v>
      </c>
      <c r="F1087" s="29">
        <f>SUMIFS(crm_orders!$J:$J,crm_orders!$B:$B,"&gt;="&amp;A1087,crm_orders!$B:$B,"&lt;"&amp;DATE(YEAR(A1087),MONTH(A1087)+1,1),crm_orders!$E:$E,B1087,crm_orders!$G:$G,C1087,crm_orders!$H:$H,D1087)</f>
        <v>0</v>
      </c>
      <c r="G1087" s="29">
        <f>SUMIFS(warehouse_shipments!$H:$H,warehouse_shipments!$C:$C,"&gt;="&amp;A1087,warehouse_shipments!$C:$C,"&lt;"&amp;DATE(YEAR(A1087),MONTH(A1087)+1,1),warehouse_shipments!$P:$P,B1087,warehouse_shipments!$Q:$Q,C1087,warehouse_shipments!$R:$R,D1087)</f>
        <v>0</v>
      </c>
      <c r="H1087" s="30">
        <f t="shared" si="1"/>
        <v>-130</v>
      </c>
      <c r="I1087" s="65">
        <f t="shared" si="2"/>
        <v>0</v>
      </c>
      <c r="J1087" s="30" t="s">
        <v>5309</v>
      </c>
    </row>
    <row r="1088" ht="15.75" customHeight="1">
      <c r="A1088" s="18">
        <v>46113.0</v>
      </c>
      <c r="B1088" s="17" t="s">
        <v>4559</v>
      </c>
      <c r="C1088" s="17" t="s">
        <v>63</v>
      </c>
      <c r="D1088" s="17" t="s">
        <v>90</v>
      </c>
      <c r="E1088" s="21">
        <v>233.0</v>
      </c>
      <c r="F1088" s="21">
        <f>SUMIFS(crm_orders!$J:$J,crm_orders!$B:$B,"&gt;="&amp;A1088,crm_orders!$B:$B,"&lt;"&amp;DATE(YEAR(A1088),MONTH(A1088)+1,1),crm_orders!$E:$E,B1088,crm_orders!$G:$G,C1088,crm_orders!$H:$H,D1088)</f>
        <v>24</v>
      </c>
      <c r="G1088" s="21">
        <f>SUMIFS(warehouse_shipments!$H:$H,warehouse_shipments!$C:$C,"&gt;="&amp;A1088,warehouse_shipments!$C:$C,"&lt;"&amp;DATE(YEAR(A1088),MONTH(A1088)+1,1),warehouse_shipments!$P:$P,B1088,warehouse_shipments!$Q:$Q,C1088,warehouse_shipments!$R:$R,D1088)</f>
        <v>0</v>
      </c>
      <c r="H1088" s="22">
        <f t="shared" si="1"/>
        <v>-209</v>
      </c>
      <c r="I1088" s="64">
        <f t="shared" si="2"/>
        <v>0.1030042918</v>
      </c>
      <c r="J1088" s="22" t="s">
        <v>5309</v>
      </c>
    </row>
    <row r="1089" ht="15.75" customHeight="1">
      <c r="A1089" s="26">
        <v>46113.0</v>
      </c>
      <c r="B1089" s="25" t="s">
        <v>4559</v>
      </c>
      <c r="C1089" s="25" t="s">
        <v>63</v>
      </c>
      <c r="D1089" s="25" t="s">
        <v>95</v>
      </c>
      <c r="E1089" s="29">
        <v>147.0</v>
      </c>
      <c r="F1089" s="29">
        <f>SUMIFS(crm_orders!$J:$J,crm_orders!$B:$B,"&gt;="&amp;A1089,crm_orders!$B:$B,"&lt;"&amp;DATE(YEAR(A1089),MONTH(A1089)+1,1),crm_orders!$E:$E,B1089,crm_orders!$G:$G,C1089,crm_orders!$H:$H,D1089)</f>
        <v>0</v>
      </c>
      <c r="G1089" s="29">
        <f>SUMIFS(warehouse_shipments!$H:$H,warehouse_shipments!$C:$C,"&gt;="&amp;A1089,warehouse_shipments!$C:$C,"&lt;"&amp;DATE(YEAR(A1089),MONTH(A1089)+1,1),warehouse_shipments!$P:$P,B1089,warehouse_shipments!$Q:$Q,C1089,warehouse_shipments!$R:$R,D1089)</f>
        <v>0</v>
      </c>
      <c r="H1089" s="30">
        <f t="shared" si="1"/>
        <v>-147</v>
      </c>
      <c r="I1089" s="65">
        <f t="shared" si="2"/>
        <v>0</v>
      </c>
      <c r="J1089" s="30" t="s">
        <v>5309</v>
      </c>
    </row>
    <row r="1090" ht="15.75" customHeight="1">
      <c r="A1090" s="18">
        <v>46113.0</v>
      </c>
      <c r="B1090" s="17" t="s">
        <v>4559</v>
      </c>
      <c r="C1090" s="17" t="s">
        <v>67</v>
      </c>
      <c r="D1090" s="17" t="s">
        <v>102</v>
      </c>
      <c r="E1090" s="21">
        <v>164.0</v>
      </c>
      <c r="F1090" s="21">
        <f>SUMIFS(crm_orders!$J:$J,crm_orders!$B:$B,"&gt;="&amp;A1090,crm_orders!$B:$B,"&lt;"&amp;DATE(YEAR(A1090),MONTH(A1090)+1,1),crm_orders!$E:$E,B1090,crm_orders!$G:$G,C1090,crm_orders!$H:$H,D1090)</f>
        <v>0</v>
      </c>
      <c r="G1090" s="21">
        <f>SUMIFS(warehouse_shipments!$H:$H,warehouse_shipments!$C:$C,"&gt;="&amp;A1090,warehouse_shipments!$C:$C,"&lt;"&amp;DATE(YEAR(A1090),MONTH(A1090)+1,1),warehouse_shipments!$P:$P,B1090,warehouse_shipments!$Q:$Q,C1090,warehouse_shipments!$R:$R,D1090)</f>
        <v>0</v>
      </c>
      <c r="H1090" s="22">
        <f t="shared" si="1"/>
        <v>-164</v>
      </c>
      <c r="I1090" s="64">
        <f t="shared" si="2"/>
        <v>0</v>
      </c>
      <c r="J1090" s="22" t="s">
        <v>5310</v>
      </c>
    </row>
    <row r="1091" ht="15.75" customHeight="1">
      <c r="A1091" s="26">
        <v>46113.0</v>
      </c>
      <c r="B1091" s="25" t="s">
        <v>4559</v>
      </c>
      <c r="C1091" s="25" t="s">
        <v>67</v>
      </c>
      <c r="D1091" s="25" t="s">
        <v>71</v>
      </c>
      <c r="E1091" s="29">
        <v>247.0</v>
      </c>
      <c r="F1091" s="29">
        <f>SUMIFS(crm_orders!$J:$J,crm_orders!$B:$B,"&gt;="&amp;A1091,crm_orders!$B:$B,"&lt;"&amp;DATE(YEAR(A1091),MONTH(A1091)+1,1),crm_orders!$E:$E,B1091,crm_orders!$G:$G,C1091,crm_orders!$H:$H,D1091)</f>
        <v>0</v>
      </c>
      <c r="G1091" s="29">
        <f>SUMIFS(warehouse_shipments!$H:$H,warehouse_shipments!$C:$C,"&gt;="&amp;A1091,warehouse_shipments!$C:$C,"&lt;"&amp;DATE(YEAR(A1091),MONTH(A1091)+1,1),warehouse_shipments!$P:$P,B1091,warehouse_shipments!$Q:$Q,C1091,warehouse_shipments!$R:$R,D1091)</f>
        <v>0</v>
      </c>
      <c r="H1091" s="30">
        <f t="shared" si="1"/>
        <v>-247</v>
      </c>
      <c r="I1091" s="65">
        <f t="shared" si="2"/>
        <v>0</v>
      </c>
      <c r="J1091" s="30" t="s">
        <v>5307</v>
      </c>
    </row>
    <row r="1092" ht="15.75" customHeight="1">
      <c r="A1092" s="18">
        <v>46113.0</v>
      </c>
      <c r="B1092" s="17" t="s">
        <v>4559</v>
      </c>
      <c r="C1092" s="17" t="s">
        <v>67</v>
      </c>
      <c r="D1092" s="17" t="s">
        <v>74</v>
      </c>
      <c r="E1092" s="21">
        <v>92.0</v>
      </c>
      <c r="F1092" s="21">
        <f>SUMIFS(crm_orders!$J:$J,crm_orders!$B:$B,"&gt;="&amp;A1092,crm_orders!$B:$B,"&lt;"&amp;DATE(YEAR(A1092),MONTH(A1092)+1,1),crm_orders!$E:$E,B1092,crm_orders!$G:$G,C1092,crm_orders!$H:$H,D1092)</f>
        <v>0</v>
      </c>
      <c r="G1092" s="21">
        <f>SUMIFS(warehouse_shipments!$H:$H,warehouse_shipments!$C:$C,"&gt;="&amp;A1092,warehouse_shipments!$C:$C,"&lt;"&amp;DATE(YEAR(A1092),MONTH(A1092)+1,1),warehouse_shipments!$P:$P,B1092,warehouse_shipments!$Q:$Q,C1092,warehouse_shipments!$R:$R,D1092)</f>
        <v>0</v>
      </c>
      <c r="H1092" s="22">
        <f t="shared" si="1"/>
        <v>-92</v>
      </c>
      <c r="I1092" s="64">
        <f t="shared" si="2"/>
        <v>0</v>
      </c>
      <c r="J1092" s="22" t="s">
        <v>5307</v>
      </c>
    </row>
    <row r="1093" ht="15.75" customHeight="1">
      <c r="A1093" s="26">
        <v>46113.0</v>
      </c>
      <c r="B1093" s="25" t="s">
        <v>4559</v>
      </c>
      <c r="C1093" s="25" t="s">
        <v>67</v>
      </c>
      <c r="D1093" s="25" t="s">
        <v>78</v>
      </c>
      <c r="E1093" s="29">
        <v>244.0</v>
      </c>
      <c r="F1093" s="29">
        <f>SUMIFS(crm_orders!$J:$J,crm_orders!$B:$B,"&gt;="&amp;A1093,crm_orders!$B:$B,"&lt;"&amp;DATE(YEAR(A1093),MONTH(A1093)+1,1),crm_orders!$E:$E,B1093,crm_orders!$G:$G,C1093,crm_orders!$H:$H,D1093)</f>
        <v>120</v>
      </c>
      <c r="G1093" s="29">
        <f>SUMIFS(warehouse_shipments!$H:$H,warehouse_shipments!$C:$C,"&gt;="&amp;A1093,warehouse_shipments!$C:$C,"&lt;"&amp;DATE(YEAR(A1093),MONTH(A1093)+1,1),warehouse_shipments!$P:$P,B1093,warehouse_shipments!$Q:$Q,C1093,warehouse_shipments!$R:$R,D1093)</f>
        <v>180</v>
      </c>
      <c r="H1093" s="30">
        <f t="shared" si="1"/>
        <v>-124</v>
      </c>
      <c r="I1093" s="65">
        <f t="shared" si="2"/>
        <v>0.4918032787</v>
      </c>
      <c r="J1093" s="30" t="s">
        <v>5308</v>
      </c>
    </row>
    <row r="1094" ht="15.75" customHeight="1">
      <c r="A1094" s="18">
        <v>46113.0</v>
      </c>
      <c r="B1094" s="17" t="s">
        <v>4559</v>
      </c>
      <c r="C1094" s="17" t="s">
        <v>67</v>
      </c>
      <c r="D1094" s="17" t="s">
        <v>85</v>
      </c>
      <c r="E1094" s="21">
        <v>166.0</v>
      </c>
      <c r="F1094" s="21">
        <f>SUMIFS(crm_orders!$J:$J,crm_orders!$B:$B,"&gt;="&amp;A1094,crm_orders!$B:$B,"&lt;"&amp;DATE(YEAR(A1094),MONTH(A1094)+1,1),crm_orders!$E:$E,B1094,crm_orders!$G:$G,C1094,crm_orders!$H:$H,D1094)</f>
        <v>0</v>
      </c>
      <c r="G1094" s="21">
        <f>SUMIFS(warehouse_shipments!$H:$H,warehouse_shipments!$C:$C,"&gt;="&amp;A1094,warehouse_shipments!$C:$C,"&lt;"&amp;DATE(YEAR(A1094),MONTH(A1094)+1,1),warehouse_shipments!$P:$P,B1094,warehouse_shipments!$Q:$Q,C1094,warehouse_shipments!$R:$R,D1094)</f>
        <v>0</v>
      </c>
      <c r="H1094" s="22">
        <f t="shared" si="1"/>
        <v>-166</v>
      </c>
      <c r="I1094" s="64">
        <f t="shared" si="2"/>
        <v>0</v>
      </c>
      <c r="J1094" s="22" t="s">
        <v>5311</v>
      </c>
    </row>
    <row r="1095" ht="15.75" customHeight="1">
      <c r="A1095" s="26">
        <v>46113.0</v>
      </c>
      <c r="B1095" s="25" t="s">
        <v>4559</v>
      </c>
      <c r="C1095" s="25" t="s">
        <v>67</v>
      </c>
      <c r="D1095" s="25" t="s">
        <v>115</v>
      </c>
      <c r="E1095" s="29">
        <v>395.0</v>
      </c>
      <c r="F1095" s="29">
        <f>SUMIFS(crm_orders!$J:$J,crm_orders!$B:$B,"&gt;="&amp;A1095,crm_orders!$B:$B,"&lt;"&amp;DATE(YEAR(A1095),MONTH(A1095)+1,1),crm_orders!$E:$E,B1095,crm_orders!$G:$G,C1095,crm_orders!$H:$H,D1095)</f>
        <v>0</v>
      </c>
      <c r="G1095" s="29">
        <f>SUMIFS(warehouse_shipments!$H:$H,warehouse_shipments!$C:$C,"&gt;="&amp;A1095,warehouse_shipments!$C:$C,"&lt;"&amp;DATE(YEAR(A1095),MONTH(A1095)+1,1),warehouse_shipments!$P:$P,B1095,warehouse_shipments!$Q:$Q,C1095,warehouse_shipments!$R:$R,D1095)</f>
        <v>0</v>
      </c>
      <c r="H1095" s="30">
        <f t="shared" si="1"/>
        <v>-395</v>
      </c>
      <c r="I1095" s="65">
        <f t="shared" si="2"/>
        <v>0</v>
      </c>
      <c r="J1095" s="30" t="s">
        <v>5306</v>
      </c>
    </row>
    <row r="1096" ht="15.75" customHeight="1">
      <c r="A1096" s="18">
        <v>46113.0</v>
      </c>
      <c r="B1096" s="17" t="s">
        <v>4559</v>
      </c>
      <c r="C1096" s="17" t="s">
        <v>67</v>
      </c>
      <c r="D1096" s="17" t="s">
        <v>123</v>
      </c>
      <c r="E1096" s="21">
        <v>131.0</v>
      </c>
      <c r="F1096" s="21">
        <f>SUMIFS(crm_orders!$J:$J,crm_orders!$B:$B,"&gt;="&amp;A1096,crm_orders!$B:$B,"&lt;"&amp;DATE(YEAR(A1096),MONTH(A1096)+1,1),crm_orders!$E:$E,B1096,crm_orders!$G:$G,C1096,crm_orders!$H:$H,D1096)</f>
        <v>0</v>
      </c>
      <c r="G1096" s="21">
        <f>SUMIFS(warehouse_shipments!$H:$H,warehouse_shipments!$C:$C,"&gt;="&amp;A1096,warehouse_shipments!$C:$C,"&lt;"&amp;DATE(YEAR(A1096),MONTH(A1096)+1,1),warehouse_shipments!$P:$P,B1096,warehouse_shipments!$Q:$Q,C1096,warehouse_shipments!$R:$R,D1096)</f>
        <v>0</v>
      </c>
      <c r="H1096" s="22">
        <f t="shared" si="1"/>
        <v>-131</v>
      </c>
      <c r="I1096" s="64">
        <f t="shared" si="2"/>
        <v>0</v>
      </c>
      <c r="J1096" s="22" t="s">
        <v>5307</v>
      </c>
    </row>
    <row r="1097" ht="15.75" customHeight="1">
      <c r="A1097" s="26">
        <v>46113.0</v>
      </c>
      <c r="B1097" s="25" t="s">
        <v>4559</v>
      </c>
      <c r="C1097" s="25" t="s">
        <v>67</v>
      </c>
      <c r="D1097" s="25" t="s">
        <v>68</v>
      </c>
      <c r="E1097" s="29">
        <v>453.0</v>
      </c>
      <c r="F1097" s="29">
        <f>SUMIFS(crm_orders!$J:$J,crm_orders!$B:$B,"&gt;="&amp;A1097,crm_orders!$B:$B,"&lt;"&amp;DATE(YEAR(A1097),MONTH(A1097)+1,1),crm_orders!$E:$E,B1097,crm_orders!$G:$G,C1097,crm_orders!$H:$H,D1097)</f>
        <v>0</v>
      </c>
      <c r="G1097" s="29">
        <f>SUMIFS(warehouse_shipments!$H:$H,warehouse_shipments!$C:$C,"&gt;="&amp;A1097,warehouse_shipments!$C:$C,"&lt;"&amp;DATE(YEAR(A1097),MONTH(A1097)+1,1),warehouse_shipments!$P:$P,B1097,warehouse_shipments!$Q:$Q,C1097,warehouse_shipments!$R:$R,D1097)</f>
        <v>0</v>
      </c>
      <c r="H1097" s="30">
        <f t="shared" si="1"/>
        <v>-453</v>
      </c>
      <c r="I1097" s="65">
        <f t="shared" si="2"/>
        <v>0</v>
      </c>
      <c r="J1097" s="30" t="s">
        <v>5309</v>
      </c>
    </row>
    <row r="1098" ht="15.75" customHeight="1">
      <c r="A1098" s="18">
        <v>46113.0</v>
      </c>
      <c r="B1098" s="17" t="s">
        <v>4559</v>
      </c>
      <c r="C1098" s="17" t="s">
        <v>89</v>
      </c>
      <c r="D1098" s="17" t="s">
        <v>154</v>
      </c>
      <c r="E1098" s="21">
        <v>253.0</v>
      </c>
      <c r="F1098" s="21">
        <f>SUMIFS(crm_orders!$J:$J,crm_orders!$B:$B,"&gt;="&amp;A1098,crm_orders!$B:$B,"&lt;"&amp;DATE(YEAR(A1098),MONTH(A1098)+1,1),crm_orders!$E:$E,B1098,crm_orders!$G:$G,C1098,crm_orders!$H:$H,D1098)</f>
        <v>18</v>
      </c>
      <c r="G1098" s="21">
        <f>SUMIFS(warehouse_shipments!$H:$H,warehouse_shipments!$C:$C,"&gt;="&amp;A1098,warehouse_shipments!$C:$C,"&lt;"&amp;DATE(YEAR(A1098),MONTH(A1098)+1,1),warehouse_shipments!$P:$P,B1098,warehouse_shipments!$Q:$Q,C1098,warehouse_shipments!$R:$R,D1098)</f>
        <v>18</v>
      </c>
      <c r="H1098" s="22">
        <f t="shared" si="1"/>
        <v>-235</v>
      </c>
      <c r="I1098" s="64">
        <f t="shared" si="2"/>
        <v>0.07114624506</v>
      </c>
      <c r="J1098" s="22" t="s">
        <v>5307</v>
      </c>
    </row>
    <row r="1099" ht="15.75" customHeight="1">
      <c r="A1099" s="26">
        <v>46113.0</v>
      </c>
      <c r="B1099" s="25" t="s">
        <v>4559</v>
      </c>
      <c r="C1099" s="25" t="s">
        <v>89</v>
      </c>
      <c r="D1099" s="25" t="s">
        <v>92</v>
      </c>
      <c r="E1099" s="29">
        <v>163.0</v>
      </c>
      <c r="F1099" s="29">
        <f>SUMIFS(crm_orders!$J:$J,crm_orders!$B:$B,"&gt;="&amp;A1099,crm_orders!$B:$B,"&lt;"&amp;DATE(YEAR(A1099),MONTH(A1099)+1,1),crm_orders!$E:$E,B1099,crm_orders!$G:$G,C1099,crm_orders!$H:$H,D1099)</f>
        <v>0</v>
      </c>
      <c r="G1099" s="29">
        <f>SUMIFS(warehouse_shipments!$H:$H,warehouse_shipments!$C:$C,"&gt;="&amp;A1099,warehouse_shipments!$C:$C,"&lt;"&amp;DATE(YEAR(A1099),MONTH(A1099)+1,1),warehouse_shipments!$P:$P,B1099,warehouse_shipments!$Q:$Q,C1099,warehouse_shipments!$R:$R,D1099)</f>
        <v>0</v>
      </c>
      <c r="H1099" s="30">
        <f t="shared" si="1"/>
        <v>-163</v>
      </c>
      <c r="I1099" s="65">
        <f t="shared" si="2"/>
        <v>0</v>
      </c>
      <c r="J1099" s="30" t="s">
        <v>5307</v>
      </c>
    </row>
    <row r="1100" ht="15.75" customHeight="1">
      <c r="A1100" s="18">
        <v>46113.0</v>
      </c>
      <c r="B1100" s="17" t="s">
        <v>4559</v>
      </c>
      <c r="C1100" s="17" t="s">
        <v>89</v>
      </c>
      <c r="D1100" s="17" t="s">
        <v>102</v>
      </c>
      <c r="E1100" s="21">
        <v>85.0</v>
      </c>
      <c r="F1100" s="21">
        <f>SUMIFS(crm_orders!$J:$J,crm_orders!$B:$B,"&gt;="&amp;A1100,crm_orders!$B:$B,"&lt;"&amp;DATE(YEAR(A1100),MONTH(A1100)+1,1),crm_orders!$E:$E,B1100,crm_orders!$G:$G,C1100,crm_orders!$H:$H,D1100)</f>
        <v>6</v>
      </c>
      <c r="G1100" s="21">
        <f>SUMIFS(warehouse_shipments!$H:$H,warehouse_shipments!$C:$C,"&gt;="&amp;A1100,warehouse_shipments!$C:$C,"&lt;"&amp;DATE(YEAR(A1100),MONTH(A1100)+1,1),warehouse_shipments!$P:$P,B1100,warehouse_shipments!$Q:$Q,C1100,warehouse_shipments!$R:$R,D1100)</f>
        <v>6</v>
      </c>
      <c r="H1100" s="22">
        <f t="shared" si="1"/>
        <v>-79</v>
      </c>
      <c r="I1100" s="64">
        <f t="shared" si="2"/>
        <v>0.07058823529</v>
      </c>
      <c r="J1100" s="22" t="s">
        <v>5307</v>
      </c>
    </row>
    <row r="1101" ht="15.75" customHeight="1">
      <c r="A1101" s="26">
        <v>46113.0</v>
      </c>
      <c r="B1101" s="25" t="s">
        <v>4559</v>
      </c>
      <c r="C1101" s="25" t="s">
        <v>89</v>
      </c>
      <c r="D1101" s="25" t="s">
        <v>64</v>
      </c>
      <c r="E1101" s="29">
        <v>512.0</v>
      </c>
      <c r="F1101" s="29">
        <f>SUMIFS(crm_orders!$J:$J,crm_orders!$B:$B,"&gt;="&amp;A1101,crm_orders!$B:$B,"&lt;"&amp;DATE(YEAR(A1101),MONTH(A1101)+1,1),crm_orders!$E:$E,B1101,crm_orders!$G:$G,C1101,crm_orders!$H:$H,D1101)</f>
        <v>0</v>
      </c>
      <c r="G1101" s="29">
        <f>SUMIFS(warehouse_shipments!$H:$H,warehouse_shipments!$C:$C,"&gt;="&amp;A1101,warehouse_shipments!$C:$C,"&lt;"&amp;DATE(YEAR(A1101),MONTH(A1101)+1,1),warehouse_shipments!$P:$P,B1101,warehouse_shipments!$Q:$Q,C1101,warehouse_shipments!$R:$R,D1101)</f>
        <v>0</v>
      </c>
      <c r="H1101" s="30">
        <f t="shared" si="1"/>
        <v>-512</v>
      </c>
      <c r="I1101" s="65">
        <f t="shared" si="2"/>
        <v>0</v>
      </c>
      <c r="J1101" s="30" t="s">
        <v>5311</v>
      </c>
    </row>
    <row r="1102" ht="15.75" customHeight="1">
      <c r="A1102" s="18">
        <v>46113.0</v>
      </c>
      <c r="B1102" s="17" t="s">
        <v>4559</v>
      </c>
      <c r="C1102" s="17" t="s">
        <v>89</v>
      </c>
      <c r="D1102" s="17" t="s">
        <v>78</v>
      </c>
      <c r="E1102" s="21">
        <v>217.0</v>
      </c>
      <c r="F1102" s="21">
        <f>SUMIFS(crm_orders!$J:$J,crm_orders!$B:$B,"&gt;="&amp;A1102,crm_orders!$B:$B,"&lt;"&amp;DATE(YEAR(A1102),MONTH(A1102)+1,1),crm_orders!$E:$E,B1102,crm_orders!$G:$G,C1102,crm_orders!$H:$H,D1102)</f>
        <v>0</v>
      </c>
      <c r="G1102" s="21">
        <f>SUMIFS(warehouse_shipments!$H:$H,warehouse_shipments!$C:$C,"&gt;="&amp;A1102,warehouse_shipments!$C:$C,"&lt;"&amp;DATE(YEAR(A1102),MONTH(A1102)+1,1),warehouse_shipments!$P:$P,B1102,warehouse_shipments!$Q:$Q,C1102,warehouse_shipments!$R:$R,D1102)</f>
        <v>24</v>
      </c>
      <c r="H1102" s="22">
        <f t="shared" si="1"/>
        <v>-217</v>
      </c>
      <c r="I1102" s="64">
        <f t="shared" si="2"/>
        <v>0</v>
      </c>
      <c r="J1102" s="22" t="s">
        <v>5307</v>
      </c>
    </row>
    <row r="1103" ht="15.75" customHeight="1">
      <c r="A1103" s="26">
        <v>46113.0</v>
      </c>
      <c r="B1103" s="25" t="s">
        <v>4559</v>
      </c>
      <c r="C1103" s="25" t="s">
        <v>89</v>
      </c>
      <c r="D1103" s="25" t="s">
        <v>190</v>
      </c>
      <c r="E1103" s="29">
        <v>275.0</v>
      </c>
      <c r="F1103" s="29">
        <f>SUMIFS(crm_orders!$J:$J,crm_orders!$B:$B,"&gt;="&amp;A1103,crm_orders!$B:$B,"&lt;"&amp;DATE(YEAR(A1103),MONTH(A1103)+1,1),crm_orders!$E:$E,B1103,crm_orders!$G:$G,C1103,crm_orders!$H:$H,D1103)</f>
        <v>0</v>
      </c>
      <c r="G1103" s="29">
        <f>SUMIFS(warehouse_shipments!$H:$H,warehouse_shipments!$C:$C,"&gt;="&amp;A1103,warehouse_shipments!$C:$C,"&lt;"&amp;DATE(YEAR(A1103),MONTH(A1103)+1,1),warehouse_shipments!$P:$P,B1103,warehouse_shipments!$Q:$Q,C1103,warehouse_shipments!$R:$R,D1103)</f>
        <v>0</v>
      </c>
      <c r="H1103" s="30">
        <f t="shared" si="1"/>
        <v>-275</v>
      </c>
      <c r="I1103" s="65">
        <f t="shared" si="2"/>
        <v>0</v>
      </c>
      <c r="J1103" s="30" t="s">
        <v>5307</v>
      </c>
    </row>
    <row r="1104" ht="15.75" customHeight="1">
      <c r="A1104" s="18">
        <v>46113.0</v>
      </c>
      <c r="B1104" s="17" t="s">
        <v>4559</v>
      </c>
      <c r="C1104" s="17" t="s">
        <v>89</v>
      </c>
      <c r="D1104" s="17" t="s">
        <v>106</v>
      </c>
      <c r="E1104" s="21">
        <v>176.0</v>
      </c>
      <c r="F1104" s="21">
        <f>SUMIFS(crm_orders!$J:$J,crm_orders!$B:$B,"&gt;="&amp;A1104,crm_orders!$B:$B,"&lt;"&amp;DATE(YEAR(A1104),MONTH(A1104)+1,1),crm_orders!$E:$E,B1104,crm_orders!$G:$G,C1104,crm_orders!$H:$H,D1104)</f>
        <v>60</v>
      </c>
      <c r="G1104" s="21">
        <f>SUMIFS(warehouse_shipments!$H:$H,warehouse_shipments!$C:$C,"&gt;="&amp;A1104,warehouse_shipments!$C:$C,"&lt;"&amp;DATE(YEAR(A1104),MONTH(A1104)+1,1),warehouse_shipments!$P:$P,B1104,warehouse_shipments!$Q:$Q,C1104,warehouse_shipments!$R:$R,D1104)</f>
        <v>60</v>
      </c>
      <c r="H1104" s="22">
        <f t="shared" si="1"/>
        <v>-116</v>
      </c>
      <c r="I1104" s="64">
        <f t="shared" si="2"/>
        <v>0.3409090909</v>
      </c>
      <c r="J1104" s="22" t="s">
        <v>5310</v>
      </c>
    </row>
    <row r="1105" ht="15.75" customHeight="1">
      <c r="A1105" s="26">
        <v>46113.0</v>
      </c>
      <c r="B1105" s="25" t="s">
        <v>4559</v>
      </c>
      <c r="C1105" s="25" t="s">
        <v>89</v>
      </c>
      <c r="D1105" s="25" t="s">
        <v>85</v>
      </c>
      <c r="E1105" s="29">
        <v>198.0</v>
      </c>
      <c r="F1105" s="29">
        <f>SUMIFS(crm_orders!$J:$J,crm_orders!$B:$B,"&gt;="&amp;A1105,crm_orders!$B:$B,"&lt;"&amp;DATE(YEAR(A1105),MONTH(A1105)+1,1),crm_orders!$E:$E,B1105,crm_orders!$G:$G,C1105,crm_orders!$H:$H,D1105)</f>
        <v>0</v>
      </c>
      <c r="G1105" s="29">
        <f>SUMIFS(warehouse_shipments!$H:$H,warehouse_shipments!$C:$C,"&gt;="&amp;A1105,warehouse_shipments!$C:$C,"&lt;"&amp;DATE(YEAR(A1105),MONTH(A1105)+1,1),warehouse_shipments!$P:$P,B1105,warehouse_shipments!$Q:$Q,C1105,warehouse_shipments!$R:$R,D1105)</f>
        <v>0</v>
      </c>
      <c r="H1105" s="30">
        <f t="shared" si="1"/>
        <v>-198</v>
      </c>
      <c r="I1105" s="65">
        <f t="shared" si="2"/>
        <v>0</v>
      </c>
      <c r="J1105" s="30" t="s">
        <v>5306</v>
      </c>
    </row>
    <row r="1106" ht="15.75" customHeight="1">
      <c r="A1106" s="18">
        <v>46113.0</v>
      </c>
      <c r="B1106" s="17" t="s">
        <v>4618</v>
      </c>
      <c r="C1106" s="17" t="s">
        <v>63</v>
      </c>
      <c r="D1106" s="17" t="s">
        <v>123</v>
      </c>
      <c r="E1106" s="21">
        <v>287.0</v>
      </c>
      <c r="F1106" s="21">
        <f>SUMIFS(crm_orders!$J:$J,crm_orders!$B:$B,"&gt;="&amp;A1106,crm_orders!$B:$B,"&lt;"&amp;DATE(YEAR(A1106),MONTH(A1106)+1,1),crm_orders!$E:$E,B1106,crm_orders!$G:$G,C1106,crm_orders!$H:$H,D1106)</f>
        <v>0</v>
      </c>
      <c r="G1106" s="21">
        <f>SUMIFS(warehouse_shipments!$H:$H,warehouse_shipments!$C:$C,"&gt;="&amp;A1106,warehouse_shipments!$C:$C,"&lt;"&amp;DATE(YEAR(A1106),MONTH(A1106)+1,1),warehouse_shipments!$P:$P,B1106,warehouse_shipments!$Q:$Q,C1106,warehouse_shipments!$R:$R,D1106)</f>
        <v>0</v>
      </c>
      <c r="H1106" s="22">
        <f t="shared" si="1"/>
        <v>-287</v>
      </c>
      <c r="I1106" s="64">
        <f t="shared" si="2"/>
        <v>0</v>
      </c>
      <c r="J1106" s="22" t="s">
        <v>5308</v>
      </c>
    </row>
    <row r="1107" ht="15.75" customHeight="1">
      <c r="A1107" s="26">
        <v>46113.0</v>
      </c>
      <c r="B1107" s="25" t="s">
        <v>4618</v>
      </c>
      <c r="C1107" s="25" t="s">
        <v>63</v>
      </c>
      <c r="D1107" s="25" t="s">
        <v>78</v>
      </c>
      <c r="E1107" s="29">
        <v>284.0</v>
      </c>
      <c r="F1107" s="29">
        <f>SUMIFS(crm_orders!$J:$J,crm_orders!$B:$B,"&gt;="&amp;A1107,crm_orders!$B:$B,"&lt;"&amp;DATE(YEAR(A1107),MONTH(A1107)+1,1),crm_orders!$E:$E,B1107,crm_orders!$G:$G,C1107,crm_orders!$H:$H,D1107)</f>
        <v>0</v>
      </c>
      <c r="G1107" s="29">
        <f>SUMIFS(warehouse_shipments!$H:$H,warehouse_shipments!$C:$C,"&gt;="&amp;A1107,warehouse_shipments!$C:$C,"&lt;"&amp;DATE(YEAR(A1107),MONTH(A1107)+1,1),warehouse_shipments!$P:$P,B1107,warehouse_shipments!$Q:$Q,C1107,warehouse_shipments!$R:$R,D1107)</f>
        <v>0</v>
      </c>
      <c r="H1107" s="30">
        <f t="shared" si="1"/>
        <v>-284</v>
      </c>
      <c r="I1107" s="65">
        <f t="shared" si="2"/>
        <v>0</v>
      </c>
      <c r="J1107" s="30" t="s">
        <v>5307</v>
      </c>
    </row>
    <row r="1108" ht="15.75" customHeight="1">
      <c r="A1108" s="18">
        <v>46113.0</v>
      </c>
      <c r="B1108" s="17" t="s">
        <v>4618</v>
      </c>
      <c r="C1108" s="17" t="s">
        <v>63</v>
      </c>
      <c r="D1108" s="17" t="s">
        <v>110</v>
      </c>
      <c r="E1108" s="21">
        <v>104.0</v>
      </c>
      <c r="F1108" s="21">
        <f>SUMIFS(crm_orders!$J:$J,crm_orders!$B:$B,"&gt;="&amp;A1108,crm_orders!$B:$B,"&lt;"&amp;DATE(YEAR(A1108),MONTH(A1108)+1,1),crm_orders!$E:$E,B1108,crm_orders!$G:$G,C1108,crm_orders!$H:$H,D1108)</f>
        <v>156</v>
      </c>
      <c r="G1108" s="21">
        <f>SUMIFS(warehouse_shipments!$H:$H,warehouse_shipments!$C:$C,"&gt;="&amp;A1108,warehouse_shipments!$C:$C,"&lt;"&amp;DATE(YEAR(A1108),MONTH(A1108)+1,1),warehouse_shipments!$P:$P,B1108,warehouse_shipments!$Q:$Q,C1108,warehouse_shipments!$R:$R,D1108)</f>
        <v>60</v>
      </c>
      <c r="H1108" s="22">
        <f t="shared" si="1"/>
        <v>52</v>
      </c>
      <c r="I1108" s="64">
        <f t="shared" si="2"/>
        <v>0.5</v>
      </c>
      <c r="J1108" s="22" t="s">
        <v>5308</v>
      </c>
    </row>
    <row r="1109" ht="15.75" customHeight="1">
      <c r="A1109" s="26">
        <v>46113.0</v>
      </c>
      <c r="B1109" s="25" t="s">
        <v>4618</v>
      </c>
      <c r="C1109" s="25" t="s">
        <v>63</v>
      </c>
      <c r="D1109" s="25" t="s">
        <v>95</v>
      </c>
      <c r="E1109" s="29">
        <v>445.0</v>
      </c>
      <c r="F1109" s="29">
        <f>SUMIFS(crm_orders!$J:$J,crm_orders!$B:$B,"&gt;="&amp;A1109,crm_orders!$B:$B,"&lt;"&amp;DATE(YEAR(A1109),MONTH(A1109)+1,1),crm_orders!$E:$E,B1109,crm_orders!$G:$G,C1109,crm_orders!$H:$H,D1109)</f>
        <v>0</v>
      </c>
      <c r="G1109" s="29">
        <f>SUMIFS(warehouse_shipments!$H:$H,warehouse_shipments!$C:$C,"&gt;="&amp;A1109,warehouse_shipments!$C:$C,"&lt;"&amp;DATE(YEAR(A1109),MONTH(A1109)+1,1),warehouse_shipments!$P:$P,B1109,warehouse_shipments!$Q:$Q,C1109,warehouse_shipments!$R:$R,D1109)</f>
        <v>0</v>
      </c>
      <c r="H1109" s="30">
        <f t="shared" si="1"/>
        <v>-445</v>
      </c>
      <c r="I1109" s="65">
        <f t="shared" si="2"/>
        <v>0</v>
      </c>
      <c r="J1109" s="30" t="s">
        <v>5308</v>
      </c>
    </row>
    <row r="1110" ht="15.75" customHeight="1">
      <c r="A1110" s="18">
        <v>46113.0</v>
      </c>
      <c r="B1110" s="17" t="s">
        <v>4618</v>
      </c>
      <c r="C1110" s="17" t="s">
        <v>63</v>
      </c>
      <c r="D1110" s="17" t="s">
        <v>190</v>
      </c>
      <c r="E1110" s="21">
        <v>502.0</v>
      </c>
      <c r="F1110" s="21">
        <f>SUMIFS(crm_orders!$J:$J,crm_orders!$B:$B,"&gt;="&amp;A1110,crm_orders!$B:$B,"&lt;"&amp;DATE(YEAR(A1110),MONTH(A1110)+1,1),crm_orders!$E:$E,B1110,crm_orders!$G:$G,C1110,crm_orders!$H:$H,D1110)</f>
        <v>0</v>
      </c>
      <c r="G1110" s="21">
        <f>SUMIFS(warehouse_shipments!$H:$H,warehouse_shipments!$C:$C,"&gt;="&amp;A1110,warehouse_shipments!$C:$C,"&lt;"&amp;DATE(YEAR(A1110),MONTH(A1110)+1,1),warehouse_shipments!$P:$P,B1110,warehouse_shipments!$Q:$Q,C1110,warehouse_shipments!$R:$R,D1110)</f>
        <v>0</v>
      </c>
      <c r="H1110" s="22">
        <f t="shared" si="1"/>
        <v>-502</v>
      </c>
      <c r="I1110" s="64">
        <f t="shared" si="2"/>
        <v>0</v>
      </c>
      <c r="J1110" s="22" t="s">
        <v>5310</v>
      </c>
    </row>
    <row r="1111" ht="15.75" customHeight="1">
      <c r="A1111" s="26">
        <v>46113.0</v>
      </c>
      <c r="B1111" s="25" t="s">
        <v>4618</v>
      </c>
      <c r="C1111" s="25" t="s">
        <v>63</v>
      </c>
      <c r="D1111" s="25" t="s">
        <v>85</v>
      </c>
      <c r="E1111" s="29">
        <v>82.0</v>
      </c>
      <c r="F1111" s="29">
        <f>SUMIFS(crm_orders!$J:$J,crm_orders!$B:$B,"&gt;="&amp;A1111,crm_orders!$B:$B,"&lt;"&amp;DATE(YEAR(A1111),MONTH(A1111)+1,1),crm_orders!$E:$E,B1111,crm_orders!$G:$G,C1111,crm_orders!$H:$H,D1111)</f>
        <v>0</v>
      </c>
      <c r="G1111" s="29">
        <f>SUMIFS(warehouse_shipments!$H:$H,warehouse_shipments!$C:$C,"&gt;="&amp;A1111,warehouse_shipments!$C:$C,"&lt;"&amp;DATE(YEAR(A1111),MONTH(A1111)+1,1),warehouse_shipments!$P:$P,B1111,warehouse_shipments!$Q:$Q,C1111,warehouse_shipments!$R:$R,D1111)</f>
        <v>0</v>
      </c>
      <c r="H1111" s="30">
        <f t="shared" si="1"/>
        <v>-82</v>
      </c>
      <c r="I1111" s="65">
        <f t="shared" si="2"/>
        <v>0</v>
      </c>
      <c r="J1111" s="30" t="s">
        <v>5308</v>
      </c>
    </row>
    <row r="1112" ht="15.75" customHeight="1">
      <c r="A1112" s="18">
        <v>46113.0</v>
      </c>
      <c r="B1112" s="17" t="s">
        <v>4618</v>
      </c>
      <c r="C1112" s="17" t="s">
        <v>63</v>
      </c>
      <c r="D1112" s="17" t="s">
        <v>108</v>
      </c>
      <c r="E1112" s="21">
        <v>221.0</v>
      </c>
      <c r="F1112" s="21">
        <f>SUMIFS(crm_orders!$J:$J,crm_orders!$B:$B,"&gt;="&amp;A1112,crm_orders!$B:$B,"&lt;"&amp;DATE(YEAR(A1112),MONTH(A1112)+1,1),crm_orders!$E:$E,B1112,crm_orders!$G:$G,C1112,crm_orders!$H:$H,D1112)</f>
        <v>0</v>
      </c>
      <c r="G1112" s="21">
        <f>SUMIFS(warehouse_shipments!$H:$H,warehouse_shipments!$C:$C,"&gt;="&amp;A1112,warehouse_shipments!$C:$C,"&lt;"&amp;DATE(YEAR(A1112),MONTH(A1112)+1,1),warehouse_shipments!$P:$P,B1112,warehouse_shipments!$Q:$Q,C1112,warehouse_shipments!$R:$R,D1112)</f>
        <v>0</v>
      </c>
      <c r="H1112" s="22">
        <f t="shared" si="1"/>
        <v>-221</v>
      </c>
      <c r="I1112" s="64">
        <f t="shared" si="2"/>
        <v>0</v>
      </c>
      <c r="J1112" s="22" t="s">
        <v>5310</v>
      </c>
    </row>
    <row r="1113" ht="15.75" customHeight="1">
      <c r="A1113" s="26">
        <v>46113.0</v>
      </c>
      <c r="B1113" s="25" t="s">
        <v>4618</v>
      </c>
      <c r="C1113" s="25" t="s">
        <v>63</v>
      </c>
      <c r="D1113" s="25" t="s">
        <v>74</v>
      </c>
      <c r="E1113" s="29">
        <v>173.0</v>
      </c>
      <c r="F1113" s="29">
        <f>SUMIFS(crm_orders!$J:$J,crm_orders!$B:$B,"&gt;="&amp;A1113,crm_orders!$B:$B,"&lt;"&amp;DATE(YEAR(A1113),MONTH(A1113)+1,1),crm_orders!$E:$E,B1113,crm_orders!$G:$G,C1113,crm_orders!$H:$H,D1113)</f>
        <v>72</v>
      </c>
      <c r="G1113" s="29">
        <f>SUMIFS(warehouse_shipments!$H:$H,warehouse_shipments!$C:$C,"&gt;="&amp;A1113,warehouse_shipments!$C:$C,"&lt;"&amp;DATE(YEAR(A1113),MONTH(A1113)+1,1),warehouse_shipments!$P:$P,B1113,warehouse_shipments!$Q:$Q,C1113,warehouse_shipments!$R:$R,D1113)</f>
        <v>120</v>
      </c>
      <c r="H1113" s="30">
        <f t="shared" si="1"/>
        <v>-101</v>
      </c>
      <c r="I1113" s="65">
        <f t="shared" si="2"/>
        <v>0.4161849711</v>
      </c>
      <c r="J1113" s="30" t="s">
        <v>5306</v>
      </c>
    </row>
    <row r="1114" ht="15.75" customHeight="1">
      <c r="A1114" s="18">
        <v>46113.0</v>
      </c>
      <c r="B1114" s="17" t="s">
        <v>4618</v>
      </c>
      <c r="C1114" s="17" t="s">
        <v>67</v>
      </c>
      <c r="D1114" s="17" t="s">
        <v>106</v>
      </c>
      <c r="E1114" s="21">
        <v>136.0</v>
      </c>
      <c r="F1114" s="21">
        <f>SUMIFS(crm_orders!$J:$J,crm_orders!$B:$B,"&gt;="&amp;A1114,crm_orders!$B:$B,"&lt;"&amp;DATE(YEAR(A1114),MONTH(A1114)+1,1),crm_orders!$E:$E,B1114,crm_orders!$G:$G,C1114,crm_orders!$H:$H,D1114)</f>
        <v>0</v>
      </c>
      <c r="G1114" s="21">
        <f>SUMIFS(warehouse_shipments!$H:$H,warehouse_shipments!$C:$C,"&gt;="&amp;A1114,warehouse_shipments!$C:$C,"&lt;"&amp;DATE(YEAR(A1114),MONTH(A1114)+1,1),warehouse_shipments!$P:$P,B1114,warehouse_shipments!$Q:$Q,C1114,warehouse_shipments!$R:$R,D1114)</f>
        <v>0</v>
      </c>
      <c r="H1114" s="22">
        <f t="shared" si="1"/>
        <v>-136</v>
      </c>
      <c r="I1114" s="64">
        <f t="shared" si="2"/>
        <v>0</v>
      </c>
      <c r="J1114" s="22" t="s">
        <v>5311</v>
      </c>
    </row>
    <row r="1115" ht="15.75" customHeight="1">
      <c r="A1115" s="26">
        <v>46113.0</v>
      </c>
      <c r="B1115" s="25" t="s">
        <v>4618</v>
      </c>
      <c r="C1115" s="25" t="s">
        <v>67</v>
      </c>
      <c r="D1115" s="25" t="s">
        <v>108</v>
      </c>
      <c r="E1115" s="29">
        <v>380.0</v>
      </c>
      <c r="F1115" s="29">
        <f>SUMIFS(crm_orders!$J:$J,crm_orders!$B:$B,"&gt;="&amp;A1115,crm_orders!$B:$B,"&lt;"&amp;DATE(YEAR(A1115),MONTH(A1115)+1,1),crm_orders!$E:$E,B1115,crm_orders!$G:$G,C1115,crm_orders!$H:$H,D1115)</f>
        <v>0</v>
      </c>
      <c r="G1115" s="29">
        <f>SUMIFS(warehouse_shipments!$H:$H,warehouse_shipments!$C:$C,"&gt;="&amp;A1115,warehouse_shipments!$C:$C,"&lt;"&amp;DATE(YEAR(A1115),MONTH(A1115)+1,1),warehouse_shipments!$P:$P,B1115,warehouse_shipments!$Q:$Q,C1115,warehouse_shipments!$R:$R,D1115)</f>
        <v>0</v>
      </c>
      <c r="H1115" s="30">
        <f t="shared" si="1"/>
        <v>-380</v>
      </c>
      <c r="I1115" s="65">
        <f t="shared" si="2"/>
        <v>0</v>
      </c>
      <c r="J1115" s="30" t="s">
        <v>5308</v>
      </c>
    </row>
    <row r="1116" ht="15.75" customHeight="1">
      <c r="A1116" s="18">
        <v>46113.0</v>
      </c>
      <c r="B1116" s="17" t="s">
        <v>4618</v>
      </c>
      <c r="C1116" s="17" t="s">
        <v>67</v>
      </c>
      <c r="D1116" s="17" t="s">
        <v>81</v>
      </c>
      <c r="E1116" s="21">
        <v>368.0</v>
      </c>
      <c r="F1116" s="21">
        <f>SUMIFS(crm_orders!$J:$J,crm_orders!$B:$B,"&gt;="&amp;A1116,crm_orders!$B:$B,"&lt;"&amp;DATE(YEAR(A1116),MONTH(A1116)+1,1),crm_orders!$E:$E,B1116,crm_orders!$G:$G,C1116,crm_orders!$H:$H,D1116)</f>
        <v>84</v>
      </c>
      <c r="G1116" s="21">
        <f>SUMIFS(warehouse_shipments!$H:$H,warehouse_shipments!$C:$C,"&gt;="&amp;A1116,warehouse_shipments!$C:$C,"&lt;"&amp;DATE(YEAR(A1116),MONTH(A1116)+1,1),warehouse_shipments!$P:$P,B1116,warehouse_shipments!$Q:$Q,C1116,warehouse_shipments!$R:$R,D1116)</f>
        <v>0</v>
      </c>
      <c r="H1116" s="22">
        <f t="shared" si="1"/>
        <v>-284</v>
      </c>
      <c r="I1116" s="64">
        <f t="shared" si="2"/>
        <v>0.2282608696</v>
      </c>
      <c r="J1116" s="22" t="s">
        <v>5311</v>
      </c>
    </row>
    <row r="1117" ht="15.75" customHeight="1">
      <c r="A1117" s="26">
        <v>46113.0</v>
      </c>
      <c r="B1117" s="25" t="s">
        <v>4618</v>
      </c>
      <c r="C1117" s="25" t="s">
        <v>67</v>
      </c>
      <c r="D1117" s="25" t="s">
        <v>78</v>
      </c>
      <c r="E1117" s="29">
        <v>191.0</v>
      </c>
      <c r="F1117" s="29">
        <f>SUMIFS(crm_orders!$J:$J,crm_orders!$B:$B,"&gt;="&amp;A1117,crm_orders!$B:$B,"&lt;"&amp;DATE(YEAR(A1117),MONTH(A1117)+1,1),crm_orders!$E:$E,B1117,crm_orders!$G:$G,C1117,crm_orders!$H:$H,D1117)</f>
        <v>0</v>
      </c>
      <c r="G1117" s="29">
        <f>SUMIFS(warehouse_shipments!$H:$H,warehouse_shipments!$C:$C,"&gt;="&amp;A1117,warehouse_shipments!$C:$C,"&lt;"&amp;DATE(YEAR(A1117),MONTH(A1117)+1,1),warehouse_shipments!$P:$P,B1117,warehouse_shipments!$Q:$Q,C1117,warehouse_shipments!$R:$R,D1117)</f>
        <v>0</v>
      </c>
      <c r="H1117" s="30">
        <f t="shared" si="1"/>
        <v>-191</v>
      </c>
      <c r="I1117" s="65">
        <f t="shared" si="2"/>
        <v>0</v>
      </c>
      <c r="J1117" s="30" t="s">
        <v>5308</v>
      </c>
    </row>
    <row r="1118" ht="15.75" customHeight="1">
      <c r="A1118" s="18">
        <v>46113.0</v>
      </c>
      <c r="B1118" s="17" t="s">
        <v>4618</v>
      </c>
      <c r="C1118" s="17" t="s">
        <v>67</v>
      </c>
      <c r="D1118" s="17" t="s">
        <v>154</v>
      </c>
      <c r="E1118" s="21">
        <v>414.0</v>
      </c>
      <c r="F1118" s="21">
        <f>SUMIFS(crm_orders!$J:$J,crm_orders!$B:$B,"&gt;="&amp;A1118,crm_orders!$B:$B,"&lt;"&amp;DATE(YEAR(A1118),MONTH(A1118)+1,1),crm_orders!$E:$E,B1118,crm_orders!$G:$G,C1118,crm_orders!$H:$H,D1118)</f>
        <v>0</v>
      </c>
      <c r="G1118" s="21">
        <f>SUMIFS(warehouse_shipments!$H:$H,warehouse_shipments!$C:$C,"&gt;="&amp;A1118,warehouse_shipments!$C:$C,"&lt;"&amp;DATE(YEAR(A1118),MONTH(A1118)+1,1),warehouse_shipments!$P:$P,B1118,warehouse_shipments!$Q:$Q,C1118,warehouse_shipments!$R:$R,D1118)</f>
        <v>0</v>
      </c>
      <c r="H1118" s="22">
        <f t="shared" si="1"/>
        <v>-414</v>
      </c>
      <c r="I1118" s="64">
        <f t="shared" si="2"/>
        <v>0</v>
      </c>
      <c r="J1118" s="22" t="s">
        <v>5307</v>
      </c>
    </row>
    <row r="1119" ht="15.75" customHeight="1">
      <c r="A1119" s="26">
        <v>46113.0</v>
      </c>
      <c r="B1119" s="25" t="s">
        <v>4618</v>
      </c>
      <c r="C1119" s="25" t="s">
        <v>67</v>
      </c>
      <c r="D1119" s="25" t="s">
        <v>110</v>
      </c>
      <c r="E1119" s="29">
        <v>200.0</v>
      </c>
      <c r="F1119" s="29">
        <f>SUMIFS(crm_orders!$J:$J,crm_orders!$B:$B,"&gt;="&amp;A1119,crm_orders!$B:$B,"&lt;"&amp;DATE(YEAR(A1119),MONTH(A1119)+1,1),crm_orders!$E:$E,B1119,crm_orders!$G:$G,C1119,crm_orders!$H:$H,D1119)</f>
        <v>0</v>
      </c>
      <c r="G1119" s="29">
        <f>SUMIFS(warehouse_shipments!$H:$H,warehouse_shipments!$C:$C,"&gt;="&amp;A1119,warehouse_shipments!$C:$C,"&lt;"&amp;DATE(YEAR(A1119),MONTH(A1119)+1,1),warehouse_shipments!$P:$P,B1119,warehouse_shipments!$Q:$Q,C1119,warehouse_shipments!$R:$R,D1119)</f>
        <v>0</v>
      </c>
      <c r="H1119" s="30">
        <f t="shared" si="1"/>
        <v>-200</v>
      </c>
      <c r="I1119" s="65">
        <f t="shared" si="2"/>
        <v>0</v>
      </c>
      <c r="J1119" s="30" t="s">
        <v>5311</v>
      </c>
    </row>
    <row r="1120" ht="15.75" customHeight="1">
      <c r="A1120" s="18">
        <v>46113.0</v>
      </c>
      <c r="B1120" s="17" t="s">
        <v>4618</v>
      </c>
      <c r="C1120" s="17" t="s">
        <v>67</v>
      </c>
      <c r="D1120" s="17" t="s">
        <v>156</v>
      </c>
      <c r="E1120" s="21">
        <v>361.0</v>
      </c>
      <c r="F1120" s="21">
        <f>SUMIFS(crm_orders!$J:$J,crm_orders!$B:$B,"&gt;="&amp;A1120,crm_orders!$B:$B,"&lt;"&amp;DATE(YEAR(A1120),MONTH(A1120)+1,1),crm_orders!$E:$E,B1120,crm_orders!$G:$G,C1120,crm_orders!$H:$H,D1120)</f>
        <v>0</v>
      </c>
      <c r="G1120" s="21">
        <f>SUMIFS(warehouse_shipments!$H:$H,warehouse_shipments!$C:$C,"&gt;="&amp;A1120,warehouse_shipments!$C:$C,"&lt;"&amp;DATE(YEAR(A1120),MONTH(A1120)+1,1),warehouse_shipments!$P:$P,B1120,warehouse_shipments!$Q:$Q,C1120,warehouse_shipments!$R:$R,D1120)</f>
        <v>0</v>
      </c>
      <c r="H1120" s="22">
        <f t="shared" si="1"/>
        <v>-361</v>
      </c>
      <c r="I1120" s="64">
        <f t="shared" si="2"/>
        <v>0</v>
      </c>
      <c r="J1120" s="22" t="s">
        <v>5306</v>
      </c>
    </row>
    <row r="1121" ht="15.75" customHeight="1">
      <c r="A1121" s="26">
        <v>46113.0</v>
      </c>
      <c r="B1121" s="25" t="s">
        <v>4618</v>
      </c>
      <c r="C1121" s="25" t="s">
        <v>67</v>
      </c>
      <c r="D1121" s="25" t="s">
        <v>123</v>
      </c>
      <c r="E1121" s="29">
        <v>440.0</v>
      </c>
      <c r="F1121" s="29">
        <f>SUMIFS(crm_orders!$J:$J,crm_orders!$B:$B,"&gt;="&amp;A1121,crm_orders!$B:$B,"&lt;"&amp;DATE(YEAR(A1121),MONTH(A1121)+1,1),crm_orders!$E:$E,B1121,crm_orders!$G:$G,C1121,crm_orders!$H:$H,D1121)</f>
        <v>72</v>
      </c>
      <c r="G1121" s="29">
        <f>SUMIFS(warehouse_shipments!$H:$H,warehouse_shipments!$C:$C,"&gt;="&amp;A1121,warehouse_shipments!$C:$C,"&lt;"&amp;DATE(YEAR(A1121),MONTH(A1121)+1,1),warehouse_shipments!$P:$P,B1121,warehouse_shipments!$Q:$Q,C1121,warehouse_shipments!$R:$R,D1121)</f>
        <v>0</v>
      </c>
      <c r="H1121" s="30">
        <f t="shared" si="1"/>
        <v>-368</v>
      </c>
      <c r="I1121" s="65">
        <f t="shared" si="2"/>
        <v>0.1636363636</v>
      </c>
      <c r="J1121" s="30" t="s">
        <v>5306</v>
      </c>
    </row>
    <row r="1122" ht="15.75" customHeight="1">
      <c r="A1122" s="18">
        <v>46113.0</v>
      </c>
      <c r="B1122" s="17" t="s">
        <v>4618</v>
      </c>
      <c r="C1122" s="17" t="s">
        <v>89</v>
      </c>
      <c r="D1122" s="17" t="s">
        <v>190</v>
      </c>
      <c r="E1122" s="21">
        <v>344.0</v>
      </c>
      <c r="F1122" s="21">
        <f>SUMIFS(crm_orders!$J:$J,crm_orders!$B:$B,"&gt;="&amp;A1122,crm_orders!$B:$B,"&lt;"&amp;DATE(YEAR(A1122),MONTH(A1122)+1,1),crm_orders!$E:$E,B1122,crm_orders!$G:$G,C1122,crm_orders!$H:$H,D1122)</f>
        <v>0</v>
      </c>
      <c r="G1122" s="21">
        <f>SUMIFS(warehouse_shipments!$H:$H,warehouse_shipments!$C:$C,"&gt;="&amp;A1122,warehouse_shipments!$C:$C,"&lt;"&amp;DATE(YEAR(A1122),MONTH(A1122)+1,1),warehouse_shipments!$P:$P,B1122,warehouse_shipments!$Q:$Q,C1122,warehouse_shipments!$R:$R,D1122)</f>
        <v>0</v>
      </c>
      <c r="H1122" s="22">
        <f t="shared" si="1"/>
        <v>-344</v>
      </c>
      <c r="I1122" s="64">
        <f t="shared" si="2"/>
        <v>0</v>
      </c>
      <c r="J1122" s="22" t="s">
        <v>5309</v>
      </c>
    </row>
    <row r="1123" ht="15.75" customHeight="1">
      <c r="A1123" s="26">
        <v>46113.0</v>
      </c>
      <c r="B1123" s="25" t="s">
        <v>4618</v>
      </c>
      <c r="C1123" s="25" t="s">
        <v>89</v>
      </c>
      <c r="D1123" s="25" t="s">
        <v>71</v>
      </c>
      <c r="E1123" s="29">
        <v>179.0</v>
      </c>
      <c r="F1123" s="29">
        <f>SUMIFS(crm_orders!$J:$J,crm_orders!$B:$B,"&gt;="&amp;A1123,crm_orders!$B:$B,"&lt;"&amp;DATE(YEAR(A1123),MONTH(A1123)+1,1),crm_orders!$E:$E,B1123,crm_orders!$G:$G,C1123,crm_orders!$H:$H,D1123)</f>
        <v>0</v>
      </c>
      <c r="G1123" s="29">
        <f>SUMIFS(warehouse_shipments!$H:$H,warehouse_shipments!$C:$C,"&gt;="&amp;A1123,warehouse_shipments!$C:$C,"&lt;"&amp;DATE(YEAR(A1123),MONTH(A1123)+1,1),warehouse_shipments!$P:$P,B1123,warehouse_shipments!$Q:$Q,C1123,warehouse_shipments!$R:$R,D1123)</f>
        <v>0</v>
      </c>
      <c r="H1123" s="30">
        <f t="shared" si="1"/>
        <v>-179</v>
      </c>
      <c r="I1123" s="65">
        <f t="shared" si="2"/>
        <v>0</v>
      </c>
      <c r="J1123" s="30" t="s">
        <v>5310</v>
      </c>
    </row>
    <row r="1124" ht="15.75" customHeight="1">
      <c r="A1124" s="18">
        <v>46113.0</v>
      </c>
      <c r="B1124" s="17" t="s">
        <v>4618</v>
      </c>
      <c r="C1124" s="17" t="s">
        <v>89</v>
      </c>
      <c r="D1124" s="17" t="s">
        <v>90</v>
      </c>
      <c r="E1124" s="21">
        <v>152.0</v>
      </c>
      <c r="F1124" s="21">
        <f>SUMIFS(crm_orders!$J:$J,crm_orders!$B:$B,"&gt;="&amp;A1124,crm_orders!$B:$B,"&lt;"&amp;DATE(YEAR(A1124),MONTH(A1124)+1,1),crm_orders!$E:$E,B1124,crm_orders!$G:$G,C1124,crm_orders!$H:$H,D1124)</f>
        <v>0</v>
      </c>
      <c r="G1124" s="21">
        <f>SUMIFS(warehouse_shipments!$H:$H,warehouse_shipments!$C:$C,"&gt;="&amp;A1124,warehouse_shipments!$C:$C,"&lt;"&amp;DATE(YEAR(A1124),MONTH(A1124)+1,1),warehouse_shipments!$P:$P,B1124,warehouse_shipments!$Q:$Q,C1124,warehouse_shipments!$R:$R,D1124)</f>
        <v>0</v>
      </c>
      <c r="H1124" s="22">
        <f t="shared" si="1"/>
        <v>-152</v>
      </c>
      <c r="I1124" s="64">
        <f t="shared" si="2"/>
        <v>0</v>
      </c>
      <c r="J1124" s="22" t="s">
        <v>5311</v>
      </c>
    </row>
    <row r="1125" ht="15.75" customHeight="1">
      <c r="A1125" s="26">
        <v>46113.0</v>
      </c>
      <c r="B1125" s="25" t="s">
        <v>4618</v>
      </c>
      <c r="C1125" s="25" t="s">
        <v>89</v>
      </c>
      <c r="D1125" s="25" t="s">
        <v>162</v>
      </c>
      <c r="E1125" s="29">
        <v>301.0</v>
      </c>
      <c r="F1125" s="29">
        <f>SUMIFS(crm_orders!$J:$J,crm_orders!$B:$B,"&gt;="&amp;A1125,crm_orders!$B:$B,"&lt;"&amp;DATE(YEAR(A1125),MONTH(A1125)+1,1),crm_orders!$E:$E,B1125,crm_orders!$G:$G,C1125,crm_orders!$H:$H,D1125)</f>
        <v>6</v>
      </c>
      <c r="G1125" s="29">
        <f>SUMIFS(warehouse_shipments!$H:$H,warehouse_shipments!$C:$C,"&gt;="&amp;A1125,warehouse_shipments!$C:$C,"&lt;"&amp;DATE(YEAR(A1125),MONTH(A1125)+1,1),warehouse_shipments!$P:$P,B1125,warehouse_shipments!$Q:$Q,C1125,warehouse_shipments!$R:$R,D1125)</f>
        <v>0</v>
      </c>
      <c r="H1125" s="30">
        <f t="shared" si="1"/>
        <v>-295</v>
      </c>
      <c r="I1125" s="65">
        <f t="shared" si="2"/>
        <v>0.01993355482</v>
      </c>
      <c r="J1125" s="30" t="s">
        <v>5308</v>
      </c>
    </row>
    <row r="1126" ht="15.75" customHeight="1">
      <c r="A1126" s="18">
        <v>46113.0</v>
      </c>
      <c r="B1126" s="17" t="s">
        <v>4618</v>
      </c>
      <c r="C1126" s="17" t="s">
        <v>89</v>
      </c>
      <c r="D1126" s="17" t="s">
        <v>92</v>
      </c>
      <c r="E1126" s="21">
        <v>468.0</v>
      </c>
      <c r="F1126" s="21">
        <f>SUMIFS(crm_orders!$J:$J,crm_orders!$B:$B,"&gt;="&amp;A1126,crm_orders!$B:$B,"&lt;"&amp;DATE(YEAR(A1126),MONTH(A1126)+1,1),crm_orders!$E:$E,B1126,crm_orders!$G:$G,C1126,crm_orders!$H:$H,D1126)</f>
        <v>60</v>
      </c>
      <c r="G1126" s="21">
        <f>SUMIFS(warehouse_shipments!$H:$H,warehouse_shipments!$C:$C,"&gt;="&amp;A1126,warehouse_shipments!$C:$C,"&lt;"&amp;DATE(YEAR(A1126),MONTH(A1126)+1,1),warehouse_shipments!$P:$P,B1126,warehouse_shipments!$Q:$Q,C1126,warehouse_shipments!$R:$R,D1126)</f>
        <v>60</v>
      </c>
      <c r="H1126" s="22">
        <f t="shared" si="1"/>
        <v>-408</v>
      </c>
      <c r="I1126" s="64">
        <f t="shared" si="2"/>
        <v>0.1282051282</v>
      </c>
      <c r="J1126" s="22" t="s">
        <v>5311</v>
      </c>
    </row>
    <row r="1127" ht="15.75" customHeight="1">
      <c r="A1127" s="26">
        <v>46113.0</v>
      </c>
      <c r="B1127" s="25" t="s">
        <v>4618</v>
      </c>
      <c r="C1127" s="25" t="s">
        <v>89</v>
      </c>
      <c r="D1127" s="25" t="s">
        <v>85</v>
      </c>
      <c r="E1127" s="29">
        <v>520.0</v>
      </c>
      <c r="F1127" s="29">
        <f>SUMIFS(crm_orders!$J:$J,crm_orders!$B:$B,"&gt;="&amp;A1127,crm_orders!$B:$B,"&lt;"&amp;DATE(YEAR(A1127),MONTH(A1127)+1,1),crm_orders!$E:$E,B1127,crm_orders!$G:$G,C1127,crm_orders!$H:$H,D1127)</f>
        <v>0</v>
      </c>
      <c r="G1127" s="29">
        <f>SUMIFS(warehouse_shipments!$H:$H,warehouse_shipments!$C:$C,"&gt;="&amp;A1127,warehouse_shipments!$C:$C,"&lt;"&amp;DATE(YEAR(A1127),MONTH(A1127)+1,1),warehouse_shipments!$P:$P,B1127,warehouse_shipments!$Q:$Q,C1127,warehouse_shipments!$R:$R,D1127)</f>
        <v>0</v>
      </c>
      <c r="H1127" s="30">
        <f t="shared" si="1"/>
        <v>-520</v>
      </c>
      <c r="I1127" s="65">
        <f t="shared" si="2"/>
        <v>0</v>
      </c>
      <c r="J1127" s="30" t="s">
        <v>5306</v>
      </c>
    </row>
    <row r="1128" ht="15.75" customHeight="1">
      <c r="A1128" s="18">
        <v>46113.0</v>
      </c>
      <c r="B1128" s="17" t="s">
        <v>4618</v>
      </c>
      <c r="C1128" s="17" t="s">
        <v>89</v>
      </c>
      <c r="D1128" s="17" t="s">
        <v>156</v>
      </c>
      <c r="E1128" s="21">
        <v>344.0</v>
      </c>
      <c r="F1128" s="21">
        <f>SUMIFS(crm_orders!$J:$J,crm_orders!$B:$B,"&gt;="&amp;A1128,crm_orders!$B:$B,"&lt;"&amp;DATE(YEAR(A1128),MONTH(A1128)+1,1),crm_orders!$E:$E,B1128,crm_orders!$G:$G,C1128,crm_orders!$H:$H,D1128)</f>
        <v>0</v>
      </c>
      <c r="G1128" s="21">
        <f>SUMIFS(warehouse_shipments!$H:$H,warehouse_shipments!$C:$C,"&gt;="&amp;A1128,warehouse_shipments!$C:$C,"&lt;"&amp;DATE(YEAR(A1128),MONTH(A1128)+1,1),warehouse_shipments!$P:$P,B1128,warehouse_shipments!$Q:$Q,C1128,warehouse_shipments!$R:$R,D1128)</f>
        <v>0</v>
      </c>
      <c r="H1128" s="22">
        <f t="shared" si="1"/>
        <v>-344</v>
      </c>
      <c r="I1128" s="64">
        <f t="shared" si="2"/>
        <v>0</v>
      </c>
      <c r="J1128" s="22" t="s">
        <v>5309</v>
      </c>
    </row>
    <row r="1129" ht="15.75" customHeight="1">
      <c r="A1129" s="26">
        <v>46113.0</v>
      </c>
      <c r="B1129" s="25" t="s">
        <v>4618</v>
      </c>
      <c r="C1129" s="25" t="s">
        <v>89</v>
      </c>
      <c r="D1129" s="25" t="s">
        <v>95</v>
      </c>
      <c r="E1129" s="29">
        <v>318.0</v>
      </c>
      <c r="F1129" s="29">
        <f>SUMIFS(crm_orders!$J:$J,crm_orders!$B:$B,"&gt;="&amp;A1129,crm_orders!$B:$B,"&lt;"&amp;DATE(YEAR(A1129),MONTH(A1129)+1,1),crm_orders!$E:$E,B1129,crm_orders!$G:$G,C1129,crm_orders!$H:$H,D1129)</f>
        <v>0</v>
      </c>
      <c r="G1129" s="29">
        <f>SUMIFS(warehouse_shipments!$H:$H,warehouse_shipments!$C:$C,"&gt;="&amp;A1129,warehouse_shipments!$C:$C,"&lt;"&amp;DATE(YEAR(A1129),MONTH(A1129)+1,1),warehouse_shipments!$P:$P,B1129,warehouse_shipments!$Q:$Q,C1129,warehouse_shipments!$R:$R,D1129)</f>
        <v>0</v>
      </c>
      <c r="H1129" s="30">
        <f t="shared" si="1"/>
        <v>-318</v>
      </c>
      <c r="I1129" s="65">
        <f t="shared" si="2"/>
        <v>0</v>
      </c>
      <c r="J1129" s="30" t="s">
        <v>5306</v>
      </c>
    </row>
    <row r="1130" ht="15.75" customHeight="1">
      <c r="A1130" s="18">
        <v>46113.0</v>
      </c>
      <c r="B1130" s="17" t="s">
        <v>4705</v>
      </c>
      <c r="C1130" s="17" t="s">
        <v>63</v>
      </c>
      <c r="D1130" s="17" t="s">
        <v>92</v>
      </c>
      <c r="E1130" s="21">
        <v>449.0</v>
      </c>
      <c r="F1130" s="21">
        <f>SUMIFS(crm_orders!$J:$J,crm_orders!$B:$B,"&gt;="&amp;A1130,crm_orders!$B:$B,"&lt;"&amp;DATE(YEAR(A1130),MONTH(A1130)+1,1),crm_orders!$E:$E,B1130,crm_orders!$G:$G,C1130,crm_orders!$H:$H,D1130)</f>
        <v>0</v>
      </c>
      <c r="G1130" s="21">
        <f>SUMIFS(warehouse_shipments!$H:$H,warehouse_shipments!$C:$C,"&gt;="&amp;A1130,warehouse_shipments!$C:$C,"&lt;"&amp;DATE(YEAR(A1130),MONTH(A1130)+1,1),warehouse_shipments!$P:$P,B1130,warehouse_shipments!$Q:$Q,C1130,warehouse_shipments!$R:$R,D1130)</f>
        <v>0</v>
      </c>
      <c r="H1130" s="22">
        <f t="shared" si="1"/>
        <v>-449</v>
      </c>
      <c r="I1130" s="64">
        <f t="shared" si="2"/>
        <v>0</v>
      </c>
      <c r="J1130" s="22" t="s">
        <v>5310</v>
      </c>
    </row>
    <row r="1131" ht="15.75" customHeight="1">
      <c r="A1131" s="26">
        <v>46113.0</v>
      </c>
      <c r="B1131" s="25" t="s">
        <v>4705</v>
      </c>
      <c r="C1131" s="25" t="s">
        <v>63</v>
      </c>
      <c r="D1131" s="25" t="s">
        <v>108</v>
      </c>
      <c r="E1131" s="29">
        <v>200.0</v>
      </c>
      <c r="F1131" s="29">
        <f>SUMIFS(crm_orders!$J:$J,crm_orders!$B:$B,"&gt;="&amp;A1131,crm_orders!$B:$B,"&lt;"&amp;DATE(YEAR(A1131),MONTH(A1131)+1,1),crm_orders!$E:$E,B1131,crm_orders!$G:$G,C1131,crm_orders!$H:$H,D1131)</f>
        <v>36</v>
      </c>
      <c r="G1131" s="29">
        <f>SUMIFS(warehouse_shipments!$H:$H,warehouse_shipments!$C:$C,"&gt;="&amp;A1131,warehouse_shipments!$C:$C,"&lt;"&amp;DATE(YEAR(A1131),MONTH(A1131)+1,1),warehouse_shipments!$P:$P,B1131,warehouse_shipments!$Q:$Q,C1131,warehouse_shipments!$R:$R,D1131)</f>
        <v>6</v>
      </c>
      <c r="H1131" s="30">
        <f t="shared" si="1"/>
        <v>-164</v>
      </c>
      <c r="I1131" s="65">
        <f t="shared" si="2"/>
        <v>0.18</v>
      </c>
      <c r="J1131" s="30" t="s">
        <v>5311</v>
      </c>
    </row>
    <row r="1132" ht="15.75" customHeight="1">
      <c r="A1132" s="18">
        <v>46113.0</v>
      </c>
      <c r="B1132" s="17" t="s">
        <v>4705</v>
      </c>
      <c r="C1132" s="17" t="s">
        <v>63</v>
      </c>
      <c r="D1132" s="17" t="s">
        <v>78</v>
      </c>
      <c r="E1132" s="21">
        <v>219.0</v>
      </c>
      <c r="F1132" s="21">
        <f>SUMIFS(crm_orders!$J:$J,crm_orders!$B:$B,"&gt;="&amp;A1132,crm_orders!$B:$B,"&lt;"&amp;DATE(YEAR(A1132),MONTH(A1132)+1,1),crm_orders!$E:$E,B1132,crm_orders!$G:$G,C1132,crm_orders!$H:$H,D1132)</f>
        <v>0</v>
      </c>
      <c r="G1132" s="21">
        <f>SUMIFS(warehouse_shipments!$H:$H,warehouse_shipments!$C:$C,"&gt;="&amp;A1132,warehouse_shipments!$C:$C,"&lt;"&amp;DATE(YEAR(A1132),MONTH(A1132)+1,1),warehouse_shipments!$P:$P,B1132,warehouse_shipments!$Q:$Q,C1132,warehouse_shipments!$R:$R,D1132)</f>
        <v>18</v>
      </c>
      <c r="H1132" s="22">
        <f t="shared" si="1"/>
        <v>-219</v>
      </c>
      <c r="I1132" s="64">
        <f t="shared" si="2"/>
        <v>0</v>
      </c>
      <c r="J1132" s="22" t="s">
        <v>5310</v>
      </c>
    </row>
    <row r="1133" ht="15.75" customHeight="1">
      <c r="A1133" s="26">
        <v>46113.0</v>
      </c>
      <c r="B1133" s="25" t="s">
        <v>4705</v>
      </c>
      <c r="C1133" s="25" t="s">
        <v>63</v>
      </c>
      <c r="D1133" s="25" t="s">
        <v>154</v>
      </c>
      <c r="E1133" s="29">
        <v>100.0</v>
      </c>
      <c r="F1133" s="29">
        <f>SUMIFS(crm_orders!$J:$J,crm_orders!$B:$B,"&gt;="&amp;A1133,crm_orders!$B:$B,"&lt;"&amp;DATE(YEAR(A1133),MONTH(A1133)+1,1),crm_orders!$E:$E,B1133,crm_orders!$G:$G,C1133,crm_orders!$H:$H,D1133)</f>
        <v>66</v>
      </c>
      <c r="G1133" s="29">
        <f>SUMIFS(warehouse_shipments!$H:$H,warehouse_shipments!$C:$C,"&gt;="&amp;A1133,warehouse_shipments!$C:$C,"&lt;"&amp;DATE(YEAR(A1133),MONTH(A1133)+1,1),warehouse_shipments!$P:$P,B1133,warehouse_shipments!$Q:$Q,C1133,warehouse_shipments!$R:$R,D1133)</f>
        <v>0</v>
      </c>
      <c r="H1133" s="30">
        <f t="shared" si="1"/>
        <v>-34</v>
      </c>
      <c r="I1133" s="65">
        <f t="shared" si="2"/>
        <v>0.66</v>
      </c>
      <c r="J1133" s="30" t="s">
        <v>5310</v>
      </c>
    </row>
    <row r="1134" ht="15.75" customHeight="1">
      <c r="A1134" s="18">
        <v>46113.0</v>
      </c>
      <c r="B1134" s="17" t="s">
        <v>4705</v>
      </c>
      <c r="C1134" s="17" t="s">
        <v>63</v>
      </c>
      <c r="D1134" s="17" t="s">
        <v>106</v>
      </c>
      <c r="E1134" s="21">
        <v>346.0</v>
      </c>
      <c r="F1134" s="21">
        <f>SUMIFS(crm_orders!$J:$J,crm_orders!$B:$B,"&gt;="&amp;A1134,crm_orders!$B:$B,"&lt;"&amp;DATE(YEAR(A1134),MONTH(A1134)+1,1),crm_orders!$E:$E,B1134,crm_orders!$G:$G,C1134,crm_orders!$H:$H,D1134)</f>
        <v>0</v>
      </c>
      <c r="G1134" s="21">
        <f>SUMIFS(warehouse_shipments!$H:$H,warehouse_shipments!$C:$C,"&gt;="&amp;A1134,warehouse_shipments!$C:$C,"&lt;"&amp;DATE(YEAR(A1134),MONTH(A1134)+1,1),warehouse_shipments!$P:$P,B1134,warehouse_shipments!$Q:$Q,C1134,warehouse_shipments!$R:$R,D1134)</f>
        <v>0</v>
      </c>
      <c r="H1134" s="22">
        <f t="shared" si="1"/>
        <v>-346</v>
      </c>
      <c r="I1134" s="64">
        <f t="shared" si="2"/>
        <v>0</v>
      </c>
      <c r="J1134" s="22" t="s">
        <v>5311</v>
      </c>
    </row>
    <row r="1135" ht="15.75" customHeight="1">
      <c r="A1135" s="26">
        <v>46113.0</v>
      </c>
      <c r="B1135" s="25" t="s">
        <v>4705</v>
      </c>
      <c r="C1135" s="25" t="s">
        <v>63</v>
      </c>
      <c r="D1135" s="25" t="s">
        <v>85</v>
      </c>
      <c r="E1135" s="29">
        <v>165.0</v>
      </c>
      <c r="F1135" s="29">
        <f>SUMIFS(crm_orders!$J:$J,crm_orders!$B:$B,"&gt;="&amp;A1135,crm_orders!$B:$B,"&lt;"&amp;DATE(YEAR(A1135),MONTH(A1135)+1,1),crm_orders!$E:$E,B1135,crm_orders!$G:$G,C1135,crm_orders!$H:$H,D1135)</f>
        <v>12</v>
      </c>
      <c r="G1135" s="29">
        <f>SUMIFS(warehouse_shipments!$H:$H,warehouse_shipments!$C:$C,"&gt;="&amp;A1135,warehouse_shipments!$C:$C,"&lt;"&amp;DATE(YEAR(A1135),MONTH(A1135)+1,1),warehouse_shipments!$P:$P,B1135,warehouse_shipments!$Q:$Q,C1135,warehouse_shipments!$R:$R,D1135)</f>
        <v>12</v>
      </c>
      <c r="H1135" s="30">
        <f t="shared" si="1"/>
        <v>-153</v>
      </c>
      <c r="I1135" s="65">
        <f t="shared" si="2"/>
        <v>0.07272727273</v>
      </c>
      <c r="J1135" s="30" t="s">
        <v>5308</v>
      </c>
    </row>
    <row r="1136" ht="15.75" customHeight="1">
      <c r="A1136" s="18">
        <v>46113.0</v>
      </c>
      <c r="B1136" s="17" t="s">
        <v>4705</v>
      </c>
      <c r="C1136" s="17" t="s">
        <v>63</v>
      </c>
      <c r="D1136" s="17" t="s">
        <v>71</v>
      </c>
      <c r="E1136" s="21">
        <v>277.0</v>
      </c>
      <c r="F1136" s="21">
        <f>SUMIFS(crm_orders!$J:$J,crm_orders!$B:$B,"&gt;="&amp;A1136,crm_orders!$B:$B,"&lt;"&amp;DATE(YEAR(A1136),MONTH(A1136)+1,1),crm_orders!$E:$E,B1136,crm_orders!$G:$G,C1136,crm_orders!$H:$H,D1136)</f>
        <v>0</v>
      </c>
      <c r="G1136" s="21">
        <f>SUMIFS(warehouse_shipments!$H:$H,warehouse_shipments!$C:$C,"&gt;="&amp;A1136,warehouse_shipments!$C:$C,"&lt;"&amp;DATE(YEAR(A1136),MONTH(A1136)+1,1),warehouse_shipments!$P:$P,B1136,warehouse_shipments!$Q:$Q,C1136,warehouse_shipments!$R:$R,D1136)</f>
        <v>0</v>
      </c>
      <c r="H1136" s="22">
        <f t="shared" si="1"/>
        <v>-277</v>
      </c>
      <c r="I1136" s="64">
        <f t="shared" si="2"/>
        <v>0</v>
      </c>
      <c r="J1136" s="22" t="s">
        <v>5309</v>
      </c>
    </row>
    <row r="1137" ht="15.75" customHeight="1">
      <c r="A1137" s="26">
        <v>46113.0</v>
      </c>
      <c r="B1137" s="25" t="s">
        <v>4705</v>
      </c>
      <c r="C1137" s="25" t="s">
        <v>63</v>
      </c>
      <c r="D1137" s="25" t="s">
        <v>90</v>
      </c>
      <c r="E1137" s="29">
        <v>441.0</v>
      </c>
      <c r="F1137" s="29">
        <f>SUMIFS(crm_orders!$J:$J,crm_orders!$B:$B,"&gt;="&amp;A1137,crm_orders!$B:$B,"&lt;"&amp;DATE(YEAR(A1137),MONTH(A1137)+1,1),crm_orders!$E:$E,B1137,crm_orders!$G:$G,C1137,crm_orders!$H:$H,D1137)</f>
        <v>0</v>
      </c>
      <c r="G1137" s="29">
        <f>SUMIFS(warehouse_shipments!$H:$H,warehouse_shipments!$C:$C,"&gt;="&amp;A1137,warehouse_shipments!$C:$C,"&lt;"&amp;DATE(YEAR(A1137),MONTH(A1137)+1,1),warehouse_shipments!$P:$P,B1137,warehouse_shipments!$Q:$Q,C1137,warehouse_shipments!$R:$R,D1137)</f>
        <v>0</v>
      </c>
      <c r="H1137" s="30">
        <f t="shared" si="1"/>
        <v>-441</v>
      </c>
      <c r="I1137" s="65">
        <f t="shared" si="2"/>
        <v>0</v>
      </c>
      <c r="J1137" s="30" t="s">
        <v>5310</v>
      </c>
    </row>
    <row r="1138" ht="15.75" customHeight="1">
      <c r="A1138" s="18">
        <v>46113.0</v>
      </c>
      <c r="B1138" s="17" t="s">
        <v>4705</v>
      </c>
      <c r="C1138" s="17" t="s">
        <v>67</v>
      </c>
      <c r="D1138" s="17" t="s">
        <v>102</v>
      </c>
      <c r="E1138" s="21">
        <v>355.0</v>
      </c>
      <c r="F1138" s="21">
        <f>SUMIFS(crm_orders!$J:$J,crm_orders!$B:$B,"&gt;="&amp;A1138,crm_orders!$B:$B,"&lt;"&amp;DATE(YEAR(A1138),MONTH(A1138)+1,1),crm_orders!$E:$E,B1138,crm_orders!$G:$G,C1138,crm_orders!$H:$H,D1138)</f>
        <v>0</v>
      </c>
      <c r="G1138" s="21">
        <f>SUMIFS(warehouse_shipments!$H:$H,warehouse_shipments!$C:$C,"&gt;="&amp;A1138,warehouse_shipments!$C:$C,"&lt;"&amp;DATE(YEAR(A1138),MONTH(A1138)+1,1),warehouse_shipments!$P:$P,B1138,warehouse_shipments!$Q:$Q,C1138,warehouse_shipments!$R:$R,D1138)</f>
        <v>0</v>
      </c>
      <c r="H1138" s="22">
        <f t="shared" si="1"/>
        <v>-355</v>
      </c>
      <c r="I1138" s="64">
        <f t="shared" si="2"/>
        <v>0</v>
      </c>
      <c r="J1138" s="22" t="s">
        <v>5311</v>
      </c>
    </row>
    <row r="1139" ht="15.75" customHeight="1">
      <c r="A1139" s="26">
        <v>46113.0</v>
      </c>
      <c r="B1139" s="25" t="s">
        <v>4705</v>
      </c>
      <c r="C1139" s="25" t="s">
        <v>67</v>
      </c>
      <c r="D1139" s="25" t="s">
        <v>115</v>
      </c>
      <c r="E1139" s="29">
        <v>347.0</v>
      </c>
      <c r="F1139" s="29">
        <f>SUMIFS(crm_orders!$J:$J,crm_orders!$B:$B,"&gt;="&amp;A1139,crm_orders!$B:$B,"&lt;"&amp;DATE(YEAR(A1139),MONTH(A1139)+1,1),crm_orders!$E:$E,B1139,crm_orders!$G:$G,C1139,crm_orders!$H:$H,D1139)</f>
        <v>60</v>
      </c>
      <c r="G1139" s="29">
        <f>SUMIFS(warehouse_shipments!$H:$H,warehouse_shipments!$C:$C,"&gt;="&amp;A1139,warehouse_shipments!$C:$C,"&lt;"&amp;DATE(YEAR(A1139),MONTH(A1139)+1,1),warehouse_shipments!$P:$P,B1139,warehouse_shipments!$Q:$Q,C1139,warehouse_shipments!$R:$R,D1139)</f>
        <v>60</v>
      </c>
      <c r="H1139" s="30">
        <f t="shared" si="1"/>
        <v>-287</v>
      </c>
      <c r="I1139" s="65">
        <f t="shared" si="2"/>
        <v>0.1729106628</v>
      </c>
      <c r="J1139" s="30" t="s">
        <v>5311</v>
      </c>
    </row>
    <row r="1140" ht="15.75" customHeight="1">
      <c r="A1140" s="18">
        <v>46113.0</v>
      </c>
      <c r="B1140" s="17" t="s">
        <v>4705</v>
      </c>
      <c r="C1140" s="17" t="s">
        <v>67</v>
      </c>
      <c r="D1140" s="17" t="s">
        <v>90</v>
      </c>
      <c r="E1140" s="21">
        <v>107.0</v>
      </c>
      <c r="F1140" s="21">
        <f>SUMIFS(crm_orders!$J:$J,crm_orders!$B:$B,"&gt;="&amp;A1140,crm_orders!$B:$B,"&lt;"&amp;DATE(YEAR(A1140),MONTH(A1140)+1,1),crm_orders!$E:$E,B1140,crm_orders!$G:$G,C1140,crm_orders!$H:$H,D1140)</f>
        <v>60</v>
      </c>
      <c r="G1140" s="21">
        <f>SUMIFS(warehouse_shipments!$H:$H,warehouse_shipments!$C:$C,"&gt;="&amp;A1140,warehouse_shipments!$C:$C,"&lt;"&amp;DATE(YEAR(A1140),MONTH(A1140)+1,1),warehouse_shipments!$P:$P,B1140,warehouse_shipments!$Q:$Q,C1140,warehouse_shipments!$R:$R,D1140)</f>
        <v>60</v>
      </c>
      <c r="H1140" s="22">
        <f t="shared" si="1"/>
        <v>-47</v>
      </c>
      <c r="I1140" s="64">
        <f t="shared" si="2"/>
        <v>0.5607476636</v>
      </c>
      <c r="J1140" s="22" t="s">
        <v>5310</v>
      </c>
    </row>
    <row r="1141" ht="15.75" customHeight="1">
      <c r="A1141" s="26">
        <v>46113.0</v>
      </c>
      <c r="B1141" s="25" t="s">
        <v>4705</v>
      </c>
      <c r="C1141" s="25" t="s">
        <v>67</v>
      </c>
      <c r="D1141" s="25" t="s">
        <v>162</v>
      </c>
      <c r="E1141" s="29">
        <v>448.0</v>
      </c>
      <c r="F1141" s="29">
        <f>SUMIFS(crm_orders!$J:$J,crm_orders!$B:$B,"&gt;="&amp;A1141,crm_orders!$B:$B,"&lt;"&amp;DATE(YEAR(A1141),MONTH(A1141)+1,1),crm_orders!$E:$E,B1141,crm_orders!$G:$G,C1141,crm_orders!$H:$H,D1141)</f>
        <v>0</v>
      </c>
      <c r="G1141" s="29">
        <f>SUMIFS(warehouse_shipments!$H:$H,warehouse_shipments!$C:$C,"&gt;="&amp;A1141,warehouse_shipments!$C:$C,"&lt;"&amp;DATE(YEAR(A1141),MONTH(A1141)+1,1),warehouse_shipments!$P:$P,B1141,warehouse_shipments!$Q:$Q,C1141,warehouse_shipments!$R:$R,D1141)</f>
        <v>24</v>
      </c>
      <c r="H1141" s="30">
        <f t="shared" si="1"/>
        <v>-448</v>
      </c>
      <c r="I1141" s="65">
        <f t="shared" si="2"/>
        <v>0</v>
      </c>
      <c r="J1141" s="30" t="s">
        <v>5311</v>
      </c>
    </row>
    <row r="1142" ht="15.75" customHeight="1">
      <c r="A1142" s="18">
        <v>46113.0</v>
      </c>
      <c r="B1142" s="17" t="s">
        <v>4705</v>
      </c>
      <c r="C1142" s="17" t="s">
        <v>67</v>
      </c>
      <c r="D1142" s="17" t="s">
        <v>106</v>
      </c>
      <c r="E1142" s="21">
        <v>474.0</v>
      </c>
      <c r="F1142" s="21">
        <f>SUMIFS(crm_orders!$J:$J,crm_orders!$B:$B,"&gt;="&amp;A1142,crm_orders!$B:$B,"&lt;"&amp;DATE(YEAR(A1142),MONTH(A1142)+1,1),crm_orders!$E:$E,B1142,crm_orders!$G:$G,C1142,crm_orders!$H:$H,D1142)</f>
        <v>0</v>
      </c>
      <c r="G1142" s="21">
        <f>SUMIFS(warehouse_shipments!$H:$H,warehouse_shipments!$C:$C,"&gt;="&amp;A1142,warehouse_shipments!$C:$C,"&lt;"&amp;DATE(YEAR(A1142),MONTH(A1142)+1,1),warehouse_shipments!$P:$P,B1142,warehouse_shipments!$Q:$Q,C1142,warehouse_shipments!$R:$R,D1142)</f>
        <v>0</v>
      </c>
      <c r="H1142" s="22">
        <f t="shared" si="1"/>
        <v>-474</v>
      </c>
      <c r="I1142" s="64">
        <f t="shared" si="2"/>
        <v>0</v>
      </c>
      <c r="J1142" s="22" t="s">
        <v>5307</v>
      </c>
    </row>
    <row r="1143" ht="15.75" customHeight="1">
      <c r="A1143" s="26">
        <v>46113.0</v>
      </c>
      <c r="B1143" s="25" t="s">
        <v>4705</v>
      </c>
      <c r="C1143" s="25" t="s">
        <v>67</v>
      </c>
      <c r="D1143" s="25" t="s">
        <v>154</v>
      </c>
      <c r="E1143" s="29">
        <v>481.0</v>
      </c>
      <c r="F1143" s="29">
        <f>SUMIFS(crm_orders!$J:$J,crm_orders!$B:$B,"&gt;="&amp;A1143,crm_orders!$B:$B,"&lt;"&amp;DATE(YEAR(A1143),MONTH(A1143)+1,1),crm_orders!$E:$E,B1143,crm_orders!$G:$G,C1143,crm_orders!$H:$H,D1143)</f>
        <v>0</v>
      </c>
      <c r="G1143" s="29">
        <f>SUMIFS(warehouse_shipments!$H:$H,warehouse_shipments!$C:$C,"&gt;="&amp;A1143,warehouse_shipments!$C:$C,"&lt;"&amp;DATE(YEAR(A1143),MONTH(A1143)+1,1),warehouse_shipments!$P:$P,B1143,warehouse_shipments!$Q:$Q,C1143,warehouse_shipments!$R:$R,D1143)</f>
        <v>0</v>
      </c>
      <c r="H1143" s="30">
        <f t="shared" si="1"/>
        <v>-481</v>
      </c>
      <c r="I1143" s="65">
        <f t="shared" si="2"/>
        <v>0</v>
      </c>
      <c r="J1143" s="30" t="s">
        <v>5311</v>
      </c>
    </row>
    <row r="1144" ht="15.75" customHeight="1">
      <c r="A1144" s="18">
        <v>46113.0</v>
      </c>
      <c r="B1144" s="17" t="s">
        <v>4705</v>
      </c>
      <c r="C1144" s="17" t="s">
        <v>67</v>
      </c>
      <c r="D1144" s="17" t="s">
        <v>108</v>
      </c>
      <c r="E1144" s="21">
        <v>391.0</v>
      </c>
      <c r="F1144" s="21">
        <f>SUMIFS(crm_orders!$J:$J,crm_orders!$B:$B,"&gt;="&amp;A1144,crm_orders!$B:$B,"&lt;"&amp;DATE(YEAR(A1144),MONTH(A1144)+1,1),crm_orders!$E:$E,B1144,crm_orders!$G:$G,C1144,crm_orders!$H:$H,D1144)</f>
        <v>0</v>
      </c>
      <c r="G1144" s="21">
        <f>SUMIFS(warehouse_shipments!$H:$H,warehouse_shipments!$C:$C,"&gt;="&amp;A1144,warehouse_shipments!$C:$C,"&lt;"&amp;DATE(YEAR(A1144),MONTH(A1144)+1,1),warehouse_shipments!$P:$P,B1144,warehouse_shipments!$Q:$Q,C1144,warehouse_shipments!$R:$R,D1144)</f>
        <v>0</v>
      </c>
      <c r="H1144" s="22">
        <f t="shared" si="1"/>
        <v>-391</v>
      </c>
      <c r="I1144" s="64">
        <f t="shared" si="2"/>
        <v>0</v>
      </c>
      <c r="J1144" s="22" t="s">
        <v>5311</v>
      </c>
    </row>
    <row r="1145" ht="15.75" customHeight="1">
      <c r="A1145" s="26">
        <v>46113.0</v>
      </c>
      <c r="B1145" s="25" t="s">
        <v>4705</v>
      </c>
      <c r="C1145" s="25" t="s">
        <v>67</v>
      </c>
      <c r="D1145" s="25" t="s">
        <v>95</v>
      </c>
      <c r="E1145" s="29">
        <v>226.0</v>
      </c>
      <c r="F1145" s="29">
        <f>SUMIFS(crm_orders!$J:$J,crm_orders!$B:$B,"&gt;="&amp;A1145,crm_orders!$B:$B,"&lt;"&amp;DATE(YEAR(A1145),MONTH(A1145)+1,1),crm_orders!$E:$E,B1145,crm_orders!$G:$G,C1145,crm_orders!$H:$H,D1145)</f>
        <v>0</v>
      </c>
      <c r="G1145" s="29">
        <f>SUMIFS(warehouse_shipments!$H:$H,warehouse_shipments!$C:$C,"&gt;="&amp;A1145,warehouse_shipments!$C:$C,"&lt;"&amp;DATE(YEAR(A1145),MONTH(A1145)+1,1),warehouse_shipments!$P:$P,B1145,warehouse_shipments!$Q:$Q,C1145,warehouse_shipments!$R:$R,D1145)</f>
        <v>0</v>
      </c>
      <c r="H1145" s="30">
        <f t="shared" si="1"/>
        <v>-226</v>
      </c>
      <c r="I1145" s="65">
        <f t="shared" si="2"/>
        <v>0</v>
      </c>
      <c r="J1145" s="30" t="s">
        <v>5306</v>
      </c>
    </row>
    <row r="1146" ht="15.75" customHeight="1">
      <c r="A1146" s="18">
        <v>46113.0</v>
      </c>
      <c r="B1146" s="17" t="s">
        <v>4705</v>
      </c>
      <c r="C1146" s="17" t="s">
        <v>89</v>
      </c>
      <c r="D1146" s="17" t="s">
        <v>90</v>
      </c>
      <c r="E1146" s="21">
        <v>241.0</v>
      </c>
      <c r="F1146" s="21">
        <f>SUMIFS(crm_orders!$J:$J,crm_orders!$B:$B,"&gt;="&amp;A1146,crm_orders!$B:$B,"&lt;"&amp;DATE(YEAR(A1146),MONTH(A1146)+1,1),crm_orders!$E:$E,B1146,crm_orders!$G:$G,C1146,crm_orders!$H:$H,D1146)</f>
        <v>0</v>
      </c>
      <c r="G1146" s="21">
        <f>SUMIFS(warehouse_shipments!$H:$H,warehouse_shipments!$C:$C,"&gt;="&amp;A1146,warehouse_shipments!$C:$C,"&lt;"&amp;DATE(YEAR(A1146),MONTH(A1146)+1,1),warehouse_shipments!$P:$P,B1146,warehouse_shipments!$Q:$Q,C1146,warehouse_shipments!$R:$R,D1146)</f>
        <v>0</v>
      </c>
      <c r="H1146" s="22">
        <f t="shared" si="1"/>
        <v>-241</v>
      </c>
      <c r="I1146" s="64">
        <f t="shared" si="2"/>
        <v>0</v>
      </c>
      <c r="J1146" s="22" t="s">
        <v>5309</v>
      </c>
    </row>
    <row r="1147" ht="15.75" customHeight="1">
      <c r="A1147" s="26">
        <v>46113.0</v>
      </c>
      <c r="B1147" s="25" t="s">
        <v>4705</v>
      </c>
      <c r="C1147" s="25" t="s">
        <v>89</v>
      </c>
      <c r="D1147" s="25" t="s">
        <v>92</v>
      </c>
      <c r="E1147" s="29">
        <v>290.0</v>
      </c>
      <c r="F1147" s="29">
        <f>SUMIFS(crm_orders!$J:$J,crm_orders!$B:$B,"&gt;="&amp;A1147,crm_orders!$B:$B,"&lt;"&amp;DATE(YEAR(A1147),MONTH(A1147)+1,1),crm_orders!$E:$E,B1147,crm_orders!$G:$G,C1147,crm_orders!$H:$H,D1147)</f>
        <v>0</v>
      </c>
      <c r="G1147" s="29">
        <f>SUMIFS(warehouse_shipments!$H:$H,warehouse_shipments!$C:$C,"&gt;="&amp;A1147,warehouse_shipments!$C:$C,"&lt;"&amp;DATE(YEAR(A1147),MONTH(A1147)+1,1),warehouse_shipments!$P:$P,B1147,warehouse_shipments!$Q:$Q,C1147,warehouse_shipments!$R:$R,D1147)</f>
        <v>0</v>
      </c>
      <c r="H1147" s="30">
        <f t="shared" si="1"/>
        <v>-290</v>
      </c>
      <c r="I1147" s="65">
        <f t="shared" si="2"/>
        <v>0</v>
      </c>
      <c r="J1147" s="30" t="s">
        <v>5309</v>
      </c>
    </row>
    <row r="1148" ht="15.75" customHeight="1">
      <c r="A1148" s="18">
        <v>46113.0</v>
      </c>
      <c r="B1148" s="17" t="s">
        <v>4705</v>
      </c>
      <c r="C1148" s="17" t="s">
        <v>89</v>
      </c>
      <c r="D1148" s="17" t="s">
        <v>115</v>
      </c>
      <c r="E1148" s="21">
        <v>333.0</v>
      </c>
      <c r="F1148" s="21">
        <f>SUMIFS(crm_orders!$J:$J,crm_orders!$B:$B,"&gt;="&amp;A1148,crm_orders!$B:$B,"&lt;"&amp;DATE(YEAR(A1148),MONTH(A1148)+1,1),crm_orders!$E:$E,B1148,crm_orders!$G:$G,C1148,crm_orders!$H:$H,D1148)</f>
        <v>0</v>
      </c>
      <c r="G1148" s="21">
        <f>SUMIFS(warehouse_shipments!$H:$H,warehouse_shipments!$C:$C,"&gt;="&amp;A1148,warehouse_shipments!$C:$C,"&lt;"&amp;DATE(YEAR(A1148),MONTH(A1148)+1,1),warehouse_shipments!$P:$P,B1148,warehouse_shipments!$Q:$Q,C1148,warehouse_shipments!$R:$R,D1148)</f>
        <v>0</v>
      </c>
      <c r="H1148" s="22">
        <f t="shared" si="1"/>
        <v>-333</v>
      </c>
      <c r="I1148" s="64">
        <f t="shared" si="2"/>
        <v>0</v>
      </c>
      <c r="J1148" s="22" t="s">
        <v>5308</v>
      </c>
    </row>
    <row r="1149" ht="15.75" customHeight="1">
      <c r="A1149" s="26">
        <v>46113.0</v>
      </c>
      <c r="B1149" s="25" t="s">
        <v>4705</v>
      </c>
      <c r="C1149" s="25" t="s">
        <v>89</v>
      </c>
      <c r="D1149" s="25" t="s">
        <v>154</v>
      </c>
      <c r="E1149" s="29">
        <v>384.0</v>
      </c>
      <c r="F1149" s="29">
        <f>SUMIFS(crm_orders!$J:$J,crm_orders!$B:$B,"&gt;="&amp;A1149,crm_orders!$B:$B,"&lt;"&amp;DATE(YEAR(A1149),MONTH(A1149)+1,1),crm_orders!$E:$E,B1149,crm_orders!$G:$G,C1149,crm_orders!$H:$H,D1149)</f>
        <v>0</v>
      </c>
      <c r="G1149" s="29">
        <f>SUMIFS(warehouse_shipments!$H:$H,warehouse_shipments!$C:$C,"&gt;="&amp;A1149,warehouse_shipments!$C:$C,"&lt;"&amp;DATE(YEAR(A1149),MONTH(A1149)+1,1),warehouse_shipments!$P:$P,B1149,warehouse_shipments!$Q:$Q,C1149,warehouse_shipments!$R:$R,D1149)</f>
        <v>0</v>
      </c>
      <c r="H1149" s="30">
        <f t="shared" si="1"/>
        <v>-384</v>
      </c>
      <c r="I1149" s="65">
        <f t="shared" si="2"/>
        <v>0</v>
      </c>
      <c r="J1149" s="30" t="s">
        <v>5307</v>
      </c>
    </row>
    <row r="1150" ht="15.75" customHeight="1">
      <c r="A1150" s="18">
        <v>46113.0</v>
      </c>
      <c r="B1150" s="17" t="s">
        <v>4705</v>
      </c>
      <c r="C1150" s="17" t="s">
        <v>89</v>
      </c>
      <c r="D1150" s="17" t="s">
        <v>106</v>
      </c>
      <c r="E1150" s="21">
        <v>337.0</v>
      </c>
      <c r="F1150" s="21">
        <f>SUMIFS(crm_orders!$J:$J,crm_orders!$B:$B,"&gt;="&amp;A1150,crm_orders!$B:$B,"&lt;"&amp;DATE(YEAR(A1150),MONTH(A1150)+1,1),crm_orders!$E:$E,B1150,crm_orders!$G:$G,C1150,crm_orders!$H:$H,D1150)</f>
        <v>0</v>
      </c>
      <c r="G1150" s="21">
        <f>SUMIFS(warehouse_shipments!$H:$H,warehouse_shipments!$C:$C,"&gt;="&amp;A1150,warehouse_shipments!$C:$C,"&lt;"&amp;DATE(YEAR(A1150),MONTH(A1150)+1,1),warehouse_shipments!$P:$P,B1150,warehouse_shipments!$Q:$Q,C1150,warehouse_shipments!$R:$R,D1150)</f>
        <v>0</v>
      </c>
      <c r="H1150" s="22">
        <f t="shared" si="1"/>
        <v>-337</v>
      </c>
      <c r="I1150" s="64">
        <f t="shared" si="2"/>
        <v>0</v>
      </c>
      <c r="J1150" s="22" t="s">
        <v>5307</v>
      </c>
    </row>
    <row r="1151" ht="15.75" customHeight="1">
      <c r="A1151" s="26">
        <v>46113.0</v>
      </c>
      <c r="B1151" s="25" t="s">
        <v>4705</v>
      </c>
      <c r="C1151" s="25" t="s">
        <v>89</v>
      </c>
      <c r="D1151" s="25" t="s">
        <v>190</v>
      </c>
      <c r="E1151" s="29">
        <v>94.0</v>
      </c>
      <c r="F1151" s="29">
        <f>SUMIFS(crm_orders!$J:$J,crm_orders!$B:$B,"&gt;="&amp;A1151,crm_orders!$B:$B,"&lt;"&amp;DATE(YEAR(A1151),MONTH(A1151)+1,1),crm_orders!$E:$E,B1151,crm_orders!$G:$G,C1151,crm_orders!$H:$H,D1151)</f>
        <v>0</v>
      </c>
      <c r="G1151" s="29">
        <f>SUMIFS(warehouse_shipments!$H:$H,warehouse_shipments!$C:$C,"&gt;="&amp;A1151,warehouse_shipments!$C:$C,"&lt;"&amp;DATE(YEAR(A1151),MONTH(A1151)+1,1),warehouse_shipments!$P:$P,B1151,warehouse_shipments!$Q:$Q,C1151,warehouse_shipments!$R:$R,D1151)</f>
        <v>0</v>
      </c>
      <c r="H1151" s="30">
        <f t="shared" si="1"/>
        <v>-94</v>
      </c>
      <c r="I1151" s="65">
        <f t="shared" si="2"/>
        <v>0</v>
      </c>
      <c r="J1151" s="30" t="s">
        <v>5307</v>
      </c>
    </row>
    <row r="1152" ht="15.75" customHeight="1">
      <c r="A1152" s="18">
        <v>46113.0</v>
      </c>
      <c r="B1152" s="17" t="s">
        <v>4705</v>
      </c>
      <c r="C1152" s="17" t="s">
        <v>89</v>
      </c>
      <c r="D1152" s="17" t="s">
        <v>108</v>
      </c>
      <c r="E1152" s="21">
        <v>275.0</v>
      </c>
      <c r="F1152" s="21">
        <f>SUMIFS(crm_orders!$J:$J,crm_orders!$B:$B,"&gt;="&amp;A1152,crm_orders!$B:$B,"&lt;"&amp;DATE(YEAR(A1152),MONTH(A1152)+1,1),crm_orders!$E:$E,B1152,crm_orders!$G:$G,C1152,crm_orders!$H:$H,D1152)</f>
        <v>0</v>
      </c>
      <c r="G1152" s="21">
        <f>SUMIFS(warehouse_shipments!$H:$H,warehouse_shipments!$C:$C,"&gt;="&amp;A1152,warehouse_shipments!$C:$C,"&lt;"&amp;DATE(YEAR(A1152),MONTH(A1152)+1,1),warehouse_shipments!$P:$P,B1152,warehouse_shipments!$Q:$Q,C1152,warehouse_shipments!$R:$R,D1152)</f>
        <v>0</v>
      </c>
      <c r="H1152" s="22">
        <f t="shared" si="1"/>
        <v>-275</v>
      </c>
      <c r="I1152" s="64">
        <f t="shared" si="2"/>
        <v>0</v>
      </c>
      <c r="J1152" s="22" t="s">
        <v>5309</v>
      </c>
    </row>
    <row r="1153" ht="15.75" customHeight="1">
      <c r="A1153" s="26">
        <v>46113.0</v>
      </c>
      <c r="B1153" s="25" t="s">
        <v>4705</v>
      </c>
      <c r="C1153" s="25" t="s">
        <v>89</v>
      </c>
      <c r="D1153" s="25" t="s">
        <v>123</v>
      </c>
      <c r="E1153" s="29">
        <v>490.0</v>
      </c>
      <c r="F1153" s="29">
        <f>SUMIFS(crm_orders!$J:$J,crm_orders!$B:$B,"&gt;="&amp;A1153,crm_orders!$B:$B,"&lt;"&amp;DATE(YEAR(A1153),MONTH(A1153)+1,1),crm_orders!$E:$E,B1153,crm_orders!$G:$G,C1153,crm_orders!$H:$H,D1153)</f>
        <v>120</v>
      </c>
      <c r="G1153" s="29">
        <f>SUMIFS(warehouse_shipments!$H:$H,warehouse_shipments!$C:$C,"&gt;="&amp;A1153,warehouse_shipments!$C:$C,"&lt;"&amp;DATE(YEAR(A1153),MONTH(A1153)+1,1),warehouse_shipments!$P:$P,B1153,warehouse_shipments!$Q:$Q,C1153,warehouse_shipments!$R:$R,D1153)</f>
        <v>84</v>
      </c>
      <c r="H1153" s="30">
        <f t="shared" si="1"/>
        <v>-370</v>
      </c>
      <c r="I1153" s="65">
        <f t="shared" si="2"/>
        <v>0.2448979592</v>
      </c>
      <c r="J1153" s="30" t="s">
        <v>5309</v>
      </c>
    </row>
    <row r="1154" ht="15.75" customHeight="1">
      <c r="A1154" s="18">
        <v>46143.0</v>
      </c>
      <c r="B1154" s="17" t="s">
        <v>3849</v>
      </c>
      <c r="C1154" s="17" t="s">
        <v>63</v>
      </c>
      <c r="D1154" s="17" t="s">
        <v>106</v>
      </c>
      <c r="E1154" s="21">
        <v>502.0</v>
      </c>
      <c r="F1154" s="21">
        <f>SUMIFS(crm_orders!$J:$J,crm_orders!$B:$B,"&gt;="&amp;A1154,crm_orders!$B:$B,"&lt;"&amp;DATE(YEAR(A1154),MONTH(A1154)+1,1),crm_orders!$E:$E,B1154,crm_orders!$G:$G,C1154,crm_orders!$H:$H,D1154)</f>
        <v>0</v>
      </c>
      <c r="G1154" s="21">
        <f>SUMIFS(warehouse_shipments!$H:$H,warehouse_shipments!$C:$C,"&gt;="&amp;A1154,warehouse_shipments!$C:$C,"&lt;"&amp;DATE(YEAR(A1154),MONTH(A1154)+1,1),warehouse_shipments!$P:$P,B1154,warehouse_shipments!$Q:$Q,C1154,warehouse_shipments!$R:$R,D1154)</f>
        <v>0</v>
      </c>
      <c r="H1154" s="22">
        <f t="shared" si="1"/>
        <v>-502</v>
      </c>
      <c r="I1154" s="64">
        <f t="shared" si="2"/>
        <v>0</v>
      </c>
      <c r="J1154" s="22" t="s">
        <v>5308</v>
      </c>
    </row>
    <row r="1155" ht="15.75" customHeight="1">
      <c r="A1155" s="26">
        <v>46143.0</v>
      </c>
      <c r="B1155" s="25" t="s">
        <v>3849</v>
      </c>
      <c r="C1155" s="25" t="s">
        <v>63</v>
      </c>
      <c r="D1155" s="25" t="s">
        <v>115</v>
      </c>
      <c r="E1155" s="29">
        <v>270.0</v>
      </c>
      <c r="F1155" s="29">
        <f>SUMIFS(crm_orders!$J:$J,crm_orders!$B:$B,"&gt;="&amp;A1155,crm_orders!$B:$B,"&lt;"&amp;DATE(YEAR(A1155),MONTH(A1155)+1,1),crm_orders!$E:$E,B1155,crm_orders!$G:$G,C1155,crm_orders!$H:$H,D1155)</f>
        <v>0</v>
      </c>
      <c r="G1155" s="29">
        <f>SUMIFS(warehouse_shipments!$H:$H,warehouse_shipments!$C:$C,"&gt;="&amp;A1155,warehouse_shipments!$C:$C,"&lt;"&amp;DATE(YEAR(A1155),MONTH(A1155)+1,1),warehouse_shipments!$P:$P,B1155,warehouse_shipments!$Q:$Q,C1155,warehouse_shipments!$R:$R,D1155)</f>
        <v>18</v>
      </c>
      <c r="H1155" s="30">
        <f t="shared" si="1"/>
        <v>-270</v>
      </c>
      <c r="I1155" s="65">
        <f t="shared" si="2"/>
        <v>0</v>
      </c>
      <c r="J1155" s="30" t="s">
        <v>5307</v>
      </c>
    </row>
    <row r="1156" ht="15.75" customHeight="1">
      <c r="A1156" s="18">
        <v>46143.0</v>
      </c>
      <c r="B1156" s="17" t="s">
        <v>3849</v>
      </c>
      <c r="C1156" s="17" t="s">
        <v>63</v>
      </c>
      <c r="D1156" s="17" t="s">
        <v>71</v>
      </c>
      <c r="E1156" s="21">
        <v>187.0</v>
      </c>
      <c r="F1156" s="21">
        <f>SUMIFS(crm_orders!$J:$J,crm_orders!$B:$B,"&gt;="&amp;A1156,crm_orders!$B:$B,"&lt;"&amp;DATE(YEAR(A1156),MONTH(A1156)+1,1),crm_orders!$E:$E,B1156,crm_orders!$G:$G,C1156,crm_orders!$H:$H,D1156)</f>
        <v>0</v>
      </c>
      <c r="G1156" s="21">
        <f>SUMIFS(warehouse_shipments!$H:$H,warehouse_shipments!$C:$C,"&gt;="&amp;A1156,warehouse_shipments!$C:$C,"&lt;"&amp;DATE(YEAR(A1156),MONTH(A1156)+1,1),warehouse_shipments!$P:$P,B1156,warehouse_shipments!$Q:$Q,C1156,warehouse_shipments!$R:$R,D1156)</f>
        <v>0</v>
      </c>
      <c r="H1156" s="22">
        <f t="shared" si="1"/>
        <v>-187</v>
      </c>
      <c r="I1156" s="64">
        <f t="shared" si="2"/>
        <v>0</v>
      </c>
      <c r="J1156" s="22" t="s">
        <v>5309</v>
      </c>
    </row>
    <row r="1157" ht="15.75" customHeight="1">
      <c r="A1157" s="26">
        <v>46143.0</v>
      </c>
      <c r="B1157" s="25" t="s">
        <v>3849</v>
      </c>
      <c r="C1157" s="25" t="s">
        <v>63</v>
      </c>
      <c r="D1157" s="25" t="s">
        <v>81</v>
      </c>
      <c r="E1157" s="29">
        <v>142.0</v>
      </c>
      <c r="F1157" s="29">
        <f>SUMIFS(crm_orders!$J:$J,crm_orders!$B:$B,"&gt;="&amp;A1157,crm_orders!$B:$B,"&lt;"&amp;DATE(YEAR(A1157),MONTH(A1157)+1,1),crm_orders!$E:$E,B1157,crm_orders!$G:$G,C1157,crm_orders!$H:$H,D1157)</f>
        <v>0</v>
      </c>
      <c r="G1157" s="29">
        <f>SUMIFS(warehouse_shipments!$H:$H,warehouse_shipments!$C:$C,"&gt;="&amp;A1157,warehouse_shipments!$C:$C,"&lt;"&amp;DATE(YEAR(A1157),MONTH(A1157)+1,1),warehouse_shipments!$P:$P,B1157,warehouse_shipments!$Q:$Q,C1157,warehouse_shipments!$R:$R,D1157)</f>
        <v>0</v>
      </c>
      <c r="H1157" s="30">
        <f t="shared" si="1"/>
        <v>-142</v>
      </c>
      <c r="I1157" s="65">
        <f t="shared" si="2"/>
        <v>0</v>
      </c>
      <c r="J1157" s="30" t="s">
        <v>5307</v>
      </c>
    </row>
    <row r="1158" ht="15.75" customHeight="1">
      <c r="A1158" s="18">
        <v>46143.0</v>
      </c>
      <c r="B1158" s="17" t="s">
        <v>3849</v>
      </c>
      <c r="C1158" s="17" t="s">
        <v>63</v>
      </c>
      <c r="D1158" s="17" t="s">
        <v>162</v>
      </c>
      <c r="E1158" s="21">
        <v>89.0</v>
      </c>
      <c r="F1158" s="21">
        <f>SUMIFS(crm_orders!$J:$J,crm_orders!$B:$B,"&gt;="&amp;A1158,crm_orders!$B:$B,"&lt;"&amp;DATE(YEAR(A1158),MONTH(A1158)+1,1),crm_orders!$E:$E,B1158,crm_orders!$G:$G,C1158,crm_orders!$H:$H,D1158)</f>
        <v>0</v>
      </c>
      <c r="G1158" s="21">
        <f>SUMIFS(warehouse_shipments!$H:$H,warehouse_shipments!$C:$C,"&gt;="&amp;A1158,warehouse_shipments!$C:$C,"&lt;"&amp;DATE(YEAR(A1158),MONTH(A1158)+1,1),warehouse_shipments!$P:$P,B1158,warehouse_shipments!$Q:$Q,C1158,warehouse_shipments!$R:$R,D1158)</f>
        <v>0</v>
      </c>
      <c r="H1158" s="22">
        <f t="shared" si="1"/>
        <v>-89</v>
      </c>
      <c r="I1158" s="64">
        <f t="shared" si="2"/>
        <v>0</v>
      </c>
      <c r="J1158" s="22" t="s">
        <v>5306</v>
      </c>
    </row>
    <row r="1159" ht="15.75" customHeight="1">
      <c r="A1159" s="26">
        <v>46143.0</v>
      </c>
      <c r="B1159" s="25" t="s">
        <v>3849</v>
      </c>
      <c r="C1159" s="25" t="s">
        <v>63</v>
      </c>
      <c r="D1159" s="25" t="s">
        <v>110</v>
      </c>
      <c r="E1159" s="29">
        <v>409.0</v>
      </c>
      <c r="F1159" s="29">
        <f>SUMIFS(crm_orders!$J:$J,crm_orders!$B:$B,"&gt;="&amp;A1159,crm_orders!$B:$B,"&lt;"&amp;DATE(YEAR(A1159),MONTH(A1159)+1,1),crm_orders!$E:$E,B1159,crm_orders!$G:$G,C1159,crm_orders!$H:$H,D1159)</f>
        <v>0</v>
      </c>
      <c r="G1159" s="29">
        <f>SUMIFS(warehouse_shipments!$H:$H,warehouse_shipments!$C:$C,"&gt;="&amp;A1159,warehouse_shipments!$C:$C,"&lt;"&amp;DATE(YEAR(A1159),MONTH(A1159)+1,1),warehouse_shipments!$P:$P,B1159,warehouse_shipments!$Q:$Q,C1159,warehouse_shipments!$R:$R,D1159)</f>
        <v>0</v>
      </c>
      <c r="H1159" s="30">
        <f t="shared" si="1"/>
        <v>-409</v>
      </c>
      <c r="I1159" s="65">
        <f t="shared" si="2"/>
        <v>0</v>
      </c>
      <c r="J1159" s="30" t="s">
        <v>5310</v>
      </c>
    </row>
    <row r="1160" ht="15.75" customHeight="1">
      <c r="A1160" s="18">
        <v>46143.0</v>
      </c>
      <c r="B1160" s="17" t="s">
        <v>3849</v>
      </c>
      <c r="C1160" s="17" t="s">
        <v>63</v>
      </c>
      <c r="D1160" s="17" t="s">
        <v>154</v>
      </c>
      <c r="E1160" s="21">
        <v>316.0</v>
      </c>
      <c r="F1160" s="21">
        <f>SUMIFS(crm_orders!$J:$J,crm_orders!$B:$B,"&gt;="&amp;A1160,crm_orders!$B:$B,"&lt;"&amp;DATE(YEAR(A1160),MONTH(A1160)+1,1),crm_orders!$E:$E,B1160,crm_orders!$G:$G,C1160,crm_orders!$H:$H,D1160)</f>
        <v>72</v>
      </c>
      <c r="G1160" s="21">
        <f>SUMIFS(warehouse_shipments!$H:$H,warehouse_shipments!$C:$C,"&gt;="&amp;A1160,warehouse_shipments!$C:$C,"&lt;"&amp;DATE(YEAR(A1160),MONTH(A1160)+1,1),warehouse_shipments!$P:$P,B1160,warehouse_shipments!$Q:$Q,C1160,warehouse_shipments!$R:$R,D1160)</f>
        <v>72</v>
      </c>
      <c r="H1160" s="22">
        <f t="shared" si="1"/>
        <v>-244</v>
      </c>
      <c r="I1160" s="64">
        <f t="shared" si="2"/>
        <v>0.2278481013</v>
      </c>
      <c r="J1160" s="22" t="s">
        <v>5306</v>
      </c>
    </row>
    <row r="1161" ht="15.75" customHeight="1">
      <c r="A1161" s="26">
        <v>46143.0</v>
      </c>
      <c r="B1161" s="25" t="s">
        <v>3849</v>
      </c>
      <c r="C1161" s="25" t="s">
        <v>63</v>
      </c>
      <c r="D1161" s="25" t="s">
        <v>78</v>
      </c>
      <c r="E1161" s="29">
        <v>230.0</v>
      </c>
      <c r="F1161" s="29">
        <f>SUMIFS(crm_orders!$J:$J,crm_orders!$B:$B,"&gt;="&amp;A1161,crm_orders!$B:$B,"&lt;"&amp;DATE(YEAR(A1161),MONTH(A1161)+1,1),crm_orders!$E:$E,B1161,crm_orders!$G:$G,C1161,crm_orders!$H:$H,D1161)</f>
        <v>0</v>
      </c>
      <c r="G1161" s="29">
        <f>SUMIFS(warehouse_shipments!$H:$H,warehouse_shipments!$C:$C,"&gt;="&amp;A1161,warehouse_shipments!$C:$C,"&lt;"&amp;DATE(YEAR(A1161),MONTH(A1161)+1,1),warehouse_shipments!$P:$P,B1161,warehouse_shipments!$Q:$Q,C1161,warehouse_shipments!$R:$R,D1161)</f>
        <v>0</v>
      </c>
      <c r="H1161" s="30">
        <f t="shared" si="1"/>
        <v>-230</v>
      </c>
      <c r="I1161" s="65">
        <f t="shared" si="2"/>
        <v>0</v>
      </c>
      <c r="J1161" s="30" t="s">
        <v>5310</v>
      </c>
    </row>
    <row r="1162" ht="15.75" customHeight="1">
      <c r="A1162" s="18">
        <v>46143.0</v>
      </c>
      <c r="B1162" s="17" t="s">
        <v>3849</v>
      </c>
      <c r="C1162" s="17" t="s">
        <v>67</v>
      </c>
      <c r="D1162" s="17" t="s">
        <v>71</v>
      </c>
      <c r="E1162" s="21">
        <v>507.0</v>
      </c>
      <c r="F1162" s="21">
        <f>SUMIFS(crm_orders!$J:$J,crm_orders!$B:$B,"&gt;="&amp;A1162,crm_orders!$B:$B,"&lt;"&amp;DATE(YEAR(A1162),MONTH(A1162)+1,1),crm_orders!$E:$E,B1162,crm_orders!$G:$G,C1162,crm_orders!$H:$H,D1162)</f>
        <v>0</v>
      </c>
      <c r="G1162" s="21">
        <f>SUMIFS(warehouse_shipments!$H:$H,warehouse_shipments!$C:$C,"&gt;="&amp;A1162,warehouse_shipments!$C:$C,"&lt;"&amp;DATE(YEAR(A1162),MONTH(A1162)+1,1),warehouse_shipments!$P:$P,B1162,warehouse_shipments!$Q:$Q,C1162,warehouse_shipments!$R:$R,D1162)</f>
        <v>0</v>
      </c>
      <c r="H1162" s="22">
        <f t="shared" si="1"/>
        <v>-507</v>
      </c>
      <c r="I1162" s="64">
        <f t="shared" si="2"/>
        <v>0</v>
      </c>
      <c r="J1162" s="22" t="s">
        <v>5311</v>
      </c>
    </row>
    <row r="1163" ht="15.75" customHeight="1">
      <c r="A1163" s="26">
        <v>46143.0</v>
      </c>
      <c r="B1163" s="25" t="s">
        <v>3849</v>
      </c>
      <c r="C1163" s="25" t="s">
        <v>67</v>
      </c>
      <c r="D1163" s="25" t="s">
        <v>110</v>
      </c>
      <c r="E1163" s="29">
        <v>168.0</v>
      </c>
      <c r="F1163" s="29">
        <f>SUMIFS(crm_orders!$J:$J,crm_orders!$B:$B,"&gt;="&amp;A1163,crm_orders!$B:$B,"&lt;"&amp;DATE(YEAR(A1163),MONTH(A1163)+1,1),crm_orders!$E:$E,B1163,crm_orders!$G:$G,C1163,crm_orders!$H:$H,D1163)</f>
        <v>0</v>
      </c>
      <c r="G1163" s="29">
        <f>SUMIFS(warehouse_shipments!$H:$H,warehouse_shipments!$C:$C,"&gt;="&amp;A1163,warehouse_shipments!$C:$C,"&lt;"&amp;DATE(YEAR(A1163),MONTH(A1163)+1,1),warehouse_shipments!$P:$P,B1163,warehouse_shipments!$Q:$Q,C1163,warehouse_shipments!$R:$R,D1163)</f>
        <v>0</v>
      </c>
      <c r="H1163" s="30">
        <f t="shared" si="1"/>
        <v>-168</v>
      </c>
      <c r="I1163" s="65">
        <f t="shared" si="2"/>
        <v>0</v>
      </c>
      <c r="J1163" s="30" t="s">
        <v>5309</v>
      </c>
    </row>
    <row r="1164" ht="15.75" customHeight="1">
      <c r="A1164" s="18">
        <v>46143.0</v>
      </c>
      <c r="B1164" s="17" t="s">
        <v>3849</v>
      </c>
      <c r="C1164" s="17" t="s">
        <v>67</v>
      </c>
      <c r="D1164" s="17" t="s">
        <v>95</v>
      </c>
      <c r="E1164" s="21">
        <v>500.0</v>
      </c>
      <c r="F1164" s="21">
        <f>SUMIFS(crm_orders!$J:$J,crm_orders!$B:$B,"&gt;="&amp;A1164,crm_orders!$B:$B,"&lt;"&amp;DATE(YEAR(A1164),MONTH(A1164)+1,1),crm_orders!$E:$E,B1164,crm_orders!$G:$G,C1164,crm_orders!$H:$H,D1164)</f>
        <v>0</v>
      </c>
      <c r="G1164" s="21">
        <f>SUMIFS(warehouse_shipments!$H:$H,warehouse_shipments!$C:$C,"&gt;="&amp;A1164,warehouse_shipments!$C:$C,"&lt;"&amp;DATE(YEAR(A1164),MONTH(A1164)+1,1),warehouse_shipments!$P:$P,B1164,warehouse_shipments!$Q:$Q,C1164,warehouse_shipments!$R:$R,D1164)</f>
        <v>0</v>
      </c>
      <c r="H1164" s="22">
        <f t="shared" si="1"/>
        <v>-500</v>
      </c>
      <c r="I1164" s="64">
        <f t="shared" si="2"/>
        <v>0</v>
      </c>
      <c r="J1164" s="22" t="s">
        <v>5308</v>
      </c>
    </row>
    <row r="1165" ht="15.75" customHeight="1">
      <c r="A1165" s="26">
        <v>46143.0</v>
      </c>
      <c r="B1165" s="25" t="s">
        <v>3849</v>
      </c>
      <c r="C1165" s="25" t="s">
        <v>67</v>
      </c>
      <c r="D1165" s="25" t="s">
        <v>68</v>
      </c>
      <c r="E1165" s="29">
        <v>251.0</v>
      </c>
      <c r="F1165" s="29">
        <f>SUMIFS(crm_orders!$J:$J,crm_orders!$B:$B,"&gt;="&amp;A1165,crm_orders!$B:$B,"&lt;"&amp;DATE(YEAR(A1165),MONTH(A1165)+1,1),crm_orders!$E:$E,B1165,crm_orders!$G:$G,C1165,crm_orders!$H:$H,D1165)</f>
        <v>0</v>
      </c>
      <c r="G1165" s="29">
        <f>SUMIFS(warehouse_shipments!$H:$H,warehouse_shipments!$C:$C,"&gt;="&amp;A1165,warehouse_shipments!$C:$C,"&lt;"&amp;DATE(YEAR(A1165),MONTH(A1165)+1,1),warehouse_shipments!$P:$P,B1165,warehouse_shipments!$Q:$Q,C1165,warehouse_shipments!$R:$R,D1165)</f>
        <v>0</v>
      </c>
      <c r="H1165" s="30">
        <f t="shared" si="1"/>
        <v>-251</v>
      </c>
      <c r="I1165" s="65">
        <f t="shared" si="2"/>
        <v>0</v>
      </c>
      <c r="J1165" s="30" t="s">
        <v>5310</v>
      </c>
    </row>
    <row r="1166" ht="15.75" customHeight="1">
      <c r="A1166" s="18">
        <v>46143.0</v>
      </c>
      <c r="B1166" s="17" t="s">
        <v>3849</v>
      </c>
      <c r="C1166" s="17" t="s">
        <v>67</v>
      </c>
      <c r="D1166" s="17" t="s">
        <v>78</v>
      </c>
      <c r="E1166" s="21">
        <v>81.0</v>
      </c>
      <c r="F1166" s="21">
        <f>SUMIFS(crm_orders!$J:$J,crm_orders!$B:$B,"&gt;="&amp;A1166,crm_orders!$B:$B,"&lt;"&amp;DATE(YEAR(A1166),MONTH(A1166)+1,1),crm_orders!$E:$E,B1166,crm_orders!$G:$G,C1166,crm_orders!$H:$H,D1166)</f>
        <v>0</v>
      </c>
      <c r="G1166" s="21">
        <f>SUMIFS(warehouse_shipments!$H:$H,warehouse_shipments!$C:$C,"&gt;="&amp;A1166,warehouse_shipments!$C:$C,"&lt;"&amp;DATE(YEAR(A1166),MONTH(A1166)+1,1),warehouse_shipments!$P:$P,B1166,warehouse_shipments!$Q:$Q,C1166,warehouse_shipments!$R:$R,D1166)</f>
        <v>0</v>
      </c>
      <c r="H1166" s="22">
        <f t="shared" si="1"/>
        <v>-81</v>
      </c>
      <c r="I1166" s="64">
        <f t="shared" si="2"/>
        <v>0</v>
      </c>
      <c r="J1166" s="22" t="s">
        <v>5310</v>
      </c>
    </row>
    <row r="1167" ht="15.75" customHeight="1">
      <c r="A1167" s="26">
        <v>46143.0</v>
      </c>
      <c r="B1167" s="25" t="s">
        <v>3849</v>
      </c>
      <c r="C1167" s="25" t="s">
        <v>67</v>
      </c>
      <c r="D1167" s="25" t="s">
        <v>115</v>
      </c>
      <c r="E1167" s="29">
        <v>520.0</v>
      </c>
      <c r="F1167" s="29">
        <f>SUMIFS(crm_orders!$J:$J,crm_orders!$B:$B,"&gt;="&amp;A1167,crm_orders!$B:$B,"&lt;"&amp;DATE(YEAR(A1167),MONTH(A1167)+1,1),crm_orders!$E:$E,B1167,crm_orders!$G:$G,C1167,crm_orders!$H:$H,D1167)</f>
        <v>0</v>
      </c>
      <c r="G1167" s="29">
        <f>SUMIFS(warehouse_shipments!$H:$H,warehouse_shipments!$C:$C,"&gt;="&amp;A1167,warehouse_shipments!$C:$C,"&lt;"&amp;DATE(YEAR(A1167),MONTH(A1167)+1,1),warehouse_shipments!$P:$P,B1167,warehouse_shipments!$Q:$Q,C1167,warehouse_shipments!$R:$R,D1167)</f>
        <v>0</v>
      </c>
      <c r="H1167" s="30">
        <f t="shared" si="1"/>
        <v>-520</v>
      </c>
      <c r="I1167" s="65">
        <f t="shared" si="2"/>
        <v>0</v>
      </c>
      <c r="J1167" s="30" t="s">
        <v>5307</v>
      </c>
    </row>
    <row r="1168" ht="15.75" customHeight="1">
      <c r="A1168" s="18">
        <v>46143.0</v>
      </c>
      <c r="B1168" s="17" t="s">
        <v>3849</v>
      </c>
      <c r="C1168" s="17" t="s">
        <v>67</v>
      </c>
      <c r="D1168" s="17" t="s">
        <v>190</v>
      </c>
      <c r="E1168" s="21">
        <v>363.0</v>
      </c>
      <c r="F1168" s="21">
        <f>SUMIFS(crm_orders!$J:$J,crm_orders!$B:$B,"&gt;="&amp;A1168,crm_orders!$B:$B,"&lt;"&amp;DATE(YEAR(A1168),MONTH(A1168)+1,1),crm_orders!$E:$E,B1168,crm_orders!$G:$G,C1168,crm_orders!$H:$H,D1168)</f>
        <v>0</v>
      </c>
      <c r="G1168" s="21">
        <f>SUMIFS(warehouse_shipments!$H:$H,warehouse_shipments!$C:$C,"&gt;="&amp;A1168,warehouse_shipments!$C:$C,"&lt;"&amp;DATE(YEAR(A1168),MONTH(A1168)+1,1),warehouse_shipments!$P:$P,B1168,warehouse_shipments!$Q:$Q,C1168,warehouse_shipments!$R:$R,D1168)</f>
        <v>0</v>
      </c>
      <c r="H1168" s="22">
        <f t="shared" si="1"/>
        <v>-363</v>
      </c>
      <c r="I1168" s="64">
        <f t="shared" si="2"/>
        <v>0</v>
      </c>
      <c r="J1168" s="22" t="s">
        <v>5308</v>
      </c>
    </row>
    <row r="1169" ht="15.75" customHeight="1">
      <c r="A1169" s="26">
        <v>46143.0</v>
      </c>
      <c r="B1169" s="25" t="s">
        <v>3849</v>
      </c>
      <c r="C1169" s="25" t="s">
        <v>67</v>
      </c>
      <c r="D1169" s="25" t="s">
        <v>154</v>
      </c>
      <c r="E1169" s="29">
        <v>438.0</v>
      </c>
      <c r="F1169" s="29">
        <f>SUMIFS(crm_orders!$J:$J,crm_orders!$B:$B,"&gt;="&amp;A1169,crm_orders!$B:$B,"&lt;"&amp;DATE(YEAR(A1169),MONTH(A1169)+1,1),crm_orders!$E:$E,B1169,crm_orders!$G:$G,C1169,crm_orders!$H:$H,D1169)</f>
        <v>0</v>
      </c>
      <c r="G1169" s="29">
        <f>SUMIFS(warehouse_shipments!$H:$H,warehouse_shipments!$C:$C,"&gt;="&amp;A1169,warehouse_shipments!$C:$C,"&lt;"&amp;DATE(YEAR(A1169),MONTH(A1169)+1,1),warehouse_shipments!$P:$P,B1169,warehouse_shipments!$Q:$Q,C1169,warehouse_shipments!$R:$R,D1169)</f>
        <v>0</v>
      </c>
      <c r="H1169" s="30">
        <f t="shared" si="1"/>
        <v>-438</v>
      </c>
      <c r="I1169" s="65">
        <f t="shared" si="2"/>
        <v>0</v>
      </c>
      <c r="J1169" s="30" t="s">
        <v>5308</v>
      </c>
    </row>
    <row r="1170" ht="15.75" customHeight="1">
      <c r="A1170" s="18">
        <v>46143.0</v>
      </c>
      <c r="B1170" s="17" t="s">
        <v>3849</v>
      </c>
      <c r="C1170" s="17" t="s">
        <v>89</v>
      </c>
      <c r="D1170" s="17" t="s">
        <v>81</v>
      </c>
      <c r="E1170" s="21">
        <v>317.0</v>
      </c>
      <c r="F1170" s="21">
        <f>SUMIFS(crm_orders!$J:$J,crm_orders!$B:$B,"&gt;="&amp;A1170,crm_orders!$B:$B,"&lt;"&amp;DATE(YEAR(A1170),MONTH(A1170)+1,1),crm_orders!$E:$E,B1170,crm_orders!$G:$G,C1170,crm_orders!$H:$H,D1170)</f>
        <v>0</v>
      </c>
      <c r="G1170" s="21">
        <f>SUMIFS(warehouse_shipments!$H:$H,warehouse_shipments!$C:$C,"&gt;="&amp;A1170,warehouse_shipments!$C:$C,"&lt;"&amp;DATE(YEAR(A1170),MONTH(A1170)+1,1),warehouse_shipments!$P:$P,B1170,warehouse_shipments!$Q:$Q,C1170,warehouse_shipments!$R:$R,D1170)</f>
        <v>0</v>
      </c>
      <c r="H1170" s="22">
        <f t="shared" si="1"/>
        <v>-317</v>
      </c>
      <c r="I1170" s="64">
        <f t="shared" si="2"/>
        <v>0</v>
      </c>
      <c r="J1170" s="22" t="s">
        <v>5311</v>
      </c>
    </row>
    <row r="1171" ht="15.75" customHeight="1">
      <c r="A1171" s="26">
        <v>46143.0</v>
      </c>
      <c r="B1171" s="25" t="s">
        <v>3849</v>
      </c>
      <c r="C1171" s="25" t="s">
        <v>89</v>
      </c>
      <c r="D1171" s="25" t="s">
        <v>92</v>
      </c>
      <c r="E1171" s="29">
        <v>189.0</v>
      </c>
      <c r="F1171" s="29">
        <f>SUMIFS(crm_orders!$J:$J,crm_orders!$B:$B,"&gt;="&amp;A1171,crm_orders!$B:$B,"&lt;"&amp;DATE(YEAR(A1171),MONTH(A1171)+1,1),crm_orders!$E:$E,B1171,crm_orders!$G:$G,C1171,crm_orders!$H:$H,D1171)</f>
        <v>0</v>
      </c>
      <c r="G1171" s="29">
        <f>SUMIFS(warehouse_shipments!$H:$H,warehouse_shipments!$C:$C,"&gt;="&amp;A1171,warehouse_shipments!$C:$C,"&lt;"&amp;DATE(YEAR(A1171),MONTH(A1171)+1,1),warehouse_shipments!$P:$P,B1171,warehouse_shipments!$Q:$Q,C1171,warehouse_shipments!$R:$R,D1171)</f>
        <v>0</v>
      </c>
      <c r="H1171" s="30">
        <f t="shared" si="1"/>
        <v>-189</v>
      </c>
      <c r="I1171" s="65">
        <f t="shared" si="2"/>
        <v>0</v>
      </c>
      <c r="J1171" s="30" t="s">
        <v>5310</v>
      </c>
    </row>
    <row r="1172" ht="15.75" customHeight="1">
      <c r="A1172" s="18">
        <v>46143.0</v>
      </c>
      <c r="B1172" s="17" t="s">
        <v>3849</v>
      </c>
      <c r="C1172" s="17" t="s">
        <v>89</v>
      </c>
      <c r="D1172" s="17" t="s">
        <v>123</v>
      </c>
      <c r="E1172" s="21">
        <v>412.0</v>
      </c>
      <c r="F1172" s="21">
        <f>SUMIFS(crm_orders!$J:$J,crm_orders!$B:$B,"&gt;="&amp;A1172,crm_orders!$B:$B,"&lt;"&amp;DATE(YEAR(A1172),MONTH(A1172)+1,1),crm_orders!$E:$E,B1172,crm_orders!$G:$G,C1172,crm_orders!$H:$H,D1172)</f>
        <v>0</v>
      </c>
      <c r="G1172" s="21">
        <f>SUMIFS(warehouse_shipments!$H:$H,warehouse_shipments!$C:$C,"&gt;="&amp;A1172,warehouse_shipments!$C:$C,"&lt;"&amp;DATE(YEAR(A1172),MONTH(A1172)+1,1),warehouse_shipments!$P:$P,B1172,warehouse_shipments!$Q:$Q,C1172,warehouse_shipments!$R:$R,D1172)</f>
        <v>0</v>
      </c>
      <c r="H1172" s="22">
        <f t="shared" si="1"/>
        <v>-412</v>
      </c>
      <c r="I1172" s="64">
        <f t="shared" si="2"/>
        <v>0</v>
      </c>
      <c r="J1172" s="22" t="s">
        <v>5309</v>
      </c>
    </row>
    <row r="1173" ht="15.75" customHeight="1">
      <c r="A1173" s="26">
        <v>46143.0</v>
      </c>
      <c r="B1173" s="25" t="s">
        <v>3849</v>
      </c>
      <c r="C1173" s="25" t="s">
        <v>89</v>
      </c>
      <c r="D1173" s="25" t="s">
        <v>110</v>
      </c>
      <c r="E1173" s="29">
        <v>486.0</v>
      </c>
      <c r="F1173" s="29">
        <f>SUMIFS(crm_orders!$J:$J,crm_orders!$B:$B,"&gt;="&amp;A1173,crm_orders!$B:$B,"&lt;"&amp;DATE(YEAR(A1173),MONTH(A1173)+1,1),crm_orders!$E:$E,B1173,crm_orders!$G:$G,C1173,crm_orders!$H:$H,D1173)</f>
        <v>0</v>
      </c>
      <c r="G1173" s="29">
        <f>SUMIFS(warehouse_shipments!$H:$H,warehouse_shipments!$C:$C,"&gt;="&amp;A1173,warehouse_shipments!$C:$C,"&lt;"&amp;DATE(YEAR(A1173),MONTH(A1173)+1,1),warehouse_shipments!$P:$P,B1173,warehouse_shipments!$Q:$Q,C1173,warehouse_shipments!$R:$R,D1173)</f>
        <v>0</v>
      </c>
      <c r="H1173" s="30">
        <f t="shared" si="1"/>
        <v>-486</v>
      </c>
      <c r="I1173" s="65">
        <f t="shared" si="2"/>
        <v>0</v>
      </c>
      <c r="J1173" s="30" t="s">
        <v>5307</v>
      </c>
    </row>
    <row r="1174" ht="15.75" customHeight="1">
      <c r="A1174" s="18">
        <v>46143.0</v>
      </c>
      <c r="B1174" s="17" t="s">
        <v>3849</v>
      </c>
      <c r="C1174" s="17" t="s">
        <v>89</v>
      </c>
      <c r="D1174" s="17" t="s">
        <v>115</v>
      </c>
      <c r="E1174" s="21">
        <v>103.0</v>
      </c>
      <c r="F1174" s="21">
        <f>SUMIFS(crm_orders!$J:$J,crm_orders!$B:$B,"&gt;="&amp;A1174,crm_orders!$B:$B,"&lt;"&amp;DATE(YEAR(A1174),MONTH(A1174)+1,1),crm_orders!$E:$E,B1174,crm_orders!$G:$G,C1174,crm_orders!$H:$H,D1174)</f>
        <v>0</v>
      </c>
      <c r="G1174" s="21">
        <f>SUMIFS(warehouse_shipments!$H:$H,warehouse_shipments!$C:$C,"&gt;="&amp;A1174,warehouse_shipments!$C:$C,"&lt;"&amp;DATE(YEAR(A1174),MONTH(A1174)+1,1),warehouse_shipments!$P:$P,B1174,warehouse_shipments!$Q:$Q,C1174,warehouse_shipments!$R:$R,D1174)</f>
        <v>0</v>
      </c>
      <c r="H1174" s="22">
        <f t="shared" si="1"/>
        <v>-103</v>
      </c>
      <c r="I1174" s="64">
        <f t="shared" si="2"/>
        <v>0</v>
      </c>
      <c r="J1174" s="22" t="s">
        <v>5311</v>
      </c>
    </row>
    <row r="1175" ht="15.75" customHeight="1">
      <c r="A1175" s="26">
        <v>46143.0</v>
      </c>
      <c r="B1175" s="25" t="s">
        <v>3849</v>
      </c>
      <c r="C1175" s="25" t="s">
        <v>89</v>
      </c>
      <c r="D1175" s="25" t="s">
        <v>106</v>
      </c>
      <c r="E1175" s="29">
        <v>485.0</v>
      </c>
      <c r="F1175" s="29">
        <f>SUMIFS(crm_orders!$J:$J,crm_orders!$B:$B,"&gt;="&amp;A1175,crm_orders!$B:$B,"&lt;"&amp;DATE(YEAR(A1175),MONTH(A1175)+1,1),crm_orders!$E:$E,B1175,crm_orders!$G:$G,C1175,crm_orders!$H:$H,D1175)</f>
        <v>0</v>
      </c>
      <c r="G1175" s="29">
        <f>SUMIFS(warehouse_shipments!$H:$H,warehouse_shipments!$C:$C,"&gt;="&amp;A1175,warehouse_shipments!$C:$C,"&lt;"&amp;DATE(YEAR(A1175),MONTH(A1175)+1,1),warehouse_shipments!$P:$P,B1175,warehouse_shipments!$Q:$Q,C1175,warehouse_shipments!$R:$R,D1175)</f>
        <v>0</v>
      </c>
      <c r="H1175" s="30">
        <f t="shared" si="1"/>
        <v>-485</v>
      </c>
      <c r="I1175" s="65">
        <f t="shared" si="2"/>
        <v>0</v>
      </c>
      <c r="J1175" s="30" t="s">
        <v>5311</v>
      </c>
    </row>
    <row r="1176" ht="15.75" customHeight="1">
      <c r="A1176" s="18">
        <v>46143.0</v>
      </c>
      <c r="B1176" s="17" t="s">
        <v>3849</v>
      </c>
      <c r="C1176" s="17" t="s">
        <v>89</v>
      </c>
      <c r="D1176" s="17" t="s">
        <v>78</v>
      </c>
      <c r="E1176" s="21">
        <v>370.0</v>
      </c>
      <c r="F1176" s="21">
        <f>SUMIFS(crm_orders!$J:$J,crm_orders!$B:$B,"&gt;="&amp;A1176,crm_orders!$B:$B,"&lt;"&amp;DATE(YEAR(A1176),MONTH(A1176)+1,1),crm_orders!$E:$E,B1176,crm_orders!$G:$G,C1176,crm_orders!$H:$H,D1176)</f>
        <v>0</v>
      </c>
      <c r="G1176" s="21">
        <f>SUMIFS(warehouse_shipments!$H:$H,warehouse_shipments!$C:$C,"&gt;="&amp;A1176,warehouse_shipments!$C:$C,"&lt;"&amp;DATE(YEAR(A1176),MONTH(A1176)+1,1),warehouse_shipments!$P:$P,B1176,warehouse_shipments!$Q:$Q,C1176,warehouse_shipments!$R:$R,D1176)</f>
        <v>0</v>
      </c>
      <c r="H1176" s="22">
        <f t="shared" si="1"/>
        <v>-370</v>
      </c>
      <c r="I1176" s="64">
        <f t="shared" si="2"/>
        <v>0</v>
      </c>
      <c r="J1176" s="22" t="s">
        <v>5306</v>
      </c>
    </row>
    <row r="1177" ht="15.75" customHeight="1">
      <c r="A1177" s="26">
        <v>46143.0</v>
      </c>
      <c r="B1177" s="25" t="s">
        <v>3849</v>
      </c>
      <c r="C1177" s="25" t="s">
        <v>89</v>
      </c>
      <c r="D1177" s="25" t="s">
        <v>74</v>
      </c>
      <c r="E1177" s="29">
        <v>517.0</v>
      </c>
      <c r="F1177" s="29">
        <f>SUMIFS(crm_orders!$J:$J,crm_orders!$B:$B,"&gt;="&amp;A1177,crm_orders!$B:$B,"&lt;"&amp;DATE(YEAR(A1177),MONTH(A1177)+1,1),crm_orders!$E:$E,B1177,crm_orders!$G:$G,C1177,crm_orders!$H:$H,D1177)</f>
        <v>0</v>
      </c>
      <c r="G1177" s="29">
        <f>SUMIFS(warehouse_shipments!$H:$H,warehouse_shipments!$C:$C,"&gt;="&amp;A1177,warehouse_shipments!$C:$C,"&lt;"&amp;DATE(YEAR(A1177),MONTH(A1177)+1,1),warehouse_shipments!$P:$P,B1177,warehouse_shipments!$Q:$Q,C1177,warehouse_shipments!$R:$R,D1177)</f>
        <v>0</v>
      </c>
      <c r="H1177" s="30">
        <f t="shared" si="1"/>
        <v>-517</v>
      </c>
      <c r="I1177" s="65">
        <f t="shared" si="2"/>
        <v>0</v>
      </c>
      <c r="J1177" s="30" t="s">
        <v>5308</v>
      </c>
    </row>
    <row r="1178" ht="15.75" customHeight="1">
      <c r="A1178" s="18">
        <v>46143.0</v>
      </c>
      <c r="B1178" s="17" t="s">
        <v>3934</v>
      </c>
      <c r="C1178" s="17" t="s">
        <v>63</v>
      </c>
      <c r="D1178" s="17" t="s">
        <v>64</v>
      </c>
      <c r="E1178" s="21">
        <v>155.0</v>
      </c>
      <c r="F1178" s="21">
        <f>SUMIFS(crm_orders!$J:$J,crm_orders!$B:$B,"&gt;="&amp;A1178,crm_orders!$B:$B,"&lt;"&amp;DATE(YEAR(A1178),MONTH(A1178)+1,1),crm_orders!$E:$E,B1178,crm_orders!$G:$G,C1178,crm_orders!$H:$H,D1178)</f>
        <v>0</v>
      </c>
      <c r="G1178" s="21">
        <f>SUMIFS(warehouse_shipments!$H:$H,warehouse_shipments!$C:$C,"&gt;="&amp;A1178,warehouse_shipments!$C:$C,"&lt;"&amp;DATE(YEAR(A1178),MONTH(A1178)+1,1),warehouse_shipments!$P:$P,B1178,warehouse_shipments!$Q:$Q,C1178,warehouse_shipments!$R:$R,D1178)</f>
        <v>0</v>
      </c>
      <c r="H1178" s="22">
        <f t="shared" si="1"/>
        <v>-155</v>
      </c>
      <c r="I1178" s="64">
        <f t="shared" si="2"/>
        <v>0</v>
      </c>
      <c r="J1178" s="22" t="s">
        <v>5308</v>
      </c>
    </row>
    <row r="1179" ht="15.75" customHeight="1">
      <c r="A1179" s="26">
        <v>46143.0</v>
      </c>
      <c r="B1179" s="25" t="s">
        <v>3934</v>
      </c>
      <c r="C1179" s="25" t="s">
        <v>63</v>
      </c>
      <c r="D1179" s="25" t="s">
        <v>78</v>
      </c>
      <c r="E1179" s="29">
        <v>203.0</v>
      </c>
      <c r="F1179" s="29">
        <f>SUMIFS(crm_orders!$J:$J,crm_orders!$B:$B,"&gt;="&amp;A1179,crm_orders!$B:$B,"&lt;"&amp;DATE(YEAR(A1179),MONTH(A1179)+1,1),crm_orders!$E:$E,B1179,crm_orders!$G:$G,C1179,crm_orders!$H:$H,D1179)</f>
        <v>0</v>
      </c>
      <c r="G1179" s="29">
        <f>SUMIFS(warehouse_shipments!$H:$H,warehouse_shipments!$C:$C,"&gt;="&amp;A1179,warehouse_shipments!$C:$C,"&lt;"&amp;DATE(YEAR(A1179),MONTH(A1179)+1,1),warehouse_shipments!$P:$P,B1179,warehouse_shipments!$Q:$Q,C1179,warehouse_shipments!$R:$R,D1179)</f>
        <v>0</v>
      </c>
      <c r="H1179" s="30">
        <f t="shared" si="1"/>
        <v>-203</v>
      </c>
      <c r="I1179" s="65">
        <f t="shared" si="2"/>
        <v>0</v>
      </c>
      <c r="J1179" s="30" t="s">
        <v>5311</v>
      </c>
    </row>
    <row r="1180" ht="15.75" customHeight="1">
      <c r="A1180" s="18">
        <v>46143.0</v>
      </c>
      <c r="B1180" s="17" t="s">
        <v>3934</v>
      </c>
      <c r="C1180" s="17" t="s">
        <v>63</v>
      </c>
      <c r="D1180" s="17" t="s">
        <v>190</v>
      </c>
      <c r="E1180" s="21">
        <v>188.0</v>
      </c>
      <c r="F1180" s="21">
        <f>SUMIFS(crm_orders!$J:$J,crm_orders!$B:$B,"&gt;="&amp;A1180,crm_orders!$B:$B,"&lt;"&amp;DATE(YEAR(A1180),MONTH(A1180)+1,1),crm_orders!$E:$E,B1180,crm_orders!$G:$G,C1180,crm_orders!$H:$H,D1180)</f>
        <v>0</v>
      </c>
      <c r="G1180" s="21">
        <f>SUMIFS(warehouse_shipments!$H:$H,warehouse_shipments!$C:$C,"&gt;="&amp;A1180,warehouse_shipments!$C:$C,"&lt;"&amp;DATE(YEAR(A1180),MONTH(A1180)+1,1),warehouse_shipments!$P:$P,B1180,warehouse_shipments!$Q:$Q,C1180,warehouse_shipments!$R:$R,D1180)</f>
        <v>0</v>
      </c>
      <c r="H1180" s="22">
        <f t="shared" si="1"/>
        <v>-188</v>
      </c>
      <c r="I1180" s="64">
        <f t="shared" si="2"/>
        <v>0</v>
      </c>
      <c r="J1180" s="22" t="s">
        <v>5309</v>
      </c>
    </row>
    <row r="1181" ht="15.75" customHeight="1">
      <c r="A1181" s="26">
        <v>46143.0</v>
      </c>
      <c r="B1181" s="25" t="s">
        <v>3934</v>
      </c>
      <c r="C1181" s="25" t="s">
        <v>63</v>
      </c>
      <c r="D1181" s="25" t="s">
        <v>102</v>
      </c>
      <c r="E1181" s="29">
        <v>329.0</v>
      </c>
      <c r="F1181" s="29">
        <f>SUMIFS(crm_orders!$J:$J,crm_orders!$B:$B,"&gt;="&amp;A1181,crm_orders!$B:$B,"&lt;"&amp;DATE(YEAR(A1181),MONTH(A1181)+1,1),crm_orders!$E:$E,B1181,crm_orders!$G:$G,C1181,crm_orders!$H:$H,D1181)</f>
        <v>0</v>
      </c>
      <c r="G1181" s="29">
        <f>SUMIFS(warehouse_shipments!$H:$H,warehouse_shipments!$C:$C,"&gt;="&amp;A1181,warehouse_shipments!$C:$C,"&lt;"&amp;DATE(YEAR(A1181),MONTH(A1181)+1,1),warehouse_shipments!$P:$P,B1181,warehouse_shipments!$Q:$Q,C1181,warehouse_shipments!$R:$R,D1181)</f>
        <v>0</v>
      </c>
      <c r="H1181" s="30">
        <f t="shared" si="1"/>
        <v>-329</v>
      </c>
      <c r="I1181" s="65">
        <f t="shared" si="2"/>
        <v>0</v>
      </c>
      <c r="J1181" s="30" t="s">
        <v>5306</v>
      </c>
    </row>
    <row r="1182" ht="15.75" customHeight="1">
      <c r="A1182" s="18">
        <v>46143.0</v>
      </c>
      <c r="B1182" s="17" t="s">
        <v>3934</v>
      </c>
      <c r="C1182" s="17" t="s">
        <v>63</v>
      </c>
      <c r="D1182" s="17" t="s">
        <v>92</v>
      </c>
      <c r="E1182" s="21">
        <v>484.0</v>
      </c>
      <c r="F1182" s="21">
        <f>SUMIFS(crm_orders!$J:$J,crm_orders!$B:$B,"&gt;="&amp;A1182,crm_orders!$B:$B,"&lt;"&amp;DATE(YEAR(A1182),MONTH(A1182)+1,1),crm_orders!$E:$E,B1182,crm_orders!$G:$G,C1182,crm_orders!$H:$H,D1182)</f>
        <v>0</v>
      </c>
      <c r="G1182" s="21">
        <f>SUMIFS(warehouse_shipments!$H:$H,warehouse_shipments!$C:$C,"&gt;="&amp;A1182,warehouse_shipments!$C:$C,"&lt;"&amp;DATE(YEAR(A1182),MONTH(A1182)+1,1),warehouse_shipments!$P:$P,B1182,warehouse_shipments!$Q:$Q,C1182,warehouse_shipments!$R:$R,D1182)</f>
        <v>0</v>
      </c>
      <c r="H1182" s="22">
        <f t="shared" si="1"/>
        <v>-484</v>
      </c>
      <c r="I1182" s="64">
        <f t="shared" si="2"/>
        <v>0</v>
      </c>
      <c r="J1182" s="22" t="s">
        <v>5307</v>
      </c>
    </row>
    <row r="1183" ht="15.75" customHeight="1">
      <c r="A1183" s="26">
        <v>46143.0</v>
      </c>
      <c r="B1183" s="25" t="s">
        <v>3934</v>
      </c>
      <c r="C1183" s="25" t="s">
        <v>63</v>
      </c>
      <c r="D1183" s="25" t="s">
        <v>81</v>
      </c>
      <c r="E1183" s="29">
        <v>292.0</v>
      </c>
      <c r="F1183" s="29">
        <f>SUMIFS(crm_orders!$J:$J,crm_orders!$B:$B,"&gt;="&amp;A1183,crm_orders!$B:$B,"&lt;"&amp;DATE(YEAR(A1183),MONTH(A1183)+1,1),crm_orders!$E:$E,B1183,crm_orders!$G:$G,C1183,crm_orders!$H:$H,D1183)</f>
        <v>0</v>
      </c>
      <c r="G1183" s="29">
        <f>SUMIFS(warehouse_shipments!$H:$H,warehouse_shipments!$C:$C,"&gt;="&amp;A1183,warehouse_shipments!$C:$C,"&lt;"&amp;DATE(YEAR(A1183),MONTH(A1183)+1,1),warehouse_shipments!$P:$P,B1183,warehouse_shipments!$Q:$Q,C1183,warehouse_shipments!$R:$R,D1183)</f>
        <v>0</v>
      </c>
      <c r="H1183" s="30">
        <f t="shared" si="1"/>
        <v>-292</v>
      </c>
      <c r="I1183" s="65">
        <f t="shared" si="2"/>
        <v>0</v>
      </c>
      <c r="J1183" s="30" t="s">
        <v>5308</v>
      </c>
    </row>
    <row r="1184" ht="15.75" customHeight="1">
      <c r="A1184" s="18">
        <v>46143.0</v>
      </c>
      <c r="B1184" s="17" t="s">
        <v>3934</v>
      </c>
      <c r="C1184" s="17" t="s">
        <v>63</v>
      </c>
      <c r="D1184" s="17" t="s">
        <v>85</v>
      </c>
      <c r="E1184" s="21">
        <v>172.0</v>
      </c>
      <c r="F1184" s="21">
        <f>SUMIFS(crm_orders!$J:$J,crm_orders!$B:$B,"&gt;="&amp;A1184,crm_orders!$B:$B,"&lt;"&amp;DATE(YEAR(A1184),MONTH(A1184)+1,1),crm_orders!$E:$E,B1184,crm_orders!$G:$G,C1184,crm_orders!$H:$H,D1184)</f>
        <v>0</v>
      </c>
      <c r="G1184" s="21">
        <f>SUMIFS(warehouse_shipments!$H:$H,warehouse_shipments!$C:$C,"&gt;="&amp;A1184,warehouse_shipments!$C:$C,"&lt;"&amp;DATE(YEAR(A1184),MONTH(A1184)+1,1),warehouse_shipments!$P:$P,B1184,warehouse_shipments!$Q:$Q,C1184,warehouse_shipments!$R:$R,D1184)</f>
        <v>6</v>
      </c>
      <c r="H1184" s="22">
        <f t="shared" si="1"/>
        <v>-172</v>
      </c>
      <c r="I1184" s="64">
        <f t="shared" si="2"/>
        <v>0</v>
      </c>
      <c r="J1184" s="22" t="s">
        <v>5308</v>
      </c>
    </row>
    <row r="1185" ht="15.75" customHeight="1">
      <c r="A1185" s="26">
        <v>46143.0</v>
      </c>
      <c r="B1185" s="25" t="s">
        <v>3934</v>
      </c>
      <c r="C1185" s="25" t="s">
        <v>63</v>
      </c>
      <c r="D1185" s="25" t="s">
        <v>106</v>
      </c>
      <c r="E1185" s="29">
        <v>377.0</v>
      </c>
      <c r="F1185" s="29">
        <f>SUMIFS(crm_orders!$J:$J,crm_orders!$B:$B,"&gt;="&amp;A1185,crm_orders!$B:$B,"&lt;"&amp;DATE(YEAR(A1185),MONTH(A1185)+1,1),crm_orders!$E:$E,B1185,crm_orders!$G:$G,C1185,crm_orders!$H:$H,D1185)</f>
        <v>0</v>
      </c>
      <c r="G1185" s="29">
        <f>SUMIFS(warehouse_shipments!$H:$H,warehouse_shipments!$C:$C,"&gt;="&amp;A1185,warehouse_shipments!$C:$C,"&lt;"&amp;DATE(YEAR(A1185),MONTH(A1185)+1,1),warehouse_shipments!$P:$P,B1185,warehouse_shipments!$Q:$Q,C1185,warehouse_shipments!$R:$R,D1185)</f>
        <v>0</v>
      </c>
      <c r="H1185" s="30">
        <f t="shared" si="1"/>
        <v>-377</v>
      </c>
      <c r="I1185" s="65">
        <f t="shared" si="2"/>
        <v>0</v>
      </c>
      <c r="J1185" s="30" t="s">
        <v>5308</v>
      </c>
    </row>
    <row r="1186" ht="15.75" customHeight="1">
      <c r="A1186" s="18">
        <v>46143.0</v>
      </c>
      <c r="B1186" s="17" t="s">
        <v>3934</v>
      </c>
      <c r="C1186" s="17" t="s">
        <v>67</v>
      </c>
      <c r="D1186" s="17" t="s">
        <v>154</v>
      </c>
      <c r="E1186" s="21">
        <v>320.0</v>
      </c>
      <c r="F1186" s="21">
        <f>SUMIFS(crm_orders!$J:$J,crm_orders!$B:$B,"&gt;="&amp;A1186,crm_orders!$B:$B,"&lt;"&amp;DATE(YEAR(A1186),MONTH(A1186)+1,1),crm_orders!$E:$E,B1186,crm_orders!$G:$G,C1186,crm_orders!$H:$H,D1186)</f>
        <v>0</v>
      </c>
      <c r="G1186" s="21">
        <f>SUMIFS(warehouse_shipments!$H:$H,warehouse_shipments!$C:$C,"&gt;="&amp;A1186,warehouse_shipments!$C:$C,"&lt;"&amp;DATE(YEAR(A1186),MONTH(A1186)+1,1),warehouse_shipments!$P:$P,B1186,warehouse_shipments!$Q:$Q,C1186,warehouse_shipments!$R:$R,D1186)</f>
        <v>0</v>
      </c>
      <c r="H1186" s="22">
        <f t="shared" si="1"/>
        <v>-320</v>
      </c>
      <c r="I1186" s="64">
        <f t="shared" si="2"/>
        <v>0</v>
      </c>
      <c r="J1186" s="22" t="s">
        <v>5309</v>
      </c>
    </row>
    <row r="1187" ht="15.75" customHeight="1">
      <c r="A1187" s="26">
        <v>46143.0</v>
      </c>
      <c r="B1187" s="25" t="s">
        <v>3934</v>
      </c>
      <c r="C1187" s="25" t="s">
        <v>67</v>
      </c>
      <c r="D1187" s="25" t="s">
        <v>162</v>
      </c>
      <c r="E1187" s="29">
        <v>249.0</v>
      </c>
      <c r="F1187" s="29">
        <f>SUMIFS(crm_orders!$J:$J,crm_orders!$B:$B,"&gt;="&amp;A1187,crm_orders!$B:$B,"&lt;"&amp;DATE(YEAR(A1187),MONTH(A1187)+1,1),crm_orders!$E:$E,B1187,crm_orders!$G:$G,C1187,crm_orders!$H:$H,D1187)</f>
        <v>0</v>
      </c>
      <c r="G1187" s="29">
        <f>SUMIFS(warehouse_shipments!$H:$H,warehouse_shipments!$C:$C,"&gt;="&amp;A1187,warehouse_shipments!$C:$C,"&lt;"&amp;DATE(YEAR(A1187),MONTH(A1187)+1,1),warehouse_shipments!$P:$P,B1187,warehouse_shipments!$Q:$Q,C1187,warehouse_shipments!$R:$R,D1187)</f>
        <v>0</v>
      </c>
      <c r="H1187" s="30">
        <f t="shared" si="1"/>
        <v>-249</v>
      </c>
      <c r="I1187" s="65">
        <f t="shared" si="2"/>
        <v>0</v>
      </c>
      <c r="J1187" s="30" t="s">
        <v>5308</v>
      </c>
    </row>
    <row r="1188" ht="15.75" customHeight="1">
      <c r="A1188" s="18">
        <v>46143.0</v>
      </c>
      <c r="B1188" s="17" t="s">
        <v>3934</v>
      </c>
      <c r="C1188" s="17" t="s">
        <v>67</v>
      </c>
      <c r="D1188" s="17" t="s">
        <v>71</v>
      </c>
      <c r="E1188" s="21">
        <v>89.0</v>
      </c>
      <c r="F1188" s="21">
        <f>SUMIFS(crm_orders!$J:$J,crm_orders!$B:$B,"&gt;="&amp;A1188,crm_orders!$B:$B,"&lt;"&amp;DATE(YEAR(A1188),MONTH(A1188)+1,1),crm_orders!$E:$E,B1188,crm_orders!$G:$G,C1188,crm_orders!$H:$H,D1188)</f>
        <v>0</v>
      </c>
      <c r="G1188" s="21">
        <f>SUMIFS(warehouse_shipments!$H:$H,warehouse_shipments!$C:$C,"&gt;="&amp;A1188,warehouse_shipments!$C:$C,"&lt;"&amp;DATE(YEAR(A1188),MONTH(A1188)+1,1),warehouse_shipments!$P:$P,B1188,warehouse_shipments!$Q:$Q,C1188,warehouse_shipments!$R:$R,D1188)</f>
        <v>0</v>
      </c>
      <c r="H1188" s="22">
        <f t="shared" si="1"/>
        <v>-89</v>
      </c>
      <c r="I1188" s="64">
        <f t="shared" si="2"/>
        <v>0</v>
      </c>
      <c r="J1188" s="22" t="s">
        <v>5310</v>
      </c>
    </row>
    <row r="1189" ht="15.75" customHeight="1">
      <c r="A1189" s="26">
        <v>46143.0</v>
      </c>
      <c r="B1189" s="25" t="s">
        <v>3934</v>
      </c>
      <c r="C1189" s="25" t="s">
        <v>67</v>
      </c>
      <c r="D1189" s="25" t="s">
        <v>81</v>
      </c>
      <c r="E1189" s="29">
        <v>379.0</v>
      </c>
      <c r="F1189" s="29">
        <f>SUMIFS(crm_orders!$J:$J,crm_orders!$B:$B,"&gt;="&amp;A1189,crm_orders!$B:$B,"&lt;"&amp;DATE(YEAR(A1189),MONTH(A1189)+1,1),crm_orders!$E:$E,B1189,crm_orders!$G:$G,C1189,crm_orders!$H:$H,D1189)</f>
        <v>0</v>
      </c>
      <c r="G1189" s="29">
        <f>SUMIFS(warehouse_shipments!$H:$H,warehouse_shipments!$C:$C,"&gt;="&amp;A1189,warehouse_shipments!$C:$C,"&lt;"&amp;DATE(YEAR(A1189),MONTH(A1189)+1,1),warehouse_shipments!$P:$P,B1189,warehouse_shipments!$Q:$Q,C1189,warehouse_shipments!$R:$R,D1189)</f>
        <v>0</v>
      </c>
      <c r="H1189" s="30">
        <f t="shared" si="1"/>
        <v>-379</v>
      </c>
      <c r="I1189" s="65">
        <f t="shared" si="2"/>
        <v>0</v>
      </c>
      <c r="J1189" s="30" t="s">
        <v>5310</v>
      </c>
    </row>
    <row r="1190" ht="15.75" customHeight="1">
      <c r="A1190" s="18">
        <v>46143.0</v>
      </c>
      <c r="B1190" s="17" t="s">
        <v>3934</v>
      </c>
      <c r="C1190" s="17" t="s">
        <v>67</v>
      </c>
      <c r="D1190" s="17" t="s">
        <v>156</v>
      </c>
      <c r="E1190" s="21">
        <v>339.0</v>
      </c>
      <c r="F1190" s="21">
        <f>SUMIFS(crm_orders!$J:$J,crm_orders!$B:$B,"&gt;="&amp;A1190,crm_orders!$B:$B,"&lt;"&amp;DATE(YEAR(A1190),MONTH(A1190)+1,1),crm_orders!$E:$E,B1190,crm_orders!$G:$G,C1190,crm_orders!$H:$H,D1190)</f>
        <v>0</v>
      </c>
      <c r="G1190" s="21">
        <f>SUMIFS(warehouse_shipments!$H:$H,warehouse_shipments!$C:$C,"&gt;="&amp;A1190,warehouse_shipments!$C:$C,"&lt;"&amp;DATE(YEAR(A1190),MONTH(A1190)+1,1),warehouse_shipments!$P:$P,B1190,warehouse_shipments!$Q:$Q,C1190,warehouse_shipments!$R:$R,D1190)</f>
        <v>0</v>
      </c>
      <c r="H1190" s="22">
        <f t="shared" si="1"/>
        <v>-339</v>
      </c>
      <c r="I1190" s="64">
        <f t="shared" si="2"/>
        <v>0</v>
      </c>
      <c r="J1190" s="22" t="s">
        <v>5306</v>
      </c>
    </row>
    <row r="1191" ht="15.75" customHeight="1">
      <c r="A1191" s="26">
        <v>46143.0</v>
      </c>
      <c r="B1191" s="25" t="s">
        <v>3934</v>
      </c>
      <c r="C1191" s="25" t="s">
        <v>67</v>
      </c>
      <c r="D1191" s="25" t="s">
        <v>78</v>
      </c>
      <c r="E1191" s="29">
        <v>418.0</v>
      </c>
      <c r="F1191" s="29">
        <f>SUMIFS(crm_orders!$J:$J,crm_orders!$B:$B,"&gt;="&amp;A1191,crm_orders!$B:$B,"&lt;"&amp;DATE(YEAR(A1191),MONTH(A1191)+1,1),crm_orders!$E:$E,B1191,crm_orders!$G:$G,C1191,crm_orders!$H:$H,D1191)</f>
        <v>0</v>
      </c>
      <c r="G1191" s="29">
        <f>SUMIFS(warehouse_shipments!$H:$H,warehouse_shipments!$C:$C,"&gt;="&amp;A1191,warehouse_shipments!$C:$C,"&lt;"&amp;DATE(YEAR(A1191),MONTH(A1191)+1,1),warehouse_shipments!$P:$P,B1191,warehouse_shipments!$Q:$Q,C1191,warehouse_shipments!$R:$R,D1191)</f>
        <v>0</v>
      </c>
      <c r="H1191" s="30">
        <f t="shared" si="1"/>
        <v>-418</v>
      </c>
      <c r="I1191" s="65">
        <f t="shared" si="2"/>
        <v>0</v>
      </c>
      <c r="J1191" s="30" t="s">
        <v>5309</v>
      </c>
    </row>
    <row r="1192" ht="15.75" customHeight="1">
      <c r="A1192" s="18">
        <v>46143.0</v>
      </c>
      <c r="B1192" s="17" t="s">
        <v>3934</v>
      </c>
      <c r="C1192" s="17" t="s">
        <v>67</v>
      </c>
      <c r="D1192" s="17" t="s">
        <v>68</v>
      </c>
      <c r="E1192" s="21">
        <v>291.0</v>
      </c>
      <c r="F1192" s="21">
        <f>SUMIFS(crm_orders!$J:$J,crm_orders!$B:$B,"&gt;="&amp;A1192,crm_orders!$B:$B,"&lt;"&amp;DATE(YEAR(A1192),MONTH(A1192)+1,1),crm_orders!$E:$E,B1192,crm_orders!$G:$G,C1192,crm_orders!$H:$H,D1192)</f>
        <v>0</v>
      </c>
      <c r="G1192" s="21">
        <f>SUMIFS(warehouse_shipments!$H:$H,warehouse_shipments!$C:$C,"&gt;="&amp;A1192,warehouse_shipments!$C:$C,"&lt;"&amp;DATE(YEAR(A1192),MONTH(A1192)+1,1),warehouse_shipments!$P:$P,B1192,warehouse_shipments!$Q:$Q,C1192,warehouse_shipments!$R:$R,D1192)</f>
        <v>0</v>
      </c>
      <c r="H1192" s="22">
        <f t="shared" si="1"/>
        <v>-291</v>
      </c>
      <c r="I1192" s="64">
        <f t="shared" si="2"/>
        <v>0</v>
      </c>
      <c r="J1192" s="22" t="s">
        <v>5311</v>
      </c>
    </row>
    <row r="1193" ht="15.75" customHeight="1">
      <c r="A1193" s="26">
        <v>46143.0</v>
      </c>
      <c r="B1193" s="25" t="s">
        <v>3934</v>
      </c>
      <c r="C1193" s="25" t="s">
        <v>67</v>
      </c>
      <c r="D1193" s="25" t="s">
        <v>74</v>
      </c>
      <c r="E1193" s="29">
        <v>401.0</v>
      </c>
      <c r="F1193" s="29">
        <f>SUMIFS(crm_orders!$J:$J,crm_orders!$B:$B,"&gt;="&amp;A1193,crm_orders!$B:$B,"&lt;"&amp;DATE(YEAR(A1193),MONTH(A1193)+1,1),crm_orders!$E:$E,B1193,crm_orders!$G:$G,C1193,crm_orders!$H:$H,D1193)</f>
        <v>0</v>
      </c>
      <c r="G1193" s="29">
        <f>SUMIFS(warehouse_shipments!$H:$H,warehouse_shipments!$C:$C,"&gt;="&amp;A1193,warehouse_shipments!$C:$C,"&lt;"&amp;DATE(YEAR(A1193),MONTH(A1193)+1,1),warehouse_shipments!$P:$P,B1193,warehouse_shipments!$Q:$Q,C1193,warehouse_shipments!$R:$R,D1193)</f>
        <v>0</v>
      </c>
      <c r="H1193" s="30">
        <f t="shared" si="1"/>
        <v>-401</v>
      </c>
      <c r="I1193" s="65">
        <f t="shared" si="2"/>
        <v>0</v>
      </c>
      <c r="J1193" s="30" t="s">
        <v>5307</v>
      </c>
    </row>
    <row r="1194" ht="15.75" customHeight="1">
      <c r="A1194" s="18">
        <v>46143.0</v>
      </c>
      <c r="B1194" s="17" t="s">
        <v>3934</v>
      </c>
      <c r="C1194" s="17" t="s">
        <v>89</v>
      </c>
      <c r="D1194" s="17" t="s">
        <v>102</v>
      </c>
      <c r="E1194" s="21">
        <v>175.0</v>
      </c>
      <c r="F1194" s="21">
        <f>SUMIFS(crm_orders!$J:$J,crm_orders!$B:$B,"&gt;="&amp;A1194,crm_orders!$B:$B,"&lt;"&amp;DATE(YEAR(A1194),MONTH(A1194)+1,1),crm_orders!$E:$E,B1194,crm_orders!$G:$G,C1194,crm_orders!$H:$H,D1194)</f>
        <v>0</v>
      </c>
      <c r="G1194" s="21">
        <f>SUMIFS(warehouse_shipments!$H:$H,warehouse_shipments!$C:$C,"&gt;="&amp;A1194,warehouse_shipments!$C:$C,"&lt;"&amp;DATE(YEAR(A1194),MONTH(A1194)+1,1),warehouse_shipments!$P:$P,B1194,warehouse_shipments!$Q:$Q,C1194,warehouse_shipments!$R:$R,D1194)</f>
        <v>48</v>
      </c>
      <c r="H1194" s="22">
        <f t="shared" si="1"/>
        <v>-175</v>
      </c>
      <c r="I1194" s="64">
        <f t="shared" si="2"/>
        <v>0</v>
      </c>
      <c r="J1194" s="22" t="s">
        <v>5310</v>
      </c>
    </row>
    <row r="1195" ht="15.75" customHeight="1">
      <c r="A1195" s="26">
        <v>46143.0</v>
      </c>
      <c r="B1195" s="25" t="s">
        <v>3934</v>
      </c>
      <c r="C1195" s="25" t="s">
        <v>89</v>
      </c>
      <c r="D1195" s="25" t="s">
        <v>108</v>
      </c>
      <c r="E1195" s="29">
        <v>389.0</v>
      </c>
      <c r="F1195" s="29">
        <f>SUMIFS(crm_orders!$J:$J,crm_orders!$B:$B,"&gt;="&amp;A1195,crm_orders!$B:$B,"&lt;"&amp;DATE(YEAR(A1195),MONTH(A1195)+1,1),crm_orders!$E:$E,B1195,crm_orders!$G:$G,C1195,crm_orders!$H:$H,D1195)</f>
        <v>0</v>
      </c>
      <c r="G1195" s="29">
        <f>SUMIFS(warehouse_shipments!$H:$H,warehouse_shipments!$C:$C,"&gt;="&amp;A1195,warehouse_shipments!$C:$C,"&lt;"&amp;DATE(YEAR(A1195),MONTH(A1195)+1,1),warehouse_shipments!$P:$P,B1195,warehouse_shipments!$Q:$Q,C1195,warehouse_shipments!$R:$R,D1195)</f>
        <v>0</v>
      </c>
      <c r="H1195" s="30">
        <f t="shared" si="1"/>
        <v>-389</v>
      </c>
      <c r="I1195" s="65">
        <f t="shared" si="2"/>
        <v>0</v>
      </c>
      <c r="J1195" s="30" t="s">
        <v>5310</v>
      </c>
    </row>
    <row r="1196" ht="15.75" customHeight="1">
      <c r="A1196" s="18">
        <v>46143.0</v>
      </c>
      <c r="B1196" s="17" t="s">
        <v>3934</v>
      </c>
      <c r="C1196" s="17" t="s">
        <v>89</v>
      </c>
      <c r="D1196" s="17" t="s">
        <v>78</v>
      </c>
      <c r="E1196" s="21">
        <v>124.0</v>
      </c>
      <c r="F1196" s="21">
        <f>SUMIFS(crm_orders!$J:$J,crm_orders!$B:$B,"&gt;="&amp;A1196,crm_orders!$B:$B,"&lt;"&amp;DATE(YEAR(A1196),MONTH(A1196)+1,1),crm_orders!$E:$E,B1196,crm_orders!$G:$G,C1196,crm_orders!$H:$H,D1196)</f>
        <v>0</v>
      </c>
      <c r="G1196" s="21">
        <f>SUMIFS(warehouse_shipments!$H:$H,warehouse_shipments!$C:$C,"&gt;="&amp;A1196,warehouse_shipments!$C:$C,"&lt;"&amp;DATE(YEAR(A1196),MONTH(A1196)+1,1),warehouse_shipments!$P:$P,B1196,warehouse_shipments!$Q:$Q,C1196,warehouse_shipments!$R:$R,D1196)</f>
        <v>0</v>
      </c>
      <c r="H1196" s="22">
        <f t="shared" si="1"/>
        <v>-124</v>
      </c>
      <c r="I1196" s="64">
        <f t="shared" si="2"/>
        <v>0</v>
      </c>
      <c r="J1196" s="22" t="s">
        <v>5306</v>
      </c>
    </row>
    <row r="1197" ht="15.75" customHeight="1">
      <c r="A1197" s="26">
        <v>46143.0</v>
      </c>
      <c r="B1197" s="25" t="s">
        <v>3934</v>
      </c>
      <c r="C1197" s="25" t="s">
        <v>89</v>
      </c>
      <c r="D1197" s="25" t="s">
        <v>190</v>
      </c>
      <c r="E1197" s="29">
        <v>375.0</v>
      </c>
      <c r="F1197" s="29">
        <f>SUMIFS(crm_orders!$J:$J,crm_orders!$B:$B,"&gt;="&amp;A1197,crm_orders!$B:$B,"&lt;"&amp;DATE(YEAR(A1197),MONTH(A1197)+1,1),crm_orders!$E:$E,B1197,crm_orders!$G:$G,C1197,crm_orders!$H:$H,D1197)</f>
        <v>0</v>
      </c>
      <c r="G1197" s="29">
        <f>SUMIFS(warehouse_shipments!$H:$H,warehouse_shipments!$C:$C,"&gt;="&amp;A1197,warehouse_shipments!$C:$C,"&lt;"&amp;DATE(YEAR(A1197),MONTH(A1197)+1,1),warehouse_shipments!$P:$P,B1197,warehouse_shipments!$Q:$Q,C1197,warehouse_shipments!$R:$R,D1197)</f>
        <v>36</v>
      </c>
      <c r="H1197" s="30">
        <f t="shared" si="1"/>
        <v>-375</v>
      </c>
      <c r="I1197" s="65">
        <f t="shared" si="2"/>
        <v>0</v>
      </c>
      <c r="J1197" s="30" t="s">
        <v>5306</v>
      </c>
    </row>
    <row r="1198" ht="15.75" customHeight="1">
      <c r="A1198" s="18">
        <v>46143.0</v>
      </c>
      <c r="B1198" s="17" t="s">
        <v>3934</v>
      </c>
      <c r="C1198" s="17" t="s">
        <v>89</v>
      </c>
      <c r="D1198" s="17" t="s">
        <v>71</v>
      </c>
      <c r="E1198" s="21">
        <v>162.0</v>
      </c>
      <c r="F1198" s="21">
        <f>SUMIFS(crm_orders!$J:$J,crm_orders!$B:$B,"&gt;="&amp;A1198,crm_orders!$B:$B,"&lt;"&amp;DATE(YEAR(A1198),MONTH(A1198)+1,1),crm_orders!$E:$E,B1198,crm_orders!$G:$G,C1198,crm_orders!$H:$H,D1198)</f>
        <v>0</v>
      </c>
      <c r="G1198" s="21">
        <f>SUMIFS(warehouse_shipments!$H:$H,warehouse_shipments!$C:$C,"&gt;="&amp;A1198,warehouse_shipments!$C:$C,"&lt;"&amp;DATE(YEAR(A1198),MONTH(A1198)+1,1),warehouse_shipments!$P:$P,B1198,warehouse_shipments!$Q:$Q,C1198,warehouse_shipments!$R:$R,D1198)</f>
        <v>0</v>
      </c>
      <c r="H1198" s="22">
        <f t="shared" si="1"/>
        <v>-162</v>
      </c>
      <c r="I1198" s="64">
        <f t="shared" si="2"/>
        <v>0</v>
      </c>
      <c r="J1198" s="22" t="s">
        <v>5308</v>
      </c>
    </row>
    <row r="1199" ht="15.75" customHeight="1">
      <c r="A1199" s="26">
        <v>46143.0</v>
      </c>
      <c r="B1199" s="25" t="s">
        <v>3934</v>
      </c>
      <c r="C1199" s="25" t="s">
        <v>89</v>
      </c>
      <c r="D1199" s="25" t="s">
        <v>95</v>
      </c>
      <c r="E1199" s="29">
        <v>463.0</v>
      </c>
      <c r="F1199" s="29">
        <f>SUMIFS(crm_orders!$J:$J,crm_orders!$B:$B,"&gt;="&amp;A1199,crm_orders!$B:$B,"&lt;"&amp;DATE(YEAR(A1199),MONTH(A1199)+1,1),crm_orders!$E:$E,B1199,crm_orders!$G:$G,C1199,crm_orders!$H:$H,D1199)</f>
        <v>0</v>
      </c>
      <c r="G1199" s="29">
        <f>SUMIFS(warehouse_shipments!$H:$H,warehouse_shipments!$C:$C,"&gt;="&amp;A1199,warehouse_shipments!$C:$C,"&lt;"&amp;DATE(YEAR(A1199),MONTH(A1199)+1,1),warehouse_shipments!$P:$P,B1199,warehouse_shipments!$Q:$Q,C1199,warehouse_shipments!$R:$R,D1199)</f>
        <v>0</v>
      </c>
      <c r="H1199" s="30">
        <f t="shared" si="1"/>
        <v>-463</v>
      </c>
      <c r="I1199" s="65">
        <f t="shared" si="2"/>
        <v>0</v>
      </c>
      <c r="J1199" s="30" t="s">
        <v>5306</v>
      </c>
    </row>
    <row r="1200" ht="15.75" customHeight="1">
      <c r="A1200" s="18">
        <v>46143.0</v>
      </c>
      <c r="B1200" s="17" t="s">
        <v>3934</v>
      </c>
      <c r="C1200" s="17" t="s">
        <v>89</v>
      </c>
      <c r="D1200" s="17" t="s">
        <v>115</v>
      </c>
      <c r="E1200" s="21">
        <v>178.0</v>
      </c>
      <c r="F1200" s="21">
        <f>SUMIFS(crm_orders!$J:$J,crm_orders!$B:$B,"&gt;="&amp;A1200,crm_orders!$B:$B,"&lt;"&amp;DATE(YEAR(A1200),MONTH(A1200)+1,1),crm_orders!$E:$E,B1200,crm_orders!$G:$G,C1200,crm_orders!$H:$H,D1200)</f>
        <v>0</v>
      </c>
      <c r="G1200" s="21">
        <f>SUMIFS(warehouse_shipments!$H:$H,warehouse_shipments!$C:$C,"&gt;="&amp;A1200,warehouse_shipments!$C:$C,"&lt;"&amp;DATE(YEAR(A1200),MONTH(A1200)+1,1),warehouse_shipments!$P:$P,B1200,warehouse_shipments!$Q:$Q,C1200,warehouse_shipments!$R:$R,D1200)</f>
        <v>0</v>
      </c>
      <c r="H1200" s="22">
        <f t="shared" si="1"/>
        <v>-178</v>
      </c>
      <c r="I1200" s="64">
        <f t="shared" si="2"/>
        <v>0</v>
      </c>
      <c r="J1200" s="22" t="s">
        <v>5308</v>
      </c>
    </row>
    <row r="1201" ht="15.75" customHeight="1">
      <c r="A1201" s="26">
        <v>46143.0</v>
      </c>
      <c r="B1201" s="25" t="s">
        <v>3934</v>
      </c>
      <c r="C1201" s="25" t="s">
        <v>89</v>
      </c>
      <c r="D1201" s="25" t="s">
        <v>68</v>
      </c>
      <c r="E1201" s="29">
        <v>400.0</v>
      </c>
      <c r="F1201" s="29">
        <f>SUMIFS(crm_orders!$J:$J,crm_orders!$B:$B,"&gt;="&amp;A1201,crm_orders!$B:$B,"&lt;"&amp;DATE(YEAR(A1201),MONTH(A1201)+1,1),crm_orders!$E:$E,B1201,crm_orders!$G:$G,C1201,crm_orders!$H:$H,D1201)</f>
        <v>0</v>
      </c>
      <c r="G1201" s="29">
        <f>SUMIFS(warehouse_shipments!$H:$H,warehouse_shipments!$C:$C,"&gt;="&amp;A1201,warehouse_shipments!$C:$C,"&lt;"&amp;DATE(YEAR(A1201),MONTH(A1201)+1,1),warehouse_shipments!$P:$P,B1201,warehouse_shipments!$Q:$Q,C1201,warehouse_shipments!$R:$R,D1201)</f>
        <v>0</v>
      </c>
      <c r="H1201" s="30">
        <f t="shared" si="1"/>
        <v>-400</v>
      </c>
      <c r="I1201" s="65">
        <f t="shared" si="2"/>
        <v>0</v>
      </c>
      <c r="J1201" s="30" t="s">
        <v>5307</v>
      </c>
    </row>
    <row r="1202" ht="15.75" customHeight="1">
      <c r="A1202" s="18">
        <v>46143.0</v>
      </c>
      <c r="B1202" s="17" t="s">
        <v>4020</v>
      </c>
      <c r="C1202" s="17" t="s">
        <v>63</v>
      </c>
      <c r="D1202" s="17" t="s">
        <v>68</v>
      </c>
      <c r="E1202" s="21">
        <v>393.0</v>
      </c>
      <c r="F1202" s="21">
        <f>SUMIFS(crm_orders!$J:$J,crm_orders!$B:$B,"&gt;="&amp;A1202,crm_orders!$B:$B,"&lt;"&amp;DATE(YEAR(A1202),MONTH(A1202)+1,1),crm_orders!$E:$E,B1202,crm_orders!$G:$G,C1202,crm_orders!$H:$H,D1202)</f>
        <v>0</v>
      </c>
      <c r="G1202" s="21">
        <f>SUMIFS(warehouse_shipments!$H:$H,warehouse_shipments!$C:$C,"&gt;="&amp;A1202,warehouse_shipments!$C:$C,"&lt;"&amp;DATE(YEAR(A1202),MONTH(A1202)+1,1),warehouse_shipments!$P:$P,B1202,warehouse_shipments!$Q:$Q,C1202,warehouse_shipments!$R:$R,D1202)</f>
        <v>0</v>
      </c>
      <c r="H1202" s="22">
        <f t="shared" si="1"/>
        <v>-393</v>
      </c>
      <c r="I1202" s="64">
        <f t="shared" si="2"/>
        <v>0</v>
      </c>
      <c r="J1202" s="22" t="s">
        <v>5307</v>
      </c>
    </row>
    <row r="1203" ht="15.75" customHeight="1">
      <c r="A1203" s="26">
        <v>46143.0</v>
      </c>
      <c r="B1203" s="25" t="s">
        <v>4020</v>
      </c>
      <c r="C1203" s="25" t="s">
        <v>63</v>
      </c>
      <c r="D1203" s="25" t="s">
        <v>156</v>
      </c>
      <c r="E1203" s="29">
        <v>206.0</v>
      </c>
      <c r="F1203" s="29">
        <f>SUMIFS(crm_orders!$J:$J,crm_orders!$B:$B,"&gt;="&amp;A1203,crm_orders!$B:$B,"&lt;"&amp;DATE(YEAR(A1203),MONTH(A1203)+1,1),crm_orders!$E:$E,B1203,crm_orders!$G:$G,C1203,crm_orders!$H:$H,D1203)</f>
        <v>0</v>
      </c>
      <c r="G1203" s="29">
        <f>SUMIFS(warehouse_shipments!$H:$H,warehouse_shipments!$C:$C,"&gt;="&amp;A1203,warehouse_shipments!$C:$C,"&lt;"&amp;DATE(YEAR(A1203),MONTH(A1203)+1,1),warehouse_shipments!$P:$P,B1203,warehouse_shipments!$Q:$Q,C1203,warehouse_shipments!$R:$R,D1203)</f>
        <v>0</v>
      </c>
      <c r="H1203" s="30">
        <f t="shared" si="1"/>
        <v>-206</v>
      </c>
      <c r="I1203" s="65">
        <f t="shared" si="2"/>
        <v>0</v>
      </c>
      <c r="J1203" s="30" t="s">
        <v>5309</v>
      </c>
    </row>
    <row r="1204" ht="15.75" customHeight="1">
      <c r="A1204" s="18">
        <v>46143.0</v>
      </c>
      <c r="B1204" s="17" t="s">
        <v>4020</v>
      </c>
      <c r="C1204" s="17" t="s">
        <v>63</v>
      </c>
      <c r="D1204" s="17" t="s">
        <v>74</v>
      </c>
      <c r="E1204" s="21">
        <v>456.0</v>
      </c>
      <c r="F1204" s="21">
        <f>SUMIFS(crm_orders!$J:$J,crm_orders!$B:$B,"&gt;="&amp;A1204,crm_orders!$B:$B,"&lt;"&amp;DATE(YEAR(A1204),MONTH(A1204)+1,1),crm_orders!$E:$E,B1204,crm_orders!$G:$G,C1204,crm_orders!$H:$H,D1204)</f>
        <v>0</v>
      </c>
      <c r="G1204" s="21">
        <f>SUMIFS(warehouse_shipments!$H:$H,warehouse_shipments!$C:$C,"&gt;="&amp;A1204,warehouse_shipments!$C:$C,"&lt;"&amp;DATE(YEAR(A1204),MONTH(A1204)+1,1),warehouse_shipments!$P:$P,B1204,warehouse_shipments!$Q:$Q,C1204,warehouse_shipments!$R:$R,D1204)</f>
        <v>0</v>
      </c>
      <c r="H1204" s="22">
        <f t="shared" si="1"/>
        <v>-456</v>
      </c>
      <c r="I1204" s="64">
        <f t="shared" si="2"/>
        <v>0</v>
      </c>
      <c r="J1204" s="22" t="s">
        <v>5307</v>
      </c>
    </row>
    <row r="1205" ht="15.75" customHeight="1">
      <c r="A1205" s="26">
        <v>46143.0</v>
      </c>
      <c r="B1205" s="25" t="s">
        <v>4020</v>
      </c>
      <c r="C1205" s="25" t="s">
        <v>63</v>
      </c>
      <c r="D1205" s="25" t="s">
        <v>78</v>
      </c>
      <c r="E1205" s="29">
        <v>199.0</v>
      </c>
      <c r="F1205" s="29">
        <f>SUMIFS(crm_orders!$J:$J,crm_orders!$B:$B,"&gt;="&amp;A1205,crm_orders!$B:$B,"&lt;"&amp;DATE(YEAR(A1205),MONTH(A1205)+1,1),crm_orders!$E:$E,B1205,crm_orders!$G:$G,C1205,crm_orders!$H:$H,D1205)</f>
        <v>0</v>
      </c>
      <c r="G1205" s="29">
        <f>SUMIFS(warehouse_shipments!$H:$H,warehouse_shipments!$C:$C,"&gt;="&amp;A1205,warehouse_shipments!$C:$C,"&lt;"&amp;DATE(YEAR(A1205),MONTH(A1205)+1,1),warehouse_shipments!$P:$P,B1205,warehouse_shipments!$Q:$Q,C1205,warehouse_shipments!$R:$R,D1205)</f>
        <v>0</v>
      </c>
      <c r="H1205" s="30">
        <f t="shared" si="1"/>
        <v>-199</v>
      </c>
      <c r="I1205" s="65">
        <f t="shared" si="2"/>
        <v>0</v>
      </c>
      <c r="J1205" s="30" t="s">
        <v>5306</v>
      </c>
    </row>
    <row r="1206" ht="15.75" customHeight="1">
      <c r="A1206" s="18">
        <v>46143.0</v>
      </c>
      <c r="B1206" s="17" t="s">
        <v>4020</v>
      </c>
      <c r="C1206" s="17" t="s">
        <v>63</v>
      </c>
      <c r="D1206" s="17" t="s">
        <v>90</v>
      </c>
      <c r="E1206" s="21">
        <v>209.0</v>
      </c>
      <c r="F1206" s="21">
        <f>SUMIFS(crm_orders!$J:$J,crm_orders!$B:$B,"&gt;="&amp;A1206,crm_orders!$B:$B,"&lt;"&amp;DATE(YEAR(A1206),MONTH(A1206)+1,1),crm_orders!$E:$E,B1206,crm_orders!$G:$G,C1206,crm_orders!$H:$H,D1206)</f>
        <v>0</v>
      </c>
      <c r="G1206" s="21">
        <f>SUMIFS(warehouse_shipments!$H:$H,warehouse_shipments!$C:$C,"&gt;="&amp;A1206,warehouse_shipments!$C:$C,"&lt;"&amp;DATE(YEAR(A1206),MONTH(A1206)+1,1),warehouse_shipments!$P:$P,B1206,warehouse_shipments!$Q:$Q,C1206,warehouse_shipments!$R:$R,D1206)</f>
        <v>0</v>
      </c>
      <c r="H1206" s="22">
        <f t="shared" si="1"/>
        <v>-209</v>
      </c>
      <c r="I1206" s="64">
        <f t="shared" si="2"/>
        <v>0</v>
      </c>
      <c r="J1206" s="22" t="s">
        <v>5311</v>
      </c>
    </row>
    <row r="1207" ht="15.75" customHeight="1">
      <c r="A1207" s="26">
        <v>46143.0</v>
      </c>
      <c r="B1207" s="25" t="s">
        <v>4020</v>
      </c>
      <c r="C1207" s="25" t="s">
        <v>63</v>
      </c>
      <c r="D1207" s="25" t="s">
        <v>123</v>
      </c>
      <c r="E1207" s="29">
        <v>154.0</v>
      </c>
      <c r="F1207" s="29">
        <f>SUMIFS(crm_orders!$J:$J,crm_orders!$B:$B,"&gt;="&amp;A1207,crm_orders!$B:$B,"&lt;"&amp;DATE(YEAR(A1207),MONTH(A1207)+1,1),crm_orders!$E:$E,B1207,crm_orders!$G:$G,C1207,crm_orders!$H:$H,D1207)</f>
        <v>0</v>
      </c>
      <c r="G1207" s="29">
        <f>SUMIFS(warehouse_shipments!$H:$H,warehouse_shipments!$C:$C,"&gt;="&amp;A1207,warehouse_shipments!$C:$C,"&lt;"&amp;DATE(YEAR(A1207),MONTH(A1207)+1,1),warehouse_shipments!$P:$P,B1207,warehouse_shipments!$Q:$Q,C1207,warehouse_shipments!$R:$R,D1207)</f>
        <v>0</v>
      </c>
      <c r="H1207" s="30">
        <f t="shared" si="1"/>
        <v>-154</v>
      </c>
      <c r="I1207" s="65">
        <f t="shared" si="2"/>
        <v>0</v>
      </c>
      <c r="J1207" s="30" t="s">
        <v>5309</v>
      </c>
    </row>
    <row r="1208" ht="15.75" customHeight="1">
      <c r="A1208" s="18">
        <v>46143.0</v>
      </c>
      <c r="B1208" s="17" t="s">
        <v>4020</v>
      </c>
      <c r="C1208" s="17" t="s">
        <v>63</v>
      </c>
      <c r="D1208" s="17" t="s">
        <v>102</v>
      </c>
      <c r="E1208" s="21">
        <v>513.0</v>
      </c>
      <c r="F1208" s="21">
        <f>SUMIFS(crm_orders!$J:$J,crm_orders!$B:$B,"&gt;="&amp;A1208,crm_orders!$B:$B,"&lt;"&amp;DATE(YEAR(A1208),MONTH(A1208)+1,1),crm_orders!$E:$E,B1208,crm_orders!$G:$G,C1208,crm_orders!$H:$H,D1208)</f>
        <v>0</v>
      </c>
      <c r="G1208" s="21">
        <f>SUMIFS(warehouse_shipments!$H:$H,warehouse_shipments!$C:$C,"&gt;="&amp;A1208,warehouse_shipments!$C:$C,"&lt;"&amp;DATE(YEAR(A1208),MONTH(A1208)+1,1),warehouse_shipments!$P:$P,B1208,warehouse_shipments!$Q:$Q,C1208,warehouse_shipments!$R:$R,D1208)</f>
        <v>0</v>
      </c>
      <c r="H1208" s="22">
        <f t="shared" si="1"/>
        <v>-513</v>
      </c>
      <c r="I1208" s="64">
        <f t="shared" si="2"/>
        <v>0</v>
      </c>
      <c r="J1208" s="22" t="s">
        <v>5308</v>
      </c>
    </row>
    <row r="1209" ht="15.75" customHeight="1">
      <c r="A1209" s="26">
        <v>46143.0</v>
      </c>
      <c r="B1209" s="25" t="s">
        <v>4020</v>
      </c>
      <c r="C1209" s="25" t="s">
        <v>63</v>
      </c>
      <c r="D1209" s="25" t="s">
        <v>115</v>
      </c>
      <c r="E1209" s="29">
        <v>398.0</v>
      </c>
      <c r="F1209" s="29">
        <f>SUMIFS(crm_orders!$J:$J,crm_orders!$B:$B,"&gt;="&amp;A1209,crm_orders!$B:$B,"&lt;"&amp;DATE(YEAR(A1209),MONTH(A1209)+1,1),crm_orders!$E:$E,B1209,crm_orders!$G:$G,C1209,crm_orders!$H:$H,D1209)</f>
        <v>0</v>
      </c>
      <c r="G1209" s="29">
        <f>SUMIFS(warehouse_shipments!$H:$H,warehouse_shipments!$C:$C,"&gt;="&amp;A1209,warehouse_shipments!$C:$C,"&lt;"&amp;DATE(YEAR(A1209),MONTH(A1209)+1,1),warehouse_shipments!$P:$P,B1209,warehouse_shipments!$Q:$Q,C1209,warehouse_shipments!$R:$R,D1209)</f>
        <v>0</v>
      </c>
      <c r="H1209" s="30">
        <f t="shared" si="1"/>
        <v>-398</v>
      </c>
      <c r="I1209" s="65">
        <f t="shared" si="2"/>
        <v>0</v>
      </c>
      <c r="J1209" s="30" t="s">
        <v>5311</v>
      </c>
    </row>
    <row r="1210" ht="15.75" customHeight="1">
      <c r="A1210" s="18">
        <v>46143.0</v>
      </c>
      <c r="B1210" s="17" t="s">
        <v>4020</v>
      </c>
      <c r="C1210" s="17" t="s">
        <v>67</v>
      </c>
      <c r="D1210" s="17" t="s">
        <v>64</v>
      </c>
      <c r="E1210" s="21">
        <v>364.0</v>
      </c>
      <c r="F1210" s="21">
        <f>SUMIFS(crm_orders!$J:$J,crm_orders!$B:$B,"&gt;="&amp;A1210,crm_orders!$B:$B,"&lt;"&amp;DATE(YEAR(A1210),MONTH(A1210)+1,1),crm_orders!$E:$E,B1210,crm_orders!$G:$G,C1210,crm_orders!$H:$H,D1210)</f>
        <v>0</v>
      </c>
      <c r="G1210" s="21">
        <f>SUMIFS(warehouse_shipments!$H:$H,warehouse_shipments!$C:$C,"&gt;="&amp;A1210,warehouse_shipments!$C:$C,"&lt;"&amp;DATE(YEAR(A1210),MONTH(A1210)+1,1),warehouse_shipments!$P:$P,B1210,warehouse_shipments!$Q:$Q,C1210,warehouse_shipments!$R:$R,D1210)</f>
        <v>0</v>
      </c>
      <c r="H1210" s="22">
        <f t="shared" si="1"/>
        <v>-364</v>
      </c>
      <c r="I1210" s="64">
        <f t="shared" si="2"/>
        <v>0</v>
      </c>
      <c r="J1210" s="22" t="s">
        <v>5307</v>
      </c>
    </row>
    <row r="1211" ht="15.75" customHeight="1">
      <c r="A1211" s="26">
        <v>46143.0</v>
      </c>
      <c r="B1211" s="25" t="s">
        <v>4020</v>
      </c>
      <c r="C1211" s="25" t="s">
        <v>67</v>
      </c>
      <c r="D1211" s="25" t="s">
        <v>102</v>
      </c>
      <c r="E1211" s="29">
        <v>212.0</v>
      </c>
      <c r="F1211" s="29">
        <f>SUMIFS(crm_orders!$J:$J,crm_orders!$B:$B,"&gt;="&amp;A1211,crm_orders!$B:$B,"&lt;"&amp;DATE(YEAR(A1211),MONTH(A1211)+1,1),crm_orders!$E:$E,B1211,crm_orders!$G:$G,C1211,crm_orders!$H:$H,D1211)</f>
        <v>0</v>
      </c>
      <c r="G1211" s="29">
        <f>SUMIFS(warehouse_shipments!$H:$H,warehouse_shipments!$C:$C,"&gt;="&amp;A1211,warehouse_shipments!$C:$C,"&lt;"&amp;DATE(YEAR(A1211),MONTH(A1211)+1,1),warehouse_shipments!$P:$P,B1211,warehouse_shipments!$Q:$Q,C1211,warehouse_shipments!$R:$R,D1211)</f>
        <v>18</v>
      </c>
      <c r="H1211" s="30">
        <f t="shared" si="1"/>
        <v>-212</v>
      </c>
      <c r="I1211" s="65">
        <f t="shared" si="2"/>
        <v>0</v>
      </c>
      <c r="J1211" s="30" t="s">
        <v>5311</v>
      </c>
    </row>
    <row r="1212" ht="15.75" customHeight="1">
      <c r="A1212" s="18">
        <v>46143.0</v>
      </c>
      <c r="B1212" s="17" t="s">
        <v>4020</v>
      </c>
      <c r="C1212" s="17" t="s">
        <v>67</v>
      </c>
      <c r="D1212" s="17" t="s">
        <v>95</v>
      </c>
      <c r="E1212" s="21">
        <v>240.0</v>
      </c>
      <c r="F1212" s="21">
        <f>SUMIFS(crm_orders!$J:$J,crm_orders!$B:$B,"&gt;="&amp;A1212,crm_orders!$B:$B,"&lt;"&amp;DATE(YEAR(A1212),MONTH(A1212)+1,1),crm_orders!$E:$E,B1212,crm_orders!$G:$G,C1212,crm_orders!$H:$H,D1212)</f>
        <v>0</v>
      </c>
      <c r="G1212" s="21">
        <f>SUMIFS(warehouse_shipments!$H:$H,warehouse_shipments!$C:$C,"&gt;="&amp;A1212,warehouse_shipments!$C:$C,"&lt;"&amp;DATE(YEAR(A1212),MONTH(A1212)+1,1),warehouse_shipments!$P:$P,B1212,warehouse_shipments!$Q:$Q,C1212,warehouse_shipments!$R:$R,D1212)</f>
        <v>0</v>
      </c>
      <c r="H1212" s="22">
        <f t="shared" si="1"/>
        <v>-240</v>
      </c>
      <c r="I1212" s="64">
        <f t="shared" si="2"/>
        <v>0</v>
      </c>
      <c r="J1212" s="22" t="s">
        <v>5310</v>
      </c>
    </row>
    <row r="1213" ht="15.75" customHeight="1">
      <c r="A1213" s="26">
        <v>46143.0</v>
      </c>
      <c r="B1213" s="25" t="s">
        <v>4020</v>
      </c>
      <c r="C1213" s="25" t="s">
        <v>67</v>
      </c>
      <c r="D1213" s="25" t="s">
        <v>108</v>
      </c>
      <c r="E1213" s="29">
        <v>430.0</v>
      </c>
      <c r="F1213" s="29">
        <f>SUMIFS(crm_orders!$J:$J,crm_orders!$B:$B,"&gt;="&amp;A1213,crm_orders!$B:$B,"&lt;"&amp;DATE(YEAR(A1213),MONTH(A1213)+1,1),crm_orders!$E:$E,B1213,crm_orders!$G:$G,C1213,crm_orders!$H:$H,D1213)</f>
        <v>0</v>
      </c>
      <c r="G1213" s="29">
        <f>SUMIFS(warehouse_shipments!$H:$H,warehouse_shipments!$C:$C,"&gt;="&amp;A1213,warehouse_shipments!$C:$C,"&lt;"&amp;DATE(YEAR(A1213),MONTH(A1213)+1,1),warehouse_shipments!$P:$P,B1213,warehouse_shipments!$Q:$Q,C1213,warehouse_shipments!$R:$R,D1213)</f>
        <v>0</v>
      </c>
      <c r="H1213" s="30">
        <f t="shared" si="1"/>
        <v>-430</v>
      </c>
      <c r="I1213" s="65">
        <f t="shared" si="2"/>
        <v>0</v>
      </c>
      <c r="J1213" s="30" t="s">
        <v>5310</v>
      </c>
    </row>
    <row r="1214" ht="15.75" customHeight="1">
      <c r="A1214" s="18">
        <v>46143.0</v>
      </c>
      <c r="B1214" s="17" t="s">
        <v>4020</v>
      </c>
      <c r="C1214" s="17" t="s">
        <v>67</v>
      </c>
      <c r="D1214" s="17" t="s">
        <v>71</v>
      </c>
      <c r="E1214" s="21">
        <v>135.0</v>
      </c>
      <c r="F1214" s="21">
        <f>SUMIFS(crm_orders!$J:$J,crm_orders!$B:$B,"&gt;="&amp;A1214,crm_orders!$B:$B,"&lt;"&amp;DATE(YEAR(A1214),MONTH(A1214)+1,1),crm_orders!$E:$E,B1214,crm_orders!$G:$G,C1214,crm_orders!$H:$H,D1214)</f>
        <v>0</v>
      </c>
      <c r="G1214" s="21">
        <f>SUMIFS(warehouse_shipments!$H:$H,warehouse_shipments!$C:$C,"&gt;="&amp;A1214,warehouse_shipments!$C:$C,"&lt;"&amp;DATE(YEAR(A1214),MONTH(A1214)+1,1),warehouse_shipments!$P:$P,B1214,warehouse_shipments!$Q:$Q,C1214,warehouse_shipments!$R:$R,D1214)</f>
        <v>0</v>
      </c>
      <c r="H1214" s="22">
        <f t="shared" si="1"/>
        <v>-135</v>
      </c>
      <c r="I1214" s="64">
        <f t="shared" si="2"/>
        <v>0</v>
      </c>
      <c r="J1214" s="22" t="s">
        <v>5307</v>
      </c>
    </row>
    <row r="1215" ht="15.75" customHeight="1">
      <c r="A1215" s="26">
        <v>46143.0</v>
      </c>
      <c r="B1215" s="25" t="s">
        <v>4020</v>
      </c>
      <c r="C1215" s="25" t="s">
        <v>67</v>
      </c>
      <c r="D1215" s="25" t="s">
        <v>123</v>
      </c>
      <c r="E1215" s="29">
        <v>420.0</v>
      </c>
      <c r="F1215" s="29">
        <f>SUMIFS(crm_orders!$J:$J,crm_orders!$B:$B,"&gt;="&amp;A1215,crm_orders!$B:$B,"&lt;"&amp;DATE(YEAR(A1215),MONTH(A1215)+1,1),crm_orders!$E:$E,B1215,crm_orders!$G:$G,C1215,crm_orders!$H:$H,D1215)</f>
        <v>0</v>
      </c>
      <c r="G1215" s="29">
        <f>SUMIFS(warehouse_shipments!$H:$H,warehouse_shipments!$C:$C,"&gt;="&amp;A1215,warehouse_shipments!$C:$C,"&lt;"&amp;DATE(YEAR(A1215),MONTH(A1215)+1,1),warehouse_shipments!$P:$P,B1215,warehouse_shipments!$Q:$Q,C1215,warehouse_shipments!$R:$R,D1215)</f>
        <v>0</v>
      </c>
      <c r="H1215" s="30">
        <f t="shared" si="1"/>
        <v>-420</v>
      </c>
      <c r="I1215" s="65">
        <f t="shared" si="2"/>
        <v>0</v>
      </c>
      <c r="J1215" s="30" t="s">
        <v>5309</v>
      </c>
    </row>
    <row r="1216" ht="15.75" customHeight="1">
      <c r="A1216" s="18">
        <v>46143.0</v>
      </c>
      <c r="B1216" s="17" t="s">
        <v>4020</v>
      </c>
      <c r="C1216" s="17" t="s">
        <v>67</v>
      </c>
      <c r="D1216" s="17" t="s">
        <v>85</v>
      </c>
      <c r="E1216" s="21">
        <v>318.0</v>
      </c>
      <c r="F1216" s="21">
        <f>SUMIFS(crm_orders!$J:$J,crm_orders!$B:$B,"&gt;="&amp;A1216,crm_orders!$B:$B,"&lt;"&amp;DATE(YEAR(A1216),MONTH(A1216)+1,1),crm_orders!$E:$E,B1216,crm_orders!$G:$G,C1216,crm_orders!$H:$H,D1216)</f>
        <v>0</v>
      </c>
      <c r="G1216" s="21">
        <f>SUMIFS(warehouse_shipments!$H:$H,warehouse_shipments!$C:$C,"&gt;="&amp;A1216,warehouse_shipments!$C:$C,"&lt;"&amp;DATE(YEAR(A1216),MONTH(A1216)+1,1),warehouse_shipments!$P:$P,B1216,warehouse_shipments!$Q:$Q,C1216,warehouse_shipments!$R:$R,D1216)</f>
        <v>0</v>
      </c>
      <c r="H1216" s="22">
        <f t="shared" si="1"/>
        <v>-318</v>
      </c>
      <c r="I1216" s="64">
        <f t="shared" si="2"/>
        <v>0</v>
      </c>
      <c r="J1216" s="22" t="s">
        <v>5310</v>
      </c>
    </row>
    <row r="1217" ht="15.75" customHeight="1">
      <c r="A1217" s="26">
        <v>46143.0</v>
      </c>
      <c r="B1217" s="25" t="s">
        <v>4020</v>
      </c>
      <c r="C1217" s="25" t="s">
        <v>67</v>
      </c>
      <c r="D1217" s="25" t="s">
        <v>162</v>
      </c>
      <c r="E1217" s="29">
        <v>303.0</v>
      </c>
      <c r="F1217" s="29">
        <f>SUMIFS(crm_orders!$J:$J,crm_orders!$B:$B,"&gt;="&amp;A1217,crm_orders!$B:$B,"&lt;"&amp;DATE(YEAR(A1217),MONTH(A1217)+1,1),crm_orders!$E:$E,B1217,crm_orders!$G:$G,C1217,crm_orders!$H:$H,D1217)</f>
        <v>0</v>
      </c>
      <c r="G1217" s="29">
        <f>SUMIFS(warehouse_shipments!$H:$H,warehouse_shipments!$C:$C,"&gt;="&amp;A1217,warehouse_shipments!$C:$C,"&lt;"&amp;DATE(YEAR(A1217),MONTH(A1217)+1,1),warehouse_shipments!$P:$P,B1217,warehouse_shipments!$Q:$Q,C1217,warehouse_shipments!$R:$R,D1217)</f>
        <v>0</v>
      </c>
      <c r="H1217" s="30">
        <f t="shared" si="1"/>
        <v>-303</v>
      </c>
      <c r="I1217" s="65">
        <f t="shared" si="2"/>
        <v>0</v>
      </c>
      <c r="J1217" s="30" t="s">
        <v>5306</v>
      </c>
    </row>
    <row r="1218" ht="15.75" customHeight="1">
      <c r="A1218" s="18">
        <v>46143.0</v>
      </c>
      <c r="B1218" s="17" t="s">
        <v>4020</v>
      </c>
      <c r="C1218" s="17" t="s">
        <v>89</v>
      </c>
      <c r="D1218" s="17" t="s">
        <v>110</v>
      </c>
      <c r="E1218" s="21">
        <v>261.0</v>
      </c>
      <c r="F1218" s="21">
        <f>SUMIFS(crm_orders!$J:$J,crm_orders!$B:$B,"&gt;="&amp;A1218,crm_orders!$B:$B,"&lt;"&amp;DATE(YEAR(A1218),MONTH(A1218)+1,1),crm_orders!$E:$E,B1218,crm_orders!$G:$G,C1218,crm_orders!$H:$H,D1218)</f>
        <v>0</v>
      </c>
      <c r="G1218" s="21">
        <f>SUMIFS(warehouse_shipments!$H:$H,warehouse_shipments!$C:$C,"&gt;="&amp;A1218,warehouse_shipments!$C:$C,"&lt;"&amp;DATE(YEAR(A1218),MONTH(A1218)+1,1),warehouse_shipments!$P:$P,B1218,warehouse_shipments!$Q:$Q,C1218,warehouse_shipments!$R:$R,D1218)</f>
        <v>0</v>
      </c>
      <c r="H1218" s="22">
        <f t="shared" si="1"/>
        <v>-261</v>
      </c>
      <c r="I1218" s="64">
        <f t="shared" si="2"/>
        <v>0</v>
      </c>
      <c r="J1218" s="22" t="s">
        <v>5310</v>
      </c>
    </row>
    <row r="1219" ht="15.75" customHeight="1">
      <c r="A1219" s="26">
        <v>46143.0</v>
      </c>
      <c r="B1219" s="25" t="s">
        <v>4020</v>
      </c>
      <c r="C1219" s="25" t="s">
        <v>89</v>
      </c>
      <c r="D1219" s="25" t="s">
        <v>95</v>
      </c>
      <c r="E1219" s="29">
        <v>265.0</v>
      </c>
      <c r="F1219" s="29">
        <f>SUMIFS(crm_orders!$J:$J,crm_orders!$B:$B,"&gt;="&amp;A1219,crm_orders!$B:$B,"&lt;"&amp;DATE(YEAR(A1219),MONTH(A1219)+1,1),crm_orders!$E:$E,B1219,crm_orders!$G:$G,C1219,crm_orders!$H:$H,D1219)</f>
        <v>0</v>
      </c>
      <c r="G1219" s="29">
        <f>SUMIFS(warehouse_shipments!$H:$H,warehouse_shipments!$C:$C,"&gt;="&amp;A1219,warehouse_shipments!$C:$C,"&lt;"&amp;DATE(YEAR(A1219),MONTH(A1219)+1,1),warehouse_shipments!$P:$P,B1219,warehouse_shipments!$Q:$Q,C1219,warehouse_shipments!$R:$R,D1219)</f>
        <v>0</v>
      </c>
      <c r="H1219" s="30">
        <f t="shared" si="1"/>
        <v>-265</v>
      </c>
      <c r="I1219" s="65">
        <f t="shared" si="2"/>
        <v>0</v>
      </c>
      <c r="J1219" s="30" t="s">
        <v>5307</v>
      </c>
    </row>
    <row r="1220" ht="15.75" customHeight="1">
      <c r="A1220" s="18">
        <v>46143.0</v>
      </c>
      <c r="B1220" s="17" t="s">
        <v>4020</v>
      </c>
      <c r="C1220" s="17" t="s">
        <v>89</v>
      </c>
      <c r="D1220" s="17" t="s">
        <v>68</v>
      </c>
      <c r="E1220" s="21">
        <v>398.0</v>
      </c>
      <c r="F1220" s="21">
        <f>SUMIFS(crm_orders!$J:$J,crm_orders!$B:$B,"&gt;="&amp;A1220,crm_orders!$B:$B,"&lt;"&amp;DATE(YEAR(A1220),MONTH(A1220)+1,1),crm_orders!$E:$E,B1220,crm_orders!$G:$G,C1220,crm_orders!$H:$H,D1220)</f>
        <v>0</v>
      </c>
      <c r="G1220" s="21">
        <f>SUMIFS(warehouse_shipments!$H:$H,warehouse_shipments!$C:$C,"&gt;="&amp;A1220,warehouse_shipments!$C:$C,"&lt;"&amp;DATE(YEAR(A1220),MONTH(A1220)+1,1),warehouse_shipments!$P:$P,B1220,warehouse_shipments!$Q:$Q,C1220,warehouse_shipments!$R:$R,D1220)</f>
        <v>0</v>
      </c>
      <c r="H1220" s="22">
        <f t="shared" si="1"/>
        <v>-398</v>
      </c>
      <c r="I1220" s="64">
        <f t="shared" si="2"/>
        <v>0</v>
      </c>
      <c r="J1220" s="22" t="s">
        <v>5310</v>
      </c>
    </row>
    <row r="1221" ht="15.75" customHeight="1">
      <c r="A1221" s="26">
        <v>46143.0</v>
      </c>
      <c r="B1221" s="25" t="s">
        <v>4020</v>
      </c>
      <c r="C1221" s="25" t="s">
        <v>89</v>
      </c>
      <c r="D1221" s="25" t="s">
        <v>108</v>
      </c>
      <c r="E1221" s="29">
        <v>217.0</v>
      </c>
      <c r="F1221" s="29">
        <f>SUMIFS(crm_orders!$J:$J,crm_orders!$B:$B,"&gt;="&amp;A1221,crm_orders!$B:$B,"&lt;"&amp;DATE(YEAR(A1221),MONTH(A1221)+1,1),crm_orders!$E:$E,B1221,crm_orders!$G:$G,C1221,crm_orders!$H:$H,D1221)</f>
        <v>0</v>
      </c>
      <c r="G1221" s="29">
        <f>SUMIFS(warehouse_shipments!$H:$H,warehouse_shipments!$C:$C,"&gt;="&amp;A1221,warehouse_shipments!$C:$C,"&lt;"&amp;DATE(YEAR(A1221),MONTH(A1221)+1,1),warehouse_shipments!$P:$P,B1221,warehouse_shipments!$Q:$Q,C1221,warehouse_shipments!$R:$R,D1221)</f>
        <v>0</v>
      </c>
      <c r="H1221" s="30">
        <f t="shared" si="1"/>
        <v>-217</v>
      </c>
      <c r="I1221" s="65">
        <f t="shared" si="2"/>
        <v>0</v>
      </c>
      <c r="J1221" s="30" t="s">
        <v>5309</v>
      </c>
    </row>
    <row r="1222" ht="15.75" customHeight="1">
      <c r="A1222" s="18">
        <v>46143.0</v>
      </c>
      <c r="B1222" s="17" t="s">
        <v>4020</v>
      </c>
      <c r="C1222" s="17" t="s">
        <v>89</v>
      </c>
      <c r="D1222" s="17" t="s">
        <v>106</v>
      </c>
      <c r="E1222" s="21">
        <v>498.0</v>
      </c>
      <c r="F1222" s="21">
        <f>SUMIFS(crm_orders!$J:$J,crm_orders!$B:$B,"&gt;="&amp;A1222,crm_orders!$B:$B,"&lt;"&amp;DATE(YEAR(A1222),MONTH(A1222)+1,1),crm_orders!$E:$E,B1222,crm_orders!$G:$G,C1222,crm_orders!$H:$H,D1222)</f>
        <v>0</v>
      </c>
      <c r="G1222" s="21">
        <f>SUMIFS(warehouse_shipments!$H:$H,warehouse_shipments!$C:$C,"&gt;="&amp;A1222,warehouse_shipments!$C:$C,"&lt;"&amp;DATE(YEAR(A1222),MONTH(A1222)+1,1),warehouse_shipments!$P:$P,B1222,warehouse_shipments!$Q:$Q,C1222,warehouse_shipments!$R:$R,D1222)</f>
        <v>0</v>
      </c>
      <c r="H1222" s="22">
        <f t="shared" si="1"/>
        <v>-498</v>
      </c>
      <c r="I1222" s="64">
        <f t="shared" si="2"/>
        <v>0</v>
      </c>
      <c r="J1222" s="22" t="s">
        <v>5310</v>
      </c>
    </row>
    <row r="1223" ht="15.75" customHeight="1">
      <c r="A1223" s="26">
        <v>46143.0</v>
      </c>
      <c r="B1223" s="25" t="s">
        <v>4020</v>
      </c>
      <c r="C1223" s="25" t="s">
        <v>89</v>
      </c>
      <c r="D1223" s="25" t="s">
        <v>123</v>
      </c>
      <c r="E1223" s="29">
        <v>98.0</v>
      </c>
      <c r="F1223" s="29">
        <f>SUMIFS(crm_orders!$J:$J,crm_orders!$B:$B,"&gt;="&amp;A1223,crm_orders!$B:$B,"&lt;"&amp;DATE(YEAR(A1223),MONTH(A1223)+1,1),crm_orders!$E:$E,B1223,crm_orders!$G:$G,C1223,crm_orders!$H:$H,D1223)</f>
        <v>0</v>
      </c>
      <c r="G1223" s="29">
        <f>SUMIFS(warehouse_shipments!$H:$H,warehouse_shipments!$C:$C,"&gt;="&amp;A1223,warehouse_shipments!$C:$C,"&lt;"&amp;DATE(YEAR(A1223),MONTH(A1223)+1,1),warehouse_shipments!$P:$P,B1223,warehouse_shipments!$Q:$Q,C1223,warehouse_shipments!$R:$R,D1223)</f>
        <v>0</v>
      </c>
      <c r="H1223" s="30">
        <f t="shared" si="1"/>
        <v>-98</v>
      </c>
      <c r="I1223" s="65">
        <f t="shared" si="2"/>
        <v>0</v>
      </c>
      <c r="J1223" s="30" t="s">
        <v>5308</v>
      </c>
    </row>
    <row r="1224" ht="15.75" customHeight="1">
      <c r="A1224" s="18">
        <v>46143.0</v>
      </c>
      <c r="B1224" s="17" t="s">
        <v>4020</v>
      </c>
      <c r="C1224" s="17" t="s">
        <v>89</v>
      </c>
      <c r="D1224" s="17" t="s">
        <v>85</v>
      </c>
      <c r="E1224" s="21">
        <v>375.0</v>
      </c>
      <c r="F1224" s="21">
        <f>SUMIFS(crm_orders!$J:$J,crm_orders!$B:$B,"&gt;="&amp;A1224,crm_orders!$B:$B,"&lt;"&amp;DATE(YEAR(A1224),MONTH(A1224)+1,1),crm_orders!$E:$E,B1224,crm_orders!$G:$G,C1224,crm_orders!$H:$H,D1224)</f>
        <v>0</v>
      </c>
      <c r="G1224" s="21">
        <f>SUMIFS(warehouse_shipments!$H:$H,warehouse_shipments!$C:$C,"&gt;="&amp;A1224,warehouse_shipments!$C:$C,"&lt;"&amp;DATE(YEAR(A1224),MONTH(A1224)+1,1),warehouse_shipments!$P:$P,B1224,warehouse_shipments!$Q:$Q,C1224,warehouse_shipments!$R:$R,D1224)</f>
        <v>0</v>
      </c>
      <c r="H1224" s="22">
        <f t="shared" si="1"/>
        <v>-375</v>
      </c>
      <c r="I1224" s="64">
        <f t="shared" si="2"/>
        <v>0</v>
      </c>
      <c r="J1224" s="22" t="s">
        <v>5306</v>
      </c>
    </row>
    <row r="1225" ht="15.75" customHeight="1">
      <c r="A1225" s="26">
        <v>46143.0</v>
      </c>
      <c r="B1225" s="25" t="s">
        <v>4020</v>
      </c>
      <c r="C1225" s="25" t="s">
        <v>89</v>
      </c>
      <c r="D1225" s="25" t="s">
        <v>115</v>
      </c>
      <c r="E1225" s="29">
        <v>170.0</v>
      </c>
      <c r="F1225" s="29">
        <f>SUMIFS(crm_orders!$J:$J,crm_orders!$B:$B,"&gt;="&amp;A1225,crm_orders!$B:$B,"&lt;"&amp;DATE(YEAR(A1225),MONTH(A1225)+1,1),crm_orders!$E:$E,B1225,crm_orders!$G:$G,C1225,crm_orders!$H:$H,D1225)</f>
        <v>0</v>
      </c>
      <c r="G1225" s="29">
        <f>SUMIFS(warehouse_shipments!$H:$H,warehouse_shipments!$C:$C,"&gt;="&amp;A1225,warehouse_shipments!$C:$C,"&lt;"&amp;DATE(YEAR(A1225),MONTH(A1225)+1,1),warehouse_shipments!$P:$P,B1225,warehouse_shipments!$Q:$Q,C1225,warehouse_shipments!$R:$R,D1225)</f>
        <v>0</v>
      </c>
      <c r="H1225" s="30">
        <f t="shared" si="1"/>
        <v>-170</v>
      </c>
      <c r="I1225" s="65">
        <f t="shared" si="2"/>
        <v>0</v>
      </c>
      <c r="J1225" s="30" t="s">
        <v>5306</v>
      </c>
    </row>
    <row r="1226" ht="15.75" customHeight="1">
      <c r="A1226" s="18">
        <v>46143.0</v>
      </c>
      <c r="B1226" s="17" t="s">
        <v>4097</v>
      </c>
      <c r="C1226" s="17" t="s">
        <v>63</v>
      </c>
      <c r="D1226" s="17" t="s">
        <v>110</v>
      </c>
      <c r="E1226" s="21">
        <v>340.0</v>
      </c>
      <c r="F1226" s="21">
        <f>SUMIFS(crm_orders!$J:$J,crm_orders!$B:$B,"&gt;="&amp;A1226,crm_orders!$B:$B,"&lt;"&amp;DATE(YEAR(A1226),MONTH(A1226)+1,1),crm_orders!$E:$E,B1226,crm_orders!$G:$G,C1226,crm_orders!$H:$H,D1226)</f>
        <v>0</v>
      </c>
      <c r="G1226" s="21">
        <f>SUMIFS(warehouse_shipments!$H:$H,warehouse_shipments!$C:$C,"&gt;="&amp;A1226,warehouse_shipments!$C:$C,"&lt;"&amp;DATE(YEAR(A1226),MONTH(A1226)+1,1),warehouse_shipments!$P:$P,B1226,warehouse_shipments!$Q:$Q,C1226,warehouse_shipments!$R:$R,D1226)</f>
        <v>0</v>
      </c>
      <c r="H1226" s="22">
        <f t="shared" si="1"/>
        <v>-340</v>
      </c>
      <c r="I1226" s="64">
        <f t="shared" si="2"/>
        <v>0</v>
      </c>
      <c r="J1226" s="22" t="s">
        <v>5309</v>
      </c>
    </row>
    <row r="1227" ht="15.75" customHeight="1">
      <c r="A1227" s="26">
        <v>46143.0</v>
      </c>
      <c r="B1227" s="25" t="s">
        <v>4097</v>
      </c>
      <c r="C1227" s="25" t="s">
        <v>63</v>
      </c>
      <c r="D1227" s="25" t="s">
        <v>71</v>
      </c>
      <c r="E1227" s="29">
        <v>327.0</v>
      </c>
      <c r="F1227" s="29">
        <f>SUMIFS(crm_orders!$J:$J,crm_orders!$B:$B,"&gt;="&amp;A1227,crm_orders!$B:$B,"&lt;"&amp;DATE(YEAR(A1227),MONTH(A1227)+1,1),crm_orders!$E:$E,B1227,crm_orders!$G:$G,C1227,crm_orders!$H:$H,D1227)</f>
        <v>0</v>
      </c>
      <c r="G1227" s="29">
        <f>SUMIFS(warehouse_shipments!$H:$H,warehouse_shipments!$C:$C,"&gt;="&amp;A1227,warehouse_shipments!$C:$C,"&lt;"&amp;DATE(YEAR(A1227),MONTH(A1227)+1,1),warehouse_shipments!$P:$P,B1227,warehouse_shipments!$Q:$Q,C1227,warehouse_shipments!$R:$R,D1227)</f>
        <v>0</v>
      </c>
      <c r="H1227" s="30">
        <f t="shared" si="1"/>
        <v>-327</v>
      </c>
      <c r="I1227" s="65">
        <f t="shared" si="2"/>
        <v>0</v>
      </c>
      <c r="J1227" s="30" t="s">
        <v>5306</v>
      </c>
    </row>
    <row r="1228" ht="15.75" customHeight="1">
      <c r="A1228" s="18">
        <v>46143.0</v>
      </c>
      <c r="B1228" s="17" t="s">
        <v>4097</v>
      </c>
      <c r="C1228" s="17" t="s">
        <v>63</v>
      </c>
      <c r="D1228" s="17" t="s">
        <v>156</v>
      </c>
      <c r="E1228" s="21">
        <v>482.0</v>
      </c>
      <c r="F1228" s="21">
        <f>SUMIFS(crm_orders!$J:$J,crm_orders!$B:$B,"&gt;="&amp;A1228,crm_orders!$B:$B,"&lt;"&amp;DATE(YEAR(A1228),MONTH(A1228)+1,1),crm_orders!$E:$E,B1228,crm_orders!$G:$G,C1228,crm_orders!$H:$H,D1228)</f>
        <v>0</v>
      </c>
      <c r="G1228" s="21">
        <f>SUMIFS(warehouse_shipments!$H:$H,warehouse_shipments!$C:$C,"&gt;="&amp;A1228,warehouse_shipments!$C:$C,"&lt;"&amp;DATE(YEAR(A1228),MONTH(A1228)+1,1),warehouse_shipments!$P:$P,B1228,warehouse_shipments!$Q:$Q,C1228,warehouse_shipments!$R:$R,D1228)</f>
        <v>0</v>
      </c>
      <c r="H1228" s="22">
        <f t="shared" si="1"/>
        <v>-482</v>
      </c>
      <c r="I1228" s="64">
        <f t="shared" si="2"/>
        <v>0</v>
      </c>
      <c r="J1228" s="22" t="s">
        <v>5308</v>
      </c>
    </row>
    <row r="1229" ht="15.75" customHeight="1">
      <c r="A1229" s="26">
        <v>46143.0</v>
      </c>
      <c r="B1229" s="25" t="s">
        <v>4097</v>
      </c>
      <c r="C1229" s="25" t="s">
        <v>63</v>
      </c>
      <c r="D1229" s="25" t="s">
        <v>106</v>
      </c>
      <c r="E1229" s="29">
        <v>398.0</v>
      </c>
      <c r="F1229" s="29">
        <f>SUMIFS(crm_orders!$J:$J,crm_orders!$B:$B,"&gt;="&amp;A1229,crm_orders!$B:$B,"&lt;"&amp;DATE(YEAR(A1229),MONTH(A1229)+1,1),crm_orders!$E:$E,B1229,crm_orders!$G:$G,C1229,crm_orders!$H:$H,D1229)</f>
        <v>0</v>
      </c>
      <c r="G1229" s="29">
        <f>SUMIFS(warehouse_shipments!$H:$H,warehouse_shipments!$C:$C,"&gt;="&amp;A1229,warehouse_shipments!$C:$C,"&lt;"&amp;DATE(YEAR(A1229),MONTH(A1229)+1,1),warehouse_shipments!$P:$P,B1229,warehouse_shipments!$Q:$Q,C1229,warehouse_shipments!$R:$R,D1229)</f>
        <v>12</v>
      </c>
      <c r="H1229" s="30">
        <f t="shared" si="1"/>
        <v>-398</v>
      </c>
      <c r="I1229" s="65">
        <f t="shared" si="2"/>
        <v>0</v>
      </c>
      <c r="J1229" s="30" t="s">
        <v>5309</v>
      </c>
    </row>
    <row r="1230" ht="15.75" customHeight="1">
      <c r="A1230" s="18">
        <v>46143.0</v>
      </c>
      <c r="B1230" s="17" t="s">
        <v>4097</v>
      </c>
      <c r="C1230" s="17" t="s">
        <v>63</v>
      </c>
      <c r="D1230" s="17" t="s">
        <v>90</v>
      </c>
      <c r="E1230" s="21">
        <v>201.0</v>
      </c>
      <c r="F1230" s="21">
        <f>SUMIFS(crm_orders!$J:$J,crm_orders!$B:$B,"&gt;="&amp;A1230,crm_orders!$B:$B,"&lt;"&amp;DATE(YEAR(A1230),MONTH(A1230)+1,1),crm_orders!$E:$E,B1230,crm_orders!$G:$G,C1230,crm_orders!$H:$H,D1230)</f>
        <v>36</v>
      </c>
      <c r="G1230" s="21">
        <f>SUMIFS(warehouse_shipments!$H:$H,warehouse_shipments!$C:$C,"&gt;="&amp;A1230,warehouse_shipments!$C:$C,"&lt;"&amp;DATE(YEAR(A1230),MONTH(A1230)+1,1),warehouse_shipments!$P:$P,B1230,warehouse_shipments!$Q:$Q,C1230,warehouse_shipments!$R:$R,D1230)</f>
        <v>36</v>
      </c>
      <c r="H1230" s="22">
        <f t="shared" si="1"/>
        <v>-165</v>
      </c>
      <c r="I1230" s="64">
        <f t="shared" si="2"/>
        <v>0.1791044776</v>
      </c>
      <c r="J1230" s="22" t="s">
        <v>5307</v>
      </c>
    </row>
    <row r="1231" ht="15.75" customHeight="1">
      <c r="A1231" s="26">
        <v>46143.0</v>
      </c>
      <c r="B1231" s="25" t="s">
        <v>4097</v>
      </c>
      <c r="C1231" s="25" t="s">
        <v>63</v>
      </c>
      <c r="D1231" s="25" t="s">
        <v>74</v>
      </c>
      <c r="E1231" s="29">
        <v>146.0</v>
      </c>
      <c r="F1231" s="29">
        <f>SUMIFS(crm_orders!$J:$J,crm_orders!$B:$B,"&gt;="&amp;A1231,crm_orders!$B:$B,"&lt;"&amp;DATE(YEAR(A1231),MONTH(A1231)+1,1),crm_orders!$E:$E,B1231,crm_orders!$G:$G,C1231,crm_orders!$H:$H,D1231)</f>
        <v>0</v>
      </c>
      <c r="G1231" s="29">
        <f>SUMIFS(warehouse_shipments!$H:$H,warehouse_shipments!$C:$C,"&gt;="&amp;A1231,warehouse_shipments!$C:$C,"&lt;"&amp;DATE(YEAR(A1231),MONTH(A1231)+1,1),warehouse_shipments!$P:$P,B1231,warehouse_shipments!$Q:$Q,C1231,warehouse_shipments!$R:$R,D1231)</f>
        <v>30</v>
      </c>
      <c r="H1231" s="30">
        <f t="shared" si="1"/>
        <v>-146</v>
      </c>
      <c r="I1231" s="65">
        <f t="shared" si="2"/>
        <v>0</v>
      </c>
      <c r="J1231" s="30" t="s">
        <v>5308</v>
      </c>
    </row>
    <row r="1232" ht="15.75" customHeight="1">
      <c r="A1232" s="18">
        <v>46143.0</v>
      </c>
      <c r="B1232" s="17" t="s">
        <v>4097</v>
      </c>
      <c r="C1232" s="17" t="s">
        <v>63</v>
      </c>
      <c r="D1232" s="17" t="s">
        <v>162</v>
      </c>
      <c r="E1232" s="21">
        <v>372.0</v>
      </c>
      <c r="F1232" s="21">
        <f>SUMIFS(crm_orders!$J:$J,crm_orders!$B:$B,"&gt;="&amp;A1232,crm_orders!$B:$B,"&lt;"&amp;DATE(YEAR(A1232),MONTH(A1232)+1,1),crm_orders!$E:$E,B1232,crm_orders!$G:$G,C1232,crm_orders!$H:$H,D1232)</f>
        <v>0</v>
      </c>
      <c r="G1232" s="21">
        <f>SUMIFS(warehouse_shipments!$H:$H,warehouse_shipments!$C:$C,"&gt;="&amp;A1232,warehouse_shipments!$C:$C,"&lt;"&amp;DATE(YEAR(A1232),MONTH(A1232)+1,1),warehouse_shipments!$P:$P,B1232,warehouse_shipments!$Q:$Q,C1232,warehouse_shipments!$R:$R,D1232)</f>
        <v>0</v>
      </c>
      <c r="H1232" s="22">
        <f t="shared" si="1"/>
        <v>-372</v>
      </c>
      <c r="I1232" s="64">
        <f t="shared" si="2"/>
        <v>0</v>
      </c>
      <c r="J1232" s="22" t="s">
        <v>5306</v>
      </c>
    </row>
    <row r="1233" ht="15.75" customHeight="1">
      <c r="A1233" s="26">
        <v>46143.0</v>
      </c>
      <c r="B1233" s="25" t="s">
        <v>4097</v>
      </c>
      <c r="C1233" s="25" t="s">
        <v>63</v>
      </c>
      <c r="D1233" s="25" t="s">
        <v>95</v>
      </c>
      <c r="E1233" s="29">
        <v>361.0</v>
      </c>
      <c r="F1233" s="29">
        <f>SUMIFS(crm_orders!$J:$J,crm_orders!$B:$B,"&gt;="&amp;A1233,crm_orders!$B:$B,"&lt;"&amp;DATE(YEAR(A1233),MONTH(A1233)+1,1),crm_orders!$E:$E,B1233,crm_orders!$G:$G,C1233,crm_orders!$H:$H,D1233)</f>
        <v>0</v>
      </c>
      <c r="G1233" s="29">
        <f>SUMIFS(warehouse_shipments!$H:$H,warehouse_shipments!$C:$C,"&gt;="&amp;A1233,warehouse_shipments!$C:$C,"&lt;"&amp;DATE(YEAR(A1233),MONTH(A1233)+1,1),warehouse_shipments!$P:$P,B1233,warehouse_shipments!$Q:$Q,C1233,warehouse_shipments!$R:$R,D1233)</f>
        <v>0</v>
      </c>
      <c r="H1233" s="30">
        <f t="shared" si="1"/>
        <v>-361</v>
      </c>
      <c r="I1233" s="65">
        <f t="shared" si="2"/>
        <v>0</v>
      </c>
      <c r="J1233" s="30" t="s">
        <v>5309</v>
      </c>
    </row>
    <row r="1234" ht="15.75" customHeight="1">
      <c r="A1234" s="18">
        <v>46143.0</v>
      </c>
      <c r="B1234" s="17" t="s">
        <v>4097</v>
      </c>
      <c r="C1234" s="17" t="s">
        <v>67</v>
      </c>
      <c r="D1234" s="17" t="s">
        <v>85</v>
      </c>
      <c r="E1234" s="21">
        <v>265.0</v>
      </c>
      <c r="F1234" s="21">
        <f>SUMIFS(crm_orders!$J:$J,crm_orders!$B:$B,"&gt;="&amp;A1234,crm_orders!$B:$B,"&lt;"&amp;DATE(YEAR(A1234),MONTH(A1234)+1,1),crm_orders!$E:$E,B1234,crm_orders!$G:$G,C1234,crm_orders!$H:$H,D1234)</f>
        <v>0</v>
      </c>
      <c r="G1234" s="21">
        <f>SUMIFS(warehouse_shipments!$H:$H,warehouse_shipments!$C:$C,"&gt;="&amp;A1234,warehouse_shipments!$C:$C,"&lt;"&amp;DATE(YEAR(A1234),MONTH(A1234)+1,1),warehouse_shipments!$P:$P,B1234,warehouse_shipments!$Q:$Q,C1234,warehouse_shipments!$R:$R,D1234)</f>
        <v>0</v>
      </c>
      <c r="H1234" s="22">
        <f t="shared" si="1"/>
        <v>-265</v>
      </c>
      <c r="I1234" s="64">
        <f t="shared" si="2"/>
        <v>0</v>
      </c>
      <c r="J1234" s="22" t="s">
        <v>5309</v>
      </c>
    </row>
    <row r="1235" ht="15.75" customHeight="1">
      <c r="A1235" s="26">
        <v>46143.0</v>
      </c>
      <c r="B1235" s="25" t="s">
        <v>4097</v>
      </c>
      <c r="C1235" s="25" t="s">
        <v>67</v>
      </c>
      <c r="D1235" s="25" t="s">
        <v>108</v>
      </c>
      <c r="E1235" s="29">
        <v>416.0</v>
      </c>
      <c r="F1235" s="29">
        <f>SUMIFS(crm_orders!$J:$J,crm_orders!$B:$B,"&gt;="&amp;A1235,crm_orders!$B:$B,"&lt;"&amp;DATE(YEAR(A1235),MONTH(A1235)+1,1),crm_orders!$E:$E,B1235,crm_orders!$G:$G,C1235,crm_orders!$H:$H,D1235)</f>
        <v>0</v>
      </c>
      <c r="G1235" s="29">
        <f>SUMIFS(warehouse_shipments!$H:$H,warehouse_shipments!$C:$C,"&gt;="&amp;A1235,warehouse_shipments!$C:$C,"&lt;"&amp;DATE(YEAR(A1235),MONTH(A1235)+1,1),warehouse_shipments!$P:$P,B1235,warehouse_shipments!$Q:$Q,C1235,warehouse_shipments!$R:$R,D1235)</f>
        <v>0</v>
      </c>
      <c r="H1235" s="30">
        <f t="shared" si="1"/>
        <v>-416</v>
      </c>
      <c r="I1235" s="65">
        <f t="shared" si="2"/>
        <v>0</v>
      </c>
      <c r="J1235" s="30" t="s">
        <v>5309</v>
      </c>
    </row>
    <row r="1236" ht="15.75" customHeight="1">
      <c r="A1236" s="18">
        <v>46143.0</v>
      </c>
      <c r="B1236" s="17" t="s">
        <v>4097</v>
      </c>
      <c r="C1236" s="17" t="s">
        <v>67</v>
      </c>
      <c r="D1236" s="17" t="s">
        <v>81</v>
      </c>
      <c r="E1236" s="21">
        <v>266.0</v>
      </c>
      <c r="F1236" s="21">
        <f>SUMIFS(crm_orders!$J:$J,crm_orders!$B:$B,"&gt;="&amp;A1236,crm_orders!$B:$B,"&lt;"&amp;DATE(YEAR(A1236),MONTH(A1236)+1,1),crm_orders!$E:$E,B1236,crm_orders!$G:$G,C1236,crm_orders!$H:$H,D1236)</f>
        <v>0</v>
      </c>
      <c r="G1236" s="21">
        <f>SUMIFS(warehouse_shipments!$H:$H,warehouse_shipments!$C:$C,"&gt;="&amp;A1236,warehouse_shipments!$C:$C,"&lt;"&amp;DATE(YEAR(A1236),MONTH(A1236)+1,1),warehouse_shipments!$P:$P,B1236,warehouse_shipments!$Q:$Q,C1236,warehouse_shipments!$R:$R,D1236)</f>
        <v>0</v>
      </c>
      <c r="H1236" s="22">
        <f t="shared" si="1"/>
        <v>-266</v>
      </c>
      <c r="I1236" s="64">
        <f t="shared" si="2"/>
        <v>0</v>
      </c>
      <c r="J1236" s="22" t="s">
        <v>5306</v>
      </c>
    </row>
    <row r="1237" ht="15.75" customHeight="1">
      <c r="A1237" s="26">
        <v>46143.0</v>
      </c>
      <c r="B1237" s="25" t="s">
        <v>4097</v>
      </c>
      <c r="C1237" s="25" t="s">
        <v>67</v>
      </c>
      <c r="D1237" s="25" t="s">
        <v>123</v>
      </c>
      <c r="E1237" s="29">
        <v>268.0</v>
      </c>
      <c r="F1237" s="29">
        <f>SUMIFS(crm_orders!$J:$J,crm_orders!$B:$B,"&gt;="&amp;A1237,crm_orders!$B:$B,"&lt;"&amp;DATE(YEAR(A1237),MONTH(A1237)+1,1),crm_orders!$E:$E,B1237,crm_orders!$G:$G,C1237,crm_orders!$H:$H,D1237)</f>
        <v>0</v>
      </c>
      <c r="G1237" s="29">
        <f>SUMIFS(warehouse_shipments!$H:$H,warehouse_shipments!$C:$C,"&gt;="&amp;A1237,warehouse_shipments!$C:$C,"&lt;"&amp;DATE(YEAR(A1237),MONTH(A1237)+1,1),warehouse_shipments!$P:$P,B1237,warehouse_shipments!$Q:$Q,C1237,warehouse_shipments!$R:$R,D1237)</f>
        <v>0</v>
      </c>
      <c r="H1237" s="30">
        <f t="shared" si="1"/>
        <v>-268</v>
      </c>
      <c r="I1237" s="65">
        <f t="shared" si="2"/>
        <v>0</v>
      </c>
      <c r="J1237" s="30" t="s">
        <v>5311</v>
      </c>
    </row>
    <row r="1238" ht="15.75" customHeight="1">
      <c r="A1238" s="18">
        <v>46143.0</v>
      </c>
      <c r="B1238" s="17" t="s">
        <v>4097</v>
      </c>
      <c r="C1238" s="17" t="s">
        <v>67</v>
      </c>
      <c r="D1238" s="17" t="s">
        <v>78</v>
      </c>
      <c r="E1238" s="21">
        <v>388.0</v>
      </c>
      <c r="F1238" s="21">
        <f>SUMIFS(crm_orders!$J:$J,crm_orders!$B:$B,"&gt;="&amp;A1238,crm_orders!$B:$B,"&lt;"&amp;DATE(YEAR(A1238),MONTH(A1238)+1,1),crm_orders!$E:$E,B1238,crm_orders!$G:$G,C1238,crm_orders!$H:$H,D1238)</f>
        <v>0</v>
      </c>
      <c r="G1238" s="21">
        <f>SUMIFS(warehouse_shipments!$H:$H,warehouse_shipments!$C:$C,"&gt;="&amp;A1238,warehouse_shipments!$C:$C,"&lt;"&amp;DATE(YEAR(A1238),MONTH(A1238)+1,1),warehouse_shipments!$P:$P,B1238,warehouse_shipments!$Q:$Q,C1238,warehouse_shipments!$R:$R,D1238)</f>
        <v>0</v>
      </c>
      <c r="H1238" s="22">
        <f t="shared" si="1"/>
        <v>-388</v>
      </c>
      <c r="I1238" s="64">
        <f t="shared" si="2"/>
        <v>0</v>
      </c>
      <c r="J1238" s="22" t="s">
        <v>5306</v>
      </c>
    </row>
    <row r="1239" ht="15.75" customHeight="1">
      <c r="A1239" s="26">
        <v>46143.0</v>
      </c>
      <c r="B1239" s="25" t="s">
        <v>4097</v>
      </c>
      <c r="C1239" s="25" t="s">
        <v>67</v>
      </c>
      <c r="D1239" s="25" t="s">
        <v>162</v>
      </c>
      <c r="E1239" s="29">
        <v>443.0</v>
      </c>
      <c r="F1239" s="29">
        <f>SUMIFS(crm_orders!$J:$J,crm_orders!$B:$B,"&gt;="&amp;A1239,crm_orders!$B:$B,"&lt;"&amp;DATE(YEAR(A1239),MONTH(A1239)+1,1),crm_orders!$E:$E,B1239,crm_orders!$G:$G,C1239,crm_orders!$H:$H,D1239)</f>
        <v>0</v>
      </c>
      <c r="G1239" s="29">
        <f>SUMIFS(warehouse_shipments!$H:$H,warehouse_shipments!$C:$C,"&gt;="&amp;A1239,warehouse_shipments!$C:$C,"&lt;"&amp;DATE(YEAR(A1239),MONTH(A1239)+1,1),warehouse_shipments!$P:$P,B1239,warehouse_shipments!$Q:$Q,C1239,warehouse_shipments!$R:$R,D1239)</f>
        <v>0</v>
      </c>
      <c r="H1239" s="30">
        <f t="shared" si="1"/>
        <v>-443</v>
      </c>
      <c r="I1239" s="65">
        <f t="shared" si="2"/>
        <v>0</v>
      </c>
      <c r="J1239" s="30" t="s">
        <v>5306</v>
      </c>
    </row>
    <row r="1240" ht="15.75" customHeight="1">
      <c r="A1240" s="18">
        <v>46143.0</v>
      </c>
      <c r="B1240" s="17" t="s">
        <v>4097</v>
      </c>
      <c r="C1240" s="17" t="s">
        <v>67</v>
      </c>
      <c r="D1240" s="17" t="s">
        <v>190</v>
      </c>
      <c r="E1240" s="21">
        <v>448.0</v>
      </c>
      <c r="F1240" s="21">
        <f>SUMIFS(crm_orders!$J:$J,crm_orders!$B:$B,"&gt;="&amp;A1240,crm_orders!$B:$B,"&lt;"&amp;DATE(YEAR(A1240),MONTH(A1240)+1,1),crm_orders!$E:$E,B1240,crm_orders!$G:$G,C1240,crm_orders!$H:$H,D1240)</f>
        <v>0</v>
      </c>
      <c r="G1240" s="21">
        <f>SUMIFS(warehouse_shipments!$H:$H,warehouse_shipments!$C:$C,"&gt;="&amp;A1240,warehouse_shipments!$C:$C,"&lt;"&amp;DATE(YEAR(A1240),MONTH(A1240)+1,1),warehouse_shipments!$P:$P,B1240,warehouse_shipments!$Q:$Q,C1240,warehouse_shipments!$R:$R,D1240)</f>
        <v>18</v>
      </c>
      <c r="H1240" s="22">
        <f t="shared" si="1"/>
        <v>-448</v>
      </c>
      <c r="I1240" s="64">
        <f t="shared" si="2"/>
        <v>0</v>
      </c>
      <c r="J1240" s="22" t="s">
        <v>5311</v>
      </c>
    </row>
    <row r="1241" ht="15.75" customHeight="1">
      <c r="A1241" s="26">
        <v>46143.0</v>
      </c>
      <c r="B1241" s="25" t="s">
        <v>4097</v>
      </c>
      <c r="C1241" s="25" t="s">
        <v>67</v>
      </c>
      <c r="D1241" s="25" t="s">
        <v>92</v>
      </c>
      <c r="E1241" s="29">
        <v>95.0</v>
      </c>
      <c r="F1241" s="29">
        <f>SUMIFS(crm_orders!$J:$J,crm_orders!$B:$B,"&gt;="&amp;A1241,crm_orders!$B:$B,"&lt;"&amp;DATE(YEAR(A1241),MONTH(A1241)+1,1),crm_orders!$E:$E,B1241,crm_orders!$G:$G,C1241,crm_orders!$H:$H,D1241)</f>
        <v>0</v>
      </c>
      <c r="G1241" s="29">
        <f>SUMIFS(warehouse_shipments!$H:$H,warehouse_shipments!$C:$C,"&gt;="&amp;A1241,warehouse_shipments!$C:$C,"&lt;"&amp;DATE(YEAR(A1241),MONTH(A1241)+1,1),warehouse_shipments!$P:$P,B1241,warehouse_shipments!$Q:$Q,C1241,warehouse_shipments!$R:$R,D1241)</f>
        <v>0</v>
      </c>
      <c r="H1241" s="30">
        <f t="shared" si="1"/>
        <v>-95</v>
      </c>
      <c r="I1241" s="65">
        <f t="shared" si="2"/>
        <v>0</v>
      </c>
      <c r="J1241" s="30" t="s">
        <v>5307</v>
      </c>
    </row>
    <row r="1242" ht="15.75" customHeight="1">
      <c r="A1242" s="18">
        <v>46143.0</v>
      </c>
      <c r="B1242" s="17" t="s">
        <v>4097</v>
      </c>
      <c r="C1242" s="17" t="s">
        <v>89</v>
      </c>
      <c r="D1242" s="17" t="s">
        <v>71</v>
      </c>
      <c r="E1242" s="21">
        <v>474.0</v>
      </c>
      <c r="F1242" s="21">
        <f>SUMIFS(crm_orders!$J:$J,crm_orders!$B:$B,"&gt;="&amp;A1242,crm_orders!$B:$B,"&lt;"&amp;DATE(YEAR(A1242),MONTH(A1242)+1,1),crm_orders!$E:$E,B1242,crm_orders!$G:$G,C1242,crm_orders!$H:$H,D1242)</f>
        <v>0</v>
      </c>
      <c r="G1242" s="21">
        <f>SUMIFS(warehouse_shipments!$H:$H,warehouse_shipments!$C:$C,"&gt;="&amp;A1242,warehouse_shipments!$C:$C,"&lt;"&amp;DATE(YEAR(A1242),MONTH(A1242)+1,1),warehouse_shipments!$P:$P,B1242,warehouse_shipments!$Q:$Q,C1242,warehouse_shipments!$R:$R,D1242)</f>
        <v>0</v>
      </c>
      <c r="H1242" s="22">
        <f t="shared" si="1"/>
        <v>-474</v>
      </c>
      <c r="I1242" s="64">
        <f t="shared" si="2"/>
        <v>0</v>
      </c>
      <c r="J1242" s="22" t="s">
        <v>5308</v>
      </c>
    </row>
    <row r="1243" ht="15.75" customHeight="1">
      <c r="A1243" s="26">
        <v>46143.0</v>
      </c>
      <c r="B1243" s="25" t="s">
        <v>4097</v>
      </c>
      <c r="C1243" s="25" t="s">
        <v>89</v>
      </c>
      <c r="D1243" s="25" t="s">
        <v>102</v>
      </c>
      <c r="E1243" s="29">
        <v>327.0</v>
      </c>
      <c r="F1243" s="29">
        <f>SUMIFS(crm_orders!$J:$J,crm_orders!$B:$B,"&gt;="&amp;A1243,crm_orders!$B:$B,"&lt;"&amp;DATE(YEAR(A1243),MONTH(A1243)+1,1),crm_orders!$E:$E,B1243,crm_orders!$G:$G,C1243,crm_orders!$H:$H,D1243)</f>
        <v>0</v>
      </c>
      <c r="G1243" s="29">
        <f>SUMIFS(warehouse_shipments!$H:$H,warehouse_shipments!$C:$C,"&gt;="&amp;A1243,warehouse_shipments!$C:$C,"&lt;"&amp;DATE(YEAR(A1243),MONTH(A1243)+1,1),warehouse_shipments!$P:$P,B1243,warehouse_shipments!$Q:$Q,C1243,warehouse_shipments!$R:$R,D1243)</f>
        <v>0</v>
      </c>
      <c r="H1243" s="30">
        <f t="shared" si="1"/>
        <v>-327</v>
      </c>
      <c r="I1243" s="65">
        <f t="shared" si="2"/>
        <v>0</v>
      </c>
      <c r="J1243" s="30" t="s">
        <v>5310</v>
      </c>
    </row>
    <row r="1244" ht="15.75" customHeight="1">
      <c r="A1244" s="18">
        <v>46143.0</v>
      </c>
      <c r="B1244" s="17" t="s">
        <v>4097</v>
      </c>
      <c r="C1244" s="17" t="s">
        <v>89</v>
      </c>
      <c r="D1244" s="17" t="s">
        <v>95</v>
      </c>
      <c r="E1244" s="21">
        <v>183.0</v>
      </c>
      <c r="F1244" s="21">
        <f>SUMIFS(crm_orders!$J:$J,crm_orders!$B:$B,"&gt;="&amp;A1244,crm_orders!$B:$B,"&lt;"&amp;DATE(YEAR(A1244),MONTH(A1244)+1,1),crm_orders!$E:$E,B1244,crm_orders!$G:$G,C1244,crm_orders!$H:$H,D1244)</f>
        <v>0</v>
      </c>
      <c r="G1244" s="21">
        <f>SUMIFS(warehouse_shipments!$H:$H,warehouse_shipments!$C:$C,"&gt;="&amp;A1244,warehouse_shipments!$C:$C,"&lt;"&amp;DATE(YEAR(A1244),MONTH(A1244)+1,1),warehouse_shipments!$P:$P,B1244,warehouse_shipments!$Q:$Q,C1244,warehouse_shipments!$R:$R,D1244)</f>
        <v>0</v>
      </c>
      <c r="H1244" s="22">
        <f t="shared" si="1"/>
        <v>-183</v>
      </c>
      <c r="I1244" s="64">
        <f t="shared" si="2"/>
        <v>0</v>
      </c>
      <c r="J1244" s="22" t="s">
        <v>5310</v>
      </c>
    </row>
    <row r="1245" ht="15.75" customHeight="1">
      <c r="A1245" s="26">
        <v>46143.0</v>
      </c>
      <c r="B1245" s="25" t="s">
        <v>4097</v>
      </c>
      <c r="C1245" s="25" t="s">
        <v>89</v>
      </c>
      <c r="D1245" s="25" t="s">
        <v>154</v>
      </c>
      <c r="E1245" s="29">
        <v>326.0</v>
      </c>
      <c r="F1245" s="29">
        <f>SUMIFS(crm_orders!$J:$J,crm_orders!$B:$B,"&gt;="&amp;A1245,crm_orders!$B:$B,"&lt;"&amp;DATE(YEAR(A1245),MONTH(A1245)+1,1),crm_orders!$E:$E,B1245,crm_orders!$G:$G,C1245,crm_orders!$H:$H,D1245)</f>
        <v>0</v>
      </c>
      <c r="G1245" s="29">
        <f>SUMIFS(warehouse_shipments!$H:$H,warehouse_shipments!$C:$C,"&gt;="&amp;A1245,warehouse_shipments!$C:$C,"&lt;"&amp;DATE(YEAR(A1245),MONTH(A1245)+1,1),warehouse_shipments!$P:$P,B1245,warehouse_shipments!$Q:$Q,C1245,warehouse_shipments!$R:$R,D1245)</f>
        <v>0</v>
      </c>
      <c r="H1245" s="30">
        <f t="shared" si="1"/>
        <v>-326</v>
      </c>
      <c r="I1245" s="65">
        <f t="shared" si="2"/>
        <v>0</v>
      </c>
      <c r="J1245" s="30" t="s">
        <v>5308</v>
      </c>
    </row>
    <row r="1246" ht="15.75" customHeight="1">
      <c r="A1246" s="18">
        <v>46143.0</v>
      </c>
      <c r="B1246" s="17" t="s">
        <v>4097</v>
      </c>
      <c r="C1246" s="17" t="s">
        <v>89</v>
      </c>
      <c r="D1246" s="17" t="s">
        <v>64</v>
      </c>
      <c r="E1246" s="21">
        <v>142.0</v>
      </c>
      <c r="F1246" s="21">
        <f>SUMIFS(crm_orders!$J:$J,crm_orders!$B:$B,"&gt;="&amp;A1246,crm_orders!$B:$B,"&lt;"&amp;DATE(YEAR(A1246),MONTH(A1246)+1,1),crm_orders!$E:$E,B1246,crm_orders!$G:$G,C1246,crm_orders!$H:$H,D1246)</f>
        <v>0</v>
      </c>
      <c r="G1246" s="21">
        <f>SUMIFS(warehouse_shipments!$H:$H,warehouse_shipments!$C:$C,"&gt;="&amp;A1246,warehouse_shipments!$C:$C,"&lt;"&amp;DATE(YEAR(A1246),MONTH(A1246)+1,1),warehouse_shipments!$P:$P,B1246,warehouse_shipments!$Q:$Q,C1246,warehouse_shipments!$R:$R,D1246)</f>
        <v>0</v>
      </c>
      <c r="H1246" s="22">
        <f t="shared" si="1"/>
        <v>-142</v>
      </c>
      <c r="I1246" s="64">
        <f t="shared" si="2"/>
        <v>0</v>
      </c>
      <c r="J1246" s="22" t="s">
        <v>5307</v>
      </c>
    </row>
    <row r="1247" ht="15.75" customHeight="1">
      <c r="A1247" s="26">
        <v>46143.0</v>
      </c>
      <c r="B1247" s="25" t="s">
        <v>4097</v>
      </c>
      <c r="C1247" s="25" t="s">
        <v>89</v>
      </c>
      <c r="D1247" s="25" t="s">
        <v>123</v>
      </c>
      <c r="E1247" s="29">
        <v>170.0</v>
      </c>
      <c r="F1247" s="29">
        <f>SUMIFS(crm_orders!$J:$J,crm_orders!$B:$B,"&gt;="&amp;A1247,crm_orders!$B:$B,"&lt;"&amp;DATE(YEAR(A1247),MONTH(A1247)+1,1),crm_orders!$E:$E,B1247,crm_orders!$G:$G,C1247,crm_orders!$H:$H,D1247)</f>
        <v>0</v>
      </c>
      <c r="G1247" s="29">
        <f>SUMIFS(warehouse_shipments!$H:$H,warehouse_shipments!$C:$C,"&gt;="&amp;A1247,warehouse_shipments!$C:$C,"&lt;"&amp;DATE(YEAR(A1247),MONTH(A1247)+1,1),warehouse_shipments!$P:$P,B1247,warehouse_shipments!$Q:$Q,C1247,warehouse_shipments!$R:$R,D1247)</f>
        <v>0</v>
      </c>
      <c r="H1247" s="30">
        <f t="shared" si="1"/>
        <v>-170</v>
      </c>
      <c r="I1247" s="65">
        <f t="shared" si="2"/>
        <v>0</v>
      </c>
      <c r="J1247" s="30" t="s">
        <v>5311</v>
      </c>
    </row>
    <row r="1248" ht="15.75" customHeight="1">
      <c r="A1248" s="18">
        <v>46143.0</v>
      </c>
      <c r="B1248" s="17" t="s">
        <v>4097</v>
      </c>
      <c r="C1248" s="17" t="s">
        <v>89</v>
      </c>
      <c r="D1248" s="17" t="s">
        <v>115</v>
      </c>
      <c r="E1248" s="21">
        <v>104.0</v>
      </c>
      <c r="F1248" s="21">
        <f>SUMIFS(crm_orders!$J:$J,crm_orders!$B:$B,"&gt;="&amp;A1248,crm_orders!$B:$B,"&lt;"&amp;DATE(YEAR(A1248),MONTH(A1248)+1,1),crm_orders!$E:$E,B1248,crm_orders!$G:$G,C1248,crm_orders!$H:$H,D1248)</f>
        <v>0</v>
      </c>
      <c r="G1248" s="21">
        <f>SUMIFS(warehouse_shipments!$H:$H,warehouse_shipments!$C:$C,"&gt;="&amp;A1248,warehouse_shipments!$C:$C,"&lt;"&amp;DATE(YEAR(A1248),MONTH(A1248)+1,1),warehouse_shipments!$P:$P,B1248,warehouse_shipments!$Q:$Q,C1248,warehouse_shipments!$R:$R,D1248)</f>
        <v>0</v>
      </c>
      <c r="H1248" s="22">
        <f t="shared" si="1"/>
        <v>-104</v>
      </c>
      <c r="I1248" s="64">
        <f t="shared" si="2"/>
        <v>0</v>
      </c>
      <c r="J1248" s="22" t="s">
        <v>5308</v>
      </c>
    </row>
    <row r="1249" ht="15.75" customHeight="1">
      <c r="A1249" s="26">
        <v>46143.0</v>
      </c>
      <c r="B1249" s="25" t="s">
        <v>4097</v>
      </c>
      <c r="C1249" s="25" t="s">
        <v>89</v>
      </c>
      <c r="D1249" s="25" t="s">
        <v>81</v>
      </c>
      <c r="E1249" s="29">
        <v>411.0</v>
      </c>
      <c r="F1249" s="29">
        <f>SUMIFS(crm_orders!$J:$J,crm_orders!$B:$B,"&gt;="&amp;A1249,crm_orders!$B:$B,"&lt;"&amp;DATE(YEAR(A1249),MONTH(A1249)+1,1),crm_orders!$E:$E,B1249,crm_orders!$G:$G,C1249,crm_orders!$H:$H,D1249)</f>
        <v>0</v>
      </c>
      <c r="G1249" s="29">
        <f>SUMIFS(warehouse_shipments!$H:$H,warehouse_shipments!$C:$C,"&gt;="&amp;A1249,warehouse_shipments!$C:$C,"&lt;"&amp;DATE(YEAR(A1249),MONTH(A1249)+1,1),warehouse_shipments!$P:$P,B1249,warehouse_shipments!$Q:$Q,C1249,warehouse_shipments!$R:$R,D1249)</f>
        <v>0</v>
      </c>
      <c r="H1249" s="30">
        <f t="shared" si="1"/>
        <v>-411</v>
      </c>
      <c r="I1249" s="65">
        <f t="shared" si="2"/>
        <v>0</v>
      </c>
      <c r="J1249" s="30" t="s">
        <v>5309</v>
      </c>
    </row>
    <row r="1250" ht="15.75" customHeight="1">
      <c r="A1250" s="18">
        <v>46143.0</v>
      </c>
      <c r="B1250" s="17" t="s">
        <v>4186</v>
      </c>
      <c r="C1250" s="17" t="s">
        <v>63</v>
      </c>
      <c r="D1250" s="17" t="s">
        <v>81</v>
      </c>
      <c r="E1250" s="21">
        <v>431.0</v>
      </c>
      <c r="F1250" s="21">
        <f>SUMIFS(crm_orders!$J:$J,crm_orders!$B:$B,"&gt;="&amp;A1250,crm_orders!$B:$B,"&lt;"&amp;DATE(YEAR(A1250),MONTH(A1250)+1,1),crm_orders!$E:$E,B1250,crm_orders!$G:$G,C1250,crm_orders!$H:$H,D1250)</f>
        <v>0</v>
      </c>
      <c r="G1250" s="21">
        <f>SUMIFS(warehouse_shipments!$H:$H,warehouse_shipments!$C:$C,"&gt;="&amp;A1250,warehouse_shipments!$C:$C,"&lt;"&amp;DATE(YEAR(A1250),MONTH(A1250)+1,1),warehouse_shipments!$P:$P,B1250,warehouse_shipments!$Q:$Q,C1250,warehouse_shipments!$R:$R,D1250)</f>
        <v>0</v>
      </c>
      <c r="H1250" s="22">
        <f t="shared" si="1"/>
        <v>-431</v>
      </c>
      <c r="I1250" s="64">
        <f t="shared" si="2"/>
        <v>0</v>
      </c>
      <c r="J1250" s="22" t="s">
        <v>5311</v>
      </c>
    </row>
    <row r="1251" ht="15.75" customHeight="1">
      <c r="A1251" s="26">
        <v>46143.0</v>
      </c>
      <c r="B1251" s="25" t="s">
        <v>4186</v>
      </c>
      <c r="C1251" s="25" t="s">
        <v>63</v>
      </c>
      <c r="D1251" s="25" t="s">
        <v>154</v>
      </c>
      <c r="E1251" s="29">
        <v>464.0</v>
      </c>
      <c r="F1251" s="29">
        <f>SUMIFS(crm_orders!$J:$J,crm_orders!$B:$B,"&gt;="&amp;A1251,crm_orders!$B:$B,"&lt;"&amp;DATE(YEAR(A1251),MONTH(A1251)+1,1),crm_orders!$E:$E,B1251,crm_orders!$G:$G,C1251,crm_orders!$H:$H,D1251)</f>
        <v>0</v>
      </c>
      <c r="G1251" s="29">
        <f>SUMIFS(warehouse_shipments!$H:$H,warehouse_shipments!$C:$C,"&gt;="&amp;A1251,warehouse_shipments!$C:$C,"&lt;"&amp;DATE(YEAR(A1251),MONTH(A1251)+1,1),warehouse_shipments!$P:$P,B1251,warehouse_shipments!$Q:$Q,C1251,warehouse_shipments!$R:$R,D1251)</f>
        <v>0</v>
      </c>
      <c r="H1251" s="30">
        <f t="shared" si="1"/>
        <v>-464</v>
      </c>
      <c r="I1251" s="65">
        <f t="shared" si="2"/>
        <v>0</v>
      </c>
      <c r="J1251" s="30" t="s">
        <v>5306</v>
      </c>
    </row>
    <row r="1252" ht="15.75" customHeight="1">
      <c r="A1252" s="18">
        <v>46143.0</v>
      </c>
      <c r="B1252" s="17" t="s">
        <v>4186</v>
      </c>
      <c r="C1252" s="17" t="s">
        <v>63</v>
      </c>
      <c r="D1252" s="17" t="s">
        <v>110</v>
      </c>
      <c r="E1252" s="21">
        <v>244.0</v>
      </c>
      <c r="F1252" s="21">
        <f>SUMIFS(crm_orders!$J:$J,crm_orders!$B:$B,"&gt;="&amp;A1252,crm_orders!$B:$B,"&lt;"&amp;DATE(YEAR(A1252),MONTH(A1252)+1,1),crm_orders!$E:$E,B1252,crm_orders!$G:$G,C1252,crm_orders!$H:$H,D1252)</f>
        <v>0</v>
      </c>
      <c r="G1252" s="21">
        <f>SUMIFS(warehouse_shipments!$H:$H,warehouse_shipments!$C:$C,"&gt;="&amp;A1252,warehouse_shipments!$C:$C,"&lt;"&amp;DATE(YEAR(A1252),MONTH(A1252)+1,1),warehouse_shipments!$P:$P,B1252,warehouse_shipments!$Q:$Q,C1252,warehouse_shipments!$R:$R,D1252)</f>
        <v>0</v>
      </c>
      <c r="H1252" s="22">
        <f t="shared" si="1"/>
        <v>-244</v>
      </c>
      <c r="I1252" s="64">
        <f t="shared" si="2"/>
        <v>0</v>
      </c>
      <c r="J1252" s="22" t="s">
        <v>5306</v>
      </c>
    </row>
    <row r="1253" ht="15.75" customHeight="1">
      <c r="A1253" s="26">
        <v>46143.0</v>
      </c>
      <c r="B1253" s="25" t="s">
        <v>4186</v>
      </c>
      <c r="C1253" s="25" t="s">
        <v>63</v>
      </c>
      <c r="D1253" s="25" t="s">
        <v>71</v>
      </c>
      <c r="E1253" s="29">
        <v>277.0</v>
      </c>
      <c r="F1253" s="29">
        <f>SUMIFS(crm_orders!$J:$J,crm_orders!$B:$B,"&gt;="&amp;A1253,crm_orders!$B:$B,"&lt;"&amp;DATE(YEAR(A1253),MONTH(A1253)+1,1),crm_orders!$E:$E,B1253,crm_orders!$G:$G,C1253,crm_orders!$H:$H,D1253)</f>
        <v>0</v>
      </c>
      <c r="G1253" s="29">
        <f>SUMIFS(warehouse_shipments!$H:$H,warehouse_shipments!$C:$C,"&gt;="&amp;A1253,warehouse_shipments!$C:$C,"&lt;"&amp;DATE(YEAR(A1253),MONTH(A1253)+1,1),warehouse_shipments!$P:$P,B1253,warehouse_shipments!$Q:$Q,C1253,warehouse_shipments!$R:$R,D1253)</f>
        <v>0</v>
      </c>
      <c r="H1253" s="30">
        <f t="shared" si="1"/>
        <v>-277</v>
      </c>
      <c r="I1253" s="65">
        <f t="shared" si="2"/>
        <v>0</v>
      </c>
      <c r="J1253" s="30" t="s">
        <v>5309</v>
      </c>
    </row>
    <row r="1254" ht="15.75" customHeight="1">
      <c r="A1254" s="18">
        <v>46143.0</v>
      </c>
      <c r="B1254" s="17" t="s">
        <v>4186</v>
      </c>
      <c r="C1254" s="17" t="s">
        <v>63</v>
      </c>
      <c r="D1254" s="17" t="s">
        <v>85</v>
      </c>
      <c r="E1254" s="21">
        <v>81.0</v>
      </c>
      <c r="F1254" s="21">
        <f>SUMIFS(crm_orders!$J:$J,crm_orders!$B:$B,"&gt;="&amp;A1254,crm_orders!$B:$B,"&lt;"&amp;DATE(YEAR(A1254),MONTH(A1254)+1,1),crm_orders!$E:$E,B1254,crm_orders!$G:$G,C1254,crm_orders!$H:$H,D1254)</f>
        <v>0</v>
      </c>
      <c r="G1254" s="21">
        <f>SUMIFS(warehouse_shipments!$H:$H,warehouse_shipments!$C:$C,"&gt;="&amp;A1254,warehouse_shipments!$C:$C,"&lt;"&amp;DATE(YEAR(A1254),MONTH(A1254)+1,1),warehouse_shipments!$P:$P,B1254,warehouse_shipments!$Q:$Q,C1254,warehouse_shipments!$R:$R,D1254)</f>
        <v>30</v>
      </c>
      <c r="H1254" s="22">
        <f t="shared" si="1"/>
        <v>-81</v>
      </c>
      <c r="I1254" s="64">
        <f t="shared" si="2"/>
        <v>0</v>
      </c>
      <c r="J1254" s="22" t="s">
        <v>5310</v>
      </c>
    </row>
    <row r="1255" ht="15.75" customHeight="1">
      <c r="A1255" s="26">
        <v>46143.0</v>
      </c>
      <c r="B1255" s="25" t="s">
        <v>4186</v>
      </c>
      <c r="C1255" s="25" t="s">
        <v>63</v>
      </c>
      <c r="D1255" s="25" t="s">
        <v>64</v>
      </c>
      <c r="E1255" s="29">
        <v>397.0</v>
      </c>
      <c r="F1255" s="29">
        <f>SUMIFS(crm_orders!$J:$J,crm_orders!$B:$B,"&gt;="&amp;A1255,crm_orders!$B:$B,"&lt;"&amp;DATE(YEAR(A1255),MONTH(A1255)+1,1),crm_orders!$E:$E,B1255,crm_orders!$G:$G,C1255,crm_orders!$H:$H,D1255)</f>
        <v>0</v>
      </c>
      <c r="G1255" s="29">
        <f>SUMIFS(warehouse_shipments!$H:$H,warehouse_shipments!$C:$C,"&gt;="&amp;A1255,warehouse_shipments!$C:$C,"&lt;"&amp;DATE(YEAR(A1255),MONTH(A1255)+1,1),warehouse_shipments!$P:$P,B1255,warehouse_shipments!$Q:$Q,C1255,warehouse_shipments!$R:$R,D1255)</f>
        <v>0</v>
      </c>
      <c r="H1255" s="30">
        <f t="shared" si="1"/>
        <v>-397</v>
      </c>
      <c r="I1255" s="65">
        <f t="shared" si="2"/>
        <v>0</v>
      </c>
      <c r="J1255" s="30" t="s">
        <v>5311</v>
      </c>
    </row>
    <row r="1256" ht="15.75" customHeight="1">
      <c r="A1256" s="18">
        <v>46143.0</v>
      </c>
      <c r="B1256" s="17" t="s">
        <v>4186</v>
      </c>
      <c r="C1256" s="17" t="s">
        <v>63</v>
      </c>
      <c r="D1256" s="17" t="s">
        <v>190</v>
      </c>
      <c r="E1256" s="21">
        <v>319.0</v>
      </c>
      <c r="F1256" s="21">
        <f>SUMIFS(crm_orders!$J:$J,crm_orders!$B:$B,"&gt;="&amp;A1256,crm_orders!$B:$B,"&lt;"&amp;DATE(YEAR(A1256),MONTH(A1256)+1,1),crm_orders!$E:$E,B1256,crm_orders!$G:$G,C1256,crm_orders!$H:$H,D1256)</f>
        <v>0</v>
      </c>
      <c r="G1256" s="21">
        <f>SUMIFS(warehouse_shipments!$H:$H,warehouse_shipments!$C:$C,"&gt;="&amp;A1256,warehouse_shipments!$C:$C,"&lt;"&amp;DATE(YEAR(A1256),MONTH(A1256)+1,1),warehouse_shipments!$P:$P,B1256,warehouse_shipments!$Q:$Q,C1256,warehouse_shipments!$R:$R,D1256)</f>
        <v>0</v>
      </c>
      <c r="H1256" s="22">
        <f t="shared" si="1"/>
        <v>-319</v>
      </c>
      <c r="I1256" s="64">
        <f t="shared" si="2"/>
        <v>0</v>
      </c>
      <c r="J1256" s="22" t="s">
        <v>5311</v>
      </c>
    </row>
    <row r="1257" ht="15.75" customHeight="1">
      <c r="A1257" s="26">
        <v>46143.0</v>
      </c>
      <c r="B1257" s="25" t="s">
        <v>4186</v>
      </c>
      <c r="C1257" s="25" t="s">
        <v>63</v>
      </c>
      <c r="D1257" s="25" t="s">
        <v>68</v>
      </c>
      <c r="E1257" s="29">
        <v>191.0</v>
      </c>
      <c r="F1257" s="29">
        <f>SUMIFS(crm_orders!$J:$J,crm_orders!$B:$B,"&gt;="&amp;A1257,crm_orders!$B:$B,"&lt;"&amp;DATE(YEAR(A1257),MONTH(A1257)+1,1),crm_orders!$E:$E,B1257,crm_orders!$G:$G,C1257,crm_orders!$H:$H,D1257)</f>
        <v>0</v>
      </c>
      <c r="G1257" s="29">
        <f>SUMIFS(warehouse_shipments!$H:$H,warehouse_shipments!$C:$C,"&gt;="&amp;A1257,warehouse_shipments!$C:$C,"&lt;"&amp;DATE(YEAR(A1257),MONTH(A1257)+1,1),warehouse_shipments!$P:$P,B1257,warehouse_shipments!$Q:$Q,C1257,warehouse_shipments!$R:$R,D1257)</f>
        <v>0</v>
      </c>
      <c r="H1257" s="30">
        <f t="shared" si="1"/>
        <v>-191</v>
      </c>
      <c r="I1257" s="65">
        <f t="shared" si="2"/>
        <v>0</v>
      </c>
      <c r="J1257" s="30" t="s">
        <v>5307</v>
      </c>
    </row>
    <row r="1258" ht="15.75" customHeight="1">
      <c r="A1258" s="18">
        <v>46143.0</v>
      </c>
      <c r="B1258" s="17" t="s">
        <v>4186</v>
      </c>
      <c r="C1258" s="17" t="s">
        <v>67</v>
      </c>
      <c r="D1258" s="17" t="s">
        <v>74</v>
      </c>
      <c r="E1258" s="21">
        <v>450.0</v>
      </c>
      <c r="F1258" s="21">
        <f>SUMIFS(crm_orders!$J:$J,crm_orders!$B:$B,"&gt;="&amp;A1258,crm_orders!$B:$B,"&lt;"&amp;DATE(YEAR(A1258),MONTH(A1258)+1,1),crm_orders!$E:$E,B1258,crm_orders!$G:$G,C1258,crm_orders!$H:$H,D1258)</f>
        <v>0</v>
      </c>
      <c r="G1258" s="21">
        <f>SUMIFS(warehouse_shipments!$H:$H,warehouse_shipments!$C:$C,"&gt;="&amp;A1258,warehouse_shipments!$C:$C,"&lt;"&amp;DATE(YEAR(A1258),MONTH(A1258)+1,1),warehouse_shipments!$P:$P,B1258,warehouse_shipments!$Q:$Q,C1258,warehouse_shipments!$R:$R,D1258)</f>
        <v>0</v>
      </c>
      <c r="H1258" s="22">
        <f t="shared" si="1"/>
        <v>-450</v>
      </c>
      <c r="I1258" s="64">
        <f t="shared" si="2"/>
        <v>0</v>
      </c>
      <c r="J1258" s="22" t="s">
        <v>5311</v>
      </c>
    </row>
    <row r="1259" ht="15.75" customHeight="1">
      <c r="A1259" s="26">
        <v>46143.0</v>
      </c>
      <c r="B1259" s="25" t="s">
        <v>4186</v>
      </c>
      <c r="C1259" s="25" t="s">
        <v>67</v>
      </c>
      <c r="D1259" s="25" t="s">
        <v>108</v>
      </c>
      <c r="E1259" s="29">
        <v>142.0</v>
      </c>
      <c r="F1259" s="29">
        <f>SUMIFS(crm_orders!$J:$J,crm_orders!$B:$B,"&gt;="&amp;A1259,crm_orders!$B:$B,"&lt;"&amp;DATE(YEAR(A1259),MONTH(A1259)+1,1),crm_orders!$E:$E,B1259,crm_orders!$G:$G,C1259,crm_orders!$H:$H,D1259)</f>
        <v>0</v>
      </c>
      <c r="G1259" s="29">
        <f>SUMIFS(warehouse_shipments!$H:$H,warehouse_shipments!$C:$C,"&gt;="&amp;A1259,warehouse_shipments!$C:$C,"&lt;"&amp;DATE(YEAR(A1259),MONTH(A1259)+1,1),warehouse_shipments!$P:$P,B1259,warehouse_shipments!$Q:$Q,C1259,warehouse_shipments!$R:$R,D1259)</f>
        <v>0</v>
      </c>
      <c r="H1259" s="30">
        <f t="shared" si="1"/>
        <v>-142</v>
      </c>
      <c r="I1259" s="65">
        <f t="shared" si="2"/>
        <v>0</v>
      </c>
      <c r="J1259" s="30" t="s">
        <v>5310</v>
      </c>
    </row>
    <row r="1260" ht="15.75" customHeight="1">
      <c r="A1260" s="18">
        <v>46143.0</v>
      </c>
      <c r="B1260" s="17" t="s">
        <v>4186</v>
      </c>
      <c r="C1260" s="17" t="s">
        <v>67</v>
      </c>
      <c r="D1260" s="17" t="s">
        <v>78</v>
      </c>
      <c r="E1260" s="21">
        <v>449.0</v>
      </c>
      <c r="F1260" s="21">
        <f>SUMIFS(crm_orders!$J:$J,crm_orders!$B:$B,"&gt;="&amp;A1260,crm_orders!$B:$B,"&lt;"&amp;DATE(YEAR(A1260),MONTH(A1260)+1,1),crm_orders!$E:$E,B1260,crm_orders!$G:$G,C1260,crm_orders!$H:$H,D1260)</f>
        <v>0</v>
      </c>
      <c r="G1260" s="21">
        <f>SUMIFS(warehouse_shipments!$H:$H,warehouse_shipments!$C:$C,"&gt;="&amp;A1260,warehouse_shipments!$C:$C,"&lt;"&amp;DATE(YEAR(A1260),MONTH(A1260)+1,1),warehouse_shipments!$P:$P,B1260,warehouse_shipments!$Q:$Q,C1260,warehouse_shipments!$R:$R,D1260)</f>
        <v>0</v>
      </c>
      <c r="H1260" s="22">
        <f t="shared" si="1"/>
        <v>-449</v>
      </c>
      <c r="I1260" s="64">
        <f t="shared" si="2"/>
        <v>0</v>
      </c>
      <c r="J1260" s="22" t="s">
        <v>5308</v>
      </c>
    </row>
    <row r="1261" ht="15.75" customHeight="1">
      <c r="A1261" s="26">
        <v>46143.0</v>
      </c>
      <c r="B1261" s="25" t="s">
        <v>4186</v>
      </c>
      <c r="C1261" s="25" t="s">
        <v>67</v>
      </c>
      <c r="D1261" s="25" t="s">
        <v>156</v>
      </c>
      <c r="E1261" s="29">
        <v>140.0</v>
      </c>
      <c r="F1261" s="29">
        <f>SUMIFS(crm_orders!$J:$J,crm_orders!$B:$B,"&gt;="&amp;A1261,crm_orders!$B:$B,"&lt;"&amp;DATE(YEAR(A1261),MONTH(A1261)+1,1),crm_orders!$E:$E,B1261,crm_orders!$G:$G,C1261,crm_orders!$H:$H,D1261)</f>
        <v>0</v>
      </c>
      <c r="G1261" s="29">
        <f>SUMIFS(warehouse_shipments!$H:$H,warehouse_shipments!$C:$C,"&gt;="&amp;A1261,warehouse_shipments!$C:$C,"&lt;"&amp;DATE(YEAR(A1261),MONTH(A1261)+1,1),warehouse_shipments!$P:$P,B1261,warehouse_shipments!$Q:$Q,C1261,warehouse_shipments!$R:$R,D1261)</f>
        <v>0</v>
      </c>
      <c r="H1261" s="30">
        <f t="shared" si="1"/>
        <v>-140</v>
      </c>
      <c r="I1261" s="65">
        <f t="shared" si="2"/>
        <v>0</v>
      </c>
      <c r="J1261" s="30" t="s">
        <v>5310</v>
      </c>
    </row>
    <row r="1262" ht="15.75" customHeight="1">
      <c r="A1262" s="18">
        <v>46143.0</v>
      </c>
      <c r="B1262" s="17" t="s">
        <v>4186</v>
      </c>
      <c r="C1262" s="17" t="s">
        <v>67</v>
      </c>
      <c r="D1262" s="17" t="s">
        <v>85</v>
      </c>
      <c r="E1262" s="21">
        <v>344.0</v>
      </c>
      <c r="F1262" s="21">
        <f>SUMIFS(crm_orders!$J:$J,crm_orders!$B:$B,"&gt;="&amp;A1262,crm_orders!$B:$B,"&lt;"&amp;DATE(YEAR(A1262),MONTH(A1262)+1,1),crm_orders!$E:$E,B1262,crm_orders!$G:$G,C1262,crm_orders!$H:$H,D1262)</f>
        <v>0</v>
      </c>
      <c r="G1262" s="21">
        <f>SUMIFS(warehouse_shipments!$H:$H,warehouse_shipments!$C:$C,"&gt;="&amp;A1262,warehouse_shipments!$C:$C,"&lt;"&amp;DATE(YEAR(A1262),MONTH(A1262)+1,1),warehouse_shipments!$P:$P,B1262,warehouse_shipments!$Q:$Q,C1262,warehouse_shipments!$R:$R,D1262)</f>
        <v>0</v>
      </c>
      <c r="H1262" s="22">
        <f t="shared" si="1"/>
        <v>-344</v>
      </c>
      <c r="I1262" s="64">
        <f t="shared" si="2"/>
        <v>0</v>
      </c>
      <c r="J1262" s="22" t="s">
        <v>5310</v>
      </c>
    </row>
    <row r="1263" ht="15.75" customHeight="1">
      <c r="A1263" s="26">
        <v>46143.0</v>
      </c>
      <c r="B1263" s="25" t="s">
        <v>4186</v>
      </c>
      <c r="C1263" s="25" t="s">
        <v>67</v>
      </c>
      <c r="D1263" s="25" t="s">
        <v>64</v>
      </c>
      <c r="E1263" s="29">
        <v>491.0</v>
      </c>
      <c r="F1263" s="29">
        <f>SUMIFS(crm_orders!$J:$J,crm_orders!$B:$B,"&gt;="&amp;A1263,crm_orders!$B:$B,"&lt;"&amp;DATE(YEAR(A1263),MONTH(A1263)+1,1),crm_orders!$E:$E,B1263,crm_orders!$G:$G,C1263,crm_orders!$H:$H,D1263)</f>
        <v>0</v>
      </c>
      <c r="G1263" s="29">
        <f>SUMIFS(warehouse_shipments!$H:$H,warehouse_shipments!$C:$C,"&gt;="&amp;A1263,warehouse_shipments!$C:$C,"&lt;"&amp;DATE(YEAR(A1263),MONTH(A1263)+1,1),warehouse_shipments!$P:$P,B1263,warehouse_shipments!$Q:$Q,C1263,warehouse_shipments!$R:$R,D1263)</f>
        <v>0</v>
      </c>
      <c r="H1263" s="30">
        <f t="shared" si="1"/>
        <v>-491</v>
      </c>
      <c r="I1263" s="65">
        <f t="shared" si="2"/>
        <v>0</v>
      </c>
      <c r="J1263" s="30" t="s">
        <v>5306</v>
      </c>
    </row>
    <row r="1264" ht="15.75" customHeight="1">
      <c r="A1264" s="18">
        <v>46143.0</v>
      </c>
      <c r="B1264" s="17" t="s">
        <v>4186</v>
      </c>
      <c r="C1264" s="17" t="s">
        <v>67</v>
      </c>
      <c r="D1264" s="17" t="s">
        <v>162</v>
      </c>
      <c r="E1264" s="21">
        <v>336.0</v>
      </c>
      <c r="F1264" s="21">
        <f>SUMIFS(crm_orders!$J:$J,crm_orders!$B:$B,"&gt;="&amp;A1264,crm_orders!$B:$B,"&lt;"&amp;DATE(YEAR(A1264),MONTH(A1264)+1,1),crm_orders!$E:$E,B1264,crm_orders!$G:$G,C1264,crm_orders!$H:$H,D1264)</f>
        <v>0</v>
      </c>
      <c r="G1264" s="21">
        <f>SUMIFS(warehouse_shipments!$H:$H,warehouse_shipments!$C:$C,"&gt;="&amp;A1264,warehouse_shipments!$C:$C,"&lt;"&amp;DATE(YEAR(A1264),MONTH(A1264)+1,1),warehouse_shipments!$P:$P,B1264,warehouse_shipments!$Q:$Q,C1264,warehouse_shipments!$R:$R,D1264)</f>
        <v>0</v>
      </c>
      <c r="H1264" s="22">
        <f t="shared" si="1"/>
        <v>-336</v>
      </c>
      <c r="I1264" s="64">
        <f t="shared" si="2"/>
        <v>0</v>
      </c>
      <c r="J1264" s="22" t="s">
        <v>5306</v>
      </c>
    </row>
    <row r="1265" ht="15.75" customHeight="1">
      <c r="A1265" s="26">
        <v>46143.0</v>
      </c>
      <c r="B1265" s="25" t="s">
        <v>4186</v>
      </c>
      <c r="C1265" s="25" t="s">
        <v>67</v>
      </c>
      <c r="D1265" s="25" t="s">
        <v>102</v>
      </c>
      <c r="E1265" s="29">
        <v>411.0</v>
      </c>
      <c r="F1265" s="29">
        <f>SUMIFS(crm_orders!$J:$J,crm_orders!$B:$B,"&gt;="&amp;A1265,crm_orders!$B:$B,"&lt;"&amp;DATE(YEAR(A1265),MONTH(A1265)+1,1),crm_orders!$E:$E,B1265,crm_orders!$G:$G,C1265,crm_orders!$H:$H,D1265)</f>
        <v>0</v>
      </c>
      <c r="G1265" s="29">
        <f>SUMIFS(warehouse_shipments!$H:$H,warehouse_shipments!$C:$C,"&gt;="&amp;A1265,warehouse_shipments!$C:$C,"&lt;"&amp;DATE(YEAR(A1265),MONTH(A1265)+1,1),warehouse_shipments!$P:$P,B1265,warehouse_shipments!$Q:$Q,C1265,warehouse_shipments!$R:$R,D1265)</f>
        <v>0</v>
      </c>
      <c r="H1265" s="30">
        <f t="shared" si="1"/>
        <v>-411</v>
      </c>
      <c r="I1265" s="65">
        <f t="shared" si="2"/>
        <v>0</v>
      </c>
      <c r="J1265" s="30" t="s">
        <v>5308</v>
      </c>
    </row>
    <row r="1266" ht="15.75" customHeight="1">
      <c r="A1266" s="18">
        <v>46143.0</v>
      </c>
      <c r="B1266" s="17" t="s">
        <v>4186</v>
      </c>
      <c r="C1266" s="17" t="s">
        <v>89</v>
      </c>
      <c r="D1266" s="17" t="s">
        <v>85</v>
      </c>
      <c r="E1266" s="21">
        <v>367.0</v>
      </c>
      <c r="F1266" s="21">
        <f>SUMIFS(crm_orders!$J:$J,crm_orders!$B:$B,"&gt;="&amp;A1266,crm_orders!$B:$B,"&lt;"&amp;DATE(YEAR(A1266),MONTH(A1266)+1,1),crm_orders!$E:$E,B1266,crm_orders!$G:$G,C1266,crm_orders!$H:$H,D1266)</f>
        <v>0</v>
      </c>
      <c r="G1266" s="21">
        <f>SUMIFS(warehouse_shipments!$H:$H,warehouse_shipments!$C:$C,"&gt;="&amp;A1266,warehouse_shipments!$C:$C,"&lt;"&amp;DATE(YEAR(A1266),MONTH(A1266)+1,1),warehouse_shipments!$P:$P,B1266,warehouse_shipments!$Q:$Q,C1266,warehouse_shipments!$R:$R,D1266)</f>
        <v>0</v>
      </c>
      <c r="H1266" s="22">
        <f t="shared" si="1"/>
        <v>-367</v>
      </c>
      <c r="I1266" s="64">
        <f t="shared" si="2"/>
        <v>0</v>
      </c>
      <c r="J1266" s="22" t="s">
        <v>5309</v>
      </c>
    </row>
    <row r="1267" ht="15.75" customHeight="1">
      <c r="A1267" s="26">
        <v>46143.0</v>
      </c>
      <c r="B1267" s="25" t="s">
        <v>4186</v>
      </c>
      <c r="C1267" s="25" t="s">
        <v>89</v>
      </c>
      <c r="D1267" s="25" t="s">
        <v>123</v>
      </c>
      <c r="E1267" s="29">
        <v>174.0</v>
      </c>
      <c r="F1267" s="29">
        <f>SUMIFS(crm_orders!$J:$J,crm_orders!$B:$B,"&gt;="&amp;A1267,crm_orders!$B:$B,"&lt;"&amp;DATE(YEAR(A1267),MONTH(A1267)+1,1),crm_orders!$E:$E,B1267,crm_orders!$G:$G,C1267,crm_orders!$H:$H,D1267)</f>
        <v>0</v>
      </c>
      <c r="G1267" s="29">
        <f>SUMIFS(warehouse_shipments!$H:$H,warehouse_shipments!$C:$C,"&gt;="&amp;A1267,warehouse_shipments!$C:$C,"&lt;"&amp;DATE(YEAR(A1267),MONTH(A1267)+1,1),warehouse_shipments!$P:$P,B1267,warehouse_shipments!$Q:$Q,C1267,warehouse_shipments!$R:$R,D1267)</f>
        <v>0</v>
      </c>
      <c r="H1267" s="30">
        <f t="shared" si="1"/>
        <v>-174</v>
      </c>
      <c r="I1267" s="65">
        <f t="shared" si="2"/>
        <v>0</v>
      </c>
      <c r="J1267" s="30" t="s">
        <v>5308</v>
      </c>
    </row>
    <row r="1268" ht="15.75" customHeight="1">
      <c r="A1268" s="18">
        <v>46143.0</v>
      </c>
      <c r="B1268" s="17" t="s">
        <v>4186</v>
      </c>
      <c r="C1268" s="17" t="s">
        <v>89</v>
      </c>
      <c r="D1268" s="17" t="s">
        <v>78</v>
      </c>
      <c r="E1268" s="21">
        <v>199.0</v>
      </c>
      <c r="F1268" s="21">
        <f>SUMIFS(crm_orders!$J:$J,crm_orders!$B:$B,"&gt;="&amp;A1268,crm_orders!$B:$B,"&lt;"&amp;DATE(YEAR(A1268),MONTH(A1268)+1,1),crm_orders!$E:$E,B1268,crm_orders!$G:$G,C1268,crm_orders!$H:$H,D1268)</f>
        <v>0</v>
      </c>
      <c r="G1268" s="21">
        <f>SUMIFS(warehouse_shipments!$H:$H,warehouse_shipments!$C:$C,"&gt;="&amp;A1268,warehouse_shipments!$C:$C,"&lt;"&amp;DATE(YEAR(A1268),MONTH(A1268)+1,1),warehouse_shipments!$P:$P,B1268,warehouse_shipments!$Q:$Q,C1268,warehouse_shipments!$R:$R,D1268)</f>
        <v>0</v>
      </c>
      <c r="H1268" s="22">
        <f t="shared" si="1"/>
        <v>-199</v>
      </c>
      <c r="I1268" s="64">
        <f t="shared" si="2"/>
        <v>0</v>
      </c>
      <c r="J1268" s="22" t="s">
        <v>5310</v>
      </c>
    </row>
    <row r="1269" ht="15.75" customHeight="1">
      <c r="A1269" s="26">
        <v>46143.0</v>
      </c>
      <c r="B1269" s="25" t="s">
        <v>4186</v>
      </c>
      <c r="C1269" s="25" t="s">
        <v>89</v>
      </c>
      <c r="D1269" s="25" t="s">
        <v>115</v>
      </c>
      <c r="E1269" s="29">
        <v>99.0</v>
      </c>
      <c r="F1269" s="29">
        <f>SUMIFS(crm_orders!$J:$J,crm_orders!$B:$B,"&gt;="&amp;A1269,crm_orders!$B:$B,"&lt;"&amp;DATE(YEAR(A1269),MONTH(A1269)+1,1),crm_orders!$E:$E,B1269,crm_orders!$G:$G,C1269,crm_orders!$H:$H,D1269)</f>
        <v>0</v>
      </c>
      <c r="G1269" s="29">
        <f>SUMIFS(warehouse_shipments!$H:$H,warehouse_shipments!$C:$C,"&gt;="&amp;A1269,warehouse_shipments!$C:$C,"&lt;"&amp;DATE(YEAR(A1269),MONTH(A1269)+1,1),warehouse_shipments!$P:$P,B1269,warehouse_shipments!$Q:$Q,C1269,warehouse_shipments!$R:$R,D1269)</f>
        <v>0</v>
      </c>
      <c r="H1269" s="30">
        <f t="shared" si="1"/>
        <v>-99</v>
      </c>
      <c r="I1269" s="65">
        <f t="shared" si="2"/>
        <v>0</v>
      </c>
      <c r="J1269" s="30" t="s">
        <v>5310</v>
      </c>
    </row>
    <row r="1270" ht="15.75" customHeight="1">
      <c r="A1270" s="18">
        <v>46143.0</v>
      </c>
      <c r="B1270" s="17" t="s">
        <v>4186</v>
      </c>
      <c r="C1270" s="17" t="s">
        <v>89</v>
      </c>
      <c r="D1270" s="17" t="s">
        <v>92</v>
      </c>
      <c r="E1270" s="21">
        <v>110.0</v>
      </c>
      <c r="F1270" s="21">
        <f>SUMIFS(crm_orders!$J:$J,crm_orders!$B:$B,"&gt;="&amp;A1270,crm_orders!$B:$B,"&lt;"&amp;DATE(YEAR(A1270),MONTH(A1270)+1,1),crm_orders!$E:$E,B1270,crm_orders!$G:$G,C1270,crm_orders!$H:$H,D1270)</f>
        <v>0</v>
      </c>
      <c r="G1270" s="21">
        <f>SUMIFS(warehouse_shipments!$H:$H,warehouse_shipments!$C:$C,"&gt;="&amp;A1270,warehouse_shipments!$C:$C,"&lt;"&amp;DATE(YEAR(A1270),MONTH(A1270)+1,1),warehouse_shipments!$P:$P,B1270,warehouse_shipments!$Q:$Q,C1270,warehouse_shipments!$R:$R,D1270)</f>
        <v>0</v>
      </c>
      <c r="H1270" s="22">
        <f t="shared" si="1"/>
        <v>-110</v>
      </c>
      <c r="I1270" s="64">
        <f t="shared" si="2"/>
        <v>0</v>
      </c>
      <c r="J1270" s="22" t="s">
        <v>5310</v>
      </c>
    </row>
    <row r="1271" ht="15.75" customHeight="1">
      <c r="A1271" s="26">
        <v>46143.0</v>
      </c>
      <c r="B1271" s="25" t="s">
        <v>4186</v>
      </c>
      <c r="C1271" s="25" t="s">
        <v>89</v>
      </c>
      <c r="D1271" s="25" t="s">
        <v>95</v>
      </c>
      <c r="E1271" s="29">
        <v>503.0</v>
      </c>
      <c r="F1271" s="29">
        <f>SUMIFS(crm_orders!$J:$J,crm_orders!$B:$B,"&gt;="&amp;A1271,crm_orders!$B:$B,"&lt;"&amp;DATE(YEAR(A1271),MONTH(A1271)+1,1),crm_orders!$E:$E,B1271,crm_orders!$G:$G,C1271,crm_orders!$H:$H,D1271)</f>
        <v>0</v>
      </c>
      <c r="G1271" s="29">
        <f>SUMIFS(warehouse_shipments!$H:$H,warehouse_shipments!$C:$C,"&gt;="&amp;A1271,warehouse_shipments!$C:$C,"&lt;"&amp;DATE(YEAR(A1271),MONTH(A1271)+1,1),warehouse_shipments!$P:$P,B1271,warehouse_shipments!$Q:$Q,C1271,warehouse_shipments!$R:$R,D1271)</f>
        <v>0</v>
      </c>
      <c r="H1271" s="30">
        <f t="shared" si="1"/>
        <v>-503</v>
      </c>
      <c r="I1271" s="65">
        <f t="shared" si="2"/>
        <v>0</v>
      </c>
      <c r="J1271" s="30" t="s">
        <v>5308</v>
      </c>
    </row>
    <row r="1272" ht="15.75" customHeight="1">
      <c r="A1272" s="18">
        <v>46143.0</v>
      </c>
      <c r="B1272" s="17" t="s">
        <v>4186</v>
      </c>
      <c r="C1272" s="17" t="s">
        <v>89</v>
      </c>
      <c r="D1272" s="17" t="s">
        <v>102</v>
      </c>
      <c r="E1272" s="21">
        <v>284.0</v>
      </c>
      <c r="F1272" s="21">
        <f>SUMIFS(crm_orders!$J:$J,crm_orders!$B:$B,"&gt;="&amp;A1272,crm_orders!$B:$B,"&lt;"&amp;DATE(YEAR(A1272),MONTH(A1272)+1,1),crm_orders!$E:$E,B1272,crm_orders!$G:$G,C1272,crm_orders!$H:$H,D1272)</f>
        <v>0</v>
      </c>
      <c r="G1272" s="21">
        <f>SUMIFS(warehouse_shipments!$H:$H,warehouse_shipments!$C:$C,"&gt;="&amp;A1272,warehouse_shipments!$C:$C,"&lt;"&amp;DATE(YEAR(A1272),MONTH(A1272)+1,1),warehouse_shipments!$P:$P,B1272,warehouse_shipments!$Q:$Q,C1272,warehouse_shipments!$R:$R,D1272)</f>
        <v>0</v>
      </c>
      <c r="H1272" s="22">
        <f t="shared" si="1"/>
        <v>-284</v>
      </c>
      <c r="I1272" s="64">
        <f t="shared" si="2"/>
        <v>0</v>
      </c>
      <c r="J1272" s="22" t="s">
        <v>5306</v>
      </c>
    </row>
    <row r="1273" ht="15.75" customHeight="1">
      <c r="A1273" s="26">
        <v>46143.0</v>
      </c>
      <c r="B1273" s="25" t="s">
        <v>4186</v>
      </c>
      <c r="C1273" s="25" t="s">
        <v>89</v>
      </c>
      <c r="D1273" s="25" t="s">
        <v>108</v>
      </c>
      <c r="E1273" s="29">
        <v>195.0</v>
      </c>
      <c r="F1273" s="29">
        <f>SUMIFS(crm_orders!$J:$J,crm_orders!$B:$B,"&gt;="&amp;A1273,crm_orders!$B:$B,"&lt;"&amp;DATE(YEAR(A1273),MONTH(A1273)+1,1),crm_orders!$E:$E,B1273,crm_orders!$G:$G,C1273,crm_orders!$H:$H,D1273)</f>
        <v>0</v>
      </c>
      <c r="G1273" s="29">
        <f>SUMIFS(warehouse_shipments!$H:$H,warehouse_shipments!$C:$C,"&gt;="&amp;A1273,warehouse_shipments!$C:$C,"&lt;"&amp;DATE(YEAR(A1273),MONTH(A1273)+1,1),warehouse_shipments!$P:$P,B1273,warehouse_shipments!$Q:$Q,C1273,warehouse_shipments!$R:$R,D1273)</f>
        <v>0</v>
      </c>
      <c r="H1273" s="30">
        <f t="shared" si="1"/>
        <v>-195</v>
      </c>
      <c r="I1273" s="65">
        <f t="shared" si="2"/>
        <v>0</v>
      </c>
      <c r="J1273" s="30" t="s">
        <v>5309</v>
      </c>
    </row>
    <row r="1274" ht="15.75" customHeight="1">
      <c r="A1274" s="18">
        <v>46143.0</v>
      </c>
      <c r="B1274" s="17" t="s">
        <v>4261</v>
      </c>
      <c r="C1274" s="17" t="s">
        <v>63</v>
      </c>
      <c r="D1274" s="17" t="s">
        <v>81</v>
      </c>
      <c r="E1274" s="21">
        <v>412.0</v>
      </c>
      <c r="F1274" s="21">
        <f>SUMIFS(crm_orders!$J:$J,crm_orders!$B:$B,"&gt;="&amp;A1274,crm_orders!$B:$B,"&lt;"&amp;DATE(YEAR(A1274),MONTH(A1274)+1,1),crm_orders!$E:$E,B1274,crm_orders!$G:$G,C1274,crm_orders!$H:$H,D1274)</f>
        <v>0</v>
      </c>
      <c r="G1274" s="21">
        <f>SUMIFS(warehouse_shipments!$H:$H,warehouse_shipments!$C:$C,"&gt;="&amp;A1274,warehouse_shipments!$C:$C,"&lt;"&amp;DATE(YEAR(A1274),MONTH(A1274)+1,1),warehouse_shipments!$P:$P,B1274,warehouse_shipments!$Q:$Q,C1274,warehouse_shipments!$R:$R,D1274)</f>
        <v>96</v>
      </c>
      <c r="H1274" s="22">
        <f t="shared" si="1"/>
        <v>-412</v>
      </c>
      <c r="I1274" s="64">
        <f t="shared" si="2"/>
        <v>0</v>
      </c>
      <c r="J1274" s="22" t="s">
        <v>5309</v>
      </c>
    </row>
    <row r="1275" ht="15.75" customHeight="1">
      <c r="A1275" s="26">
        <v>46143.0</v>
      </c>
      <c r="B1275" s="25" t="s">
        <v>4261</v>
      </c>
      <c r="C1275" s="25" t="s">
        <v>63</v>
      </c>
      <c r="D1275" s="25" t="s">
        <v>156</v>
      </c>
      <c r="E1275" s="29">
        <v>503.0</v>
      </c>
      <c r="F1275" s="29">
        <f>SUMIFS(crm_orders!$J:$J,crm_orders!$B:$B,"&gt;="&amp;A1275,crm_orders!$B:$B,"&lt;"&amp;DATE(YEAR(A1275),MONTH(A1275)+1,1),crm_orders!$E:$E,B1275,crm_orders!$G:$G,C1275,crm_orders!$H:$H,D1275)</f>
        <v>0</v>
      </c>
      <c r="G1275" s="29">
        <f>SUMIFS(warehouse_shipments!$H:$H,warehouse_shipments!$C:$C,"&gt;="&amp;A1275,warehouse_shipments!$C:$C,"&lt;"&amp;DATE(YEAR(A1275),MONTH(A1275)+1,1),warehouse_shipments!$P:$P,B1275,warehouse_shipments!$Q:$Q,C1275,warehouse_shipments!$R:$R,D1275)</f>
        <v>0</v>
      </c>
      <c r="H1275" s="30">
        <f t="shared" si="1"/>
        <v>-503</v>
      </c>
      <c r="I1275" s="65">
        <f t="shared" si="2"/>
        <v>0</v>
      </c>
      <c r="J1275" s="30" t="s">
        <v>5306</v>
      </c>
    </row>
    <row r="1276" ht="15.75" customHeight="1">
      <c r="A1276" s="18">
        <v>46143.0</v>
      </c>
      <c r="B1276" s="17" t="s">
        <v>4261</v>
      </c>
      <c r="C1276" s="17" t="s">
        <v>63</v>
      </c>
      <c r="D1276" s="17" t="s">
        <v>92</v>
      </c>
      <c r="E1276" s="21">
        <v>311.0</v>
      </c>
      <c r="F1276" s="21">
        <f>SUMIFS(crm_orders!$J:$J,crm_orders!$B:$B,"&gt;="&amp;A1276,crm_orders!$B:$B,"&lt;"&amp;DATE(YEAR(A1276),MONTH(A1276)+1,1),crm_orders!$E:$E,B1276,crm_orders!$G:$G,C1276,crm_orders!$H:$H,D1276)</f>
        <v>0</v>
      </c>
      <c r="G1276" s="21">
        <f>SUMIFS(warehouse_shipments!$H:$H,warehouse_shipments!$C:$C,"&gt;="&amp;A1276,warehouse_shipments!$C:$C,"&lt;"&amp;DATE(YEAR(A1276),MONTH(A1276)+1,1),warehouse_shipments!$P:$P,B1276,warehouse_shipments!$Q:$Q,C1276,warehouse_shipments!$R:$R,D1276)</f>
        <v>0</v>
      </c>
      <c r="H1276" s="22">
        <f t="shared" si="1"/>
        <v>-311</v>
      </c>
      <c r="I1276" s="64">
        <f t="shared" si="2"/>
        <v>0</v>
      </c>
      <c r="J1276" s="22" t="s">
        <v>5306</v>
      </c>
    </row>
    <row r="1277" ht="15.75" customHeight="1">
      <c r="A1277" s="26">
        <v>46143.0</v>
      </c>
      <c r="B1277" s="25" t="s">
        <v>4261</v>
      </c>
      <c r="C1277" s="25" t="s">
        <v>63</v>
      </c>
      <c r="D1277" s="25" t="s">
        <v>110</v>
      </c>
      <c r="E1277" s="29">
        <v>199.0</v>
      </c>
      <c r="F1277" s="29">
        <f>SUMIFS(crm_orders!$J:$J,crm_orders!$B:$B,"&gt;="&amp;A1277,crm_orders!$B:$B,"&lt;"&amp;DATE(YEAR(A1277),MONTH(A1277)+1,1),crm_orders!$E:$E,B1277,crm_orders!$G:$G,C1277,crm_orders!$H:$H,D1277)</f>
        <v>0</v>
      </c>
      <c r="G1277" s="29">
        <f>SUMIFS(warehouse_shipments!$H:$H,warehouse_shipments!$C:$C,"&gt;="&amp;A1277,warehouse_shipments!$C:$C,"&lt;"&amp;DATE(YEAR(A1277),MONTH(A1277)+1,1),warehouse_shipments!$P:$P,B1277,warehouse_shipments!$Q:$Q,C1277,warehouse_shipments!$R:$R,D1277)</f>
        <v>0</v>
      </c>
      <c r="H1277" s="30">
        <f t="shared" si="1"/>
        <v>-199</v>
      </c>
      <c r="I1277" s="65">
        <f t="shared" si="2"/>
        <v>0</v>
      </c>
      <c r="J1277" s="30" t="s">
        <v>5306</v>
      </c>
    </row>
    <row r="1278" ht="15.75" customHeight="1">
      <c r="A1278" s="18">
        <v>46143.0</v>
      </c>
      <c r="B1278" s="17" t="s">
        <v>4261</v>
      </c>
      <c r="C1278" s="17" t="s">
        <v>63</v>
      </c>
      <c r="D1278" s="17" t="s">
        <v>85</v>
      </c>
      <c r="E1278" s="21">
        <v>395.0</v>
      </c>
      <c r="F1278" s="21">
        <f>SUMIFS(crm_orders!$J:$J,crm_orders!$B:$B,"&gt;="&amp;A1278,crm_orders!$B:$B,"&lt;"&amp;DATE(YEAR(A1278),MONTH(A1278)+1,1),crm_orders!$E:$E,B1278,crm_orders!$G:$G,C1278,crm_orders!$H:$H,D1278)</f>
        <v>0</v>
      </c>
      <c r="G1278" s="21">
        <f>SUMIFS(warehouse_shipments!$H:$H,warehouse_shipments!$C:$C,"&gt;="&amp;A1278,warehouse_shipments!$C:$C,"&lt;"&amp;DATE(YEAR(A1278),MONTH(A1278)+1,1),warehouse_shipments!$P:$P,B1278,warehouse_shipments!$Q:$Q,C1278,warehouse_shipments!$R:$R,D1278)</f>
        <v>0</v>
      </c>
      <c r="H1278" s="22">
        <f t="shared" si="1"/>
        <v>-395</v>
      </c>
      <c r="I1278" s="64">
        <f t="shared" si="2"/>
        <v>0</v>
      </c>
      <c r="J1278" s="22" t="s">
        <v>5310</v>
      </c>
    </row>
    <row r="1279" ht="15.75" customHeight="1">
      <c r="A1279" s="26">
        <v>46143.0</v>
      </c>
      <c r="B1279" s="25" t="s">
        <v>4261</v>
      </c>
      <c r="C1279" s="25" t="s">
        <v>63</v>
      </c>
      <c r="D1279" s="25" t="s">
        <v>78</v>
      </c>
      <c r="E1279" s="29">
        <v>420.0</v>
      </c>
      <c r="F1279" s="29">
        <f>SUMIFS(crm_orders!$J:$J,crm_orders!$B:$B,"&gt;="&amp;A1279,crm_orders!$B:$B,"&lt;"&amp;DATE(YEAR(A1279),MONTH(A1279)+1,1),crm_orders!$E:$E,B1279,crm_orders!$G:$G,C1279,crm_orders!$H:$H,D1279)</f>
        <v>0</v>
      </c>
      <c r="G1279" s="29">
        <f>SUMIFS(warehouse_shipments!$H:$H,warehouse_shipments!$C:$C,"&gt;="&amp;A1279,warehouse_shipments!$C:$C,"&lt;"&amp;DATE(YEAR(A1279),MONTH(A1279)+1,1),warehouse_shipments!$P:$P,B1279,warehouse_shipments!$Q:$Q,C1279,warehouse_shipments!$R:$R,D1279)</f>
        <v>0</v>
      </c>
      <c r="H1279" s="30">
        <f t="shared" si="1"/>
        <v>-420</v>
      </c>
      <c r="I1279" s="65">
        <f t="shared" si="2"/>
        <v>0</v>
      </c>
      <c r="J1279" s="30" t="s">
        <v>5309</v>
      </c>
    </row>
    <row r="1280" ht="15.75" customHeight="1">
      <c r="A1280" s="18">
        <v>46143.0</v>
      </c>
      <c r="B1280" s="17" t="s">
        <v>4261</v>
      </c>
      <c r="C1280" s="17" t="s">
        <v>63</v>
      </c>
      <c r="D1280" s="17" t="s">
        <v>190</v>
      </c>
      <c r="E1280" s="21">
        <v>386.0</v>
      </c>
      <c r="F1280" s="21">
        <f>SUMIFS(crm_orders!$J:$J,crm_orders!$B:$B,"&gt;="&amp;A1280,crm_orders!$B:$B,"&lt;"&amp;DATE(YEAR(A1280),MONTH(A1280)+1,1),crm_orders!$E:$E,B1280,crm_orders!$G:$G,C1280,crm_orders!$H:$H,D1280)</f>
        <v>0</v>
      </c>
      <c r="G1280" s="21">
        <f>SUMIFS(warehouse_shipments!$H:$H,warehouse_shipments!$C:$C,"&gt;="&amp;A1280,warehouse_shipments!$C:$C,"&lt;"&amp;DATE(YEAR(A1280),MONTH(A1280)+1,1),warehouse_shipments!$P:$P,B1280,warehouse_shipments!$Q:$Q,C1280,warehouse_shipments!$R:$R,D1280)</f>
        <v>0</v>
      </c>
      <c r="H1280" s="22">
        <f t="shared" si="1"/>
        <v>-386</v>
      </c>
      <c r="I1280" s="64">
        <f t="shared" si="2"/>
        <v>0</v>
      </c>
      <c r="J1280" s="22" t="s">
        <v>5309</v>
      </c>
    </row>
    <row r="1281" ht="15.75" customHeight="1">
      <c r="A1281" s="26">
        <v>46143.0</v>
      </c>
      <c r="B1281" s="25" t="s">
        <v>4261</v>
      </c>
      <c r="C1281" s="25" t="s">
        <v>63</v>
      </c>
      <c r="D1281" s="25" t="s">
        <v>95</v>
      </c>
      <c r="E1281" s="29">
        <v>500.0</v>
      </c>
      <c r="F1281" s="29">
        <f>SUMIFS(crm_orders!$J:$J,crm_orders!$B:$B,"&gt;="&amp;A1281,crm_orders!$B:$B,"&lt;"&amp;DATE(YEAR(A1281),MONTH(A1281)+1,1),crm_orders!$E:$E,B1281,crm_orders!$G:$G,C1281,crm_orders!$H:$H,D1281)</f>
        <v>0</v>
      </c>
      <c r="G1281" s="29">
        <f>SUMIFS(warehouse_shipments!$H:$H,warehouse_shipments!$C:$C,"&gt;="&amp;A1281,warehouse_shipments!$C:$C,"&lt;"&amp;DATE(YEAR(A1281),MONTH(A1281)+1,1),warehouse_shipments!$P:$P,B1281,warehouse_shipments!$Q:$Q,C1281,warehouse_shipments!$R:$R,D1281)</f>
        <v>0</v>
      </c>
      <c r="H1281" s="30">
        <f t="shared" si="1"/>
        <v>-500</v>
      </c>
      <c r="I1281" s="65">
        <f t="shared" si="2"/>
        <v>0</v>
      </c>
      <c r="J1281" s="30" t="s">
        <v>5311</v>
      </c>
    </row>
    <row r="1282" ht="15.75" customHeight="1">
      <c r="A1282" s="18">
        <v>46143.0</v>
      </c>
      <c r="B1282" s="17" t="s">
        <v>4261</v>
      </c>
      <c r="C1282" s="17" t="s">
        <v>67</v>
      </c>
      <c r="D1282" s="17" t="s">
        <v>106</v>
      </c>
      <c r="E1282" s="21">
        <v>342.0</v>
      </c>
      <c r="F1282" s="21">
        <f>SUMIFS(crm_orders!$J:$J,crm_orders!$B:$B,"&gt;="&amp;A1282,crm_orders!$B:$B,"&lt;"&amp;DATE(YEAR(A1282),MONTH(A1282)+1,1),crm_orders!$E:$E,B1282,crm_orders!$G:$G,C1282,crm_orders!$H:$H,D1282)</f>
        <v>0</v>
      </c>
      <c r="G1282" s="21">
        <f>SUMIFS(warehouse_shipments!$H:$H,warehouse_shipments!$C:$C,"&gt;="&amp;A1282,warehouse_shipments!$C:$C,"&lt;"&amp;DATE(YEAR(A1282),MONTH(A1282)+1,1),warehouse_shipments!$P:$P,B1282,warehouse_shipments!$Q:$Q,C1282,warehouse_shipments!$R:$R,D1282)</f>
        <v>0</v>
      </c>
      <c r="H1282" s="22">
        <f t="shared" si="1"/>
        <v>-342</v>
      </c>
      <c r="I1282" s="64">
        <f t="shared" si="2"/>
        <v>0</v>
      </c>
      <c r="J1282" s="22" t="s">
        <v>5311</v>
      </c>
    </row>
    <row r="1283" ht="15.75" customHeight="1">
      <c r="A1283" s="26">
        <v>46143.0</v>
      </c>
      <c r="B1283" s="25" t="s">
        <v>4261</v>
      </c>
      <c r="C1283" s="25" t="s">
        <v>67</v>
      </c>
      <c r="D1283" s="25" t="s">
        <v>102</v>
      </c>
      <c r="E1283" s="29">
        <v>260.0</v>
      </c>
      <c r="F1283" s="29">
        <f>SUMIFS(crm_orders!$J:$J,crm_orders!$B:$B,"&gt;="&amp;A1283,crm_orders!$B:$B,"&lt;"&amp;DATE(YEAR(A1283),MONTH(A1283)+1,1),crm_orders!$E:$E,B1283,crm_orders!$G:$G,C1283,crm_orders!$H:$H,D1283)</f>
        <v>0</v>
      </c>
      <c r="G1283" s="29">
        <f>SUMIFS(warehouse_shipments!$H:$H,warehouse_shipments!$C:$C,"&gt;="&amp;A1283,warehouse_shipments!$C:$C,"&lt;"&amp;DATE(YEAR(A1283),MONTH(A1283)+1,1),warehouse_shipments!$P:$P,B1283,warehouse_shipments!$Q:$Q,C1283,warehouse_shipments!$R:$R,D1283)</f>
        <v>0</v>
      </c>
      <c r="H1283" s="30">
        <f t="shared" si="1"/>
        <v>-260</v>
      </c>
      <c r="I1283" s="65">
        <f t="shared" si="2"/>
        <v>0</v>
      </c>
      <c r="J1283" s="30" t="s">
        <v>5310</v>
      </c>
    </row>
    <row r="1284" ht="15.75" customHeight="1">
      <c r="A1284" s="18">
        <v>46143.0</v>
      </c>
      <c r="B1284" s="17" t="s">
        <v>4261</v>
      </c>
      <c r="C1284" s="17" t="s">
        <v>67</v>
      </c>
      <c r="D1284" s="17" t="s">
        <v>68</v>
      </c>
      <c r="E1284" s="21">
        <v>429.0</v>
      </c>
      <c r="F1284" s="21">
        <f>SUMIFS(crm_orders!$J:$J,crm_orders!$B:$B,"&gt;="&amp;A1284,crm_orders!$B:$B,"&lt;"&amp;DATE(YEAR(A1284),MONTH(A1284)+1,1),crm_orders!$E:$E,B1284,crm_orders!$G:$G,C1284,crm_orders!$H:$H,D1284)</f>
        <v>0</v>
      </c>
      <c r="G1284" s="21">
        <f>SUMIFS(warehouse_shipments!$H:$H,warehouse_shipments!$C:$C,"&gt;="&amp;A1284,warehouse_shipments!$C:$C,"&lt;"&amp;DATE(YEAR(A1284),MONTH(A1284)+1,1),warehouse_shipments!$P:$P,B1284,warehouse_shipments!$Q:$Q,C1284,warehouse_shipments!$R:$R,D1284)</f>
        <v>0</v>
      </c>
      <c r="H1284" s="22">
        <f t="shared" si="1"/>
        <v>-429</v>
      </c>
      <c r="I1284" s="64">
        <f t="shared" si="2"/>
        <v>0</v>
      </c>
      <c r="J1284" s="22" t="s">
        <v>5310</v>
      </c>
    </row>
    <row r="1285" ht="15.75" customHeight="1">
      <c r="A1285" s="26">
        <v>46143.0</v>
      </c>
      <c r="B1285" s="25" t="s">
        <v>4261</v>
      </c>
      <c r="C1285" s="25" t="s">
        <v>67</v>
      </c>
      <c r="D1285" s="25" t="s">
        <v>78</v>
      </c>
      <c r="E1285" s="29">
        <v>269.0</v>
      </c>
      <c r="F1285" s="29">
        <f>SUMIFS(crm_orders!$J:$J,crm_orders!$B:$B,"&gt;="&amp;A1285,crm_orders!$B:$B,"&lt;"&amp;DATE(YEAR(A1285),MONTH(A1285)+1,1),crm_orders!$E:$E,B1285,crm_orders!$G:$G,C1285,crm_orders!$H:$H,D1285)</f>
        <v>0</v>
      </c>
      <c r="G1285" s="29">
        <f>SUMIFS(warehouse_shipments!$H:$H,warehouse_shipments!$C:$C,"&gt;="&amp;A1285,warehouse_shipments!$C:$C,"&lt;"&amp;DATE(YEAR(A1285),MONTH(A1285)+1,1),warehouse_shipments!$P:$P,B1285,warehouse_shipments!$Q:$Q,C1285,warehouse_shipments!$R:$R,D1285)</f>
        <v>0</v>
      </c>
      <c r="H1285" s="30">
        <f t="shared" si="1"/>
        <v>-269</v>
      </c>
      <c r="I1285" s="65">
        <f t="shared" si="2"/>
        <v>0</v>
      </c>
      <c r="J1285" s="30" t="s">
        <v>5306</v>
      </c>
    </row>
    <row r="1286" ht="15.75" customHeight="1">
      <c r="A1286" s="18">
        <v>46143.0</v>
      </c>
      <c r="B1286" s="17" t="s">
        <v>4261</v>
      </c>
      <c r="C1286" s="17" t="s">
        <v>67</v>
      </c>
      <c r="D1286" s="17" t="s">
        <v>110</v>
      </c>
      <c r="E1286" s="21">
        <v>432.0</v>
      </c>
      <c r="F1286" s="21">
        <f>SUMIFS(crm_orders!$J:$J,crm_orders!$B:$B,"&gt;="&amp;A1286,crm_orders!$B:$B,"&lt;"&amp;DATE(YEAR(A1286),MONTH(A1286)+1,1),crm_orders!$E:$E,B1286,crm_orders!$G:$G,C1286,crm_orders!$H:$H,D1286)</f>
        <v>0</v>
      </c>
      <c r="G1286" s="21">
        <f>SUMIFS(warehouse_shipments!$H:$H,warehouse_shipments!$C:$C,"&gt;="&amp;A1286,warehouse_shipments!$C:$C,"&lt;"&amp;DATE(YEAR(A1286),MONTH(A1286)+1,1),warehouse_shipments!$P:$P,B1286,warehouse_shipments!$Q:$Q,C1286,warehouse_shipments!$R:$R,D1286)</f>
        <v>0</v>
      </c>
      <c r="H1286" s="22">
        <f t="shared" si="1"/>
        <v>-432</v>
      </c>
      <c r="I1286" s="64">
        <f t="shared" si="2"/>
        <v>0</v>
      </c>
      <c r="J1286" s="22" t="s">
        <v>5311</v>
      </c>
    </row>
    <row r="1287" ht="15.75" customHeight="1">
      <c r="A1287" s="26">
        <v>46143.0</v>
      </c>
      <c r="B1287" s="25" t="s">
        <v>4261</v>
      </c>
      <c r="C1287" s="25" t="s">
        <v>67</v>
      </c>
      <c r="D1287" s="25" t="s">
        <v>85</v>
      </c>
      <c r="E1287" s="29">
        <v>225.0</v>
      </c>
      <c r="F1287" s="29">
        <f>SUMIFS(crm_orders!$J:$J,crm_orders!$B:$B,"&gt;="&amp;A1287,crm_orders!$B:$B,"&lt;"&amp;DATE(YEAR(A1287),MONTH(A1287)+1,1),crm_orders!$E:$E,B1287,crm_orders!$G:$G,C1287,crm_orders!$H:$H,D1287)</f>
        <v>0</v>
      </c>
      <c r="G1287" s="29">
        <f>SUMIFS(warehouse_shipments!$H:$H,warehouse_shipments!$C:$C,"&gt;="&amp;A1287,warehouse_shipments!$C:$C,"&lt;"&amp;DATE(YEAR(A1287),MONTH(A1287)+1,1),warehouse_shipments!$P:$P,B1287,warehouse_shipments!$Q:$Q,C1287,warehouse_shipments!$R:$R,D1287)</f>
        <v>0</v>
      </c>
      <c r="H1287" s="30">
        <f t="shared" si="1"/>
        <v>-225</v>
      </c>
      <c r="I1287" s="65">
        <f t="shared" si="2"/>
        <v>0</v>
      </c>
      <c r="J1287" s="30" t="s">
        <v>5307</v>
      </c>
    </row>
    <row r="1288" ht="15.75" customHeight="1">
      <c r="A1288" s="18">
        <v>46143.0</v>
      </c>
      <c r="B1288" s="17" t="s">
        <v>4261</v>
      </c>
      <c r="C1288" s="17" t="s">
        <v>67</v>
      </c>
      <c r="D1288" s="17" t="s">
        <v>190</v>
      </c>
      <c r="E1288" s="21">
        <v>311.0</v>
      </c>
      <c r="F1288" s="21">
        <f>SUMIFS(crm_orders!$J:$J,crm_orders!$B:$B,"&gt;="&amp;A1288,crm_orders!$B:$B,"&lt;"&amp;DATE(YEAR(A1288),MONTH(A1288)+1,1),crm_orders!$E:$E,B1288,crm_orders!$G:$G,C1288,crm_orders!$H:$H,D1288)</f>
        <v>0</v>
      </c>
      <c r="G1288" s="21">
        <f>SUMIFS(warehouse_shipments!$H:$H,warehouse_shipments!$C:$C,"&gt;="&amp;A1288,warehouse_shipments!$C:$C,"&lt;"&amp;DATE(YEAR(A1288),MONTH(A1288)+1,1),warehouse_shipments!$P:$P,B1288,warehouse_shipments!$Q:$Q,C1288,warehouse_shipments!$R:$R,D1288)</f>
        <v>0</v>
      </c>
      <c r="H1288" s="22">
        <f t="shared" si="1"/>
        <v>-311</v>
      </c>
      <c r="I1288" s="64">
        <f t="shared" si="2"/>
        <v>0</v>
      </c>
      <c r="J1288" s="22" t="s">
        <v>5309</v>
      </c>
    </row>
    <row r="1289" ht="15.75" customHeight="1">
      <c r="A1289" s="26">
        <v>46143.0</v>
      </c>
      <c r="B1289" s="25" t="s">
        <v>4261</v>
      </c>
      <c r="C1289" s="25" t="s">
        <v>67</v>
      </c>
      <c r="D1289" s="25" t="s">
        <v>92</v>
      </c>
      <c r="E1289" s="29">
        <v>193.0</v>
      </c>
      <c r="F1289" s="29">
        <f>SUMIFS(crm_orders!$J:$J,crm_orders!$B:$B,"&gt;="&amp;A1289,crm_orders!$B:$B,"&lt;"&amp;DATE(YEAR(A1289),MONTH(A1289)+1,1),crm_orders!$E:$E,B1289,crm_orders!$G:$G,C1289,crm_orders!$H:$H,D1289)</f>
        <v>0</v>
      </c>
      <c r="G1289" s="29">
        <f>SUMIFS(warehouse_shipments!$H:$H,warehouse_shipments!$C:$C,"&gt;="&amp;A1289,warehouse_shipments!$C:$C,"&lt;"&amp;DATE(YEAR(A1289),MONTH(A1289)+1,1),warehouse_shipments!$P:$P,B1289,warehouse_shipments!$Q:$Q,C1289,warehouse_shipments!$R:$R,D1289)</f>
        <v>0</v>
      </c>
      <c r="H1289" s="30">
        <f t="shared" si="1"/>
        <v>-193</v>
      </c>
      <c r="I1289" s="65">
        <f t="shared" si="2"/>
        <v>0</v>
      </c>
      <c r="J1289" s="30" t="s">
        <v>5308</v>
      </c>
    </row>
    <row r="1290" ht="15.75" customHeight="1">
      <c r="A1290" s="18">
        <v>46143.0</v>
      </c>
      <c r="B1290" s="17" t="s">
        <v>4261</v>
      </c>
      <c r="C1290" s="17" t="s">
        <v>89</v>
      </c>
      <c r="D1290" s="17" t="s">
        <v>71</v>
      </c>
      <c r="E1290" s="21">
        <v>344.0</v>
      </c>
      <c r="F1290" s="21">
        <f>SUMIFS(crm_orders!$J:$J,crm_orders!$B:$B,"&gt;="&amp;A1290,crm_orders!$B:$B,"&lt;"&amp;DATE(YEAR(A1290),MONTH(A1290)+1,1),crm_orders!$E:$E,B1290,crm_orders!$G:$G,C1290,crm_orders!$H:$H,D1290)</f>
        <v>0</v>
      </c>
      <c r="G1290" s="21">
        <f>SUMIFS(warehouse_shipments!$H:$H,warehouse_shipments!$C:$C,"&gt;="&amp;A1290,warehouse_shipments!$C:$C,"&lt;"&amp;DATE(YEAR(A1290),MONTH(A1290)+1,1),warehouse_shipments!$P:$P,B1290,warehouse_shipments!$Q:$Q,C1290,warehouse_shipments!$R:$R,D1290)</f>
        <v>0</v>
      </c>
      <c r="H1290" s="22">
        <f t="shared" si="1"/>
        <v>-344</v>
      </c>
      <c r="I1290" s="64">
        <f t="shared" si="2"/>
        <v>0</v>
      </c>
      <c r="J1290" s="22" t="s">
        <v>5309</v>
      </c>
    </row>
    <row r="1291" ht="15.75" customHeight="1">
      <c r="A1291" s="26">
        <v>46143.0</v>
      </c>
      <c r="B1291" s="25" t="s">
        <v>4261</v>
      </c>
      <c r="C1291" s="25" t="s">
        <v>89</v>
      </c>
      <c r="D1291" s="25" t="s">
        <v>74</v>
      </c>
      <c r="E1291" s="29">
        <v>134.0</v>
      </c>
      <c r="F1291" s="29">
        <f>SUMIFS(crm_orders!$J:$J,crm_orders!$B:$B,"&gt;="&amp;A1291,crm_orders!$B:$B,"&lt;"&amp;DATE(YEAR(A1291),MONTH(A1291)+1,1),crm_orders!$E:$E,B1291,crm_orders!$G:$G,C1291,crm_orders!$H:$H,D1291)</f>
        <v>0</v>
      </c>
      <c r="G1291" s="29">
        <f>SUMIFS(warehouse_shipments!$H:$H,warehouse_shipments!$C:$C,"&gt;="&amp;A1291,warehouse_shipments!$C:$C,"&lt;"&amp;DATE(YEAR(A1291),MONTH(A1291)+1,1),warehouse_shipments!$P:$P,B1291,warehouse_shipments!$Q:$Q,C1291,warehouse_shipments!$R:$R,D1291)</f>
        <v>0</v>
      </c>
      <c r="H1291" s="30">
        <f t="shared" si="1"/>
        <v>-134</v>
      </c>
      <c r="I1291" s="65">
        <f t="shared" si="2"/>
        <v>0</v>
      </c>
      <c r="J1291" s="30" t="s">
        <v>5308</v>
      </c>
    </row>
    <row r="1292" ht="15.75" customHeight="1">
      <c r="A1292" s="18">
        <v>46143.0</v>
      </c>
      <c r="B1292" s="17" t="s">
        <v>4261</v>
      </c>
      <c r="C1292" s="17" t="s">
        <v>89</v>
      </c>
      <c r="D1292" s="17" t="s">
        <v>162</v>
      </c>
      <c r="E1292" s="21">
        <v>423.0</v>
      </c>
      <c r="F1292" s="21">
        <f>SUMIFS(crm_orders!$J:$J,crm_orders!$B:$B,"&gt;="&amp;A1292,crm_orders!$B:$B,"&lt;"&amp;DATE(YEAR(A1292),MONTH(A1292)+1,1),crm_orders!$E:$E,B1292,crm_orders!$G:$G,C1292,crm_orders!$H:$H,D1292)</f>
        <v>0</v>
      </c>
      <c r="G1292" s="21">
        <f>SUMIFS(warehouse_shipments!$H:$H,warehouse_shipments!$C:$C,"&gt;="&amp;A1292,warehouse_shipments!$C:$C,"&lt;"&amp;DATE(YEAR(A1292),MONTH(A1292)+1,1),warehouse_shipments!$P:$P,B1292,warehouse_shipments!$Q:$Q,C1292,warehouse_shipments!$R:$R,D1292)</f>
        <v>0</v>
      </c>
      <c r="H1292" s="22">
        <f t="shared" si="1"/>
        <v>-423</v>
      </c>
      <c r="I1292" s="64">
        <f t="shared" si="2"/>
        <v>0</v>
      </c>
      <c r="J1292" s="22" t="s">
        <v>5309</v>
      </c>
    </row>
    <row r="1293" ht="15.75" customHeight="1">
      <c r="A1293" s="26">
        <v>46143.0</v>
      </c>
      <c r="B1293" s="25" t="s">
        <v>4261</v>
      </c>
      <c r="C1293" s="25" t="s">
        <v>89</v>
      </c>
      <c r="D1293" s="25" t="s">
        <v>190</v>
      </c>
      <c r="E1293" s="29">
        <v>484.0</v>
      </c>
      <c r="F1293" s="29">
        <f>SUMIFS(crm_orders!$J:$J,crm_orders!$B:$B,"&gt;="&amp;A1293,crm_orders!$B:$B,"&lt;"&amp;DATE(YEAR(A1293),MONTH(A1293)+1,1),crm_orders!$E:$E,B1293,crm_orders!$G:$G,C1293,crm_orders!$H:$H,D1293)</f>
        <v>0</v>
      </c>
      <c r="G1293" s="29">
        <f>SUMIFS(warehouse_shipments!$H:$H,warehouse_shipments!$C:$C,"&gt;="&amp;A1293,warehouse_shipments!$C:$C,"&lt;"&amp;DATE(YEAR(A1293),MONTH(A1293)+1,1),warehouse_shipments!$P:$P,B1293,warehouse_shipments!$Q:$Q,C1293,warehouse_shipments!$R:$R,D1293)</f>
        <v>0</v>
      </c>
      <c r="H1293" s="30">
        <f t="shared" si="1"/>
        <v>-484</v>
      </c>
      <c r="I1293" s="65">
        <f t="shared" si="2"/>
        <v>0</v>
      </c>
      <c r="J1293" s="30" t="s">
        <v>5310</v>
      </c>
    </row>
    <row r="1294" ht="15.75" customHeight="1">
      <c r="A1294" s="18">
        <v>46143.0</v>
      </c>
      <c r="B1294" s="17" t="s">
        <v>4261</v>
      </c>
      <c r="C1294" s="17" t="s">
        <v>89</v>
      </c>
      <c r="D1294" s="17" t="s">
        <v>110</v>
      </c>
      <c r="E1294" s="21">
        <v>142.0</v>
      </c>
      <c r="F1294" s="21">
        <f>SUMIFS(crm_orders!$J:$J,crm_orders!$B:$B,"&gt;="&amp;A1294,crm_orders!$B:$B,"&lt;"&amp;DATE(YEAR(A1294),MONTH(A1294)+1,1),crm_orders!$E:$E,B1294,crm_orders!$G:$G,C1294,crm_orders!$H:$H,D1294)</f>
        <v>0</v>
      </c>
      <c r="G1294" s="21">
        <f>SUMIFS(warehouse_shipments!$H:$H,warehouse_shipments!$C:$C,"&gt;="&amp;A1294,warehouse_shipments!$C:$C,"&lt;"&amp;DATE(YEAR(A1294),MONTH(A1294)+1,1),warehouse_shipments!$P:$P,B1294,warehouse_shipments!$Q:$Q,C1294,warehouse_shipments!$R:$R,D1294)</f>
        <v>0</v>
      </c>
      <c r="H1294" s="22">
        <f t="shared" si="1"/>
        <v>-142</v>
      </c>
      <c r="I1294" s="64">
        <f t="shared" si="2"/>
        <v>0</v>
      </c>
      <c r="J1294" s="22" t="s">
        <v>5308</v>
      </c>
    </row>
    <row r="1295" ht="15.75" customHeight="1">
      <c r="A1295" s="26">
        <v>46143.0</v>
      </c>
      <c r="B1295" s="25" t="s">
        <v>4261</v>
      </c>
      <c r="C1295" s="25" t="s">
        <v>89</v>
      </c>
      <c r="D1295" s="25" t="s">
        <v>81</v>
      </c>
      <c r="E1295" s="29">
        <v>236.0</v>
      </c>
      <c r="F1295" s="29">
        <f>SUMIFS(crm_orders!$J:$J,crm_orders!$B:$B,"&gt;="&amp;A1295,crm_orders!$B:$B,"&lt;"&amp;DATE(YEAR(A1295),MONTH(A1295)+1,1),crm_orders!$E:$E,B1295,crm_orders!$G:$G,C1295,crm_orders!$H:$H,D1295)</f>
        <v>0</v>
      </c>
      <c r="G1295" s="29">
        <f>SUMIFS(warehouse_shipments!$H:$H,warehouse_shipments!$C:$C,"&gt;="&amp;A1295,warehouse_shipments!$C:$C,"&lt;"&amp;DATE(YEAR(A1295),MONTH(A1295)+1,1),warehouse_shipments!$P:$P,B1295,warehouse_shipments!$Q:$Q,C1295,warehouse_shipments!$R:$R,D1295)</f>
        <v>0</v>
      </c>
      <c r="H1295" s="30">
        <f t="shared" si="1"/>
        <v>-236</v>
      </c>
      <c r="I1295" s="65">
        <f t="shared" si="2"/>
        <v>0</v>
      </c>
      <c r="J1295" s="30" t="s">
        <v>5307</v>
      </c>
    </row>
    <row r="1296" ht="15.75" customHeight="1">
      <c r="A1296" s="18">
        <v>46143.0</v>
      </c>
      <c r="B1296" s="17" t="s">
        <v>4261</v>
      </c>
      <c r="C1296" s="17" t="s">
        <v>89</v>
      </c>
      <c r="D1296" s="17" t="s">
        <v>95</v>
      </c>
      <c r="E1296" s="21">
        <v>467.0</v>
      </c>
      <c r="F1296" s="21">
        <f>SUMIFS(crm_orders!$J:$J,crm_orders!$B:$B,"&gt;="&amp;A1296,crm_orders!$B:$B,"&lt;"&amp;DATE(YEAR(A1296),MONTH(A1296)+1,1),crm_orders!$E:$E,B1296,crm_orders!$G:$G,C1296,crm_orders!$H:$H,D1296)</f>
        <v>0</v>
      </c>
      <c r="G1296" s="21">
        <f>SUMIFS(warehouse_shipments!$H:$H,warehouse_shipments!$C:$C,"&gt;="&amp;A1296,warehouse_shipments!$C:$C,"&lt;"&amp;DATE(YEAR(A1296),MONTH(A1296)+1,1),warehouse_shipments!$P:$P,B1296,warehouse_shipments!$Q:$Q,C1296,warehouse_shipments!$R:$R,D1296)</f>
        <v>0</v>
      </c>
      <c r="H1296" s="22">
        <f t="shared" si="1"/>
        <v>-467</v>
      </c>
      <c r="I1296" s="64">
        <f t="shared" si="2"/>
        <v>0</v>
      </c>
      <c r="J1296" s="22" t="s">
        <v>5310</v>
      </c>
    </row>
    <row r="1297" ht="15.75" customHeight="1">
      <c r="A1297" s="26">
        <v>46143.0</v>
      </c>
      <c r="B1297" s="25" t="s">
        <v>4261</v>
      </c>
      <c r="C1297" s="25" t="s">
        <v>89</v>
      </c>
      <c r="D1297" s="25" t="s">
        <v>68</v>
      </c>
      <c r="E1297" s="29">
        <v>227.0</v>
      </c>
      <c r="F1297" s="29">
        <f>SUMIFS(crm_orders!$J:$J,crm_orders!$B:$B,"&gt;="&amp;A1297,crm_orders!$B:$B,"&lt;"&amp;DATE(YEAR(A1297),MONTH(A1297)+1,1),crm_orders!$E:$E,B1297,crm_orders!$G:$G,C1297,crm_orders!$H:$H,D1297)</f>
        <v>0</v>
      </c>
      <c r="G1297" s="29">
        <f>SUMIFS(warehouse_shipments!$H:$H,warehouse_shipments!$C:$C,"&gt;="&amp;A1297,warehouse_shipments!$C:$C,"&lt;"&amp;DATE(YEAR(A1297),MONTH(A1297)+1,1),warehouse_shipments!$P:$P,B1297,warehouse_shipments!$Q:$Q,C1297,warehouse_shipments!$R:$R,D1297)</f>
        <v>0</v>
      </c>
      <c r="H1297" s="30">
        <f t="shared" si="1"/>
        <v>-227</v>
      </c>
      <c r="I1297" s="65">
        <f t="shared" si="2"/>
        <v>0</v>
      </c>
      <c r="J1297" s="30" t="s">
        <v>5311</v>
      </c>
    </row>
    <row r="1298" ht="15.75" customHeight="1">
      <c r="A1298" s="18">
        <v>46143.0</v>
      </c>
      <c r="B1298" s="17" t="s">
        <v>4323</v>
      </c>
      <c r="C1298" s="17" t="s">
        <v>63</v>
      </c>
      <c r="D1298" s="17" t="s">
        <v>115</v>
      </c>
      <c r="E1298" s="21">
        <v>426.0</v>
      </c>
      <c r="F1298" s="21">
        <f>SUMIFS(crm_orders!$J:$J,crm_orders!$B:$B,"&gt;="&amp;A1298,crm_orders!$B:$B,"&lt;"&amp;DATE(YEAR(A1298),MONTH(A1298)+1,1),crm_orders!$E:$E,B1298,crm_orders!$G:$G,C1298,crm_orders!$H:$H,D1298)</f>
        <v>0</v>
      </c>
      <c r="G1298" s="21">
        <f>SUMIFS(warehouse_shipments!$H:$H,warehouse_shipments!$C:$C,"&gt;="&amp;A1298,warehouse_shipments!$C:$C,"&lt;"&amp;DATE(YEAR(A1298),MONTH(A1298)+1,1),warehouse_shipments!$P:$P,B1298,warehouse_shipments!$Q:$Q,C1298,warehouse_shipments!$R:$R,D1298)</f>
        <v>0</v>
      </c>
      <c r="H1298" s="22">
        <f t="shared" si="1"/>
        <v>-426</v>
      </c>
      <c r="I1298" s="64">
        <f t="shared" si="2"/>
        <v>0</v>
      </c>
      <c r="J1298" s="22" t="s">
        <v>5311</v>
      </c>
    </row>
    <row r="1299" ht="15.75" customHeight="1">
      <c r="A1299" s="26">
        <v>46143.0</v>
      </c>
      <c r="B1299" s="25" t="s">
        <v>4323</v>
      </c>
      <c r="C1299" s="25" t="s">
        <v>63</v>
      </c>
      <c r="D1299" s="25" t="s">
        <v>154</v>
      </c>
      <c r="E1299" s="29">
        <v>339.0</v>
      </c>
      <c r="F1299" s="29">
        <f>SUMIFS(crm_orders!$J:$J,crm_orders!$B:$B,"&gt;="&amp;A1299,crm_orders!$B:$B,"&lt;"&amp;DATE(YEAR(A1299),MONTH(A1299)+1,1),crm_orders!$E:$E,B1299,crm_orders!$G:$G,C1299,crm_orders!$H:$H,D1299)</f>
        <v>0</v>
      </c>
      <c r="G1299" s="29">
        <f>SUMIFS(warehouse_shipments!$H:$H,warehouse_shipments!$C:$C,"&gt;="&amp;A1299,warehouse_shipments!$C:$C,"&lt;"&amp;DATE(YEAR(A1299),MONTH(A1299)+1,1),warehouse_shipments!$P:$P,B1299,warehouse_shipments!$Q:$Q,C1299,warehouse_shipments!$R:$R,D1299)</f>
        <v>0</v>
      </c>
      <c r="H1299" s="30">
        <f t="shared" si="1"/>
        <v>-339</v>
      </c>
      <c r="I1299" s="65">
        <f t="shared" si="2"/>
        <v>0</v>
      </c>
      <c r="J1299" s="30" t="s">
        <v>5310</v>
      </c>
    </row>
    <row r="1300" ht="15.75" customHeight="1">
      <c r="A1300" s="18">
        <v>46143.0</v>
      </c>
      <c r="B1300" s="17" t="s">
        <v>4323</v>
      </c>
      <c r="C1300" s="17" t="s">
        <v>63</v>
      </c>
      <c r="D1300" s="17" t="s">
        <v>92</v>
      </c>
      <c r="E1300" s="21">
        <v>80.0</v>
      </c>
      <c r="F1300" s="21">
        <f>SUMIFS(crm_orders!$J:$J,crm_orders!$B:$B,"&gt;="&amp;A1300,crm_orders!$B:$B,"&lt;"&amp;DATE(YEAR(A1300),MONTH(A1300)+1,1),crm_orders!$E:$E,B1300,crm_orders!$G:$G,C1300,crm_orders!$H:$H,D1300)</f>
        <v>0</v>
      </c>
      <c r="G1300" s="21">
        <f>SUMIFS(warehouse_shipments!$H:$H,warehouse_shipments!$C:$C,"&gt;="&amp;A1300,warehouse_shipments!$C:$C,"&lt;"&amp;DATE(YEAR(A1300),MONTH(A1300)+1,1),warehouse_shipments!$P:$P,B1300,warehouse_shipments!$Q:$Q,C1300,warehouse_shipments!$R:$R,D1300)</f>
        <v>0</v>
      </c>
      <c r="H1300" s="22">
        <f t="shared" si="1"/>
        <v>-80</v>
      </c>
      <c r="I1300" s="64">
        <f t="shared" si="2"/>
        <v>0</v>
      </c>
      <c r="J1300" s="22" t="s">
        <v>5310</v>
      </c>
    </row>
    <row r="1301" ht="15.75" customHeight="1">
      <c r="A1301" s="26">
        <v>46143.0</v>
      </c>
      <c r="B1301" s="25" t="s">
        <v>4323</v>
      </c>
      <c r="C1301" s="25" t="s">
        <v>63</v>
      </c>
      <c r="D1301" s="25" t="s">
        <v>81</v>
      </c>
      <c r="E1301" s="29">
        <v>428.0</v>
      </c>
      <c r="F1301" s="29">
        <f>SUMIFS(crm_orders!$J:$J,crm_orders!$B:$B,"&gt;="&amp;A1301,crm_orders!$B:$B,"&lt;"&amp;DATE(YEAR(A1301),MONTH(A1301)+1,1),crm_orders!$E:$E,B1301,crm_orders!$G:$G,C1301,crm_orders!$H:$H,D1301)</f>
        <v>0</v>
      </c>
      <c r="G1301" s="29">
        <f>SUMIFS(warehouse_shipments!$H:$H,warehouse_shipments!$C:$C,"&gt;="&amp;A1301,warehouse_shipments!$C:$C,"&lt;"&amp;DATE(YEAR(A1301),MONTH(A1301)+1,1),warehouse_shipments!$P:$P,B1301,warehouse_shipments!$Q:$Q,C1301,warehouse_shipments!$R:$R,D1301)</f>
        <v>0</v>
      </c>
      <c r="H1301" s="30">
        <f t="shared" si="1"/>
        <v>-428</v>
      </c>
      <c r="I1301" s="65">
        <f t="shared" si="2"/>
        <v>0</v>
      </c>
      <c r="J1301" s="30" t="s">
        <v>5311</v>
      </c>
    </row>
    <row r="1302" ht="15.75" customHeight="1">
      <c r="A1302" s="18">
        <v>46143.0</v>
      </c>
      <c r="B1302" s="17" t="s">
        <v>4323</v>
      </c>
      <c r="C1302" s="17" t="s">
        <v>63</v>
      </c>
      <c r="D1302" s="17" t="s">
        <v>64</v>
      </c>
      <c r="E1302" s="21">
        <v>296.0</v>
      </c>
      <c r="F1302" s="21">
        <f>SUMIFS(crm_orders!$J:$J,crm_orders!$B:$B,"&gt;="&amp;A1302,crm_orders!$B:$B,"&lt;"&amp;DATE(YEAR(A1302),MONTH(A1302)+1,1),crm_orders!$E:$E,B1302,crm_orders!$G:$G,C1302,crm_orders!$H:$H,D1302)</f>
        <v>0</v>
      </c>
      <c r="G1302" s="21">
        <f>SUMIFS(warehouse_shipments!$H:$H,warehouse_shipments!$C:$C,"&gt;="&amp;A1302,warehouse_shipments!$C:$C,"&lt;"&amp;DATE(YEAR(A1302),MONTH(A1302)+1,1),warehouse_shipments!$P:$P,B1302,warehouse_shipments!$Q:$Q,C1302,warehouse_shipments!$R:$R,D1302)</f>
        <v>0</v>
      </c>
      <c r="H1302" s="22">
        <f t="shared" si="1"/>
        <v>-296</v>
      </c>
      <c r="I1302" s="64">
        <f t="shared" si="2"/>
        <v>0</v>
      </c>
      <c r="J1302" s="22" t="s">
        <v>5306</v>
      </c>
    </row>
    <row r="1303" ht="15.75" customHeight="1">
      <c r="A1303" s="26">
        <v>46143.0</v>
      </c>
      <c r="B1303" s="25" t="s">
        <v>4323</v>
      </c>
      <c r="C1303" s="25" t="s">
        <v>63</v>
      </c>
      <c r="D1303" s="25" t="s">
        <v>74</v>
      </c>
      <c r="E1303" s="29">
        <v>425.0</v>
      </c>
      <c r="F1303" s="29">
        <f>SUMIFS(crm_orders!$J:$J,crm_orders!$B:$B,"&gt;="&amp;A1303,crm_orders!$B:$B,"&lt;"&amp;DATE(YEAR(A1303),MONTH(A1303)+1,1),crm_orders!$E:$E,B1303,crm_orders!$G:$G,C1303,crm_orders!$H:$H,D1303)</f>
        <v>0</v>
      </c>
      <c r="G1303" s="29">
        <f>SUMIFS(warehouse_shipments!$H:$H,warehouse_shipments!$C:$C,"&gt;="&amp;A1303,warehouse_shipments!$C:$C,"&lt;"&amp;DATE(YEAR(A1303),MONTH(A1303)+1,1),warehouse_shipments!$P:$P,B1303,warehouse_shipments!$Q:$Q,C1303,warehouse_shipments!$R:$R,D1303)</f>
        <v>0</v>
      </c>
      <c r="H1303" s="30">
        <f t="shared" si="1"/>
        <v>-425</v>
      </c>
      <c r="I1303" s="65">
        <f t="shared" si="2"/>
        <v>0</v>
      </c>
      <c r="J1303" s="30" t="s">
        <v>5306</v>
      </c>
    </row>
    <row r="1304" ht="15.75" customHeight="1">
      <c r="A1304" s="18">
        <v>46143.0</v>
      </c>
      <c r="B1304" s="17" t="s">
        <v>4323</v>
      </c>
      <c r="C1304" s="17" t="s">
        <v>63</v>
      </c>
      <c r="D1304" s="17" t="s">
        <v>106</v>
      </c>
      <c r="E1304" s="21">
        <v>439.0</v>
      </c>
      <c r="F1304" s="21">
        <f>SUMIFS(crm_orders!$J:$J,crm_orders!$B:$B,"&gt;="&amp;A1304,crm_orders!$B:$B,"&lt;"&amp;DATE(YEAR(A1304),MONTH(A1304)+1,1),crm_orders!$E:$E,B1304,crm_orders!$G:$G,C1304,crm_orders!$H:$H,D1304)</f>
        <v>12</v>
      </c>
      <c r="G1304" s="21">
        <f>SUMIFS(warehouse_shipments!$H:$H,warehouse_shipments!$C:$C,"&gt;="&amp;A1304,warehouse_shipments!$C:$C,"&lt;"&amp;DATE(YEAR(A1304),MONTH(A1304)+1,1),warehouse_shipments!$P:$P,B1304,warehouse_shipments!$Q:$Q,C1304,warehouse_shipments!$R:$R,D1304)</f>
        <v>12</v>
      </c>
      <c r="H1304" s="22">
        <f t="shared" si="1"/>
        <v>-427</v>
      </c>
      <c r="I1304" s="64">
        <f t="shared" si="2"/>
        <v>0.02733485194</v>
      </c>
      <c r="J1304" s="22" t="s">
        <v>5307</v>
      </c>
    </row>
    <row r="1305" ht="15.75" customHeight="1">
      <c r="A1305" s="26">
        <v>46143.0</v>
      </c>
      <c r="B1305" s="25" t="s">
        <v>4323</v>
      </c>
      <c r="C1305" s="25" t="s">
        <v>63</v>
      </c>
      <c r="D1305" s="25" t="s">
        <v>85</v>
      </c>
      <c r="E1305" s="29">
        <v>209.0</v>
      </c>
      <c r="F1305" s="29">
        <f>SUMIFS(crm_orders!$J:$J,crm_orders!$B:$B,"&gt;="&amp;A1305,crm_orders!$B:$B,"&lt;"&amp;DATE(YEAR(A1305),MONTH(A1305)+1,1),crm_orders!$E:$E,B1305,crm_orders!$G:$G,C1305,crm_orders!$H:$H,D1305)</f>
        <v>0</v>
      </c>
      <c r="G1305" s="29">
        <f>SUMIFS(warehouse_shipments!$H:$H,warehouse_shipments!$C:$C,"&gt;="&amp;A1305,warehouse_shipments!$C:$C,"&lt;"&amp;DATE(YEAR(A1305),MONTH(A1305)+1,1),warehouse_shipments!$P:$P,B1305,warehouse_shipments!$Q:$Q,C1305,warehouse_shipments!$R:$R,D1305)</f>
        <v>0</v>
      </c>
      <c r="H1305" s="30">
        <f t="shared" si="1"/>
        <v>-209</v>
      </c>
      <c r="I1305" s="65">
        <f t="shared" si="2"/>
        <v>0</v>
      </c>
      <c r="J1305" s="30" t="s">
        <v>5307</v>
      </c>
    </row>
    <row r="1306" ht="15.75" customHeight="1">
      <c r="A1306" s="18">
        <v>46143.0</v>
      </c>
      <c r="B1306" s="17" t="s">
        <v>4323</v>
      </c>
      <c r="C1306" s="17" t="s">
        <v>67</v>
      </c>
      <c r="D1306" s="17" t="s">
        <v>71</v>
      </c>
      <c r="E1306" s="21">
        <v>339.0</v>
      </c>
      <c r="F1306" s="21">
        <f>SUMIFS(crm_orders!$J:$J,crm_orders!$B:$B,"&gt;="&amp;A1306,crm_orders!$B:$B,"&lt;"&amp;DATE(YEAR(A1306),MONTH(A1306)+1,1),crm_orders!$E:$E,B1306,crm_orders!$G:$G,C1306,crm_orders!$H:$H,D1306)</f>
        <v>0</v>
      </c>
      <c r="G1306" s="21">
        <f>SUMIFS(warehouse_shipments!$H:$H,warehouse_shipments!$C:$C,"&gt;="&amp;A1306,warehouse_shipments!$C:$C,"&lt;"&amp;DATE(YEAR(A1306),MONTH(A1306)+1,1),warehouse_shipments!$P:$P,B1306,warehouse_shipments!$Q:$Q,C1306,warehouse_shipments!$R:$R,D1306)</f>
        <v>0</v>
      </c>
      <c r="H1306" s="22">
        <f t="shared" si="1"/>
        <v>-339</v>
      </c>
      <c r="I1306" s="64">
        <f t="shared" si="2"/>
        <v>0</v>
      </c>
      <c r="J1306" s="22" t="s">
        <v>5309</v>
      </c>
    </row>
    <row r="1307" ht="15.75" customHeight="1">
      <c r="A1307" s="26">
        <v>46143.0</v>
      </c>
      <c r="B1307" s="25" t="s">
        <v>4323</v>
      </c>
      <c r="C1307" s="25" t="s">
        <v>67</v>
      </c>
      <c r="D1307" s="25" t="s">
        <v>85</v>
      </c>
      <c r="E1307" s="29">
        <v>117.0</v>
      </c>
      <c r="F1307" s="29">
        <f>SUMIFS(crm_orders!$J:$J,crm_orders!$B:$B,"&gt;="&amp;A1307,crm_orders!$B:$B,"&lt;"&amp;DATE(YEAR(A1307),MONTH(A1307)+1,1),crm_orders!$E:$E,B1307,crm_orders!$G:$G,C1307,crm_orders!$H:$H,D1307)</f>
        <v>0</v>
      </c>
      <c r="G1307" s="29">
        <f>SUMIFS(warehouse_shipments!$H:$H,warehouse_shipments!$C:$C,"&gt;="&amp;A1307,warehouse_shipments!$C:$C,"&lt;"&amp;DATE(YEAR(A1307),MONTH(A1307)+1,1),warehouse_shipments!$P:$P,B1307,warehouse_shipments!$Q:$Q,C1307,warehouse_shipments!$R:$R,D1307)</f>
        <v>0</v>
      </c>
      <c r="H1307" s="30">
        <f t="shared" si="1"/>
        <v>-117</v>
      </c>
      <c r="I1307" s="65">
        <f t="shared" si="2"/>
        <v>0</v>
      </c>
      <c r="J1307" s="30" t="s">
        <v>5306</v>
      </c>
    </row>
    <row r="1308" ht="15.75" customHeight="1">
      <c r="A1308" s="18">
        <v>46143.0</v>
      </c>
      <c r="B1308" s="17" t="s">
        <v>4323</v>
      </c>
      <c r="C1308" s="17" t="s">
        <v>67</v>
      </c>
      <c r="D1308" s="17" t="s">
        <v>78</v>
      </c>
      <c r="E1308" s="21">
        <v>156.0</v>
      </c>
      <c r="F1308" s="21">
        <f>SUMIFS(crm_orders!$J:$J,crm_orders!$B:$B,"&gt;="&amp;A1308,crm_orders!$B:$B,"&lt;"&amp;DATE(YEAR(A1308),MONTH(A1308)+1,1),crm_orders!$E:$E,B1308,crm_orders!$G:$G,C1308,crm_orders!$H:$H,D1308)</f>
        <v>0</v>
      </c>
      <c r="G1308" s="21">
        <f>SUMIFS(warehouse_shipments!$H:$H,warehouse_shipments!$C:$C,"&gt;="&amp;A1308,warehouse_shipments!$C:$C,"&lt;"&amp;DATE(YEAR(A1308),MONTH(A1308)+1,1),warehouse_shipments!$P:$P,B1308,warehouse_shipments!$Q:$Q,C1308,warehouse_shipments!$R:$R,D1308)</f>
        <v>0</v>
      </c>
      <c r="H1308" s="22">
        <f t="shared" si="1"/>
        <v>-156</v>
      </c>
      <c r="I1308" s="64">
        <f t="shared" si="2"/>
        <v>0</v>
      </c>
      <c r="J1308" s="22" t="s">
        <v>5308</v>
      </c>
    </row>
    <row r="1309" ht="15.75" customHeight="1">
      <c r="A1309" s="26">
        <v>46143.0</v>
      </c>
      <c r="B1309" s="25" t="s">
        <v>4323</v>
      </c>
      <c r="C1309" s="25" t="s">
        <v>67</v>
      </c>
      <c r="D1309" s="25" t="s">
        <v>102</v>
      </c>
      <c r="E1309" s="29">
        <v>418.0</v>
      </c>
      <c r="F1309" s="29">
        <f>SUMIFS(crm_orders!$J:$J,crm_orders!$B:$B,"&gt;="&amp;A1309,crm_orders!$B:$B,"&lt;"&amp;DATE(YEAR(A1309),MONTH(A1309)+1,1),crm_orders!$E:$E,B1309,crm_orders!$G:$G,C1309,crm_orders!$H:$H,D1309)</f>
        <v>0</v>
      </c>
      <c r="G1309" s="29">
        <f>SUMIFS(warehouse_shipments!$H:$H,warehouse_shipments!$C:$C,"&gt;="&amp;A1309,warehouse_shipments!$C:$C,"&lt;"&amp;DATE(YEAR(A1309),MONTH(A1309)+1,1),warehouse_shipments!$P:$P,B1309,warehouse_shipments!$Q:$Q,C1309,warehouse_shipments!$R:$R,D1309)</f>
        <v>0</v>
      </c>
      <c r="H1309" s="30">
        <f t="shared" si="1"/>
        <v>-418</v>
      </c>
      <c r="I1309" s="65">
        <f t="shared" si="2"/>
        <v>0</v>
      </c>
      <c r="J1309" s="30" t="s">
        <v>5308</v>
      </c>
    </row>
    <row r="1310" ht="15.75" customHeight="1">
      <c r="A1310" s="18">
        <v>46143.0</v>
      </c>
      <c r="B1310" s="17" t="s">
        <v>4323</v>
      </c>
      <c r="C1310" s="17" t="s">
        <v>67</v>
      </c>
      <c r="D1310" s="17" t="s">
        <v>115</v>
      </c>
      <c r="E1310" s="21">
        <v>367.0</v>
      </c>
      <c r="F1310" s="21">
        <f>SUMIFS(crm_orders!$J:$J,crm_orders!$B:$B,"&gt;="&amp;A1310,crm_orders!$B:$B,"&lt;"&amp;DATE(YEAR(A1310),MONTH(A1310)+1,1),crm_orders!$E:$E,B1310,crm_orders!$G:$G,C1310,crm_orders!$H:$H,D1310)</f>
        <v>0</v>
      </c>
      <c r="G1310" s="21">
        <f>SUMIFS(warehouse_shipments!$H:$H,warehouse_shipments!$C:$C,"&gt;="&amp;A1310,warehouse_shipments!$C:$C,"&lt;"&amp;DATE(YEAR(A1310),MONTH(A1310)+1,1),warehouse_shipments!$P:$P,B1310,warehouse_shipments!$Q:$Q,C1310,warehouse_shipments!$R:$R,D1310)</f>
        <v>0</v>
      </c>
      <c r="H1310" s="22">
        <f t="shared" si="1"/>
        <v>-367</v>
      </c>
      <c r="I1310" s="64">
        <f t="shared" si="2"/>
        <v>0</v>
      </c>
      <c r="J1310" s="22" t="s">
        <v>5310</v>
      </c>
    </row>
    <row r="1311" ht="15.75" customHeight="1">
      <c r="A1311" s="26">
        <v>46143.0</v>
      </c>
      <c r="B1311" s="25" t="s">
        <v>4323</v>
      </c>
      <c r="C1311" s="25" t="s">
        <v>67</v>
      </c>
      <c r="D1311" s="25" t="s">
        <v>106</v>
      </c>
      <c r="E1311" s="29">
        <v>438.0</v>
      </c>
      <c r="F1311" s="29">
        <f>SUMIFS(crm_orders!$J:$J,crm_orders!$B:$B,"&gt;="&amp;A1311,crm_orders!$B:$B,"&lt;"&amp;DATE(YEAR(A1311),MONTH(A1311)+1,1),crm_orders!$E:$E,B1311,crm_orders!$G:$G,C1311,crm_orders!$H:$H,D1311)</f>
        <v>0</v>
      </c>
      <c r="G1311" s="29">
        <f>SUMIFS(warehouse_shipments!$H:$H,warehouse_shipments!$C:$C,"&gt;="&amp;A1311,warehouse_shipments!$C:$C,"&lt;"&amp;DATE(YEAR(A1311),MONTH(A1311)+1,1),warehouse_shipments!$P:$P,B1311,warehouse_shipments!$Q:$Q,C1311,warehouse_shipments!$R:$R,D1311)</f>
        <v>0</v>
      </c>
      <c r="H1311" s="30">
        <f t="shared" si="1"/>
        <v>-438</v>
      </c>
      <c r="I1311" s="65">
        <f t="shared" si="2"/>
        <v>0</v>
      </c>
      <c r="J1311" s="30" t="s">
        <v>5306</v>
      </c>
    </row>
    <row r="1312" ht="15.75" customHeight="1">
      <c r="A1312" s="18">
        <v>46143.0</v>
      </c>
      <c r="B1312" s="17" t="s">
        <v>4323</v>
      </c>
      <c r="C1312" s="17" t="s">
        <v>67</v>
      </c>
      <c r="D1312" s="17" t="s">
        <v>123</v>
      </c>
      <c r="E1312" s="21">
        <v>360.0</v>
      </c>
      <c r="F1312" s="21">
        <f>SUMIFS(crm_orders!$J:$J,crm_orders!$B:$B,"&gt;="&amp;A1312,crm_orders!$B:$B,"&lt;"&amp;DATE(YEAR(A1312),MONTH(A1312)+1,1),crm_orders!$E:$E,B1312,crm_orders!$G:$G,C1312,crm_orders!$H:$H,D1312)</f>
        <v>0</v>
      </c>
      <c r="G1312" s="21">
        <f>SUMIFS(warehouse_shipments!$H:$H,warehouse_shipments!$C:$C,"&gt;="&amp;A1312,warehouse_shipments!$C:$C,"&lt;"&amp;DATE(YEAR(A1312),MONTH(A1312)+1,1),warehouse_shipments!$P:$P,B1312,warehouse_shipments!$Q:$Q,C1312,warehouse_shipments!$R:$R,D1312)</f>
        <v>0</v>
      </c>
      <c r="H1312" s="22">
        <f t="shared" si="1"/>
        <v>-360</v>
      </c>
      <c r="I1312" s="64">
        <f t="shared" si="2"/>
        <v>0</v>
      </c>
      <c r="J1312" s="22" t="s">
        <v>5309</v>
      </c>
    </row>
    <row r="1313" ht="15.75" customHeight="1">
      <c r="A1313" s="26">
        <v>46143.0</v>
      </c>
      <c r="B1313" s="25" t="s">
        <v>4323</v>
      </c>
      <c r="C1313" s="25" t="s">
        <v>67</v>
      </c>
      <c r="D1313" s="25" t="s">
        <v>108</v>
      </c>
      <c r="E1313" s="29">
        <v>326.0</v>
      </c>
      <c r="F1313" s="29">
        <f>SUMIFS(crm_orders!$J:$J,crm_orders!$B:$B,"&gt;="&amp;A1313,crm_orders!$B:$B,"&lt;"&amp;DATE(YEAR(A1313),MONTH(A1313)+1,1),crm_orders!$E:$E,B1313,crm_orders!$G:$G,C1313,crm_orders!$H:$H,D1313)</f>
        <v>0</v>
      </c>
      <c r="G1313" s="29">
        <f>SUMIFS(warehouse_shipments!$H:$H,warehouse_shipments!$C:$C,"&gt;="&amp;A1313,warehouse_shipments!$C:$C,"&lt;"&amp;DATE(YEAR(A1313),MONTH(A1313)+1,1),warehouse_shipments!$P:$P,B1313,warehouse_shipments!$Q:$Q,C1313,warehouse_shipments!$R:$R,D1313)</f>
        <v>0</v>
      </c>
      <c r="H1313" s="30">
        <f t="shared" si="1"/>
        <v>-326</v>
      </c>
      <c r="I1313" s="65">
        <f t="shared" si="2"/>
        <v>0</v>
      </c>
      <c r="J1313" s="30" t="s">
        <v>5308</v>
      </c>
    </row>
    <row r="1314" ht="15.75" customHeight="1">
      <c r="A1314" s="18">
        <v>46143.0</v>
      </c>
      <c r="B1314" s="17" t="s">
        <v>4323</v>
      </c>
      <c r="C1314" s="17" t="s">
        <v>89</v>
      </c>
      <c r="D1314" s="17" t="s">
        <v>102</v>
      </c>
      <c r="E1314" s="21">
        <v>403.0</v>
      </c>
      <c r="F1314" s="21">
        <f>SUMIFS(crm_orders!$J:$J,crm_orders!$B:$B,"&gt;="&amp;A1314,crm_orders!$B:$B,"&lt;"&amp;DATE(YEAR(A1314),MONTH(A1314)+1,1),crm_orders!$E:$E,B1314,crm_orders!$G:$G,C1314,crm_orders!$H:$H,D1314)</f>
        <v>0</v>
      </c>
      <c r="G1314" s="21">
        <f>SUMIFS(warehouse_shipments!$H:$H,warehouse_shipments!$C:$C,"&gt;="&amp;A1314,warehouse_shipments!$C:$C,"&lt;"&amp;DATE(YEAR(A1314),MONTH(A1314)+1,1),warehouse_shipments!$P:$P,B1314,warehouse_shipments!$Q:$Q,C1314,warehouse_shipments!$R:$R,D1314)</f>
        <v>0</v>
      </c>
      <c r="H1314" s="22">
        <f t="shared" si="1"/>
        <v>-403</v>
      </c>
      <c r="I1314" s="64">
        <f t="shared" si="2"/>
        <v>0</v>
      </c>
      <c r="J1314" s="22" t="s">
        <v>5310</v>
      </c>
    </row>
    <row r="1315" ht="15.75" customHeight="1">
      <c r="A1315" s="26">
        <v>46143.0</v>
      </c>
      <c r="B1315" s="25" t="s">
        <v>4323</v>
      </c>
      <c r="C1315" s="25" t="s">
        <v>89</v>
      </c>
      <c r="D1315" s="25" t="s">
        <v>74</v>
      </c>
      <c r="E1315" s="29">
        <v>291.0</v>
      </c>
      <c r="F1315" s="29">
        <f>SUMIFS(crm_orders!$J:$J,crm_orders!$B:$B,"&gt;="&amp;A1315,crm_orders!$B:$B,"&lt;"&amp;DATE(YEAR(A1315),MONTH(A1315)+1,1),crm_orders!$E:$E,B1315,crm_orders!$G:$G,C1315,crm_orders!$H:$H,D1315)</f>
        <v>0</v>
      </c>
      <c r="G1315" s="29">
        <f>SUMIFS(warehouse_shipments!$H:$H,warehouse_shipments!$C:$C,"&gt;="&amp;A1315,warehouse_shipments!$C:$C,"&lt;"&amp;DATE(YEAR(A1315),MONTH(A1315)+1,1),warehouse_shipments!$P:$P,B1315,warehouse_shipments!$Q:$Q,C1315,warehouse_shipments!$R:$R,D1315)</f>
        <v>0</v>
      </c>
      <c r="H1315" s="30">
        <f t="shared" si="1"/>
        <v>-291</v>
      </c>
      <c r="I1315" s="65">
        <f t="shared" si="2"/>
        <v>0</v>
      </c>
      <c r="J1315" s="30" t="s">
        <v>5309</v>
      </c>
    </row>
    <row r="1316" ht="15.75" customHeight="1">
      <c r="A1316" s="18">
        <v>46143.0</v>
      </c>
      <c r="B1316" s="17" t="s">
        <v>4323</v>
      </c>
      <c r="C1316" s="17" t="s">
        <v>89</v>
      </c>
      <c r="D1316" s="17" t="s">
        <v>95</v>
      </c>
      <c r="E1316" s="21">
        <v>107.0</v>
      </c>
      <c r="F1316" s="21">
        <f>SUMIFS(crm_orders!$J:$J,crm_orders!$B:$B,"&gt;="&amp;A1316,crm_orders!$B:$B,"&lt;"&amp;DATE(YEAR(A1316),MONTH(A1316)+1,1),crm_orders!$E:$E,B1316,crm_orders!$G:$G,C1316,crm_orders!$H:$H,D1316)</f>
        <v>0</v>
      </c>
      <c r="G1316" s="21">
        <f>SUMIFS(warehouse_shipments!$H:$H,warehouse_shipments!$C:$C,"&gt;="&amp;A1316,warehouse_shipments!$C:$C,"&lt;"&amp;DATE(YEAR(A1316),MONTH(A1316)+1,1),warehouse_shipments!$P:$P,B1316,warehouse_shipments!$Q:$Q,C1316,warehouse_shipments!$R:$R,D1316)</f>
        <v>0</v>
      </c>
      <c r="H1316" s="22">
        <f t="shared" si="1"/>
        <v>-107</v>
      </c>
      <c r="I1316" s="64">
        <f t="shared" si="2"/>
        <v>0</v>
      </c>
      <c r="J1316" s="22" t="s">
        <v>5311</v>
      </c>
    </row>
    <row r="1317" ht="15.75" customHeight="1">
      <c r="A1317" s="26">
        <v>46143.0</v>
      </c>
      <c r="B1317" s="25" t="s">
        <v>4323</v>
      </c>
      <c r="C1317" s="25" t="s">
        <v>89</v>
      </c>
      <c r="D1317" s="25" t="s">
        <v>115</v>
      </c>
      <c r="E1317" s="29">
        <v>394.0</v>
      </c>
      <c r="F1317" s="29">
        <f>SUMIFS(crm_orders!$J:$J,crm_orders!$B:$B,"&gt;="&amp;A1317,crm_orders!$B:$B,"&lt;"&amp;DATE(YEAR(A1317),MONTH(A1317)+1,1),crm_orders!$E:$E,B1317,crm_orders!$G:$G,C1317,crm_orders!$H:$H,D1317)</f>
        <v>0</v>
      </c>
      <c r="G1317" s="29">
        <f>SUMIFS(warehouse_shipments!$H:$H,warehouse_shipments!$C:$C,"&gt;="&amp;A1317,warehouse_shipments!$C:$C,"&lt;"&amp;DATE(YEAR(A1317),MONTH(A1317)+1,1),warehouse_shipments!$P:$P,B1317,warehouse_shipments!$Q:$Q,C1317,warehouse_shipments!$R:$R,D1317)</f>
        <v>72</v>
      </c>
      <c r="H1317" s="30">
        <f t="shared" si="1"/>
        <v>-394</v>
      </c>
      <c r="I1317" s="65">
        <f t="shared" si="2"/>
        <v>0</v>
      </c>
      <c r="J1317" s="30" t="s">
        <v>5308</v>
      </c>
    </row>
    <row r="1318" ht="15.75" customHeight="1">
      <c r="A1318" s="18">
        <v>46143.0</v>
      </c>
      <c r="B1318" s="17" t="s">
        <v>4323</v>
      </c>
      <c r="C1318" s="17" t="s">
        <v>89</v>
      </c>
      <c r="D1318" s="17" t="s">
        <v>64</v>
      </c>
      <c r="E1318" s="21">
        <v>341.0</v>
      </c>
      <c r="F1318" s="21">
        <f>SUMIFS(crm_orders!$J:$J,crm_orders!$B:$B,"&gt;="&amp;A1318,crm_orders!$B:$B,"&lt;"&amp;DATE(YEAR(A1318),MONTH(A1318)+1,1),crm_orders!$E:$E,B1318,crm_orders!$G:$G,C1318,crm_orders!$H:$H,D1318)</f>
        <v>0</v>
      </c>
      <c r="G1318" s="21">
        <f>SUMIFS(warehouse_shipments!$H:$H,warehouse_shipments!$C:$C,"&gt;="&amp;A1318,warehouse_shipments!$C:$C,"&lt;"&amp;DATE(YEAR(A1318),MONTH(A1318)+1,1),warehouse_shipments!$P:$P,B1318,warehouse_shipments!$Q:$Q,C1318,warehouse_shipments!$R:$R,D1318)</f>
        <v>0</v>
      </c>
      <c r="H1318" s="22">
        <f t="shared" si="1"/>
        <v>-341</v>
      </c>
      <c r="I1318" s="64">
        <f t="shared" si="2"/>
        <v>0</v>
      </c>
      <c r="J1318" s="22" t="s">
        <v>5308</v>
      </c>
    </row>
    <row r="1319" ht="15.75" customHeight="1">
      <c r="A1319" s="26">
        <v>46143.0</v>
      </c>
      <c r="B1319" s="25" t="s">
        <v>4323</v>
      </c>
      <c r="C1319" s="25" t="s">
        <v>89</v>
      </c>
      <c r="D1319" s="25" t="s">
        <v>68</v>
      </c>
      <c r="E1319" s="29">
        <v>350.0</v>
      </c>
      <c r="F1319" s="29">
        <f>SUMIFS(crm_orders!$J:$J,crm_orders!$B:$B,"&gt;="&amp;A1319,crm_orders!$B:$B,"&lt;"&amp;DATE(YEAR(A1319),MONTH(A1319)+1,1),crm_orders!$E:$E,B1319,crm_orders!$G:$G,C1319,crm_orders!$H:$H,D1319)</f>
        <v>0</v>
      </c>
      <c r="G1319" s="29">
        <f>SUMIFS(warehouse_shipments!$H:$H,warehouse_shipments!$C:$C,"&gt;="&amp;A1319,warehouse_shipments!$C:$C,"&lt;"&amp;DATE(YEAR(A1319),MONTH(A1319)+1,1),warehouse_shipments!$P:$P,B1319,warehouse_shipments!$Q:$Q,C1319,warehouse_shipments!$R:$R,D1319)</f>
        <v>0</v>
      </c>
      <c r="H1319" s="30">
        <f t="shared" si="1"/>
        <v>-350</v>
      </c>
      <c r="I1319" s="65">
        <f t="shared" si="2"/>
        <v>0</v>
      </c>
      <c r="J1319" s="30" t="s">
        <v>5307</v>
      </c>
    </row>
    <row r="1320" ht="15.75" customHeight="1">
      <c r="A1320" s="18">
        <v>46143.0</v>
      </c>
      <c r="B1320" s="17" t="s">
        <v>4323</v>
      </c>
      <c r="C1320" s="17" t="s">
        <v>89</v>
      </c>
      <c r="D1320" s="17" t="s">
        <v>156</v>
      </c>
      <c r="E1320" s="21">
        <v>158.0</v>
      </c>
      <c r="F1320" s="21">
        <f>SUMIFS(crm_orders!$J:$J,crm_orders!$B:$B,"&gt;="&amp;A1320,crm_orders!$B:$B,"&lt;"&amp;DATE(YEAR(A1320),MONTH(A1320)+1,1),crm_orders!$E:$E,B1320,crm_orders!$G:$G,C1320,crm_orders!$H:$H,D1320)</f>
        <v>0</v>
      </c>
      <c r="G1320" s="21">
        <f>SUMIFS(warehouse_shipments!$H:$H,warehouse_shipments!$C:$C,"&gt;="&amp;A1320,warehouse_shipments!$C:$C,"&lt;"&amp;DATE(YEAR(A1320),MONTH(A1320)+1,1),warehouse_shipments!$P:$P,B1320,warehouse_shipments!$Q:$Q,C1320,warehouse_shipments!$R:$R,D1320)</f>
        <v>0</v>
      </c>
      <c r="H1320" s="22">
        <f t="shared" si="1"/>
        <v>-158</v>
      </c>
      <c r="I1320" s="64">
        <f t="shared" si="2"/>
        <v>0</v>
      </c>
      <c r="J1320" s="22" t="s">
        <v>5308</v>
      </c>
    </row>
    <row r="1321" ht="15.75" customHeight="1">
      <c r="A1321" s="26">
        <v>46143.0</v>
      </c>
      <c r="B1321" s="25" t="s">
        <v>4323</v>
      </c>
      <c r="C1321" s="25" t="s">
        <v>89</v>
      </c>
      <c r="D1321" s="25" t="s">
        <v>123</v>
      </c>
      <c r="E1321" s="29">
        <v>162.0</v>
      </c>
      <c r="F1321" s="29">
        <f>SUMIFS(crm_orders!$J:$J,crm_orders!$B:$B,"&gt;="&amp;A1321,crm_orders!$B:$B,"&lt;"&amp;DATE(YEAR(A1321),MONTH(A1321)+1,1),crm_orders!$E:$E,B1321,crm_orders!$G:$G,C1321,crm_orders!$H:$H,D1321)</f>
        <v>0</v>
      </c>
      <c r="G1321" s="29">
        <f>SUMIFS(warehouse_shipments!$H:$H,warehouse_shipments!$C:$C,"&gt;="&amp;A1321,warehouse_shipments!$C:$C,"&lt;"&amp;DATE(YEAR(A1321),MONTH(A1321)+1,1),warehouse_shipments!$P:$P,B1321,warehouse_shipments!$Q:$Q,C1321,warehouse_shipments!$R:$R,D1321)</f>
        <v>0</v>
      </c>
      <c r="H1321" s="30">
        <f t="shared" si="1"/>
        <v>-162</v>
      </c>
      <c r="I1321" s="65">
        <f t="shared" si="2"/>
        <v>0</v>
      </c>
      <c r="J1321" s="30" t="s">
        <v>5311</v>
      </c>
    </row>
    <row r="1322" ht="15.75" customHeight="1">
      <c r="A1322" s="18">
        <v>46143.0</v>
      </c>
      <c r="B1322" s="17" t="s">
        <v>4390</v>
      </c>
      <c r="C1322" s="17" t="s">
        <v>63</v>
      </c>
      <c r="D1322" s="17" t="s">
        <v>108</v>
      </c>
      <c r="E1322" s="21">
        <v>515.0</v>
      </c>
      <c r="F1322" s="21">
        <f>SUMIFS(crm_orders!$J:$J,crm_orders!$B:$B,"&gt;="&amp;A1322,crm_orders!$B:$B,"&lt;"&amp;DATE(YEAR(A1322),MONTH(A1322)+1,1),crm_orders!$E:$E,B1322,crm_orders!$G:$G,C1322,crm_orders!$H:$H,D1322)</f>
        <v>0</v>
      </c>
      <c r="G1322" s="21">
        <f>SUMIFS(warehouse_shipments!$H:$H,warehouse_shipments!$C:$C,"&gt;="&amp;A1322,warehouse_shipments!$C:$C,"&lt;"&amp;DATE(YEAR(A1322),MONTH(A1322)+1,1),warehouse_shipments!$P:$P,B1322,warehouse_shipments!$Q:$Q,C1322,warehouse_shipments!$R:$R,D1322)</f>
        <v>0</v>
      </c>
      <c r="H1322" s="22">
        <f t="shared" si="1"/>
        <v>-515</v>
      </c>
      <c r="I1322" s="64">
        <f t="shared" si="2"/>
        <v>0</v>
      </c>
      <c r="J1322" s="22" t="s">
        <v>5310</v>
      </c>
    </row>
    <row r="1323" ht="15.75" customHeight="1">
      <c r="A1323" s="26">
        <v>46143.0</v>
      </c>
      <c r="B1323" s="25" t="s">
        <v>4390</v>
      </c>
      <c r="C1323" s="25" t="s">
        <v>63</v>
      </c>
      <c r="D1323" s="25" t="s">
        <v>74</v>
      </c>
      <c r="E1323" s="29">
        <v>512.0</v>
      </c>
      <c r="F1323" s="29">
        <f>SUMIFS(crm_orders!$J:$J,crm_orders!$B:$B,"&gt;="&amp;A1323,crm_orders!$B:$B,"&lt;"&amp;DATE(YEAR(A1323),MONTH(A1323)+1,1),crm_orders!$E:$E,B1323,crm_orders!$G:$G,C1323,crm_orders!$H:$H,D1323)</f>
        <v>0</v>
      </c>
      <c r="G1323" s="29">
        <f>SUMIFS(warehouse_shipments!$H:$H,warehouse_shipments!$C:$C,"&gt;="&amp;A1323,warehouse_shipments!$C:$C,"&lt;"&amp;DATE(YEAR(A1323),MONTH(A1323)+1,1),warehouse_shipments!$P:$P,B1323,warehouse_shipments!$Q:$Q,C1323,warehouse_shipments!$R:$R,D1323)</f>
        <v>0</v>
      </c>
      <c r="H1323" s="30">
        <f t="shared" si="1"/>
        <v>-512</v>
      </c>
      <c r="I1323" s="65">
        <f t="shared" si="2"/>
        <v>0</v>
      </c>
      <c r="J1323" s="30" t="s">
        <v>5310</v>
      </c>
    </row>
    <row r="1324" ht="15.75" customHeight="1">
      <c r="A1324" s="18">
        <v>46143.0</v>
      </c>
      <c r="B1324" s="17" t="s">
        <v>4390</v>
      </c>
      <c r="C1324" s="17" t="s">
        <v>63</v>
      </c>
      <c r="D1324" s="17" t="s">
        <v>95</v>
      </c>
      <c r="E1324" s="21">
        <v>336.0</v>
      </c>
      <c r="F1324" s="21">
        <f>SUMIFS(crm_orders!$J:$J,crm_orders!$B:$B,"&gt;="&amp;A1324,crm_orders!$B:$B,"&lt;"&amp;DATE(YEAR(A1324),MONTH(A1324)+1,1),crm_orders!$E:$E,B1324,crm_orders!$G:$G,C1324,crm_orders!$H:$H,D1324)</f>
        <v>0</v>
      </c>
      <c r="G1324" s="21">
        <f>SUMIFS(warehouse_shipments!$H:$H,warehouse_shipments!$C:$C,"&gt;="&amp;A1324,warehouse_shipments!$C:$C,"&lt;"&amp;DATE(YEAR(A1324),MONTH(A1324)+1,1),warehouse_shipments!$P:$P,B1324,warehouse_shipments!$Q:$Q,C1324,warehouse_shipments!$R:$R,D1324)</f>
        <v>0</v>
      </c>
      <c r="H1324" s="22">
        <f t="shared" si="1"/>
        <v>-336</v>
      </c>
      <c r="I1324" s="64">
        <f t="shared" si="2"/>
        <v>0</v>
      </c>
      <c r="J1324" s="22" t="s">
        <v>5311</v>
      </c>
    </row>
    <row r="1325" ht="15.75" customHeight="1">
      <c r="A1325" s="26">
        <v>46143.0</v>
      </c>
      <c r="B1325" s="25" t="s">
        <v>4390</v>
      </c>
      <c r="C1325" s="25" t="s">
        <v>63</v>
      </c>
      <c r="D1325" s="25" t="s">
        <v>78</v>
      </c>
      <c r="E1325" s="29">
        <v>412.0</v>
      </c>
      <c r="F1325" s="29">
        <f>SUMIFS(crm_orders!$J:$J,crm_orders!$B:$B,"&gt;="&amp;A1325,crm_orders!$B:$B,"&lt;"&amp;DATE(YEAR(A1325),MONTH(A1325)+1,1),crm_orders!$E:$E,B1325,crm_orders!$G:$G,C1325,crm_orders!$H:$H,D1325)</f>
        <v>0</v>
      </c>
      <c r="G1325" s="29">
        <f>SUMIFS(warehouse_shipments!$H:$H,warehouse_shipments!$C:$C,"&gt;="&amp;A1325,warehouse_shipments!$C:$C,"&lt;"&amp;DATE(YEAR(A1325),MONTH(A1325)+1,1),warehouse_shipments!$P:$P,B1325,warehouse_shipments!$Q:$Q,C1325,warehouse_shipments!$R:$R,D1325)</f>
        <v>0</v>
      </c>
      <c r="H1325" s="30">
        <f t="shared" si="1"/>
        <v>-412</v>
      </c>
      <c r="I1325" s="65">
        <f t="shared" si="2"/>
        <v>0</v>
      </c>
      <c r="J1325" s="30" t="s">
        <v>5311</v>
      </c>
    </row>
    <row r="1326" ht="15.75" customHeight="1">
      <c r="A1326" s="18">
        <v>46143.0</v>
      </c>
      <c r="B1326" s="17" t="s">
        <v>4390</v>
      </c>
      <c r="C1326" s="17" t="s">
        <v>63</v>
      </c>
      <c r="D1326" s="17" t="s">
        <v>64</v>
      </c>
      <c r="E1326" s="21">
        <v>91.0</v>
      </c>
      <c r="F1326" s="21">
        <f>SUMIFS(crm_orders!$J:$J,crm_orders!$B:$B,"&gt;="&amp;A1326,crm_orders!$B:$B,"&lt;"&amp;DATE(YEAR(A1326),MONTH(A1326)+1,1),crm_orders!$E:$E,B1326,crm_orders!$G:$G,C1326,crm_orders!$H:$H,D1326)</f>
        <v>0</v>
      </c>
      <c r="G1326" s="21">
        <f>SUMIFS(warehouse_shipments!$H:$H,warehouse_shipments!$C:$C,"&gt;="&amp;A1326,warehouse_shipments!$C:$C,"&lt;"&amp;DATE(YEAR(A1326),MONTH(A1326)+1,1),warehouse_shipments!$P:$P,B1326,warehouse_shipments!$Q:$Q,C1326,warehouse_shipments!$R:$R,D1326)</f>
        <v>0</v>
      </c>
      <c r="H1326" s="22">
        <f t="shared" si="1"/>
        <v>-91</v>
      </c>
      <c r="I1326" s="64">
        <f t="shared" si="2"/>
        <v>0</v>
      </c>
      <c r="J1326" s="22" t="s">
        <v>5311</v>
      </c>
    </row>
    <row r="1327" ht="15.75" customHeight="1">
      <c r="A1327" s="26">
        <v>46143.0</v>
      </c>
      <c r="B1327" s="25" t="s">
        <v>4390</v>
      </c>
      <c r="C1327" s="25" t="s">
        <v>63</v>
      </c>
      <c r="D1327" s="25" t="s">
        <v>162</v>
      </c>
      <c r="E1327" s="29">
        <v>288.0</v>
      </c>
      <c r="F1327" s="29">
        <f>SUMIFS(crm_orders!$J:$J,crm_orders!$B:$B,"&gt;="&amp;A1327,crm_orders!$B:$B,"&lt;"&amp;DATE(YEAR(A1327),MONTH(A1327)+1,1),crm_orders!$E:$E,B1327,crm_orders!$G:$G,C1327,crm_orders!$H:$H,D1327)</f>
        <v>0</v>
      </c>
      <c r="G1327" s="29">
        <f>SUMIFS(warehouse_shipments!$H:$H,warehouse_shipments!$C:$C,"&gt;="&amp;A1327,warehouse_shipments!$C:$C,"&lt;"&amp;DATE(YEAR(A1327),MONTH(A1327)+1,1),warehouse_shipments!$P:$P,B1327,warehouse_shipments!$Q:$Q,C1327,warehouse_shipments!$R:$R,D1327)</f>
        <v>60</v>
      </c>
      <c r="H1327" s="30">
        <f t="shared" si="1"/>
        <v>-288</v>
      </c>
      <c r="I1327" s="65">
        <f t="shared" si="2"/>
        <v>0</v>
      </c>
      <c r="J1327" s="30" t="s">
        <v>5307</v>
      </c>
    </row>
    <row r="1328" ht="15.75" customHeight="1">
      <c r="A1328" s="18">
        <v>46143.0</v>
      </c>
      <c r="B1328" s="17" t="s">
        <v>4390</v>
      </c>
      <c r="C1328" s="17" t="s">
        <v>63</v>
      </c>
      <c r="D1328" s="17" t="s">
        <v>90</v>
      </c>
      <c r="E1328" s="21">
        <v>487.0</v>
      </c>
      <c r="F1328" s="21">
        <f>SUMIFS(crm_orders!$J:$J,crm_orders!$B:$B,"&gt;="&amp;A1328,crm_orders!$B:$B,"&lt;"&amp;DATE(YEAR(A1328),MONTH(A1328)+1,1),crm_orders!$E:$E,B1328,crm_orders!$G:$G,C1328,crm_orders!$H:$H,D1328)</f>
        <v>0</v>
      </c>
      <c r="G1328" s="21">
        <f>SUMIFS(warehouse_shipments!$H:$H,warehouse_shipments!$C:$C,"&gt;="&amp;A1328,warehouse_shipments!$C:$C,"&lt;"&amp;DATE(YEAR(A1328),MONTH(A1328)+1,1),warehouse_shipments!$P:$P,B1328,warehouse_shipments!$Q:$Q,C1328,warehouse_shipments!$R:$R,D1328)</f>
        <v>60</v>
      </c>
      <c r="H1328" s="22">
        <f t="shared" si="1"/>
        <v>-487</v>
      </c>
      <c r="I1328" s="64">
        <f t="shared" si="2"/>
        <v>0</v>
      </c>
      <c r="J1328" s="22" t="s">
        <v>5311</v>
      </c>
    </row>
    <row r="1329" ht="15.75" customHeight="1">
      <c r="A1329" s="26">
        <v>46143.0</v>
      </c>
      <c r="B1329" s="25" t="s">
        <v>4390</v>
      </c>
      <c r="C1329" s="25" t="s">
        <v>63</v>
      </c>
      <c r="D1329" s="25" t="s">
        <v>154</v>
      </c>
      <c r="E1329" s="29">
        <v>468.0</v>
      </c>
      <c r="F1329" s="29">
        <f>SUMIFS(crm_orders!$J:$J,crm_orders!$B:$B,"&gt;="&amp;A1329,crm_orders!$B:$B,"&lt;"&amp;DATE(YEAR(A1329),MONTH(A1329)+1,1),crm_orders!$E:$E,B1329,crm_orders!$G:$G,C1329,crm_orders!$H:$H,D1329)</f>
        <v>0</v>
      </c>
      <c r="G1329" s="29">
        <f>SUMIFS(warehouse_shipments!$H:$H,warehouse_shipments!$C:$C,"&gt;="&amp;A1329,warehouse_shipments!$C:$C,"&lt;"&amp;DATE(YEAR(A1329),MONTH(A1329)+1,1),warehouse_shipments!$P:$P,B1329,warehouse_shipments!$Q:$Q,C1329,warehouse_shipments!$R:$R,D1329)</f>
        <v>0</v>
      </c>
      <c r="H1329" s="30">
        <f t="shared" si="1"/>
        <v>-468</v>
      </c>
      <c r="I1329" s="65">
        <f t="shared" si="2"/>
        <v>0</v>
      </c>
      <c r="J1329" s="30" t="s">
        <v>5307</v>
      </c>
    </row>
    <row r="1330" ht="15.75" customHeight="1">
      <c r="A1330" s="18">
        <v>46143.0</v>
      </c>
      <c r="B1330" s="17" t="s">
        <v>4390</v>
      </c>
      <c r="C1330" s="17" t="s">
        <v>67</v>
      </c>
      <c r="D1330" s="17" t="s">
        <v>64</v>
      </c>
      <c r="E1330" s="21">
        <v>395.0</v>
      </c>
      <c r="F1330" s="21">
        <f>SUMIFS(crm_orders!$J:$J,crm_orders!$B:$B,"&gt;="&amp;A1330,crm_orders!$B:$B,"&lt;"&amp;DATE(YEAR(A1330),MONTH(A1330)+1,1),crm_orders!$E:$E,B1330,crm_orders!$G:$G,C1330,crm_orders!$H:$H,D1330)</f>
        <v>0</v>
      </c>
      <c r="G1330" s="21">
        <f>SUMIFS(warehouse_shipments!$H:$H,warehouse_shipments!$C:$C,"&gt;="&amp;A1330,warehouse_shipments!$C:$C,"&lt;"&amp;DATE(YEAR(A1330),MONTH(A1330)+1,1),warehouse_shipments!$P:$P,B1330,warehouse_shipments!$Q:$Q,C1330,warehouse_shipments!$R:$R,D1330)</f>
        <v>0</v>
      </c>
      <c r="H1330" s="22">
        <f t="shared" si="1"/>
        <v>-395</v>
      </c>
      <c r="I1330" s="64">
        <f t="shared" si="2"/>
        <v>0</v>
      </c>
      <c r="J1330" s="22" t="s">
        <v>5310</v>
      </c>
    </row>
    <row r="1331" ht="15.75" customHeight="1">
      <c r="A1331" s="26">
        <v>46143.0</v>
      </c>
      <c r="B1331" s="25" t="s">
        <v>4390</v>
      </c>
      <c r="C1331" s="25" t="s">
        <v>67</v>
      </c>
      <c r="D1331" s="25" t="s">
        <v>90</v>
      </c>
      <c r="E1331" s="29">
        <v>345.0</v>
      </c>
      <c r="F1331" s="29">
        <f>SUMIFS(crm_orders!$J:$J,crm_orders!$B:$B,"&gt;="&amp;A1331,crm_orders!$B:$B,"&lt;"&amp;DATE(YEAR(A1331),MONTH(A1331)+1,1),crm_orders!$E:$E,B1331,crm_orders!$G:$G,C1331,crm_orders!$H:$H,D1331)</f>
        <v>0</v>
      </c>
      <c r="G1331" s="29">
        <f>SUMIFS(warehouse_shipments!$H:$H,warehouse_shipments!$C:$C,"&gt;="&amp;A1331,warehouse_shipments!$C:$C,"&lt;"&amp;DATE(YEAR(A1331),MONTH(A1331)+1,1),warehouse_shipments!$P:$P,B1331,warehouse_shipments!$Q:$Q,C1331,warehouse_shipments!$R:$R,D1331)</f>
        <v>0</v>
      </c>
      <c r="H1331" s="30">
        <f t="shared" si="1"/>
        <v>-345</v>
      </c>
      <c r="I1331" s="65">
        <f t="shared" si="2"/>
        <v>0</v>
      </c>
      <c r="J1331" s="30" t="s">
        <v>5311</v>
      </c>
    </row>
    <row r="1332" ht="15.75" customHeight="1">
      <c r="A1332" s="18">
        <v>46143.0</v>
      </c>
      <c r="B1332" s="17" t="s">
        <v>4390</v>
      </c>
      <c r="C1332" s="17" t="s">
        <v>67</v>
      </c>
      <c r="D1332" s="17" t="s">
        <v>154</v>
      </c>
      <c r="E1332" s="21">
        <v>317.0</v>
      </c>
      <c r="F1332" s="21">
        <f>SUMIFS(crm_orders!$J:$J,crm_orders!$B:$B,"&gt;="&amp;A1332,crm_orders!$B:$B,"&lt;"&amp;DATE(YEAR(A1332),MONTH(A1332)+1,1),crm_orders!$E:$E,B1332,crm_orders!$G:$G,C1332,crm_orders!$H:$H,D1332)</f>
        <v>0</v>
      </c>
      <c r="G1332" s="21">
        <f>SUMIFS(warehouse_shipments!$H:$H,warehouse_shipments!$C:$C,"&gt;="&amp;A1332,warehouse_shipments!$C:$C,"&lt;"&amp;DATE(YEAR(A1332),MONTH(A1332)+1,1),warehouse_shipments!$P:$P,B1332,warehouse_shipments!$Q:$Q,C1332,warehouse_shipments!$R:$R,D1332)</f>
        <v>0</v>
      </c>
      <c r="H1332" s="22">
        <f t="shared" si="1"/>
        <v>-317</v>
      </c>
      <c r="I1332" s="64">
        <f t="shared" si="2"/>
        <v>0</v>
      </c>
      <c r="J1332" s="22" t="s">
        <v>5306</v>
      </c>
    </row>
    <row r="1333" ht="15.75" customHeight="1">
      <c r="A1333" s="26">
        <v>46143.0</v>
      </c>
      <c r="B1333" s="25" t="s">
        <v>4390</v>
      </c>
      <c r="C1333" s="25" t="s">
        <v>67</v>
      </c>
      <c r="D1333" s="25" t="s">
        <v>123</v>
      </c>
      <c r="E1333" s="29">
        <v>87.0</v>
      </c>
      <c r="F1333" s="29">
        <f>SUMIFS(crm_orders!$J:$J,crm_orders!$B:$B,"&gt;="&amp;A1333,crm_orders!$B:$B,"&lt;"&amp;DATE(YEAR(A1333),MONTH(A1333)+1,1),crm_orders!$E:$E,B1333,crm_orders!$G:$G,C1333,crm_orders!$H:$H,D1333)</f>
        <v>0</v>
      </c>
      <c r="G1333" s="29">
        <f>SUMIFS(warehouse_shipments!$H:$H,warehouse_shipments!$C:$C,"&gt;="&amp;A1333,warehouse_shipments!$C:$C,"&lt;"&amp;DATE(YEAR(A1333),MONTH(A1333)+1,1),warehouse_shipments!$P:$P,B1333,warehouse_shipments!$Q:$Q,C1333,warehouse_shipments!$R:$R,D1333)</f>
        <v>72</v>
      </c>
      <c r="H1333" s="30">
        <f t="shared" si="1"/>
        <v>-87</v>
      </c>
      <c r="I1333" s="65">
        <f t="shared" si="2"/>
        <v>0</v>
      </c>
      <c r="J1333" s="30" t="s">
        <v>5307</v>
      </c>
    </row>
    <row r="1334" ht="15.75" customHeight="1">
      <c r="A1334" s="18">
        <v>46143.0</v>
      </c>
      <c r="B1334" s="17" t="s">
        <v>4390</v>
      </c>
      <c r="C1334" s="17" t="s">
        <v>67</v>
      </c>
      <c r="D1334" s="17" t="s">
        <v>106</v>
      </c>
      <c r="E1334" s="21">
        <v>414.0</v>
      </c>
      <c r="F1334" s="21">
        <f>SUMIFS(crm_orders!$J:$J,crm_orders!$B:$B,"&gt;="&amp;A1334,crm_orders!$B:$B,"&lt;"&amp;DATE(YEAR(A1334),MONTH(A1334)+1,1),crm_orders!$E:$E,B1334,crm_orders!$G:$G,C1334,crm_orders!$H:$H,D1334)</f>
        <v>0</v>
      </c>
      <c r="G1334" s="21">
        <f>SUMIFS(warehouse_shipments!$H:$H,warehouse_shipments!$C:$C,"&gt;="&amp;A1334,warehouse_shipments!$C:$C,"&lt;"&amp;DATE(YEAR(A1334),MONTH(A1334)+1,1),warehouse_shipments!$P:$P,B1334,warehouse_shipments!$Q:$Q,C1334,warehouse_shipments!$R:$R,D1334)</f>
        <v>0</v>
      </c>
      <c r="H1334" s="22">
        <f t="shared" si="1"/>
        <v>-414</v>
      </c>
      <c r="I1334" s="64">
        <f t="shared" si="2"/>
        <v>0</v>
      </c>
      <c r="J1334" s="22" t="s">
        <v>5308</v>
      </c>
    </row>
    <row r="1335" ht="15.75" customHeight="1">
      <c r="A1335" s="26">
        <v>46143.0</v>
      </c>
      <c r="B1335" s="25" t="s">
        <v>4390</v>
      </c>
      <c r="C1335" s="25" t="s">
        <v>67</v>
      </c>
      <c r="D1335" s="25" t="s">
        <v>102</v>
      </c>
      <c r="E1335" s="29">
        <v>207.0</v>
      </c>
      <c r="F1335" s="29">
        <f>SUMIFS(crm_orders!$J:$J,crm_orders!$B:$B,"&gt;="&amp;A1335,crm_orders!$B:$B,"&lt;"&amp;DATE(YEAR(A1335),MONTH(A1335)+1,1),crm_orders!$E:$E,B1335,crm_orders!$G:$G,C1335,crm_orders!$H:$H,D1335)</f>
        <v>0</v>
      </c>
      <c r="G1335" s="29">
        <f>SUMIFS(warehouse_shipments!$H:$H,warehouse_shipments!$C:$C,"&gt;="&amp;A1335,warehouse_shipments!$C:$C,"&lt;"&amp;DATE(YEAR(A1335),MONTH(A1335)+1,1),warehouse_shipments!$P:$P,B1335,warehouse_shipments!$Q:$Q,C1335,warehouse_shipments!$R:$R,D1335)</f>
        <v>0</v>
      </c>
      <c r="H1335" s="30">
        <f t="shared" si="1"/>
        <v>-207</v>
      </c>
      <c r="I1335" s="65">
        <f t="shared" si="2"/>
        <v>0</v>
      </c>
      <c r="J1335" s="30" t="s">
        <v>5307</v>
      </c>
    </row>
    <row r="1336" ht="15.75" customHeight="1">
      <c r="A1336" s="18">
        <v>46143.0</v>
      </c>
      <c r="B1336" s="17" t="s">
        <v>4390</v>
      </c>
      <c r="C1336" s="17" t="s">
        <v>67</v>
      </c>
      <c r="D1336" s="17" t="s">
        <v>81</v>
      </c>
      <c r="E1336" s="21">
        <v>260.0</v>
      </c>
      <c r="F1336" s="21">
        <f>SUMIFS(crm_orders!$J:$J,crm_orders!$B:$B,"&gt;="&amp;A1336,crm_orders!$B:$B,"&lt;"&amp;DATE(YEAR(A1336),MONTH(A1336)+1,1),crm_orders!$E:$E,B1336,crm_orders!$G:$G,C1336,crm_orders!$H:$H,D1336)</f>
        <v>0</v>
      </c>
      <c r="G1336" s="21">
        <f>SUMIFS(warehouse_shipments!$H:$H,warehouse_shipments!$C:$C,"&gt;="&amp;A1336,warehouse_shipments!$C:$C,"&lt;"&amp;DATE(YEAR(A1336),MONTH(A1336)+1,1),warehouse_shipments!$P:$P,B1336,warehouse_shipments!$Q:$Q,C1336,warehouse_shipments!$R:$R,D1336)</f>
        <v>0</v>
      </c>
      <c r="H1336" s="22">
        <f t="shared" si="1"/>
        <v>-260</v>
      </c>
      <c r="I1336" s="64">
        <f t="shared" si="2"/>
        <v>0</v>
      </c>
      <c r="J1336" s="22" t="s">
        <v>5308</v>
      </c>
    </row>
    <row r="1337" ht="15.75" customHeight="1">
      <c r="A1337" s="26">
        <v>46143.0</v>
      </c>
      <c r="B1337" s="25" t="s">
        <v>4390</v>
      </c>
      <c r="C1337" s="25" t="s">
        <v>67</v>
      </c>
      <c r="D1337" s="25" t="s">
        <v>110</v>
      </c>
      <c r="E1337" s="29">
        <v>358.0</v>
      </c>
      <c r="F1337" s="29">
        <f>SUMIFS(crm_orders!$J:$J,crm_orders!$B:$B,"&gt;="&amp;A1337,crm_orders!$B:$B,"&lt;"&amp;DATE(YEAR(A1337),MONTH(A1337)+1,1),crm_orders!$E:$E,B1337,crm_orders!$G:$G,C1337,crm_orders!$H:$H,D1337)</f>
        <v>0</v>
      </c>
      <c r="G1337" s="29">
        <f>SUMIFS(warehouse_shipments!$H:$H,warehouse_shipments!$C:$C,"&gt;="&amp;A1337,warehouse_shipments!$C:$C,"&lt;"&amp;DATE(YEAR(A1337),MONTH(A1337)+1,1),warehouse_shipments!$P:$P,B1337,warehouse_shipments!$Q:$Q,C1337,warehouse_shipments!$R:$R,D1337)</f>
        <v>0</v>
      </c>
      <c r="H1337" s="30">
        <f t="shared" si="1"/>
        <v>-358</v>
      </c>
      <c r="I1337" s="65">
        <f t="shared" si="2"/>
        <v>0</v>
      </c>
      <c r="J1337" s="30" t="s">
        <v>5306</v>
      </c>
    </row>
    <row r="1338" ht="15.75" customHeight="1">
      <c r="A1338" s="18">
        <v>46143.0</v>
      </c>
      <c r="B1338" s="17" t="s">
        <v>4390</v>
      </c>
      <c r="C1338" s="17" t="s">
        <v>89</v>
      </c>
      <c r="D1338" s="17" t="s">
        <v>81</v>
      </c>
      <c r="E1338" s="21">
        <v>268.0</v>
      </c>
      <c r="F1338" s="21">
        <f>SUMIFS(crm_orders!$J:$J,crm_orders!$B:$B,"&gt;="&amp;A1338,crm_orders!$B:$B,"&lt;"&amp;DATE(YEAR(A1338),MONTH(A1338)+1,1),crm_orders!$E:$E,B1338,crm_orders!$G:$G,C1338,crm_orders!$H:$H,D1338)</f>
        <v>0</v>
      </c>
      <c r="G1338" s="21">
        <f>SUMIFS(warehouse_shipments!$H:$H,warehouse_shipments!$C:$C,"&gt;="&amp;A1338,warehouse_shipments!$C:$C,"&lt;"&amp;DATE(YEAR(A1338),MONTH(A1338)+1,1),warehouse_shipments!$P:$P,B1338,warehouse_shipments!$Q:$Q,C1338,warehouse_shipments!$R:$R,D1338)</f>
        <v>0</v>
      </c>
      <c r="H1338" s="22">
        <f t="shared" si="1"/>
        <v>-268</v>
      </c>
      <c r="I1338" s="64">
        <f t="shared" si="2"/>
        <v>0</v>
      </c>
      <c r="J1338" s="22" t="s">
        <v>5307</v>
      </c>
    </row>
    <row r="1339" ht="15.75" customHeight="1">
      <c r="A1339" s="26">
        <v>46143.0</v>
      </c>
      <c r="B1339" s="25" t="s">
        <v>4390</v>
      </c>
      <c r="C1339" s="25" t="s">
        <v>89</v>
      </c>
      <c r="D1339" s="25" t="s">
        <v>108</v>
      </c>
      <c r="E1339" s="29">
        <v>237.0</v>
      </c>
      <c r="F1339" s="29">
        <f>SUMIFS(crm_orders!$J:$J,crm_orders!$B:$B,"&gt;="&amp;A1339,crm_orders!$B:$B,"&lt;"&amp;DATE(YEAR(A1339),MONTH(A1339)+1,1),crm_orders!$E:$E,B1339,crm_orders!$G:$G,C1339,crm_orders!$H:$H,D1339)</f>
        <v>0</v>
      </c>
      <c r="G1339" s="29">
        <f>SUMIFS(warehouse_shipments!$H:$H,warehouse_shipments!$C:$C,"&gt;="&amp;A1339,warehouse_shipments!$C:$C,"&lt;"&amp;DATE(YEAR(A1339),MONTH(A1339)+1,1),warehouse_shipments!$P:$P,B1339,warehouse_shipments!$Q:$Q,C1339,warehouse_shipments!$R:$R,D1339)</f>
        <v>0</v>
      </c>
      <c r="H1339" s="30">
        <f t="shared" si="1"/>
        <v>-237</v>
      </c>
      <c r="I1339" s="65">
        <f t="shared" si="2"/>
        <v>0</v>
      </c>
      <c r="J1339" s="30" t="s">
        <v>5307</v>
      </c>
    </row>
    <row r="1340" ht="15.75" customHeight="1">
      <c r="A1340" s="18">
        <v>46143.0</v>
      </c>
      <c r="B1340" s="17" t="s">
        <v>4390</v>
      </c>
      <c r="C1340" s="17" t="s">
        <v>89</v>
      </c>
      <c r="D1340" s="17" t="s">
        <v>115</v>
      </c>
      <c r="E1340" s="21">
        <v>84.0</v>
      </c>
      <c r="F1340" s="21">
        <f>SUMIFS(crm_orders!$J:$J,crm_orders!$B:$B,"&gt;="&amp;A1340,crm_orders!$B:$B,"&lt;"&amp;DATE(YEAR(A1340),MONTH(A1340)+1,1),crm_orders!$E:$E,B1340,crm_orders!$G:$G,C1340,crm_orders!$H:$H,D1340)</f>
        <v>0</v>
      </c>
      <c r="G1340" s="21">
        <f>SUMIFS(warehouse_shipments!$H:$H,warehouse_shipments!$C:$C,"&gt;="&amp;A1340,warehouse_shipments!$C:$C,"&lt;"&amp;DATE(YEAR(A1340),MONTH(A1340)+1,1),warehouse_shipments!$P:$P,B1340,warehouse_shipments!$Q:$Q,C1340,warehouse_shipments!$R:$R,D1340)</f>
        <v>0</v>
      </c>
      <c r="H1340" s="22">
        <f t="shared" si="1"/>
        <v>-84</v>
      </c>
      <c r="I1340" s="64">
        <f t="shared" si="2"/>
        <v>0</v>
      </c>
      <c r="J1340" s="22" t="s">
        <v>5306</v>
      </c>
    </row>
    <row r="1341" ht="15.75" customHeight="1">
      <c r="A1341" s="26">
        <v>46143.0</v>
      </c>
      <c r="B1341" s="25" t="s">
        <v>4390</v>
      </c>
      <c r="C1341" s="25" t="s">
        <v>89</v>
      </c>
      <c r="D1341" s="25" t="s">
        <v>106</v>
      </c>
      <c r="E1341" s="29">
        <v>202.0</v>
      </c>
      <c r="F1341" s="29">
        <f>SUMIFS(crm_orders!$J:$J,crm_orders!$B:$B,"&gt;="&amp;A1341,crm_orders!$B:$B,"&lt;"&amp;DATE(YEAR(A1341),MONTH(A1341)+1,1),crm_orders!$E:$E,B1341,crm_orders!$G:$G,C1341,crm_orders!$H:$H,D1341)</f>
        <v>0</v>
      </c>
      <c r="G1341" s="29">
        <f>SUMIFS(warehouse_shipments!$H:$H,warehouse_shipments!$C:$C,"&gt;="&amp;A1341,warehouse_shipments!$C:$C,"&lt;"&amp;DATE(YEAR(A1341),MONTH(A1341)+1,1),warehouse_shipments!$P:$P,B1341,warehouse_shipments!$Q:$Q,C1341,warehouse_shipments!$R:$R,D1341)</f>
        <v>0</v>
      </c>
      <c r="H1341" s="30">
        <f t="shared" si="1"/>
        <v>-202</v>
      </c>
      <c r="I1341" s="65">
        <f t="shared" si="2"/>
        <v>0</v>
      </c>
      <c r="J1341" s="30" t="s">
        <v>5311</v>
      </c>
    </row>
    <row r="1342" ht="15.75" customHeight="1">
      <c r="A1342" s="18">
        <v>46143.0</v>
      </c>
      <c r="B1342" s="17" t="s">
        <v>4390</v>
      </c>
      <c r="C1342" s="17" t="s">
        <v>89</v>
      </c>
      <c r="D1342" s="17" t="s">
        <v>156</v>
      </c>
      <c r="E1342" s="21">
        <v>294.0</v>
      </c>
      <c r="F1342" s="21">
        <f>SUMIFS(crm_orders!$J:$J,crm_orders!$B:$B,"&gt;="&amp;A1342,crm_orders!$B:$B,"&lt;"&amp;DATE(YEAR(A1342),MONTH(A1342)+1,1),crm_orders!$E:$E,B1342,crm_orders!$G:$G,C1342,crm_orders!$H:$H,D1342)</f>
        <v>0</v>
      </c>
      <c r="G1342" s="21">
        <f>SUMIFS(warehouse_shipments!$H:$H,warehouse_shipments!$C:$C,"&gt;="&amp;A1342,warehouse_shipments!$C:$C,"&lt;"&amp;DATE(YEAR(A1342),MONTH(A1342)+1,1),warehouse_shipments!$P:$P,B1342,warehouse_shipments!$Q:$Q,C1342,warehouse_shipments!$R:$R,D1342)</f>
        <v>0</v>
      </c>
      <c r="H1342" s="22">
        <f t="shared" si="1"/>
        <v>-294</v>
      </c>
      <c r="I1342" s="64">
        <f t="shared" si="2"/>
        <v>0</v>
      </c>
      <c r="J1342" s="22" t="s">
        <v>5311</v>
      </c>
    </row>
    <row r="1343" ht="15.75" customHeight="1">
      <c r="A1343" s="26">
        <v>46143.0</v>
      </c>
      <c r="B1343" s="25" t="s">
        <v>4390</v>
      </c>
      <c r="C1343" s="25" t="s">
        <v>89</v>
      </c>
      <c r="D1343" s="25" t="s">
        <v>95</v>
      </c>
      <c r="E1343" s="29">
        <v>471.0</v>
      </c>
      <c r="F1343" s="29">
        <f>SUMIFS(crm_orders!$J:$J,crm_orders!$B:$B,"&gt;="&amp;A1343,crm_orders!$B:$B,"&lt;"&amp;DATE(YEAR(A1343),MONTH(A1343)+1,1),crm_orders!$E:$E,B1343,crm_orders!$G:$G,C1343,crm_orders!$H:$H,D1343)</f>
        <v>0</v>
      </c>
      <c r="G1343" s="29">
        <f>SUMIFS(warehouse_shipments!$H:$H,warehouse_shipments!$C:$C,"&gt;="&amp;A1343,warehouse_shipments!$C:$C,"&lt;"&amp;DATE(YEAR(A1343),MONTH(A1343)+1,1),warehouse_shipments!$P:$P,B1343,warehouse_shipments!$Q:$Q,C1343,warehouse_shipments!$R:$R,D1343)</f>
        <v>0</v>
      </c>
      <c r="H1343" s="30">
        <f t="shared" si="1"/>
        <v>-471</v>
      </c>
      <c r="I1343" s="65">
        <f t="shared" si="2"/>
        <v>0</v>
      </c>
      <c r="J1343" s="30" t="s">
        <v>5311</v>
      </c>
    </row>
    <row r="1344" ht="15.75" customHeight="1">
      <c r="A1344" s="18">
        <v>46143.0</v>
      </c>
      <c r="B1344" s="17" t="s">
        <v>4390</v>
      </c>
      <c r="C1344" s="17" t="s">
        <v>89</v>
      </c>
      <c r="D1344" s="17" t="s">
        <v>74</v>
      </c>
      <c r="E1344" s="21">
        <v>240.0</v>
      </c>
      <c r="F1344" s="21">
        <f>SUMIFS(crm_orders!$J:$J,crm_orders!$B:$B,"&gt;="&amp;A1344,crm_orders!$B:$B,"&lt;"&amp;DATE(YEAR(A1344),MONTH(A1344)+1,1),crm_orders!$E:$E,B1344,crm_orders!$G:$G,C1344,crm_orders!$H:$H,D1344)</f>
        <v>0</v>
      </c>
      <c r="G1344" s="21">
        <f>SUMIFS(warehouse_shipments!$H:$H,warehouse_shipments!$C:$C,"&gt;="&amp;A1344,warehouse_shipments!$C:$C,"&lt;"&amp;DATE(YEAR(A1344),MONTH(A1344)+1,1),warehouse_shipments!$P:$P,B1344,warehouse_shipments!$Q:$Q,C1344,warehouse_shipments!$R:$R,D1344)</f>
        <v>0</v>
      </c>
      <c r="H1344" s="22">
        <f t="shared" si="1"/>
        <v>-240</v>
      </c>
      <c r="I1344" s="64">
        <f t="shared" si="2"/>
        <v>0</v>
      </c>
      <c r="J1344" s="22" t="s">
        <v>5306</v>
      </c>
    </row>
    <row r="1345" ht="15.75" customHeight="1">
      <c r="A1345" s="26">
        <v>46143.0</v>
      </c>
      <c r="B1345" s="25" t="s">
        <v>4390</v>
      </c>
      <c r="C1345" s="25" t="s">
        <v>89</v>
      </c>
      <c r="D1345" s="25" t="s">
        <v>162</v>
      </c>
      <c r="E1345" s="29">
        <v>284.0</v>
      </c>
      <c r="F1345" s="29">
        <f>SUMIFS(crm_orders!$J:$J,crm_orders!$B:$B,"&gt;="&amp;A1345,crm_orders!$B:$B,"&lt;"&amp;DATE(YEAR(A1345),MONTH(A1345)+1,1),crm_orders!$E:$E,B1345,crm_orders!$G:$G,C1345,crm_orders!$H:$H,D1345)</f>
        <v>0</v>
      </c>
      <c r="G1345" s="29">
        <f>SUMIFS(warehouse_shipments!$H:$H,warehouse_shipments!$C:$C,"&gt;="&amp;A1345,warehouse_shipments!$C:$C,"&lt;"&amp;DATE(YEAR(A1345),MONTH(A1345)+1,1),warehouse_shipments!$P:$P,B1345,warehouse_shipments!$Q:$Q,C1345,warehouse_shipments!$R:$R,D1345)</f>
        <v>0</v>
      </c>
      <c r="H1345" s="30">
        <f t="shared" si="1"/>
        <v>-284</v>
      </c>
      <c r="I1345" s="65">
        <f t="shared" si="2"/>
        <v>0</v>
      </c>
      <c r="J1345" s="30" t="s">
        <v>5311</v>
      </c>
    </row>
    <row r="1346" ht="15.75" customHeight="1">
      <c r="A1346" s="18">
        <v>46143.0</v>
      </c>
      <c r="B1346" s="17" t="s">
        <v>4465</v>
      </c>
      <c r="C1346" s="17" t="s">
        <v>63</v>
      </c>
      <c r="D1346" s="17" t="s">
        <v>108</v>
      </c>
      <c r="E1346" s="21">
        <v>149.0</v>
      </c>
      <c r="F1346" s="21">
        <f>SUMIFS(crm_orders!$J:$J,crm_orders!$B:$B,"&gt;="&amp;A1346,crm_orders!$B:$B,"&lt;"&amp;DATE(YEAR(A1346),MONTH(A1346)+1,1),crm_orders!$E:$E,B1346,crm_orders!$G:$G,C1346,crm_orders!$H:$H,D1346)</f>
        <v>0</v>
      </c>
      <c r="G1346" s="21">
        <f>SUMIFS(warehouse_shipments!$H:$H,warehouse_shipments!$C:$C,"&gt;="&amp;A1346,warehouse_shipments!$C:$C,"&lt;"&amp;DATE(YEAR(A1346),MONTH(A1346)+1,1),warehouse_shipments!$P:$P,B1346,warehouse_shipments!$Q:$Q,C1346,warehouse_shipments!$R:$R,D1346)</f>
        <v>0</v>
      </c>
      <c r="H1346" s="22">
        <f t="shared" si="1"/>
        <v>-149</v>
      </c>
      <c r="I1346" s="64">
        <f t="shared" si="2"/>
        <v>0</v>
      </c>
      <c r="J1346" s="22" t="s">
        <v>5308</v>
      </c>
    </row>
    <row r="1347" ht="15.75" customHeight="1">
      <c r="A1347" s="26">
        <v>46143.0</v>
      </c>
      <c r="B1347" s="25" t="s">
        <v>4465</v>
      </c>
      <c r="C1347" s="25" t="s">
        <v>63</v>
      </c>
      <c r="D1347" s="25" t="s">
        <v>115</v>
      </c>
      <c r="E1347" s="29">
        <v>103.0</v>
      </c>
      <c r="F1347" s="29">
        <f>SUMIFS(crm_orders!$J:$J,crm_orders!$B:$B,"&gt;="&amp;A1347,crm_orders!$B:$B,"&lt;"&amp;DATE(YEAR(A1347),MONTH(A1347)+1,1),crm_orders!$E:$E,B1347,crm_orders!$G:$G,C1347,crm_orders!$H:$H,D1347)</f>
        <v>0</v>
      </c>
      <c r="G1347" s="29">
        <f>SUMIFS(warehouse_shipments!$H:$H,warehouse_shipments!$C:$C,"&gt;="&amp;A1347,warehouse_shipments!$C:$C,"&lt;"&amp;DATE(YEAR(A1347),MONTH(A1347)+1,1),warehouse_shipments!$P:$P,B1347,warehouse_shipments!$Q:$Q,C1347,warehouse_shipments!$R:$R,D1347)</f>
        <v>0</v>
      </c>
      <c r="H1347" s="30">
        <f t="shared" si="1"/>
        <v>-103</v>
      </c>
      <c r="I1347" s="65">
        <f t="shared" si="2"/>
        <v>0</v>
      </c>
      <c r="J1347" s="30" t="s">
        <v>5308</v>
      </c>
    </row>
    <row r="1348" ht="15.75" customHeight="1">
      <c r="A1348" s="18">
        <v>46143.0</v>
      </c>
      <c r="B1348" s="17" t="s">
        <v>4465</v>
      </c>
      <c r="C1348" s="17" t="s">
        <v>63</v>
      </c>
      <c r="D1348" s="17" t="s">
        <v>92</v>
      </c>
      <c r="E1348" s="21">
        <v>446.0</v>
      </c>
      <c r="F1348" s="21">
        <f>SUMIFS(crm_orders!$J:$J,crm_orders!$B:$B,"&gt;="&amp;A1348,crm_orders!$B:$B,"&lt;"&amp;DATE(YEAR(A1348),MONTH(A1348)+1,1),crm_orders!$E:$E,B1348,crm_orders!$G:$G,C1348,crm_orders!$H:$H,D1348)</f>
        <v>0</v>
      </c>
      <c r="G1348" s="21">
        <f>SUMIFS(warehouse_shipments!$H:$H,warehouse_shipments!$C:$C,"&gt;="&amp;A1348,warehouse_shipments!$C:$C,"&lt;"&amp;DATE(YEAR(A1348),MONTH(A1348)+1,1),warehouse_shipments!$P:$P,B1348,warehouse_shipments!$Q:$Q,C1348,warehouse_shipments!$R:$R,D1348)</f>
        <v>0</v>
      </c>
      <c r="H1348" s="22">
        <f t="shared" si="1"/>
        <v>-446</v>
      </c>
      <c r="I1348" s="64">
        <f t="shared" si="2"/>
        <v>0</v>
      </c>
      <c r="J1348" s="22" t="s">
        <v>5309</v>
      </c>
    </row>
    <row r="1349" ht="15.75" customHeight="1">
      <c r="A1349" s="26">
        <v>46143.0</v>
      </c>
      <c r="B1349" s="25" t="s">
        <v>4465</v>
      </c>
      <c r="C1349" s="25" t="s">
        <v>63</v>
      </c>
      <c r="D1349" s="25" t="s">
        <v>90</v>
      </c>
      <c r="E1349" s="29">
        <v>154.0</v>
      </c>
      <c r="F1349" s="29">
        <f>SUMIFS(crm_orders!$J:$J,crm_orders!$B:$B,"&gt;="&amp;A1349,crm_orders!$B:$B,"&lt;"&amp;DATE(YEAR(A1349),MONTH(A1349)+1,1),crm_orders!$E:$E,B1349,crm_orders!$G:$G,C1349,crm_orders!$H:$H,D1349)</f>
        <v>0</v>
      </c>
      <c r="G1349" s="29">
        <f>SUMIFS(warehouse_shipments!$H:$H,warehouse_shipments!$C:$C,"&gt;="&amp;A1349,warehouse_shipments!$C:$C,"&lt;"&amp;DATE(YEAR(A1349),MONTH(A1349)+1,1),warehouse_shipments!$P:$P,B1349,warehouse_shipments!$Q:$Q,C1349,warehouse_shipments!$R:$R,D1349)</f>
        <v>0</v>
      </c>
      <c r="H1349" s="30">
        <f t="shared" si="1"/>
        <v>-154</v>
      </c>
      <c r="I1349" s="65">
        <f t="shared" si="2"/>
        <v>0</v>
      </c>
      <c r="J1349" s="30" t="s">
        <v>5308</v>
      </c>
    </row>
    <row r="1350" ht="15.75" customHeight="1">
      <c r="A1350" s="18">
        <v>46143.0</v>
      </c>
      <c r="B1350" s="17" t="s">
        <v>4465</v>
      </c>
      <c r="C1350" s="17" t="s">
        <v>63</v>
      </c>
      <c r="D1350" s="17" t="s">
        <v>110</v>
      </c>
      <c r="E1350" s="21">
        <v>413.0</v>
      </c>
      <c r="F1350" s="21">
        <f>SUMIFS(crm_orders!$J:$J,crm_orders!$B:$B,"&gt;="&amp;A1350,crm_orders!$B:$B,"&lt;"&amp;DATE(YEAR(A1350),MONTH(A1350)+1,1),crm_orders!$E:$E,B1350,crm_orders!$G:$G,C1350,crm_orders!$H:$H,D1350)</f>
        <v>0</v>
      </c>
      <c r="G1350" s="21">
        <f>SUMIFS(warehouse_shipments!$H:$H,warehouse_shipments!$C:$C,"&gt;="&amp;A1350,warehouse_shipments!$C:$C,"&lt;"&amp;DATE(YEAR(A1350),MONTH(A1350)+1,1),warehouse_shipments!$P:$P,B1350,warehouse_shipments!$Q:$Q,C1350,warehouse_shipments!$R:$R,D1350)</f>
        <v>0</v>
      </c>
      <c r="H1350" s="22">
        <f t="shared" si="1"/>
        <v>-413</v>
      </c>
      <c r="I1350" s="64">
        <f t="shared" si="2"/>
        <v>0</v>
      </c>
      <c r="J1350" s="22" t="s">
        <v>5309</v>
      </c>
    </row>
    <row r="1351" ht="15.75" customHeight="1">
      <c r="A1351" s="26">
        <v>46143.0</v>
      </c>
      <c r="B1351" s="25" t="s">
        <v>4465</v>
      </c>
      <c r="C1351" s="25" t="s">
        <v>63</v>
      </c>
      <c r="D1351" s="25" t="s">
        <v>64</v>
      </c>
      <c r="E1351" s="29">
        <v>425.0</v>
      </c>
      <c r="F1351" s="29">
        <f>SUMIFS(crm_orders!$J:$J,crm_orders!$B:$B,"&gt;="&amp;A1351,crm_orders!$B:$B,"&lt;"&amp;DATE(YEAR(A1351),MONTH(A1351)+1,1),crm_orders!$E:$E,B1351,crm_orders!$G:$G,C1351,crm_orders!$H:$H,D1351)</f>
        <v>0</v>
      </c>
      <c r="G1351" s="29">
        <f>SUMIFS(warehouse_shipments!$H:$H,warehouse_shipments!$C:$C,"&gt;="&amp;A1351,warehouse_shipments!$C:$C,"&lt;"&amp;DATE(YEAR(A1351),MONTH(A1351)+1,1),warehouse_shipments!$P:$P,B1351,warehouse_shipments!$Q:$Q,C1351,warehouse_shipments!$R:$R,D1351)</f>
        <v>0</v>
      </c>
      <c r="H1351" s="30">
        <f t="shared" si="1"/>
        <v>-425</v>
      </c>
      <c r="I1351" s="65">
        <f t="shared" si="2"/>
        <v>0</v>
      </c>
      <c r="J1351" s="30" t="s">
        <v>5307</v>
      </c>
    </row>
    <row r="1352" ht="15.75" customHeight="1">
      <c r="A1352" s="18">
        <v>46143.0</v>
      </c>
      <c r="B1352" s="17" t="s">
        <v>4465</v>
      </c>
      <c r="C1352" s="17" t="s">
        <v>63</v>
      </c>
      <c r="D1352" s="17" t="s">
        <v>162</v>
      </c>
      <c r="E1352" s="21">
        <v>428.0</v>
      </c>
      <c r="F1352" s="21">
        <f>SUMIFS(crm_orders!$J:$J,crm_orders!$B:$B,"&gt;="&amp;A1352,crm_orders!$B:$B,"&lt;"&amp;DATE(YEAR(A1352),MONTH(A1352)+1,1),crm_orders!$E:$E,B1352,crm_orders!$G:$G,C1352,crm_orders!$H:$H,D1352)</f>
        <v>0</v>
      </c>
      <c r="G1352" s="21">
        <f>SUMIFS(warehouse_shipments!$H:$H,warehouse_shipments!$C:$C,"&gt;="&amp;A1352,warehouse_shipments!$C:$C,"&lt;"&amp;DATE(YEAR(A1352),MONTH(A1352)+1,1),warehouse_shipments!$P:$P,B1352,warehouse_shipments!$Q:$Q,C1352,warehouse_shipments!$R:$R,D1352)</f>
        <v>0</v>
      </c>
      <c r="H1352" s="22">
        <f t="shared" si="1"/>
        <v>-428</v>
      </c>
      <c r="I1352" s="64">
        <f t="shared" si="2"/>
        <v>0</v>
      </c>
      <c r="J1352" s="22" t="s">
        <v>5306</v>
      </c>
    </row>
    <row r="1353" ht="15.75" customHeight="1">
      <c r="A1353" s="26">
        <v>46143.0</v>
      </c>
      <c r="B1353" s="25" t="s">
        <v>4465</v>
      </c>
      <c r="C1353" s="25" t="s">
        <v>63</v>
      </c>
      <c r="D1353" s="25" t="s">
        <v>190</v>
      </c>
      <c r="E1353" s="29">
        <v>340.0</v>
      </c>
      <c r="F1353" s="29">
        <f>SUMIFS(crm_orders!$J:$J,crm_orders!$B:$B,"&gt;="&amp;A1353,crm_orders!$B:$B,"&lt;"&amp;DATE(YEAR(A1353),MONTH(A1353)+1,1),crm_orders!$E:$E,B1353,crm_orders!$G:$G,C1353,crm_orders!$H:$H,D1353)</f>
        <v>0</v>
      </c>
      <c r="G1353" s="29">
        <f>SUMIFS(warehouse_shipments!$H:$H,warehouse_shipments!$C:$C,"&gt;="&amp;A1353,warehouse_shipments!$C:$C,"&lt;"&amp;DATE(YEAR(A1353),MONTH(A1353)+1,1),warehouse_shipments!$P:$P,B1353,warehouse_shipments!$Q:$Q,C1353,warehouse_shipments!$R:$R,D1353)</f>
        <v>0</v>
      </c>
      <c r="H1353" s="30">
        <f t="shared" si="1"/>
        <v>-340</v>
      </c>
      <c r="I1353" s="65">
        <f t="shared" si="2"/>
        <v>0</v>
      </c>
      <c r="J1353" s="30" t="s">
        <v>5310</v>
      </c>
    </row>
    <row r="1354" ht="15.75" customHeight="1">
      <c r="A1354" s="18">
        <v>46143.0</v>
      </c>
      <c r="B1354" s="17" t="s">
        <v>4465</v>
      </c>
      <c r="C1354" s="17" t="s">
        <v>67</v>
      </c>
      <c r="D1354" s="17" t="s">
        <v>92</v>
      </c>
      <c r="E1354" s="21">
        <v>133.0</v>
      </c>
      <c r="F1354" s="21">
        <f>SUMIFS(crm_orders!$J:$J,crm_orders!$B:$B,"&gt;="&amp;A1354,crm_orders!$B:$B,"&lt;"&amp;DATE(YEAR(A1354),MONTH(A1354)+1,1),crm_orders!$E:$E,B1354,crm_orders!$G:$G,C1354,crm_orders!$H:$H,D1354)</f>
        <v>0</v>
      </c>
      <c r="G1354" s="21">
        <f>SUMIFS(warehouse_shipments!$H:$H,warehouse_shipments!$C:$C,"&gt;="&amp;A1354,warehouse_shipments!$C:$C,"&lt;"&amp;DATE(YEAR(A1354),MONTH(A1354)+1,1),warehouse_shipments!$P:$P,B1354,warehouse_shipments!$Q:$Q,C1354,warehouse_shipments!$R:$R,D1354)</f>
        <v>0</v>
      </c>
      <c r="H1354" s="22">
        <f t="shared" si="1"/>
        <v>-133</v>
      </c>
      <c r="I1354" s="64">
        <f t="shared" si="2"/>
        <v>0</v>
      </c>
      <c r="J1354" s="22" t="s">
        <v>5310</v>
      </c>
    </row>
    <row r="1355" ht="15.75" customHeight="1">
      <c r="A1355" s="26">
        <v>46143.0</v>
      </c>
      <c r="B1355" s="25" t="s">
        <v>4465</v>
      </c>
      <c r="C1355" s="25" t="s">
        <v>67</v>
      </c>
      <c r="D1355" s="25" t="s">
        <v>95</v>
      </c>
      <c r="E1355" s="29">
        <v>92.0</v>
      </c>
      <c r="F1355" s="29">
        <f>SUMIFS(crm_orders!$J:$J,crm_orders!$B:$B,"&gt;="&amp;A1355,crm_orders!$B:$B,"&lt;"&amp;DATE(YEAR(A1355),MONTH(A1355)+1,1),crm_orders!$E:$E,B1355,crm_orders!$G:$G,C1355,crm_orders!$H:$H,D1355)</f>
        <v>0</v>
      </c>
      <c r="G1355" s="29">
        <f>SUMIFS(warehouse_shipments!$H:$H,warehouse_shipments!$C:$C,"&gt;="&amp;A1355,warehouse_shipments!$C:$C,"&lt;"&amp;DATE(YEAR(A1355),MONTH(A1355)+1,1),warehouse_shipments!$P:$P,B1355,warehouse_shipments!$Q:$Q,C1355,warehouse_shipments!$R:$R,D1355)</f>
        <v>0</v>
      </c>
      <c r="H1355" s="30">
        <f t="shared" si="1"/>
        <v>-92</v>
      </c>
      <c r="I1355" s="65">
        <f t="shared" si="2"/>
        <v>0</v>
      </c>
      <c r="J1355" s="30" t="s">
        <v>5307</v>
      </c>
    </row>
    <row r="1356" ht="15.75" customHeight="1">
      <c r="A1356" s="18">
        <v>46143.0</v>
      </c>
      <c r="B1356" s="17" t="s">
        <v>4465</v>
      </c>
      <c r="C1356" s="17" t="s">
        <v>67</v>
      </c>
      <c r="D1356" s="17" t="s">
        <v>85</v>
      </c>
      <c r="E1356" s="21">
        <v>166.0</v>
      </c>
      <c r="F1356" s="21">
        <f>SUMIFS(crm_orders!$J:$J,crm_orders!$B:$B,"&gt;="&amp;A1356,crm_orders!$B:$B,"&lt;"&amp;DATE(YEAR(A1356),MONTH(A1356)+1,1),crm_orders!$E:$E,B1356,crm_orders!$G:$G,C1356,crm_orders!$H:$H,D1356)</f>
        <v>0</v>
      </c>
      <c r="G1356" s="21">
        <f>SUMIFS(warehouse_shipments!$H:$H,warehouse_shipments!$C:$C,"&gt;="&amp;A1356,warehouse_shipments!$C:$C,"&lt;"&amp;DATE(YEAR(A1356),MONTH(A1356)+1,1),warehouse_shipments!$P:$P,B1356,warehouse_shipments!$Q:$Q,C1356,warehouse_shipments!$R:$R,D1356)</f>
        <v>96</v>
      </c>
      <c r="H1356" s="22">
        <f t="shared" si="1"/>
        <v>-166</v>
      </c>
      <c r="I1356" s="64">
        <f t="shared" si="2"/>
        <v>0</v>
      </c>
      <c r="J1356" s="22" t="s">
        <v>5306</v>
      </c>
    </row>
    <row r="1357" ht="15.75" customHeight="1">
      <c r="A1357" s="26">
        <v>46143.0</v>
      </c>
      <c r="B1357" s="25" t="s">
        <v>4465</v>
      </c>
      <c r="C1357" s="25" t="s">
        <v>67</v>
      </c>
      <c r="D1357" s="25" t="s">
        <v>154</v>
      </c>
      <c r="E1357" s="29">
        <v>397.0</v>
      </c>
      <c r="F1357" s="29">
        <f>SUMIFS(crm_orders!$J:$J,crm_orders!$B:$B,"&gt;="&amp;A1357,crm_orders!$B:$B,"&lt;"&amp;DATE(YEAR(A1357),MONTH(A1357)+1,1),crm_orders!$E:$E,B1357,crm_orders!$G:$G,C1357,crm_orders!$H:$H,D1357)</f>
        <v>0</v>
      </c>
      <c r="G1357" s="29">
        <f>SUMIFS(warehouse_shipments!$H:$H,warehouse_shipments!$C:$C,"&gt;="&amp;A1357,warehouse_shipments!$C:$C,"&lt;"&amp;DATE(YEAR(A1357),MONTH(A1357)+1,1),warehouse_shipments!$P:$P,B1357,warehouse_shipments!$Q:$Q,C1357,warehouse_shipments!$R:$R,D1357)</f>
        <v>0</v>
      </c>
      <c r="H1357" s="30">
        <f t="shared" si="1"/>
        <v>-397</v>
      </c>
      <c r="I1357" s="65">
        <f t="shared" si="2"/>
        <v>0</v>
      </c>
      <c r="J1357" s="30" t="s">
        <v>5306</v>
      </c>
    </row>
    <row r="1358" ht="15.75" customHeight="1">
      <c r="A1358" s="18">
        <v>46143.0</v>
      </c>
      <c r="B1358" s="17" t="s">
        <v>4465</v>
      </c>
      <c r="C1358" s="17" t="s">
        <v>67</v>
      </c>
      <c r="D1358" s="17" t="s">
        <v>64</v>
      </c>
      <c r="E1358" s="21">
        <v>200.0</v>
      </c>
      <c r="F1358" s="21">
        <f>SUMIFS(crm_orders!$J:$J,crm_orders!$B:$B,"&gt;="&amp;A1358,crm_orders!$B:$B,"&lt;"&amp;DATE(YEAR(A1358),MONTH(A1358)+1,1),crm_orders!$E:$E,B1358,crm_orders!$G:$G,C1358,crm_orders!$H:$H,D1358)</f>
        <v>0</v>
      </c>
      <c r="G1358" s="21">
        <f>SUMIFS(warehouse_shipments!$H:$H,warehouse_shipments!$C:$C,"&gt;="&amp;A1358,warehouse_shipments!$C:$C,"&lt;"&amp;DATE(YEAR(A1358),MONTH(A1358)+1,1),warehouse_shipments!$P:$P,B1358,warehouse_shipments!$Q:$Q,C1358,warehouse_shipments!$R:$R,D1358)</f>
        <v>0</v>
      </c>
      <c r="H1358" s="22">
        <f t="shared" si="1"/>
        <v>-200</v>
      </c>
      <c r="I1358" s="64">
        <f t="shared" si="2"/>
        <v>0</v>
      </c>
      <c r="J1358" s="22" t="s">
        <v>5310</v>
      </c>
    </row>
    <row r="1359" ht="15.75" customHeight="1">
      <c r="A1359" s="26">
        <v>46143.0</v>
      </c>
      <c r="B1359" s="25" t="s">
        <v>4465</v>
      </c>
      <c r="C1359" s="25" t="s">
        <v>67</v>
      </c>
      <c r="D1359" s="25" t="s">
        <v>68</v>
      </c>
      <c r="E1359" s="29">
        <v>203.0</v>
      </c>
      <c r="F1359" s="29">
        <f>SUMIFS(crm_orders!$J:$J,crm_orders!$B:$B,"&gt;="&amp;A1359,crm_orders!$B:$B,"&lt;"&amp;DATE(YEAR(A1359),MONTH(A1359)+1,1),crm_orders!$E:$E,B1359,crm_orders!$G:$G,C1359,crm_orders!$H:$H,D1359)</f>
        <v>0</v>
      </c>
      <c r="G1359" s="29">
        <f>SUMIFS(warehouse_shipments!$H:$H,warehouse_shipments!$C:$C,"&gt;="&amp;A1359,warehouse_shipments!$C:$C,"&lt;"&amp;DATE(YEAR(A1359),MONTH(A1359)+1,1),warehouse_shipments!$P:$P,B1359,warehouse_shipments!$Q:$Q,C1359,warehouse_shipments!$R:$R,D1359)</f>
        <v>0</v>
      </c>
      <c r="H1359" s="30">
        <f t="shared" si="1"/>
        <v>-203</v>
      </c>
      <c r="I1359" s="65">
        <f t="shared" si="2"/>
        <v>0</v>
      </c>
      <c r="J1359" s="30" t="s">
        <v>5309</v>
      </c>
    </row>
    <row r="1360" ht="15.75" customHeight="1">
      <c r="A1360" s="18">
        <v>46143.0</v>
      </c>
      <c r="B1360" s="17" t="s">
        <v>4465</v>
      </c>
      <c r="C1360" s="17" t="s">
        <v>67</v>
      </c>
      <c r="D1360" s="17" t="s">
        <v>115</v>
      </c>
      <c r="E1360" s="21">
        <v>290.0</v>
      </c>
      <c r="F1360" s="21">
        <f>SUMIFS(crm_orders!$J:$J,crm_orders!$B:$B,"&gt;="&amp;A1360,crm_orders!$B:$B,"&lt;"&amp;DATE(YEAR(A1360),MONTH(A1360)+1,1),crm_orders!$E:$E,B1360,crm_orders!$G:$G,C1360,crm_orders!$H:$H,D1360)</f>
        <v>0</v>
      </c>
      <c r="G1360" s="21">
        <f>SUMIFS(warehouse_shipments!$H:$H,warehouse_shipments!$C:$C,"&gt;="&amp;A1360,warehouse_shipments!$C:$C,"&lt;"&amp;DATE(YEAR(A1360),MONTH(A1360)+1,1),warehouse_shipments!$P:$P,B1360,warehouse_shipments!$Q:$Q,C1360,warehouse_shipments!$R:$R,D1360)</f>
        <v>0</v>
      </c>
      <c r="H1360" s="22">
        <f t="shared" si="1"/>
        <v>-290</v>
      </c>
      <c r="I1360" s="64">
        <f t="shared" si="2"/>
        <v>0</v>
      </c>
      <c r="J1360" s="22" t="s">
        <v>5308</v>
      </c>
    </row>
    <row r="1361" ht="15.75" customHeight="1">
      <c r="A1361" s="26">
        <v>46143.0</v>
      </c>
      <c r="B1361" s="25" t="s">
        <v>4465</v>
      </c>
      <c r="C1361" s="25" t="s">
        <v>67</v>
      </c>
      <c r="D1361" s="25" t="s">
        <v>108</v>
      </c>
      <c r="E1361" s="29">
        <v>134.0</v>
      </c>
      <c r="F1361" s="29">
        <f>SUMIFS(crm_orders!$J:$J,crm_orders!$B:$B,"&gt;="&amp;A1361,crm_orders!$B:$B,"&lt;"&amp;DATE(YEAR(A1361),MONTH(A1361)+1,1),crm_orders!$E:$E,B1361,crm_orders!$G:$G,C1361,crm_orders!$H:$H,D1361)</f>
        <v>0</v>
      </c>
      <c r="G1361" s="29">
        <f>SUMIFS(warehouse_shipments!$H:$H,warehouse_shipments!$C:$C,"&gt;="&amp;A1361,warehouse_shipments!$C:$C,"&lt;"&amp;DATE(YEAR(A1361),MONTH(A1361)+1,1),warehouse_shipments!$P:$P,B1361,warehouse_shipments!$Q:$Q,C1361,warehouse_shipments!$R:$R,D1361)</f>
        <v>0</v>
      </c>
      <c r="H1361" s="30">
        <f t="shared" si="1"/>
        <v>-134</v>
      </c>
      <c r="I1361" s="65">
        <f t="shared" si="2"/>
        <v>0</v>
      </c>
      <c r="J1361" s="30" t="s">
        <v>5309</v>
      </c>
    </row>
    <row r="1362" ht="15.75" customHeight="1">
      <c r="A1362" s="18">
        <v>46143.0</v>
      </c>
      <c r="B1362" s="17" t="s">
        <v>4465</v>
      </c>
      <c r="C1362" s="17" t="s">
        <v>89</v>
      </c>
      <c r="D1362" s="17" t="s">
        <v>123</v>
      </c>
      <c r="E1362" s="21">
        <v>517.0</v>
      </c>
      <c r="F1362" s="21">
        <f>SUMIFS(crm_orders!$J:$J,crm_orders!$B:$B,"&gt;="&amp;A1362,crm_orders!$B:$B,"&lt;"&amp;DATE(YEAR(A1362),MONTH(A1362)+1,1),crm_orders!$E:$E,B1362,crm_orders!$G:$G,C1362,crm_orders!$H:$H,D1362)</f>
        <v>0</v>
      </c>
      <c r="G1362" s="21">
        <f>SUMIFS(warehouse_shipments!$H:$H,warehouse_shipments!$C:$C,"&gt;="&amp;A1362,warehouse_shipments!$C:$C,"&lt;"&amp;DATE(YEAR(A1362),MONTH(A1362)+1,1),warehouse_shipments!$P:$P,B1362,warehouse_shipments!$Q:$Q,C1362,warehouse_shipments!$R:$R,D1362)</f>
        <v>0</v>
      </c>
      <c r="H1362" s="22">
        <f t="shared" si="1"/>
        <v>-517</v>
      </c>
      <c r="I1362" s="64">
        <f t="shared" si="2"/>
        <v>0</v>
      </c>
      <c r="J1362" s="22" t="s">
        <v>5310</v>
      </c>
    </row>
    <row r="1363" ht="15.75" customHeight="1">
      <c r="A1363" s="26">
        <v>46143.0</v>
      </c>
      <c r="B1363" s="25" t="s">
        <v>4465</v>
      </c>
      <c r="C1363" s="25" t="s">
        <v>89</v>
      </c>
      <c r="D1363" s="25" t="s">
        <v>115</v>
      </c>
      <c r="E1363" s="29">
        <v>378.0</v>
      </c>
      <c r="F1363" s="29">
        <f>SUMIFS(crm_orders!$J:$J,crm_orders!$B:$B,"&gt;="&amp;A1363,crm_orders!$B:$B,"&lt;"&amp;DATE(YEAR(A1363),MONTH(A1363)+1,1),crm_orders!$E:$E,B1363,crm_orders!$G:$G,C1363,crm_orders!$H:$H,D1363)</f>
        <v>0</v>
      </c>
      <c r="G1363" s="29">
        <f>SUMIFS(warehouse_shipments!$H:$H,warehouse_shipments!$C:$C,"&gt;="&amp;A1363,warehouse_shipments!$C:$C,"&lt;"&amp;DATE(YEAR(A1363),MONTH(A1363)+1,1),warehouse_shipments!$P:$P,B1363,warehouse_shipments!$Q:$Q,C1363,warehouse_shipments!$R:$R,D1363)</f>
        <v>0</v>
      </c>
      <c r="H1363" s="30">
        <f t="shared" si="1"/>
        <v>-378</v>
      </c>
      <c r="I1363" s="65">
        <f t="shared" si="2"/>
        <v>0</v>
      </c>
      <c r="J1363" s="30" t="s">
        <v>5311</v>
      </c>
    </row>
    <row r="1364" ht="15.75" customHeight="1">
      <c r="A1364" s="18">
        <v>46143.0</v>
      </c>
      <c r="B1364" s="17" t="s">
        <v>4465</v>
      </c>
      <c r="C1364" s="17" t="s">
        <v>89</v>
      </c>
      <c r="D1364" s="17" t="s">
        <v>102</v>
      </c>
      <c r="E1364" s="21">
        <v>367.0</v>
      </c>
      <c r="F1364" s="21">
        <f>SUMIFS(crm_orders!$J:$J,crm_orders!$B:$B,"&gt;="&amp;A1364,crm_orders!$B:$B,"&lt;"&amp;DATE(YEAR(A1364),MONTH(A1364)+1,1),crm_orders!$E:$E,B1364,crm_orders!$G:$G,C1364,crm_orders!$H:$H,D1364)</f>
        <v>0</v>
      </c>
      <c r="G1364" s="21">
        <f>SUMIFS(warehouse_shipments!$H:$H,warehouse_shipments!$C:$C,"&gt;="&amp;A1364,warehouse_shipments!$C:$C,"&lt;"&amp;DATE(YEAR(A1364),MONTH(A1364)+1,1),warehouse_shipments!$P:$P,B1364,warehouse_shipments!$Q:$Q,C1364,warehouse_shipments!$R:$R,D1364)</f>
        <v>0</v>
      </c>
      <c r="H1364" s="22">
        <f t="shared" si="1"/>
        <v>-367</v>
      </c>
      <c r="I1364" s="64">
        <f t="shared" si="2"/>
        <v>0</v>
      </c>
      <c r="J1364" s="22" t="s">
        <v>5306</v>
      </c>
    </row>
    <row r="1365" ht="15.75" customHeight="1">
      <c r="A1365" s="26">
        <v>46143.0</v>
      </c>
      <c r="B1365" s="25" t="s">
        <v>4465</v>
      </c>
      <c r="C1365" s="25" t="s">
        <v>89</v>
      </c>
      <c r="D1365" s="25" t="s">
        <v>74</v>
      </c>
      <c r="E1365" s="29">
        <v>399.0</v>
      </c>
      <c r="F1365" s="29">
        <f>SUMIFS(crm_orders!$J:$J,crm_orders!$B:$B,"&gt;="&amp;A1365,crm_orders!$B:$B,"&lt;"&amp;DATE(YEAR(A1365),MONTH(A1365)+1,1),crm_orders!$E:$E,B1365,crm_orders!$G:$G,C1365,crm_orders!$H:$H,D1365)</f>
        <v>0</v>
      </c>
      <c r="G1365" s="29">
        <f>SUMIFS(warehouse_shipments!$H:$H,warehouse_shipments!$C:$C,"&gt;="&amp;A1365,warehouse_shipments!$C:$C,"&lt;"&amp;DATE(YEAR(A1365),MONTH(A1365)+1,1),warehouse_shipments!$P:$P,B1365,warehouse_shipments!$Q:$Q,C1365,warehouse_shipments!$R:$R,D1365)</f>
        <v>0</v>
      </c>
      <c r="H1365" s="30">
        <f t="shared" si="1"/>
        <v>-399</v>
      </c>
      <c r="I1365" s="65">
        <f t="shared" si="2"/>
        <v>0</v>
      </c>
      <c r="J1365" s="30" t="s">
        <v>5308</v>
      </c>
    </row>
    <row r="1366" ht="15.75" customHeight="1">
      <c r="A1366" s="18">
        <v>46143.0</v>
      </c>
      <c r="B1366" s="17" t="s">
        <v>4465</v>
      </c>
      <c r="C1366" s="17" t="s">
        <v>89</v>
      </c>
      <c r="D1366" s="17" t="s">
        <v>156</v>
      </c>
      <c r="E1366" s="21">
        <v>485.0</v>
      </c>
      <c r="F1366" s="21">
        <f>SUMIFS(crm_orders!$J:$J,crm_orders!$B:$B,"&gt;="&amp;A1366,crm_orders!$B:$B,"&lt;"&amp;DATE(YEAR(A1366),MONTH(A1366)+1,1),crm_orders!$E:$E,B1366,crm_orders!$G:$G,C1366,crm_orders!$H:$H,D1366)</f>
        <v>0</v>
      </c>
      <c r="G1366" s="21">
        <f>SUMIFS(warehouse_shipments!$H:$H,warehouse_shipments!$C:$C,"&gt;="&amp;A1366,warehouse_shipments!$C:$C,"&lt;"&amp;DATE(YEAR(A1366),MONTH(A1366)+1,1),warehouse_shipments!$P:$P,B1366,warehouse_shipments!$Q:$Q,C1366,warehouse_shipments!$R:$R,D1366)</f>
        <v>0</v>
      </c>
      <c r="H1366" s="22">
        <f t="shared" si="1"/>
        <v>-485</v>
      </c>
      <c r="I1366" s="64">
        <f t="shared" si="2"/>
        <v>0</v>
      </c>
      <c r="J1366" s="22" t="s">
        <v>5309</v>
      </c>
    </row>
    <row r="1367" ht="15.75" customHeight="1">
      <c r="A1367" s="26">
        <v>46143.0</v>
      </c>
      <c r="B1367" s="25" t="s">
        <v>4465</v>
      </c>
      <c r="C1367" s="25" t="s">
        <v>89</v>
      </c>
      <c r="D1367" s="25" t="s">
        <v>68</v>
      </c>
      <c r="E1367" s="29">
        <v>488.0</v>
      </c>
      <c r="F1367" s="29">
        <f>SUMIFS(crm_orders!$J:$J,crm_orders!$B:$B,"&gt;="&amp;A1367,crm_orders!$B:$B,"&lt;"&amp;DATE(YEAR(A1367),MONTH(A1367)+1,1),crm_orders!$E:$E,B1367,crm_orders!$G:$G,C1367,crm_orders!$H:$H,D1367)</f>
        <v>0</v>
      </c>
      <c r="G1367" s="29">
        <f>SUMIFS(warehouse_shipments!$H:$H,warehouse_shipments!$C:$C,"&gt;="&amp;A1367,warehouse_shipments!$C:$C,"&lt;"&amp;DATE(YEAR(A1367),MONTH(A1367)+1,1),warehouse_shipments!$P:$P,B1367,warehouse_shipments!$Q:$Q,C1367,warehouse_shipments!$R:$R,D1367)</f>
        <v>0</v>
      </c>
      <c r="H1367" s="30">
        <f t="shared" si="1"/>
        <v>-488</v>
      </c>
      <c r="I1367" s="65">
        <f t="shared" si="2"/>
        <v>0</v>
      </c>
      <c r="J1367" s="30" t="s">
        <v>5309</v>
      </c>
    </row>
    <row r="1368" ht="15.75" customHeight="1">
      <c r="A1368" s="18">
        <v>46143.0</v>
      </c>
      <c r="B1368" s="17" t="s">
        <v>4465</v>
      </c>
      <c r="C1368" s="17" t="s">
        <v>89</v>
      </c>
      <c r="D1368" s="17" t="s">
        <v>85</v>
      </c>
      <c r="E1368" s="21">
        <v>241.0</v>
      </c>
      <c r="F1368" s="21">
        <f>SUMIFS(crm_orders!$J:$J,crm_orders!$B:$B,"&gt;="&amp;A1368,crm_orders!$B:$B,"&lt;"&amp;DATE(YEAR(A1368),MONTH(A1368)+1,1),crm_orders!$E:$E,B1368,crm_orders!$G:$G,C1368,crm_orders!$H:$H,D1368)</f>
        <v>0</v>
      </c>
      <c r="G1368" s="21">
        <f>SUMIFS(warehouse_shipments!$H:$H,warehouse_shipments!$C:$C,"&gt;="&amp;A1368,warehouse_shipments!$C:$C,"&lt;"&amp;DATE(YEAR(A1368),MONTH(A1368)+1,1),warehouse_shipments!$P:$P,B1368,warehouse_shipments!$Q:$Q,C1368,warehouse_shipments!$R:$R,D1368)</f>
        <v>0</v>
      </c>
      <c r="H1368" s="22">
        <f t="shared" si="1"/>
        <v>-241</v>
      </c>
      <c r="I1368" s="64">
        <f t="shared" si="2"/>
        <v>0</v>
      </c>
      <c r="J1368" s="22" t="s">
        <v>5309</v>
      </c>
    </row>
    <row r="1369" ht="15.75" customHeight="1">
      <c r="A1369" s="26">
        <v>46143.0</v>
      </c>
      <c r="B1369" s="25" t="s">
        <v>4465</v>
      </c>
      <c r="C1369" s="25" t="s">
        <v>89</v>
      </c>
      <c r="D1369" s="25" t="s">
        <v>162</v>
      </c>
      <c r="E1369" s="29">
        <v>465.0</v>
      </c>
      <c r="F1369" s="29">
        <f>SUMIFS(crm_orders!$J:$J,crm_orders!$B:$B,"&gt;="&amp;A1369,crm_orders!$B:$B,"&lt;"&amp;DATE(YEAR(A1369),MONTH(A1369)+1,1),crm_orders!$E:$E,B1369,crm_orders!$G:$G,C1369,crm_orders!$H:$H,D1369)</f>
        <v>0</v>
      </c>
      <c r="G1369" s="29">
        <f>SUMIFS(warehouse_shipments!$H:$H,warehouse_shipments!$C:$C,"&gt;="&amp;A1369,warehouse_shipments!$C:$C,"&lt;"&amp;DATE(YEAR(A1369),MONTH(A1369)+1,1),warehouse_shipments!$P:$P,B1369,warehouse_shipments!$Q:$Q,C1369,warehouse_shipments!$R:$R,D1369)</f>
        <v>0</v>
      </c>
      <c r="H1369" s="30">
        <f t="shared" si="1"/>
        <v>-465</v>
      </c>
      <c r="I1369" s="65">
        <f t="shared" si="2"/>
        <v>0</v>
      </c>
      <c r="J1369" s="30" t="s">
        <v>5308</v>
      </c>
    </row>
    <row r="1370" ht="15.75" customHeight="1">
      <c r="A1370" s="18">
        <v>46143.0</v>
      </c>
      <c r="B1370" s="17" t="s">
        <v>4559</v>
      </c>
      <c r="C1370" s="17" t="s">
        <v>63</v>
      </c>
      <c r="D1370" s="17" t="s">
        <v>71</v>
      </c>
      <c r="E1370" s="21">
        <v>350.0</v>
      </c>
      <c r="F1370" s="21">
        <f>SUMIFS(crm_orders!$J:$J,crm_orders!$B:$B,"&gt;="&amp;A1370,crm_orders!$B:$B,"&lt;"&amp;DATE(YEAR(A1370),MONTH(A1370)+1,1),crm_orders!$E:$E,B1370,crm_orders!$G:$G,C1370,crm_orders!$H:$H,D1370)</f>
        <v>0</v>
      </c>
      <c r="G1370" s="21">
        <f>SUMIFS(warehouse_shipments!$H:$H,warehouse_shipments!$C:$C,"&gt;="&amp;A1370,warehouse_shipments!$C:$C,"&lt;"&amp;DATE(YEAR(A1370),MONTH(A1370)+1,1),warehouse_shipments!$P:$P,B1370,warehouse_shipments!$Q:$Q,C1370,warehouse_shipments!$R:$R,D1370)</f>
        <v>72</v>
      </c>
      <c r="H1370" s="22">
        <f t="shared" si="1"/>
        <v>-350</v>
      </c>
      <c r="I1370" s="64">
        <f t="shared" si="2"/>
        <v>0</v>
      </c>
      <c r="J1370" s="22" t="s">
        <v>5306</v>
      </c>
    </row>
    <row r="1371" ht="15.75" customHeight="1">
      <c r="A1371" s="26">
        <v>46143.0</v>
      </c>
      <c r="B1371" s="25" t="s">
        <v>4559</v>
      </c>
      <c r="C1371" s="25" t="s">
        <v>63</v>
      </c>
      <c r="D1371" s="25" t="s">
        <v>115</v>
      </c>
      <c r="E1371" s="29">
        <v>89.0</v>
      </c>
      <c r="F1371" s="29">
        <f>SUMIFS(crm_orders!$J:$J,crm_orders!$B:$B,"&gt;="&amp;A1371,crm_orders!$B:$B,"&lt;"&amp;DATE(YEAR(A1371),MONTH(A1371)+1,1),crm_orders!$E:$E,B1371,crm_orders!$G:$G,C1371,crm_orders!$H:$H,D1371)</f>
        <v>0</v>
      </c>
      <c r="G1371" s="29">
        <f>SUMIFS(warehouse_shipments!$H:$H,warehouse_shipments!$C:$C,"&gt;="&amp;A1371,warehouse_shipments!$C:$C,"&lt;"&amp;DATE(YEAR(A1371),MONTH(A1371)+1,1),warehouse_shipments!$P:$P,B1371,warehouse_shipments!$Q:$Q,C1371,warehouse_shipments!$R:$R,D1371)</f>
        <v>0</v>
      </c>
      <c r="H1371" s="30">
        <f t="shared" si="1"/>
        <v>-89</v>
      </c>
      <c r="I1371" s="65">
        <f t="shared" si="2"/>
        <v>0</v>
      </c>
      <c r="J1371" s="30" t="s">
        <v>5307</v>
      </c>
    </row>
    <row r="1372" ht="15.75" customHeight="1">
      <c r="A1372" s="18">
        <v>46143.0</v>
      </c>
      <c r="B1372" s="17" t="s">
        <v>4559</v>
      </c>
      <c r="C1372" s="17" t="s">
        <v>63</v>
      </c>
      <c r="D1372" s="17" t="s">
        <v>123</v>
      </c>
      <c r="E1372" s="21">
        <v>294.0</v>
      </c>
      <c r="F1372" s="21">
        <f>SUMIFS(crm_orders!$J:$J,crm_orders!$B:$B,"&gt;="&amp;A1372,crm_orders!$B:$B,"&lt;"&amp;DATE(YEAR(A1372),MONTH(A1372)+1,1),crm_orders!$E:$E,B1372,crm_orders!$G:$G,C1372,crm_orders!$H:$H,D1372)</f>
        <v>0</v>
      </c>
      <c r="G1372" s="21">
        <f>SUMIFS(warehouse_shipments!$H:$H,warehouse_shipments!$C:$C,"&gt;="&amp;A1372,warehouse_shipments!$C:$C,"&lt;"&amp;DATE(YEAR(A1372),MONTH(A1372)+1,1),warehouse_shipments!$P:$P,B1372,warehouse_shipments!$Q:$Q,C1372,warehouse_shipments!$R:$R,D1372)</f>
        <v>0</v>
      </c>
      <c r="H1372" s="22">
        <f t="shared" si="1"/>
        <v>-294</v>
      </c>
      <c r="I1372" s="64">
        <f t="shared" si="2"/>
        <v>0</v>
      </c>
      <c r="J1372" s="22" t="s">
        <v>5309</v>
      </c>
    </row>
    <row r="1373" ht="15.75" customHeight="1">
      <c r="A1373" s="26">
        <v>46143.0</v>
      </c>
      <c r="B1373" s="25" t="s">
        <v>4559</v>
      </c>
      <c r="C1373" s="25" t="s">
        <v>63</v>
      </c>
      <c r="D1373" s="25" t="s">
        <v>81</v>
      </c>
      <c r="E1373" s="29">
        <v>462.0</v>
      </c>
      <c r="F1373" s="29">
        <f>SUMIFS(crm_orders!$J:$J,crm_orders!$B:$B,"&gt;="&amp;A1373,crm_orders!$B:$B,"&lt;"&amp;DATE(YEAR(A1373),MONTH(A1373)+1,1),crm_orders!$E:$E,B1373,crm_orders!$G:$G,C1373,crm_orders!$H:$H,D1373)</f>
        <v>0</v>
      </c>
      <c r="G1373" s="29">
        <f>SUMIFS(warehouse_shipments!$H:$H,warehouse_shipments!$C:$C,"&gt;="&amp;A1373,warehouse_shipments!$C:$C,"&lt;"&amp;DATE(YEAR(A1373),MONTH(A1373)+1,1),warehouse_shipments!$P:$P,B1373,warehouse_shipments!$Q:$Q,C1373,warehouse_shipments!$R:$R,D1373)</f>
        <v>0</v>
      </c>
      <c r="H1373" s="30">
        <f t="shared" si="1"/>
        <v>-462</v>
      </c>
      <c r="I1373" s="65">
        <f t="shared" si="2"/>
        <v>0</v>
      </c>
      <c r="J1373" s="30" t="s">
        <v>5310</v>
      </c>
    </row>
    <row r="1374" ht="15.75" customHeight="1">
      <c r="A1374" s="18">
        <v>46143.0</v>
      </c>
      <c r="B1374" s="17" t="s">
        <v>4559</v>
      </c>
      <c r="C1374" s="17" t="s">
        <v>63</v>
      </c>
      <c r="D1374" s="17" t="s">
        <v>162</v>
      </c>
      <c r="E1374" s="21">
        <v>431.0</v>
      </c>
      <c r="F1374" s="21">
        <f>SUMIFS(crm_orders!$J:$J,crm_orders!$B:$B,"&gt;="&amp;A1374,crm_orders!$B:$B,"&lt;"&amp;DATE(YEAR(A1374),MONTH(A1374)+1,1),crm_orders!$E:$E,B1374,crm_orders!$G:$G,C1374,crm_orders!$H:$H,D1374)</f>
        <v>0</v>
      </c>
      <c r="G1374" s="21">
        <f>SUMIFS(warehouse_shipments!$H:$H,warehouse_shipments!$C:$C,"&gt;="&amp;A1374,warehouse_shipments!$C:$C,"&lt;"&amp;DATE(YEAR(A1374),MONTH(A1374)+1,1),warehouse_shipments!$P:$P,B1374,warehouse_shipments!$Q:$Q,C1374,warehouse_shipments!$R:$R,D1374)</f>
        <v>0</v>
      </c>
      <c r="H1374" s="22">
        <f t="shared" si="1"/>
        <v>-431</v>
      </c>
      <c r="I1374" s="64">
        <f t="shared" si="2"/>
        <v>0</v>
      </c>
      <c r="J1374" s="22" t="s">
        <v>5306</v>
      </c>
    </row>
    <row r="1375" ht="15.75" customHeight="1">
      <c r="A1375" s="26">
        <v>46143.0</v>
      </c>
      <c r="B1375" s="25" t="s">
        <v>4559</v>
      </c>
      <c r="C1375" s="25" t="s">
        <v>63</v>
      </c>
      <c r="D1375" s="25" t="s">
        <v>156</v>
      </c>
      <c r="E1375" s="29">
        <v>174.0</v>
      </c>
      <c r="F1375" s="29">
        <f>SUMIFS(crm_orders!$J:$J,crm_orders!$B:$B,"&gt;="&amp;A1375,crm_orders!$B:$B,"&lt;"&amp;DATE(YEAR(A1375),MONTH(A1375)+1,1),crm_orders!$E:$E,B1375,crm_orders!$G:$G,C1375,crm_orders!$H:$H,D1375)</f>
        <v>0</v>
      </c>
      <c r="G1375" s="29">
        <f>SUMIFS(warehouse_shipments!$H:$H,warehouse_shipments!$C:$C,"&gt;="&amp;A1375,warehouse_shipments!$C:$C,"&lt;"&amp;DATE(YEAR(A1375),MONTH(A1375)+1,1),warehouse_shipments!$P:$P,B1375,warehouse_shipments!$Q:$Q,C1375,warehouse_shipments!$R:$R,D1375)</f>
        <v>0</v>
      </c>
      <c r="H1375" s="30">
        <f t="shared" si="1"/>
        <v>-174</v>
      </c>
      <c r="I1375" s="65">
        <f t="shared" si="2"/>
        <v>0</v>
      </c>
      <c r="J1375" s="30" t="s">
        <v>5306</v>
      </c>
    </row>
    <row r="1376" ht="15.75" customHeight="1">
      <c r="A1376" s="18">
        <v>46143.0</v>
      </c>
      <c r="B1376" s="17" t="s">
        <v>4559</v>
      </c>
      <c r="C1376" s="17" t="s">
        <v>63</v>
      </c>
      <c r="D1376" s="17" t="s">
        <v>90</v>
      </c>
      <c r="E1376" s="21">
        <v>269.0</v>
      </c>
      <c r="F1376" s="21">
        <f>SUMIFS(crm_orders!$J:$J,crm_orders!$B:$B,"&gt;="&amp;A1376,crm_orders!$B:$B,"&lt;"&amp;DATE(YEAR(A1376),MONTH(A1376)+1,1),crm_orders!$E:$E,B1376,crm_orders!$G:$G,C1376,crm_orders!$H:$H,D1376)</f>
        <v>0</v>
      </c>
      <c r="G1376" s="21">
        <f>SUMIFS(warehouse_shipments!$H:$H,warehouse_shipments!$C:$C,"&gt;="&amp;A1376,warehouse_shipments!$C:$C,"&lt;"&amp;DATE(YEAR(A1376),MONTH(A1376)+1,1),warehouse_shipments!$P:$P,B1376,warehouse_shipments!$Q:$Q,C1376,warehouse_shipments!$R:$R,D1376)</f>
        <v>24</v>
      </c>
      <c r="H1376" s="22">
        <f t="shared" si="1"/>
        <v>-269</v>
      </c>
      <c r="I1376" s="64">
        <f t="shared" si="2"/>
        <v>0</v>
      </c>
      <c r="J1376" s="22" t="s">
        <v>5310</v>
      </c>
    </row>
    <row r="1377" ht="15.75" customHeight="1">
      <c r="A1377" s="26">
        <v>46143.0</v>
      </c>
      <c r="B1377" s="25" t="s">
        <v>4559</v>
      </c>
      <c r="C1377" s="25" t="s">
        <v>63</v>
      </c>
      <c r="D1377" s="25" t="s">
        <v>78</v>
      </c>
      <c r="E1377" s="29">
        <v>376.0</v>
      </c>
      <c r="F1377" s="29">
        <f>SUMIFS(crm_orders!$J:$J,crm_orders!$B:$B,"&gt;="&amp;A1377,crm_orders!$B:$B,"&lt;"&amp;DATE(YEAR(A1377),MONTH(A1377)+1,1),crm_orders!$E:$E,B1377,crm_orders!$G:$G,C1377,crm_orders!$H:$H,D1377)</f>
        <v>0</v>
      </c>
      <c r="G1377" s="29">
        <f>SUMIFS(warehouse_shipments!$H:$H,warehouse_shipments!$C:$C,"&gt;="&amp;A1377,warehouse_shipments!$C:$C,"&lt;"&amp;DATE(YEAR(A1377),MONTH(A1377)+1,1),warehouse_shipments!$P:$P,B1377,warehouse_shipments!$Q:$Q,C1377,warehouse_shipments!$R:$R,D1377)</f>
        <v>0</v>
      </c>
      <c r="H1377" s="30">
        <f t="shared" si="1"/>
        <v>-376</v>
      </c>
      <c r="I1377" s="65">
        <f t="shared" si="2"/>
        <v>0</v>
      </c>
      <c r="J1377" s="30" t="s">
        <v>5308</v>
      </c>
    </row>
    <row r="1378" ht="15.75" customHeight="1">
      <c r="A1378" s="18">
        <v>46143.0</v>
      </c>
      <c r="B1378" s="17" t="s">
        <v>4559</v>
      </c>
      <c r="C1378" s="17" t="s">
        <v>67</v>
      </c>
      <c r="D1378" s="17" t="s">
        <v>74</v>
      </c>
      <c r="E1378" s="21">
        <v>418.0</v>
      </c>
      <c r="F1378" s="21">
        <f>SUMIFS(crm_orders!$J:$J,crm_orders!$B:$B,"&gt;="&amp;A1378,crm_orders!$B:$B,"&lt;"&amp;DATE(YEAR(A1378),MONTH(A1378)+1,1),crm_orders!$E:$E,B1378,crm_orders!$G:$G,C1378,crm_orders!$H:$H,D1378)</f>
        <v>0</v>
      </c>
      <c r="G1378" s="21">
        <f>SUMIFS(warehouse_shipments!$H:$H,warehouse_shipments!$C:$C,"&gt;="&amp;A1378,warehouse_shipments!$C:$C,"&lt;"&amp;DATE(YEAR(A1378),MONTH(A1378)+1,1),warehouse_shipments!$P:$P,B1378,warehouse_shipments!$Q:$Q,C1378,warehouse_shipments!$R:$R,D1378)</f>
        <v>0</v>
      </c>
      <c r="H1378" s="22">
        <f t="shared" si="1"/>
        <v>-418</v>
      </c>
      <c r="I1378" s="64">
        <f t="shared" si="2"/>
        <v>0</v>
      </c>
      <c r="J1378" s="22" t="s">
        <v>5310</v>
      </c>
    </row>
    <row r="1379" ht="15.75" customHeight="1">
      <c r="A1379" s="26">
        <v>46143.0</v>
      </c>
      <c r="B1379" s="25" t="s">
        <v>4559</v>
      </c>
      <c r="C1379" s="25" t="s">
        <v>67</v>
      </c>
      <c r="D1379" s="25" t="s">
        <v>154</v>
      </c>
      <c r="E1379" s="29">
        <v>161.0</v>
      </c>
      <c r="F1379" s="29">
        <f>SUMIFS(crm_orders!$J:$J,crm_orders!$B:$B,"&gt;="&amp;A1379,crm_orders!$B:$B,"&lt;"&amp;DATE(YEAR(A1379),MONTH(A1379)+1,1),crm_orders!$E:$E,B1379,crm_orders!$G:$G,C1379,crm_orders!$H:$H,D1379)</f>
        <v>0</v>
      </c>
      <c r="G1379" s="29">
        <f>SUMIFS(warehouse_shipments!$H:$H,warehouse_shipments!$C:$C,"&gt;="&amp;A1379,warehouse_shipments!$C:$C,"&lt;"&amp;DATE(YEAR(A1379),MONTH(A1379)+1,1),warehouse_shipments!$P:$P,B1379,warehouse_shipments!$Q:$Q,C1379,warehouse_shipments!$R:$R,D1379)</f>
        <v>0</v>
      </c>
      <c r="H1379" s="30">
        <f t="shared" si="1"/>
        <v>-161</v>
      </c>
      <c r="I1379" s="65">
        <f t="shared" si="2"/>
        <v>0</v>
      </c>
      <c r="J1379" s="30" t="s">
        <v>5310</v>
      </c>
    </row>
    <row r="1380" ht="15.75" customHeight="1">
      <c r="A1380" s="18">
        <v>46143.0</v>
      </c>
      <c r="B1380" s="17" t="s">
        <v>4559</v>
      </c>
      <c r="C1380" s="17" t="s">
        <v>67</v>
      </c>
      <c r="D1380" s="17" t="s">
        <v>106</v>
      </c>
      <c r="E1380" s="21">
        <v>145.0</v>
      </c>
      <c r="F1380" s="21">
        <f>SUMIFS(crm_orders!$J:$J,crm_orders!$B:$B,"&gt;="&amp;A1380,crm_orders!$B:$B,"&lt;"&amp;DATE(YEAR(A1380),MONTH(A1380)+1,1),crm_orders!$E:$E,B1380,crm_orders!$G:$G,C1380,crm_orders!$H:$H,D1380)</f>
        <v>0</v>
      </c>
      <c r="G1380" s="21">
        <f>SUMIFS(warehouse_shipments!$H:$H,warehouse_shipments!$C:$C,"&gt;="&amp;A1380,warehouse_shipments!$C:$C,"&lt;"&amp;DATE(YEAR(A1380),MONTH(A1380)+1,1),warehouse_shipments!$P:$P,B1380,warehouse_shipments!$Q:$Q,C1380,warehouse_shipments!$R:$R,D1380)</f>
        <v>0</v>
      </c>
      <c r="H1380" s="22">
        <f t="shared" si="1"/>
        <v>-145</v>
      </c>
      <c r="I1380" s="64">
        <f t="shared" si="2"/>
        <v>0</v>
      </c>
      <c r="J1380" s="22" t="s">
        <v>5311</v>
      </c>
    </row>
    <row r="1381" ht="15.75" customHeight="1">
      <c r="A1381" s="26">
        <v>46143.0</v>
      </c>
      <c r="B1381" s="25" t="s">
        <v>4559</v>
      </c>
      <c r="C1381" s="25" t="s">
        <v>67</v>
      </c>
      <c r="D1381" s="25" t="s">
        <v>115</v>
      </c>
      <c r="E1381" s="29">
        <v>82.0</v>
      </c>
      <c r="F1381" s="29">
        <f>SUMIFS(crm_orders!$J:$J,crm_orders!$B:$B,"&gt;="&amp;A1381,crm_orders!$B:$B,"&lt;"&amp;DATE(YEAR(A1381),MONTH(A1381)+1,1),crm_orders!$E:$E,B1381,crm_orders!$G:$G,C1381,crm_orders!$H:$H,D1381)</f>
        <v>0</v>
      </c>
      <c r="G1381" s="29">
        <f>SUMIFS(warehouse_shipments!$H:$H,warehouse_shipments!$C:$C,"&gt;="&amp;A1381,warehouse_shipments!$C:$C,"&lt;"&amp;DATE(YEAR(A1381),MONTH(A1381)+1,1),warehouse_shipments!$P:$P,B1381,warehouse_shipments!$Q:$Q,C1381,warehouse_shipments!$R:$R,D1381)</f>
        <v>0</v>
      </c>
      <c r="H1381" s="30">
        <f t="shared" si="1"/>
        <v>-82</v>
      </c>
      <c r="I1381" s="65">
        <f t="shared" si="2"/>
        <v>0</v>
      </c>
      <c r="J1381" s="30" t="s">
        <v>5310</v>
      </c>
    </row>
    <row r="1382" ht="15.75" customHeight="1">
      <c r="A1382" s="18">
        <v>46143.0</v>
      </c>
      <c r="B1382" s="17" t="s">
        <v>4559</v>
      </c>
      <c r="C1382" s="17" t="s">
        <v>67</v>
      </c>
      <c r="D1382" s="17" t="s">
        <v>71</v>
      </c>
      <c r="E1382" s="21">
        <v>334.0</v>
      </c>
      <c r="F1382" s="21">
        <f>SUMIFS(crm_orders!$J:$J,crm_orders!$B:$B,"&gt;="&amp;A1382,crm_orders!$B:$B,"&lt;"&amp;DATE(YEAR(A1382),MONTH(A1382)+1,1),crm_orders!$E:$E,B1382,crm_orders!$G:$G,C1382,crm_orders!$H:$H,D1382)</f>
        <v>0</v>
      </c>
      <c r="G1382" s="21">
        <f>SUMIFS(warehouse_shipments!$H:$H,warehouse_shipments!$C:$C,"&gt;="&amp;A1382,warehouse_shipments!$C:$C,"&lt;"&amp;DATE(YEAR(A1382),MONTH(A1382)+1,1),warehouse_shipments!$P:$P,B1382,warehouse_shipments!$Q:$Q,C1382,warehouse_shipments!$R:$R,D1382)</f>
        <v>0</v>
      </c>
      <c r="H1382" s="22">
        <f t="shared" si="1"/>
        <v>-334</v>
      </c>
      <c r="I1382" s="64">
        <f t="shared" si="2"/>
        <v>0</v>
      </c>
      <c r="J1382" s="22" t="s">
        <v>5308</v>
      </c>
    </row>
    <row r="1383" ht="15.75" customHeight="1">
      <c r="A1383" s="26">
        <v>46143.0</v>
      </c>
      <c r="B1383" s="25" t="s">
        <v>4559</v>
      </c>
      <c r="C1383" s="25" t="s">
        <v>67</v>
      </c>
      <c r="D1383" s="25" t="s">
        <v>102</v>
      </c>
      <c r="E1383" s="29">
        <v>178.0</v>
      </c>
      <c r="F1383" s="29">
        <f>SUMIFS(crm_orders!$J:$J,crm_orders!$B:$B,"&gt;="&amp;A1383,crm_orders!$B:$B,"&lt;"&amp;DATE(YEAR(A1383),MONTH(A1383)+1,1),crm_orders!$E:$E,B1383,crm_orders!$G:$G,C1383,crm_orders!$H:$H,D1383)</f>
        <v>0</v>
      </c>
      <c r="G1383" s="29">
        <f>SUMIFS(warehouse_shipments!$H:$H,warehouse_shipments!$C:$C,"&gt;="&amp;A1383,warehouse_shipments!$C:$C,"&lt;"&amp;DATE(YEAR(A1383),MONTH(A1383)+1,1),warehouse_shipments!$P:$P,B1383,warehouse_shipments!$Q:$Q,C1383,warehouse_shipments!$R:$R,D1383)</f>
        <v>0</v>
      </c>
      <c r="H1383" s="30">
        <f t="shared" si="1"/>
        <v>-178</v>
      </c>
      <c r="I1383" s="65">
        <f t="shared" si="2"/>
        <v>0</v>
      </c>
      <c r="J1383" s="30" t="s">
        <v>5310</v>
      </c>
    </row>
    <row r="1384" ht="15.75" customHeight="1">
      <c r="A1384" s="18">
        <v>46143.0</v>
      </c>
      <c r="B1384" s="17" t="s">
        <v>4559</v>
      </c>
      <c r="C1384" s="17" t="s">
        <v>67</v>
      </c>
      <c r="D1384" s="17" t="s">
        <v>162</v>
      </c>
      <c r="E1384" s="21">
        <v>165.0</v>
      </c>
      <c r="F1384" s="21">
        <f>SUMIFS(crm_orders!$J:$J,crm_orders!$B:$B,"&gt;="&amp;A1384,crm_orders!$B:$B,"&lt;"&amp;DATE(YEAR(A1384),MONTH(A1384)+1,1),crm_orders!$E:$E,B1384,crm_orders!$G:$G,C1384,crm_orders!$H:$H,D1384)</f>
        <v>0</v>
      </c>
      <c r="G1384" s="21">
        <f>SUMIFS(warehouse_shipments!$H:$H,warehouse_shipments!$C:$C,"&gt;="&amp;A1384,warehouse_shipments!$C:$C,"&lt;"&amp;DATE(YEAR(A1384),MONTH(A1384)+1,1),warehouse_shipments!$P:$P,B1384,warehouse_shipments!$Q:$Q,C1384,warehouse_shipments!$R:$R,D1384)</f>
        <v>0</v>
      </c>
      <c r="H1384" s="22">
        <f t="shared" si="1"/>
        <v>-165</v>
      </c>
      <c r="I1384" s="64">
        <f t="shared" si="2"/>
        <v>0</v>
      </c>
      <c r="J1384" s="22" t="s">
        <v>5307</v>
      </c>
    </row>
    <row r="1385" ht="15.75" customHeight="1">
      <c r="A1385" s="26">
        <v>46143.0</v>
      </c>
      <c r="B1385" s="25" t="s">
        <v>4559</v>
      </c>
      <c r="C1385" s="25" t="s">
        <v>67</v>
      </c>
      <c r="D1385" s="25" t="s">
        <v>64</v>
      </c>
      <c r="E1385" s="29">
        <v>374.0</v>
      </c>
      <c r="F1385" s="29">
        <f>SUMIFS(crm_orders!$J:$J,crm_orders!$B:$B,"&gt;="&amp;A1385,crm_orders!$B:$B,"&lt;"&amp;DATE(YEAR(A1385),MONTH(A1385)+1,1),crm_orders!$E:$E,B1385,crm_orders!$G:$G,C1385,crm_orders!$H:$H,D1385)</f>
        <v>0</v>
      </c>
      <c r="G1385" s="29">
        <f>SUMIFS(warehouse_shipments!$H:$H,warehouse_shipments!$C:$C,"&gt;="&amp;A1385,warehouse_shipments!$C:$C,"&lt;"&amp;DATE(YEAR(A1385),MONTH(A1385)+1,1),warehouse_shipments!$P:$P,B1385,warehouse_shipments!$Q:$Q,C1385,warehouse_shipments!$R:$R,D1385)</f>
        <v>0</v>
      </c>
      <c r="H1385" s="30">
        <f t="shared" si="1"/>
        <v>-374</v>
      </c>
      <c r="I1385" s="65">
        <f t="shared" si="2"/>
        <v>0</v>
      </c>
      <c r="J1385" s="30" t="s">
        <v>5308</v>
      </c>
    </row>
    <row r="1386" ht="15.75" customHeight="1">
      <c r="A1386" s="18">
        <v>46143.0</v>
      </c>
      <c r="B1386" s="17" t="s">
        <v>4559</v>
      </c>
      <c r="C1386" s="17" t="s">
        <v>89</v>
      </c>
      <c r="D1386" s="17" t="s">
        <v>85</v>
      </c>
      <c r="E1386" s="21">
        <v>335.0</v>
      </c>
      <c r="F1386" s="21">
        <f>SUMIFS(crm_orders!$J:$J,crm_orders!$B:$B,"&gt;="&amp;A1386,crm_orders!$B:$B,"&lt;"&amp;DATE(YEAR(A1386),MONTH(A1386)+1,1),crm_orders!$E:$E,B1386,crm_orders!$G:$G,C1386,crm_orders!$H:$H,D1386)</f>
        <v>0</v>
      </c>
      <c r="G1386" s="21">
        <f>SUMIFS(warehouse_shipments!$H:$H,warehouse_shipments!$C:$C,"&gt;="&amp;A1386,warehouse_shipments!$C:$C,"&lt;"&amp;DATE(YEAR(A1386),MONTH(A1386)+1,1),warehouse_shipments!$P:$P,B1386,warehouse_shipments!$Q:$Q,C1386,warehouse_shipments!$R:$R,D1386)</f>
        <v>0</v>
      </c>
      <c r="H1386" s="22">
        <f t="shared" si="1"/>
        <v>-335</v>
      </c>
      <c r="I1386" s="64">
        <f t="shared" si="2"/>
        <v>0</v>
      </c>
      <c r="J1386" s="22" t="s">
        <v>5307</v>
      </c>
    </row>
    <row r="1387" ht="15.75" customHeight="1">
      <c r="A1387" s="26">
        <v>46143.0</v>
      </c>
      <c r="B1387" s="25" t="s">
        <v>4559</v>
      </c>
      <c r="C1387" s="25" t="s">
        <v>89</v>
      </c>
      <c r="D1387" s="25" t="s">
        <v>156</v>
      </c>
      <c r="E1387" s="29">
        <v>199.0</v>
      </c>
      <c r="F1387" s="29">
        <f>SUMIFS(crm_orders!$J:$J,crm_orders!$B:$B,"&gt;="&amp;A1387,crm_orders!$B:$B,"&lt;"&amp;DATE(YEAR(A1387),MONTH(A1387)+1,1),crm_orders!$E:$E,B1387,crm_orders!$G:$G,C1387,crm_orders!$H:$H,D1387)</f>
        <v>0</v>
      </c>
      <c r="G1387" s="29">
        <f>SUMIFS(warehouse_shipments!$H:$H,warehouse_shipments!$C:$C,"&gt;="&amp;A1387,warehouse_shipments!$C:$C,"&lt;"&amp;DATE(YEAR(A1387),MONTH(A1387)+1,1),warehouse_shipments!$P:$P,B1387,warehouse_shipments!$Q:$Q,C1387,warehouse_shipments!$R:$R,D1387)</f>
        <v>0</v>
      </c>
      <c r="H1387" s="30">
        <f t="shared" si="1"/>
        <v>-199</v>
      </c>
      <c r="I1387" s="65">
        <f t="shared" si="2"/>
        <v>0</v>
      </c>
      <c r="J1387" s="30" t="s">
        <v>5307</v>
      </c>
    </row>
    <row r="1388" ht="15.75" customHeight="1">
      <c r="A1388" s="18">
        <v>46143.0</v>
      </c>
      <c r="B1388" s="17" t="s">
        <v>4559</v>
      </c>
      <c r="C1388" s="17" t="s">
        <v>89</v>
      </c>
      <c r="D1388" s="17" t="s">
        <v>92</v>
      </c>
      <c r="E1388" s="21">
        <v>447.0</v>
      </c>
      <c r="F1388" s="21">
        <f>SUMIFS(crm_orders!$J:$J,crm_orders!$B:$B,"&gt;="&amp;A1388,crm_orders!$B:$B,"&lt;"&amp;DATE(YEAR(A1388),MONTH(A1388)+1,1),crm_orders!$E:$E,B1388,crm_orders!$G:$G,C1388,crm_orders!$H:$H,D1388)</f>
        <v>0</v>
      </c>
      <c r="G1388" s="21">
        <f>SUMIFS(warehouse_shipments!$H:$H,warehouse_shipments!$C:$C,"&gt;="&amp;A1388,warehouse_shipments!$C:$C,"&lt;"&amp;DATE(YEAR(A1388),MONTH(A1388)+1,1),warehouse_shipments!$P:$P,B1388,warehouse_shipments!$Q:$Q,C1388,warehouse_shipments!$R:$R,D1388)</f>
        <v>0</v>
      </c>
      <c r="H1388" s="22">
        <f t="shared" si="1"/>
        <v>-447</v>
      </c>
      <c r="I1388" s="64">
        <f t="shared" si="2"/>
        <v>0</v>
      </c>
      <c r="J1388" s="22" t="s">
        <v>5311</v>
      </c>
    </row>
    <row r="1389" ht="15.75" customHeight="1">
      <c r="A1389" s="26">
        <v>46143.0</v>
      </c>
      <c r="B1389" s="25" t="s">
        <v>4559</v>
      </c>
      <c r="C1389" s="25" t="s">
        <v>89</v>
      </c>
      <c r="D1389" s="25" t="s">
        <v>102</v>
      </c>
      <c r="E1389" s="29">
        <v>110.0</v>
      </c>
      <c r="F1389" s="29">
        <f>SUMIFS(crm_orders!$J:$J,crm_orders!$B:$B,"&gt;="&amp;A1389,crm_orders!$B:$B,"&lt;"&amp;DATE(YEAR(A1389),MONTH(A1389)+1,1),crm_orders!$E:$E,B1389,crm_orders!$G:$G,C1389,crm_orders!$H:$H,D1389)</f>
        <v>0</v>
      </c>
      <c r="G1389" s="29">
        <f>SUMIFS(warehouse_shipments!$H:$H,warehouse_shipments!$C:$C,"&gt;="&amp;A1389,warehouse_shipments!$C:$C,"&lt;"&amp;DATE(YEAR(A1389),MONTH(A1389)+1,1),warehouse_shipments!$P:$P,B1389,warehouse_shipments!$Q:$Q,C1389,warehouse_shipments!$R:$R,D1389)</f>
        <v>0</v>
      </c>
      <c r="H1389" s="30">
        <f t="shared" si="1"/>
        <v>-110</v>
      </c>
      <c r="I1389" s="65">
        <f t="shared" si="2"/>
        <v>0</v>
      </c>
      <c r="J1389" s="30" t="s">
        <v>5311</v>
      </c>
    </row>
    <row r="1390" ht="15.75" customHeight="1">
      <c r="A1390" s="18">
        <v>46143.0</v>
      </c>
      <c r="B1390" s="17" t="s">
        <v>4559</v>
      </c>
      <c r="C1390" s="17" t="s">
        <v>89</v>
      </c>
      <c r="D1390" s="17" t="s">
        <v>90</v>
      </c>
      <c r="E1390" s="21">
        <v>254.0</v>
      </c>
      <c r="F1390" s="21">
        <f>SUMIFS(crm_orders!$J:$J,crm_orders!$B:$B,"&gt;="&amp;A1390,crm_orders!$B:$B,"&lt;"&amp;DATE(YEAR(A1390),MONTH(A1390)+1,1),crm_orders!$E:$E,B1390,crm_orders!$G:$G,C1390,crm_orders!$H:$H,D1390)</f>
        <v>0</v>
      </c>
      <c r="G1390" s="21">
        <f>SUMIFS(warehouse_shipments!$H:$H,warehouse_shipments!$C:$C,"&gt;="&amp;A1390,warehouse_shipments!$C:$C,"&lt;"&amp;DATE(YEAR(A1390),MONTH(A1390)+1,1),warehouse_shipments!$P:$P,B1390,warehouse_shipments!$Q:$Q,C1390,warehouse_shipments!$R:$R,D1390)</f>
        <v>0</v>
      </c>
      <c r="H1390" s="22">
        <f t="shared" si="1"/>
        <v>-254</v>
      </c>
      <c r="I1390" s="64">
        <f t="shared" si="2"/>
        <v>0</v>
      </c>
      <c r="J1390" s="22" t="s">
        <v>5308</v>
      </c>
    </row>
    <row r="1391" ht="15.75" customHeight="1">
      <c r="A1391" s="26">
        <v>46143.0</v>
      </c>
      <c r="B1391" s="25" t="s">
        <v>4559</v>
      </c>
      <c r="C1391" s="25" t="s">
        <v>89</v>
      </c>
      <c r="D1391" s="25" t="s">
        <v>68</v>
      </c>
      <c r="E1391" s="29">
        <v>166.0</v>
      </c>
      <c r="F1391" s="29">
        <f>SUMIFS(crm_orders!$J:$J,crm_orders!$B:$B,"&gt;="&amp;A1391,crm_orders!$B:$B,"&lt;"&amp;DATE(YEAR(A1391),MONTH(A1391)+1,1),crm_orders!$E:$E,B1391,crm_orders!$G:$G,C1391,crm_orders!$H:$H,D1391)</f>
        <v>0</v>
      </c>
      <c r="G1391" s="29">
        <f>SUMIFS(warehouse_shipments!$H:$H,warehouse_shipments!$C:$C,"&gt;="&amp;A1391,warehouse_shipments!$C:$C,"&lt;"&amp;DATE(YEAR(A1391),MONTH(A1391)+1,1),warehouse_shipments!$P:$P,B1391,warehouse_shipments!$Q:$Q,C1391,warehouse_shipments!$R:$R,D1391)</f>
        <v>0</v>
      </c>
      <c r="H1391" s="30">
        <f t="shared" si="1"/>
        <v>-166</v>
      </c>
      <c r="I1391" s="65">
        <f t="shared" si="2"/>
        <v>0</v>
      </c>
      <c r="J1391" s="30" t="s">
        <v>5307</v>
      </c>
    </row>
    <row r="1392" ht="15.75" customHeight="1">
      <c r="A1392" s="18">
        <v>46143.0</v>
      </c>
      <c r="B1392" s="17" t="s">
        <v>4559</v>
      </c>
      <c r="C1392" s="17" t="s">
        <v>89</v>
      </c>
      <c r="D1392" s="17" t="s">
        <v>110</v>
      </c>
      <c r="E1392" s="21">
        <v>152.0</v>
      </c>
      <c r="F1392" s="21">
        <f>SUMIFS(crm_orders!$J:$J,crm_orders!$B:$B,"&gt;="&amp;A1392,crm_orders!$B:$B,"&lt;"&amp;DATE(YEAR(A1392),MONTH(A1392)+1,1),crm_orders!$E:$E,B1392,crm_orders!$G:$G,C1392,crm_orders!$H:$H,D1392)</f>
        <v>0</v>
      </c>
      <c r="G1392" s="21">
        <f>SUMIFS(warehouse_shipments!$H:$H,warehouse_shipments!$C:$C,"&gt;="&amp;A1392,warehouse_shipments!$C:$C,"&lt;"&amp;DATE(YEAR(A1392),MONTH(A1392)+1,1),warehouse_shipments!$P:$P,B1392,warehouse_shipments!$Q:$Q,C1392,warehouse_shipments!$R:$R,D1392)</f>
        <v>0</v>
      </c>
      <c r="H1392" s="22">
        <f t="shared" si="1"/>
        <v>-152</v>
      </c>
      <c r="I1392" s="64">
        <f t="shared" si="2"/>
        <v>0</v>
      </c>
      <c r="J1392" s="22" t="s">
        <v>5309</v>
      </c>
    </row>
    <row r="1393" ht="15.75" customHeight="1">
      <c r="A1393" s="26">
        <v>46143.0</v>
      </c>
      <c r="B1393" s="25" t="s">
        <v>4559</v>
      </c>
      <c r="C1393" s="25" t="s">
        <v>89</v>
      </c>
      <c r="D1393" s="25" t="s">
        <v>71</v>
      </c>
      <c r="E1393" s="29">
        <v>452.0</v>
      </c>
      <c r="F1393" s="29">
        <f>SUMIFS(crm_orders!$J:$J,crm_orders!$B:$B,"&gt;="&amp;A1393,crm_orders!$B:$B,"&lt;"&amp;DATE(YEAR(A1393),MONTH(A1393)+1,1),crm_orders!$E:$E,B1393,crm_orders!$G:$G,C1393,crm_orders!$H:$H,D1393)</f>
        <v>0</v>
      </c>
      <c r="G1393" s="29">
        <f>SUMIFS(warehouse_shipments!$H:$H,warehouse_shipments!$C:$C,"&gt;="&amp;A1393,warehouse_shipments!$C:$C,"&lt;"&amp;DATE(YEAR(A1393),MONTH(A1393)+1,1),warehouse_shipments!$P:$P,B1393,warehouse_shipments!$Q:$Q,C1393,warehouse_shipments!$R:$R,D1393)</f>
        <v>0</v>
      </c>
      <c r="H1393" s="30">
        <f t="shared" si="1"/>
        <v>-452</v>
      </c>
      <c r="I1393" s="65">
        <f t="shared" si="2"/>
        <v>0</v>
      </c>
      <c r="J1393" s="30" t="s">
        <v>5311</v>
      </c>
    </row>
    <row r="1394" ht="15.75" customHeight="1">
      <c r="A1394" s="18">
        <v>46143.0</v>
      </c>
      <c r="B1394" s="17" t="s">
        <v>4618</v>
      </c>
      <c r="C1394" s="17" t="s">
        <v>63</v>
      </c>
      <c r="D1394" s="17" t="s">
        <v>74</v>
      </c>
      <c r="E1394" s="21">
        <v>89.0</v>
      </c>
      <c r="F1394" s="21">
        <f>SUMIFS(crm_orders!$J:$J,crm_orders!$B:$B,"&gt;="&amp;A1394,crm_orders!$B:$B,"&lt;"&amp;DATE(YEAR(A1394),MONTH(A1394)+1,1),crm_orders!$E:$E,B1394,crm_orders!$G:$G,C1394,crm_orders!$H:$H,D1394)</f>
        <v>0</v>
      </c>
      <c r="G1394" s="21">
        <f>SUMIFS(warehouse_shipments!$H:$H,warehouse_shipments!$C:$C,"&gt;="&amp;A1394,warehouse_shipments!$C:$C,"&lt;"&amp;DATE(YEAR(A1394),MONTH(A1394)+1,1),warehouse_shipments!$P:$P,B1394,warehouse_shipments!$Q:$Q,C1394,warehouse_shipments!$R:$R,D1394)</f>
        <v>0</v>
      </c>
      <c r="H1394" s="22">
        <f t="shared" si="1"/>
        <v>-89</v>
      </c>
      <c r="I1394" s="64">
        <f t="shared" si="2"/>
        <v>0</v>
      </c>
      <c r="J1394" s="22" t="s">
        <v>5309</v>
      </c>
    </row>
    <row r="1395" ht="15.75" customHeight="1">
      <c r="A1395" s="26">
        <v>46143.0</v>
      </c>
      <c r="B1395" s="25" t="s">
        <v>4618</v>
      </c>
      <c r="C1395" s="25" t="s">
        <v>63</v>
      </c>
      <c r="D1395" s="25" t="s">
        <v>162</v>
      </c>
      <c r="E1395" s="29">
        <v>241.0</v>
      </c>
      <c r="F1395" s="29">
        <f>SUMIFS(crm_orders!$J:$J,crm_orders!$B:$B,"&gt;="&amp;A1395,crm_orders!$B:$B,"&lt;"&amp;DATE(YEAR(A1395),MONTH(A1395)+1,1),crm_orders!$E:$E,B1395,crm_orders!$G:$G,C1395,crm_orders!$H:$H,D1395)</f>
        <v>0</v>
      </c>
      <c r="G1395" s="29">
        <f>SUMIFS(warehouse_shipments!$H:$H,warehouse_shipments!$C:$C,"&gt;="&amp;A1395,warehouse_shipments!$C:$C,"&lt;"&amp;DATE(YEAR(A1395),MONTH(A1395)+1,1),warehouse_shipments!$P:$P,B1395,warehouse_shipments!$Q:$Q,C1395,warehouse_shipments!$R:$R,D1395)</f>
        <v>0</v>
      </c>
      <c r="H1395" s="30">
        <f t="shared" si="1"/>
        <v>-241</v>
      </c>
      <c r="I1395" s="65">
        <f t="shared" si="2"/>
        <v>0</v>
      </c>
      <c r="J1395" s="30" t="s">
        <v>5309</v>
      </c>
    </row>
    <row r="1396" ht="15.75" customHeight="1">
      <c r="A1396" s="18">
        <v>46143.0</v>
      </c>
      <c r="B1396" s="17" t="s">
        <v>4618</v>
      </c>
      <c r="C1396" s="17" t="s">
        <v>63</v>
      </c>
      <c r="D1396" s="17" t="s">
        <v>81</v>
      </c>
      <c r="E1396" s="21">
        <v>436.0</v>
      </c>
      <c r="F1396" s="21">
        <f>SUMIFS(crm_orders!$J:$J,crm_orders!$B:$B,"&gt;="&amp;A1396,crm_orders!$B:$B,"&lt;"&amp;DATE(YEAR(A1396),MONTH(A1396)+1,1),crm_orders!$E:$E,B1396,crm_orders!$G:$G,C1396,crm_orders!$H:$H,D1396)</f>
        <v>0</v>
      </c>
      <c r="G1396" s="21">
        <f>SUMIFS(warehouse_shipments!$H:$H,warehouse_shipments!$C:$C,"&gt;="&amp;A1396,warehouse_shipments!$C:$C,"&lt;"&amp;DATE(YEAR(A1396),MONTH(A1396)+1,1),warehouse_shipments!$P:$P,B1396,warehouse_shipments!$Q:$Q,C1396,warehouse_shipments!$R:$R,D1396)</f>
        <v>0</v>
      </c>
      <c r="H1396" s="22">
        <f t="shared" si="1"/>
        <v>-436</v>
      </c>
      <c r="I1396" s="64">
        <f t="shared" si="2"/>
        <v>0</v>
      </c>
      <c r="J1396" s="22" t="s">
        <v>5311</v>
      </c>
    </row>
    <row r="1397" ht="15.75" customHeight="1">
      <c r="A1397" s="26">
        <v>46143.0</v>
      </c>
      <c r="B1397" s="25" t="s">
        <v>4618</v>
      </c>
      <c r="C1397" s="25" t="s">
        <v>63</v>
      </c>
      <c r="D1397" s="25" t="s">
        <v>123</v>
      </c>
      <c r="E1397" s="29">
        <v>347.0</v>
      </c>
      <c r="F1397" s="29">
        <f>SUMIFS(crm_orders!$J:$J,crm_orders!$B:$B,"&gt;="&amp;A1397,crm_orders!$B:$B,"&lt;"&amp;DATE(YEAR(A1397),MONTH(A1397)+1,1),crm_orders!$E:$E,B1397,crm_orders!$G:$G,C1397,crm_orders!$H:$H,D1397)</f>
        <v>0</v>
      </c>
      <c r="G1397" s="29">
        <f>SUMIFS(warehouse_shipments!$H:$H,warehouse_shipments!$C:$C,"&gt;="&amp;A1397,warehouse_shipments!$C:$C,"&lt;"&amp;DATE(YEAR(A1397),MONTH(A1397)+1,1),warehouse_shipments!$P:$P,B1397,warehouse_shipments!$Q:$Q,C1397,warehouse_shipments!$R:$R,D1397)</f>
        <v>0</v>
      </c>
      <c r="H1397" s="30">
        <f t="shared" si="1"/>
        <v>-347</v>
      </c>
      <c r="I1397" s="65">
        <f t="shared" si="2"/>
        <v>0</v>
      </c>
      <c r="J1397" s="30" t="s">
        <v>5311</v>
      </c>
    </row>
    <row r="1398" ht="15.75" customHeight="1">
      <c r="A1398" s="18">
        <v>46143.0</v>
      </c>
      <c r="B1398" s="17" t="s">
        <v>4618</v>
      </c>
      <c r="C1398" s="17" t="s">
        <v>63</v>
      </c>
      <c r="D1398" s="17" t="s">
        <v>108</v>
      </c>
      <c r="E1398" s="21">
        <v>248.0</v>
      </c>
      <c r="F1398" s="21">
        <f>SUMIFS(crm_orders!$J:$J,crm_orders!$B:$B,"&gt;="&amp;A1398,crm_orders!$B:$B,"&lt;"&amp;DATE(YEAR(A1398),MONTH(A1398)+1,1),crm_orders!$E:$E,B1398,crm_orders!$G:$G,C1398,crm_orders!$H:$H,D1398)</f>
        <v>0</v>
      </c>
      <c r="G1398" s="21">
        <f>SUMIFS(warehouse_shipments!$H:$H,warehouse_shipments!$C:$C,"&gt;="&amp;A1398,warehouse_shipments!$C:$C,"&lt;"&amp;DATE(YEAR(A1398),MONTH(A1398)+1,1),warehouse_shipments!$P:$P,B1398,warehouse_shipments!$Q:$Q,C1398,warehouse_shipments!$R:$R,D1398)</f>
        <v>0</v>
      </c>
      <c r="H1398" s="22">
        <f t="shared" si="1"/>
        <v>-248</v>
      </c>
      <c r="I1398" s="64">
        <f t="shared" si="2"/>
        <v>0</v>
      </c>
      <c r="J1398" s="22" t="s">
        <v>5307</v>
      </c>
    </row>
    <row r="1399" ht="15.75" customHeight="1">
      <c r="A1399" s="26">
        <v>46143.0</v>
      </c>
      <c r="B1399" s="25" t="s">
        <v>4618</v>
      </c>
      <c r="C1399" s="25" t="s">
        <v>63</v>
      </c>
      <c r="D1399" s="25" t="s">
        <v>90</v>
      </c>
      <c r="E1399" s="29">
        <v>207.0</v>
      </c>
      <c r="F1399" s="29">
        <f>SUMIFS(crm_orders!$J:$J,crm_orders!$B:$B,"&gt;="&amp;A1399,crm_orders!$B:$B,"&lt;"&amp;DATE(YEAR(A1399),MONTH(A1399)+1,1),crm_orders!$E:$E,B1399,crm_orders!$G:$G,C1399,crm_orders!$H:$H,D1399)</f>
        <v>0</v>
      </c>
      <c r="G1399" s="29">
        <f>SUMIFS(warehouse_shipments!$H:$H,warehouse_shipments!$C:$C,"&gt;="&amp;A1399,warehouse_shipments!$C:$C,"&lt;"&amp;DATE(YEAR(A1399),MONTH(A1399)+1,1),warehouse_shipments!$P:$P,B1399,warehouse_shipments!$Q:$Q,C1399,warehouse_shipments!$R:$R,D1399)</f>
        <v>0</v>
      </c>
      <c r="H1399" s="30">
        <f t="shared" si="1"/>
        <v>-207</v>
      </c>
      <c r="I1399" s="65">
        <f t="shared" si="2"/>
        <v>0</v>
      </c>
      <c r="J1399" s="30" t="s">
        <v>5306</v>
      </c>
    </row>
    <row r="1400" ht="15.75" customHeight="1">
      <c r="A1400" s="18">
        <v>46143.0</v>
      </c>
      <c r="B1400" s="17" t="s">
        <v>4618</v>
      </c>
      <c r="C1400" s="17" t="s">
        <v>63</v>
      </c>
      <c r="D1400" s="17" t="s">
        <v>85</v>
      </c>
      <c r="E1400" s="21">
        <v>464.0</v>
      </c>
      <c r="F1400" s="21">
        <f>SUMIFS(crm_orders!$J:$J,crm_orders!$B:$B,"&gt;="&amp;A1400,crm_orders!$B:$B,"&lt;"&amp;DATE(YEAR(A1400),MONTH(A1400)+1,1),crm_orders!$E:$E,B1400,crm_orders!$G:$G,C1400,crm_orders!$H:$H,D1400)</f>
        <v>0</v>
      </c>
      <c r="G1400" s="21">
        <f>SUMIFS(warehouse_shipments!$H:$H,warehouse_shipments!$C:$C,"&gt;="&amp;A1400,warehouse_shipments!$C:$C,"&lt;"&amp;DATE(YEAR(A1400),MONTH(A1400)+1,1),warehouse_shipments!$P:$P,B1400,warehouse_shipments!$Q:$Q,C1400,warehouse_shipments!$R:$R,D1400)</f>
        <v>0</v>
      </c>
      <c r="H1400" s="22">
        <f t="shared" si="1"/>
        <v>-464</v>
      </c>
      <c r="I1400" s="64">
        <f t="shared" si="2"/>
        <v>0</v>
      </c>
      <c r="J1400" s="22" t="s">
        <v>5308</v>
      </c>
    </row>
    <row r="1401" ht="15.75" customHeight="1">
      <c r="A1401" s="26">
        <v>46143.0</v>
      </c>
      <c r="B1401" s="25" t="s">
        <v>4618</v>
      </c>
      <c r="C1401" s="25" t="s">
        <v>63</v>
      </c>
      <c r="D1401" s="25" t="s">
        <v>115</v>
      </c>
      <c r="E1401" s="29">
        <v>175.0</v>
      </c>
      <c r="F1401" s="29">
        <f>SUMIFS(crm_orders!$J:$J,crm_orders!$B:$B,"&gt;="&amp;A1401,crm_orders!$B:$B,"&lt;"&amp;DATE(YEAR(A1401),MONTH(A1401)+1,1),crm_orders!$E:$E,B1401,crm_orders!$G:$G,C1401,crm_orders!$H:$H,D1401)</f>
        <v>0</v>
      </c>
      <c r="G1401" s="29">
        <f>SUMIFS(warehouse_shipments!$H:$H,warehouse_shipments!$C:$C,"&gt;="&amp;A1401,warehouse_shipments!$C:$C,"&lt;"&amp;DATE(YEAR(A1401),MONTH(A1401)+1,1),warehouse_shipments!$P:$P,B1401,warehouse_shipments!$Q:$Q,C1401,warehouse_shipments!$R:$R,D1401)</f>
        <v>36</v>
      </c>
      <c r="H1401" s="30">
        <f t="shared" si="1"/>
        <v>-175</v>
      </c>
      <c r="I1401" s="65">
        <f t="shared" si="2"/>
        <v>0</v>
      </c>
      <c r="J1401" s="30" t="s">
        <v>5308</v>
      </c>
    </row>
    <row r="1402" ht="15.75" customHeight="1">
      <c r="A1402" s="18">
        <v>46143.0</v>
      </c>
      <c r="B1402" s="17" t="s">
        <v>4618</v>
      </c>
      <c r="C1402" s="17" t="s">
        <v>67</v>
      </c>
      <c r="D1402" s="17" t="s">
        <v>92</v>
      </c>
      <c r="E1402" s="21">
        <v>277.0</v>
      </c>
      <c r="F1402" s="21">
        <f>SUMIFS(crm_orders!$J:$J,crm_orders!$B:$B,"&gt;="&amp;A1402,crm_orders!$B:$B,"&lt;"&amp;DATE(YEAR(A1402),MONTH(A1402)+1,1),crm_orders!$E:$E,B1402,crm_orders!$G:$G,C1402,crm_orders!$H:$H,D1402)</f>
        <v>0</v>
      </c>
      <c r="G1402" s="21">
        <f>SUMIFS(warehouse_shipments!$H:$H,warehouse_shipments!$C:$C,"&gt;="&amp;A1402,warehouse_shipments!$C:$C,"&lt;"&amp;DATE(YEAR(A1402),MONTH(A1402)+1,1),warehouse_shipments!$P:$P,B1402,warehouse_shipments!$Q:$Q,C1402,warehouse_shipments!$R:$R,D1402)</f>
        <v>0</v>
      </c>
      <c r="H1402" s="22">
        <f t="shared" si="1"/>
        <v>-277</v>
      </c>
      <c r="I1402" s="64">
        <f t="shared" si="2"/>
        <v>0</v>
      </c>
      <c r="J1402" s="22" t="s">
        <v>5309</v>
      </c>
    </row>
    <row r="1403" ht="15.75" customHeight="1">
      <c r="A1403" s="26">
        <v>46143.0</v>
      </c>
      <c r="B1403" s="25" t="s">
        <v>4618</v>
      </c>
      <c r="C1403" s="25" t="s">
        <v>67</v>
      </c>
      <c r="D1403" s="25" t="s">
        <v>190</v>
      </c>
      <c r="E1403" s="29">
        <v>354.0</v>
      </c>
      <c r="F1403" s="29">
        <f>SUMIFS(crm_orders!$J:$J,crm_orders!$B:$B,"&gt;="&amp;A1403,crm_orders!$B:$B,"&lt;"&amp;DATE(YEAR(A1403),MONTH(A1403)+1,1),crm_orders!$E:$E,B1403,crm_orders!$G:$G,C1403,crm_orders!$H:$H,D1403)</f>
        <v>0</v>
      </c>
      <c r="G1403" s="29">
        <f>SUMIFS(warehouse_shipments!$H:$H,warehouse_shipments!$C:$C,"&gt;="&amp;A1403,warehouse_shipments!$C:$C,"&lt;"&amp;DATE(YEAR(A1403),MONTH(A1403)+1,1),warehouse_shipments!$P:$P,B1403,warehouse_shipments!$Q:$Q,C1403,warehouse_shipments!$R:$R,D1403)</f>
        <v>0</v>
      </c>
      <c r="H1403" s="30">
        <f t="shared" si="1"/>
        <v>-354</v>
      </c>
      <c r="I1403" s="65">
        <f t="shared" si="2"/>
        <v>0</v>
      </c>
      <c r="J1403" s="30" t="s">
        <v>5306</v>
      </c>
    </row>
    <row r="1404" ht="15.75" customHeight="1">
      <c r="A1404" s="18">
        <v>46143.0</v>
      </c>
      <c r="B1404" s="17" t="s">
        <v>4618</v>
      </c>
      <c r="C1404" s="17" t="s">
        <v>67</v>
      </c>
      <c r="D1404" s="17" t="s">
        <v>123</v>
      </c>
      <c r="E1404" s="21">
        <v>310.0</v>
      </c>
      <c r="F1404" s="21">
        <f>SUMIFS(crm_orders!$J:$J,crm_orders!$B:$B,"&gt;="&amp;A1404,crm_orders!$B:$B,"&lt;"&amp;DATE(YEAR(A1404),MONTH(A1404)+1,1),crm_orders!$E:$E,B1404,crm_orders!$G:$G,C1404,crm_orders!$H:$H,D1404)</f>
        <v>0</v>
      </c>
      <c r="G1404" s="21">
        <f>SUMIFS(warehouse_shipments!$H:$H,warehouse_shipments!$C:$C,"&gt;="&amp;A1404,warehouse_shipments!$C:$C,"&lt;"&amp;DATE(YEAR(A1404),MONTH(A1404)+1,1),warehouse_shipments!$P:$P,B1404,warehouse_shipments!$Q:$Q,C1404,warehouse_shipments!$R:$R,D1404)</f>
        <v>0</v>
      </c>
      <c r="H1404" s="22">
        <f t="shared" si="1"/>
        <v>-310</v>
      </c>
      <c r="I1404" s="64">
        <f t="shared" si="2"/>
        <v>0</v>
      </c>
      <c r="J1404" s="22" t="s">
        <v>5308</v>
      </c>
    </row>
    <row r="1405" ht="15.75" customHeight="1">
      <c r="A1405" s="26">
        <v>46143.0</v>
      </c>
      <c r="B1405" s="25" t="s">
        <v>4618</v>
      </c>
      <c r="C1405" s="25" t="s">
        <v>67</v>
      </c>
      <c r="D1405" s="25" t="s">
        <v>102</v>
      </c>
      <c r="E1405" s="29">
        <v>215.0</v>
      </c>
      <c r="F1405" s="29">
        <f>SUMIFS(crm_orders!$J:$J,crm_orders!$B:$B,"&gt;="&amp;A1405,crm_orders!$B:$B,"&lt;"&amp;DATE(YEAR(A1405),MONTH(A1405)+1,1),crm_orders!$E:$E,B1405,crm_orders!$G:$G,C1405,crm_orders!$H:$H,D1405)</f>
        <v>0</v>
      </c>
      <c r="G1405" s="29">
        <f>SUMIFS(warehouse_shipments!$H:$H,warehouse_shipments!$C:$C,"&gt;="&amp;A1405,warehouse_shipments!$C:$C,"&lt;"&amp;DATE(YEAR(A1405),MONTH(A1405)+1,1),warehouse_shipments!$P:$P,B1405,warehouse_shipments!$Q:$Q,C1405,warehouse_shipments!$R:$R,D1405)</f>
        <v>0</v>
      </c>
      <c r="H1405" s="30">
        <f t="shared" si="1"/>
        <v>-215</v>
      </c>
      <c r="I1405" s="65">
        <f t="shared" si="2"/>
        <v>0</v>
      </c>
      <c r="J1405" s="30" t="s">
        <v>5309</v>
      </c>
    </row>
    <row r="1406" ht="15.75" customHeight="1">
      <c r="A1406" s="18">
        <v>46143.0</v>
      </c>
      <c r="B1406" s="17" t="s">
        <v>4618</v>
      </c>
      <c r="C1406" s="17" t="s">
        <v>67</v>
      </c>
      <c r="D1406" s="17" t="s">
        <v>110</v>
      </c>
      <c r="E1406" s="21">
        <v>438.0</v>
      </c>
      <c r="F1406" s="21">
        <f>SUMIFS(crm_orders!$J:$J,crm_orders!$B:$B,"&gt;="&amp;A1406,crm_orders!$B:$B,"&lt;"&amp;DATE(YEAR(A1406),MONTH(A1406)+1,1),crm_orders!$E:$E,B1406,crm_orders!$G:$G,C1406,crm_orders!$H:$H,D1406)</f>
        <v>36</v>
      </c>
      <c r="G1406" s="21">
        <f>SUMIFS(warehouse_shipments!$H:$H,warehouse_shipments!$C:$C,"&gt;="&amp;A1406,warehouse_shipments!$C:$C,"&lt;"&amp;DATE(YEAR(A1406),MONTH(A1406)+1,1),warehouse_shipments!$P:$P,B1406,warehouse_shipments!$Q:$Q,C1406,warehouse_shipments!$R:$R,D1406)</f>
        <v>0</v>
      </c>
      <c r="H1406" s="22">
        <f t="shared" si="1"/>
        <v>-402</v>
      </c>
      <c r="I1406" s="64">
        <f t="shared" si="2"/>
        <v>0.08219178082</v>
      </c>
      <c r="J1406" s="22" t="s">
        <v>5310</v>
      </c>
    </row>
    <row r="1407" ht="15.75" customHeight="1">
      <c r="A1407" s="26">
        <v>46143.0</v>
      </c>
      <c r="B1407" s="25" t="s">
        <v>4618</v>
      </c>
      <c r="C1407" s="25" t="s">
        <v>67</v>
      </c>
      <c r="D1407" s="25" t="s">
        <v>68</v>
      </c>
      <c r="E1407" s="29">
        <v>295.0</v>
      </c>
      <c r="F1407" s="29">
        <f>SUMIFS(crm_orders!$J:$J,crm_orders!$B:$B,"&gt;="&amp;A1407,crm_orders!$B:$B,"&lt;"&amp;DATE(YEAR(A1407),MONTH(A1407)+1,1),crm_orders!$E:$E,B1407,crm_orders!$G:$G,C1407,crm_orders!$H:$H,D1407)</f>
        <v>0</v>
      </c>
      <c r="G1407" s="29">
        <f>SUMIFS(warehouse_shipments!$H:$H,warehouse_shipments!$C:$C,"&gt;="&amp;A1407,warehouse_shipments!$C:$C,"&lt;"&amp;DATE(YEAR(A1407),MONTH(A1407)+1,1),warehouse_shipments!$P:$P,B1407,warehouse_shipments!$Q:$Q,C1407,warehouse_shipments!$R:$R,D1407)</f>
        <v>0</v>
      </c>
      <c r="H1407" s="30">
        <f t="shared" si="1"/>
        <v>-295</v>
      </c>
      <c r="I1407" s="65">
        <f t="shared" si="2"/>
        <v>0</v>
      </c>
      <c r="J1407" s="30" t="s">
        <v>5308</v>
      </c>
    </row>
    <row r="1408" ht="15.75" customHeight="1">
      <c r="A1408" s="18">
        <v>46143.0</v>
      </c>
      <c r="B1408" s="17" t="s">
        <v>4618</v>
      </c>
      <c r="C1408" s="17" t="s">
        <v>67</v>
      </c>
      <c r="D1408" s="17" t="s">
        <v>162</v>
      </c>
      <c r="E1408" s="21">
        <v>283.0</v>
      </c>
      <c r="F1408" s="21">
        <f>SUMIFS(crm_orders!$J:$J,crm_orders!$B:$B,"&gt;="&amp;A1408,crm_orders!$B:$B,"&lt;"&amp;DATE(YEAR(A1408),MONTH(A1408)+1,1),crm_orders!$E:$E,B1408,crm_orders!$G:$G,C1408,crm_orders!$H:$H,D1408)</f>
        <v>0</v>
      </c>
      <c r="G1408" s="21">
        <f>SUMIFS(warehouse_shipments!$H:$H,warehouse_shipments!$C:$C,"&gt;="&amp;A1408,warehouse_shipments!$C:$C,"&lt;"&amp;DATE(YEAR(A1408),MONTH(A1408)+1,1),warehouse_shipments!$P:$P,B1408,warehouse_shipments!$Q:$Q,C1408,warehouse_shipments!$R:$R,D1408)</f>
        <v>0</v>
      </c>
      <c r="H1408" s="22">
        <f t="shared" si="1"/>
        <v>-283</v>
      </c>
      <c r="I1408" s="64">
        <f t="shared" si="2"/>
        <v>0</v>
      </c>
      <c r="J1408" s="22" t="s">
        <v>5306</v>
      </c>
    </row>
    <row r="1409" ht="15.75" customHeight="1">
      <c r="A1409" s="26">
        <v>46143.0</v>
      </c>
      <c r="B1409" s="25" t="s">
        <v>4618</v>
      </c>
      <c r="C1409" s="25" t="s">
        <v>67</v>
      </c>
      <c r="D1409" s="25" t="s">
        <v>78</v>
      </c>
      <c r="E1409" s="29">
        <v>285.0</v>
      </c>
      <c r="F1409" s="29">
        <f>SUMIFS(crm_orders!$J:$J,crm_orders!$B:$B,"&gt;="&amp;A1409,crm_orders!$B:$B,"&lt;"&amp;DATE(YEAR(A1409),MONTH(A1409)+1,1),crm_orders!$E:$E,B1409,crm_orders!$G:$G,C1409,crm_orders!$H:$H,D1409)</f>
        <v>0</v>
      </c>
      <c r="G1409" s="29">
        <f>SUMIFS(warehouse_shipments!$H:$H,warehouse_shipments!$C:$C,"&gt;="&amp;A1409,warehouse_shipments!$C:$C,"&lt;"&amp;DATE(YEAR(A1409),MONTH(A1409)+1,1),warehouse_shipments!$P:$P,B1409,warehouse_shipments!$Q:$Q,C1409,warehouse_shipments!$R:$R,D1409)</f>
        <v>0</v>
      </c>
      <c r="H1409" s="30">
        <f t="shared" si="1"/>
        <v>-285</v>
      </c>
      <c r="I1409" s="65">
        <f t="shared" si="2"/>
        <v>0</v>
      </c>
      <c r="J1409" s="30" t="s">
        <v>5307</v>
      </c>
    </row>
    <row r="1410" ht="15.75" customHeight="1">
      <c r="A1410" s="18">
        <v>46143.0</v>
      </c>
      <c r="B1410" s="17" t="s">
        <v>4618</v>
      </c>
      <c r="C1410" s="17" t="s">
        <v>89</v>
      </c>
      <c r="D1410" s="17" t="s">
        <v>123</v>
      </c>
      <c r="E1410" s="21">
        <v>91.0</v>
      </c>
      <c r="F1410" s="21">
        <f>SUMIFS(crm_orders!$J:$J,crm_orders!$B:$B,"&gt;="&amp;A1410,crm_orders!$B:$B,"&lt;"&amp;DATE(YEAR(A1410),MONTH(A1410)+1,1),crm_orders!$E:$E,B1410,crm_orders!$G:$G,C1410,crm_orders!$H:$H,D1410)</f>
        <v>0</v>
      </c>
      <c r="G1410" s="21">
        <f>SUMIFS(warehouse_shipments!$H:$H,warehouse_shipments!$C:$C,"&gt;="&amp;A1410,warehouse_shipments!$C:$C,"&lt;"&amp;DATE(YEAR(A1410),MONTH(A1410)+1,1),warehouse_shipments!$P:$P,B1410,warehouse_shipments!$Q:$Q,C1410,warehouse_shipments!$R:$R,D1410)</f>
        <v>0</v>
      </c>
      <c r="H1410" s="22">
        <f t="shared" si="1"/>
        <v>-91</v>
      </c>
      <c r="I1410" s="64">
        <f t="shared" si="2"/>
        <v>0</v>
      </c>
      <c r="J1410" s="22" t="s">
        <v>5307</v>
      </c>
    </row>
    <row r="1411" ht="15.75" customHeight="1">
      <c r="A1411" s="26">
        <v>46143.0</v>
      </c>
      <c r="B1411" s="25" t="s">
        <v>4618</v>
      </c>
      <c r="C1411" s="25" t="s">
        <v>89</v>
      </c>
      <c r="D1411" s="25" t="s">
        <v>115</v>
      </c>
      <c r="E1411" s="29">
        <v>167.0</v>
      </c>
      <c r="F1411" s="29">
        <f>SUMIFS(crm_orders!$J:$J,crm_orders!$B:$B,"&gt;="&amp;A1411,crm_orders!$B:$B,"&lt;"&amp;DATE(YEAR(A1411),MONTH(A1411)+1,1),crm_orders!$E:$E,B1411,crm_orders!$G:$G,C1411,crm_orders!$H:$H,D1411)</f>
        <v>0</v>
      </c>
      <c r="G1411" s="29">
        <f>SUMIFS(warehouse_shipments!$H:$H,warehouse_shipments!$C:$C,"&gt;="&amp;A1411,warehouse_shipments!$C:$C,"&lt;"&amp;DATE(YEAR(A1411),MONTH(A1411)+1,1),warehouse_shipments!$P:$P,B1411,warehouse_shipments!$Q:$Q,C1411,warehouse_shipments!$R:$R,D1411)</f>
        <v>0</v>
      </c>
      <c r="H1411" s="30">
        <f t="shared" si="1"/>
        <v>-167</v>
      </c>
      <c r="I1411" s="65">
        <f t="shared" si="2"/>
        <v>0</v>
      </c>
      <c r="J1411" s="30" t="s">
        <v>5311</v>
      </c>
    </row>
    <row r="1412" ht="15.75" customHeight="1">
      <c r="A1412" s="18">
        <v>46143.0</v>
      </c>
      <c r="B1412" s="17" t="s">
        <v>4618</v>
      </c>
      <c r="C1412" s="17" t="s">
        <v>89</v>
      </c>
      <c r="D1412" s="17" t="s">
        <v>78</v>
      </c>
      <c r="E1412" s="21">
        <v>194.0</v>
      </c>
      <c r="F1412" s="21">
        <f>SUMIFS(crm_orders!$J:$J,crm_orders!$B:$B,"&gt;="&amp;A1412,crm_orders!$B:$B,"&lt;"&amp;DATE(YEAR(A1412),MONTH(A1412)+1,1),crm_orders!$E:$E,B1412,crm_orders!$G:$G,C1412,crm_orders!$H:$H,D1412)</f>
        <v>0</v>
      </c>
      <c r="G1412" s="21">
        <f>SUMIFS(warehouse_shipments!$H:$H,warehouse_shipments!$C:$C,"&gt;="&amp;A1412,warehouse_shipments!$C:$C,"&lt;"&amp;DATE(YEAR(A1412),MONTH(A1412)+1,1),warehouse_shipments!$P:$P,B1412,warehouse_shipments!$Q:$Q,C1412,warehouse_shipments!$R:$R,D1412)</f>
        <v>0</v>
      </c>
      <c r="H1412" s="22">
        <f t="shared" si="1"/>
        <v>-194</v>
      </c>
      <c r="I1412" s="64">
        <f t="shared" si="2"/>
        <v>0</v>
      </c>
      <c r="J1412" s="22" t="s">
        <v>5309</v>
      </c>
    </row>
    <row r="1413" ht="15.75" customHeight="1">
      <c r="A1413" s="26">
        <v>46143.0</v>
      </c>
      <c r="B1413" s="25" t="s">
        <v>4618</v>
      </c>
      <c r="C1413" s="25" t="s">
        <v>89</v>
      </c>
      <c r="D1413" s="25" t="s">
        <v>106</v>
      </c>
      <c r="E1413" s="29">
        <v>242.0</v>
      </c>
      <c r="F1413" s="29">
        <f>SUMIFS(crm_orders!$J:$J,crm_orders!$B:$B,"&gt;="&amp;A1413,crm_orders!$B:$B,"&lt;"&amp;DATE(YEAR(A1413),MONTH(A1413)+1,1),crm_orders!$E:$E,B1413,crm_orders!$G:$G,C1413,crm_orders!$H:$H,D1413)</f>
        <v>0</v>
      </c>
      <c r="G1413" s="29">
        <f>SUMIFS(warehouse_shipments!$H:$H,warehouse_shipments!$C:$C,"&gt;="&amp;A1413,warehouse_shipments!$C:$C,"&lt;"&amp;DATE(YEAR(A1413),MONTH(A1413)+1,1),warehouse_shipments!$P:$P,B1413,warehouse_shipments!$Q:$Q,C1413,warehouse_shipments!$R:$R,D1413)</f>
        <v>0</v>
      </c>
      <c r="H1413" s="30">
        <f t="shared" si="1"/>
        <v>-242</v>
      </c>
      <c r="I1413" s="65">
        <f t="shared" si="2"/>
        <v>0</v>
      </c>
      <c r="J1413" s="30" t="s">
        <v>5310</v>
      </c>
    </row>
    <row r="1414" ht="15.75" customHeight="1">
      <c r="A1414" s="18">
        <v>46143.0</v>
      </c>
      <c r="B1414" s="17" t="s">
        <v>4618</v>
      </c>
      <c r="C1414" s="17" t="s">
        <v>89</v>
      </c>
      <c r="D1414" s="17" t="s">
        <v>92</v>
      </c>
      <c r="E1414" s="21">
        <v>193.0</v>
      </c>
      <c r="F1414" s="21">
        <f>SUMIFS(crm_orders!$J:$J,crm_orders!$B:$B,"&gt;="&amp;A1414,crm_orders!$B:$B,"&lt;"&amp;DATE(YEAR(A1414),MONTH(A1414)+1,1),crm_orders!$E:$E,B1414,crm_orders!$G:$G,C1414,crm_orders!$H:$H,D1414)</f>
        <v>0</v>
      </c>
      <c r="G1414" s="21">
        <f>SUMIFS(warehouse_shipments!$H:$H,warehouse_shipments!$C:$C,"&gt;="&amp;A1414,warehouse_shipments!$C:$C,"&lt;"&amp;DATE(YEAR(A1414),MONTH(A1414)+1,1),warehouse_shipments!$P:$P,B1414,warehouse_shipments!$Q:$Q,C1414,warehouse_shipments!$R:$R,D1414)</f>
        <v>0</v>
      </c>
      <c r="H1414" s="22">
        <f t="shared" si="1"/>
        <v>-193</v>
      </c>
      <c r="I1414" s="64">
        <f t="shared" si="2"/>
        <v>0</v>
      </c>
      <c r="J1414" s="22" t="s">
        <v>5306</v>
      </c>
    </row>
    <row r="1415" ht="15.75" customHeight="1">
      <c r="A1415" s="26">
        <v>46143.0</v>
      </c>
      <c r="B1415" s="25" t="s">
        <v>4618</v>
      </c>
      <c r="C1415" s="25" t="s">
        <v>89</v>
      </c>
      <c r="D1415" s="25" t="s">
        <v>81</v>
      </c>
      <c r="E1415" s="29">
        <v>492.0</v>
      </c>
      <c r="F1415" s="29">
        <f>SUMIFS(crm_orders!$J:$J,crm_orders!$B:$B,"&gt;="&amp;A1415,crm_orders!$B:$B,"&lt;"&amp;DATE(YEAR(A1415),MONTH(A1415)+1,1),crm_orders!$E:$E,B1415,crm_orders!$G:$G,C1415,crm_orders!$H:$H,D1415)</f>
        <v>0</v>
      </c>
      <c r="G1415" s="29">
        <f>SUMIFS(warehouse_shipments!$H:$H,warehouse_shipments!$C:$C,"&gt;="&amp;A1415,warehouse_shipments!$C:$C,"&lt;"&amp;DATE(YEAR(A1415),MONTH(A1415)+1,1),warehouse_shipments!$P:$P,B1415,warehouse_shipments!$Q:$Q,C1415,warehouse_shipments!$R:$R,D1415)</f>
        <v>0</v>
      </c>
      <c r="H1415" s="30">
        <f t="shared" si="1"/>
        <v>-492</v>
      </c>
      <c r="I1415" s="65">
        <f t="shared" si="2"/>
        <v>0</v>
      </c>
      <c r="J1415" s="30" t="s">
        <v>5311</v>
      </c>
    </row>
    <row r="1416" ht="15.75" customHeight="1">
      <c r="A1416" s="18">
        <v>46143.0</v>
      </c>
      <c r="B1416" s="17" t="s">
        <v>4618</v>
      </c>
      <c r="C1416" s="17" t="s">
        <v>89</v>
      </c>
      <c r="D1416" s="17" t="s">
        <v>74</v>
      </c>
      <c r="E1416" s="21">
        <v>166.0</v>
      </c>
      <c r="F1416" s="21">
        <f>SUMIFS(crm_orders!$J:$J,crm_orders!$B:$B,"&gt;="&amp;A1416,crm_orders!$B:$B,"&lt;"&amp;DATE(YEAR(A1416),MONTH(A1416)+1,1),crm_orders!$E:$E,B1416,crm_orders!$G:$G,C1416,crm_orders!$H:$H,D1416)</f>
        <v>0</v>
      </c>
      <c r="G1416" s="21">
        <f>SUMIFS(warehouse_shipments!$H:$H,warehouse_shipments!$C:$C,"&gt;="&amp;A1416,warehouse_shipments!$C:$C,"&lt;"&amp;DATE(YEAR(A1416),MONTH(A1416)+1,1),warehouse_shipments!$P:$P,B1416,warehouse_shipments!$Q:$Q,C1416,warehouse_shipments!$R:$R,D1416)</f>
        <v>0</v>
      </c>
      <c r="H1416" s="22">
        <f t="shared" si="1"/>
        <v>-166</v>
      </c>
      <c r="I1416" s="64">
        <f t="shared" si="2"/>
        <v>0</v>
      </c>
      <c r="J1416" s="22" t="s">
        <v>5307</v>
      </c>
    </row>
    <row r="1417" ht="15.75" customHeight="1">
      <c r="A1417" s="26">
        <v>46143.0</v>
      </c>
      <c r="B1417" s="25" t="s">
        <v>4618</v>
      </c>
      <c r="C1417" s="25" t="s">
        <v>89</v>
      </c>
      <c r="D1417" s="25" t="s">
        <v>90</v>
      </c>
      <c r="E1417" s="29">
        <v>309.0</v>
      </c>
      <c r="F1417" s="29">
        <f>SUMIFS(crm_orders!$J:$J,crm_orders!$B:$B,"&gt;="&amp;A1417,crm_orders!$B:$B,"&lt;"&amp;DATE(YEAR(A1417),MONTH(A1417)+1,1),crm_orders!$E:$E,B1417,crm_orders!$G:$G,C1417,crm_orders!$H:$H,D1417)</f>
        <v>0</v>
      </c>
      <c r="G1417" s="29">
        <f>SUMIFS(warehouse_shipments!$H:$H,warehouse_shipments!$C:$C,"&gt;="&amp;A1417,warehouse_shipments!$C:$C,"&lt;"&amp;DATE(YEAR(A1417),MONTH(A1417)+1,1),warehouse_shipments!$P:$P,B1417,warehouse_shipments!$Q:$Q,C1417,warehouse_shipments!$R:$R,D1417)</f>
        <v>0</v>
      </c>
      <c r="H1417" s="30">
        <f t="shared" si="1"/>
        <v>-309</v>
      </c>
      <c r="I1417" s="65">
        <f t="shared" si="2"/>
        <v>0</v>
      </c>
      <c r="J1417" s="30" t="s">
        <v>5309</v>
      </c>
    </row>
    <row r="1418" ht="15.75" customHeight="1">
      <c r="A1418" s="18">
        <v>46143.0</v>
      </c>
      <c r="B1418" s="17" t="s">
        <v>4705</v>
      </c>
      <c r="C1418" s="17" t="s">
        <v>63</v>
      </c>
      <c r="D1418" s="17" t="s">
        <v>68</v>
      </c>
      <c r="E1418" s="21">
        <v>435.0</v>
      </c>
      <c r="F1418" s="21">
        <f>SUMIFS(crm_orders!$J:$J,crm_orders!$B:$B,"&gt;="&amp;A1418,crm_orders!$B:$B,"&lt;"&amp;DATE(YEAR(A1418),MONTH(A1418)+1,1),crm_orders!$E:$E,B1418,crm_orders!$G:$G,C1418,crm_orders!$H:$H,D1418)</f>
        <v>0</v>
      </c>
      <c r="G1418" s="21">
        <f>SUMIFS(warehouse_shipments!$H:$H,warehouse_shipments!$C:$C,"&gt;="&amp;A1418,warehouse_shipments!$C:$C,"&lt;"&amp;DATE(YEAR(A1418),MONTH(A1418)+1,1),warehouse_shipments!$P:$P,B1418,warehouse_shipments!$Q:$Q,C1418,warehouse_shipments!$R:$R,D1418)</f>
        <v>0</v>
      </c>
      <c r="H1418" s="22">
        <f t="shared" si="1"/>
        <v>-435</v>
      </c>
      <c r="I1418" s="64">
        <f t="shared" si="2"/>
        <v>0</v>
      </c>
      <c r="J1418" s="22" t="s">
        <v>5310</v>
      </c>
    </row>
    <row r="1419" ht="15.75" customHeight="1">
      <c r="A1419" s="26">
        <v>46143.0</v>
      </c>
      <c r="B1419" s="25" t="s">
        <v>4705</v>
      </c>
      <c r="C1419" s="25" t="s">
        <v>63</v>
      </c>
      <c r="D1419" s="25" t="s">
        <v>110</v>
      </c>
      <c r="E1419" s="29">
        <v>510.0</v>
      </c>
      <c r="F1419" s="29">
        <f>SUMIFS(crm_orders!$J:$J,crm_orders!$B:$B,"&gt;="&amp;A1419,crm_orders!$B:$B,"&lt;"&amp;DATE(YEAR(A1419),MONTH(A1419)+1,1),crm_orders!$E:$E,B1419,crm_orders!$G:$G,C1419,crm_orders!$H:$H,D1419)</f>
        <v>0</v>
      </c>
      <c r="G1419" s="29">
        <f>SUMIFS(warehouse_shipments!$H:$H,warehouse_shipments!$C:$C,"&gt;="&amp;A1419,warehouse_shipments!$C:$C,"&lt;"&amp;DATE(YEAR(A1419),MONTH(A1419)+1,1),warehouse_shipments!$P:$P,B1419,warehouse_shipments!$Q:$Q,C1419,warehouse_shipments!$R:$R,D1419)</f>
        <v>0</v>
      </c>
      <c r="H1419" s="30">
        <f t="shared" si="1"/>
        <v>-510</v>
      </c>
      <c r="I1419" s="65">
        <f t="shared" si="2"/>
        <v>0</v>
      </c>
      <c r="J1419" s="30" t="s">
        <v>5307</v>
      </c>
    </row>
    <row r="1420" ht="15.75" customHeight="1">
      <c r="A1420" s="18">
        <v>46143.0</v>
      </c>
      <c r="B1420" s="17" t="s">
        <v>4705</v>
      </c>
      <c r="C1420" s="17" t="s">
        <v>63</v>
      </c>
      <c r="D1420" s="17" t="s">
        <v>154</v>
      </c>
      <c r="E1420" s="21">
        <v>318.0</v>
      </c>
      <c r="F1420" s="21">
        <f>SUMIFS(crm_orders!$J:$J,crm_orders!$B:$B,"&gt;="&amp;A1420,crm_orders!$B:$B,"&lt;"&amp;DATE(YEAR(A1420),MONTH(A1420)+1,1),crm_orders!$E:$E,B1420,crm_orders!$G:$G,C1420,crm_orders!$H:$H,D1420)</f>
        <v>0</v>
      </c>
      <c r="G1420" s="21">
        <f>SUMIFS(warehouse_shipments!$H:$H,warehouse_shipments!$C:$C,"&gt;="&amp;A1420,warehouse_shipments!$C:$C,"&lt;"&amp;DATE(YEAR(A1420),MONTH(A1420)+1,1),warehouse_shipments!$P:$P,B1420,warehouse_shipments!$Q:$Q,C1420,warehouse_shipments!$R:$R,D1420)</f>
        <v>0</v>
      </c>
      <c r="H1420" s="22">
        <f t="shared" si="1"/>
        <v>-318</v>
      </c>
      <c r="I1420" s="64">
        <f t="shared" si="2"/>
        <v>0</v>
      </c>
      <c r="J1420" s="22" t="s">
        <v>5310</v>
      </c>
    </row>
    <row r="1421" ht="15.75" customHeight="1">
      <c r="A1421" s="26">
        <v>46143.0</v>
      </c>
      <c r="B1421" s="25" t="s">
        <v>4705</v>
      </c>
      <c r="C1421" s="25" t="s">
        <v>63</v>
      </c>
      <c r="D1421" s="25" t="s">
        <v>81</v>
      </c>
      <c r="E1421" s="29">
        <v>338.0</v>
      </c>
      <c r="F1421" s="29">
        <f>SUMIFS(crm_orders!$J:$J,crm_orders!$B:$B,"&gt;="&amp;A1421,crm_orders!$B:$B,"&lt;"&amp;DATE(YEAR(A1421),MONTH(A1421)+1,1),crm_orders!$E:$E,B1421,crm_orders!$G:$G,C1421,crm_orders!$H:$H,D1421)</f>
        <v>0</v>
      </c>
      <c r="G1421" s="29">
        <f>SUMIFS(warehouse_shipments!$H:$H,warehouse_shipments!$C:$C,"&gt;="&amp;A1421,warehouse_shipments!$C:$C,"&lt;"&amp;DATE(YEAR(A1421),MONTH(A1421)+1,1),warehouse_shipments!$P:$P,B1421,warehouse_shipments!$Q:$Q,C1421,warehouse_shipments!$R:$R,D1421)</f>
        <v>0</v>
      </c>
      <c r="H1421" s="30">
        <f t="shared" si="1"/>
        <v>-338</v>
      </c>
      <c r="I1421" s="65">
        <f t="shared" si="2"/>
        <v>0</v>
      </c>
      <c r="J1421" s="30" t="s">
        <v>5310</v>
      </c>
    </row>
    <row r="1422" ht="15.75" customHeight="1">
      <c r="A1422" s="18">
        <v>46143.0</v>
      </c>
      <c r="B1422" s="17" t="s">
        <v>4705</v>
      </c>
      <c r="C1422" s="17" t="s">
        <v>63</v>
      </c>
      <c r="D1422" s="17" t="s">
        <v>106</v>
      </c>
      <c r="E1422" s="21">
        <v>258.0</v>
      </c>
      <c r="F1422" s="21">
        <f>SUMIFS(crm_orders!$J:$J,crm_orders!$B:$B,"&gt;="&amp;A1422,crm_orders!$B:$B,"&lt;"&amp;DATE(YEAR(A1422),MONTH(A1422)+1,1),crm_orders!$E:$E,B1422,crm_orders!$G:$G,C1422,crm_orders!$H:$H,D1422)</f>
        <v>0</v>
      </c>
      <c r="G1422" s="21">
        <f>SUMIFS(warehouse_shipments!$H:$H,warehouse_shipments!$C:$C,"&gt;="&amp;A1422,warehouse_shipments!$C:$C,"&lt;"&amp;DATE(YEAR(A1422),MONTH(A1422)+1,1),warehouse_shipments!$P:$P,B1422,warehouse_shipments!$Q:$Q,C1422,warehouse_shipments!$R:$R,D1422)</f>
        <v>0</v>
      </c>
      <c r="H1422" s="22">
        <f t="shared" si="1"/>
        <v>-258</v>
      </c>
      <c r="I1422" s="64">
        <f t="shared" si="2"/>
        <v>0</v>
      </c>
      <c r="J1422" s="22" t="s">
        <v>5311</v>
      </c>
    </row>
    <row r="1423" ht="15.75" customHeight="1">
      <c r="A1423" s="26">
        <v>46143.0</v>
      </c>
      <c r="B1423" s="25" t="s">
        <v>4705</v>
      </c>
      <c r="C1423" s="25" t="s">
        <v>63</v>
      </c>
      <c r="D1423" s="25" t="s">
        <v>95</v>
      </c>
      <c r="E1423" s="29">
        <v>245.0</v>
      </c>
      <c r="F1423" s="29">
        <f>SUMIFS(crm_orders!$J:$J,crm_orders!$B:$B,"&gt;="&amp;A1423,crm_orders!$B:$B,"&lt;"&amp;DATE(YEAR(A1423),MONTH(A1423)+1,1),crm_orders!$E:$E,B1423,crm_orders!$G:$G,C1423,crm_orders!$H:$H,D1423)</f>
        <v>0</v>
      </c>
      <c r="G1423" s="29">
        <f>SUMIFS(warehouse_shipments!$H:$H,warehouse_shipments!$C:$C,"&gt;="&amp;A1423,warehouse_shipments!$C:$C,"&lt;"&amp;DATE(YEAR(A1423),MONTH(A1423)+1,1),warehouse_shipments!$P:$P,B1423,warehouse_shipments!$Q:$Q,C1423,warehouse_shipments!$R:$R,D1423)</f>
        <v>0</v>
      </c>
      <c r="H1423" s="30">
        <f t="shared" si="1"/>
        <v>-245</v>
      </c>
      <c r="I1423" s="65">
        <f t="shared" si="2"/>
        <v>0</v>
      </c>
      <c r="J1423" s="30" t="s">
        <v>5308</v>
      </c>
    </row>
    <row r="1424" ht="15.75" customHeight="1">
      <c r="A1424" s="18">
        <v>46143.0</v>
      </c>
      <c r="B1424" s="17" t="s">
        <v>4705</v>
      </c>
      <c r="C1424" s="17" t="s">
        <v>63</v>
      </c>
      <c r="D1424" s="17" t="s">
        <v>92</v>
      </c>
      <c r="E1424" s="21">
        <v>247.0</v>
      </c>
      <c r="F1424" s="21">
        <f>SUMIFS(crm_orders!$J:$J,crm_orders!$B:$B,"&gt;="&amp;A1424,crm_orders!$B:$B,"&lt;"&amp;DATE(YEAR(A1424),MONTH(A1424)+1,1),crm_orders!$E:$E,B1424,crm_orders!$G:$G,C1424,crm_orders!$H:$H,D1424)</f>
        <v>0</v>
      </c>
      <c r="G1424" s="21">
        <f>SUMIFS(warehouse_shipments!$H:$H,warehouse_shipments!$C:$C,"&gt;="&amp;A1424,warehouse_shipments!$C:$C,"&lt;"&amp;DATE(YEAR(A1424),MONTH(A1424)+1,1),warehouse_shipments!$P:$P,B1424,warehouse_shipments!$Q:$Q,C1424,warehouse_shipments!$R:$R,D1424)</f>
        <v>0</v>
      </c>
      <c r="H1424" s="22">
        <f t="shared" si="1"/>
        <v>-247</v>
      </c>
      <c r="I1424" s="64">
        <f t="shared" si="2"/>
        <v>0</v>
      </c>
      <c r="J1424" s="22" t="s">
        <v>5311</v>
      </c>
    </row>
    <row r="1425" ht="15.75" customHeight="1">
      <c r="A1425" s="26">
        <v>46143.0</v>
      </c>
      <c r="B1425" s="25" t="s">
        <v>4705</v>
      </c>
      <c r="C1425" s="25" t="s">
        <v>63</v>
      </c>
      <c r="D1425" s="25" t="s">
        <v>108</v>
      </c>
      <c r="E1425" s="29">
        <v>127.0</v>
      </c>
      <c r="F1425" s="29">
        <f>SUMIFS(crm_orders!$J:$J,crm_orders!$B:$B,"&gt;="&amp;A1425,crm_orders!$B:$B,"&lt;"&amp;DATE(YEAR(A1425),MONTH(A1425)+1,1),crm_orders!$E:$E,B1425,crm_orders!$G:$G,C1425,crm_orders!$H:$H,D1425)</f>
        <v>0</v>
      </c>
      <c r="G1425" s="29">
        <f>SUMIFS(warehouse_shipments!$H:$H,warehouse_shipments!$C:$C,"&gt;="&amp;A1425,warehouse_shipments!$C:$C,"&lt;"&amp;DATE(YEAR(A1425),MONTH(A1425)+1,1),warehouse_shipments!$P:$P,B1425,warehouse_shipments!$Q:$Q,C1425,warehouse_shipments!$R:$R,D1425)</f>
        <v>12</v>
      </c>
      <c r="H1425" s="30">
        <f t="shared" si="1"/>
        <v>-127</v>
      </c>
      <c r="I1425" s="65">
        <f t="shared" si="2"/>
        <v>0</v>
      </c>
      <c r="J1425" s="30" t="s">
        <v>5311</v>
      </c>
    </row>
    <row r="1426" ht="15.75" customHeight="1">
      <c r="A1426" s="18">
        <v>46143.0</v>
      </c>
      <c r="B1426" s="17" t="s">
        <v>4705</v>
      </c>
      <c r="C1426" s="17" t="s">
        <v>67</v>
      </c>
      <c r="D1426" s="17" t="s">
        <v>108</v>
      </c>
      <c r="E1426" s="21">
        <v>424.0</v>
      </c>
      <c r="F1426" s="21">
        <f>SUMIFS(crm_orders!$J:$J,crm_orders!$B:$B,"&gt;="&amp;A1426,crm_orders!$B:$B,"&lt;"&amp;DATE(YEAR(A1426),MONTH(A1426)+1,1),crm_orders!$E:$E,B1426,crm_orders!$G:$G,C1426,crm_orders!$H:$H,D1426)</f>
        <v>0</v>
      </c>
      <c r="G1426" s="21">
        <f>SUMIFS(warehouse_shipments!$H:$H,warehouse_shipments!$C:$C,"&gt;="&amp;A1426,warehouse_shipments!$C:$C,"&lt;"&amp;DATE(YEAR(A1426),MONTH(A1426)+1,1),warehouse_shipments!$P:$P,B1426,warehouse_shipments!$Q:$Q,C1426,warehouse_shipments!$R:$R,D1426)</f>
        <v>0</v>
      </c>
      <c r="H1426" s="22">
        <f t="shared" si="1"/>
        <v>-424</v>
      </c>
      <c r="I1426" s="64">
        <f t="shared" si="2"/>
        <v>0</v>
      </c>
      <c r="J1426" s="22" t="s">
        <v>5310</v>
      </c>
    </row>
    <row r="1427" ht="15.75" customHeight="1">
      <c r="A1427" s="26">
        <v>46143.0</v>
      </c>
      <c r="B1427" s="25" t="s">
        <v>4705</v>
      </c>
      <c r="C1427" s="25" t="s">
        <v>67</v>
      </c>
      <c r="D1427" s="25" t="s">
        <v>110</v>
      </c>
      <c r="E1427" s="29">
        <v>453.0</v>
      </c>
      <c r="F1427" s="29">
        <f>SUMIFS(crm_orders!$J:$J,crm_orders!$B:$B,"&gt;="&amp;A1427,crm_orders!$B:$B,"&lt;"&amp;DATE(YEAR(A1427),MONTH(A1427)+1,1),crm_orders!$E:$E,B1427,crm_orders!$G:$G,C1427,crm_orders!$H:$H,D1427)</f>
        <v>0</v>
      </c>
      <c r="G1427" s="29">
        <f>SUMIFS(warehouse_shipments!$H:$H,warehouse_shipments!$C:$C,"&gt;="&amp;A1427,warehouse_shipments!$C:$C,"&lt;"&amp;DATE(YEAR(A1427),MONTH(A1427)+1,1),warehouse_shipments!$P:$P,B1427,warehouse_shipments!$Q:$Q,C1427,warehouse_shipments!$R:$R,D1427)</f>
        <v>0</v>
      </c>
      <c r="H1427" s="30">
        <f t="shared" si="1"/>
        <v>-453</v>
      </c>
      <c r="I1427" s="65">
        <f t="shared" si="2"/>
        <v>0</v>
      </c>
      <c r="J1427" s="30" t="s">
        <v>5309</v>
      </c>
    </row>
    <row r="1428" ht="15.75" customHeight="1">
      <c r="A1428" s="18">
        <v>46143.0</v>
      </c>
      <c r="B1428" s="17" t="s">
        <v>4705</v>
      </c>
      <c r="C1428" s="17" t="s">
        <v>67</v>
      </c>
      <c r="D1428" s="17" t="s">
        <v>190</v>
      </c>
      <c r="E1428" s="21">
        <v>96.0</v>
      </c>
      <c r="F1428" s="21">
        <f>SUMIFS(crm_orders!$J:$J,crm_orders!$B:$B,"&gt;="&amp;A1428,crm_orders!$B:$B,"&lt;"&amp;DATE(YEAR(A1428),MONTH(A1428)+1,1),crm_orders!$E:$E,B1428,crm_orders!$G:$G,C1428,crm_orders!$H:$H,D1428)</f>
        <v>0</v>
      </c>
      <c r="G1428" s="21">
        <f>SUMIFS(warehouse_shipments!$H:$H,warehouse_shipments!$C:$C,"&gt;="&amp;A1428,warehouse_shipments!$C:$C,"&lt;"&amp;DATE(YEAR(A1428),MONTH(A1428)+1,1),warehouse_shipments!$P:$P,B1428,warehouse_shipments!$Q:$Q,C1428,warehouse_shipments!$R:$R,D1428)</f>
        <v>0</v>
      </c>
      <c r="H1428" s="22">
        <f t="shared" si="1"/>
        <v>-96</v>
      </c>
      <c r="I1428" s="64">
        <f t="shared" si="2"/>
        <v>0</v>
      </c>
      <c r="J1428" s="22" t="s">
        <v>5310</v>
      </c>
    </row>
    <row r="1429" ht="15.75" customHeight="1">
      <c r="A1429" s="26">
        <v>46143.0</v>
      </c>
      <c r="B1429" s="25" t="s">
        <v>4705</v>
      </c>
      <c r="C1429" s="25" t="s">
        <v>67</v>
      </c>
      <c r="D1429" s="25" t="s">
        <v>68</v>
      </c>
      <c r="E1429" s="29">
        <v>140.0</v>
      </c>
      <c r="F1429" s="29">
        <f>SUMIFS(crm_orders!$J:$J,crm_orders!$B:$B,"&gt;="&amp;A1429,crm_orders!$B:$B,"&lt;"&amp;DATE(YEAR(A1429),MONTH(A1429)+1,1),crm_orders!$E:$E,B1429,crm_orders!$G:$G,C1429,crm_orders!$H:$H,D1429)</f>
        <v>0</v>
      </c>
      <c r="G1429" s="29">
        <f>SUMIFS(warehouse_shipments!$H:$H,warehouse_shipments!$C:$C,"&gt;="&amp;A1429,warehouse_shipments!$C:$C,"&lt;"&amp;DATE(YEAR(A1429),MONTH(A1429)+1,1),warehouse_shipments!$P:$P,B1429,warehouse_shipments!$Q:$Q,C1429,warehouse_shipments!$R:$R,D1429)</f>
        <v>0</v>
      </c>
      <c r="H1429" s="30">
        <f t="shared" si="1"/>
        <v>-140</v>
      </c>
      <c r="I1429" s="65">
        <f t="shared" si="2"/>
        <v>0</v>
      </c>
      <c r="J1429" s="30" t="s">
        <v>5306</v>
      </c>
    </row>
    <row r="1430" ht="15.75" customHeight="1">
      <c r="A1430" s="18">
        <v>46143.0</v>
      </c>
      <c r="B1430" s="17" t="s">
        <v>4705</v>
      </c>
      <c r="C1430" s="17" t="s">
        <v>67</v>
      </c>
      <c r="D1430" s="17" t="s">
        <v>78</v>
      </c>
      <c r="E1430" s="21">
        <v>97.0</v>
      </c>
      <c r="F1430" s="21">
        <f>SUMIFS(crm_orders!$J:$J,crm_orders!$B:$B,"&gt;="&amp;A1430,crm_orders!$B:$B,"&lt;"&amp;DATE(YEAR(A1430),MONTH(A1430)+1,1),crm_orders!$E:$E,B1430,crm_orders!$G:$G,C1430,crm_orders!$H:$H,D1430)</f>
        <v>0</v>
      </c>
      <c r="G1430" s="21">
        <f>SUMIFS(warehouse_shipments!$H:$H,warehouse_shipments!$C:$C,"&gt;="&amp;A1430,warehouse_shipments!$C:$C,"&lt;"&amp;DATE(YEAR(A1430),MONTH(A1430)+1,1),warehouse_shipments!$P:$P,B1430,warehouse_shipments!$Q:$Q,C1430,warehouse_shipments!$R:$R,D1430)</f>
        <v>0</v>
      </c>
      <c r="H1430" s="22">
        <f t="shared" si="1"/>
        <v>-97</v>
      </c>
      <c r="I1430" s="64">
        <f t="shared" si="2"/>
        <v>0</v>
      </c>
      <c r="J1430" s="22" t="s">
        <v>5308</v>
      </c>
    </row>
    <row r="1431" ht="15.75" customHeight="1">
      <c r="A1431" s="26">
        <v>46143.0</v>
      </c>
      <c r="B1431" s="25" t="s">
        <v>4705</v>
      </c>
      <c r="C1431" s="25" t="s">
        <v>67</v>
      </c>
      <c r="D1431" s="25" t="s">
        <v>90</v>
      </c>
      <c r="E1431" s="29">
        <v>363.0</v>
      </c>
      <c r="F1431" s="29">
        <f>SUMIFS(crm_orders!$J:$J,crm_orders!$B:$B,"&gt;="&amp;A1431,crm_orders!$B:$B,"&lt;"&amp;DATE(YEAR(A1431),MONTH(A1431)+1,1),crm_orders!$E:$E,B1431,crm_orders!$G:$G,C1431,crm_orders!$H:$H,D1431)</f>
        <v>0</v>
      </c>
      <c r="G1431" s="29">
        <f>SUMIFS(warehouse_shipments!$H:$H,warehouse_shipments!$C:$C,"&gt;="&amp;A1431,warehouse_shipments!$C:$C,"&lt;"&amp;DATE(YEAR(A1431),MONTH(A1431)+1,1),warehouse_shipments!$P:$P,B1431,warehouse_shipments!$Q:$Q,C1431,warehouse_shipments!$R:$R,D1431)</f>
        <v>0</v>
      </c>
      <c r="H1431" s="30">
        <f t="shared" si="1"/>
        <v>-363</v>
      </c>
      <c r="I1431" s="65">
        <f t="shared" si="2"/>
        <v>0</v>
      </c>
      <c r="J1431" s="30" t="s">
        <v>5308</v>
      </c>
    </row>
    <row r="1432" ht="15.75" customHeight="1">
      <c r="A1432" s="18">
        <v>46143.0</v>
      </c>
      <c r="B1432" s="17" t="s">
        <v>4705</v>
      </c>
      <c r="C1432" s="17" t="s">
        <v>67</v>
      </c>
      <c r="D1432" s="17" t="s">
        <v>154</v>
      </c>
      <c r="E1432" s="21">
        <v>110.0</v>
      </c>
      <c r="F1432" s="21">
        <f>SUMIFS(crm_orders!$J:$J,crm_orders!$B:$B,"&gt;="&amp;A1432,crm_orders!$B:$B,"&lt;"&amp;DATE(YEAR(A1432),MONTH(A1432)+1,1),crm_orders!$E:$E,B1432,crm_orders!$G:$G,C1432,crm_orders!$H:$H,D1432)</f>
        <v>0</v>
      </c>
      <c r="G1432" s="21">
        <f>SUMIFS(warehouse_shipments!$H:$H,warehouse_shipments!$C:$C,"&gt;="&amp;A1432,warehouse_shipments!$C:$C,"&lt;"&amp;DATE(YEAR(A1432),MONTH(A1432)+1,1),warehouse_shipments!$P:$P,B1432,warehouse_shipments!$Q:$Q,C1432,warehouse_shipments!$R:$R,D1432)</f>
        <v>0</v>
      </c>
      <c r="H1432" s="22">
        <f t="shared" si="1"/>
        <v>-110</v>
      </c>
      <c r="I1432" s="64">
        <f t="shared" si="2"/>
        <v>0</v>
      </c>
      <c r="J1432" s="22" t="s">
        <v>5309</v>
      </c>
    </row>
    <row r="1433" ht="15.75" customHeight="1">
      <c r="A1433" s="26">
        <v>46143.0</v>
      </c>
      <c r="B1433" s="25" t="s">
        <v>4705</v>
      </c>
      <c r="C1433" s="25" t="s">
        <v>67</v>
      </c>
      <c r="D1433" s="25" t="s">
        <v>156</v>
      </c>
      <c r="E1433" s="29">
        <v>469.0</v>
      </c>
      <c r="F1433" s="29">
        <f>SUMIFS(crm_orders!$J:$J,crm_orders!$B:$B,"&gt;="&amp;A1433,crm_orders!$B:$B,"&lt;"&amp;DATE(YEAR(A1433),MONTH(A1433)+1,1),crm_orders!$E:$E,B1433,crm_orders!$G:$G,C1433,crm_orders!$H:$H,D1433)</f>
        <v>0</v>
      </c>
      <c r="G1433" s="29">
        <f>SUMIFS(warehouse_shipments!$H:$H,warehouse_shipments!$C:$C,"&gt;="&amp;A1433,warehouse_shipments!$C:$C,"&lt;"&amp;DATE(YEAR(A1433),MONTH(A1433)+1,1),warehouse_shipments!$P:$P,B1433,warehouse_shipments!$Q:$Q,C1433,warehouse_shipments!$R:$R,D1433)</f>
        <v>0</v>
      </c>
      <c r="H1433" s="30">
        <f t="shared" si="1"/>
        <v>-469</v>
      </c>
      <c r="I1433" s="65">
        <f t="shared" si="2"/>
        <v>0</v>
      </c>
      <c r="J1433" s="30" t="s">
        <v>5309</v>
      </c>
    </row>
    <row r="1434" ht="15.75" customHeight="1">
      <c r="A1434" s="18">
        <v>46143.0</v>
      </c>
      <c r="B1434" s="17" t="s">
        <v>4705</v>
      </c>
      <c r="C1434" s="17" t="s">
        <v>89</v>
      </c>
      <c r="D1434" s="17" t="s">
        <v>156</v>
      </c>
      <c r="E1434" s="21">
        <v>171.0</v>
      </c>
      <c r="F1434" s="21">
        <f>SUMIFS(crm_orders!$J:$J,crm_orders!$B:$B,"&gt;="&amp;A1434,crm_orders!$B:$B,"&lt;"&amp;DATE(YEAR(A1434),MONTH(A1434)+1,1),crm_orders!$E:$E,B1434,crm_orders!$G:$G,C1434,crm_orders!$H:$H,D1434)</f>
        <v>0</v>
      </c>
      <c r="G1434" s="21">
        <f>SUMIFS(warehouse_shipments!$H:$H,warehouse_shipments!$C:$C,"&gt;="&amp;A1434,warehouse_shipments!$C:$C,"&lt;"&amp;DATE(YEAR(A1434),MONTH(A1434)+1,1),warehouse_shipments!$P:$P,B1434,warehouse_shipments!$Q:$Q,C1434,warehouse_shipments!$R:$R,D1434)</f>
        <v>0</v>
      </c>
      <c r="H1434" s="22">
        <f t="shared" si="1"/>
        <v>-171</v>
      </c>
      <c r="I1434" s="64">
        <f t="shared" si="2"/>
        <v>0</v>
      </c>
      <c r="J1434" s="22" t="s">
        <v>5309</v>
      </c>
    </row>
    <row r="1435" ht="15.75" customHeight="1">
      <c r="A1435" s="26">
        <v>46143.0</v>
      </c>
      <c r="B1435" s="25" t="s">
        <v>4705</v>
      </c>
      <c r="C1435" s="25" t="s">
        <v>89</v>
      </c>
      <c r="D1435" s="25" t="s">
        <v>71</v>
      </c>
      <c r="E1435" s="29">
        <v>191.0</v>
      </c>
      <c r="F1435" s="29">
        <f>SUMIFS(crm_orders!$J:$J,crm_orders!$B:$B,"&gt;="&amp;A1435,crm_orders!$B:$B,"&lt;"&amp;DATE(YEAR(A1435),MONTH(A1435)+1,1),crm_orders!$E:$E,B1435,crm_orders!$G:$G,C1435,crm_orders!$H:$H,D1435)</f>
        <v>0</v>
      </c>
      <c r="G1435" s="29">
        <f>SUMIFS(warehouse_shipments!$H:$H,warehouse_shipments!$C:$C,"&gt;="&amp;A1435,warehouse_shipments!$C:$C,"&lt;"&amp;DATE(YEAR(A1435),MONTH(A1435)+1,1),warehouse_shipments!$P:$P,B1435,warehouse_shipments!$Q:$Q,C1435,warehouse_shipments!$R:$R,D1435)</f>
        <v>0</v>
      </c>
      <c r="H1435" s="30">
        <f t="shared" si="1"/>
        <v>-191</v>
      </c>
      <c r="I1435" s="65">
        <f t="shared" si="2"/>
        <v>0</v>
      </c>
      <c r="J1435" s="30" t="s">
        <v>5311</v>
      </c>
    </row>
    <row r="1436" ht="15.75" customHeight="1">
      <c r="A1436" s="18">
        <v>46143.0</v>
      </c>
      <c r="B1436" s="17" t="s">
        <v>4705</v>
      </c>
      <c r="C1436" s="17" t="s">
        <v>89</v>
      </c>
      <c r="D1436" s="17" t="s">
        <v>102</v>
      </c>
      <c r="E1436" s="21">
        <v>289.0</v>
      </c>
      <c r="F1436" s="21">
        <f>SUMIFS(crm_orders!$J:$J,crm_orders!$B:$B,"&gt;="&amp;A1436,crm_orders!$B:$B,"&lt;"&amp;DATE(YEAR(A1436),MONTH(A1436)+1,1),crm_orders!$E:$E,B1436,crm_orders!$G:$G,C1436,crm_orders!$H:$H,D1436)</f>
        <v>0</v>
      </c>
      <c r="G1436" s="21">
        <f>SUMIFS(warehouse_shipments!$H:$H,warehouse_shipments!$C:$C,"&gt;="&amp;A1436,warehouse_shipments!$C:$C,"&lt;"&amp;DATE(YEAR(A1436),MONTH(A1436)+1,1),warehouse_shipments!$P:$P,B1436,warehouse_shipments!$Q:$Q,C1436,warehouse_shipments!$R:$R,D1436)</f>
        <v>0</v>
      </c>
      <c r="H1436" s="22">
        <f t="shared" si="1"/>
        <v>-289</v>
      </c>
      <c r="I1436" s="64">
        <f t="shared" si="2"/>
        <v>0</v>
      </c>
      <c r="J1436" s="22" t="s">
        <v>5310</v>
      </c>
    </row>
    <row r="1437" ht="15.75" customHeight="1">
      <c r="A1437" s="26">
        <v>46143.0</v>
      </c>
      <c r="B1437" s="25" t="s">
        <v>4705</v>
      </c>
      <c r="C1437" s="25" t="s">
        <v>89</v>
      </c>
      <c r="D1437" s="25" t="s">
        <v>92</v>
      </c>
      <c r="E1437" s="29">
        <v>119.0</v>
      </c>
      <c r="F1437" s="29">
        <f>SUMIFS(crm_orders!$J:$J,crm_orders!$B:$B,"&gt;="&amp;A1437,crm_orders!$B:$B,"&lt;"&amp;DATE(YEAR(A1437),MONTH(A1437)+1,1),crm_orders!$E:$E,B1437,crm_orders!$G:$G,C1437,crm_orders!$H:$H,D1437)</f>
        <v>0</v>
      </c>
      <c r="G1437" s="29">
        <f>SUMIFS(warehouse_shipments!$H:$H,warehouse_shipments!$C:$C,"&gt;="&amp;A1437,warehouse_shipments!$C:$C,"&lt;"&amp;DATE(YEAR(A1437),MONTH(A1437)+1,1),warehouse_shipments!$P:$P,B1437,warehouse_shipments!$Q:$Q,C1437,warehouse_shipments!$R:$R,D1437)</f>
        <v>0</v>
      </c>
      <c r="H1437" s="30">
        <f t="shared" si="1"/>
        <v>-119</v>
      </c>
      <c r="I1437" s="65">
        <f t="shared" si="2"/>
        <v>0</v>
      </c>
      <c r="J1437" s="30" t="s">
        <v>5311</v>
      </c>
    </row>
    <row r="1438" ht="15.75" customHeight="1">
      <c r="A1438" s="18">
        <v>46143.0</v>
      </c>
      <c r="B1438" s="17" t="s">
        <v>4705</v>
      </c>
      <c r="C1438" s="17" t="s">
        <v>89</v>
      </c>
      <c r="D1438" s="17" t="s">
        <v>190</v>
      </c>
      <c r="E1438" s="21">
        <v>89.0</v>
      </c>
      <c r="F1438" s="21">
        <f>SUMIFS(crm_orders!$J:$J,crm_orders!$B:$B,"&gt;="&amp;A1438,crm_orders!$B:$B,"&lt;"&amp;DATE(YEAR(A1438),MONTH(A1438)+1,1),crm_orders!$E:$E,B1438,crm_orders!$G:$G,C1438,crm_orders!$H:$H,D1438)</f>
        <v>0</v>
      </c>
      <c r="G1438" s="21">
        <f>SUMIFS(warehouse_shipments!$H:$H,warehouse_shipments!$C:$C,"&gt;="&amp;A1438,warehouse_shipments!$C:$C,"&lt;"&amp;DATE(YEAR(A1438),MONTH(A1438)+1,1),warehouse_shipments!$P:$P,B1438,warehouse_shipments!$Q:$Q,C1438,warehouse_shipments!$R:$R,D1438)</f>
        <v>0</v>
      </c>
      <c r="H1438" s="22">
        <f t="shared" si="1"/>
        <v>-89</v>
      </c>
      <c r="I1438" s="64">
        <f t="shared" si="2"/>
        <v>0</v>
      </c>
      <c r="J1438" s="22" t="s">
        <v>5306</v>
      </c>
    </row>
    <row r="1439" ht="15.75" customHeight="1">
      <c r="A1439" s="26">
        <v>46143.0</v>
      </c>
      <c r="B1439" s="25" t="s">
        <v>4705</v>
      </c>
      <c r="C1439" s="25" t="s">
        <v>89</v>
      </c>
      <c r="D1439" s="25" t="s">
        <v>115</v>
      </c>
      <c r="E1439" s="29">
        <v>232.0</v>
      </c>
      <c r="F1439" s="29">
        <f>SUMIFS(crm_orders!$J:$J,crm_orders!$B:$B,"&gt;="&amp;A1439,crm_orders!$B:$B,"&lt;"&amp;DATE(YEAR(A1439),MONTH(A1439)+1,1),crm_orders!$E:$E,B1439,crm_orders!$G:$G,C1439,crm_orders!$H:$H,D1439)</f>
        <v>0</v>
      </c>
      <c r="G1439" s="29">
        <f>SUMIFS(warehouse_shipments!$H:$H,warehouse_shipments!$C:$C,"&gt;="&amp;A1439,warehouse_shipments!$C:$C,"&lt;"&amp;DATE(YEAR(A1439),MONTH(A1439)+1,1),warehouse_shipments!$P:$P,B1439,warehouse_shipments!$Q:$Q,C1439,warehouse_shipments!$R:$R,D1439)</f>
        <v>0</v>
      </c>
      <c r="H1439" s="30">
        <f t="shared" si="1"/>
        <v>-232</v>
      </c>
      <c r="I1439" s="65">
        <f t="shared" si="2"/>
        <v>0</v>
      </c>
      <c r="J1439" s="30" t="s">
        <v>5306</v>
      </c>
    </row>
    <row r="1440" ht="15.75" customHeight="1">
      <c r="A1440" s="18">
        <v>46143.0</v>
      </c>
      <c r="B1440" s="17" t="s">
        <v>4705</v>
      </c>
      <c r="C1440" s="17" t="s">
        <v>89</v>
      </c>
      <c r="D1440" s="17" t="s">
        <v>123</v>
      </c>
      <c r="E1440" s="21">
        <v>427.0</v>
      </c>
      <c r="F1440" s="21">
        <f>SUMIFS(crm_orders!$J:$J,crm_orders!$B:$B,"&gt;="&amp;A1440,crm_orders!$B:$B,"&lt;"&amp;DATE(YEAR(A1440),MONTH(A1440)+1,1),crm_orders!$E:$E,B1440,crm_orders!$G:$G,C1440,crm_orders!$H:$H,D1440)</f>
        <v>0</v>
      </c>
      <c r="G1440" s="21">
        <f>SUMIFS(warehouse_shipments!$H:$H,warehouse_shipments!$C:$C,"&gt;="&amp;A1440,warehouse_shipments!$C:$C,"&lt;"&amp;DATE(YEAR(A1440),MONTH(A1440)+1,1),warehouse_shipments!$P:$P,B1440,warehouse_shipments!$Q:$Q,C1440,warehouse_shipments!$R:$R,D1440)</f>
        <v>0</v>
      </c>
      <c r="H1440" s="22">
        <f t="shared" si="1"/>
        <v>-427</v>
      </c>
      <c r="I1440" s="64">
        <f t="shared" si="2"/>
        <v>0</v>
      </c>
      <c r="J1440" s="22" t="s">
        <v>5307</v>
      </c>
    </row>
    <row r="1441" ht="15.75" customHeight="1">
      <c r="A1441" s="26">
        <v>46143.0</v>
      </c>
      <c r="B1441" s="25" t="s">
        <v>4705</v>
      </c>
      <c r="C1441" s="25" t="s">
        <v>89</v>
      </c>
      <c r="D1441" s="25" t="s">
        <v>81</v>
      </c>
      <c r="E1441" s="29">
        <v>329.0</v>
      </c>
      <c r="F1441" s="29">
        <f>SUMIFS(crm_orders!$J:$J,crm_orders!$B:$B,"&gt;="&amp;A1441,crm_orders!$B:$B,"&lt;"&amp;DATE(YEAR(A1441),MONTH(A1441)+1,1),crm_orders!$E:$E,B1441,crm_orders!$G:$G,C1441,crm_orders!$H:$H,D1441)</f>
        <v>0</v>
      </c>
      <c r="G1441" s="29">
        <f>SUMIFS(warehouse_shipments!$H:$H,warehouse_shipments!$C:$C,"&gt;="&amp;A1441,warehouse_shipments!$C:$C,"&lt;"&amp;DATE(YEAR(A1441),MONTH(A1441)+1,1),warehouse_shipments!$P:$P,B1441,warehouse_shipments!$Q:$Q,C1441,warehouse_shipments!$R:$R,D1441)</f>
        <v>0</v>
      </c>
      <c r="H1441" s="30">
        <f t="shared" si="1"/>
        <v>-329</v>
      </c>
      <c r="I1441" s="65">
        <f t="shared" si="2"/>
        <v>0</v>
      </c>
      <c r="J1441" s="30" t="s">
        <v>5311</v>
      </c>
    </row>
  </sheetData>
  <autoFilter ref="$A$1:$J$1441"/>
  <conditionalFormatting sqref="I2:I1441">
    <cfRule type="cellIs" dxfId="2" priority="1" operator="lessThan">
      <formula>0.75</formula>
    </cfRule>
  </conditionalFormatting>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0"/>
    <col customWidth="1" min="3" max="3" width="21.0"/>
    <col customWidth="1" min="4" max="4" width="20.0"/>
    <col customWidth="1" min="5" max="5" width="18.0"/>
    <col customWidth="1" min="6" max="6" width="13.0"/>
    <col customWidth="1" min="7" max="7" width="18.0"/>
    <col customWidth="1" min="8" max="8" width="29.0"/>
    <col customWidth="1" min="9" max="26" width="8.71"/>
  </cols>
  <sheetData>
    <row r="1">
      <c r="A1" s="52" t="s">
        <v>5312</v>
      </c>
      <c r="B1" s="52" t="s">
        <v>5313</v>
      </c>
      <c r="C1" s="52" t="s">
        <v>5314</v>
      </c>
      <c r="D1" s="52" t="s">
        <v>5315</v>
      </c>
      <c r="E1" s="52" t="s">
        <v>5316</v>
      </c>
      <c r="F1" s="52" t="s">
        <v>5317</v>
      </c>
      <c r="G1" s="52" t="s">
        <v>5318</v>
      </c>
      <c r="H1" s="52" t="s">
        <v>5319</v>
      </c>
    </row>
    <row r="2">
      <c r="A2" s="53" t="s">
        <v>5320</v>
      </c>
      <c r="B2" s="53" t="s">
        <v>5321</v>
      </c>
      <c r="C2" s="54">
        <v>46143.3</v>
      </c>
      <c r="D2" s="56">
        <v>1000.0</v>
      </c>
      <c r="E2" s="56">
        <v>1000.0</v>
      </c>
      <c r="F2" s="53" t="s">
        <v>5322</v>
      </c>
      <c r="G2" s="53" t="s">
        <v>3855</v>
      </c>
      <c r="H2" s="53" t="s">
        <v>5323</v>
      </c>
    </row>
    <row r="3">
      <c r="A3" s="25" t="s">
        <v>5324</v>
      </c>
      <c r="B3" s="25" t="s">
        <v>5325</v>
      </c>
      <c r="C3" s="26">
        <v>46143.30902777778</v>
      </c>
      <c r="D3" s="29">
        <v>934.0</v>
      </c>
      <c r="E3" s="29">
        <v>934.0</v>
      </c>
      <c r="F3" s="25" t="s">
        <v>5322</v>
      </c>
      <c r="G3" s="25" t="s">
        <v>4826</v>
      </c>
      <c r="H3" s="25" t="s">
        <v>5326</v>
      </c>
    </row>
    <row r="4">
      <c r="A4" s="53" t="s">
        <v>5327</v>
      </c>
      <c r="B4" s="53" t="s">
        <v>5328</v>
      </c>
      <c r="C4" s="54">
        <v>46143.31944444445</v>
      </c>
      <c r="D4" s="56">
        <v>786.0</v>
      </c>
      <c r="E4" s="56">
        <v>786.0</v>
      </c>
      <c r="F4" s="53" t="s">
        <v>5322</v>
      </c>
      <c r="G4" s="53" t="s">
        <v>3851</v>
      </c>
      <c r="H4" s="53" t="s">
        <v>5329</v>
      </c>
    </row>
    <row r="5">
      <c r="A5" s="25" t="s">
        <v>5330</v>
      </c>
      <c r="B5" s="25" t="s">
        <v>5331</v>
      </c>
      <c r="C5" s="26">
        <v>46143.28125</v>
      </c>
      <c r="D5" s="29">
        <v>100.0</v>
      </c>
      <c r="E5" s="29">
        <v>100.0</v>
      </c>
      <c r="F5" s="25" t="s">
        <v>5322</v>
      </c>
      <c r="G5" s="25" t="s">
        <v>5332</v>
      </c>
      <c r="H5" s="25" t="s">
        <v>5333</v>
      </c>
    </row>
    <row r="6">
      <c r="A6" s="53" t="s">
        <v>3847</v>
      </c>
      <c r="B6" s="53" t="s">
        <v>5334</v>
      </c>
      <c r="C6" s="54">
        <v>46143.33472222222</v>
      </c>
      <c r="D6" s="56">
        <v>60.0</v>
      </c>
      <c r="E6" s="56">
        <v>60.0</v>
      </c>
      <c r="F6" s="53" t="s">
        <v>5322</v>
      </c>
      <c r="G6" s="53" t="s">
        <v>3847</v>
      </c>
      <c r="H6" s="53" t="s">
        <v>5335</v>
      </c>
    </row>
    <row r="7">
      <c r="A7" s="25" t="s">
        <v>5336</v>
      </c>
      <c r="B7" s="25" t="s">
        <v>5337</v>
      </c>
      <c r="C7" s="26">
        <v>46143.34375</v>
      </c>
      <c r="D7" s="29">
        <v>934.0</v>
      </c>
      <c r="E7" s="29">
        <v>934.0</v>
      </c>
      <c r="F7" s="25" t="s">
        <v>5322</v>
      </c>
      <c r="G7" s="25" t="s">
        <v>4826</v>
      </c>
      <c r="H7" s="25" t="s">
        <v>5338</v>
      </c>
    </row>
    <row r="8">
      <c r="A8" s="53" t="s">
        <v>5339</v>
      </c>
      <c r="B8" s="53" t="s">
        <v>5340</v>
      </c>
      <c r="C8" s="54">
        <v>46143.35416666666</v>
      </c>
      <c r="D8" s="56">
        <v>340.0</v>
      </c>
      <c r="E8" s="56">
        <v>340.0</v>
      </c>
      <c r="F8" s="53" t="s">
        <v>5322</v>
      </c>
      <c r="G8" s="53" t="s">
        <v>4811</v>
      </c>
      <c r="H8" s="53" t="s">
        <v>5341</v>
      </c>
    </row>
    <row r="9">
      <c r="A9" s="25" t="s">
        <v>5342</v>
      </c>
      <c r="B9" s="25" t="s">
        <v>5343</v>
      </c>
      <c r="C9" s="26">
        <v>46143.36458333334</v>
      </c>
      <c r="D9" s="29">
        <v>1440.0</v>
      </c>
      <c r="E9" s="29">
        <v>1440.0</v>
      </c>
      <c r="F9" s="25" t="s">
        <v>5322</v>
      </c>
      <c r="G9" s="25" t="s">
        <v>5344</v>
      </c>
      <c r="H9" s="25" t="s">
        <v>5345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9"/>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4" width="17.0"/>
    <col customWidth="1" min="5" max="5" width="10.0"/>
    <col customWidth="1" min="6" max="6" width="17.0"/>
    <col customWidth="1" min="7" max="7" width="14.0"/>
    <col customWidth="1" min="8" max="8" width="37.0"/>
    <col customWidth="1" min="9" max="26" width="8.71"/>
  </cols>
  <sheetData>
    <row r="1">
      <c r="A1" s="66" t="s">
        <v>5346</v>
      </c>
      <c r="B1" s="66" t="s">
        <v>5347</v>
      </c>
      <c r="C1" s="66" t="s">
        <v>5348</v>
      </c>
      <c r="D1" s="66" t="s">
        <v>46</v>
      </c>
      <c r="E1" s="66" t="s">
        <v>47</v>
      </c>
      <c r="F1" s="66" t="s">
        <v>5349</v>
      </c>
      <c r="G1" s="66" t="s">
        <v>5350</v>
      </c>
      <c r="H1" s="66" t="s">
        <v>5351</v>
      </c>
    </row>
    <row r="2">
      <c r="A2" s="67" t="s">
        <v>547</v>
      </c>
      <c r="B2" s="67" t="s">
        <v>5352</v>
      </c>
      <c r="C2" s="67" t="s">
        <v>5353</v>
      </c>
      <c r="D2" s="67" t="s">
        <v>5354</v>
      </c>
      <c r="E2" s="67" t="s">
        <v>4618</v>
      </c>
      <c r="F2" s="67" t="s">
        <v>5355</v>
      </c>
      <c r="G2" s="67" t="s">
        <v>1212</v>
      </c>
      <c r="H2" s="67" t="s">
        <v>5356</v>
      </c>
    </row>
    <row r="3">
      <c r="A3" s="25" t="s">
        <v>330</v>
      </c>
      <c r="B3" s="25" t="s">
        <v>5357</v>
      </c>
      <c r="C3" s="25" t="s">
        <v>5358</v>
      </c>
      <c r="D3" s="25" t="s">
        <v>5359</v>
      </c>
      <c r="E3" s="25" t="s">
        <v>4705</v>
      </c>
      <c r="F3" s="25" t="s">
        <v>5360</v>
      </c>
      <c r="G3" s="25" t="s">
        <v>5361</v>
      </c>
      <c r="H3" s="25" t="s">
        <v>5362</v>
      </c>
    </row>
    <row r="4">
      <c r="A4" s="67" t="s">
        <v>700</v>
      </c>
      <c r="B4" s="67" t="s">
        <v>5363</v>
      </c>
      <c r="C4" s="67" t="s">
        <v>5364</v>
      </c>
      <c r="D4" s="67" t="s">
        <v>5365</v>
      </c>
      <c r="E4" s="67" t="s">
        <v>3934</v>
      </c>
      <c r="F4" s="67" t="s">
        <v>5360</v>
      </c>
      <c r="G4" s="67" t="s">
        <v>5361</v>
      </c>
      <c r="H4" s="67" t="s">
        <v>5362</v>
      </c>
    </row>
    <row r="5">
      <c r="A5" s="25" t="s">
        <v>540</v>
      </c>
      <c r="B5" s="25" t="s">
        <v>5366</v>
      </c>
      <c r="C5" s="25" t="s">
        <v>5367</v>
      </c>
      <c r="D5" s="25" t="s">
        <v>5368</v>
      </c>
      <c r="E5" s="25" t="s">
        <v>4020</v>
      </c>
      <c r="F5" s="25" t="s">
        <v>5360</v>
      </c>
      <c r="G5" s="25" t="s">
        <v>5361</v>
      </c>
      <c r="H5" s="25" t="s">
        <v>5362</v>
      </c>
    </row>
    <row r="6">
      <c r="A6" s="67" t="s">
        <v>207</v>
      </c>
      <c r="B6" s="67" t="s">
        <v>5369</v>
      </c>
      <c r="C6" s="67" t="s">
        <v>5370</v>
      </c>
      <c r="D6" s="67" t="s">
        <v>5371</v>
      </c>
      <c r="E6" s="67" t="s">
        <v>3849</v>
      </c>
      <c r="F6" s="67" t="s">
        <v>5355</v>
      </c>
      <c r="G6" s="67" t="s">
        <v>5361</v>
      </c>
      <c r="H6" s="67" t="s">
        <v>5362</v>
      </c>
    </row>
    <row r="7">
      <c r="A7" s="25" t="s">
        <v>466</v>
      </c>
      <c r="B7" s="25" t="s">
        <v>5372</v>
      </c>
      <c r="C7" s="25" t="s">
        <v>5373</v>
      </c>
      <c r="D7" s="25" t="s">
        <v>5374</v>
      </c>
      <c r="E7" s="25" t="s">
        <v>4390</v>
      </c>
      <c r="F7" s="25" t="s">
        <v>5360</v>
      </c>
      <c r="G7" s="25" t="s">
        <v>5361</v>
      </c>
      <c r="H7" s="25" t="s">
        <v>5362</v>
      </c>
    </row>
    <row r="8">
      <c r="A8" s="67" t="s">
        <v>1124</v>
      </c>
      <c r="B8" s="67" t="s">
        <v>5375</v>
      </c>
      <c r="C8" s="67" t="s">
        <v>5376</v>
      </c>
      <c r="D8" s="67" t="s">
        <v>5377</v>
      </c>
      <c r="E8" s="67" t="s">
        <v>4097</v>
      </c>
      <c r="F8" s="67" t="s">
        <v>5378</v>
      </c>
      <c r="G8" s="67" t="s">
        <v>5361</v>
      </c>
      <c r="H8" s="67" t="s">
        <v>5362</v>
      </c>
    </row>
    <row r="9">
      <c r="A9" s="25" t="s">
        <v>575</v>
      </c>
      <c r="B9" s="25" t="s">
        <v>5379</v>
      </c>
      <c r="C9" s="25" t="s">
        <v>5380</v>
      </c>
      <c r="D9" s="25" t="s">
        <v>5381</v>
      </c>
      <c r="E9" s="25" t="s">
        <v>4186</v>
      </c>
      <c r="F9" s="25" t="s">
        <v>5360</v>
      </c>
      <c r="G9" s="25" t="s">
        <v>5361</v>
      </c>
      <c r="H9" s="25" t="s">
        <v>5362</v>
      </c>
    </row>
    <row r="10">
      <c r="A10" s="67" t="s">
        <v>710</v>
      </c>
      <c r="B10" s="67" t="s">
        <v>5382</v>
      </c>
      <c r="C10" s="67" t="s">
        <v>5383</v>
      </c>
      <c r="D10" s="67" t="s">
        <v>5384</v>
      </c>
      <c r="E10" s="67" t="s">
        <v>4261</v>
      </c>
      <c r="F10" s="67" t="s">
        <v>5360</v>
      </c>
      <c r="G10" s="67" t="s">
        <v>1212</v>
      </c>
      <c r="H10" s="67" t="s">
        <v>5385</v>
      </c>
    </row>
    <row r="11">
      <c r="A11" s="25" t="s">
        <v>457</v>
      </c>
      <c r="B11" s="25" t="s">
        <v>5386</v>
      </c>
      <c r="C11" s="25" t="s">
        <v>5387</v>
      </c>
      <c r="D11" s="25" t="s">
        <v>5388</v>
      </c>
      <c r="E11" s="25" t="s">
        <v>4323</v>
      </c>
      <c r="F11" s="25" t="s">
        <v>4820</v>
      </c>
      <c r="G11" s="25" t="s">
        <v>5361</v>
      </c>
      <c r="H11" s="25" t="s">
        <v>5362</v>
      </c>
    </row>
    <row r="12">
      <c r="A12" s="67" t="s">
        <v>174</v>
      </c>
      <c r="B12" s="67" t="s">
        <v>5389</v>
      </c>
      <c r="C12" s="67" t="s">
        <v>5390</v>
      </c>
      <c r="D12" s="67" t="s">
        <v>5391</v>
      </c>
      <c r="E12" s="67" t="s">
        <v>4465</v>
      </c>
      <c r="F12" s="67" t="s">
        <v>5360</v>
      </c>
      <c r="G12" s="67" t="s">
        <v>5361</v>
      </c>
      <c r="H12" s="67" t="s">
        <v>5362</v>
      </c>
    </row>
    <row r="13">
      <c r="A13" s="25" t="s">
        <v>189</v>
      </c>
      <c r="B13" s="25" t="s">
        <v>5392</v>
      </c>
      <c r="C13" s="25" t="s">
        <v>5393</v>
      </c>
      <c r="D13" s="25" t="s">
        <v>5394</v>
      </c>
      <c r="E13" s="25" t="s">
        <v>4559</v>
      </c>
      <c r="F13" s="25" t="s">
        <v>5360</v>
      </c>
      <c r="G13" s="25" t="s">
        <v>5361</v>
      </c>
      <c r="H13" s="25" t="s">
        <v>5362</v>
      </c>
    </row>
    <row r="14">
      <c r="A14" s="67" t="s">
        <v>712</v>
      </c>
      <c r="B14" s="67" t="s">
        <v>5395</v>
      </c>
      <c r="C14" s="67" t="s">
        <v>5396</v>
      </c>
      <c r="D14" s="67" t="s">
        <v>5397</v>
      </c>
      <c r="E14" s="67" t="s">
        <v>4618</v>
      </c>
      <c r="F14" s="67" t="s">
        <v>5378</v>
      </c>
      <c r="G14" s="67" t="s">
        <v>1212</v>
      </c>
      <c r="H14" s="67" t="s">
        <v>5398</v>
      </c>
    </row>
    <row r="15">
      <c r="A15" s="25" t="s">
        <v>464</v>
      </c>
      <c r="B15" s="25" t="s">
        <v>5399</v>
      </c>
      <c r="C15" s="25" t="s">
        <v>5400</v>
      </c>
      <c r="D15" s="25" t="s">
        <v>5401</v>
      </c>
      <c r="E15" s="25" t="s">
        <v>4705</v>
      </c>
      <c r="F15" s="25" t="s">
        <v>5378</v>
      </c>
      <c r="G15" s="25" t="s">
        <v>5361</v>
      </c>
      <c r="H15" s="25" t="s">
        <v>5362</v>
      </c>
    </row>
    <row r="16">
      <c r="A16" s="67" t="s">
        <v>1133</v>
      </c>
      <c r="B16" s="67" t="s">
        <v>5402</v>
      </c>
      <c r="C16" s="67" t="s">
        <v>5403</v>
      </c>
      <c r="D16" s="67" t="s">
        <v>5404</v>
      </c>
      <c r="E16" s="67" t="s">
        <v>3934</v>
      </c>
      <c r="F16" s="67" t="s">
        <v>5360</v>
      </c>
      <c r="G16" s="67" t="s">
        <v>5361</v>
      </c>
      <c r="H16" s="67" t="s">
        <v>5362</v>
      </c>
    </row>
    <row r="17">
      <c r="A17" s="25" t="s">
        <v>1083</v>
      </c>
      <c r="B17" s="25" t="s">
        <v>5405</v>
      </c>
      <c r="C17" s="25" t="s">
        <v>5406</v>
      </c>
      <c r="D17" s="25" t="s">
        <v>5407</v>
      </c>
      <c r="E17" s="25" t="s">
        <v>4020</v>
      </c>
      <c r="F17" s="25" t="s">
        <v>5360</v>
      </c>
      <c r="G17" s="25" t="s">
        <v>5361</v>
      </c>
      <c r="H17" s="25" t="s">
        <v>5362</v>
      </c>
    </row>
    <row r="18">
      <c r="A18" s="67" t="s">
        <v>305</v>
      </c>
      <c r="B18" s="67" t="s">
        <v>5408</v>
      </c>
      <c r="C18" s="67" t="s">
        <v>5409</v>
      </c>
      <c r="D18" s="67" t="s">
        <v>5410</v>
      </c>
      <c r="E18" s="67" t="s">
        <v>3849</v>
      </c>
      <c r="F18" s="67" t="s">
        <v>5360</v>
      </c>
      <c r="G18" s="67" t="s">
        <v>1212</v>
      </c>
      <c r="H18" s="67" t="s">
        <v>5398</v>
      </c>
    </row>
    <row r="19">
      <c r="A19" s="25" t="s">
        <v>723</v>
      </c>
      <c r="B19" s="25" t="s">
        <v>5411</v>
      </c>
      <c r="C19" s="25" t="s">
        <v>5412</v>
      </c>
      <c r="D19" s="25" t="s">
        <v>5413</v>
      </c>
      <c r="E19" s="25" t="s">
        <v>4390</v>
      </c>
      <c r="F19" s="25" t="s">
        <v>5360</v>
      </c>
      <c r="G19" s="25" t="s">
        <v>5361</v>
      </c>
      <c r="H19" s="25" t="s">
        <v>5362</v>
      </c>
    </row>
    <row r="20">
      <c r="A20" s="67" t="s">
        <v>566</v>
      </c>
      <c r="B20" s="67" t="s">
        <v>5414</v>
      </c>
      <c r="C20" s="67" t="s">
        <v>5415</v>
      </c>
      <c r="D20" s="67" t="s">
        <v>5416</v>
      </c>
      <c r="E20" s="67" t="s">
        <v>4097</v>
      </c>
      <c r="F20" s="67" t="s">
        <v>5360</v>
      </c>
      <c r="G20" s="67" t="s">
        <v>1212</v>
      </c>
      <c r="H20" s="67" t="s">
        <v>5385</v>
      </c>
    </row>
    <row r="21" ht="15.75" customHeight="1">
      <c r="A21" s="25" t="s">
        <v>1081</v>
      </c>
      <c r="B21" s="25" t="s">
        <v>5417</v>
      </c>
      <c r="C21" s="25" t="s">
        <v>5418</v>
      </c>
      <c r="D21" s="25" t="s">
        <v>5419</v>
      </c>
      <c r="E21" s="25" t="s">
        <v>4186</v>
      </c>
      <c r="F21" s="25" t="s">
        <v>5360</v>
      </c>
      <c r="G21" s="25" t="s">
        <v>5361</v>
      </c>
      <c r="H21" s="25" t="s">
        <v>5362</v>
      </c>
    </row>
    <row r="22" ht="15.75" customHeight="1">
      <c r="A22" s="67" t="s">
        <v>988</v>
      </c>
      <c r="B22" s="67" t="s">
        <v>5420</v>
      </c>
      <c r="C22" s="67" t="s">
        <v>5421</v>
      </c>
      <c r="D22" s="67" t="s">
        <v>5422</v>
      </c>
      <c r="E22" s="67" t="s">
        <v>4261</v>
      </c>
      <c r="F22" s="67" t="s">
        <v>5360</v>
      </c>
      <c r="G22" s="67" t="s">
        <v>5361</v>
      </c>
      <c r="H22" s="67" t="s">
        <v>5362</v>
      </c>
    </row>
    <row r="23" ht="15.75" customHeight="1">
      <c r="A23" s="25" t="s">
        <v>459</v>
      </c>
      <c r="B23" s="25" t="s">
        <v>5423</v>
      </c>
      <c r="C23" s="25" t="s">
        <v>5424</v>
      </c>
      <c r="D23" s="25" t="s">
        <v>5425</v>
      </c>
      <c r="E23" s="25" t="s">
        <v>4323</v>
      </c>
      <c r="F23" s="25" t="s">
        <v>5360</v>
      </c>
      <c r="G23" s="25" t="s">
        <v>5361</v>
      </c>
      <c r="H23" s="25" t="s">
        <v>5362</v>
      </c>
    </row>
    <row r="24" ht="15.75" customHeight="1">
      <c r="A24" s="67" t="s">
        <v>1129</v>
      </c>
      <c r="B24" s="67" t="s">
        <v>5426</v>
      </c>
      <c r="C24" s="67" t="s">
        <v>5427</v>
      </c>
      <c r="D24" s="67" t="s">
        <v>5428</v>
      </c>
      <c r="E24" s="67" t="s">
        <v>4465</v>
      </c>
      <c r="F24" s="67" t="s">
        <v>5360</v>
      </c>
      <c r="G24" s="67" t="s">
        <v>5361</v>
      </c>
      <c r="H24" s="67" t="s">
        <v>5362</v>
      </c>
    </row>
    <row r="25" ht="15.75" customHeight="1">
      <c r="A25" s="25" t="s">
        <v>879</v>
      </c>
      <c r="B25" s="25" t="s">
        <v>5429</v>
      </c>
      <c r="C25" s="25" t="s">
        <v>5430</v>
      </c>
      <c r="D25" s="25" t="s">
        <v>5431</v>
      </c>
      <c r="E25" s="25" t="s">
        <v>4559</v>
      </c>
      <c r="F25" s="25" t="s">
        <v>5355</v>
      </c>
      <c r="G25" s="25" t="s">
        <v>5361</v>
      </c>
      <c r="H25" s="25" t="s">
        <v>5362</v>
      </c>
    </row>
    <row r="26" ht="15.75" customHeight="1">
      <c r="A26" s="67" t="s">
        <v>542</v>
      </c>
      <c r="B26" s="67" t="s">
        <v>5432</v>
      </c>
      <c r="C26" s="67" t="s">
        <v>5433</v>
      </c>
      <c r="D26" s="67" t="s">
        <v>5434</v>
      </c>
      <c r="E26" s="67" t="s">
        <v>4618</v>
      </c>
      <c r="F26" s="67" t="s">
        <v>4820</v>
      </c>
      <c r="G26" s="67" t="s">
        <v>5361</v>
      </c>
      <c r="H26" s="67" t="s">
        <v>5362</v>
      </c>
    </row>
    <row r="27" ht="15.75" customHeight="1">
      <c r="A27" s="25" t="s">
        <v>593</v>
      </c>
      <c r="B27" s="25" t="s">
        <v>5435</v>
      </c>
      <c r="C27" s="25" t="s">
        <v>5436</v>
      </c>
      <c r="D27" s="25" t="s">
        <v>5437</v>
      </c>
      <c r="E27" s="25" t="s">
        <v>4705</v>
      </c>
      <c r="F27" s="25" t="s">
        <v>5378</v>
      </c>
      <c r="G27" s="25" t="s">
        <v>1212</v>
      </c>
      <c r="H27" s="25" t="s">
        <v>5438</v>
      </c>
    </row>
    <row r="28" ht="15.75" customHeight="1">
      <c r="A28" s="67" t="s">
        <v>299</v>
      </c>
      <c r="B28" s="67" t="s">
        <v>5439</v>
      </c>
      <c r="C28" s="67" t="s">
        <v>5440</v>
      </c>
      <c r="D28" s="67" t="s">
        <v>5441</v>
      </c>
      <c r="E28" s="67" t="s">
        <v>3934</v>
      </c>
      <c r="F28" s="67" t="s">
        <v>4820</v>
      </c>
      <c r="G28" s="67" t="s">
        <v>5361</v>
      </c>
      <c r="H28" s="67" t="s">
        <v>5362</v>
      </c>
    </row>
    <row r="29" ht="15.75" customHeight="1">
      <c r="A29" s="25" t="s">
        <v>446</v>
      </c>
      <c r="B29" s="25" t="s">
        <v>5442</v>
      </c>
      <c r="C29" s="25" t="s">
        <v>5443</v>
      </c>
      <c r="D29" s="25" t="s">
        <v>5444</v>
      </c>
      <c r="E29" s="25" t="s">
        <v>4020</v>
      </c>
      <c r="F29" s="25" t="s">
        <v>5355</v>
      </c>
      <c r="G29" s="25" t="s">
        <v>5361</v>
      </c>
      <c r="H29" s="25" t="s">
        <v>5362</v>
      </c>
    </row>
    <row r="30" ht="15.75" customHeight="1">
      <c r="A30" s="67" t="s">
        <v>452</v>
      </c>
      <c r="B30" s="67" t="s">
        <v>5445</v>
      </c>
      <c r="C30" s="67" t="s">
        <v>5446</v>
      </c>
      <c r="D30" s="67" t="s">
        <v>5447</v>
      </c>
      <c r="E30" s="67" t="s">
        <v>3849</v>
      </c>
      <c r="F30" s="67" t="s">
        <v>5360</v>
      </c>
      <c r="G30" s="67" t="s">
        <v>5361</v>
      </c>
      <c r="H30" s="67" t="s">
        <v>5362</v>
      </c>
    </row>
    <row r="31" ht="15.75" customHeight="1">
      <c r="A31" s="25" t="s">
        <v>561</v>
      </c>
      <c r="B31" s="25" t="s">
        <v>5448</v>
      </c>
      <c r="C31" s="25" t="s">
        <v>5449</v>
      </c>
      <c r="D31" s="25" t="s">
        <v>5450</v>
      </c>
      <c r="E31" s="25" t="s">
        <v>4390</v>
      </c>
      <c r="F31" s="25" t="s">
        <v>5360</v>
      </c>
      <c r="G31" s="25" t="s">
        <v>5361</v>
      </c>
      <c r="H31" s="25" t="s">
        <v>5362</v>
      </c>
    </row>
    <row r="32" ht="15.75" customHeight="1">
      <c r="A32" s="67" t="s">
        <v>741</v>
      </c>
      <c r="B32" s="67" t="s">
        <v>5451</v>
      </c>
      <c r="C32" s="67" t="s">
        <v>5452</v>
      </c>
      <c r="D32" s="67" t="s">
        <v>5453</v>
      </c>
      <c r="E32" s="67" t="s">
        <v>4097</v>
      </c>
      <c r="F32" s="67" t="s">
        <v>5360</v>
      </c>
      <c r="G32" s="67" t="s">
        <v>5361</v>
      </c>
      <c r="H32" s="67" t="s">
        <v>5362</v>
      </c>
    </row>
    <row r="33" ht="15.75" customHeight="1">
      <c r="A33" s="25" t="s">
        <v>573</v>
      </c>
      <c r="B33" s="25" t="s">
        <v>5454</v>
      </c>
      <c r="C33" s="25" t="s">
        <v>5455</v>
      </c>
      <c r="D33" s="25" t="s">
        <v>5456</v>
      </c>
      <c r="E33" s="25" t="s">
        <v>4186</v>
      </c>
      <c r="F33" s="25" t="s">
        <v>5360</v>
      </c>
      <c r="G33" s="25" t="s">
        <v>5361</v>
      </c>
      <c r="H33" s="25" t="s">
        <v>5362</v>
      </c>
    </row>
    <row r="34" ht="15.75" customHeight="1">
      <c r="A34" s="67" t="s">
        <v>582</v>
      </c>
      <c r="B34" s="67" t="s">
        <v>5457</v>
      </c>
      <c r="C34" s="67" t="s">
        <v>5458</v>
      </c>
      <c r="D34" s="67" t="s">
        <v>5459</v>
      </c>
      <c r="E34" s="67" t="s">
        <v>4261</v>
      </c>
      <c r="F34" s="67" t="s">
        <v>5360</v>
      </c>
      <c r="G34" s="67" t="s">
        <v>5361</v>
      </c>
      <c r="H34" s="67" t="s">
        <v>5362</v>
      </c>
    </row>
    <row r="35" ht="15.75" customHeight="1">
      <c r="A35" s="25" t="s">
        <v>339</v>
      </c>
      <c r="B35" s="25" t="s">
        <v>5460</v>
      </c>
      <c r="C35" s="25" t="s">
        <v>5461</v>
      </c>
      <c r="D35" s="25" t="s">
        <v>5462</v>
      </c>
      <c r="E35" s="25" t="s">
        <v>4323</v>
      </c>
      <c r="F35" s="25" t="s">
        <v>5378</v>
      </c>
      <c r="G35" s="25" t="s">
        <v>5361</v>
      </c>
      <c r="H35" s="25" t="s">
        <v>5362</v>
      </c>
    </row>
    <row r="36" ht="15.75" customHeight="1">
      <c r="A36" s="67" t="s">
        <v>980</v>
      </c>
      <c r="B36" s="67" t="s">
        <v>5463</v>
      </c>
      <c r="C36" s="67" t="s">
        <v>5464</v>
      </c>
      <c r="D36" s="67" t="s">
        <v>5465</v>
      </c>
      <c r="E36" s="67" t="s">
        <v>4465</v>
      </c>
      <c r="F36" s="67" t="s">
        <v>5378</v>
      </c>
      <c r="G36" s="67" t="s">
        <v>5361</v>
      </c>
      <c r="H36" s="67" t="s">
        <v>5362</v>
      </c>
    </row>
    <row r="37" ht="15.75" customHeight="1">
      <c r="A37" s="25" t="s">
        <v>999</v>
      </c>
      <c r="B37" s="25" t="s">
        <v>5466</v>
      </c>
      <c r="C37" s="25" t="s">
        <v>5467</v>
      </c>
      <c r="D37" s="25" t="s">
        <v>5468</v>
      </c>
      <c r="E37" s="25" t="s">
        <v>4559</v>
      </c>
      <c r="F37" s="25" t="s">
        <v>5360</v>
      </c>
      <c r="G37" s="25" t="s">
        <v>5361</v>
      </c>
      <c r="H37" s="25" t="s">
        <v>5362</v>
      </c>
    </row>
    <row r="38" ht="15.75" customHeight="1">
      <c r="A38" s="67" t="s">
        <v>706</v>
      </c>
      <c r="B38" s="67" t="s">
        <v>5469</v>
      </c>
      <c r="C38" s="67" t="s">
        <v>5470</v>
      </c>
      <c r="D38" s="67" t="s">
        <v>5471</v>
      </c>
      <c r="E38" s="67" t="s">
        <v>4618</v>
      </c>
      <c r="F38" s="67" t="s">
        <v>5360</v>
      </c>
      <c r="G38" s="67" t="s">
        <v>5361</v>
      </c>
      <c r="H38" s="67" t="s">
        <v>5362</v>
      </c>
    </row>
    <row r="39" ht="15.75" customHeight="1">
      <c r="A39" s="25" t="s">
        <v>293</v>
      </c>
      <c r="B39" s="25" t="s">
        <v>5472</v>
      </c>
      <c r="C39" s="25" t="s">
        <v>5473</v>
      </c>
      <c r="D39" s="25" t="s">
        <v>5474</v>
      </c>
      <c r="E39" s="25" t="s">
        <v>4705</v>
      </c>
      <c r="F39" s="25" t="s">
        <v>5355</v>
      </c>
      <c r="G39" s="25" t="s">
        <v>5361</v>
      </c>
      <c r="H39" s="25" t="s">
        <v>5362</v>
      </c>
    </row>
    <row r="40" ht="15.75" customHeight="1">
      <c r="A40" s="67" t="s">
        <v>570</v>
      </c>
      <c r="B40" s="67" t="s">
        <v>5475</v>
      </c>
      <c r="C40" s="67" t="s">
        <v>5476</v>
      </c>
      <c r="D40" s="67" t="s">
        <v>5477</v>
      </c>
      <c r="E40" s="67" t="s">
        <v>3934</v>
      </c>
      <c r="F40" s="67" t="s">
        <v>5355</v>
      </c>
      <c r="G40" s="67" t="s">
        <v>5361</v>
      </c>
      <c r="H40" s="67" t="s">
        <v>5362</v>
      </c>
    </row>
    <row r="41" ht="15.75" customHeight="1">
      <c r="A41" s="25" t="s">
        <v>87</v>
      </c>
      <c r="B41" s="25" t="s">
        <v>5478</v>
      </c>
      <c r="C41" s="25" t="s">
        <v>5479</v>
      </c>
      <c r="D41" s="25" t="s">
        <v>5480</v>
      </c>
      <c r="E41" s="25" t="s">
        <v>4020</v>
      </c>
      <c r="F41" s="25" t="s">
        <v>4820</v>
      </c>
      <c r="G41" s="25" t="s">
        <v>5361</v>
      </c>
      <c r="H41" s="25" t="s">
        <v>5362</v>
      </c>
    </row>
    <row r="42" ht="15.75" customHeight="1">
      <c r="A42" s="67" t="s">
        <v>733</v>
      </c>
      <c r="B42" s="67" t="s">
        <v>5481</v>
      </c>
      <c r="C42" s="67" t="s">
        <v>5482</v>
      </c>
      <c r="D42" s="67" t="s">
        <v>5483</v>
      </c>
      <c r="E42" s="67" t="s">
        <v>3849</v>
      </c>
      <c r="F42" s="67" t="s">
        <v>4820</v>
      </c>
      <c r="G42" s="67" t="s">
        <v>5361</v>
      </c>
      <c r="H42" s="67" t="s">
        <v>5362</v>
      </c>
    </row>
    <row r="43" ht="15.75" customHeight="1">
      <c r="A43" s="25" t="s">
        <v>853</v>
      </c>
      <c r="B43" s="25" t="s">
        <v>5484</v>
      </c>
      <c r="C43" s="25" t="s">
        <v>5485</v>
      </c>
      <c r="D43" s="25" t="s">
        <v>5486</v>
      </c>
      <c r="E43" s="25" t="s">
        <v>4390</v>
      </c>
      <c r="F43" s="25" t="s">
        <v>5360</v>
      </c>
      <c r="G43" s="25" t="s">
        <v>5361</v>
      </c>
      <c r="H43" s="25" t="s">
        <v>5362</v>
      </c>
    </row>
    <row r="44" ht="15.75" customHeight="1">
      <c r="A44" s="67" t="s">
        <v>326</v>
      </c>
      <c r="B44" s="67" t="s">
        <v>5487</v>
      </c>
      <c r="C44" s="67" t="s">
        <v>5488</v>
      </c>
      <c r="D44" s="67" t="s">
        <v>5489</v>
      </c>
      <c r="E44" s="67" t="s">
        <v>4097</v>
      </c>
      <c r="F44" s="67" t="s">
        <v>5378</v>
      </c>
      <c r="G44" s="67" t="s">
        <v>5361</v>
      </c>
      <c r="H44" s="67" t="s">
        <v>5362</v>
      </c>
    </row>
    <row r="45" ht="15.75" customHeight="1">
      <c r="A45" s="25" t="s">
        <v>166</v>
      </c>
      <c r="B45" s="25" t="s">
        <v>5490</v>
      </c>
      <c r="C45" s="25" t="s">
        <v>5491</v>
      </c>
      <c r="D45" s="25" t="s">
        <v>5492</v>
      </c>
      <c r="E45" s="25" t="s">
        <v>4186</v>
      </c>
      <c r="F45" s="25" t="s">
        <v>5355</v>
      </c>
      <c r="G45" s="25" t="s">
        <v>1212</v>
      </c>
      <c r="H45" s="25" t="s">
        <v>5385</v>
      </c>
    </row>
    <row r="46" ht="15.75" customHeight="1">
      <c r="A46" s="67" t="s">
        <v>963</v>
      </c>
      <c r="B46" s="67" t="s">
        <v>5493</v>
      </c>
      <c r="C46" s="67" t="s">
        <v>5494</v>
      </c>
      <c r="D46" s="67" t="s">
        <v>5495</v>
      </c>
      <c r="E46" s="67" t="s">
        <v>4261</v>
      </c>
      <c r="F46" s="67" t="s">
        <v>5360</v>
      </c>
      <c r="G46" s="67" t="s">
        <v>5361</v>
      </c>
      <c r="H46" s="67" t="s">
        <v>5362</v>
      </c>
    </row>
    <row r="47" ht="15.75" customHeight="1">
      <c r="A47" s="25" t="s">
        <v>720</v>
      </c>
      <c r="B47" s="25" t="s">
        <v>5496</v>
      </c>
      <c r="C47" s="25" t="s">
        <v>5497</v>
      </c>
      <c r="D47" s="25" t="s">
        <v>5498</v>
      </c>
      <c r="E47" s="25" t="s">
        <v>4323</v>
      </c>
      <c r="F47" s="25" t="s">
        <v>5360</v>
      </c>
      <c r="G47" s="25" t="s">
        <v>5361</v>
      </c>
      <c r="H47" s="25" t="s">
        <v>5362</v>
      </c>
    </row>
    <row r="48" ht="15.75" customHeight="1">
      <c r="A48" s="67" t="s">
        <v>965</v>
      </c>
      <c r="B48" s="67" t="s">
        <v>5499</v>
      </c>
      <c r="C48" s="67" t="s">
        <v>5500</v>
      </c>
      <c r="D48" s="67" t="s">
        <v>5501</v>
      </c>
      <c r="E48" s="67" t="s">
        <v>4465</v>
      </c>
      <c r="F48" s="67" t="s">
        <v>5360</v>
      </c>
      <c r="G48" s="67" t="s">
        <v>5361</v>
      </c>
      <c r="H48" s="67" t="s">
        <v>5362</v>
      </c>
    </row>
    <row r="49" ht="15.75" customHeight="1">
      <c r="A49" s="25" t="s">
        <v>291</v>
      </c>
      <c r="B49" s="25" t="s">
        <v>5502</v>
      </c>
      <c r="C49" s="25" t="s">
        <v>5503</v>
      </c>
      <c r="D49" s="25" t="s">
        <v>5504</v>
      </c>
      <c r="E49" s="25" t="s">
        <v>4559</v>
      </c>
      <c r="F49" s="25" t="s">
        <v>5378</v>
      </c>
      <c r="G49" s="25" t="s">
        <v>5361</v>
      </c>
      <c r="H49" s="25" t="s">
        <v>5362</v>
      </c>
    </row>
    <row r="50" ht="15.75" customHeight="1">
      <c r="A50" s="67" t="s">
        <v>735</v>
      </c>
      <c r="B50" s="67" t="s">
        <v>5505</v>
      </c>
      <c r="C50" s="67" t="s">
        <v>5506</v>
      </c>
      <c r="D50" s="67" t="s">
        <v>5507</v>
      </c>
      <c r="E50" s="67" t="s">
        <v>4618</v>
      </c>
      <c r="F50" s="67" t="s">
        <v>5360</v>
      </c>
      <c r="G50" s="67" t="s">
        <v>5361</v>
      </c>
      <c r="H50" s="67" t="s">
        <v>5362</v>
      </c>
    </row>
    <row r="51" ht="15.75" customHeight="1">
      <c r="A51" s="25" t="s">
        <v>950</v>
      </c>
      <c r="B51" s="25" t="s">
        <v>5508</v>
      </c>
      <c r="C51" s="25" t="s">
        <v>5509</v>
      </c>
      <c r="D51" s="25" t="s">
        <v>5510</v>
      </c>
      <c r="E51" s="25" t="s">
        <v>4705</v>
      </c>
      <c r="F51" s="25" t="s">
        <v>4820</v>
      </c>
      <c r="G51" s="25" t="s">
        <v>5361</v>
      </c>
      <c r="H51" s="25" t="s">
        <v>5362</v>
      </c>
    </row>
    <row r="52" ht="15.75" customHeight="1">
      <c r="A52" s="67" t="s">
        <v>859</v>
      </c>
      <c r="B52" s="67" t="s">
        <v>5511</v>
      </c>
      <c r="C52" s="67" t="s">
        <v>5512</v>
      </c>
      <c r="D52" s="67" t="s">
        <v>5513</v>
      </c>
      <c r="E52" s="67" t="s">
        <v>3934</v>
      </c>
      <c r="F52" s="67" t="s">
        <v>5360</v>
      </c>
      <c r="G52" s="67" t="s">
        <v>5361</v>
      </c>
      <c r="H52" s="67" t="s">
        <v>5362</v>
      </c>
    </row>
    <row r="53" ht="15.75" customHeight="1">
      <c r="A53" s="25" t="s">
        <v>882</v>
      </c>
      <c r="B53" s="25" t="s">
        <v>5514</v>
      </c>
      <c r="C53" s="25" t="s">
        <v>5515</v>
      </c>
      <c r="D53" s="25" t="s">
        <v>5516</v>
      </c>
      <c r="E53" s="25" t="s">
        <v>4020</v>
      </c>
      <c r="F53" s="25" t="s">
        <v>5378</v>
      </c>
      <c r="G53" s="25" t="s">
        <v>5361</v>
      </c>
      <c r="H53" s="25" t="s">
        <v>5362</v>
      </c>
    </row>
    <row r="54" ht="15.75" customHeight="1">
      <c r="A54" s="67" t="s">
        <v>297</v>
      </c>
      <c r="B54" s="67" t="s">
        <v>5517</v>
      </c>
      <c r="C54" s="67" t="s">
        <v>5518</v>
      </c>
      <c r="D54" s="67" t="s">
        <v>5519</v>
      </c>
      <c r="E54" s="67" t="s">
        <v>3849</v>
      </c>
      <c r="F54" s="67" t="s">
        <v>5360</v>
      </c>
      <c r="G54" s="67" t="s">
        <v>5361</v>
      </c>
      <c r="H54" s="67" t="s">
        <v>5362</v>
      </c>
    </row>
    <row r="55" ht="15.75" customHeight="1">
      <c r="A55" s="25" t="s">
        <v>729</v>
      </c>
      <c r="B55" s="25" t="s">
        <v>5520</v>
      </c>
      <c r="C55" s="25" t="s">
        <v>5521</v>
      </c>
      <c r="D55" s="25" t="s">
        <v>5522</v>
      </c>
      <c r="E55" s="25" t="s">
        <v>4390</v>
      </c>
      <c r="F55" s="25" t="s">
        <v>5360</v>
      </c>
      <c r="G55" s="25" t="s">
        <v>5361</v>
      </c>
      <c r="H55" s="25" t="s">
        <v>5362</v>
      </c>
    </row>
    <row r="56" ht="15.75" customHeight="1">
      <c r="A56" s="67" t="s">
        <v>170</v>
      </c>
      <c r="B56" s="67" t="s">
        <v>5523</v>
      </c>
      <c r="C56" s="67" t="s">
        <v>5524</v>
      </c>
      <c r="D56" s="67" t="s">
        <v>5525</v>
      </c>
      <c r="E56" s="67" t="s">
        <v>4097</v>
      </c>
      <c r="F56" s="67" t="s">
        <v>5355</v>
      </c>
      <c r="G56" s="67" t="s">
        <v>1212</v>
      </c>
      <c r="H56" s="67" t="s">
        <v>5356</v>
      </c>
    </row>
    <row r="57" ht="15.75" customHeight="1">
      <c r="A57" s="25" t="s">
        <v>303</v>
      </c>
      <c r="B57" s="25" t="s">
        <v>5526</v>
      </c>
      <c r="C57" s="25" t="s">
        <v>5527</v>
      </c>
      <c r="D57" s="25" t="s">
        <v>5528</v>
      </c>
      <c r="E57" s="25" t="s">
        <v>4186</v>
      </c>
      <c r="F57" s="25" t="s">
        <v>4820</v>
      </c>
      <c r="G57" s="25" t="s">
        <v>5361</v>
      </c>
      <c r="H57" s="25" t="s">
        <v>5362</v>
      </c>
    </row>
    <row r="58" ht="15.75" customHeight="1">
      <c r="A58" s="67" t="s">
        <v>444</v>
      </c>
      <c r="B58" s="67" t="s">
        <v>5529</v>
      </c>
      <c r="C58" s="67" t="s">
        <v>5530</v>
      </c>
      <c r="D58" s="67" t="s">
        <v>5531</v>
      </c>
      <c r="E58" s="67" t="s">
        <v>4261</v>
      </c>
      <c r="F58" s="67" t="s">
        <v>5355</v>
      </c>
      <c r="G58" s="67" t="s">
        <v>5361</v>
      </c>
      <c r="H58" s="67" t="s">
        <v>5362</v>
      </c>
    </row>
    <row r="59" ht="15.75" customHeight="1">
      <c r="A59" s="25" t="s">
        <v>469</v>
      </c>
      <c r="B59" s="25" t="s">
        <v>5532</v>
      </c>
      <c r="C59" s="25" t="s">
        <v>5533</v>
      </c>
      <c r="D59" s="25" t="s">
        <v>5534</v>
      </c>
      <c r="E59" s="25" t="s">
        <v>4323</v>
      </c>
      <c r="F59" s="25" t="s">
        <v>5378</v>
      </c>
      <c r="G59" s="25" t="s">
        <v>5361</v>
      </c>
      <c r="H59" s="25" t="s">
        <v>5362</v>
      </c>
    </row>
    <row r="60" ht="15.75" customHeight="1">
      <c r="A60" s="67" t="s">
        <v>961</v>
      </c>
      <c r="B60" s="67" t="s">
        <v>5535</v>
      </c>
      <c r="C60" s="67" t="s">
        <v>5536</v>
      </c>
      <c r="D60" s="67" t="s">
        <v>5537</v>
      </c>
      <c r="E60" s="67" t="s">
        <v>4465</v>
      </c>
      <c r="F60" s="67" t="s">
        <v>5378</v>
      </c>
      <c r="G60" s="67" t="s">
        <v>5361</v>
      </c>
      <c r="H60" s="67" t="s">
        <v>5362</v>
      </c>
    </row>
    <row r="61" ht="15.75" customHeight="1">
      <c r="A61" s="25" t="s">
        <v>77</v>
      </c>
      <c r="B61" s="25" t="s">
        <v>5538</v>
      </c>
      <c r="C61" s="25" t="s">
        <v>5539</v>
      </c>
      <c r="D61" s="25" t="s">
        <v>5540</v>
      </c>
      <c r="E61" s="25" t="s">
        <v>4559</v>
      </c>
      <c r="F61" s="25" t="s">
        <v>5360</v>
      </c>
      <c r="G61" s="25" t="s">
        <v>5361</v>
      </c>
      <c r="H61" s="25" t="s">
        <v>5362</v>
      </c>
    </row>
    <row r="62" ht="15.75" customHeight="1">
      <c r="A62" s="67" t="s">
        <v>855</v>
      </c>
      <c r="B62" s="67" t="s">
        <v>5541</v>
      </c>
      <c r="C62" s="67" t="s">
        <v>5542</v>
      </c>
      <c r="D62" s="67" t="s">
        <v>5543</v>
      </c>
      <c r="E62" s="67" t="s">
        <v>4618</v>
      </c>
      <c r="F62" s="67" t="s">
        <v>4820</v>
      </c>
      <c r="G62" s="67" t="s">
        <v>5361</v>
      </c>
      <c r="H62" s="67" t="s">
        <v>5362</v>
      </c>
    </row>
    <row r="63" ht="15.75" customHeight="1">
      <c r="A63" s="25" t="s">
        <v>1131</v>
      </c>
      <c r="B63" s="25" t="s">
        <v>5544</v>
      </c>
      <c r="C63" s="25" t="s">
        <v>5545</v>
      </c>
      <c r="D63" s="25" t="s">
        <v>5546</v>
      </c>
      <c r="E63" s="25" t="s">
        <v>4705</v>
      </c>
      <c r="F63" s="25" t="s">
        <v>5360</v>
      </c>
      <c r="G63" s="25" t="s">
        <v>5361</v>
      </c>
      <c r="H63" s="25" t="s">
        <v>5362</v>
      </c>
    </row>
    <row r="64" ht="15.75" customHeight="1">
      <c r="A64" s="67" t="s">
        <v>83</v>
      </c>
      <c r="B64" s="67" t="s">
        <v>5547</v>
      </c>
      <c r="C64" s="67" t="s">
        <v>5548</v>
      </c>
      <c r="D64" s="67" t="s">
        <v>5549</v>
      </c>
      <c r="E64" s="67" t="s">
        <v>3934</v>
      </c>
      <c r="F64" s="67" t="s">
        <v>5360</v>
      </c>
      <c r="G64" s="67" t="s">
        <v>1212</v>
      </c>
      <c r="H64" s="67" t="s">
        <v>5438</v>
      </c>
    </row>
    <row r="65" ht="15.75" customHeight="1">
      <c r="A65" s="25" t="s">
        <v>73</v>
      </c>
      <c r="B65" s="25" t="s">
        <v>5550</v>
      </c>
      <c r="C65" s="25" t="s">
        <v>5551</v>
      </c>
      <c r="D65" s="25" t="s">
        <v>5552</v>
      </c>
      <c r="E65" s="25" t="s">
        <v>4020</v>
      </c>
      <c r="F65" s="25" t="s">
        <v>5355</v>
      </c>
      <c r="G65" s="25" t="s">
        <v>5361</v>
      </c>
      <c r="H65" s="25" t="s">
        <v>5362</v>
      </c>
    </row>
    <row r="66" ht="15.75" customHeight="1">
      <c r="A66" s="67" t="s">
        <v>1079</v>
      </c>
      <c r="B66" s="67" t="s">
        <v>5553</v>
      </c>
      <c r="C66" s="67" t="s">
        <v>5554</v>
      </c>
      <c r="D66" s="67" t="s">
        <v>5555</v>
      </c>
      <c r="E66" s="67" t="s">
        <v>3849</v>
      </c>
      <c r="F66" s="67" t="s">
        <v>5355</v>
      </c>
      <c r="G66" s="67" t="s">
        <v>5361</v>
      </c>
      <c r="H66" s="67" t="s">
        <v>5362</v>
      </c>
    </row>
    <row r="67" ht="15.75" customHeight="1">
      <c r="A67" s="25" t="s">
        <v>559</v>
      </c>
      <c r="B67" s="25" t="s">
        <v>5556</v>
      </c>
      <c r="C67" s="25" t="s">
        <v>5557</v>
      </c>
      <c r="D67" s="25" t="s">
        <v>5558</v>
      </c>
      <c r="E67" s="25" t="s">
        <v>4390</v>
      </c>
      <c r="F67" s="25" t="s">
        <v>4820</v>
      </c>
      <c r="G67" s="25" t="s">
        <v>5361</v>
      </c>
      <c r="H67" s="25" t="s">
        <v>5362</v>
      </c>
    </row>
    <row r="68" ht="15.75" customHeight="1">
      <c r="A68" s="67" t="s">
        <v>1077</v>
      </c>
      <c r="B68" s="67" t="s">
        <v>5559</v>
      </c>
      <c r="C68" s="67" t="s">
        <v>5560</v>
      </c>
      <c r="D68" s="67" t="s">
        <v>5561</v>
      </c>
      <c r="E68" s="67" t="s">
        <v>4097</v>
      </c>
      <c r="F68" s="67" t="s">
        <v>5378</v>
      </c>
      <c r="G68" s="67" t="s">
        <v>5361</v>
      </c>
      <c r="H68" s="67" t="s">
        <v>5362</v>
      </c>
    </row>
    <row r="69" ht="15.75" customHeight="1">
      <c r="A69" s="25" t="s">
        <v>857</v>
      </c>
      <c r="B69" s="25" t="s">
        <v>5562</v>
      </c>
      <c r="C69" s="25" t="s">
        <v>5563</v>
      </c>
      <c r="D69" s="25" t="s">
        <v>5564</v>
      </c>
      <c r="E69" s="25" t="s">
        <v>4186</v>
      </c>
      <c r="F69" s="25" t="s">
        <v>4820</v>
      </c>
      <c r="G69" s="25" t="s">
        <v>5361</v>
      </c>
      <c r="H69" s="25" t="s">
        <v>5362</v>
      </c>
    </row>
    <row r="70" ht="15.75" customHeight="1">
      <c r="A70" s="67" t="s">
        <v>320</v>
      </c>
      <c r="B70" s="67" t="s">
        <v>5565</v>
      </c>
      <c r="C70" s="67" t="s">
        <v>5566</v>
      </c>
      <c r="D70" s="67" t="s">
        <v>5567</v>
      </c>
      <c r="E70" s="67" t="s">
        <v>4261</v>
      </c>
      <c r="F70" s="67" t="s">
        <v>4820</v>
      </c>
      <c r="G70" s="67" t="s">
        <v>5361</v>
      </c>
      <c r="H70" s="67" t="s">
        <v>5362</v>
      </c>
    </row>
    <row r="71" ht="15.75" customHeight="1">
      <c r="A71" s="25" t="s">
        <v>1139</v>
      </c>
      <c r="B71" s="25" t="s">
        <v>5568</v>
      </c>
      <c r="C71" s="25" t="s">
        <v>5569</v>
      </c>
      <c r="D71" s="25" t="s">
        <v>5570</v>
      </c>
      <c r="E71" s="25" t="s">
        <v>4323</v>
      </c>
      <c r="F71" s="25" t="s">
        <v>4820</v>
      </c>
      <c r="G71" s="25" t="s">
        <v>5361</v>
      </c>
      <c r="H71" s="25" t="s">
        <v>5362</v>
      </c>
    </row>
    <row r="72" ht="15.75" customHeight="1">
      <c r="A72" s="67" t="s">
        <v>544</v>
      </c>
      <c r="B72" s="67" t="s">
        <v>5571</v>
      </c>
      <c r="C72" s="67" t="s">
        <v>5572</v>
      </c>
      <c r="D72" s="67" t="s">
        <v>5573</v>
      </c>
      <c r="E72" s="67" t="s">
        <v>4465</v>
      </c>
      <c r="F72" s="67" t="s">
        <v>5355</v>
      </c>
      <c r="G72" s="67" t="s">
        <v>5361</v>
      </c>
      <c r="H72" s="67" t="s">
        <v>5362</v>
      </c>
    </row>
    <row r="73" ht="15.75" customHeight="1">
      <c r="A73" s="25" t="s">
        <v>164</v>
      </c>
      <c r="B73" s="25" t="s">
        <v>5574</v>
      </c>
      <c r="C73" s="25" t="s">
        <v>5575</v>
      </c>
      <c r="D73" s="25" t="s">
        <v>5576</v>
      </c>
      <c r="E73" s="25" t="s">
        <v>4559</v>
      </c>
      <c r="F73" s="25" t="s">
        <v>5355</v>
      </c>
      <c r="G73" s="25" t="s">
        <v>5361</v>
      </c>
      <c r="H73" s="25" t="s">
        <v>5362</v>
      </c>
    </row>
    <row r="74" ht="15.75" customHeight="1">
      <c r="A74" s="67" t="s">
        <v>953</v>
      </c>
      <c r="B74" s="67" t="s">
        <v>5577</v>
      </c>
      <c r="C74" s="67" t="s">
        <v>5578</v>
      </c>
      <c r="D74" s="67" t="s">
        <v>5579</v>
      </c>
      <c r="E74" s="67" t="s">
        <v>4618</v>
      </c>
      <c r="F74" s="67" t="s">
        <v>5360</v>
      </c>
      <c r="G74" s="67" t="s">
        <v>1212</v>
      </c>
      <c r="H74" s="67" t="s">
        <v>5385</v>
      </c>
    </row>
    <row r="75" ht="15.75" customHeight="1">
      <c r="A75" s="25" t="s">
        <v>312</v>
      </c>
      <c r="B75" s="25" t="s">
        <v>5580</v>
      </c>
      <c r="C75" s="25" t="s">
        <v>5581</v>
      </c>
      <c r="D75" s="25" t="s">
        <v>5582</v>
      </c>
      <c r="E75" s="25" t="s">
        <v>4705</v>
      </c>
      <c r="F75" s="25" t="s">
        <v>5360</v>
      </c>
      <c r="G75" s="25" t="s">
        <v>5361</v>
      </c>
      <c r="H75" s="25" t="s">
        <v>5362</v>
      </c>
    </row>
    <row r="76" ht="15.75" customHeight="1">
      <c r="A76" s="67" t="s">
        <v>80</v>
      </c>
      <c r="B76" s="67" t="s">
        <v>5583</v>
      </c>
      <c r="C76" s="67" t="s">
        <v>5584</v>
      </c>
      <c r="D76" s="67" t="s">
        <v>5585</v>
      </c>
      <c r="E76" s="67" t="s">
        <v>3934</v>
      </c>
      <c r="F76" s="67" t="s">
        <v>5378</v>
      </c>
      <c r="G76" s="67" t="s">
        <v>1212</v>
      </c>
      <c r="H76" s="67" t="s">
        <v>5438</v>
      </c>
    </row>
    <row r="77" ht="15.75" customHeight="1">
      <c r="A77" s="25" t="s">
        <v>1136</v>
      </c>
      <c r="B77" s="25" t="s">
        <v>5586</v>
      </c>
      <c r="C77" s="25" t="s">
        <v>5587</v>
      </c>
      <c r="D77" s="25" t="s">
        <v>5588</v>
      </c>
      <c r="E77" s="25" t="s">
        <v>4020</v>
      </c>
      <c r="F77" s="25" t="s">
        <v>5378</v>
      </c>
      <c r="G77" s="25" t="s">
        <v>5361</v>
      </c>
      <c r="H77" s="25" t="s">
        <v>5362</v>
      </c>
    </row>
    <row r="78" ht="15.75" customHeight="1">
      <c r="A78" s="67" t="s">
        <v>295</v>
      </c>
      <c r="B78" s="67" t="s">
        <v>5589</v>
      </c>
      <c r="C78" s="67" t="s">
        <v>5590</v>
      </c>
      <c r="D78" s="67" t="s">
        <v>5591</v>
      </c>
      <c r="E78" s="67" t="s">
        <v>3849</v>
      </c>
      <c r="F78" s="67" t="s">
        <v>5355</v>
      </c>
      <c r="G78" s="67" t="s">
        <v>5361</v>
      </c>
      <c r="H78" s="67" t="s">
        <v>5362</v>
      </c>
    </row>
    <row r="79" ht="15.75" customHeight="1">
      <c r="A79" s="25" t="s">
        <v>70</v>
      </c>
      <c r="B79" s="25" t="s">
        <v>5592</v>
      </c>
      <c r="C79" s="25" t="s">
        <v>5593</v>
      </c>
      <c r="D79" s="25" t="s">
        <v>5594</v>
      </c>
      <c r="E79" s="25" t="s">
        <v>4390</v>
      </c>
      <c r="F79" s="25" t="s">
        <v>4820</v>
      </c>
      <c r="G79" s="25" t="s">
        <v>5361</v>
      </c>
      <c r="H79" s="25" t="s">
        <v>5362</v>
      </c>
    </row>
    <row r="80" ht="15.75" customHeight="1">
      <c r="A80" s="67" t="s">
        <v>550</v>
      </c>
      <c r="B80" s="67" t="s">
        <v>5595</v>
      </c>
      <c r="C80" s="67" t="s">
        <v>5596</v>
      </c>
      <c r="D80" s="67" t="s">
        <v>5597</v>
      </c>
      <c r="E80" s="67" t="s">
        <v>4097</v>
      </c>
      <c r="F80" s="67" t="s">
        <v>4820</v>
      </c>
      <c r="G80" s="67" t="s">
        <v>1212</v>
      </c>
      <c r="H80" s="67" t="s">
        <v>5356</v>
      </c>
    </row>
    <row r="81" ht="15.75" customHeight="1">
      <c r="A81" s="25" t="s">
        <v>301</v>
      </c>
      <c r="B81" s="25" t="s">
        <v>5598</v>
      </c>
      <c r="C81" s="25" t="s">
        <v>5599</v>
      </c>
      <c r="D81" s="25" t="s">
        <v>5600</v>
      </c>
      <c r="E81" s="25" t="s">
        <v>4186</v>
      </c>
      <c r="F81" s="25" t="s">
        <v>5355</v>
      </c>
      <c r="G81" s="25" t="s">
        <v>5361</v>
      </c>
      <c r="H81" s="25" t="s">
        <v>5362</v>
      </c>
    </row>
    <row r="82" ht="15.75" customHeight="1">
      <c r="A82" s="67" t="s">
        <v>168</v>
      </c>
      <c r="B82" s="67" t="s">
        <v>5601</v>
      </c>
      <c r="C82" s="67" t="s">
        <v>5602</v>
      </c>
      <c r="D82" s="67" t="s">
        <v>5603</v>
      </c>
      <c r="E82" s="67" t="s">
        <v>4261</v>
      </c>
      <c r="F82" s="67" t="s">
        <v>5355</v>
      </c>
      <c r="G82" s="67" t="s">
        <v>5361</v>
      </c>
      <c r="H82" s="67" t="s">
        <v>5362</v>
      </c>
    </row>
    <row r="83" ht="15.75" customHeight="1">
      <c r="A83" s="25" t="s">
        <v>702</v>
      </c>
      <c r="B83" s="25" t="s">
        <v>5604</v>
      </c>
      <c r="C83" s="25" t="s">
        <v>5605</v>
      </c>
      <c r="D83" s="25" t="s">
        <v>5606</v>
      </c>
      <c r="E83" s="25" t="s">
        <v>4323</v>
      </c>
      <c r="F83" s="25" t="s">
        <v>4820</v>
      </c>
      <c r="G83" s="25" t="s">
        <v>5361</v>
      </c>
      <c r="H83" s="25" t="s">
        <v>5362</v>
      </c>
    </row>
    <row r="84" ht="15.75" customHeight="1">
      <c r="A84" s="67" t="s">
        <v>968</v>
      </c>
      <c r="B84" s="67" t="s">
        <v>5607</v>
      </c>
      <c r="C84" s="67" t="s">
        <v>5608</v>
      </c>
      <c r="D84" s="67" t="s">
        <v>5609</v>
      </c>
      <c r="E84" s="67" t="s">
        <v>4465</v>
      </c>
      <c r="F84" s="67" t="s">
        <v>5360</v>
      </c>
      <c r="G84" s="67" t="s">
        <v>5361</v>
      </c>
      <c r="H84" s="67" t="s">
        <v>5362</v>
      </c>
    </row>
    <row r="85" ht="15.75" customHeight="1">
      <c r="A85" s="25" t="s">
        <v>184</v>
      </c>
      <c r="B85" s="25" t="s">
        <v>5610</v>
      </c>
      <c r="C85" s="25" t="s">
        <v>5611</v>
      </c>
      <c r="D85" s="25" t="s">
        <v>5612</v>
      </c>
      <c r="E85" s="25" t="s">
        <v>4559</v>
      </c>
      <c r="F85" s="25" t="s">
        <v>5360</v>
      </c>
      <c r="G85" s="25" t="s">
        <v>5361</v>
      </c>
      <c r="H85" s="25" t="s">
        <v>5362</v>
      </c>
    </row>
    <row r="86" ht="15.75" customHeight="1">
      <c r="A86" s="67" t="s">
        <v>1154</v>
      </c>
      <c r="B86" s="67" t="s">
        <v>5613</v>
      </c>
      <c r="C86" s="67" t="s">
        <v>5614</v>
      </c>
      <c r="D86" s="67" t="s">
        <v>5615</v>
      </c>
      <c r="E86" s="67" t="s">
        <v>4618</v>
      </c>
      <c r="F86" s="67" t="s">
        <v>4820</v>
      </c>
      <c r="G86" s="67" t="s">
        <v>5361</v>
      </c>
      <c r="H86" s="67" t="s">
        <v>5362</v>
      </c>
    </row>
    <row r="87" ht="15.75" customHeight="1">
      <c r="A87" s="25" t="s">
        <v>984</v>
      </c>
      <c r="B87" s="25" t="s">
        <v>5616</v>
      </c>
      <c r="C87" s="25" t="s">
        <v>5617</v>
      </c>
      <c r="D87" s="25" t="s">
        <v>5618</v>
      </c>
      <c r="E87" s="25" t="s">
        <v>4705</v>
      </c>
      <c r="F87" s="25" t="s">
        <v>4820</v>
      </c>
      <c r="G87" s="25" t="s">
        <v>5361</v>
      </c>
      <c r="H87" s="25" t="s">
        <v>5362</v>
      </c>
    </row>
    <row r="88" ht="15.75" customHeight="1">
      <c r="A88" s="67" t="s">
        <v>1126</v>
      </c>
      <c r="B88" s="67" t="s">
        <v>5619</v>
      </c>
      <c r="C88" s="67" t="s">
        <v>5620</v>
      </c>
      <c r="D88" s="67" t="s">
        <v>5621</v>
      </c>
      <c r="E88" s="67" t="s">
        <v>3934</v>
      </c>
      <c r="F88" s="67" t="s">
        <v>5378</v>
      </c>
      <c r="G88" s="67" t="s">
        <v>5361</v>
      </c>
      <c r="H88" s="67" t="s">
        <v>5362</v>
      </c>
    </row>
    <row r="89" ht="15.75" customHeight="1">
      <c r="A89" s="25" t="s">
        <v>974</v>
      </c>
      <c r="B89" s="25" t="s">
        <v>5622</v>
      </c>
      <c r="C89" s="25" t="s">
        <v>5623</v>
      </c>
      <c r="D89" s="25" t="s">
        <v>5624</v>
      </c>
      <c r="E89" s="25" t="s">
        <v>4020</v>
      </c>
      <c r="F89" s="25" t="s">
        <v>5360</v>
      </c>
      <c r="G89" s="25" t="s">
        <v>1212</v>
      </c>
      <c r="H89" s="25" t="s">
        <v>5438</v>
      </c>
    </row>
    <row r="90" ht="15.75" customHeight="1">
      <c r="A90" s="67" t="s">
        <v>698</v>
      </c>
      <c r="B90" s="67" t="s">
        <v>5625</v>
      </c>
      <c r="C90" s="67" t="s">
        <v>5626</v>
      </c>
      <c r="D90" s="67" t="s">
        <v>5627</v>
      </c>
      <c r="E90" s="67" t="s">
        <v>3849</v>
      </c>
      <c r="F90" s="67" t="s">
        <v>5360</v>
      </c>
      <c r="G90" s="67" t="s">
        <v>5361</v>
      </c>
      <c r="H90" s="67" t="s">
        <v>5362</v>
      </c>
    </row>
    <row r="91" ht="15.75" customHeight="1">
      <c r="A91" s="25" t="s">
        <v>714</v>
      </c>
      <c r="B91" s="25" t="s">
        <v>5628</v>
      </c>
      <c r="C91" s="25" t="s">
        <v>5629</v>
      </c>
      <c r="D91" s="25" t="s">
        <v>5630</v>
      </c>
      <c r="E91" s="25" t="s">
        <v>4390</v>
      </c>
      <c r="F91" s="25" t="s">
        <v>5360</v>
      </c>
      <c r="G91" s="25" t="s">
        <v>5361</v>
      </c>
      <c r="H91" s="25" t="s">
        <v>5362</v>
      </c>
    </row>
    <row r="92" ht="15.75" customHeight="1">
      <c r="A92" s="67" t="s">
        <v>553</v>
      </c>
      <c r="B92" s="67" t="s">
        <v>5631</v>
      </c>
      <c r="C92" s="67" t="s">
        <v>5632</v>
      </c>
      <c r="D92" s="67" t="s">
        <v>5633</v>
      </c>
      <c r="E92" s="67" t="s">
        <v>4097</v>
      </c>
      <c r="F92" s="67" t="s">
        <v>4820</v>
      </c>
      <c r="G92" s="67" t="s">
        <v>5361</v>
      </c>
      <c r="H92" s="67" t="s">
        <v>5362</v>
      </c>
    </row>
    <row r="93" ht="15.75" customHeight="1">
      <c r="A93" s="25" t="s">
        <v>866</v>
      </c>
      <c r="B93" s="25" t="s">
        <v>5634</v>
      </c>
      <c r="C93" s="25" t="s">
        <v>5635</v>
      </c>
      <c r="D93" s="25" t="s">
        <v>5636</v>
      </c>
      <c r="E93" s="25" t="s">
        <v>4186</v>
      </c>
      <c r="F93" s="25" t="s">
        <v>5360</v>
      </c>
      <c r="G93" s="25" t="s">
        <v>5361</v>
      </c>
      <c r="H93" s="25" t="s">
        <v>5362</v>
      </c>
    </row>
    <row r="94" ht="15.75" customHeight="1">
      <c r="A94" s="67" t="s">
        <v>198</v>
      </c>
      <c r="B94" s="67" t="s">
        <v>5637</v>
      </c>
      <c r="C94" s="67" t="s">
        <v>5638</v>
      </c>
      <c r="D94" s="67" t="s">
        <v>5639</v>
      </c>
      <c r="E94" s="67" t="s">
        <v>4261</v>
      </c>
      <c r="F94" s="67" t="s">
        <v>5360</v>
      </c>
      <c r="G94" s="67" t="s">
        <v>5361</v>
      </c>
      <c r="H94" s="67" t="s">
        <v>5362</v>
      </c>
    </row>
    <row r="95" ht="15.75" customHeight="1">
      <c r="A95" s="25" t="s">
        <v>104</v>
      </c>
      <c r="B95" s="25" t="s">
        <v>5640</v>
      </c>
      <c r="C95" s="25" t="s">
        <v>5641</v>
      </c>
      <c r="D95" s="25" t="s">
        <v>5642</v>
      </c>
      <c r="E95" s="25" t="s">
        <v>4323</v>
      </c>
      <c r="F95" s="25" t="s">
        <v>5360</v>
      </c>
      <c r="G95" s="25" t="s">
        <v>5361</v>
      </c>
      <c r="H95" s="25" t="s">
        <v>5362</v>
      </c>
    </row>
    <row r="96" ht="15.75" customHeight="1">
      <c r="A96" s="67" t="s">
        <v>864</v>
      </c>
      <c r="B96" s="67" t="s">
        <v>5643</v>
      </c>
      <c r="C96" s="67" t="s">
        <v>5644</v>
      </c>
      <c r="D96" s="67" t="s">
        <v>5645</v>
      </c>
      <c r="E96" s="67" t="s">
        <v>4465</v>
      </c>
      <c r="F96" s="67" t="s">
        <v>5355</v>
      </c>
      <c r="G96" s="67" t="s">
        <v>5361</v>
      </c>
      <c r="H96" s="67" t="s">
        <v>5362</v>
      </c>
    </row>
    <row r="97" ht="15.75" customHeight="1">
      <c r="A97" s="25" t="s">
        <v>114</v>
      </c>
      <c r="B97" s="25" t="s">
        <v>5646</v>
      </c>
      <c r="C97" s="25" t="s">
        <v>5647</v>
      </c>
      <c r="D97" s="25" t="s">
        <v>5648</v>
      </c>
      <c r="E97" s="25" t="s">
        <v>4559</v>
      </c>
      <c r="F97" s="25" t="s">
        <v>4820</v>
      </c>
      <c r="G97" s="25" t="s">
        <v>5361</v>
      </c>
      <c r="H97" s="25" t="s">
        <v>5362</v>
      </c>
    </row>
    <row r="98" ht="15.75" customHeight="1">
      <c r="A98" s="67" t="s">
        <v>226</v>
      </c>
      <c r="B98" s="67" t="s">
        <v>5649</v>
      </c>
      <c r="C98" s="67" t="s">
        <v>5650</v>
      </c>
      <c r="D98" s="67" t="s">
        <v>5651</v>
      </c>
      <c r="E98" s="67" t="s">
        <v>4618</v>
      </c>
      <c r="F98" s="67" t="s">
        <v>5360</v>
      </c>
      <c r="G98" s="67" t="s">
        <v>5361</v>
      </c>
      <c r="H98" s="67" t="s">
        <v>5362</v>
      </c>
    </row>
    <row r="99" ht="15.75" customHeight="1">
      <c r="A99" s="25" t="s">
        <v>1075</v>
      </c>
      <c r="B99" s="25" t="s">
        <v>5652</v>
      </c>
      <c r="C99" s="25" t="s">
        <v>5653</v>
      </c>
      <c r="D99" s="25" t="s">
        <v>5654</v>
      </c>
      <c r="E99" s="25" t="s">
        <v>4705</v>
      </c>
      <c r="F99" s="25" t="s">
        <v>4820</v>
      </c>
      <c r="G99" s="25" t="s">
        <v>5361</v>
      </c>
      <c r="H99" s="25" t="s">
        <v>5362</v>
      </c>
    </row>
    <row r="100" ht="15.75" customHeight="1">
      <c r="A100" s="67" t="s">
        <v>181</v>
      </c>
      <c r="B100" s="67" t="s">
        <v>5655</v>
      </c>
      <c r="C100" s="67" t="s">
        <v>5656</v>
      </c>
      <c r="D100" s="67" t="s">
        <v>5657</v>
      </c>
      <c r="E100" s="67" t="s">
        <v>3934</v>
      </c>
      <c r="F100" s="67" t="s">
        <v>5360</v>
      </c>
      <c r="G100" s="67" t="s">
        <v>5361</v>
      </c>
      <c r="H100" s="67" t="s">
        <v>5362</v>
      </c>
    </row>
    <row r="101" ht="15.75" customHeight="1">
      <c r="A101" s="25" t="s">
        <v>704</v>
      </c>
      <c r="B101" s="25" t="s">
        <v>5658</v>
      </c>
      <c r="C101" s="25" t="s">
        <v>5659</v>
      </c>
      <c r="D101" s="25" t="s">
        <v>5660</v>
      </c>
      <c r="E101" s="25" t="s">
        <v>4020</v>
      </c>
      <c r="F101" s="25" t="s">
        <v>5355</v>
      </c>
      <c r="G101" s="25" t="s">
        <v>5361</v>
      </c>
      <c r="H101" s="25" t="s">
        <v>5362</v>
      </c>
    </row>
    <row r="102" ht="15.75" customHeight="1">
      <c r="A102" s="67" t="s">
        <v>310</v>
      </c>
      <c r="B102" s="67" t="s">
        <v>5661</v>
      </c>
      <c r="C102" s="67" t="s">
        <v>5662</v>
      </c>
      <c r="D102" s="67" t="s">
        <v>5663</v>
      </c>
      <c r="E102" s="67" t="s">
        <v>3849</v>
      </c>
      <c r="F102" s="67" t="s">
        <v>5355</v>
      </c>
      <c r="G102" s="67" t="s">
        <v>5361</v>
      </c>
      <c r="H102" s="67" t="s">
        <v>5362</v>
      </c>
    </row>
    <row r="103" ht="15.75" customHeight="1">
      <c r="A103" s="25" t="s">
        <v>957</v>
      </c>
      <c r="B103" s="25" t="s">
        <v>5664</v>
      </c>
      <c r="C103" s="25" t="s">
        <v>5665</v>
      </c>
      <c r="D103" s="25" t="s">
        <v>5666</v>
      </c>
      <c r="E103" s="25" t="s">
        <v>4390</v>
      </c>
      <c r="F103" s="25" t="s">
        <v>5378</v>
      </c>
      <c r="G103" s="25" t="s">
        <v>5361</v>
      </c>
      <c r="H103" s="25" t="s">
        <v>5362</v>
      </c>
    </row>
    <row r="104" ht="15.75" customHeight="1">
      <c r="A104" s="67" t="s">
        <v>177</v>
      </c>
      <c r="B104" s="67" t="s">
        <v>5667</v>
      </c>
      <c r="C104" s="67" t="s">
        <v>5668</v>
      </c>
      <c r="D104" s="67" t="s">
        <v>5669</v>
      </c>
      <c r="E104" s="67" t="s">
        <v>4097</v>
      </c>
      <c r="F104" s="67" t="s">
        <v>5378</v>
      </c>
      <c r="G104" s="67" t="s">
        <v>5361</v>
      </c>
      <c r="H104" s="67" t="s">
        <v>5362</v>
      </c>
    </row>
    <row r="105" ht="15.75" customHeight="1">
      <c r="A105" s="25" t="s">
        <v>588</v>
      </c>
      <c r="B105" s="25" t="s">
        <v>5670</v>
      </c>
      <c r="C105" s="25" t="s">
        <v>5671</v>
      </c>
      <c r="D105" s="25" t="s">
        <v>5672</v>
      </c>
      <c r="E105" s="25" t="s">
        <v>4186</v>
      </c>
      <c r="F105" s="25" t="s">
        <v>5378</v>
      </c>
      <c r="G105" s="25" t="s">
        <v>1212</v>
      </c>
      <c r="H105" s="25" t="s">
        <v>5398</v>
      </c>
    </row>
    <row r="106" ht="15.75" customHeight="1">
      <c r="A106" s="67" t="s">
        <v>708</v>
      </c>
      <c r="B106" s="67" t="s">
        <v>5673</v>
      </c>
      <c r="C106" s="67" t="s">
        <v>5674</v>
      </c>
      <c r="D106" s="67" t="s">
        <v>5675</v>
      </c>
      <c r="E106" s="67" t="s">
        <v>4261</v>
      </c>
      <c r="F106" s="67" t="s">
        <v>5360</v>
      </c>
      <c r="G106" s="67" t="s">
        <v>5361</v>
      </c>
      <c r="H106" s="67" t="s">
        <v>5362</v>
      </c>
    </row>
    <row r="107" ht="15.75" customHeight="1">
      <c r="A107" s="25" t="s">
        <v>1039</v>
      </c>
      <c r="B107" s="25" t="s">
        <v>5676</v>
      </c>
      <c r="C107" s="25" t="s">
        <v>5677</v>
      </c>
      <c r="D107" s="25" t="s">
        <v>5678</v>
      </c>
      <c r="E107" s="25" t="s">
        <v>4323</v>
      </c>
      <c r="F107" s="25" t="s">
        <v>5360</v>
      </c>
      <c r="G107" s="25" t="s">
        <v>5361</v>
      </c>
      <c r="H107" s="25" t="s">
        <v>5362</v>
      </c>
    </row>
    <row r="108" ht="15.75" customHeight="1">
      <c r="A108" s="67" t="s">
        <v>448</v>
      </c>
      <c r="B108" s="67" t="s">
        <v>5679</v>
      </c>
      <c r="C108" s="67" t="s">
        <v>5680</v>
      </c>
      <c r="D108" s="67" t="s">
        <v>5681</v>
      </c>
      <c r="E108" s="67" t="s">
        <v>4465</v>
      </c>
      <c r="F108" s="67" t="s">
        <v>5360</v>
      </c>
      <c r="G108" s="67" t="s">
        <v>5361</v>
      </c>
      <c r="H108" s="67" t="s">
        <v>5362</v>
      </c>
    </row>
    <row r="109" ht="15.75" customHeight="1">
      <c r="A109" s="25" t="s">
        <v>727</v>
      </c>
      <c r="B109" s="25" t="s">
        <v>5682</v>
      </c>
      <c r="C109" s="25" t="s">
        <v>5683</v>
      </c>
      <c r="D109" s="25" t="s">
        <v>5684</v>
      </c>
      <c r="E109" s="25" t="s">
        <v>4559</v>
      </c>
      <c r="F109" s="25" t="s">
        <v>4820</v>
      </c>
      <c r="G109" s="25" t="s">
        <v>5361</v>
      </c>
      <c r="H109" s="25" t="s">
        <v>5362</v>
      </c>
    </row>
    <row r="110" ht="15.75" customHeight="1">
      <c r="A110" s="67" t="s">
        <v>717</v>
      </c>
      <c r="B110" s="67" t="s">
        <v>5685</v>
      </c>
      <c r="C110" s="67" t="s">
        <v>5686</v>
      </c>
      <c r="D110" s="67" t="s">
        <v>5687</v>
      </c>
      <c r="E110" s="67" t="s">
        <v>4618</v>
      </c>
      <c r="F110" s="67" t="s">
        <v>4820</v>
      </c>
      <c r="G110" s="67" t="s">
        <v>5361</v>
      </c>
      <c r="H110" s="67" t="s">
        <v>5362</v>
      </c>
    </row>
    <row r="111" ht="15.75" customHeight="1">
      <c r="A111" s="25" t="s">
        <v>557</v>
      </c>
      <c r="B111" s="25" t="s">
        <v>5688</v>
      </c>
      <c r="C111" s="25" t="s">
        <v>5689</v>
      </c>
      <c r="D111" s="25" t="s">
        <v>5690</v>
      </c>
      <c r="E111" s="25" t="s">
        <v>4705</v>
      </c>
      <c r="F111" s="25" t="s">
        <v>5360</v>
      </c>
      <c r="G111" s="25" t="s">
        <v>5361</v>
      </c>
      <c r="H111" s="25" t="s">
        <v>5362</v>
      </c>
    </row>
    <row r="112" ht="15.75" customHeight="1">
      <c r="A112" s="67" t="s">
        <v>1122</v>
      </c>
      <c r="B112" s="67" t="s">
        <v>5691</v>
      </c>
      <c r="C112" s="67" t="s">
        <v>5692</v>
      </c>
      <c r="D112" s="67" t="s">
        <v>5693</v>
      </c>
      <c r="E112" s="67" t="s">
        <v>3934</v>
      </c>
      <c r="F112" s="67" t="s">
        <v>5355</v>
      </c>
      <c r="G112" s="67" t="s">
        <v>5361</v>
      </c>
      <c r="H112" s="67" t="s">
        <v>5362</v>
      </c>
    </row>
    <row r="113" ht="15.75" customHeight="1">
      <c r="A113" s="25" t="s">
        <v>555</v>
      </c>
      <c r="B113" s="25" t="s">
        <v>5694</v>
      </c>
      <c r="C113" s="25" t="s">
        <v>5695</v>
      </c>
      <c r="D113" s="25" t="s">
        <v>5696</v>
      </c>
      <c r="E113" s="25" t="s">
        <v>4020</v>
      </c>
      <c r="F113" s="25" t="s">
        <v>5360</v>
      </c>
      <c r="G113" s="25" t="s">
        <v>5361</v>
      </c>
      <c r="H113" s="25" t="s">
        <v>5362</v>
      </c>
    </row>
    <row r="114" ht="15.75" customHeight="1">
      <c r="A114" s="67" t="s">
        <v>955</v>
      </c>
      <c r="B114" s="67" t="s">
        <v>5697</v>
      </c>
      <c r="C114" s="67" t="s">
        <v>5698</v>
      </c>
      <c r="D114" s="67" t="s">
        <v>5699</v>
      </c>
      <c r="E114" s="67" t="s">
        <v>3849</v>
      </c>
      <c r="F114" s="67" t="s">
        <v>5360</v>
      </c>
      <c r="G114" s="67" t="s">
        <v>5361</v>
      </c>
      <c r="H114" s="67" t="s">
        <v>5362</v>
      </c>
    </row>
    <row r="115" ht="15.75" customHeight="1">
      <c r="A115" s="25" t="s">
        <v>179</v>
      </c>
      <c r="B115" s="25" t="s">
        <v>5700</v>
      </c>
      <c r="C115" s="25" t="s">
        <v>5701</v>
      </c>
      <c r="D115" s="25" t="s">
        <v>5702</v>
      </c>
      <c r="E115" s="25" t="s">
        <v>4390</v>
      </c>
      <c r="F115" s="25" t="s">
        <v>5360</v>
      </c>
      <c r="G115" s="25" t="s">
        <v>5361</v>
      </c>
      <c r="H115" s="25" t="s">
        <v>5362</v>
      </c>
    </row>
    <row r="116" ht="15.75" customHeight="1">
      <c r="A116" s="67" t="s">
        <v>314</v>
      </c>
      <c r="B116" s="67" t="s">
        <v>5703</v>
      </c>
      <c r="C116" s="67" t="s">
        <v>5704</v>
      </c>
      <c r="D116" s="67" t="s">
        <v>5705</v>
      </c>
      <c r="E116" s="67" t="s">
        <v>4097</v>
      </c>
      <c r="F116" s="67" t="s">
        <v>5360</v>
      </c>
      <c r="G116" s="67" t="s">
        <v>5361</v>
      </c>
      <c r="H116" s="67" t="s">
        <v>5362</v>
      </c>
    </row>
    <row r="117" ht="15.75" customHeight="1">
      <c r="A117" s="25" t="s">
        <v>861</v>
      </c>
      <c r="B117" s="25" t="s">
        <v>5706</v>
      </c>
      <c r="C117" s="25" t="s">
        <v>5707</v>
      </c>
      <c r="D117" s="25" t="s">
        <v>5708</v>
      </c>
      <c r="E117" s="25" t="s">
        <v>4186</v>
      </c>
      <c r="F117" s="25" t="s">
        <v>5355</v>
      </c>
      <c r="G117" s="25" t="s">
        <v>5361</v>
      </c>
      <c r="H117" s="25" t="s">
        <v>5362</v>
      </c>
    </row>
    <row r="118" ht="15.75" customHeight="1">
      <c r="A118" s="67" t="s">
        <v>195</v>
      </c>
      <c r="B118" s="67" t="s">
        <v>5709</v>
      </c>
      <c r="C118" s="67" t="s">
        <v>5710</v>
      </c>
      <c r="D118" s="67" t="s">
        <v>5711</v>
      </c>
      <c r="E118" s="67" t="s">
        <v>4261</v>
      </c>
      <c r="F118" s="67" t="s">
        <v>5360</v>
      </c>
      <c r="G118" s="67" t="s">
        <v>5361</v>
      </c>
      <c r="H118" s="67" t="s">
        <v>5362</v>
      </c>
    </row>
    <row r="119" ht="15.75" customHeight="1">
      <c r="A119" s="25" t="s">
        <v>454</v>
      </c>
      <c r="B119" s="25" t="s">
        <v>5712</v>
      </c>
      <c r="C119" s="25" t="s">
        <v>5713</v>
      </c>
      <c r="D119" s="25" t="s">
        <v>5714</v>
      </c>
      <c r="E119" s="25" t="s">
        <v>4323</v>
      </c>
      <c r="F119" s="25" t="s">
        <v>5360</v>
      </c>
      <c r="G119" s="25" t="s">
        <v>5361</v>
      </c>
      <c r="H119" s="25" t="s">
        <v>5362</v>
      </c>
    </row>
    <row r="120" ht="15.75" customHeight="1">
      <c r="A120" s="67" t="s">
        <v>873</v>
      </c>
      <c r="B120" s="67" t="s">
        <v>5715</v>
      </c>
      <c r="C120" s="67" t="s">
        <v>5716</v>
      </c>
      <c r="D120" s="67" t="s">
        <v>5717</v>
      </c>
      <c r="E120" s="67" t="s">
        <v>4465</v>
      </c>
      <c r="F120" s="67" t="s">
        <v>4820</v>
      </c>
      <c r="G120" s="67" t="s">
        <v>5361</v>
      </c>
      <c r="H120" s="67" t="s">
        <v>5362</v>
      </c>
    </row>
    <row r="121" ht="15.75" customHeight="1">
      <c r="A121" s="25" t="s">
        <v>868</v>
      </c>
      <c r="B121" s="25" t="s">
        <v>5718</v>
      </c>
      <c r="C121" s="25" t="s">
        <v>5719</v>
      </c>
      <c r="D121" s="25" t="s">
        <v>5720</v>
      </c>
      <c r="E121" s="25" t="s">
        <v>4559</v>
      </c>
      <c r="F121" s="25" t="s">
        <v>5360</v>
      </c>
      <c r="G121" s="25" t="s">
        <v>5361</v>
      </c>
      <c r="H121" s="25" t="s">
        <v>5362</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21"/>
  <conditionalFormatting sqref="G2:G121">
    <cfRule type="expression" dxfId="2" priority="1">
      <formula>G2="Review"</formula>
    </cfRule>
  </conditionalFormatting>
  <printOptions/>
  <pageMargins bottom="1.0" footer="0.0" header="0.0" left="0.75" right="0.75" top="1.0"/>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6.0"/>
    <col customWidth="1" min="3" max="3" width="22.0"/>
    <col customWidth="1" min="4" max="4" width="21.0"/>
    <col customWidth="1" min="5" max="5" width="10.0"/>
    <col customWidth="1" min="6" max="6" width="40.0"/>
    <col customWidth="1" min="7" max="7" width="45.0"/>
    <col customWidth="1" min="8" max="26" width="8.71"/>
  </cols>
  <sheetData>
    <row r="1">
      <c r="A1" s="68" t="s">
        <v>5312</v>
      </c>
      <c r="B1" s="68" t="s">
        <v>5721</v>
      </c>
      <c r="C1" s="68" t="s">
        <v>5722</v>
      </c>
      <c r="D1" s="68" t="s">
        <v>5723</v>
      </c>
      <c r="E1" s="66" t="s">
        <v>5724</v>
      </c>
      <c r="F1" s="66" t="s">
        <v>5725</v>
      </c>
      <c r="G1" s="66" t="s">
        <v>5726</v>
      </c>
    </row>
    <row r="2">
      <c r="A2" s="69" t="s">
        <v>5320</v>
      </c>
      <c r="B2" s="70" t="s">
        <v>43</v>
      </c>
      <c r="C2" s="69" t="s">
        <v>5324</v>
      </c>
      <c r="D2" s="70" t="s">
        <v>5727</v>
      </c>
      <c r="E2" s="67" t="s">
        <v>2247</v>
      </c>
      <c r="F2" s="67" t="s">
        <v>5728</v>
      </c>
      <c r="G2" s="67" t="s">
        <v>5729</v>
      </c>
    </row>
    <row r="3">
      <c r="A3" s="71" t="s">
        <v>5320</v>
      </c>
      <c r="B3" s="72" t="s">
        <v>44</v>
      </c>
      <c r="C3" s="71" t="s">
        <v>5324</v>
      </c>
      <c r="D3" s="72" t="s">
        <v>5730</v>
      </c>
      <c r="E3" s="25" t="s">
        <v>2247</v>
      </c>
      <c r="F3" s="25" t="s">
        <v>5731</v>
      </c>
      <c r="G3" s="25" t="s">
        <v>5732</v>
      </c>
    </row>
    <row r="4">
      <c r="A4" s="73" t="s">
        <v>5320</v>
      </c>
      <c r="B4" s="74" t="s">
        <v>45</v>
      </c>
      <c r="C4" s="73" t="s">
        <v>5324</v>
      </c>
      <c r="D4" s="74" t="s">
        <v>5733</v>
      </c>
      <c r="E4" s="67" t="s">
        <v>2247</v>
      </c>
      <c r="F4" s="67" t="s">
        <v>5734</v>
      </c>
      <c r="G4" s="67" t="s">
        <v>5735</v>
      </c>
    </row>
    <row r="5">
      <c r="A5" s="71" t="s">
        <v>5320</v>
      </c>
      <c r="B5" s="72" t="s">
        <v>50</v>
      </c>
      <c r="C5" s="71" t="s">
        <v>5324</v>
      </c>
      <c r="D5" s="72" t="s">
        <v>5736</v>
      </c>
      <c r="E5" s="25" t="s">
        <v>2247</v>
      </c>
      <c r="F5" s="25" t="s">
        <v>5737</v>
      </c>
      <c r="G5" s="25" t="s">
        <v>5738</v>
      </c>
    </row>
    <row r="6">
      <c r="A6" s="73" t="s">
        <v>5320</v>
      </c>
      <c r="B6" s="74" t="s">
        <v>52</v>
      </c>
      <c r="C6" s="73" t="s">
        <v>5324</v>
      </c>
      <c r="D6" s="74" t="s">
        <v>5739</v>
      </c>
      <c r="E6" s="67" t="s">
        <v>2247</v>
      </c>
      <c r="F6" s="67" t="s">
        <v>5740</v>
      </c>
      <c r="G6" s="67" t="s">
        <v>5741</v>
      </c>
    </row>
    <row r="7">
      <c r="A7" s="71" t="s">
        <v>5320</v>
      </c>
      <c r="B7" s="72" t="s">
        <v>53</v>
      </c>
      <c r="C7" s="71" t="s">
        <v>5324</v>
      </c>
      <c r="D7" s="72" t="s">
        <v>53</v>
      </c>
      <c r="E7" s="25" t="s">
        <v>2247</v>
      </c>
      <c r="F7" s="25" t="s">
        <v>5742</v>
      </c>
      <c r="G7" s="25" t="s">
        <v>5743</v>
      </c>
    </row>
    <row r="8">
      <c r="A8" s="73" t="s">
        <v>5320</v>
      </c>
      <c r="B8" s="74" t="s">
        <v>54</v>
      </c>
      <c r="C8" s="73" t="s">
        <v>5324</v>
      </c>
      <c r="D8" s="74" t="s">
        <v>5744</v>
      </c>
      <c r="E8" s="67" t="s">
        <v>2247</v>
      </c>
      <c r="F8" s="67" t="s">
        <v>5745</v>
      </c>
      <c r="G8" s="67" t="s">
        <v>5746</v>
      </c>
    </row>
    <row r="9">
      <c r="A9" s="71" t="s">
        <v>5324</v>
      </c>
      <c r="B9" s="72" t="s">
        <v>1203</v>
      </c>
      <c r="C9" s="71" t="s">
        <v>5747</v>
      </c>
      <c r="D9" s="72" t="s">
        <v>5748</v>
      </c>
      <c r="E9" s="25" t="s">
        <v>2247</v>
      </c>
      <c r="F9" s="25" t="s">
        <v>5749</v>
      </c>
      <c r="G9" s="25" t="s">
        <v>5750</v>
      </c>
    </row>
    <row r="10">
      <c r="A10" s="73" t="s">
        <v>5324</v>
      </c>
      <c r="B10" s="74" t="s">
        <v>1206</v>
      </c>
      <c r="C10" s="73" t="s">
        <v>5747</v>
      </c>
      <c r="D10" s="74" t="s">
        <v>5751</v>
      </c>
      <c r="E10" s="67" t="s">
        <v>2247</v>
      </c>
      <c r="F10" s="67" t="s">
        <v>5742</v>
      </c>
      <c r="G10" s="67" t="s">
        <v>5752</v>
      </c>
    </row>
    <row r="11">
      <c r="A11" s="71" t="s">
        <v>5753</v>
      </c>
      <c r="B11" s="72" t="s">
        <v>5297</v>
      </c>
      <c r="C11" s="71" t="s">
        <v>5747</v>
      </c>
      <c r="D11" s="72" t="s">
        <v>57</v>
      </c>
      <c r="E11" s="25" t="s">
        <v>2247</v>
      </c>
      <c r="F11" s="25" t="s">
        <v>5754</v>
      </c>
      <c r="G11" s="25" t="s">
        <v>5755</v>
      </c>
    </row>
    <row r="12">
      <c r="A12" s="75" t="s">
        <v>5756</v>
      </c>
      <c r="B12" s="76" t="s">
        <v>5168</v>
      </c>
      <c r="C12" s="75" t="s">
        <v>5757</v>
      </c>
      <c r="D12" s="76" t="s">
        <v>5168</v>
      </c>
      <c r="E12" s="67" t="s">
        <v>2246</v>
      </c>
      <c r="F12" s="67" t="s">
        <v>5758</v>
      </c>
      <c r="G12" s="67" t="s">
        <v>5759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2"/>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8.0"/>
    <col customWidth="1" min="3" max="3" width="30.0"/>
    <col customWidth="1" min="4" max="4" width="65.29"/>
    <col customWidth="1" min="5" max="5" width="12.0"/>
    <col customWidth="1" min="6" max="6" width="55.0"/>
    <col customWidth="1" min="7" max="26" width="8.71"/>
  </cols>
  <sheetData>
    <row r="1">
      <c r="A1" s="66" t="s">
        <v>47</v>
      </c>
      <c r="B1" s="66" t="s">
        <v>5760</v>
      </c>
      <c r="C1" s="66" t="s">
        <v>5761</v>
      </c>
      <c r="D1" s="66" t="s">
        <v>5762</v>
      </c>
      <c r="E1" s="66" t="s">
        <v>4795</v>
      </c>
      <c r="F1" s="66" t="s">
        <v>5763</v>
      </c>
    </row>
    <row r="2">
      <c r="A2" s="67" t="s">
        <v>3849</v>
      </c>
      <c r="B2" s="67" t="s">
        <v>5764</v>
      </c>
      <c r="C2" s="67" t="s">
        <v>2247</v>
      </c>
      <c r="D2" s="67" t="s">
        <v>5765</v>
      </c>
      <c r="E2" s="67" t="s">
        <v>3847</v>
      </c>
      <c r="F2" s="67" t="s">
        <v>5766</v>
      </c>
    </row>
    <row r="3">
      <c r="A3" s="25" t="s">
        <v>3849</v>
      </c>
      <c r="B3" s="25" t="s">
        <v>5767</v>
      </c>
      <c r="C3" s="25" t="s">
        <v>2247</v>
      </c>
      <c r="D3" s="25" t="s">
        <v>5765</v>
      </c>
      <c r="E3" s="25" t="s">
        <v>3847</v>
      </c>
      <c r="F3" s="25" t="s">
        <v>5768</v>
      </c>
    </row>
    <row r="4">
      <c r="A4" s="67" t="s">
        <v>3934</v>
      </c>
      <c r="B4" s="67" t="s">
        <v>5764</v>
      </c>
      <c r="C4" s="67" t="s">
        <v>2247</v>
      </c>
      <c r="D4" s="67" t="s">
        <v>5765</v>
      </c>
      <c r="E4" s="67" t="s">
        <v>3847</v>
      </c>
      <c r="F4" s="67" t="s">
        <v>5766</v>
      </c>
    </row>
    <row r="5">
      <c r="A5" s="25" t="s">
        <v>3934</v>
      </c>
      <c r="B5" s="25" t="s">
        <v>5767</v>
      </c>
      <c r="C5" s="25" t="s">
        <v>2247</v>
      </c>
      <c r="D5" s="25" t="s">
        <v>5765</v>
      </c>
      <c r="E5" s="25" t="s">
        <v>3847</v>
      </c>
      <c r="F5" s="25" t="s">
        <v>5768</v>
      </c>
    </row>
    <row r="6">
      <c r="A6" s="67" t="s">
        <v>4020</v>
      </c>
      <c r="B6" s="67" t="s">
        <v>5764</v>
      </c>
      <c r="C6" s="67" t="s">
        <v>2247</v>
      </c>
      <c r="D6" s="67" t="s">
        <v>5765</v>
      </c>
      <c r="E6" s="67" t="s">
        <v>3847</v>
      </c>
      <c r="F6" s="67" t="s">
        <v>5766</v>
      </c>
    </row>
    <row r="7">
      <c r="A7" s="25" t="s">
        <v>4020</v>
      </c>
      <c r="B7" s="25" t="s">
        <v>5767</v>
      </c>
      <c r="C7" s="25" t="s">
        <v>2247</v>
      </c>
      <c r="D7" s="25" t="s">
        <v>5765</v>
      </c>
      <c r="E7" s="25" t="s">
        <v>3847</v>
      </c>
      <c r="F7" s="25" t="s">
        <v>5768</v>
      </c>
    </row>
    <row r="8">
      <c r="A8" s="67" t="s">
        <v>4097</v>
      </c>
      <c r="B8" s="67" t="s">
        <v>5764</v>
      </c>
      <c r="C8" s="67" t="s">
        <v>2247</v>
      </c>
      <c r="D8" s="67" t="s">
        <v>5765</v>
      </c>
      <c r="E8" s="67" t="s">
        <v>3847</v>
      </c>
      <c r="F8" s="67" t="s">
        <v>5766</v>
      </c>
    </row>
    <row r="9">
      <c r="A9" s="25" t="s">
        <v>4097</v>
      </c>
      <c r="B9" s="25" t="s">
        <v>5767</v>
      </c>
      <c r="C9" s="25" t="s">
        <v>2247</v>
      </c>
      <c r="D9" s="25" t="s">
        <v>5765</v>
      </c>
      <c r="E9" s="25" t="s">
        <v>3847</v>
      </c>
      <c r="F9" s="25" t="s">
        <v>5768</v>
      </c>
    </row>
    <row r="10">
      <c r="A10" s="67" t="s">
        <v>4186</v>
      </c>
      <c r="B10" s="67" t="s">
        <v>5764</v>
      </c>
      <c r="C10" s="67" t="s">
        <v>2247</v>
      </c>
      <c r="D10" s="67" t="s">
        <v>5765</v>
      </c>
      <c r="E10" s="67" t="s">
        <v>3847</v>
      </c>
      <c r="F10" s="67" t="s">
        <v>5766</v>
      </c>
    </row>
    <row r="11">
      <c r="A11" s="25" t="s">
        <v>4186</v>
      </c>
      <c r="B11" s="25" t="s">
        <v>5767</v>
      </c>
      <c r="C11" s="25" t="s">
        <v>2247</v>
      </c>
      <c r="D11" s="25" t="s">
        <v>5765</v>
      </c>
      <c r="E11" s="25" t="s">
        <v>3847</v>
      </c>
      <c r="F11" s="25" t="s">
        <v>5768</v>
      </c>
    </row>
    <row r="12">
      <c r="A12" s="67" t="s">
        <v>4261</v>
      </c>
      <c r="B12" s="67" t="s">
        <v>5764</v>
      </c>
      <c r="C12" s="67" t="s">
        <v>2247</v>
      </c>
      <c r="D12" s="67" t="s">
        <v>5765</v>
      </c>
      <c r="E12" s="67" t="s">
        <v>3847</v>
      </c>
      <c r="F12" s="67" t="s">
        <v>5766</v>
      </c>
    </row>
    <row r="13">
      <c r="A13" s="25" t="s">
        <v>4261</v>
      </c>
      <c r="B13" s="25" t="s">
        <v>5767</v>
      </c>
      <c r="C13" s="25" t="s">
        <v>2247</v>
      </c>
      <c r="D13" s="25" t="s">
        <v>5765</v>
      </c>
      <c r="E13" s="25" t="s">
        <v>3847</v>
      </c>
      <c r="F13" s="25" t="s">
        <v>5768</v>
      </c>
    </row>
    <row r="14">
      <c r="A14" s="67" t="s">
        <v>4323</v>
      </c>
      <c r="B14" s="67" t="s">
        <v>5764</v>
      </c>
      <c r="C14" s="67" t="s">
        <v>2247</v>
      </c>
      <c r="D14" s="67" t="s">
        <v>5765</v>
      </c>
      <c r="E14" s="67" t="s">
        <v>3847</v>
      </c>
      <c r="F14" s="67" t="s">
        <v>5766</v>
      </c>
    </row>
    <row r="15">
      <c r="A15" s="25" t="s">
        <v>4323</v>
      </c>
      <c r="B15" s="25" t="s">
        <v>5767</v>
      </c>
      <c r="C15" s="25" t="s">
        <v>2247</v>
      </c>
      <c r="D15" s="25" t="s">
        <v>5765</v>
      </c>
      <c r="E15" s="25" t="s">
        <v>3847</v>
      </c>
      <c r="F15" s="25" t="s">
        <v>5768</v>
      </c>
    </row>
    <row r="16">
      <c r="A16" s="67" t="s">
        <v>4390</v>
      </c>
      <c r="B16" s="67" t="s">
        <v>5764</v>
      </c>
      <c r="C16" s="67" t="s">
        <v>2247</v>
      </c>
      <c r="D16" s="67" t="s">
        <v>5765</v>
      </c>
      <c r="E16" s="67" t="s">
        <v>3847</v>
      </c>
      <c r="F16" s="67" t="s">
        <v>5766</v>
      </c>
    </row>
    <row r="17">
      <c r="A17" s="25" t="s">
        <v>4390</v>
      </c>
      <c r="B17" s="25" t="s">
        <v>5767</v>
      </c>
      <c r="C17" s="25" t="s">
        <v>2247</v>
      </c>
      <c r="D17" s="25" t="s">
        <v>5765</v>
      </c>
      <c r="E17" s="25" t="s">
        <v>3847</v>
      </c>
      <c r="F17" s="25" t="s">
        <v>5768</v>
      </c>
    </row>
    <row r="18">
      <c r="A18" s="67" t="s">
        <v>4465</v>
      </c>
      <c r="B18" s="67" t="s">
        <v>5764</v>
      </c>
      <c r="C18" s="67" t="s">
        <v>2247</v>
      </c>
      <c r="D18" s="67" t="s">
        <v>5765</v>
      </c>
      <c r="E18" s="67" t="s">
        <v>3847</v>
      </c>
      <c r="F18" s="67" t="s">
        <v>5766</v>
      </c>
    </row>
    <row r="19">
      <c r="A19" s="25" t="s">
        <v>4465</v>
      </c>
      <c r="B19" s="25" t="s">
        <v>5767</v>
      </c>
      <c r="C19" s="25" t="s">
        <v>2247</v>
      </c>
      <c r="D19" s="25" t="s">
        <v>5765</v>
      </c>
      <c r="E19" s="25" t="s">
        <v>3847</v>
      </c>
      <c r="F19" s="25" t="s">
        <v>5768</v>
      </c>
    </row>
    <row r="20">
      <c r="A20" s="67" t="s">
        <v>4559</v>
      </c>
      <c r="B20" s="67" t="s">
        <v>5764</v>
      </c>
      <c r="C20" s="67" t="s">
        <v>2247</v>
      </c>
      <c r="D20" s="67" t="s">
        <v>5765</v>
      </c>
      <c r="E20" s="67" t="s">
        <v>3847</v>
      </c>
      <c r="F20" s="67" t="s">
        <v>5766</v>
      </c>
    </row>
    <row r="21" ht="15.75" customHeight="1">
      <c r="A21" s="25" t="s">
        <v>4559</v>
      </c>
      <c r="B21" s="25" t="s">
        <v>5767</v>
      </c>
      <c r="C21" s="25" t="s">
        <v>2247</v>
      </c>
      <c r="D21" s="25" t="s">
        <v>5765</v>
      </c>
      <c r="E21" s="25" t="s">
        <v>3847</v>
      </c>
      <c r="F21" s="25" t="s">
        <v>5768</v>
      </c>
    </row>
    <row r="22" ht="15.75" customHeight="1">
      <c r="A22" s="67" t="s">
        <v>4618</v>
      </c>
      <c r="B22" s="67" t="s">
        <v>5764</v>
      </c>
      <c r="C22" s="67" t="s">
        <v>2247</v>
      </c>
      <c r="D22" s="67" t="s">
        <v>5765</v>
      </c>
      <c r="E22" s="67" t="s">
        <v>3847</v>
      </c>
      <c r="F22" s="67" t="s">
        <v>5766</v>
      </c>
    </row>
    <row r="23" ht="15.75" customHeight="1">
      <c r="A23" s="25" t="s">
        <v>4618</v>
      </c>
      <c r="B23" s="25" t="s">
        <v>5767</v>
      </c>
      <c r="C23" s="25" t="s">
        <v>2247</v>
      </c>
      <c r="D23" s="25" t="s">
        <v>5765</v>
      </c>
      <c r="E23" s="25" t="s">
        <v>3847</v>
      </c>
      <c r="F23" s="25" t="s">
        <v>5768</v>
      </c>
    </row>
    <row r="24" ht="15.75" customHeight="1">
      <c r="A24" s="67" t="s">
        <v>4705</v>
      </c>
      <c r="B24" s="67" t="s">
        <v>5764</v>
      </c>
      <c r="C24" s="67" t="s">
        <v>2247</v>
      </c>
      <c r="D24" s="67" t="s">
        <v>5765</v>
      </c>
      <c r="E24" s="67" t="s">
        <v>3847</v>
      </c>
      <c r="F24" s="67" t="s">
        <v>5766</v>
      </c>
    </row>
    <row r="25" ht="15.75" customHeight="1">
      <c r="A25" s="25" t="s">
        <v>4705</v>
      </c>
      <c r="B25" s="25" t="s">
        <v>5767</v>
      </c>
      <c r="C25" s="25" t="s">
        <v>2247</v>
      </c>
      <c r="D25" s="25" t="s">
        <v>5765</v>
      </c>
      <c r="E25" s="25" t="s">
        <v>3847</v>
      </c>
      <c r="F25" s="25" t="s">
        <v>5768</v>
      </c>
    </row>
    <row r="26" ht="15.75" customHeight="1">
      <c r="A26" s="67" t="s">
        <v>3849</v>
      </c>
      <c r="B26" s="67" t="s">
        <v>5769</v>
      </c>
      <c r="C26" s="67" t="s">
        <v>2247</v>
      </c>
      <c r="D26" s="67" t="s">
        <v>5770</v>
      </c>
      <c r="E26" s="67" t="s">
        <v>3855</v>
      </c>
      <c r="F26" s="67" t="s">
        <v>5771</v>
      </c>
    </row>
    <row r="27" ht="15.75" customHeight="1">
      <c r="A27" s="25" t="s">
        <v>3849</v>
      </c>
      <c r="B27" s="25" t="s">
        <v>5772</v>
      </c>
      <c r="C27" s="25" t="s">
        <v>74</v>
      </c>
      <c r="D27" s="25" t="s">
        <v>5770</v>
      </c>
      <c r="E27" s="25" t="s">
        <v>3847</v>
      </c>
      <c r="F27" s="25" t="s">
        <v>5773</v>
      </c>
    </row>
    <row r="28" ht="15.75" customHeight="1">
      <c r="A28" s="67" t="s">
        <v>3849</v>
      </c>
      <c r="B28" s="67" t="s">
        <v>5772</v>
      </c>
      <c r="C28" s="67" t="s">
        <v>102</v>
      </c>
      <c r="D28" s="67" t="s">
        <v>5770</v>
      </c>
      <c r="E28" s="67" t="s">
        <v>3847</v>
      </c>
      <c r="F28" s="67" t="s">
        <v>5774</v>
      </c>
    </row>
    <row r="29" ht="15.75" customHeight="1">
      <c r="A29" s="25" t="s">
        <v>3934</v>
      </c>
      <c r="B29" s="25" t="s">
        <v>5769</v>
      </c>
      <c r="C29" s="25" t="s">
        <v>2247</v>
      </c>
      <c r="D29" s="25" t="s">
        <v>5770</v>
      </c>
      <c r="E29" s="25" t="s">
        <v>3855</v>
      </c>
      <c r="F29" s="25" t="s">
        <v>5771</v>
      </c>
    </row>
    <row r="30" ht="15.75" customHeight="1">
      <c r="A30" s="67" t="s">
        <v>3934</v>
      </c>
      <c r="B30" s="67" t="s">
        <v>5772</v>
      </c>
      <c r="C30" s="67" t="s">
        <v>108</v>
      </c>
      <c r="D30" s="67" t="s">
        <v>5770</v>
      </c>
      <c r="E30" s="67" t="s">
        <v>3847</v>
      </c>
      <c r="F30" s="67" t="s">
        <v>5775</v>
      </c>
    </row>
    <row r="31" ht="15.75" customHeight="1">
      <c r="A31" s="25" t="s">
        <v>3934</v>
      </c>
      <c r="B31" s="25" t="s">
        <v>5772</v>
      </c>
      <c r="C31" s="25" t="s">
        <v>156</v>
      </c>
      <c r="D31" s="25" t="s">
        <v>5770</v>
      </c>
      <c r="E31" s="25" t="s">
        <v>3847</v>
      </c>
      <c r="F31" s="25" t="s">
        <v>5776</v>
      </c>
    </row>
    <row r="32" ht="15.75" customHeight="1">
      <c r="A32" s="67" t="s">
        <v>4020</v>
      </c>
      <c r="B32" s="67" t="s">
        <v>5769</v>
      </c>
      <c r="C32" s="67" t="s">
        <v>2247</v>
      </c>
      <c r="D32" s="67" t="s">
        <v>5770</v>
      </c>
      <c r="E32" s="67" t="s">
        <v>3855</v>
      </c>
      <c r="F32" s="67" t="s">
        <v>5771</v>
      </c>
    </row>
    <row r="33" ht="15.75" customHeight="1">
      <c r="A33" s="25" t="s">
        <v>4020</v>
      </c>
      <c r="B33" s="25" t="s">
        <v>5772</v>
      </c>
      <c r="C33" s="25" t="s">
        <v>154</v>
      </c>
      <c r="D33" s="25" t="s">
        <v>5770</v>
      </c>
      <c r="E33" s="25" t="s">
        <v>3847</v>
      </c>
      <c r="F33" s="25" t="s">
        <v>5777</v>
      </c>
    </row>
    <row r="34" ht="15.75" customHeight="1">
      <c r="A34" s="67" t="s">
        <v>4020</v>
      </c>
      <c r="B34" s="67" t="s">
        <v>5772</v>
      </c>
      <c r="C34" s="67" t="s">
        <v>190</v>
      </c>
      <c r="D34" s="67" t="s">
        <v>5770</v>
      </c>
      <c r="E34" s="67" t="s">
        <v>3847</v>
      </c>
      <c r="F34" s="67" t="s">
        <v>5778</v>
      </c>
    </row>
    <row r="35" ht="15.75" customHeight="1">
      <c r="A35" s="25" t="s">
        <v>4097</v>
      </c>
      <c r="B35" s="25" t="s">
        <v>5769</v>
      </c>
      <c r="C35" s="25" t="s">
        <v>2247</v>
      </c>
      <c r="D35" s="25" t="s">
        <v>5770</v>
      </c>
      <c r="E35" s="25" t="s">
        <v>3855</v>
      </c>
      <c r="F35" s="25" t="s">
        <v>5771</v>
      </c>
    </row>
    <row r="36" ht="15.75" customHeight="1">
      <c r="A36" s="67" t="s">
        <v>4097</v>
      </c>
      <c r="B36" s="67" t="s">
        <v>5772</v>
      </c>
      <c r="C36" s="67" t="s">
        <v>92</v>
      </c>
      <c r="D36" s="67" t="s">
        <v>5770</v>
      </c>
      <c r="E36" s="67" t="s">
        <v>3847</v>
      </c>
      <c r="F36" s="67" t="s">
        <v>5779</v>
      </c>
    </row>
    <row r="37" ht="15.75" customHeight="1">
      <c r="A37" s="25" t="s">
        <v>4097</v>
      </c>
      <c r="B37" s="25" t="s">
        <v>5772</v>
      </c>
      <c r="C37" s="25" t="s">
        <v>190</v>
      </c>
      <c r="D37" s="25" t="s">
        <v>5770</v>
      </c>
      <c r="E37" s="25" t="s">
        <v>3847</v>
      </c>
      <c r="F37" s="25" t="s">
        <v>5780</v>
      </c>
    </row>
    <row r="38" ht="15.75" customHeight="1">
      <c r="A38" s="67" t="s">
        <v>4186</v>
      </c>
      <c r="B38" s="67" t="s">
        <v>5769</v>
      </c>
      <c r="C38" s="67" t="s">
        <v>2247</v>
      </c>
      <c r="D38" s="67" t="s">
        <v>5770</v>
      </c>
      <c r="E38" s="67" t="s">
        <v>3855</v>
      </c>
      <c r="F38" s="67" t="s">
        <v>5771</v>
      </c>
    </row>
    <row r="39" ht="15.75" customHeight="1">
      <c r="A39" s="25" t="s">
        <v>4186</v>
      </c>
      <c r="B39" s="25" t="s">
        <v>5772</v>
      </c>
      <c r="C39" s="25" t="s">
        <v>190</v>
      </c>
      <c r="D39" s="25" t="s">
        <v>5770</v>
      </c>
      <c r="E39" s="25" t="s">
        <v>3847</v>
      </c>
      <c r="F39" s="25" t="s">
        <v>5781</v>
      </c>
    </row>
    <row r="40" ht="15.75" customHeight="1">
      <c r="A40" s="67" t="s">
        <v>4186</v>
      </c>
      <c r="B40" s="67" t="s">
        <v>5772</v>
      </c>
      <c r="C40" s="67" t="s">
        <v>81</v>
      </c>
      <c r="D40" s="67" t="s">
        <v>5770</v>
      </c>
      <c r="E40" s="67" t="s">
        <v>3847</v>
      </c>
      <c r="F40" s="67" t="s">
        <v>5782</v>
      </c>
    </row>
    <row r="41" ht="15.75" customHeight="1">
      <c r="A41" s="25" t="s">
        <v>4261</v>
      </c>
      <c r="B41" s="25" t="s">
        <v>5769</v>
      </c>
      <c r="C41" s="25" t="s">
        <v>2247</v>
      </c>
      <c r="D41" s="25" t="s">
        <v>5770</v>
      </c>
      <c r="E41" s="25" t="s">
        <v>3855</v>
      </c>
      <c r="F41" s="25" t="s">
        <v>5771</v>
      </c>
    </row>
    <row r="42" ht="15.75" customHeight="1">
      <c r="A42" s="67" t="s">
        <v>4261</v>
      </c>
      <c r="B42" s="67" t="s">
        <v>5772</v>
      </c>
      <c r="C42" s="67" t="s">
        <v>85</v>
      </c>
      <c r="D42" s="67" t="s">
        <v>5770</v>
      </c>
      <c r="E42" s="67" t="s">
        <v>3847</v>
      </c>
      <c r="F42" s="67" t="s">
        <v>5783</v>
      </c>
    </row>
    <row r="43" ht="15.75" customHeight="1">
      <c r="A43" s="25" t="s">
        <v>4261</v>
      </c>
      <c r="B43" s="25" t="s">
        <v>5772</v>
      </c>
      <c r="C43" s="25" t="s">
        <v>92</v>
      </c>
      <c r="D43" s="25" t="s">
        <v>5770</v>
      </c>
      <c r="E43" s="25" t="s">
        <v>3847</v>
      </c>
      <c r="F43" s="25" t="s">
        <v>5784</v>
      </c>
    </row>
    <row r="44" ht="15.75" customHeight="1">
      <c r="A44" s="67" t="s">
        <v>4323</v>
      </c>
      <c r="B44" s="67" t="s">
        <v>5769</v>
      </c>
      <c r="C44" s="67" t="s">
        <v>2247</v>
      </c>
      <c r="D44" s="67" t="s">
        <v>5770</v>
      </c>
      <c r="E44" s="67" t="s">
        <v>3855</v>
      </c>
      <c r="F44" s="67" t="s">
        <v>5771</v>
      </c>
    </row>
    <row r="45" ht="15.75" customHeight="1">
      <c r="A45" s="25" t="s">
        <v>4323</v>
      </c>
      <c r="B45" s="25" t="s">
        <v>5772</v>
      </c>
      <c r="C45" s="25" t="s">
        <v>190</v>
      </c>
      <c r="D45" s="25" t="s">
        <v>5770</v>
      </c>
      <c r="E45" s="25" t="s">
        <v>3847</v>
      </c>
      <c r="F45" s="25" t="s">
        <v>5785</v>
      </c>
    </row>
    <row r="46" ht="15.75" customHeight="1">
      <c r="A46" s="67" t="s">
        <v>4323</v>
      </c>
      <c r="B46" s="67" t="s">
        <v>5772</v>
      </c>
      <c r="C46" s="67" t="s">
        <v>78</v>
      </c>
      <c r="D46" s="67" t="s">
        <v>5770</v>
      </c>
      <c r="E46" s="67" t="s">
        <v>3847</v>
      </c>
      <c r="F46" s="67" t="s">
        <v>5786</v>
      </c>
    </row>
    <row r="47" ht="15.75" customHeight="1">
      <c r="A47" s="25" t="s">
        <v>4390</v>
      </c>
      <c r="B47" s="25" t="s">
        <v>5769</v>
      </c>
      <c r="C47" s="25" t="s">
        <v>2247</v>
      </c>
      <c r="D47" s="25" t="s">
        <v>5770</v>
      </c>
      <c r="E47" s="25" t="s">
        <v>3855</v>
      </c>
      <c r="F47" s="25" t="s">
        <v>5771</v>
      </c>
    </row>
    <row r="48" ht="15.75" customHeight="1">
      <c r="A48" s="67" t="s">
        <v>4390</v>
      </c>
      <c r="B48" s="67" t="s">
        <v>5772</v>
      </c>
      <c r="C48" s="67" t="s">
        <v>81</v>
      </c>
      <c r="D48" s="67" t="s">
        <v>5770</v>
      </c>
      <c r="E48" s="67" t="s">
        <v>3847</v>
      </c>
      <c r="F48" s="67" t="s">
        <v>5787</v>
      </c>
    </row>
    <row r="49" ht="15.75" customHeight="1">
      <c r="A49" s="25" t="s">
        <v>4390</v>
      </c>
      <c r="B49" s="25" t="s">
        <v>5772</v>
      </c>
      <c r="C49" s="25" t="s">
        <v>68</v>
      </c>
      <c r="D49" s="25" t="s">
        <v>5770</v>
      </c>
      <c r="E49" s="25" t="s">
        <v>3847</v>
      </c>
      <c r="F49" s="25" t="s">
        <v>5788</v>
      </c>
    </row>
    <row r="50" ht="15.75" customHeight="1">
      <c r="A50" s="67" t="s">
        <v>4465</v>
      </c>
      <c r="B50" s="67" t="s">
        <v>5769</v>
      </c>
      <c r="C50" s="67" t="s">
        <v>2247</v>
      </c>
      <c r="D50" s="67" t="s">
        <v>5770</v>
      </c>
      <c r="E50" s="67" t="s">
        <v>3855</v>
      </c>
      <c r="F50" s="67" t="s">
        <v>5771</v>
      </c>
    </row>
    <row r="51" ht="15.75" customHeight="1">
      <c r="A51" s="25" t="s">
        <v>4465</v>
      </c>
      <c r="B51" s="25" t="s">
        <v>5772</v>
      </c>
      <c r="C51" s="25" t="s">
        <v>123</v>
      </c>
      <c r="D51" s="25" t="s">
        <v>5770</v>
      </c>
      <c r="E51" s="25" t="s">
        <v>3847</v>
      </c>
      <c r="F51" s="25" t="s">
        <v>5789</v>
      </c>
    </row>
    <row r="52" ht="15.75" customHeight="1">
      <c r="A52" s="67" t="s">
        <v>4465</v>
      </c>
      <c r="B52" s="67" t="s">
        <v>5772</v>
      </c>
      <c r="C52" s="67" t="s">
        <v>64</v>
      </c>
      <c r="D52" s="67" t="s">
        <v>5770</v>
      </c>
      <c r="E52" s="67" t="s">
        <v>3847</v>
      </c>
      <c r="F52" s="67" t="s">
        <v>5790</v>
      </c>
    </row>
    <row r="53" ht="15.75" customHeight="1">
      <c r="A53" s="25" t="s">
        <v>4559</v>
      </c>
      <c r="B53" s="25" t="s">
        <v>5769</v>
      </c>
      <c r="C53" s="25" t="s">
        <v>2247</v>
      </c>
      <c r="D53" s="25" t="s">
        <v>5770</v>
      </c>
      <c r="E53" s="25" t="s">
        <v>3855</v>
      </c>
      <c r="F53" s="25" t="s">
        <v>5771</v>
      </c>
    </row>
    <row r="54" ht="15.75" customHeight="1">
      <c r="A54" s="67" t="s">
        <v>4559</v>
      </c>
      <c r="B54" s="67" t="s">
        <v>5772</v>
      </c>
      <c r="C54" s="67" t="s">
        <v>92</v>
      </c>
      <c r="D54" s="67" t="s">
        <v>5770</v>
      </c>
      <c r="E54" s="67" t="s">
        <v>3847</v>
      </c>
      <c r="F54" s="67" t="s">
        <v>5791</v>
      </c>
    </row>
    <row r="55" ht="15.75" customHeight="1">
      <c r="A55" s="25" t="s">
        <v>4559</v>
      </c>
      <c r="B55" s="25" t="s">
        <v>5772</v>
      </c>
      <c r="C55" s="25" t="s">
        <v>110</v>
      </c>
      <c r="D55" s="25" t="s">
        <v>5770</v>
      </c>
      <c r="E55" s="25" t="s">
        <v>3847</v>
      </c>
      <c r="F55" s="25" t="s">
        <v>5792</v>
      </c>
    </row>
    <row r="56" ht="15.75" customHeight="1">
      <c r="A56" s="67" t="s">
        <v>4618</v>
      </c>
      <c r="B56" s="67" t="s">
        <v>5769</v>
      </c>
      <c r="C56" s="67" t="s">
        <v>2247</v>
      </c>
      <c r="D56" s="67" t="s">
        <v>5770</v>
      </c>
      <c r="E56" s="67" t="s">
        <v>3855</v>
      </c>
      <c r="F56" s="67" t="s">
        <v>5771</v>
      </c>
    </row>
    <row r="57" ht="15.75" customHeight="1">
      <c r="A57" s="25" t="s">
        <v>4618</v>
      </c>
      <c r="B57" s="25" t="s">
        <v>5772</v>
      </c>
      <c r="C57" s="25" t="s">
        <v>115</v>
      </c>
      <c r="D57" s="25" t="s">
        <v>5770</v>
      </c>
      <c r="E57" s="25" t="s">
        <v>3847</v>
      </c>
      <c r="F57" s="25" t="s">
        <v>5793</v>
      </c>
    </row>
    <row r="58" ht="15.75" customHeight="1">
      <c r="A58" s="67" t="s">
        <v>4618</v>
      </c>
      <c r="B58" s="67" t="s">
        <v>5772</v>
      </c>
      <c r="C58" s="67" t="s">
        <v>190</v>
      </c>
      <c r="D58" s="67" t="s">
        <v>5770</v>
      </c>
      <c r="E58" s="67" t="s">
        <v>3847</v>
      </c>
      <c r="F58" s="67" t="s">
        <v>5794</v>
      </c>
    </row>
    <row r="59" ht="15.75" customHeight="1">
      <c r="A59" s="25" t="s">
        <v>4705</v>
      </c>
      <c r="B59" s="25" t="s">
        <v>5769</v>
      </c>
      <c r="C59" s="25" t="s">
        <v>2247</v>
      </c>
      <c r="D59" s="25" t="s">
        <v>5770</v>
      </c>
      <c r="E59" s="25" t="s">
        <v>3855</v>
      </c>
      <c r="F59" s="25" t="s">
        <v>5771</v>
      </c>
    </row>
    <row r="60" ht="15.75" customHeight="1">
      <c r="A60" s="67" t="s">
        <v>4705</v>
      </c>
      <c r="B60" s="67" t="s">
        <v>5772</v>
      </c>
      <c r="C60" s="67" t="s">
        <v>123</v>
      </c>
      <c r="D60" s="67" t="s">
        <v>5770</v>
      </c>
      <c r="E60" s="67" t="s">
        <v>3847</v>
      </c>
      <c r="F60" s="67" t="s">
        <v>5795</v>
      </c>
    </row>
    <row r="61" ht="15.75" customHeight="1">
      <c r="A61" s="25" t="s">
        <v>4705</v>
      </c>
      <c r="B61" s="25" t="s">
        <v>5772</v>
      </c>
      <c r="C61" s="25" t="s">
        <v>162</v>
      </c>
      <c r="D61" s="25" t="s">
        <v>5770</v>
      </c>
      <c r="E61" s="25" t="s">
        <v>3847</v>
      </c>
      <c r="F61" s="25" t="s">
        <v>5796</v>
      </c>
    </row>
    <row r="62" ht="15.75" customHeight="1"/>
    <row r="63" ht="15.75" customHeight="1"/>
    <row r="64" ht="15.75" customHeight="1">
      <c r="A64" s="77" t="s">
        <v>5797</v>
      </c>
      <c r="B64" s="77" t="s">
        <v>5798</v>
      </c>
      <c r="C64" s="77" t="s">
        <v>5799</v>
      </c>
      <c r="D64" s="78" t="s">
        <v>5800</v>
      </c>
    </row>
    <row r="65" ht="15.75" customHeight="1">
      <c r="A65" s="79" t="s">
        <v>5801</v>
      </c>
      <c r="B65" s="80" t="s">
        <v>5802</v>
      </c>
      <c r="C65" s="81" t="s">
        <v>5803</v>
      </c>
      <c r="D65" s="80" t="s">
        <v>5804</v>
      </c>
    </row>
    <row r="66" ht="15.75" customHeight="1">
      <c r="A66" s="80" t="s">
        <v>5805</v>
      </c>
      <c r="B66" s="80" t="s">
        <v>5806</v>
      </c>
      <c r="C66" s="81" t="s">
        <v>5807</v>
      </c>
      <c r="D66" s="80" t="s">
        <v>5808</v>
      </c>
    </row>
    <row r="67" ht="15.75" customHeight="1">
      <c r="A67" s="80" t="s">
        <v>5809</v>
      </c>
      <c r="B67" s="80" t="s">
        <v>5810</v>
      </c>
      <c r="C67" s="81" t="s">
        <v>5811</v>
      </c>
      <c r="D67" s="80" t="s">
        <v>5812</v>
      </c>
    </row>
    <row r="68" ht="15.75" customHeight="1">
      <c r="A68" s="80" t="s">
        <v>5813</v>
      </c>
      <c r="B68" s="80" t="s">
        <v>5814</v>
      </c>
      <c r="C68" s="81" t="s">
        <v>5815</v>
      </c>
      <c r="D68" s="80" t="s">
        <v>5816</v>
      </c>
    </row>
    <row r="69" ht="15.75" customHeight="1">
      <c r="A69" s="80" t="s">
        <v>5817</v>
      </c>
      <c r="B69" s="79" t="s">
        <v>5818</v>
      </c>
      <c r="C69" s="81" t="s">
        <v>5819</v>
      </c>
      <c r="D69" s="80" t="s">
        <v>5820</v>
      </c>
    </row>
    <row r="70" ht="15.75" customHeight="1">
      <c r="A70" s="80" t="s">
        <v>5821</v>
      </c>
      <c r="B70" s="80" t="s">
        <v>5822</v>
      </c>
      <c r="C70" s="81" t="s">
        <v>5823</v>
      </c>
      <c r="D70" s="80" t="s">
        <v>5824</v>
      </c>
    </row>
    <row r="71" ht="15.75" customHeight="1">
      <c r="A71" s="80" t="s">
        <v>5825</v>
      </c>
      <c r="B71" s="80" t="s">
        <v>5826</v>
      </c>
      <c r="C71" s="81" t="s">
        <v>5827</v>
      </c>
      <c r="D71" s="80" t="s">
        <v>5828</v>
      </c>
    </row>
    <row r="72" ht="15.75" customHeight="1">
      <c r="A72" s="80" t="s">
        <v>5829</v>
      </c>
      <c r="B72" s="80" t="s">
        <v>5830</v>
      </c>
      <c r="C72" s="81" t="s">
        <v>5831</v>
      </c>
      <c r="D72" s="80" t="s">
        <v>5832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61">
    <sortState ref="A1:F61">
      <sortCondition ref="D1:D61"/>
      <sortCondition ref="A1:A61"/>
    </sortState>
  </autoFilter>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86"/>
  </cols>
  <sheetData>
    <row r="1">
      <c r="A1" s="82"/>
    </row>
    <row r="2">
      <c r="A2" s="83"/>
    </row>
    <row r="3">
      <c r="A3" s="8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0.0"/>
    <col customWidth="1" min="3" max="3" width="14.0"/>
    <col customWidth="1" min="4" max="4" width="10.0"/>
    <col customWidth="1" min="5" max="5" width="14.0"/>
    <col customWidth="1" min="6" max="6" width="13.0"/>
    <col customWidth="1" min="7" max="7" width="14.0"/>
    <col customWidth="1" min="8" max="8" width="15.0"/>
    <col customWidth="1" min="9" max="9" width="36.0"/>
    <col customWidth="1" min="10" max="26" width="8.71"/>
  </cols>
  <sheetData>
    <row r="1">
      <c r="A1" s="57" t="s">
        <v>5833</v>
      </c>
      <c r="B1" s="57" t="s">
        <v>5834</v>
      </c>
      <c r="C1" s="57" t="s">
        <v>5835</v>
      </c>
      <c r="D1" s="57" t="s">
        <v>5762</v>
      </c>
      <c r="E1" s="57" t="s">
        <v>5836</v>
      </c>
      <c r="F1" s="57" t="s">
        <v>5169</v>
      </c>
      <c r="G1" s="57" t="s">
        <v>5837</v>
      </c>
      <c r="H1" s="57" t="s">
        <v>5838</v>
      </c>
      <c r="I1" s="57" t="s">
        <v>5351</v>
      </c>
    </row>
    <row r="2">
      <c r="A2" s="58" t="s">
        <v>5839</v>
      </c>
      <c r="B2" s="58" t="s">
        <v>5840</v>
      </c>
      <c r="C2" s="58" t="s">
        <v>871</v>
      </c>
      <c r="D2" s="58" t="s">
        <v>5765</v>
      </c>
      <c r="E2" s="58" t="s">
        <v>3855</v>
      </c>
      <c r="F2" s="58" t="s">
        <v>4821</v>
      </c>
      <c r="G2" s="59">
        <v>46099.0</v>
      </c>
      <c r="H2" s="85">
        <f t="shared" ref="H2:H250" si="1">TODAY()-G2</f>
        <v>59</v>
      </c>
      <c r="I2" s="58" t="s">
        <v>2183</v>
      </c>
    </row>
    <row r="3">
      <c r="A3" s="25" t="s">
        <v>5841</v>
      </c>
      <c r="B3" s="25" t="s">
        <v>5840</v>
      </c>
      <c r="C3" s="25" t="s">
        <v>62</v>
      </c>
      <c r="D3" s="25" t="s">
        <v>5765</v>
      </c>
      <c r="E3" s="25" t="s">
        <v>3855</v>
      </c>
      <c r="F3" s="25" t="s">
        <v>4821</v>
      </c>
      <c r="G3" s="26">
        <v>46038.0</v>
      </c>
      <c r="H3" s="29">
        <f t="shared" si="1"/>
        <v>120</v>
      </c>
      <c r="I3" s="25" t="s">
        <v>2183</v>
      </c>
    </row>
    <row r="4">
      <c r="A4" s="58" t="s">
        <v>5842</v>
      </c>
      <c r="B4" s="58" t="s">
        <v>5840</v>
      </c>
      <c r="C4" s="58" t="s">
        <v>503</v>
      </c>
      <c r="D4" s="58" t="s">
        <v>5765</v>
      </c>
      <c r="E4" s="58" t="s">
        <v>3855</v>
      </c>
      <c r="F4" s="58" t="s">
        <v>4821</v>
      </c>
      <c r="G4" s="59">
        <v>46121.0</v>
      </c>
      <c r="H4" s="85">
        <f t="shared" si="1"/>
        <v>37</v>
      </c>
      <c r="I4" s="58" t="s">
        <v>2183</v>
      </c>
    </row>
    <row r="5">
      <c r="A5" s="25" t="s">
        <v>5843</v>
      </c>
      <c r="B5" s="25" t="s">
        <v>5840</v>
      </c>
      <c r="C5" s="25" t="s">
        <v>66</v>
      </c>
      <c r="D5" s="25" t="s">
        <v>5765</v>
      </c>
      <c r="E5" s="25" t="s">
        <v>3855</v>
      </c>
      <c r="F5" s="25" t="s">
        <v>4821</v>
      </c>
      <c r="G5" s="26">
        <v>46100.0</v>
      </c>
      <c r="H5" s="29">
        <f t="shared" si="1"/>
        <v>58</v>
      </c>
      <c r="I5" s="25" t="s">
        <v>2183</v>
      </c>
    </row>
    <row r="6">
      <c r="A6" s="58" t="s">
        <v>5844</v>
      </c>
      <c r="B6" s="58" t="s">
        <v>5840</v>
      </c>
      <c r="C6" s="58" t="s">
        <v>284</v>
      </c>
      <c r="D6" s="58" t="s">
        <v>5765</v>
      </c>
      <c r="E6" s="58" t="s">
        <v>3855</v>
      </c>
      <c r="F6" s="58" t="s">
        <v>4821</v>
      </c>
      <c r="G6" s="59">
        <v>46119.0</v>
      </c>
      <c r="H6" s="85">
        <f t="shared" si="1"/>
        <v>39</v>
      </c>
      <c r="I6" s="58" t="s">
        <v>2183</v>
      </c>
    </row>
    <row r="7">
      <c r="A7" s="25" t="s">
        <v>5845</v>
      </c>
      <c r="B7" s="25" t="s">
        <v>5846</v>
      </c>
      <c r="C7" s="25" t="s">
        <v>2132</v>
      </c>
      <c r="D7" s="25" t="s">
        <v>5765</v>
      </c>
      <c r="E7" s="25" t="s">
        <v>4826</v>
      </c>
      <c r="F7" s="25" t="s">
        <v>4821</v>
      </c>
      <c r="G7" s="26">
        <v>46107.0</v>
      </c>
      <c r="H7" s="29">
        <f t="shared" si="1"/>
        <v>51</v>
      </c>
      <c r="I7" s="25" t="s">
        <v>5847</v>
      </c>
    </row>
    <row r="8">
      <c r="A8" s="58" t="s">
        <v>5848</v>
      </c>
      <c r="B8" s="58" t="s">
        <v>5846</v>
      </c>
      <c r="C8" s="58" t="s">
        <v>2134</v>
      </c>
      <c r="D8" s="58" t="s">
        <v>5765</v>
      </c>
      <c r="E8" s="58" t="s">
        <v>4826</v>
      </c>
      <c r="F8" s="58" t="s">
        <v>4821</v>
      </c>
      <c r="G8" s="59">
        <v>46136.0</v>
      </c>
      <c r="H8" s="85">
        <f t="shared" si="1"/>
        <v>22</v>
      </c>
      <c r="I8" s="58" t="s">
        <v>5847</v>
      </c>
    </row>
    <row r="9">
      <c r="A9" s="25" t="s">
        <v>5849</v>
      </c>
      <c r="B9" s="25" t="s">
        <v>5846</v>
      </c>
      <c r="C9" s="25" t="s">
        <v>2136</v>
      </c>
      <c r="D9" s="25" t="s">
        <v>5765</v>
      </c>
      <c r="E9" s="25" t="s">
        <v>4826</v>
      </c>
      <c r="F9" s="25" t="s">
        <v>4821</v>
      </c>
      <c r="G9" s="26">
        <v>46143.0</v>
      </c>
      <c r="H9" s="29">
        <f t="shared" si="1"/>
        <v>15</v>
      </c>
      <c r="I9" s="25" t="s">
        <v>5847</v>
      </c>
    </row>
    <row r="10">
      <c r="A10" s="58" t="s">
        <v>5850</v>
      </c>
      <c r="B10" s="58" t="s">
        <v>5846</v>
      </c>
      <c r="C10" s="58" t="s">
        <v>2138</v>
      </c>
      <c r="D10" s="58" t="s">
        <v>5765</v>
      </c>
      <c r="E10" s="58" t="s">
        <v>4826</v>
      </c>
      <c r="F10" s="58" t="s">
        <v>4821</v>
      </c>
      <c r="G10" s="59">
        <v>46057.0</v>
      </c>
      <c r="H10" s="85">
        <f t="shared" si="1"/>
        <v>101</v>
      </c>
      <c r="I10" s="58" t="s">
        <v>5847</v>
      </c>
    </row>
    <row r="11">
      <c r="A11" s="25" t="s">
        <v>5851</v>
      </c>
      <c r="B11" s="25" t="s">
        <v>5846</v>
      </c>
      <c r="C11" s="25" t="s">
        <v>2140</v>
      </c>
      <c r="D11" s="25" t="s">
        <v>5765</v>
      </c>
      <c r="E11" s="25" t="s">
        <v>4826</v>
      </c>
      <c r="F11" s="25" t="s">
        <v>4821</v>
      </c>
      <c r="G11" s="26">
        <v>46060.0</v>
      </c>
      <c r="H11" s="29">
        <f t="shared" si="1"/>
        <v>98</v>
      </c>
      <c r="I11" s="25" t="s">
        <v>5847</v>
      </c>
    </row>
    <row r="12">
      <c r="A12" s="58" t="s">
        <v>5852</v>
      </c>
      <c r="B12" s="58" t="s">
        <v>5846</v>
      </c>
      <c r="C12" s="58" t="s">
        <v>2142</v>
      </c>
      <c r="D12" s="58" t="s">
        <v>5765</v>
      </c>
      <c r="E12" s="58" t="s">
        <v>4826</v>
      </c>
      <c r="F12" s="58" t="s">
        <v>4821</v>
      </c>
      <c r="G12" s="59">
        <v>46103.0</v>
      </c>
      <c r="H12" s="85">
        <f t="shared" si="1"/>
        <v>55</v>
      </c>
      <c r="I12" s="58" t="s">
        <v>5847</v>
      </c>
    </row>
    <row r="13">
      <c r="A13" s="25" t="s">
        <v>5853</v>
      </c>
      <c r="B13" s="25" t="s">
        <v>5846</v>
      </c>
      <c r="C13" s="25" t="s">
        <v>2144</v>
      </c>
      <c r="D13" s="25" t="s">
        <v>5765</v>
      </c>
      <c r="E13" s="25" t="s">
        <v>4826</v>
      </c>
      <c r="F13" s="25" t="s">
        <v>4821</v>
      </c>
      <c r="G13" s="26">
        <v>46051.0</v>
      </c>
      <c r="H13" s="29">
        <f t="shared" si="1"/>
        <v>107</v>
      </c>
      <c r="I13" s="25" t="s">
        <v>5847</v>
      </c>
    </row>
    <row r="14">
      <c r="A14" s="58" t="s">
        <v>5854</v>
      </c>
      <c r="B14" s="58" t="s">
        <v>5846</v>
      </c>
      <c r="C14" s="58" t="s">
        <v>2146</v>
      </c>
      <c r="D14" s="58" t="s">
        <v>5765</v>
      </c>
      <c r="E14" s="58" t="s">
        <v>4826</v>
      </c>
      <c r="F14" s="58" t="s">
        <v>4821</v>
      </c>
      <c r="G14" s="59">
        <v>46143.0</v>
      </c>
      <c r="H14" s="85">
        <f t="shared" si="1"/>
        <v>15</v>
      </c>
      <c r="I14" s="58" t="s">
        <v>5847</v>
      </c>
    </row>
    <row r="15">
      <c r="A15" s="25" t="s">
        <v>5855</v>
      </c>
      <c r="B15" s="25" t="s">
        <v>5846</v>
      </c>
      <c r="C15" s="25" t="s">
        <v>2148</v>
      </c>
      <c r="D15" s="25" t="s">
        <v>5765</v>
      </c>
      <c r="E15" s="25" t="s">
        <v>4826</v>
      </c>
      <c r="F15" s="25" t="s">
        <v>4821</v>
      </c>
      <c r="G15" s="26">
        <v>46105.0</v>
      </c>
      <c r="H15" s="29">
        <f t="shared" si="1"/>
        <v>53</v>
      </c>
      <c r="I15" s="25" t="s">
        <v>5847</v>
      </c>
    </row>
    <row r="16">
      <c r="A16" s="58" t="s">
        <v>5856</v>
      </c>
      <c r="B16" s="58" t="s">
        <v>5846</v>
      </c>
      <c r="C16" s="58" t="s">
        <v>2150</v>
      </c>
      <c r="D16" s="58" t="s">
        <v>5765</v>
      </c>
      <c r="E16" s="58" t="s">
        <v>4826</v>
      </c>
      <c r="F16" s="58" t="s">
        <v>4821</v>
      </c>
      <c r="G16" s="59">
        <v>46140.0</v>
      </c>
      <c r="H16" s="85">
        <f t="shared" si="1"/>
        <v>18</v>
      </c>
      <c r="I16" s="58" t="s">
        <v>5847</v>
      </c>
    </row>
    <row r="17">
      <c r="A17" s="25" t="s">
        <v>5857</v>
      </c>
      <c r="B17" s="25" t="s">
        <v>5846</v>
      </c>
      <c r="C17" s="25" t="s">
        <v>2152</v>
      </c>
      <c r="D17" s="25" t="s">
        <v>5765</v>
      </c>
      <c r="E17" s="25" t="s">
        <v>4826</v>
      </c>
      <c r="F17" s="25" t="s">
        <v>4821</v>
      </c>
      <c r="G17" s="26">
        <v>46085.0</v>
      </c>
      <c r="H17" s="29">
        <f t="shared" si="1"/>
        <v>73</v>
      </c>
      <c r="I17" s="25" t="s">
        <v>5847</v>
      </c>
    </row>
    <row r="18">
      <c r="A18" s="58" t="s">
        <v>5858</v>
      </c>
      <c r="B18" s="58" t="s">
        <v>5846</v>
      </c>
      <c r="C18" s="58" t="s">
        <v>2154</v>
      </c>
      <c r="D18" s="58" t="s">
        <v>5765</v>
      </c>
      <c r="E18" s="58" t="s">
        <v>4826</v>
      </c>
      <c r="F18" s="58" t="s">
        <v>4821</v>
      </c>
      <c r="G18" s="59">
        <v>46038.0</v>
      </c>
      <c r="H18" s="85">
        <f t="shared" si="1"/>
        <v>120</v>
      </c>
      <c r="I18" s="58" t="s">
        <v>5847</v>
      </c>
    </row>
    <row r="19">
      <c r="A19" s="25" t="s">
        <v>5859</v>
      </c>
      <c r="B19" s="25" t="s">
        <v>5846</v>
      </c>
      <c r="C19" s="25" t="s">
        <v>2156</v>
      </c>
      <c r="D19" s="25" t="s">
        <v>5765</v>
      </c>
      <c r="E19" s="25" t="s">
        <v>4826</v>
      </c>
      <c r="F19" s="25" t="s">
        <v>4821</v>
      </c>
      <c r="G19" s="26">
        <v>46036.0</v>
      </c>
      <c r="H19" s="29">
        <f t="shared" si="1"/>
        <v>122</v>
      </c>
      <c r="I19" s="25" t="s">
        <v>5847</v>
      </c>
    </row>
    <row r="20">
      <c r="A20" s="58" t="s">
        <v>5860</v>
      </c>
      <c r="B20" s="58" t="s">
        <v>5846</v>
      </c>
      <c r="C20" s="58" t="s">
        <v>2158</v>
      </c>
      <c r="D20" s="58" t="s">
        <v>5765</v>
      </c>
      <c r="E20" s="58" t="s">
        <v>4826</v>
      </c>
      <c r="F20" s="58" t="s">
        <v>4821</v>
      </c>
      <c r="G20" s="59">
        <v>46083.0</v>
      </c>
      <c r="H20" s="85">
        <f t="shared" si="1"/>
        <v>75</v>
      </c>
      <c r="I20" s="58" t="s">
        <v>5847</v>
      </c>
    </row>
    <row r="21" ht="15.75" customHeight="1">
      <c r="A21" s="25" t="s">
        <v>5861</v>
      </c>
      <c r="B21" s="25" t="s">
        <v>5846</v>
      </c>
      <c r="C21" s="25" t="s">
        <v>2160</v>
      </c>
      <c r="D21" s="25" t="s">
        <v>5765</v>
      </c>
      <c r="E21" s="25" t="s">
        <v>4826</v>
      </c>
      <c r="F21" s="25" t="s">
        <v>4821</v>
      </c>
      <c r="G21" s="26">
        <v>46128.0</v>
      </c>
      <c r="H21" s="29">
        <f t="shared" si="1"/>
        <v>30</v>
      </c>
      <c r="I21" s="25" t="s">
        <v>5847</v>
      </c>
    </row>
    <row r="22" ht="15.75" customHeight="1">
      <c r="A22" s="58" t="s">
        <v>5862</v>
      </c>
      <c r="B22" s="58" t="s">
        <v>5863</v>
      </c>
      <c r="C22" s="58" t="s">
        <v>115</v>
      </c>
      <c r="D22" s="58" t="s">
        <v>5765</v>
      </c>
      <c r="E22" s="58" t="s">
        <v>5332</v>
      </c>
      <c r="F22" s="58" t="s">
        <v>4821</v>
      </c>
      <c r="G22" s="59">
        <v>46143.0</v>
      </c>
      <c r="H22" s="85">
        <f t="shared" si="1"/>
        <v>15</v>
      </c>
      <c r="I22" s="58" t="s">
        <v>5864</v>
      </c>
    </row>
    <row r="23" ht="15.75" customHeight="1">
      <c r="A23" s="25" t="s">
        <v>5865</v>
      </c>
      <c r="B23" s="25" t="s">
        <v>5863</v>
      </c>
      <c r="C23" s="25" t="s">
        <v>68</v>
      </c>
      <c r="D23" s="25" t="s">
        <v>5765</v>
      </c>
      <c r="E23" s="25" t="s">
        <v>5332</v>
      </c>
      <c r="F23" s="25" t="s">
        <v>4821</v>
      </c>
      <c r="G23" s="26">
        <v>46143.0</v>
      </c>
      <c r="H23" s="29">
        <f t="shared" si="1"/>
        <v>15</v>
      </c>
      <c r="I23" s="25" t="s">
        <v>5866</v>
      </c>
    </row>
    <row r="24" ht="15.75" customHeight="1">
      <c r="A24" s="58" t="s">
        <v>5867</v>
      </c>
      <c r="B24" s="58" t="s">
        <v>5863</v>
      </c>
      <c r="C24" s="58" t="s">
        <v>106</v>
      </c>
      <c r="D24" s="58" t="s">
        <v>5765</v>
      </c>
      <c r="E24" s="58" t="s">
        <v>5332</v>
      </c>
      <c r="F24" s="58" t="s">
        <v>4821</v>
      </c>
      <c r="G24" s="59">
        <v>46143.0</v>
      </c>
      <c r="H24" s="85">
        <f t="shared" si="1"/>
        <v>15</v>
      </c>
      <c r="I24" s="58" t="s">
        <v>5868</v>
      </c>
    </row>
    <row r="25" ht="15.75" customHeight="1">
      <c r="A25" s="25" t="s">
        <v>5869</v>
      </c>
      <c r="B25" s="25" t="s">
        <v>5863</v>
      </c>
      <c r="C25" s="25" t="s">
        <v>64</v>
      </c>
      <c r="D25" s="25" t="s">
        <v>5765</v>
      </c>
      <c r="E25" s="25" t="s">
        <v>5332</v>
      </c>
      <c r="F25" s="25" t="s">
        <v>4821</v>
      </c>
      <c r="G25" s="26">
        <v>46143.0</v>
      </c>
      <c r="H25" s="29">
        <f t="shared" si="1"/>
        <v>15</v>
      </c>
      <c r="I25" s="25" t="s">
        <v>5870</v>
      </c>
    </row>
    <row r="26" ht="15.75" customHeight="1">
      <c r="A26" s="58" t="s">
        <v>5871</v>
      </c>
      <c r="B26" s="58" t="s">
        <v>5872</v>
      </c>
      <c r="C26" s="58" t="s">
        <v>167</v>
      </c>
      <c r="D26" s="58" t="s">
        <v>5770</v>
      </c>
      <c r="E26" s="58" t="s">
        <v>5332</v>
      </c>
      <c r="F26" s="58" t="s">
        <v>4821</v>
      </c>
      <c r="G26" s="59">
        <v>46037.0</v>
      </c>
      <c r="H26" s="85">
        <f t="shared" si="1"/>
        <v>121</v>
      </c>
      <c r="I26" s="58" t="s">
        <v>5873</v>
      </c>
    </row>
    <row r="27" ht="15.75" customHeight="1">
      <c r="A27" s="25" t="s">
        <v>5874</v>
      </c>
      <c r="B27" s="25" t="s">
        <v>5872</v>
      </c>
      <c r="C27" s="25" t="s">
        <v>701</v>
      </c>
      <c r="D27" s="25" t="s">
        <v>5770</v>
      </c>
      <c r="E27" s="25" t="s">
        <v>5332</v>
      </c>
      <c r="F27" s="25" t="s">
        <v>4821</v>
      </c>
      <c r="G27" s="26">
        <v>46114.0</v>
      </c>
      <c r="H27" s="29">
        <f t="shared" si="1"/>
        <v>44</v>
      </c>
      <c r="I27" s="25" t="s">
        <v>5873</v>
      </c>
    </row>
    <row r="28" ht="15.75" customHeight="1">
      <c r="A28" s="58" t="s">
        <v>5875</v>
      </c>
      <c r="B28" s="58" t="s">
        <v>5872</v>
      </c>
      <c r="C28" s="58" t="s">
        <v>1074</v>
      </c>
      <c r="D28" s="58" t="s">
        <v>5770</v>
      </c>
      <c r="E28" s="58" t="s">
        <v>5332</v>
      </c>
      <c r="F28" s="58" t="s">
        <v>4812</v>
      </c>
      <c r="G28" s="59">
        <v>46048.0</v>
      </c>
      <c r="H28" s="85">
        <f t="shared" si="1"/>
        <v>110</v>
      </c>
      <c r="I28" s="58" t="s">
        <v>5873</v>
      </c>
    </row>
    <row r="29" ht="15.75" customHeight="1">
      <c r="A29" s="25" t="s">
        <v>5876</v>
      </c>
      <c r="B29" s="25" t="s">
        <v>5872</v>
      </c>
      <c r="C29" s="25" t="s">
        <v>546</v>
      </c>
      <c r="D29" s="25" t="s">
        <v>5770</v>
      </c>
      <c r="E29" s="25" t="s">
        <v>5332</v>
      </c>
      <c r="F29" s="25" t="s">
        <v>4821</v>
      </c>
      <c r="G29" s="26">
        <v>46083.0</v>
      </c>
      <c r="H29" s="29">
        <f t="shared" si="1"/>
        <v>75</v>
      </c>
      <c r="I29" s="25" t="s">
        <v>5873</v>
      </c>
    </row>
    <row r="30" ht="15.75" customHeight="1">
      <c r="A30" s="58" t="s">
        <v>5877</v>
      </c>
      <c r="B30" s="58" t="s">
        <v>5872</v>
      </c>
      <c r="C30" s="58" t="s">
        <v>300</v>
      </c>
      <c r="D30" s="58" t="s">
        <v>5770</v>
      </c>
      <c r="E30" s="58" t="s">
        <v>5332</v>
      </c>
      <c r="F30" s="58" t="s">
        <v>4821</v>
      </c>
      <c r="G30" s="59">
        <v>46107.0</v>
      </c>
      <c r="H30" s="85">
        <f t="shared" si="1"/>
        <v>51</v>
      </c>
      <c r="I30" s="58" t="s">
        <v>5873</v>
      </c>
    </row>
    <row r="31" ht="15.75" customHeight="1">
      <c r="A31" s="25" t="s">
        <v>5878</v>
      </c>
      <c r="B31" s="25" t="s">
        <v>5872</v>
      </c>
      <c r="C31" s="25" t="s">
        <v>858</v>
      </c>
      <c r="D31" s="25" t="s">
        <v>5770</v>
      </c>
      <c r="E31" s="25" t="s">
        <v>5332</v>
      </c>
      <c r="F31" s="25" t="s">
        <v>4812</v>
      </c>
      <c r="G31" s="26">
        <v>46025.0</v>
      </c>
      <c r="H31" s="29">
        <f t="shared" si="1"/>
        <v>133</v>
      </c>
      <c r="I31" s="25" t="s">
        <v>5873</v>
      </c>
    </row>
    <row r="32" ht="15.75" customHeight="1">
      <c r="A32" s="58" t="s">
        <v>5879</v>
      </c>
      <c r="B32" s="58" t="s">
        <v>5872</v>
      </c>
      <c r="C32" s="58" t="s">
        <v>304</v>
      </c>
      <c r="D32" s="58" t="s">
        <v>5770</v>
      </c>
      <c r="E32" s="58" t="s">
        <v>5332</v>
      </c>
      <c r="F32" s="58" t="s">
        <v>4816</v>
      </c>
      <c r="G32" s="59">
        <v>46140.0</v>
      </c>
      <c r="H32" s="85">
        <f t="shared" si="1"/>
        <v>18</v>
      </c>
      <c r="I32" s="58" t="s">
        <v>5873</v>
      </c>
    </row>
    <row r="33" ht="15.75" customHeight="1">
      <c r="A33" s="25" t="s">
        <v>5880</v>
      </c>
      <c r="B33" s="25" t="s">
        <v>5872</v>
      </c>
      <c r="C33" s="25" t="s">
        <v>79</v>
      </c>
      <c r="D33" s="25" t="s">
        <v>5770</v>
      </c>
      <c r="E33" s="25" t="s">
        <v>5332</v>
      </c>
      <c r="F33" s="25" t="s">
        <v>4821</v>
      </c>
      <c r="G33" s="26">
        <v>46115.0</v>
      </c>
      <c r="H33" s="29">
        <f t="shared" si="1"/>
        <v>43</v>
      </c>
      <c r="I33" s="25" t="s">
        <v>5873</v>
      </c>
    </row>
    <row r="34" ht="15.75" customHeight="1">
      <c r="A34" s="58" t="s">
        <v>5881</v>
      </c>
      <c r="B34" s="58" t="s">
        <v>5872</v>
      </c>
      <c r="C34" s="58" t="s">
        <v>1135</v>
      </c>
      <c r="D34" s="58" t="s">
        <v>5770</v>
      </c>
      <c r="E34" s="58" t="s">
        <v>5332</v>
      </c>
      <c r="F34" s="58" t="s">
        <v>4821</v>
      </c>
      <c r="G34" s="59">
        <v>46095.0</v>
      </c>
      <c r="H34" s="85">
        <f t="shared" si="1"/>
        <v>63</v>
      </c>
      <c r="I34" s="58" t="s">
        <v>5873</v>
      </c>
    </row>
    <row r="35" ht="15.75" customHeight="1">
      <c r="A35" s="25" t="s">
        <v>5882</v>
      </c>
      <c r="B35" s="25" t="s">
        <v>5872</v>
      </c>
      <c r="C35" s="25" t="s">
        <v>549</v>
      </c>
      <c r="D35" s="25" t="s">
        <v>5770</v>
      </c>
      <c r="E35" s="25" t="s">
        <v>5332</v>
      </c>
      <c r="F35" s="25" t="s">
        <v>4821</v>
      </c>
      <c r="G35" s="26">
        <v>46027.0</v>
      </c>
      <c r="H35" s="29">
        <f t="shared" si="1"/>
        <v>131</v>
      </c>
      <c r="I35" s="25" t="s">
        <v>5873</v>
      </c>
    </row>
    <row r="36" ht="15.75" customHeight="1">
      <c r="A36" s="58" t="s">
        <v>5883</v>
      </c>
      <c r="B36" s="58" t="s">
        <v>5872</v>
      </c>
      <c r="C36" s="58" t="s">
        <v>456</v>
      </c>
      <c r="D36" s="58" t="s">
        <v>5770</v>
      </c>
      <c r="E36" s="58" t="s">
        <v>5332</v>
      </c>
      <c r="F36" s="58" t="s">
        <v>4821</v>
      </c>
      <c r="G36" s="59">
        <v>46097.0</v>
      </c>
      <c r="H36" s="85">
        <f t="shared" si="1"/>
        <v>61</v>
      </c>
      <c r="I36" s="58" t="s">
        <v>5873</v>
      </c>
    </row>
    <row r="37" ht="15.75" customHeight="1">
      <c r="A37" s="25" t="s">
        <v>5884</v>
      </c>
      <c r="B37" s="25" t="s">
        <v>5872</v>
      </c>
      <c r="C37" s="25" t="s">
        <v>1090</v>
      </c>
      <c r="D37" s="25" t="s">
        <v>5770</v>
      </c>
      <c r="E37" s="25" t="s">
        <v>5332</v>
      </c>
      <c r="F37" s="25" t="s">
        <v>4821</v>
      </c>
      <c r="G37" s="26">
        <v>46140.0</v>
      </c>
      <c r="H37" s="29">
        <f t="shared" si="1"/>
        <v>18</v>
      </c>
      <c r="I37" s="25" t="s">
        <v>5873</v>
      </c>
    </row>
    <row r="38" ht="15.75" customHeight="1">
      <c r="A38" s="58" t="s">
        <v>5885</v>
      </c>
      <c r="B38" s="58" t="s">
        <v>5872</v>
      </c>
      <c r="C38" s="58" t="s">
        <v>972</v>
      </c>
      <c r="D38" s="58" t="s">
        <v>5770</v>
      </c>
      <c r="E38" s="58" t="s">
        <v>5332</v>
      </c>
      <c r="F38" s="58" t="s">
        <v>4816</v>
      </c>
      <c r="G38" s="59">
        <v>46097.0</v>
      </c>
      <c r="H38" s="85">
        <f t="shared" si="1"/>
        <v>61</v>
      </c>
      <c r="I38" s="58" t="s">
        <v>5873</v>
      </c>
    </row>
    <row r="39" ht="15.75" customHeight="1">
      <c r="A39" s="25" t="s">
        <v>5886</v>
      </c>
      <c r="B39" s="25" t="s">
        <v>5872</v>
      </c>
      <c r="C39" s="25" t="s">
        <v>1091</v>
      </c>
      <c r="D39" s="25" t="s">
        <v>5770</v>
      </c>
      <c r="E39" s="25" t="s">
        <v>5332</v>
      </c>
      <c r="F39" s="25" t="s">
        <v>4812</v>
      </c>
      <c r="G39" s="26">
        <v>46130.0</v>
      </c>
      <c r="H39" s="29">
        <f t="shared" si="1"/>
        <v>28</v>
      </c>
      <c r="I39" s="25" t="s">
        <v>5873</v>
      </c>
    </row>
    <row r="40" ht="15.75" customHeight="1">
      <c r="A40" s="58" t="s">
        <v>5887</v>
      </c>
      <c r="B40" s="58" t="s">
        <v>5872</v>
      </c>
      <c r="C40" s="58" t="s">
        <v>317</v>
      </c>
      <c r="D40" s="58" t="s">
        <v>5770</v>
      </c>
      <c r="E40" s="58" t="s">
        <v>5332</v>
      </c>
      <c r="F40" s="58" t="s">
        <v>4816</v>
      </c>
      <c r="G40" s="59">
        <v>46092.0</v>
      </c>
      <c r="H40" s="85">
        <f t="shared" si="1"/>
        <v>66</v>
      </c>
      <c r="I40" s="58" t="s">
        <v>5873</v>
      </c>
    </row>
    <row r="41" ht="15.75" customHeight="1">
      <c r="A41" s="25" t="s">
        <v>5888</v>
      </c>
      <c r="B41" s="25" t="s">
        <v>5872</v>
      </c>
      <c r="C41" s="25" t="s">
        <v>472</v>
      </c>
      <c r="D41" s="25" t="s">
        <v>5770</v>
      </c>
      <c r="E41" s="25" t="s">
        <v>5332</v>
      </c>
      <c r="F41" s="25" t="s">
        <v>4821</v>
      </c>
      <c r="G41" s="26">
        <v>46072.0</v>
      </c>
      <c r="H41" s="29">
        <f t="shared" si="1"/>
        <v>86</v>
      </c>
      <c r="I41" s="25" t="s">
        <v>5873</v>
      </c>
    </row>
    <row r="42" ht="15.75" customHeight="1">
      <c r="A42" s="58" t="s">
        <v>5889</v>
      </c>
      <c r="B42" s="58" t="s">
        <v>5872</v>
      </c>
      <c r="C42" s="58" t="s">
        <v>94</v>
      </c>
      <c r="D42" s="58" t="s">
        <v>5770</v>
      </c>
      <c r="E42" s="58" t="s">
        <v>5332</v>
      </c>
      <c r="F42" s="58" t="s">
        <v>4812</v>
      </c>
      <c r="G42" s="59">
        <v>46068.0</v>
      </c>
      <c r="H42" s="85">
        <f t="shared" si="1"/>
        <v>90</v>
      </c>
      <c r="I42" s="58" t="s">
        <v>5873</v>
      </c>
    </row>
    <row r="43" ht="15.75" customHeight="1">
      <c r="A43" s="25" t="s">
        <v>5890</v>
      </c>
      <c r="B43" s="25" t="s">
        <v>5872</v>
      </c>
      <c r="C43" s="25" t="s">
        <v>324</v>
      </c>
      <c r="D43" s="25" t="s">
        <v>5770</v>
      </c>
      <c r="E43" s="25" t="s">
        <v>5332</v>
      </c>
      <c r="F43" s="25" t="s">
        <v>4816</v>
      </c>
      <c r="G43" s="26">
        <v>46056.0</v>
      </c>
      <c r="H43" s="29">
        <f t="shared" si="1"/>
        <v>102</v>
      </c>
      <c r="I43" s="25" t="s">
        <v>5873</v>
      </c>
    </row>
    <row r="44" ht="15.75" customHeight="1">
      <c r="A44" s="58" t="s">
        <v>5891</v>
      </c>
      <c r="B44" s="58" t="s">
        <v>5872</v>
      </c>
      <c r="C44" s="58" t="s">
        <v>981</v>
      </c>
      <c r="D44" s="58" t="s">
        <v>5770</v>
      </c>
      <c r="E44" s="58" t="s">
        <v>5332</v>
      </c>
      <c r="F44" s="58" t="s">
        <v>4821</v>
      </c>
      <c r="G44" s="59">
        <v>46037.0</v>
      </c>
      <c r="H44" s="85">
        <f t="shared" si="1"/>
        <v>121</v>
      </c>
      <c r="I44" s="58" t="s">
        <v>5873</v>
      </c>
    </row>
    <row r="45" ht="15.75" customHeight="1">
      <c r="A45" s="25" t="s">
        <v>5892</v>
      </c>
      <c r="B45" s="25" t="s">
        <v>5872</v>
      </c>
      <c r="C45" s="25" t="s">
        <v>478</v>
      </c>
      <c r="D45" s="25" t="s">
        <v>5770</v>
      </c>
      <c r="E45" s="25" t="s">
        <v>5332</v>
      </c>
      <c r="F45" s="25" t="s">
        <v>4812</v>
      </c>
      <c r="G45" s="26">
        <v>46074.0</v>
      </c>
      <c r="H45" s="29">
        <f t="shared" si="1"/>
        <v>84</v>
      </c>
      <c r="I45" s="25" t="s">
        <v>5873</v>
      </c>
    </row>
    <row r="46" ht="15.75" customHeight="1">
      <c r="A46" s="58" t="s">
        <v>5893</v>
      </c>
      <c r="B46" s="58" t="s">
        <v>5872</v>
      </c>
      <c r="C46" s="58" t="s">
        <v>755</v>
      </c>
      <c r="D46" s="58" t="s">
        <v>5770</v>
      </c>
      <c r="E46" s="58" t="s">
        <v>5332</v>
      </c>
      <c r="F46" s="58" t="s">
        <v>4812</v>
      </c>
      <c r="G46" s="59">
        <v>46026.0</v>
      </c>
      <c r="H46" s="85">
        <f t="shared" si="1"/>
        <v>132</v>
      </c>
      <c r="I46" s="58" t="s">
        <v>5873</v>
      </c>
    </row>
    <row r="47" ht="15.75" customHeight="1">
      <c r="A47" s="25" t="s">
        <v>5894</v>
      </c>
      <c r="B47" s="25" t="s">
        <v>5872</v>
      </c>
      <c r="C47" s="25" t="s">
        <v>757</v>
      </c>
      <c r="D47" s="25" t="s">
        <v>5770</v>
      </c>
      <c r="E47" s="25" t="s">
        <v>5332</v>
      </c>
      <c r="F47" s="25" t="s">
        <v>4821</v>
      </c>
      <c r="G47" s="26">
        <v>46063.0</v>
      </c>
      <c r="H47" s="29">
        <f t="shared" si="1"/>
        <v>95</v>
      </c>
      <c r="I47" s="25" t="s">
        <v>5873</v>
      </c>
    </row>
    <row r="48" ht="15.75" customHeight="1">
      <c r="A48" s="58" t="s">
        <v>5895</v>
      </c>
      <c r="B48" s="58" t="s">
        <v>5872</v>
      </c>
      <c r="C48" s="58" t="s">
        <v>987</v>
      </c>
      <c r="D48" s="58" t="s">
        <v>5770</v>
      </c>
      <c r="E48" s="58" t="s">
        <v>5332</v>
      </c>
      <c r="F48" s="58" t="s">
        <v>4816</v>
      </c>
      <c r="G48" s="59">
        <v>46068.0</v>
      </c>
      <c r="H48" s="85">
        <f t="shared" si="1"/>
        <v>90</v>
      </c>
      <c r="I48" s="58" t="s">
        <v>5873</v>
      </c>
    </row>
    <row r="49" ht="15.75" customHeight="1">
      <c r="A49" s="25" t="s">
        <v>5896</v>
      </c>
      <c r="B49" s="25" t="s">
        <v>5872</v>
      </c>
      <c r="C49" s="25" t="s">
        <v>335</v>
      </c>
      <c r="D49" s="25" t="s">
        <v>5770</v>
      </c>
      <c r="E49" s="25" t="s">
        <v>5332</v>
      </c>
      <c r="F49" s="25" t="s">
        <v>4816</v>
      </c>
      <c r="G49" s="26">
        <v>46110.0</v>
      </c>
      <c r="H49" s="29">
        <f t="shared" si="1"/>
        <v>48</v>
      </c>
      <c r="I49" s="25" t="s">
        <v>5873</v>
      </c>
    </row>
    <row r="50" ht="15.75" customHeight="1">
      <c r="A50" s="58" t="s">
        <v>5897</v>
      </c>
      <c r="B50" s="58" t="s">
        <v>5872</v>
      </c>
      <c r="C50" s="58" t="s">
        <v>990</v>
      </c>
      <c r="D50" s="58" t="s">
        <v>5770</v>
      </c>
      <c r="E50" s="58" t="s">
        <v>5332</v>
      </c>
      <c r="F50" s="58" t="s">
        <v>4812</v>
      </c>
      <c r="G50" s="59">
        <v>46046.0</v>
      </c>
      <c r="H50" s="85">
        <f t="shared" si="1"/>
        <v>112</v>
      </c>
      <c r="I50" s="58" t="s">
        <v>5873</v>
      </c>
    </row>
    <row r="51" ht="15.75" customHeight="1">
      <c r="A51" s="25" t="s">
        <v>5898</v>
      </c>
      <c r="B51" s="25" t="s">
        <v>5872</v>
      </c>
      <c r="C51" s="25" t="s">
        <v>484</v>
      </c>
      <c r="D51" s="25" t="s">
        <v>5770</v>
      </c>
      <c r="E51" s="25" t="s">
        <v>5332</v>
      </c>
      <c r="F51" s="25" t="s">
        <v>4816</v>
      </c>
      <c r="G51" s="26">
        <v>46096.0</v>
      </c>
      <c r="H51" s="29">
        <f t="shared" si="1"/>
        <v>62</v>
      </c>
      <c r="I51" s="25" t="s">
        <v>5873</v>
      </c>
    </row>
    <row r="52" ht="15.75" customHeight="1">
      <c r="A52" s="58" t="s">
        <v>5899</v>
      </c>
      <c r="B52" s="58" t="s">
        <v>5872</v>
      </c>
      <c r="C52" s="58" t="s">
        <v>1098</v>
      </c>
      <c r="D52" s="58" t="s">
        <v>5770</v>
      </c>
      <c r="E52" s="58" t="s">
        <v>5332</v>
      </c>
      <c r="F52" s="58" t="s">
        <v>4812</v>
      </c>
      <c r="G52" s="59">
        <v>46044.0</v>
      </c>
      <c r="H52" s="85">
        <f t="shared" si="1"/>
        <v>114</v>
      </c>
      <c r="I52" s="58" t="s">
        <v>5873</v>
      </c>
    </row>
    <row r="53" ht="15.75" customHeight="1">
      <c r="A53" s="25" t="s">
        <v>5900</v>
      </c>
      <c r="B53" s="25" t="s">
        <v>5872</v>
      </c>
      <c r="C53" s="25" t="s">
        <v>760</v>
      </c>
      <c r="D53" s="25" t="s">
        <v>5770</v>
      </c>
      <c r="E53" s="25" t="s">
        <v>5332</v>
      </c>
      <c r="F53" s="25" t="s">
        <v>4812</v>
      </c>
      <c r="G53" s="26">
        <v>46026.0</v>
      </c>
      <c r="H53" s="29">
        <f t="shared" si="1"/>
        <v>132</v>
      </c>
      <c r="I53" s="25" t="s">
        <v>5873</v>
      </c>
    </row>
    <row r="54" ht="15.75" customHeight="1">
      <c r="A54" s="58" t="s">
        <v>5901</v>
      </c>
      <c r="B54" s="58" t="s">
        <v>5872</v>
      </c>
      <c r="C54" s="58" t="s">
        <v>992</v>
      </c>
      <c r="D54" s="58" t="s">
        <v>5770</v>
      </c>
      <c r="E54" s="58" t="s">
        <v>5332</v>
      </c>
      <c r="F54" s="58" t="s">
        <v>4821</v>
      </c>
      <c r="G54" s="59">
        <v>46128.0</v>
      </c>
      <c r="H54" s="85">
        <f t="shared" si="1"/>
        <v>30</v>
      </c>
      <c r="I54" s="58" t="s">
        <v>5873</v>
      </c>
    </row>
    <row r="55" ht="15.75" customHeight="1">
      <c r="A55" s="25" t="s">
        <v>5902</v>
      </c>
      <c r="B55" s="25" t="s">
        <v>5872</v>
      </c>
      <c r="C55" s="25" t="s">
        <v>887</v>
      </c>
      <c r="D55" s="25" t="s">
        <v>5770</v>
      </c>
      <c r="E55" s="25" t="s">
        <v>5332</v>
      </c>
      <c r="F55" s="25" t="s">
        <v>4821</v>
      </c>
      <c r="G55" s="26">
        <v>46044.0</v>
      </c>
      <c r="H55" s="29">
        <f t="shared" si="1"/>
        <v>114</v>
      </c>
      <c r="I55" s="25" t="s">
        <v>5873</v>
      </c>
    </row>
    <row r="56" ht="15.75" customHeight="1">
      <c r="A56" s="58" t="s">
        <v>5903</v>
      </c>
      <c r="B56" s="58" t="s">
        <v>5872</v>
      </c>
      <c r="C56" s="58" t="s">
        <v>597</v>
      </c>
      <c r="D56" s="58" t="s">
        <v>5770</v>
      </c>
      <c r="E56" s="58" t="s">
        <v>5332</v>
      </c>
      <c r="F56" s="58" t="s">
        <v>4816</v>
      </c>
      <c r="G56" s="59">
        <v>46052.0</v>
      </c>
      <c r="H56" s="85">
        <f t="shared" si="1"/>
        <v>106</v>
      </c>
      <c r="I56" s="58" t="s">
        <v>5873</v>
      </c>
    </row>
    <row r="57" ht="15.75" customHeight="1">
      <c r="A57" s="25" t="s">
        <v>5904</v>
      </c>
      <c r="B57" s="25" t="s">
        <v>5872</v>
      </c>
      <c r="C57" s="25" t="s">
        <v>487</v>
      </c>
      <c r="D57" s="25" t="s">
        <v>5770</v>
      </c>
      <c r="E57" s="25" t="s">
        <v>5332</v>
      </c>
      <c r="F57" s="25" t="s">
        <v>4816</v>
      </c>
      <c r="G57" s="26">
        <v>46129.0</v>
      </c>
      <c r="H57" s="29">
        <f t="shared" si="1"/>
        <v>29</v>
      </c>
      <c r="I57" s="25" t="s">
        <v>5873</v>
      </c>
    </row>
    <row r="58" ht="15.75" customHeight="1">
      <c r="A58" s="58" t="s">
        <v>5905</v>
      </c>
      <c r="B58" s="58" t="s">
        <v>5872</v>
      </c>
      <c r="C58" s="58" t="s">
        <v>994</v>
      </c>
      <c r="D58" s="58" t="s">
        <v>5770</v>
      </c>
      <c r="E58" s="58" t="s">
        <v>5332</v>
      </c>
      <c r="F58" s="58" t="s">
        <v>4821</v>
      </c>
      <c r="G58" s="59">
        <v>46124.0</v>
      </c>
      <c r="H58" s="85">
        <f t="shared" si="1"/>
        <v>34</v>
      </c>
      <c r="I58" s="58" t="s">
        <v>5873</v>
      </c>
    </row>
    <row r="59" ht="15.75" customHeight="1">
      <c r="A59" s="25" t="s">
        <v>5906</v>
      </c>
      <c r="B59" s="25" t="s">
        <v>5872</v>
      </c>
      <c r="C59" s="25" t="s">
        <v>889</v>
      </c>
      <c r="D59" s="25" t="s">
        <v>5770</v>
      </c>
      <c r="E59" s="25" t="s">
        <v>5332</v>
      </c>
      <c r="F59" s="25" t="s">
        <v>4821</v>
      </c>
      <c r="G59" s="26">
        <v>46138.0</v>
      </c>
      <c r="H59" s="29">
        <f t="shared" si="1"/>
        <v>20</v>
      </c>
      <c r="I59" s="25" t="s">
        <v>5873</v>
      </c>
    </row>
    <row r="60" ht="15.75" customHeight="1">
      <c r="A60" s="58" t="s">
        <v>5907</v>
      </c>
      <c r="B60" s="58" t="s">
        <v>5872</v>
      </c>
      <c r="C60" s="58" t="s">
        <v>1000</v>
      </c>
      <c r="D60" s="58" t="s">
        <v>5770</v>
      </c>
      <c r="E60" s="58" t="s">
        <v>5332</v>
      </c>
      <c r="F60" s="58" t="s">
        <v>4821</v>
      </c>
      <c r="G60" s="59">
        <v>46135.0</v>
      </c>
      <c r="H60" s="85">
        <f t="shared" si="1"/>
        <v>23</v>
      </c>
      <c r="I60" s="58" t="s">
        <v>5873</v>
      </c>
    </row>
    <row r="61" ht="15.75" customHeight="1">
      <c r="A61" s="25" t="s">
        <v>5908</v>
      </c>
      <c r="B61" s="25" t="s">
        <v>5872</v>
      </c>
      <c r="C61" s="25" t="s">
        <v>211</v>
      </c>
      <c r="D61" s="25" t="s">
        <v>5770</v>
      </c>
      <c r="E61" s="25" t="s">
        <v>5332</v>
      </c>
      <c r="F61" s="25" t="s">
        <v>4812</v>
      </c>
      <c r="G61" s="26">
        <v>46064.0</v>
      </c>
      <c r="H61" s="29">
        <f t="shared" si="1"/>
        <v>94</v>
      </c>
      <c r="I61" s="25" t="s">
        <v>5873</v>
      </c>
    </row>
    <row r="62" ht="15.75" customHeight="1">
      <c r="A62" s="58" t="s">
        <v>5909</v>
      </c>
      <c r="B62" s="58" t="s">
        <v>5872</v>
      </c>
      <c r="C62" s="58" t="s">
        <v>605</v>
      </c>
      <c r="D62" s="58" t="s">
        <v>5770</v>
      </c>
      <c r="E62" s="58" t="s">
        <v>5332</v>
      </c>
      <c r="F62" s="58" t="s">
        <v>4821</v>
      </c>
      <c r="G62" s="59">
        <v>46025.0</v>
      </c>
      <c r="H62" s="85">
        <f t="shared" si="1"/>
        <v>133</v>
      </c>
      <c r="I62" s="58" t="s">
        <v>5873</v>
      </c>
    </row>
    <row r="63" ht="15.75" customHeight="1">
      <c r="A63" s="25" t="s">
        <v>5910</v>
      </c>
      <c r="B63" s="25" t="s">
        <v>5872</v>
      </c>
      <c r="C63" s="25" t="s">
        <v>768</v>
      </c>
      <c r="D63" s="25" t="s">
        <v>5770</v>
      </c>
      <c r="E63" s="25" t="s">
        <v>5332</v>
      </c>
      <c r="F63" s="25" t="s">
        <v>4812</v>
      </c>
      <c r="G63" s="26">
        <v>46045.0</v>
      </c>
      <c r="H63" s="29">
        <f t="shared" si="1"/>
        <v>113</v>
      </c>
      <c r="I63" s="25" t="s">
        <v>5873</v>
      </c>
    </row>
    <row r="64" ht="15.75" customHeight="1">
      <c r="A64" s="58" t="s">
        <v>5911</v>
      </c>
      <c r="B64" s="58" t="s">
        <v>5872</v>
      </c>
      <c r="C64" s="58" t="s">
        <v>1150</v>
      </c>
      <c r="D64" s="58" t="s">
        <v>5770</v>
      </c>
      <c r="E64" s="58" t="s">
        <v>5332</v>
      </c>
      <c r="F64" s="58" t="s">
        <v>4821</v>
      </c>
      <c r="G64" s="59">
        <v>46110.0</v>
      </c>
      <c r="H64" s="85">
        <f t="shared" si="1"/>
        <v>48</v>
      </c>
      <c r="I64" s="58" t="s">
        <v>5873</v>
      </c>
    </row>
    <row r="65" ht="15.75" customHeight="1">
      <c r="A65" s="25" t="s">
        <v>5912</v>
      </c>
      <c r="B65" s="25" t="s">
        <v>5872</v>
      </c>
      <c r="C65" s="25" t="s">
        <v>1008</v>
      </c>
      <c r="D65" s="25" t="s">
        <v>5770</v>
      </c>
      <c r="E65" s="25" t="s">
        <v>5332</v>
      </c>
      <c r="F65" s="25" t="s">
        <v>4821</v>
      </c>
      <c r="G65" s="26">
        <v>46047.0</v>
      </c>
      <c r="H65" s="29">
        <f t="shared" si="1"/>
        <v>111</v>
      </c>
      <c r="I65" s="25" t="s">
        <v>5873</v>
      </c>
    </row>
    <row r="66" ht="15.75" customHeight="1">
      <c r="A66" s="58" t="s">
        <v>5913</v>
      </c>
      <c r="B66" s="58" t="s">
        <v>5872</v>
      </c>
      <c r="C66" s="58" t="s">
        <v>495</v>
      </c>
      <c r="D66" s="58" t="s">
        <v>5770</v>
      </c>
      <c r="E66" s="58" t="s">
        <v>5332</v>
      </c>
      <c r="F66" s="58" t="s">
        <v>4812</v>
      </c>
      <c r="G66" s="59">
        <v>46069.0</v>
      </c>
      <c r="H66" s="85">
        <f t="shared" si="1"/>
        <v>89</v>
      </c>
      <c r="I66" s="58" t="s">
        <v>5873</v>
      </c>
    </row>
    <row r="67" ht="15.75" customHeight="1">
      <c r="A67" s="25" t="s">
        <v>5914</v>
      </c>
      <c r="B67" s="25" t="s">
        <v>5872</v>
      </c>
      <c r="C67" s="25" t="s">
        <v>777</v>
      </c>
      <c r="D67" s="25" t="s">
        <v>5770</v>
      </c>
      <c r="E67" s="25" t="s">
        <v>5332</v>
      </c>
      <c r="F67" s="25" t="s">
        <v>4821</v>
      </c>
      <c r="G67" s="26">
        <v>46103.0</v>
      </c>
      <c r="H67" s="29">
        <f t="shared" si="1"/>
        <v>55</v>
      </c>
      <c r="I67" s="25" t="s">
        <v>5873</v>
      </c>
    </row>
    <row r="68" ht="15.75" customHeight="1">
      <c r="A68" s="58" t="s">
        <v>5915</v>
      </c>
      <c r="B68" s="58" t="s">
        <v>5872</v>
      </c>
      <c r="C68" s="58" t="s">
        <v>611</v>
      </c>
      <c r="D68" s="58" t="s">
        <v>5770</v>
      </c>
      <c r="E68" s="58" t="s">
        <v>5332</v>
      </c>
      <c r="F68" s="58" t="s">
        <v>4816</v>
      </c>
      <c r="G68" s="59">
        <v>46105.0</v>
      </c>
      <c r="H68" s="85">
        <f t="shared" si="1"/>
        <v>53</v>
      </c>
      <c r="I68" s="58" t="s">
        <v>5873</v>
      </c>
    </row>
    <row r="69" ht="15.75" customHeight="1">
      <c r="A69" s="25" t="s">
        <v>5916</v>
      </c>
      <c r="B69" s="25" t="s">
        <v>5872</v>
      </c>
      <c r="C69" s="25" t="s">
        <v>900</v>
      </c>
      <c r="D69" s="25" t="s">
        <v>5770</v>
      </c>
      <c r="E69" s="25" t="s">
        <v>5332</v>
      </c>
      <c r="F69" s="25" t="s">
        <v>4821</v>
      </c>
      <c r="G69" s="26">
        <v>46077.0</v>
      </c>
      <c r="H69" s="29">
        <f t="shared" si="1"/>
        <v>81</v>
      </c>
      <c r="I69" s="25" t="s">
        <v>5873</v>
      </c>
    </row>
    <row r="70" ht="15.75" customHeight="1">
      <c r="A70" s="58" t="s">
        <v>5917</v>
      </c>
      <c r="B70" s="58" t="s">
        <v>5872</v>
      </c>
      <c r="C70" s="58" t="s">
        <v>615</v>
      </c>
      <c r="D70" s="58" t="s">
        <v>5770</v>
      </c>
      <c r="E70" s="58" t="s">
        <v>5332</v>
      </c>
      <c r="F70" s="58" t="s">
        <v>4812</v>
      </c>
      <c r="G70" s="59">
        <v>46122.0</v>
      </c>
      <c r="H70" s="85">
        <f t="shared" si="1"/>
        <v>36</v>
      </c>
      <c r="I70" s="58" t="s">
        <v>5873</v>
      </c>
    </row>
    <row r="71" ht="15.75" customHeight="1">
      <c r="A71" s="25" t="s">
        <v>5918</v>
      </c>
      <c r="B71" s="25" t="s">
        <v>5872</v>
      </c>
      <c r="C71" s="25" t="s">
        <v>785</v>
      </c>
      <c r="D71" s="25" t="s">
        <v>5770</v>
      </c>
      <c r="E71" s="25" t="s">
        <v>5332</v>
      </c>
      <c r="F71" s="25" t="s">
        <v>4812</v>
      </c>
      <c r="G71" s="26">
        <v>46043.0</v>
      </c>
      <c r="H71" s="29">
        <f t="shared" si="1"/>
        <v>115</v>
      </c>
      <c r="I71" s="25" t="s">
        <v>5873</v>
      </c>
    </row>
    <row r="72" ht="15.75" customHeight="1">
      <c r="A72" s="58" t="s">
        <v>5919</v>
      </c>
      <c r="B72" s="58" t="s">
        <v>5872</v>
      </c>
      <c r="C72" s="58" t="s">
        <v>787</v>
      </c>
      <c r="D72" s="58" t="s">
        <v>5770</v>
      </c>
      <c r="E72" s="58" t="s">
        <v>5332</v>
      </c>
      <c r="F72" s="58" t="s">
        <v>4821</v>
      </c>
      <c r="G72" s="59">
        <v>46122.0</v>
      </c>
      <c r="H72" s="85">
        <f t="shared" si="1"/>
        <v>36</v>
      </c>
      <c r="I72" s="58" t="s">
        <v>5873</v>
      </c>
    </row>
    <row r="73" ht="15.75" customHeight="1">
      <c r="A73" s="25" t="s">
        <v>5920</v>
      </c>
      <c r="B73" s="25" t="s">
        <v>5872</v>
      </c>
      <c r="C73" s="25" t="s">
        <v>906</v>
      </c>
      <c r="D73" s="25" t="s">
        <v>5770</v>
      </c>
      <c r="E73" s="25" t="s">
        <v>5332</v>
      </c>
      <c r="F73" s="25" t="s">
        <v>4821</v>
      </c>
      <c r="G73" s="26">
        <v>46051.0</v>
      </c>
      <c r="H73" s="29">
        <f t="shared" si="1"/>
        <v>107</v>
      </c>
      <c r="I73" s="25" t="s">
        <v>5873</v>
      </c>
    </row>
    <row r="74" ht="15.75" customHeight="1">
      <c r="A74" s="58" t="s">
        <v>5921</v>
      </c>
      <c r="B74" s="58" t="s">
        <v>5872</v>
      </c>
      <c r="C74" s="58" t="s">
        <v>796</v>
      </c>
      <c r="D74" s="58" t="s">
        <v>5770</v>
      </c>
      <c r="E74" s="58" t="s">
        <v>5332</v>
      </c>
      <c r="F74" s="58" t="s">
        <v>4812</v>
      </c>
      <c r="G74" s="59">
        <v>46102.0</v>
      </c>
      <c r="H74" s="85">
        <f t="shared" si="1"/>
        <v>56</v>
      </c>
      <c r="I74" s="58" t="s">
        <v>5873</v>
      </c>
    </row>
    <row r="75" ht="15.75" customHeight="1">
      <c r="A75" s="25" t="s">
        <v>5922</v>
      </c>
      <c r="B75" s="25" t="s">
        <v>5872</v>
      </c>
      <c r="C75" s="25" t="s">
        <v>1027</v>
      </c>
      <c r="D75" s="25" t="s">
        <v>5770</v>
      </c>
      <c r="E75" s="25" t="s">
        <v>5332</v>
      </c>
      <c r="F75" s="25" t="s">
        <v>4816</v>
      </c>
      <c r="G75" s="26">
        <v>46092.0</v>
      </c>
      <c r="H75" s="29">
        <f t="shared" si="1"/>
        <v>66</v>
      </c>
      <c r="I75" s="25" t="s">
        <v>5873</v>
      </c>
    </row>
    <row r="76" ht="15.75" customHeight="1">
      <c r="A76" s="58" t="s">
        <v>5923</v>
      </c>
      <c r="B76" s="58" t="s">
        <v>5872</v>
      </c>
      <c r="C76" s="58" t="s">
        <v>508</v>
      </c>
      <c r="D76" s="58" t="s">
        <v>5770</v>
      </c>
      <c r="E76" s="58" t="s">
        <v>5332</v>
      </c>
      <c r="F76" s="58" t="s">
        <v>4816</v>
      </c>
      <c r="G76" s="59">
        <v>46061.0</v>
      </c>
      <c r="H76" s="85">
        <f t="shared" si="1"/>
        <v>97</v>
      </c>
      <c r="I76" s="58" t="s">
        <v>5873</v>
      </c>
    </row>
    <row r="77" ht="15.75" customHeight="1">
      <c r="A77" s="25" t="s">
        <v>5924</v>
      </c>
      <c r="B77" s="25" t="s">
        <v>5872</v>
      </c>
      <c r="C77" s="25" t="s">
        <v>633</v>
      </c>
      <c r="D77" s="25" t="s">
        <v>5770</v>
      </c>
      <c r="E77" s="25" t="s">
        <v>5332</v>
      </c>
      <c r="F77" s="25" t="s">
        <v>4816</v>
      </c>
      <c r="G77" s="26">
        <v>46083.0</v>
      </c>
      <c r="H77" s="29">
        <f t="shared" si="1"/>
        <v>75</v>
      </c>
      <c r="I77" s="25" t="s">
        <v>5873</v>
      </c>
    </row>
    <row r="78" ht="15.75" customHeight="1">
      <c r="A78" s="58" t="s">
        <v>5925</v>
      </c>
      <c r="B78" s="58" t="s">
        <v>5872</v>
      </c>
      <c r="C78" s="58" t="s">
        <v>914</v>
      </c>
      <c r="D78" s="58" t="s">
        <v>5770</v>
      </c>
      <c r="E78" s="58" t="s">
        <v>5332</v>
      </c>
      <c r="F78" s="58" t="s">
        <v>4816</v>
      </c>
      <c r="G78" s="59">
        <v>46119.0</v>
      </c>
      <c r="H78" s="85">
        <f t="shared" si="1"/>
        <v>39</v>
      </c>
      <c r="I78" s="58" t="s">
        <v>5873</v>
      </c>
    </row>
    <row r="79" ht="15.75" customHeight="1">
      <c r="A79" s="25" t="s">
        <v>5926</v>
      </c>
      <c r="B79" s="25" t="s">
        <v>5872</v>
      </c>
      <c r="C79" s="25" t="s">
        <v>1032</v>
      </c>
      <c r="D79" s="25" t="s">
        <v>5770</v>
      </c>
      <c r="E79" s="25" t="s">
        <v>5332</v>
      </c>
      <c r="F79" s="25" t="s">
        <v>4816</v>
      </c>
      <c r="G79" s="26">
        <v>46113.0</v>
      </c>
      <c r="H79" s="29">
        <f t="shared" si="1"/>
        <v>45</v>
      </c>
      <c r="I79" s="25" t="s">
        <v>5873</v>
      </c>
    </row>
    <row r="80" ht="15.75" customHeight="1">
      <c r="A80" s="58" t="s">
        <v>5927</v>
      </c>
      <c r="B80" s="58" t="s">
        <v>5872</v>
      </c>
      <c r="C80" s="58" t="s">
        <v>389</v>
      </c>
      <c r="D80" s="58" t="s">
        <v>5770</v>
      </c>
      <c r="E80" s="58" t="s">
        <v>5332</v>
      </c>
      <c r="F80" s="58" t="s">
        <v>4816</v>
      </c>
      <c r="G80" s="59">
        <v>46066.0</v>
      </c>
      <c r="H80" s="85">
        <f t="shared" si="1"/>
        <v>92</v>
      </c>
      <c r="I80" s="58" t="s">
        <v>5873</v>
      </c>
    </row>
    <row r="81" ht="15.75" customHeight="1">
      <c r="A81" s="25" t="s">
        <v>5928</v>
      </c>
      <c r="B81" s="25" t="s">
        <v>5872</v>
      </c>
      <c r="C81" s="25" t="s">
        <v>1035</v>
      </c>
      <c r="D81" s="25" t="s">
        <v>5770</v>
      </c>
      <c r="E81" s="25" t="s">
        <v>5332</v>
      </c>
      <c r="F81" s="25" t="s">
        <v>4816</v>
      </c>
      <c r="G81" s="26">
        <v>46104.0</v>
      </c>
      <c r="H81" s="29">
        <f t="shared" si="1"/>
        <v>54</v>
      </c>
      <c r="I81" s="25" t="s">
        <v>5873</v>
      </c>
    </row>
    <row r="82" ht="15.75" customHeight="1">
      <c r="A82" s="58" t="s">
        <v>5929</v>
      </c>
      <c r="B82" s="58" t="s">
        <v>5872</v>
      </c>
      <c r="C82" s="58" t="s">
        <v>396</v>
      </c>
      <c r="D82" s="58" t="s">
        <v>5770</v>
      </c>
      <c r="E82" s="58" t="s">
        <v>5332</v>
      </c>
      <c r="F82" s="58" t="s">
        <v>4821</v>
      </c>
      <c r="G82" s="59">
        <v>46117.0</v>
      </c>
      <c r="H82" s="85">
        <f t="shared" si="1"/>
        <v>41</v>
      </c>
      <c r="I82" s="58" t="s">
        <v>5873</v>
      </c>
    </row>
    <row r="83" ht="15.75" customHeight="1">
      <c r="A83" s="25" t="s">
        <v>5930</v>
      </c>
      <c r="B83" s="25" t="s">
        <v>5872</v>
      </c>
      <c r="C83" s="25" t="s">
        <v>815</v>
      </c>
      <c r="D83" s="25" t="s">
        <v>5770</v>
      </c>
      <c r="E83" s="25" t="s">
        <v>5332</v>
      </c>
      <c r="F83" s="25" t="s">
        <v>4816</v>
      </c>
      <c r="G83" s="26">
        <v>46089.0</v>
      </c>
      <c r="H83" s="29">
        <f t="shared" si="1"/>
        <v>69</v>
      </c>
      <c r="I83" s="25" t="s">
        <v>5873</v>
      </c>
    </row>
    <row r="84" ht="15.75" customHeight="1">
      <c r="A84" s="58" t="s">
        <v>5931</v>
      </c>
      <c r="B84" s="58" t="s">
        <v>5872</v>
      </c>
      <c r="C84" s="58" t="s">
        <v>512</v>
      </c>
      <c r="D84" s="58" t="s">
        <v>5770</v>
      </c>
      <c r="E84" s="58" t="s">
        <v>5332</v>
      </c>
      <c r="F84" s="58" t="s">
        <v>4821</v>
      </c>
      <c r="G84" s="59">
        <v>46130.0</v>
      </c>
      <c r="H84" s="85">
        <f t="shared" si="1"/>
        <v>28</v>
      </c>
      <c r="I84" s="58" t="s">
        <v>5873</v>
      </c>
    </row>
    <row r="85" ht="15.75" customHeight="1">
      <c r="A85" s="25" t="s">
        <v>5932</v>
      </c>
      <c r="B85" s="25" t="s">
        <v>5872</v>
      </c>
      <c r="C85" s="25" t="s">
        <v>654</v>
      </c>
      <c r="D85" s="25" t="s">
        <v>5770</v>
      </c>
      <c r="E85" s="25" t="s">
        <v>5332</v>
      </c>
      <c r="F85" s="25" t="s">
        <v>4821</v>
      </c>
      <c r="G85" s="26">
        <v>46143.0</v>
      </c>
      <c r="H85" s="29">
        <f t="shared" si="1"/>
        <v>15</v>
      </c>
      <c r="I85" s="25" t="s">
        <v>5873</v>
      </c>
    </row>
    <row r="86" ht="15.75" customHeight="1">
      <c r="A86" s="58" t="s">
        <v>5933</v>
      </c>
      <c r="B86" s="58" t="s">
        <v>5872</v>
      </c>
      <c r="C86" s="58" t="s">
        <v>252</v>
      </c>
      <c r="D86" s="58" t="s">
        <v>5770</v>
      </c>
      <c r="E86" s="58" t="s">
        <v>5332</v>
      </c>
      <c r="F86" s="58" t="s">
        <v>4821</v>
      </c>
      <c r="G86" s="59">
        <v>46129.0</v>
      </c>
      <c r="H86" s="85">
        <f t="shared" si="1"/>
        <v>29</v>
      </c>
      <c r="I86" s="58" t="s">
        <v>5873</v>
      </c>
    </row>
    <row r="87" ht="15.75" customHeight="1">
      <c r="A87" s="25" t="s">
        <v>5934</v>
      </c>
      <c r="B87" s="25" t="s">
        <v>5872</v>
      </c>
      <c r="C87" s="25" t="s">
        <v>655</v>
      </c>
      <c r="D87" s="25" t="s">
        <v>5770</v>
      </c>
      <c r="E87" s="25" t="s">
        <v>5332</v>
      </c>
      <c r="F87" s="25" t="s">
        <v>4821</v>
      </c>
      <c r="G87" s="26">
        <v>46113.0</v>
      </c>
      <c r="H87" s="29">
        <f t="shared" si="1"/>
        <v>45</v>
      </c>
      <c r="I87" s="25" t="s">
        <v>5873</v>
      </c>
    </row>
    <row r="88" ht="15.75" customHeight="1">
      <c r="A88" s="58" t="s">
        <v>5935</v>
      </c>
      <c r="B88" s="58" t="s">
        <v>5872</v>
      </c>
      <c r="C88" s="58" t="s">
        <v>1181</v>
      </c>
      <c r="D88" s="58" t="s">
        <v>5770</v>
      </c>
      <c r="E88" s="58" t="s">
        <v>5332</v>
      </c>
      <c r="F88" s="58" t="s">
        <v>4821</v>
      </c>
      <c r="G88" s="59">
        <v>46043.0</v>
      </c>
      <c r="H88" s="85">
        <f t="shared" si="1"/>
        <v>115</v>
      </c>
      <c r="I88" s="58" t="s">
        <v>5873</v>
      </c>
    </row>
    <row r="89" ht="15.75" customHeight="1">
      <c r="A89" s="25" t="s">
        <v>5936</v>
      </c>
      <c r="B89" s="25" t="s">
        <v>5872</v>
      </c>
      <c r="C89" s="25" t="s">
        <v>826</v>
      </c>
      <c r="D89" s="25" t="s">
        <v>5770</v>
      </c>
      <c r="E89" s="25" t="s">
        <v>5332</v>
      </c>
      <c r="F89" s="25" t="s">
        <v>4821</v>
      </c>
      <c r="G89" s="26">
        <v>46125.0</v>
      </c>
      <c r="H89" s="29">
        <f t="shared" si="1"/>
        <v>33</v>
      </c>
      <c r="I89" s="25" t="s">
        <v>5873</v>
      </c>
    </row>
    <row r="90" ht="15.75" customHeight="1">
      <c r="A90" s="58" t="s">
        <v>5937</v>
      </c>
      <c r="B90" s="58" t="s">
        <v>5872</v>
      </c>
      <c r="C90" s="58" t="s">
        <v>1056</v>
      </c>
      <c r="D90" s="58" t="s">
        <v>5770</v>
      </c>
      <c r="E90" s="58" t="s">
        <v>5332</v>
      </c>
      <c r="F90" s="58" t="s">
        <v>4821</v>
      </c>
      <c r="G90" s="59">
        <v>46111.0</v>
      </c>
      <c r="H90" s="85">
        <f t="shared" si="1"/>
        <v>47</v>
      </c>
      <c r="I90" s="58" t="s">
        <v>5873</v>
      </c>
    </row>
    <row r="91" ht="15.75" customHeight="1">
      <c r="A91" s="25" t="s">
        <v>5938</v>
      </c>
      <c r="B91" s="25" t="s">
        <v>5872</v>
      </c>
      <c r="C91" s="25" t="s">
        <v>834</v>
      </c>
      <c r="D91" s="25" t="s">
        <v>5770</v>
      </c>
      <c r="E91" s="25" t="s">
        <v>5332</v>
      </c>
      <c r="F91" s="25" t="s">
        <v>4821</v>
      </c>
      <c r="G91" s="26">
        <v>46112.0</v>
      </c>
      <c r="H91" s="29">
        <f t="shared" si="1"/>
        <v>46</v>
      </c>
      <c r="I91" s="25" t="s">
        <v>5873</v>
      </c>
    </row>
    <row r="92" ht="15.75" customHeight="1">
      <c r="A92" s="58" t="s">
        <v>5939</v>
      </c>
      <c r="B92" s="58" t="s">
        <v>5872</v>
      </c>
      <c r="C92" s="58" t="s">
        <v>421</v>
      </c>
      <c r="D92" s="58" t="s">
        <v>5770</v>
      </c>
      <c r="E92" s="58" t="s">
        <v>5332</v>
      </c>
      <c r="F92" s="58" t="s">
        <v>4821</v>
      </c>
      <c r="G92" s="59">
        <v>46144.0</v>
      </c>
      <c r="H92" s="85">
        <f t="shared" si="1"/>
        <v>14</v>
      </c>
      <c r="I92" s="58" t="s">
        <v>5873</v>
      </c>
    </row>
    <row r="93" ht="15.75" customHeight="1">
      <c r="A93" s="25" t="s">
        <v>5940</v>
      </c>
      <c r="B93" s="25" t="s">
        <v>5872</v>
      </c>
      <c r="C93" s="25" t="s">
        <v>151</v>
      </c>
      <c r="D93" s="25" t="s">
        <v>5770</v>
      </c>
      <c r="E93" s="25" t="s">
        <v>5332</v>
      </c>
      <c r="F93" s="25" t="s">
        <v>4821</v>
      </c>
      <c r="G93" s="26">
        <v>46027.0</v>
      </c>
      <c r="H93" s="29">
        <f t="shared" si="1"/>
        <v>131</v>
      </c>
      <c r="I93" s="25" t="s">
        <v>5873</v>
      </c>
    </row>
    <row r="94" ht="15.75" customHeight="1">
      <c r="A94" s="58" t="s">
        <v>5941</v>
      </c>
      <c r="B94" s="58" t="s">
        <v>5872</v>
      </c>
      <c r="C94" s="58" t="s">
        <v>152</v>
      </c>
      <c r="D94" s="58" t="s">
        <v>5770</v>
      </c>
      <c r="E94" s="58" t="s">
        <v>5332</v>
      </c>
      <c r="F94" s="58" t="s">
        <v>4821</v>
      </c>
      <c r="G94" s="59">
        <v>46072.0</v>
      </c>
      <c r="H94" s="85">
        <f t="shared" si="1"/>
        <v>86</v>
      </c>
      <c r="I94" s="58" t="s">
        <v>5873</v>
      </c>
    </row>
    <row r="95" ht="15.75" customHeight="1">
      <c r="A95" s="25" t="s">
        <v>5942</v>
      </c>
      <c r="B95" s="25" t="s">
        <v>5872</v>
      </c>
      <c r="C95" s="25" t="s">
        <v>678</v>
      </c>
      <c r="D95" s="25" t="s">
        <v>5770</v>
      </c>
      <c r="E95" s="25" t="s">
        <v>5332</v>
      </c>
      <c r="F95" s="25" t="s">
        <v>4821</v>
      </c>
      <c r="G95" s="26">
        <v>46135.0</v>
      </c>
      <c r="H95" s="29">
        <f t="shared" si="1"/>
        <v>23</v>
      </c>
      <c r="I95" s="25" t="s">
        <v>5873</v>
      </c>
    </row>
    <row r="96" ht="15.75" customHeight="1">
      <c r="A96" s="58" t="s">
        <v>5943</v>
      </c>
      <c r="B96" s="58" t="s">
        <v>5872</v>
      </c>
      <c r="C96" s="58" t="s">
        <v>944</v>
      </c>
      <c r="D96" s="58" t="s">
        <v>5770</v>
      </c>
      <c r="E96" s="58" t="s">
        <v>5332</v>
      </c>
      <c r="F96" s="58" t="s">
        <v>4821</v>
      </c>
      <c r="G96" s="59">
        <v>46028.0</v>
      </c>
      <c r="H96" s="85">
        <f t="shared" si="1"/>
        <v>130</v>
      </c>
      <c r="I96" s="58" t="s">
        <v>5873</v>
      </c>
    </row>
    <row r="97" ht="15.75" customHeight="1">
      <c r="A97" s="25" t="s">
        <v>5944</v>
      </c>
      <c r="B97" s="25" t="s">
        <v>5872</v>
      </c>
      <c r="C97" s="25" t="s">
        <v>846</v>
      </c>
      <c r="D97" s="25" t="s">
        <v>5770</v>
      </c>
      <c r="E97" s="25" t="s">
        <v>5332</v>
      </c>
      <c r="F97" s="25" t="s">
        <v>4821</v>
      </c>
      <c r="G97" s="26">
        <v>46059.0</v>
      </c>
      <c r="H97" s="29">
        <f t="shared" si="1"/>
        <v>99</v>
      </c>
      <c r="I97" s="25" t="s">
        <v>5873</v>
      </c>
    </row>
    <row r="98" ht="15.75" customHeight="1">
      <c r="A98" s="58" t="s">
        <v>5945</v>
      </c>
      <c r="B98" s="58" t="s">
        <v>5872</v>
      </c>
      <c r="C98" s="58" t="s">
        <v>435</v>
      </c>
      <c r="D98" s="58" t="s">
        <v>5770</v>
      </c>
      <c r="E98" s="58" t="s">
        <v>5332</v>
      </c>
      <c r="F98" s="58" t="s">
        <v>4816</v>
      </c>
      <c r="G98" s="59">
        <v>46107.0</v>
      </c>
      <c r="H98" s="85">
        <f t="shared" si="1"/>
        <v>51</v>
      </c>
      <c r="I98" s="58" t="s">
        <v>5873</v>
      </c>
    </row>
    <row r="99" ht="15.75" customHeight="1">
      <c r="A99" s="25" t="s">
        <v>5946</v>
      </c>
      <c r="B99" s="25" t="s">
        <v>5872</v>
      </c>
      <c r="C99" s="25" t="s">
        <v>169</v>
      </c>
      <c r="D99" s="25" t="s">
        <v>5770</v>
      </c>
      <c r="E99" s="25" t="s">
        <v>5332</v>
      </c>
      <c r="F99" s="25" t="s">
        <v>4821</v>
      </c>
      <c r="G99" s="26">
        <v>46113.0</v>
      </c>
      <c r="H99" s="29">
        <f t="shared" si="1"/>
        <v>45</v>
      </c>
      <c r="I99" s="25" t="s">
        <v>5873</v>
      </c>
    </row>
    <row r="100" ht="15.75" customHeight="1">
      <c r="A100" s="58" t="s">
        <v>5947</v>
      </c>
      <c r="B100" s="58" t="s">
        <v>5872</v>
      </c>
      <c r="C100" s="58" t="s">
        <v>438</v>
      </c>
      <c r="D100" s="58" t="s">
        <v>5770</v>
      </c>
      <c r="E100" s="58" t="s">
        <v>5332</v>
      </c>
      <c r="F100" s="58" t="s">
        <v>4821</v>
      </c>
      <c r="G100" s="59">
        <v>46069.0</v>
      </c>
      <c r="H100" s="85">
        <f t="shared" si="1"/>
        <v>89</v>
      </c>
      <c r="I100" s="58" t="s">
        <v>5873</v>
      </c>
    </row>
    <row r="101" ht="15.75" customHeight="1">
      <c r="A101" s="25" t="s">
        <v>5948</v>
      </c>
      <c r="B101" s="25" t="s">
        <v>5872</v>
      </c>
      <c r="C101" s="25" t="s">
        <v>693</v>
      </c>
      <c r="D101" s="25" t="s">
        <v>5770</v>
      </c>
      <c r="E101" s="25" t="s">
        <v>5332</v>
      </c>
      <c r="F101" s="25" t="s">
        <v>4821</v>
      </c>
      <c r="G101" s="26">
        <v>46094.0</v>
      </c>
      <c r="H101" s="29">
        <f t="shared" si="1"/>
        <v>64</v>
      </c>
      <c r="I101" s="25" t="s">
        <v>5873</v>
      </c>
    </row>
    <row r="102" ht="15.75" customHeight="1">
      <c r="A102" s="58" t="s">
        <v>5949</v>
      </c>
      <c r="B102" s="58" t="s">
        <v>5872</v>
      </c>
      <c r="C102" s="58" t="s">
        <v>850</v>
      </c>
      <c r="D102" s="58" t="s">
        <v>5770</v>
      </c>
      <c r="E102" s="58" t="s">
        <v>5332</v>
      </c>
      <c r="F102" s="58" t="s">
        <v>4812</v>
      </c>
      <c r="G102" s="59">
        <v>46143.0</v>
      </c>
      <c r="H102" s="85">
        <f t="shared" si="1"/>
        <v>15</v>
      </c>
      <c r="I102" s="58" t="s">
        <v>5873</v>
      </c>
    </row>
    <row r="103" ht="15.75" customHeight="1">
      <c r="A103" s="25" t="s">
        <v>5950</v>
      </c>
      <c r="B103" s="25" t="s">
        <v>5872</v>
      </c>
      <c r="C103" s="25" t="s">
        <v>441</v>
      </c>
      <c r="D103" s="25" t="s">
        <v>5770</v>
      </c>
      <c r="E103" s="25" t="s">
        <v>5332</v>
      </c>
      <c r="F103" s="25" t="s">
        <v>4821</v>
      </c>
      <c r="G103" s="26">
        <v>46037.0</v>
      </c>
      <c r="H103" s="29">
        <f t="shared" si="1"/>
        <v>121</v>
      </c>
      <c r="I103" s="25" t="s">
        <v>5873</v>
      </c>
    </row>
    <row r="104" ht="15.75" customHeight="1">
      <c r="A104" s="58" t="s">
        <v>5951</v>
      </c>
      <c r="B104" s="58" t="s">
        <v>4831</v>
      </c>
      <c r="C104" s="58" t="s">
        <v>163</v>
      </c>
      <c r="D104" s="58" t="s">
        <v>5770</v>
      </c>
      <c r="E104" s="58" t="s">
        <v>4826</v>
      </c>
      <c r="F104" s="58" t="s">
        <v>4821</v>
      </c>
      <c r="G104" s="59">
        <v>46065.0</v>
      </c>
      <c r="H104" s="85">
        <f t="shared" si="1"/>
        <v>93</v>
      </c>
      <c r="I104" s="58" t="s">
        <v>5952</v>
      </c>
    </row>
    <row r="105" ht="15.75" customHeight="1">
      <c r="A105" s="25" t="s">
        <v>5953</v>
      </c>
      <c r="B105" s="25" t="s">
        <v>4831</v>
      </c>
      <c r="C105" s="25" t="s">
        <v>951</v>
      </c>
      <c r="D105" s="25" t="s">
        <v>5770</v>
      </c>
      <c r="E105" s="25" t="s">
        <v>4826</v>
      </c>
      <c r="F105" s="25" t="s">
        <v>4812</v>
      </c>
      <c r="G105" s="26">
        <v>46103.0</v>
      </c>
      <c r="H105" s="29">
        <f t="shared" si="1"/>
        <v>55</v>
      </c>
      <c r="I105" s="25" t="s">
        <v>5952</v>
      </c>
    </row>
    <row r="106" ht="15.75" customHeight="1">
      <c r="A106" s="58" t="s">
        <v>5954</v>
      </c>
      <c r="B106" s="58" t="s">
        <v>4831</v>
      </c>
      <c r="C106" s="58" t="s">
        <v>699</v>
      </c>
      <c r="D106" s="58" t="s">
        <v>5770</v>
      </c>
      <c r="E106" s="58" t="s">
        <v>4826</v>
      </c>
      <c r="F106" s="58" t="s">
        <v>4821</v>
      </c>
      <c r="G106" s="59">
        <v>46045.0</v>
      </c>
      <c r="H106" s="85">
        <f t="shared" si="1"/>
        <v>113</v>
      </c>
      <c r="I106" s="58" t="s">
        <v>5952</v>
      </c>
    </row>
    <row r="107" ht="15.75" customHeight="1">
      <c r="A107" s="25" t="s">
        <v>5955</v>
      </c>
      <c r="B107" s="25" t="s">
        <v>4831</v>
      </c>
      <c r="C107" s="25" t="s">
        <v>445</v>
      </c>
      <c r="D107" s="25" t="s">
        <v>5770</v>
      </c>
      <c r="E107" s="25" t="s">
        <v>4826</v>
      </c>
      <c r="F107" s="25" t="s">
        <v>4812</v>
      </c>
      <c r="G107" s="26">
        <v>46131.0</v>
      </c>
      <c r="H107" s="29">
        <f t="shared" si="1"/>
        <v>27</v>
      </c>
      <c r="I107" s="25" t="s">
        <v>5952</v>
      </c>
    </row>
    <row r="108" ht="15.75" customHeight="1">
      <c r="A108" s="58" t="s">
        <v>5956</v>
      </c>
      <c r="B108" s="58" t="s">
        <v>4831</v>
      </c>
      <c r="C108" s="58" t="s">
        <v>541</v>
      </c>
      <c r="D108" s="58" t="s">
        <v>5770</v>
      </c>
      <c r="E108" s="58" t="s">
        <v>4826</v>
      </c>
      <c r="F108" s="58" t="s">
        <v>4816</v>
      </c>
      <c r="G108" s="59">
        <v>46055.0</v>
      </c>
      <c r="H108" s="85">
        <f t="shared" si="1"/>
        <v>103</v>
      </c>
      <c r="I108" s="58" t="s">
        <v>5952</v>
      </c>
    </row>
    <row r="109" ht="15.75" customHeight="1">
      <c r="A109" s="25" t="s">
        <v>5957</v>
      </c>
      <c r="B109" s="25" t="s">
        <v>4831</v>
      </c>
      <c r="C109" s="25" t="s">
        <v>172</v>
      </c>
      <c r="D109" s="25" t="s">
        <v>5770</v>
      </c>
      <c r="E109" s="25" t="s">
        <v>4826</v>
      </c>
      <c r="F109" s="25" t="s">
        <v>4812</v>
      </c>
      <c r="G109" s="26">
        <v>46103.0</v>
      </c>
      <c r="H109" s="29">
        <f t="shared" si="1"/>
        <v>55</v>
      </c>
      <c r="I109" s="25" t="s">
        <v>5952</v>
      </c>
    </row>
    <row r="110" ht="15.75" customHeight="1">
      <c r="A110" s="58" t="s">
        <v>5958</v>
      </c>
      <c r="B110" s="58" t="s">
        <v>4831</v>
      </c>
      <c r="C110" s="58" t="s">
        <v>294</v>
      </c>
      <c r="D110" s="58" t="s">
        <v>5770</v>
      </c>
      <c r="E110" s="58" t="s">
        <v>4826</v>
      </c>
      <c r="F110" s="58" t="s">
        <v>4816</v>
      </c>
      <c r="G110" s="59">
        <v>46147.0</v>
      </c>
      <c r="H110" s="85">
        <f t="shared" si="1"/>
        <v>11</v>
      </c>
      <c r="I110" s="58" t="s">
        <v>5952</v>
      </c>
    </row>
    <row r="111" ht="15.75" customHeight="1">
      <c r="A111" s="25" t="s">
        <v>5959</v>
      </c>
      <c r="B111" s="25" t="s">
        <v>4831</v>
      </c>
      <c r="C111" s="25" t="s">
        <v>956</v>
      </c>
      <c r="D111" s="25" t="s">
        <v>5770</v>
      </c>
      <c r="E111" s="25" t="s">
        <v>4826</v>
      </c>
      <c r="F111" s="25" t="s">
        <v>4821</v>
      </c>
      <c r="G111" s="26">
        <v>46077.0</v>
      </c>
      <c r="H111" s="29">
        <f t="shared" si="1"/>
        <v>81</v>
      </c>
      <c r="I111" s="25" t="s">
        <v>5952</v>
      </c>
    </row>
    <row r="112" ht="15.75" customHeight="1">
      <c r="A112" s="58" t="s">
        <v>5960</v>
      </c>
      <c r="B112" s="58" t="s">
        <v>4831</v>
      </c>
      <c r="C112" s="58" t="s">
        <v>548</v>
      </c>
      <c r="D112" s="58" t="s">
        <v>5770</v>
      </c>
      <c r="E112" s="58" t="s">
        <v>4826</v>
      </c>
      <c r="F112" s="58" t="s">
        <v>4812</v>
      </c>
      <c r="G112" s="59">
        <v>46110.0</v>
      </c>
      <c r="H112" s="85">
        <f t="shared" si="1"/>
        <v>48</v>
      </c>
      <c r="I112" s="58" t="s">
        <v>5952</v>
      </c>
    </row>
    <row r="113" ht="15.75" customHeight="1">
      <c r="A113" s="25" t="s">
        <v>5961</v>
      </c>
      <c r="B113" s="25" t="s">
        <v>4831</v>
      </c>
      <c r="C113" s="25" t="s">
        <v>959</v>
      </c>
      <c r="D113" s="25" t="s">
        <v>5770</v>
      </c>
      <c r="E113" s="25" t="s">
        <v>4826</v>
      </c>
      <c r="F113" s="25" t="s">
        <v>4816</v>
      </c>
      <c r="G113" s="26">
        <v>46070.0</v>
      </c>
      <c r="H113" s="29">
        <f t="shared" si="1"/>
        <v>88</v>
      </c>
      <c r="I113" s="25" t="s">
        <v>5952</v>
      </c>
    </row>
    <row r="114" ht="15.75" customHeight="1">
      <c r="A114" s="58" t="s">
        <v>5962</v>
      </c>
      <c r="B114" s="58" t="s">
        <v>4831</v>
      </c>
      <c r="C114" s="58" t="s">
        <v>1128</v>
      </c>
      <c r="D114" s="58" t="s">
        <v>5770</v>
      </c>
      <c r="E114" s="58" t="s">
        <v>4826</v>
      </c>
      <c r="F114" s="58" t="s">
        <v>4816</v>
      </c>
      <c r="G114" s="59">
        <v>46109.0</v>
      </c>
      <c r="H114" s="85">
        <f t="shared" si="1"/>
        <v>49</v>
      </c>
      <c r="I114" s="58" t="s">
        <v>5952</v>
      </c>
    </row>
    <row r="115" ht="15.75" customHeight="1">
      <c r="A115" s="25" t="s">
        <v>5963</v>
      </c>
      <c r="B115" s="25" t="s">
        <v>4831</v>
      </c>
      <c r="C115" s="25" t="s">
        <v>1080</v>
      </c>
      <c r="D115" s="25" t="s">
        <v>5770</v>
      </c>
      <c r="E115" s="25" t="s">
        <v>4826</v>
      </c>
      <c r="F115" s="25" t="s">
        <v>4821</v>
      </c>
      <c r="G115" s="26">
        <v>46112.0</v>
      </c>
      <c r="H115" s="29">
        <f t="shared" si="1"/>
        <v>46</v>
      </c>
      <c r="I115" s="25" t="s">
        <v>5952</v>
      </c>
    </row>
    <row r="116" ht="15.75" customHeight="1">
      <c r="A116" s="58" t="s">
        <v>5964</v>
      </c>
      <c r="B116" s="58" t="s">
        <v>4831</v>
      </c>
      <c r="C116" s="58" t="s">
        <v>451</v>
      </c>
      <c r="D116" s="58" t="s">
        <v>5770</v>
      </c>
      <c r="E116" s="58" t="s">
        <v>4826</v>
      </c>
      <c r="F116" s="58" t="s">
        <v>4816</v>
      </c>
      <c r="G116" s="59">
        <v>46035.0</v>
      </c>
      <c r="H116" s="85">
        <f t="shared" si="1"/>
        <v>123</v>
      </c>
      <c r="I116" s="58" t="s">
        <v>5952</v>
      </c>
    </row>
    <row r="117" ht="15.75" customHeight="1">
      <c r="A117" s="25" t="s">
        <v>5965</v>
      </c>
      <c r="B117" s="25" t="s">
        <v>4831</v>
      </c>
      <c r="C117" s="25" t="s">
        <v>79</v>
      </c>
      <c r="D117" s="25" t="s">
        <v>5770</v>
      </c>
      <c r="E117" s="25" t="s">
        <v>4826</v>
      </c>
      <c r="F117" s="25" t="s">
        <v>4821</v>
      </c>
      <c r="G117" s="26">
        <v>46121.0</v>
      </c>
      <c r="H117" s="29">
        <f t="shared" si="1"/>
        <v>37</v>
      </c>
      <c r="I117" s="25" t="s">
        <v>5952</v>
      </c>
    </row>
    <row r="118" ht="15.75" customHeight="1">
      <c r="A118" s="58" t="s">
        <v>5966</v>
      </c>
      <c r="B118" s="58" t="s">
        <v>4831</v>
      </c>
      <c r="C118" s="58" t="s">
        <v>1135</v>
      </c>
      <c r="D118" s="58" t="s">
        <v>5770</v>
      </c>
      <c r="E118" s="58" t="s">
        <v>4826</v>
      </c>
      <c r="F118" s="58" t="s">
        <v>4812</v>
      </c>
      <c r="G118" s="59">
        <v>46098.0</v>
      </c>
      <c r="H118" s="85">
        <f t="shared" si="1"/>
        <v>60</v>
      </c>
      <c r="I118" s="58" t="s">
        <v>5952</v>
      </c>
    </row>
    <row r="119" ht="15.75" customHeight="1">
      <c r="A119" s="25" t="s">
        <v>5967</v>
      </c>
      <c r="B119" s="25" t="s">
        <v>4831</v>
      </c>
      <c r="C119" s="25" t="s">
        <v>1137</v>
      </c>
      <c r="D119" s="25" t="s">
        <v>5770</v>
      </c>
      <c r="E119" s="25" t="s">
        <v>4826</v>
      </c>
      <c r="F119" s="25" t="s">
        <v>4821</v>
      </c>
      <c r="G119" s="26">
        <v>46097.0</v>
      </c>
      <c r="H119" s="29">
        <f t="shared" si="1"/>
        <v>61</v>
      </c>
      <c r="I119" s="25" t="s">
        <v>5952</v>
      </c>
    </row>
    <row r="120" ht="15.75" customHeight="1">
      <c r="A120" s="58" t="s">
        <v>5968</v>
      </c>
      <c r="B120" s="58" t="s">
        <v>4831</v>
      </c>
      <c r="C120" s="58" t="s">
        <v>969</v>
      </c>
      <c r="D120" s="58" t="s">
        <v>5770</v>
      </c>
      <c r="E120" s="58" t="s">
        <v>4826</v>
      </c>
      <c r="F120" s="58" t="s">
        <v>4821</v>
      </c>
      <c r="G120" s="59">
        <v>46150.0</v>
      </c>
      <c r="H120" s="85">
        <f t="shared" si="1"/>
        <v>8</v>
      </c>
      <c r="I120" s="58" t="s">
        <v>5952</v>
      </c>
    </row>
    <row r="121" ht="15.75" customHeight="1">
      <c r="A121" s="25" t="s">
        <v>5969</v>
      </c>
      <c r="B121" s="25" t="s">
        <v>4831</v>
      </c>
      <c r="C121" s="25" t="s">
        <v>84</v>
      </c>
      <c r="D121" s="25" t="s">
        <v>5770</v>
      </c>
      <c r="E121" s="25" t="s">
        <v>4826</v>
      </c>
      <c r="F121" s="25" t="s">
        <v>4812</v>
      </c>
      <c r="G121" s="26">
        <v>46146.0</v>
      </c>
      <c r="H121" s="29">
        <f t="shared" si="1"/>
        <v>12</v>
      </c>
      <c r="I121" s="25" t="s">
        <v>5952</v>
      </c>
    </row>
    <row r="122" ht="15.75" customHeight="1">
      <c r="A122" s="58" t="s">
        <v>5970</v>
      </c>
      <c r="B122" s="58" t="s">
        <v>4831</v>
      </c>
      <c r="C122" s="58" t="s">
        <v>562</v>
      </c>
      <c r="D122" s="58" t="s">
        <v>5770</v>
      </c>
      <c r="E122" s="58" t="s">
        <v>4826</v>
      </c>
      <c r="F122" s="58" t="s">
        <v>4821</v>
      </c>
      <c r="G122" s="59">
        <v>46093.0</v>
      </c>
      <c r="H122" s="85">
        <f t="shared" si="1"/>
        <v>65</v>
      </c>
      <c r="I122" s="58" t="s">
        <v>5952</v>
      </c>
    </row>
    <row r="123" ht="15.75" customHeight="1">
      <c r="A123" s="25" t="s">
        <v>5971</v>
      </c>
      <c r="B123" s="25" t="s">
        <v>4831</v>
      </c>
      <c r="C123" s="25" t="s">
        <v>970</v>
      </c>
      <c r="D123" s="25" t="s">
        <v>5770</v>
      </c>
      <c r="E123" s="25" t="s">
        <v>4826</v>
      </c>
      <c r="F123" s="25" t="s">
        <v>4816</v>
      </c>
      <c r="G123" s="26">
        <v>46066.0</v>
      </c>
      <c r="H123" s="29">
        <f t="shared" si="1"/>
        <v>92</v>
      </c>
      <c r="I123" s="25" t="s">
        <v>5952</v>
      </c>
    </row>
    <row r="124" ht="15.75" customHeight="1">
      <c r="A124" s="58" t="s">
        <v>5972</v>
      </c>
      <c r="B124" s="58" t="s">
        <v>4831</v>
      </c>
      <c r="C124" s="58" t="s">
        <v>187</v>
      </c>
      <c r="D124" s="58" t="s">
        <v>5770</v>
      </c>
      <c r="E124" s="58" t="s">
        <v>4826</v>
      </c>
      <c r="F124" s="58" t="s">
        <v>4821</v>
      </c>
      <c r="G124" s="59">
        <v>46116.0</v>
      </c>
      <c r="H124" s="85">
        <f t="shared" si="1"/>
        <v>42</v>
      </c>
      <c r="I124" s="58" t="s">
        <v>5952</v>
      </c>
    </row>
    <row r="125" ht="15.75" customHeight="1">
      <c r="A125" s="25" t="s">
        <v>5973</v>
      </c>
      <c r="B125" s="25" t="s">
        <v>4831</v>
      </c>
      <c r="C125" s="25" t="s">
        <v>564</v>
      </c>
      <c r="D125" s="25" t="s">
        <v>5770</v>
      </c>
      <c r="E125" s="25" t="s">
        <v>4826</v>
      </c>
      <c r="F125" s="25" t="s">
        <v>4821</v>
      </c>
      <c r="G125" s="26">
        <v>46036.0</v>
      </c>
      <c r="H125" s="29">
        <f t="shared" si="1"/>
        <v>122</v>
      </c>
      <c r="I125" s="25" t="s">
        <v>5952</v>
      </c>
    </row>
    <row r="126" ht="15.75" customHeight="1">
      <c r="A126" s="58" t="s">
        <v>5974</v>
      </c>
      <c r="B126" s="58" t="s">
        <v>4831</v>
      </c>
      <c r="C126" s="58" t="s">
        <v>1090</v>
      </c>
      <c r="D126" s="58" t="s">
        <v>5770</v>
      </c>
      <c r="E126" s="58" t="s">
        <v>4826</v>
      </c>
      <c r="F126" s="58" t="s">
        <v>4812</v>
      </c>
      <c r="G126" s="59">
        <v>46153.0</v>
      </c>
      <c r="H126" s="85">
        <f t="shared" si="1"/>
        <v>5</v>
      </c>
      <c r="I126" s="58" t="s">
        <v>5952</v>
      </c>
    </row>
    <row r="127" ht="15.75" customHeight="1">
      <c r="A127" s="25" t="s">
        <v>5975</v>
      </c>
      <c r="B127" s="25" t="s">
        <v>4831</v>
      </c>
      <c r="C127" s="25" t="s">
        <v>732</v>
      </c>
      <c r="D127" s="25" t="s">
        <v>5770</v>
      </c>
      <c r="E127" s="25" t="s">
        <v>4826</v>
      </c>
      <c r="F127" s="25" t="s">
        <v>4812</v>
      </c>
      <c r="G127" s="26">
        <v>46075.0</v>
      </c>
      <c r="H127" s="29">
        <f t="shared" si="1"/>
        <v>83</v>
      </c>
      <c r="I127" s="25" t="s">
        <v>5952</v>
      </c>
    </row>
    <row r="128" ht="15.75" customHeight="1">
      <c r="A128" s="58" t="s">
        <v>5976</v>
      </c>
      <c r="B128" s="58" t="s">
        <v>4831</v>
      </c>
      <c r="C128" s="58" t="s">
        <v>572</v>
      </c>
      <c r="D128" s="58" t="s">
        <v>5770</v>
      </c>
      <c r="E128" s="58" t="s">
        <v>4826</v>
      </c>
      <c r="F128" s="58" t="s">
        <v>4816</v>
      </c>
      <c r="G128" s="59">
        <v>46106.0</v>
      </c>
      <c r="H128" s="85">
        <f t="shared" si="1"/>
        <v>52</v>
      </c>
      <c r="I128" s="58" t="s">
        <v>5952</v>
      </c>
    </row>
    <row r="129" ht="15.75" customHeight="1">
      <c r="A129" s="25" t="s">
        <v>5977</v>
      </c>
      <c r="B129" s="25" t="s">
        <v>4831</v>
      </c>
      <c r="C129" s="25" t="s">
        <v>736</v>
      </c>
      <c r="D129" s="25" t="s">
        <v>5770</v>
      </c>
      <c r="E129" s="25" t="s">
        <v>4826</v>
      </c>
      <c r="F129" s="25" t="s">
        <v>4812</v>
      </c>
      <c r="G129" s="26">
        <v>46107.0</v>
      </c>
      <c r="H129" s="29">
        <f t="shared" si="1"/>
        <v>51</v>
      </c>
      <c r="I129" s="25" t="s">
        <v>5952</v>
      </c>
    </row>
    <row r="130" ht="15.75" customHeight="1">
      <c r="A130" s="58" t="s">
        <v>5978</v>
      </c>
      <c r="B130" s="58" t="s">
        <v>4831</v>
      </c>
      <c r="C130" s="58" t="s">
        <v>191</v>
      </c>
      <c r="D130" s="58" t="s">
        <v>5770</v>
      </c>
      <c r="E130" s="58" t="s">
        <v>4826</v>
      </c>
      <c r="F130" s="58" t="s">
        <v>4812</v>
      </c>
      <c r="G130" s="59">
        <v>46088.0</v>
      </c>
      <c r="H130" s="85">
        <f t="shared" si="1"/>
        <v>70</v>
      </c>
      <c r="I130" s="58" t="s">
        <v>5952</v>
      </c>
    </row>
    <row r="131" ht="15.75" customHeight="1">
      <c r="A131" s="25" t="s">
        <v>5979</v>
      </c>
      <c r="B131" s="25" t="s">
        <v>4831</v>
      </c>
      <c r="C131" s="25" t="s">
        <v>574</v>
      </c>
      <c r="D131" s="25" t="s">
        <v>5770</v>
      </c>
      <c r="E131" s="25" t="s">
        <v>4826</v>
      </c>
      <c r="F131" s="25" t="s">
        <v>4816</v>
      </c>
      <c r="G131" s="26">
        <v>46147.0</v>
      </c>
      <c r="H131" s="29">
        <f t="shared" si="1"/>
        <v>11</v>
      </c>
      <c r="I131" s="25" t="s">
        <v>5952</v>
      </c>
    </row>
    <row r="132" ht="15.75" customHeight="1">
      <c r="A132" s="58" t="s">
        <v>5980</v>
      </c>
      <c r="B132" s="58" t="s">
        <v>4831</v>
      </c>
      <c r="C132" s="58" t="s">
        <v>877</v>
      </c>
      <c r="D132" s="58" t="s">
        <v>5770</v>
      </c>
      <c r="E132" s="58" t="s">
        <v>4826</v>
      </c>
      <c r="F132" s="58" t="s">
        <v>4816</v>
      </c>
      <c r="G132" s="59">
        <v>46047.0</v>
      </c>
      <c r="H132" s="85">
        <f t="shared" si="1"/>
        <v>111</v>
      </c>
      <c r="I132" s="58" t="s">
        <v>5952</v>
      </c>
    </row>
    <row r="133" ht="15.75" customHeight="1">
      <c r="A133" s="25" t="s">
        <v>5981</v>
      </c>
      <c r="B133" s="25" t="s">
        <v>4831</v>
      </c>
      <c r="C133" s="25" t="s">
        <v>321</v>
      </c>
      <c r="D133" s="25" t="s">
        <v>5770</v>
      </c>
      <c r="E133" s="25" t="s">
        <v>4826</v>
      </c>
      <c r="F133" s="25" t="s">
        <v>4812</v>
      </c>
      <c r="G133" s="26">
        <v>46138.0</v>
      </c>
      <c r="H133" s="29">
        <f t="shared" si="1"/>
        <v>20</v>
      </c>
      <c r="I133" s="25" t="s">
        <v>5952</v>
      </c>
    </row>
    <row r="134" ht="15.75" customHeight="1">
      <c r="A134" s="58" t="s">
        <v>5982</v>
      </c>
      <c r="B134" s="58" t="s">
        <v>4831</v>
      </c>
      <c r="C134" s="58" t="s">
        <v>1141</v>
      </c>
      <c r="D134" s="58" t="s">
        <v>5770</v>
      </c>
      <c r="E134" s="58" t="s">
        <v>4826</v>
      </c>
      <c r="F134" s="58" t="s">
        <v>4816</v>
      </c>
      <c r="G134" s="59">
        <v>46095.0</v>
      </c>
      <c r="H134" s="85">
        <f t="shared" si="1"/>
        <v>63</v>
      </c>
      <c r="I134" s="58" t="s">
        <v>5952</v>
      </c>
    </row>
    <row r="135" ht="15.75" customHeight="1">
      <c r="A135" s="25" t="s">
        <v>5983</v>
      </c>
      <c r="B135" s="25" t="s">
        <v>4831</v>
      </c>
      <c r="C135" s="25" t="s">
        <v>744</v>
      </c>
      <c r="D135" s="25" t="s">
        <v>5770</v>
      </c>
      <c r="E135" s="25" t="s">
        <v>4826</v>
      </c>
      <c r="F135" s="25" t="s">
        <v>4821</v>
      </c>
      <c r="G135" s="26">
        <v>46098.0</v>
      </c>
      <c r="H135" s="29">
        <f t="shared" si="1"/>
        <v>60</v>
      </c>
      <c r="I135" s="25" t="s">
        <v>5952</v>
      </c>
    </row>
    <row r="136" ht="15.75" customHeight="1">
      <c r="A136" s="58" t="s">
        <v>5984</v>
      </c>
      <c r="B136" s="58" t="s">
        <v>4831</v>
      </c>
      <c r="C136" s="58" t="s">
        <v>324</v>
      </c>
      <c r="D136" s="58" t="s">
        <v>5770</v>
      </c>
      <c r="E136" s="58" t="s">
        <v>4826</v>
      </c>
      <c r="F136" s="58" t="s">
        <v>4821</v>
      </c>
      <c r="G136" s="59">
        <v>46069.0</v>
      </c>
      <c r="H136" s="85">
        <f t="shared" si="1"/>
        <v>89</v>
      </c>
      <c r="I136" s="58" t="s">
        <v>5952</v>
      </c>
    </row>
    <row r="137" ht="15.75" customHeight="1">
      <c r="A137" s="25" t="s">
        <v>5985</v>
      </c>
      <c r="B137" s="25" t="s">
        <v>4831</v>
      </c>
      <c r="C137" s="25" t="s">
        <v>577</v>
      </c>
      <c r="D137" s="25" t="s">
        <v>5770</v>
      </c>
      <c r="E137" s="25" t="s">
        <v>4826</v>
      </c>
      <c r="F137" s="25" t="s">
        <v>4821</v>
      </c>
      <c r="G137" s="26">
        <v>46041.0</v>
      </c>
      <c r="H137" s="29">
        <f t="shared" si="1"/>
        <v>117</v>
      </c>
      <c r="I137" s="25" t="s">
        <v>5952</v>
      </c>
    </row>
    <row r="138" ht="15.75" customHeight="1">
      <c r="A138" s="58" t="s">
        <v>5986</v>
      </c>
      <c r="B138" s="58" t="s">
        <v>4831</v>
      </c>
      <c r="C138" s="58" t="s">
        <v>476</v>
      </c>
      <c r="D138" s="58" t="s">
        <v>5770</v>
      </c>
      <c r="E138" s="58" t="s">
        <v>4826</v>
      </c>
      <c r="F138" s="58" t="s">
        <v>4812</v>
      </c>
      <c r="G138" s="59">
        <v>46142.0</v>
      </c>
      <c r="H138" s="85">
        <f t="shared" si="1"/>
        <v>16</v>
      </c>
      <c r="I138" s="58" t="s">
        <v>5952</v>
      </c>
    </row>
    <row r="139" ht="15.75" customHeight="1">
      <c r="A139" s="25" t="s">
        <v>5987</v>
      </c>
      <c r="B139" s="25" t="s">
        <v>4831</v>
      </c>
      <c r="C139" s="25" t="s">
        <v>747</v>
      </c>
      <c r="D139" s="25" t="s">
        <v>5770</v>
      </c>
      <c r="E139" s="25" t="s">
        <v>4826</v>
      </c>
      <c r="F139" s="25" t="s">
        <v>4821</v>
      </c>
      <c r="G139" s="26">
        <v>46118.0</v>
      </c>
      <c r="H139" s="29">
        <f t="shared" si="1"/>
        <v>40</v>
      </c>
      <c r="I139" s="25" t="s">
        <v>5952</v>
      </c>
    </row>
    <row r="140" ht="15.75" customHeight="1">
      <c r="A140" s="58" t="s">
        <v>5988</v>
      </c>
      <c r="B140" s="58" t="s">
        <v>4831</v>
      </c>
      <c r="C140" s="58" t="s">
        <v>328</v>
      </c>
      <c r="D140" s="58" t="s">
        <v>5770</v>
      </c>
      <c r="E140" s="58" t="s">
        <v>4826</v>
      </c>
      <c r="F140" s="58" t="s">
        <v>4812</v>
      </c>
      <c r="G140" s="59">
        <v>46079.0</v>
      </c>
      <c r="H140" s="85">
        <f t="shared" si="1"/>
        <v>79</v>
      </c>
      <c r="I140" s="58" t="s">
        <v>5952</v>
      </c>
    </row>
    <row r="141" ht="15.75" customHeight="1">
      <c r="A141" s="25" t="s">
        <v>5989</v>
      </c>
      <c r="B141" s="25" t="s">
        <v>4831</v>
      </c>
      <c r="C141" s="25" t="s">
        <v>751</v>
      </c>
      <c r="D141" s="25" t="s">
        <v>5770</v>
      </c>
      <c r="E141" s="25" t="s">
        <v>4826</v>
      </c>
      <c r="F141" s="25" t="s">
        <v>4821</v>
      </c>
      <c r="G141" s="26">
        <v>46092.0</v>
      </c>
      <c r="H141" s="29">
        <f t="shared" si="1"/>
        <v>66</v>
      </c>
      <c r="I141" s="25" t="s">
        <v>5952</v>
      </c>
    </row>
    <row r="142" ht="15.75" customHeight="1">
      <c r="A142" s="58" t="s">
        <v>5990</v>
      </c>
      <c r="B142" s="58" t="s">
        <v>4831</v>
      </c>
      <c r="C142" s="58" t="s">
        <v>752</v>
      </c>
      <c r="D142" s="58" t="s">
        <v>5770</v>
      </c>
      <c r="E142" s="58" t="s">
        <v>4826</v>
      </c>
      <c r="F142" s="58" t="s">
        <v>4821</v>
      </c>
      <c r="G142" s="59">
        <v>46135.0</v>
      </c>
      <c r="H142" s="85">
        <f t="shared" si="1"/>
        <v>23</v>
      </c>
      <c r="I142" s="58" t="s">
        <v>5952</v>
      </c>
    </row>
    <row r="143" ht="15.75" customHeight="1">
      <c r="A143" s="25" t="s">
        <v>5991</v>
      </c>
      <c r="B143" s="25" t="s">
        <v>4831</v>
      </c>
      <c r="C143" s="25" t="s">
        <v>480</v>
      </c>
      <c r="D143" s="25" t="s">
        <v>5770</v>
      </c>
      <c r="E143" s="25" t="s">
        <v>4826</v>
      </c>
      <c r="F143" s="25" t="s">
        <v>4812</v>
      </c>
      <c r="G143" s="26">
        <v>46071.0</v>
      </c>
      <c r="H143" s="29">
        <f t="shared" si="1"/>
        <v>87</v>
      </c>
      <c r="I143" s="25" t="s">
        <v>5952</v>
      </c>
    </row>
    <row r="144" ht="15.75" customHeight="1">
      <c r="A144" s="58" t="s">
        <v>5992</v>
      </c>
      <c r="B144" s="58" t="s">
        <v>4831</v>
      </c>
      <c r="C144" s="58" t="s">
        <v>1142</v>
      </c>
      <c r="D144" s="58" t="s">
        <v>5770</v>
      </c>
      <c r="E144" s="58" t="s">
        <v>4826</v>
      </c>
      <c r="F144" s="58" t="s">
        <v>4816</v>
      </c>
      <c r="G144" s="59">
        <v>46117.0</v>
      </c>
      <c r="H144" s="85">
        <f t="shared" si="1"/>
        <v>41</v>
      </c>
      <c r="I144" s="58" t="s">
        <v>5952</v>
      </c>
    </row>
    <row r="145" ht="15.75" customHeight="1">
      <c r="A145" s="25" t="s">
        <v>5993</v>
      </c>
      <c r="B145" s="25" t="s">
        <v>4831</v>
      </c>
      <c r="C145" s="25" t="s">
        <v>982</v>
      </c>
      <c r="D145" s="25" t="s">
        <v>5770</v>
      </c>
      <c r="E145" s="25" t="s">
        <v>4826</v>
      </c>
      <c r="F145" s="25" t="s">
        <v>4816</v>
      </c>
      <c r="G145" s="26">
        <v>46084.0</v>
      </c>
      <c r="H145" s="29">
        <f t="shared" si="1"/>
        <v>74</v>
      </c>
      <c r="I145" s="25" t="s">
        <v>5952</v>
      </c>
    </row>
    <row r="146" ht="15.75" customHeight="1">
      <c r="A146" s="58" t="s">
        <v>5994</v>
      </c>
      <c r="B146" s="58" t="s">
        <v>4831</v>
      </c>
      <c r="C146" s="58" t="s">
        <v>333</v>
      </c>
      <c r="D146" s="58" t="s">
        <v>5770</v>
      </c>
      <c r="E146" s="58" t="s">
        <v>4826</v>
      </c>
      <c r="F146" s="58" t="s">
        <v>4816</v>
      </c>
      <c r="G146" s="59">
        <v>46046.0</v>
      </c>
      <c r="H146" s="85">
        <f t="shared" si="1"/>
        <v>112</v>
      </c>
      <c r="I146" s="58" t="s">
        <v>5952</v>
      </c>
    </row>
    <row r="147" ht="15.75" customHeight="1">
      <c r="A147" s="25" t="s">
        <v>5995</v>
      </c>
      <c r="B147" s="25" t="s">
        <v>4831</v>
      </c>
      <c r="C147" s="25" t="s">
        <v>985</v>
      </c>
      <c r="D147" s="25" t="s">
        <v>5770</v>
      </c>
      <c r="E147" s="25" t="s">
        <v>4826</v>
      </c>
      <c r="F147" s="25" t="s">
        <v>4821</v>
      </c>
      <c r="G147" s="26">
        <v>46025.0</v>
      </c>
      <c r="H147" s="29">
        <f t="shared" si="1"/>
        <v>133</v>
      </c>
      <c r="I147" s="25" t="s">
        <v>5952</v>
      </c>
    </row>
    <row r="148" ht="15.75" customHeight="1">
      <c r="A148" s="58" t="s">
        <v>5996</v>
      </c>
      <c r="B148" s="58" t="s">
        <v>4831</v>
      </c>
      <c r="C148" s="58" t="s">
        <v>589</v>
      </c>
      <c r="D148" s="58" t="s">
        <v>5770</v>
      </c>
      <c r="E148" s="58" t="s">
        <v>4826</v>
      </c>
      <c r="F148" s="58" t="s">
        <v>4816</v>
      </c>
      <c r="G148" s="59">
        <v>46046.0</v>
      </c>
      <c r="H148" s="85">
        <f t="shared" si="1"/>
        <v>112</v>
      </c>
      <c r="I148" s="58" t="s">
        <v>5952</v>
      </c>
    </row>
    <row r="149" ht="15.75" customHeight="1">
      <c r="A149" s="25" t="s">
        <v>5997</v>
      </c>
      <c r="B149" s="25" t="s">
        <v>4831</v>
      </c>
      <c r="C149" s="25" t="s">
        <v>986</v>
      </c>
      <c r="D149" s="25" t="s">
        <v>5770</v>
      </c>
      <c r="E149" s="25" t="s">
        <v>4826</v>
      </c>
      <c r="F149" s="25" t="s">
        <v>4812</v>
      </c>
      <c r="G149" s="26">
        <v>46078.0</v>
      </c>
      <c r="H149" s="29">
        <f t="shared" si="1"/>
        <v>80</v>
      </c>
      <c r="I149" s="25" t="s">
        <v>5952</v>
      </c>
    </row>
    <row r="150" ht="15.75" customHeight="1">
      <c r="A150" s="58" t="s">
        <v>5998</v>
      </c>
      <c r="B150" s="58" t="s">
        <v>4831</v>
      </c>
      <c r="C150" s="58" t="s">
        <v>483</v>
      </c>
      <c r="D150" s="58" t="s">
        <v>5770</v>
      </c>
      <c r="E150" s="58" t="s">
        <v>4826</v>
      </c>
      <c r="F150" s="58" t="s">
        <v>4821</v>
      </c>
      <c r="G150" s="59">
        <v>46033.0</v>
      </c>
      <c r="H150" s="85">
        <f t="shared" si="1"/>
        <v>125</v>
      </c>
      <c r="I150" s="58" t="s">
        <v>5952</v>
      </c>
    </row>
    <row r="151" ht="15.75" customHeight="1">
      <c r="A151" s="25" t="s">
        <v>5999</v>
      </c>
      <c r="B151" s="25" t="s">
        <v>4831</v>
      </c>
      <c r="C151" s="25" t="s">
        <v>1098</v>
      </c>
      <c r="D151" s="25" t="s">
        <v>5770</v>
      </c>
      <c r="E151" s="25" t="s">
        <v>4826</v>
      </c>
      <c r="F151" s="25" t="s">
        <v>4816</v>
      </c>
      <c r="G151" s="26">
        <v>46047.0</v>
      </c>
      <c r="H151" s="29">
        <f t="shared" si="1"/>
        <v>111</v>
      </c>
      <c r="I151" s="25" t="s">
        <v>5952</v>
      </c>
    </row>
    <row r="152" ht="15.75" customHeight="1">
      <c r="A152" s="58" t="s">
        <v>6000</v>
      </c>
      <c r="B152" s="58" t="s">
        <v>4831</v>
      </c>
      <c r="C152" s="58" t="s">
        <v>337</v>
      </c>
      <c r="D152" s="58" t="s">
        <v>5770</v>
      </c>
      <c r="E152" s="58" t="s">
        <v>4826</v>
      </c>
      <c r="F152" s="58" t="s">
        <v>4821</v>
      </c>
      <c r="G152" s="59">
        <v>46123.0</v>
      </c>
      <c r="H152" s="85">
        <f t="shared" si="1"/>
        <v>35</v>
      </c>
      <c r="I152" s="58" t="s">
        <v>5952</v>
      </c>
    </row>
    <row r="153" ht="15.75" customHeight="1">
      <c r="A153" s="25" t="s">
        <v>6001</v>
      </c>
      <c r="B153" s="25" t="s">
        <v>4831</v>
      </c>
      <c r="C153" s="25" t="s">
        <v>596</v>
      </c>
      <c r="D153" s="25" t="s">
        <v>5770</v>
      </c>
      <c r="E153" s="25" t="s">
        <v>4826</v>
      </c>
      <c r="F153" s="25" t="s">
        <v>4812</v>
      </c>
      <c r="G153" s="26">
        <v>46138.0</v>
      </c>
      <c r="H153" s="29">
        <f t="shared" si="1"/>
        <v>20</v>
      </c>
      <c r="I153" s="25" t="s">
        <v>5952</v>
      </c>
    </row>
    <row r="154" ht="15.75" customHeight="1">
      <c r="A154" s="58" t="s">
        <v>6002</v>
      </c>
      <c r="B154" s="58" t="s">
        <v>4831</v>
      </c>
      <c r="C154" s="58" t="s">
        <v>208</v>
      </c>
      <c r="D154" s="58" t="s">
        <v>5770</v>
      </c>
      <c r="E154" s="58" t="s">
        <v>4826</v>
      </c>
      <c r="F154" s="58" t="s">
        <v>4821</v>
      </c>
      <c r="G154" s="59">
        <v>46128.0</v>
      </c>
      <c r="H154" s="85">
        <f t="shared" si="1"/>
        <v>30</v>
      </c>
      <c r="I154" s="58" t="s">
        <v>5952</v>
      </c>
    </row>
    <row r="155" ht="15.75" customHeight="1">
      <c r="A155" s="25" t="s">
        <v>6003</v>
      </c>
      <c r="B155" s="25" t="s">
        <v>4831</v>
      </c>
      <c r="C155" s="25" t="s">
        <v>487</v>
      </c>
      <c r="D155" s="25" t="s">
        <v>5770</v>
      </c>
      <c r="E155" s="25" t="s">
        <v>4826</v>
      </c>
      <c r="F155" s="25" t="s">
        <v>4816</v>
      </c>
      <c r="G155" s="26">
        <v>46138.0</v>
      </c>
      <c r="H155" s="29">
        <f t="shared" si="1"/>
        <v>20</v>
      </c>
      <c r="I155" s="25" t="s">
        <v>5952</v>
      </c>
    </row>
    <row r="156" ht="15.75" customHeight="1">
      <c r="A156" s="58" t="s">
        <v>6004</v>
      </c>
      <c r="B156" s="58" t="s">
        <v>4831</v>
      </c>
      <c r="C156" s="58" t="s">
        <v>601</v>
      </c>
      <c r="D156" s="58" t="s">
        <v>5770</v>
      </c>
      <c r="E156" s="58" t="s">
        <v>4826</v>
      </c>
      <c r="F156" s="58" t="s">
        <v>4821</v>
      </c>
      <c r="G156" s="59">
        <v>46097.0</v>
      </c>
      <c r="H156" s="85">
        <f t="shared" si="1"/>
        <v>61</v>
      </c>
      <c r="I156" s="58" t="s">
        <v>5952</v>
      </c>
    </row>
    <row r="157" ht="15.75" customHeight="1">
      <c r="A157" s="25" t="s">
        <v>6005</v>
      </c>
      <c r="B157" s="25" t="s">
        <v>4831</v>
      </c>
      <c r="C157" s="25" t="s">
        <v>1000</v>
      </c>
      <c r="D157" s="25" t="s">
        <v>5770</v>
      </c>
      <c r="E157" s="25" t="s">
        <v>4826</v>
      </c>
      <c r="F157" s="25" t="s">
        <v>4816</v>
      </c>
      <c r="G157" s="26">
        <v>46146.0</v>
      </c>
      <c r="H157" s="29">
        <f t="shared" si="1"/>
        <v>12</v>
      </c>
      <c r="I157" s="25" t="s">
        <v>5952</v>
      </c>
    </row>
    <row r="158" ht="15.75" customHeight="1">
      <c r="A158" s="58" t="s">
        <v>6006</v>
      </c>
      <c r="B158" s="58" t="s">
        <v>4831</v>
      </c>
      <c r="C158" s="58" t="s">
        <v>1146</v>
      </c>
      <c r="D158" s="58" t="s">
        <v>5770</v>
      </c>
      <c r="E158" s="58" t="s">
        <v>4826</v>
      </c>
      <c r="F158" s="58" t="s">
        <v>4816</v>
      </c>
      <c r="G158" s="59">
        <v>46080.0</v>
      </c>
      <c r="H158" s="85">
        <f t="shared" si="1"/>
        <v>78</v>
      </c>
      <c r="I158" s="58" t="s">
        <v>5952</v>
      </c>
    </row>
    <row r="159" ht="15.75" customHeight="1">
      <c r="A159" s="25" t="s">
        <v>6007</v>
      </c>
      <c r="B159" s="25" t="s">
        <v>4831</v>
      </c>
      <c r="C159" s="25" t="s">
        <v>892</v>
      </c>
      <c r="D159" s="25" t="s">
        <v>5770</v>
      </c>
      <c r="E159" s="25" t="s">
        <v>4826</v>
      </c>
      <c r="F159" s="25" t="s">
        <v>4821</v>
      </c>
      <c r="G159" s="26">
        <v>46060.0</v>
      </c>
      <c r="H159" s="29">
        <f t="shared" si="1"/>
        <v>98</v>
      </c>
      <c r="I159" s="25" t="s">
        <v>5952</v>
      </c>
    </row>
    <row r="160" ht="15.75" customHeight="1">
      <c r="A160" s="58" t="s">
        <v>6008</v>
      </c>
      <c r="B160" s="58" t="s">
        <v>4831</v>
      </c>
      <c r="C160" s="58" t="s">
        <v>1148</v>
      </c>
      <c r="D160" s="58" t="s">
        <v>5770</v>
      </c>
      <c r="E160" s="58" t="s">
        <v>4826</v>
      </c>
      <c r="F160" s="58" t="s">
        <v>4812</v>
      </c>
      <c r="G160" s="59">
        <v>46118.0</v>
      </c>
      <c r="H160" s="85">
        <f t="shared" si="1"/>
        <v>40</v>
      </c>
      <c r="I160" s="58" t="s">
        <v>5952</v>
      </c>
    </row>
    <row r="161" ht="15.75" customHeight="1">
      <c r="A161" s="25" t="s">
        <v>6009</v>
      </c>
      <c r="B161" s="25" t="s">
        <v>4831</v>
      </c>
      <c r="C161" s="25" t="s">
        <v>606</v>
      </c>
      <c r="D161" s="25" t="s">
        <v>5770</v>
      </c>
      <c r="E161" s="25" t="s">
        <v>4826</v>
      </c>
      <c r="F161" s="25" t="s">
        <v>4816</v>
      </c>
      <c r="G161" s="26">
        <v>46133.0</v>
      </c>
      <c r="H161" s="29">
        <f t="shared" si="1"/>
        <v>25</v>
      </c>
      <c r="I161" s="25" t="s">
        <v>5952</v>
      </c>
    </row>
    <row r="162" ht="15.75" customHeight="1">
      <c r="A162" s="58" t="s">
        <v>6010</v>
      </c>
      <c r="B162" s="58" t="s">
        <v>4831</v>
      </c>
      <c r="C162" s="58" t="s">
        <v>346</v>
      </c>
      <c r="D162" s="58" t="s">
        <v>5770</v>
      </c>
      <c r="E162" s="58" t="s">
        <v>4826</v>
      </c>
      <c r="F162" s="58" t="s">
        <v>4816</v>
      </c>
      <c r="G162" s="59">
        <v>46039.0</v>
      </c>
      <c r="H162" s="85">
        <f t="shared" si="1"/>
        <v>119</v>
      </c>
      <c r="I162" s="58" t="s">
        <v>5952</v>
      </c>
    </row>
    <row r="163" ht="15.75" customHeight="1">
      <c r="A163" s="25" t="s">
        <v>6011</v>
      </c>
      <c r="B163" s="25" t="s">
        <v>4831</v>
      </c>
      <c r="C163" s="25" t="s">
        <v>347</v>
      </c>
      <c r="D163" s="25" t="s">
        <v>5770</v>
      </c>
      <c r="E163" s="25" t="s">
        <v>4826</v>
      </c>
      <c r="F163" s="25" t="s">
        <v>4812</v>
      </c>
      <c r="G163" s="26">
        <v>46122.0</v>
      </c>
      <c r="H163" s="29">
        <f t="shared" si="1"/>
        <v>36</v>
      </c>
      <c r="I163" s="25" t="s">
        <v>5952</v>
      </c>
    </row>
    <row r="164" ht="15.75" customHeight="1">
      <c r="A164" s="58" t="s">
        <v>6012</v>
      </c>
      <c r="B164" s="58" t="s">
        <v>4831</v>
      </c>
      <c r="C164" s="58" t="s">
        <v>348</v>
      </c>
      <c r="D164" s="58" t="s">
        <v>5770</v>
      </c>
      <c r="E164" s="58" t="s">
        <v>4826</v>
      </c>
      <c r="F164" s="58" t="s">
        <v>4812</v>
      </c>
      <c r="G164" s="59">
        <v>46099.0</v>
      </c>
      <c r="H164" s="85">
        <f t="shared" si="1"/>
        <v>59</v>
      </c>
      <c r="I164" s="58" t="s">
        <v>5952</v>
      </c>
    </row>
    <row r="165" ht="15.75" customHeight="1">
      <c r="A165" s="25" t="s">
        <v>6013</v>
      </c>
      <c r="B165" s="25" t="s">
        <v>4831</v>
      </c>
      <c r="C165" s="25" t="s">
        <v>773</v>
      </c>
      <c r="D165" s="25" t="s">
        <v>5770</v>
      </c>
      <c r="E165" s="25" t="s">
        <v>4826</v>
      </c>
      <c r="F165" s="25" t="s">
        <v>4812</v>
      </c>
      <c r="G165" s="26">
        <v>46049.0</v>
      </c>
      <c r="H165" s="29">
        <f t="shared" si="1"/>
        <v>109</v>
      </c>
      <c r="I165" s="25" t="s">
        <v>5952</v>
      </c>
    </row>
    <row r="166" ht="15.75" customHeight="1">
      <c r="A166" s="58" t="s">
        <v>6014</v>
      </c>
      <c r="B166" s="58" t="s">
        <v>4831</v>
      </c>
      <c r="C166" s="58" t="s">
        <v>217</v>
      </c>
      <c r="D166" s="58" t="s">
        <v>5770</v>
      </c>
      <c r="E166" s="58" t="s">
        <v>4826</v>
      </c>
      <c r="F166" s="58" t="s">
        <v>4812</v>
      </c>
      <c r="G166" s="59">
        <v>46083.0</v>
      </c>
      <c r="H166" s="85">
        <f t="shared" si="1"/>
        <v>75</v>
      </c>
      <c r="I166" s="58" t="s">
        <v>5952</v>
      </c>
    </row>
    <row r="167" ht="15.75" customHeight="1">
      <c r="A167" s="25" t="s">
        <v>6015</v>
      </c>
      <c r="B167" s="25" t="s">
        <v>4831</v>
      </c>
      <c r="C167" s="25" t="s">
        <v>219</v>
      </c>
      <c r="D167" s="25" t="s">
        <v>5770</v>
      </c>
      <c r="E167" s="25" t="s">
        <v>4826</v>
      </c>
      <c r="F167" s="25" t="s">
        <v>4812</v>
      </c>
      <c r="G167" s="26">
        <v>46093.0</v>
      </c>
      <c r="H167" s="29">
        <f t="shared" si="1"/>
        <v>65</v>
      </c>
      <c r="I167" s="25" t="s">
        <v>5952</v>
      </c>
    </row>
    <row r="168" ht="15.75" customHeight="1">
      <c r="A168" s="58" t="s">
        <v>6016</v>
      </c>
      <c r="B168" s="58" t="s">
        <v>4831</v>
      </c>
      <c r="C168" s="58" t="s">
        <v>609</v>
      </c>
      <c r="D168" s="58" t="s">
        <v>5770</v>
      </c>
      <c r="E168" s="58" t="s">
        <v>4826</v>
      </c>
      <c r="F168" s="58" t="s">
        <v>4816</v>
      </c>
      <c r="G168" s="59">
        <v>46052.0</v>
      </c>
      <c r="H168" s="85">
        <f t="shared" si="1"/>
        <v>106</v>
      </c>
      <c r="I168" s="58" t="s">
        <v>5952</v>
      </c>
    </row>
    <row r="169" ht="15.75" customHeight="1">
      <c r="A169" s="25" t="s">
        <v>6017</v>
      </c>
      <c r="B169" s="25" t="s">
        <v>4831</v>
      </c>
      <c r="C169" s="25" t="s">
        <v>352</v>
      </c>
      <c r="D169" s="25" t="s">
        <v>5770</v>
      </c>
      <c r="E169" s="25" t="s">
        <v>4826</v>
      </c>
      <c r="F169" s="25" t="s">
        <v>4816</v>
      </c>
      <c r="G169" s="26">
        <v>46059.0</v>
      </c>
      <c r="H169" s="29">
        <f t="shared" si="1"/>
        <v>99</v>
      </c>
      <c r="I169" s="25" t="s">
        <v>5952</v>
      </c>
    </row>
    <row r="170" ht="15.75" customHeight="1">
      <c r="A170" s="58" t="s">
        <v>6018</v>
      </c>
      <c r="B170" s="58" t="s">
        <v>4831</v>
      </c>
      <c r="C170" s="58" t="s">
        <v>496</v>
      </c>
      <c r="D170" s="58" t="s">
        <v>5770</v>
      </c>
      <c r="E170" s="58" t="s">
        <v>4826</v>
      </c>
      <c r="F170" s="58" t="s">
        <v>4812</v>
      </c>
      <c r="G170" s="59">
        <v>46104.0</v>
      </c>
      <c r="H170" s="85">
        <f t="shared" si="1"/>
        <v>54</v>
      </c>
      <c r="I170" s="58" t="s">
        <v>5952</v>
      </c>
    </row>
    <row r="171" ht="15.75" customHeight="1">
      <c r="A171" s="25" t="s">
        <v>6019</v>
      </c>
      <c r="B171" s="25" t="s">
        <v>4831</v>
      </c>
      <c r="C171" s="25" t="s">
        <v>1153</v>
      </c>
      <c r="D171" s="25" t="s">
        <v>5770</v>
      </c>
      <c r="E171" s="25" t="s">
        <v>4826</v>
      </c>
      <c r="F171" s="25" t="s">
        <v>4821</v>
      </c>
      <c r="G171" s="26">
        <v>46062.0</v>
      </c>
      <c r="H171" s="29">
        <f t="shared" si="1"/>
        <v>96</v>
      </c>
      <c r="I171" s="25" t="s">
        <v>5952</v>
      </c>
    </row>
    <row r="172" ht="15.75" customHeight="1">
      <c r="A172" s="58" t="s">
        <v>6020</v>
      </c>
      <c r="B172" s="58" t="s">
        <v>4831</v>
      </c>
      <c r="C172" s="58" t="s">
        <v>355</v>
      </c>
      <c r="D172" s="58" t="s">
        <v>5770</v>
      </c>
      <c r="E172" s="58" t="s">
        <v>4826</v>
      </c>
      <c r="F172" s="58" t="s">
        <v>4812</v>
      </c>
      <c r="G172" s="59">
        <v>46030.0</v>
      </c>
      <c r="H172" s="85">
        <f t="shared" si="1"/>
        <v>128</v>
      </c>
      <c r="I172" s="58" t="s">
        <v>5952</v>
      </c>
    </row>
    <row r="173" ht="15.75" customHeight="1">
      <c r="A173" s="25" t="s">
        <v>6021</v>
      </c>
      <c r="B173" s="25" t="s">
        <v>4831</v>
      </c>
      <c r="C173" s="25" t="s">
        <v>356</v>
      </c>
      <c r="D173" s="25" t="s">
        <v>5770</v>
      </c>
      <c r="E173" s="25" t="s">
        <v>4826</v>
      </c>
      <c r="F173" s="25" t="s">
        <v>4821</v>
      </c>
      <c r="G173" s="26">
        <v>46049.0</v>
      </c>
      <c r="H173" s="29">
        <f t="shared" si="1"/>
        <v>109</v>
      </c>
      <c r="I173" s="25" t="s">
        <v>5952</v>
      </c>
    </row>
    <row r="174" ht="15.75" customHeight="1">
      <c r="A174" s="58" t="s">
        <v>6022</v>
      </c>
      <c r="B174" s="58" t="s">
        <v>4831</v>
      </c>
      <c r="C174" s="58" t="s">
        <v>613</v>
      </c>
      <c r="D174" s="58" t="s">
        <v>5770</v>
      </c>
      <c r="E174" s="58" t="s">
        <v>4826</v>
      </c>
      <c r="F174" s="58" t="s">
        <v>4812</v>
      </c>
      <c r="G174" s="59">
        <v>46119.0</v>
      </c>
      <c r="H174" s="85">
        <f t="shared" si="1"/>
        <v>39</v>
      </c>
      <c r="I174" s="58" t="s">
        <v>5952</v>
      </c>
    </row>
    <row r="175" ht="15.75" customHeight="1">
      <c r="A175" s="25" t="s">
        <v>6023</v>
      </c>
      <c r="B175" s="25" t="s">
        <v>4831</v>
      </c>
      <c r="C175" s="25" t="s">
        <v>499</v>
      </c>
      <c r="D175" s="25" t="s">
        <v>5770</v>
      </c>
      <c r="E175" s="25" t="s">
        <v>4826</v>
      </c>
      <c r="F175" s="25" t="s">
        <v>4812</v>
      </c>
      <c r="G175" s="26">
        <v>46053.0</v>
      </c>
      <c r="H175" s="29">
        <f t="shared" si="1"/>
        <v>105</v>
      </c>
      <c r="I175" s="25" t="s">
        <v>5952</v>
      </c>
    </row>
    <row r="176" ht="15.75" customHeight="1">
      <c r="A176" s="58" t="s">
        <v>6024</v>
      </c>
      <c r="B176" s="58" t="s">
        <v>4831</v>
      </c>
      <c r="C176" s="58" t="s">
        <v>363</v>
      </c>
      <c r="D176" s="58" t="s">
        <v>5770</v>
      </c>
      <c r="E176" s="58" t="s">
        <v>4826</v>
      </c>
      <c r="F176" s="58" t="s">
        <v>4816</v>
      </c>
      <c r="G176" s="59">
        <v>46130.0</v>
      </c>
      <c r="H176" s="85">
        <f t="shared" si="1"/>
        <v>28</v>
      </c>
      <c r="I176" s="58" t="s">
        <v>5952</v>
      </c>
    </row>
    <row r="177" ht="15.75" customHeight="1">
      <c r="A177" s="25" t="s">
        <v>6025</v>
      </c>
      <c r="B177" s="25" t="s">
        <v>4831</v>
      </c>
      <c r="C177" s="25" t="s">
        <v>1015</v>
      </c>
      <c r="D177" s="25" t="s">
        <v>5770</v>
      </c>
      <c r="E177" s="25" t="s">
        <v>4826</v>
      </c>
      <c r="F177" s="25" t="s">
        <v>4812</v>
      </c>
      <c r="G177" s="26">
        <v>46151.0</v>
      </c>
      <c r="H177" s="29">
        <f t="shared" si="1"/>
        <v>7</v>
      </c>
      <c r="I177" s="25" t="s">
        <v>5952</v>
      </c>
    </row>
    <row r="178" ht="15.75" customHeight="1">
      <c r="A178" s="58" t="s">
        <v>6026</v>
      </c>
      <c r="B178" s="58" t="s">
        <v>4831</v>
      </c>
      <c r="C178" s="58" t="s">
        <v>617</v>
      </c>
      <c r="D178" s="58" t="s">
        <v>5770</v>
      </c>
      <c r="E178" s="58" t="s">
        <v>4826</v>
      </c>
      <c r="F178" s="58" t="s">
        <v>4816</v>
      </c>
      <c r="G178" s="59">
        <v>46077.0</v>
      </c>
      <c r="H178" s="85">
        <f t="shared" si="1"/>
        <v>81</v>
      </c>
      <c r="I178" s="58" t="s">
        <v>5952</v>
      </c>
    </row>
    <row r="179" ht="15.75" customHeight="1">
      <c r="A179" s="25" t="s">
        <v>6027</v>
      </c>
      <c r="B179" s="25" t="s">
        <v>4831</v>
      </c>
      <c r="C179" s="25" t="s">
        <v>618</v>
      </c>
      <c r="D179" s="25" t="s">
        <v>5770</v>
      </c>
      <c r="E179" s="25" t="s">
        <v>4826</v>
      </c>
      <c r="F179" s="25" t="s">
        <v>4812</v>
      </c>
      <c r="G179" s="26">
        <v>46062.0</v>
      </c>
      <c r="H179" s="29">
        <f t="shared" si="1"/>
        <v>96</v>
      </c>
      <c r="I179" s="25" t="s">
        <v>5952</v>
      </c>
    </row>
    <row r="180" ht="15.75" customHeight="1">
      <c r="A180" s="58" t="s">
        <v>6028</v>
      </c>
      <c r="B180" s="58" t="s">
        <v>4831</v>
      </c>
      <c r="C180" s="58" t="s">
        <v>233</v>
      </c>
      <c r="D180" s="58" t="s">
        <v>5770</v>
      </c>
      <c r="E180" s="58" t="s">
        <v>4826</v>
      </c>
      <c r="F180" s="58" t="s">
        <v>4816</v>
      </c>
      <c r="G180" s="59">
        <v>46092.0</v>
      </c>
      <c r="H180" s="85">
        <f t="shared" si="1"/>
        <v>66</v>
      </c>
      <c r="I180" s="58" t="s">
        <v>5952</v>
      </c>
    </row>
    <row r="181" ht="15.75" customHeight="1">
      <c r="A181" s="25" t="s">
        <v>6029</v>
      </c>
      <c r="B181" s="25" t="s">
        <v>4831</v>
      </c>
      <c r="C181" s="25" t="s">
        <v>503</v>
      </c>
      <c r="D181" s="25" t="s">
        <v>5770</v>
      </c>
      <c r="E181" s="25" t="s">
        <v>4826</v>
      </c>
      <c r="F181" s="25" t="s">
        <v>4812</v>
      </c>
      <c r="G181" s="26">
        <v>46133.0</v>
      </c>
      <c r="H181" s="29">
        <f t="shared" si="1"/>
        <v>25</v>
      </c>
      <c r="I181" s="25" t="s">
        <v>5952</v>
      </c>
    </row>
    <row r="182" ht="15.75" customHeight="1">
      <c r="A182" s="58" t="s">
        <v>6030</v>
      </c>
      <c r="B182" s="58" t="s">
        <v>4831</v>
      </c>
      <c r="C182" s="58" t="s">
        <v>905</v>
      </c>
      <c r="D182" s="58" t="s">
        <v>5770</v>
      </c>
      <c r="E182" s="58" t="s">
        <v>4826</v>
      </c>
      <c r="F182" s="58" t="s">
        <v>4821</v>
      </c>
      <c r="G182" s="59">
        <v>46050.0</v>
      </c>
      <c r="H182" s="85">
        <f t="shared" si="1"/>
        <v>108</v>
      </c>
      <c r="I182" s="58" t="s">
        <v>5952</v>
      </c>
    </row>
    <row r="183" ht="15.75" customHeight="1">
      <c r="A183" s="25" t="s">
        <v>6031</v>
      </c>
      <c r="B183" s="25" t="s">
        <v>4831</v>
      </c>
      <c r="C183" s="25" t="s">
        <v>907</v>
      </c>
      <c r="D183" s="25" t="s">
        <v>5770</v>
      </c>
      <c r="E183" s="25" t="s">
        <v>4826</v>
      </c>
      <c r="F183" s="25" t="s">
        <v>4816</v>
      </c>
      <c r="G183" s="26">
        <v>46091.0</v>
      </c>
      <c r="H183" s="29">
        <f t="shared" si="1"/>
        <v>67</v>
      </c>
      <c r="I183" s="25" t="s">
        <v>5952</v>
      </c>
    </row>
    <row r="184" ht="15.75" customHeight="1">
      <c r="A184" s="58" t="s">
        <v>6032</v>
      </c>
      <c r="B184" s="58" t="s">
        <v>4831</v>
      </c>
      <c r="C184" s="58" t="s">
        <v>235</v>
      </c>
      <c r="D184" s="58" t="s">
        <v>5770</v>
      </c>
      <c r="E184" s="58" t="s">
        <v>4826</v>
      </c>
      <c r="F184" s="58" t="s">
        <v>4816</v>
      </c>
      <c r="G184" s="59">
        <v>46066.0</v>
      </c>
      <c r="H184" s="85">
        <f t="shared" si="1"/>
        <v>92</v>
      </c>
      <c r="I184" s="58" t="s">
        <v>5952</v>
      </c>
    </row>
    <row r="185" ht="15.75" customHeight="1">
      <c r="A185" s="25" t="s">
        <v>6033</v>
      </c>
      <c r="B185" s="25" t="s">
        <v>4831</v>
      </c>
      <c r="C185" s="25" t="s">
        <v>236</v>
      </c>
      <c r="D185" s="25" t="s">
        <v>5770</v>
      </c>
      <c r="E185" s="25" t="s">
        <v>4826</v>
      </c>
      <c r="F185" s="25" t="s">
        <v>4821</v>
      </c>
      <c r="G185" s="26">
        <v>46126.0</v>
      </c>
      <c r="H185" s="29">
        <f t="shared" si="1"/>
        <v>32</v>
      </c>
      <c r="I185" s="25" t="s">
        <v>5952</v>
      </c>
    </row>
    <row r="186" ht="15.75" customHeight="1">
      <c r="A186" s="58" t="s">
        <v>6034</v>
      </c>
      <c r="B186" s="58" t="s">
        <v>4831</v>
      </c>
      <c r="C186" s="58" t="s">
        <v>374</v>
      </c>
      <c r="D186" s="58" t="s">
        <v>5770</v>
      </c>
      <c r="E186" s="58" t="s">
        <v>4826</v>
      </c>
      <c r="F186" s="58" t="s">
        <v>4812</v>
      </c>
      <c r="G186" s="59">
        <v>46099.0</v>
      </c>
      <c r="H186" s="85">
        <f t="shared" si="1"/>
        <v>59</v>
      </c>
      <c r="I186" s="58" t="s">
        <v>5952</v>
      </c>
    </row>
    <row r="187" ht="15.75" customHeight="1">
      <c r="A187" s="25" t="s">
        <v>6035</v>
      </c>
      <c r="B187" s="25" t="s">
        <v>4831</v>
      </c>
      <c r="C187" s="25" t="s">
        <v>624</v>
      </c>
      <c r="D187" s="25" t="s">
        <v>5770</v>
      </c>
      <c r="E187" s="25" t="s">
        <v>4826</v>
      </c>
      <c r="F187" s="25" t="s">
        <v>4821</v>
      </c>
      <c r="G187" s="26">
        <v>46030.0</v>
      </c>
      <c r="H187" s="29">
        <f t="shared" si="1"/>
        <v>128</v>
      </c>
      <c r="I187" s="25" t="s">
        <v>5952</v>
      </c>
    </row>
    <row r="188" ht="15.75" customHeight="1">
      <c r="A188" s="58" t="s">
        <v>6036</v>
      </c>
      <c r="B188" s="58" t="s">
        <v>4831</v>
      </c>
      <c r="C188" s="58" t="s">
        <v>797</v>
      </c>
      <c r="D188" s="58" t="s">
        <v>5770</v>
      </c>
      <c r="E188" s="58" t="s">
        <v>4826</v>
      </c>
      <c r="F188" s="58" t="s">
        <v>4821</v>
      </c>
      <c r="G188" s="59">
        <v>46126.0</v>
      </c>
      <c r="H188" s="85">
        <f t="shared" si="1"/>
        <v>32</v>
      </c>
      <c r="I188" s="58" t="s">
        <v>5952</v>
      </c>
    </row>
    <row r="189" ht="15.75" customHeight="1">
      <c r="A189" s="25" t="s">
        <v>6037</v>
      </c>
      <c r="B189" s="25" t="s">
        <v>4831</v>
      </c>
      <c r="C189" s="25" t="s">
        <v>1165</v>
      </c>
      <c r="D189" s="25" t="s">
        <v>5770</v>
      </c>
      <c r="E189" s="25" t="s">
        <v>4826</v>
      </c>
      <c r="F189" s="25" t="s">
        <v>4812</v>
      </c>
      <c r="G189" s="26">
        <v>46082.0</v>
      </c>
      <c r="H189" s="29">
        <f t="shared" si="1"/>
        <v>76</v>
      </c>
      <c r="I189" s="25" t="s">
        <v>5952</v>
      </c>
    </row>
    <row r="190" ht="15.75" customHeight="1">
      <c r="A190" s="58" t="s">
        <v>6038</v>
      </c>
      <c r="B190" s="58" t="s">
        <v>4831</v>
      </c>
      <c r="C190" s="58" t="s">
        <v>801</v>
      </c>
      <c r="D190" s="58" t="s">
        <v>5770</v>
      </c>
      <c r="E190" s="58" t="s">
        <v>4826</v>
      </c>
      <c r="F190" s="58" t="s">
        <v>4812</v>
      </c>
      <c r="G190" s="59">
        <v>46050.0</v>
      </c>
      <c r="H190" s="85">
        <f t="shared" si="1"/>
        <v>108</v>
      </c>
      <c r="I190" s="58" t="s">
        <v>5952</v>
      </c>
    </row>
    <row r="191" ht="15.75" customHeight="1">
      <c r="A191" s="25" t="s">
        <v>6039</v>
      </c>
      <c r="B191" s="25" t="s">
        <v>4831</v>
      </c>
      <c r="C191" s="25" t="s">
        <v>382</v>
      </c>
      <c r="D191" s="25" t="s">
        <v>5770</v>
      </c>
      <c r="E191" s="25" t="s">
        <v>4826</v>
      </c>
      <c r="F191" s="25" t="s">
        <v>4812</v>
      </c>
      <c r="G191" s="26">
        <v>46065.0</v>
      </c>
      <c r="H191" s="29">
        <f t="shared" si="1"/>
        <v>93</v>
      </c>
      <c r="I191" s="25" t="s">
        <v>5952</v>
      </c>
    </row>
    <row r="192" ht="15.75" customHeight="1">
      <c r="A192" s="58" t="s">
        <v>6040</v>
      </c>
      <c r="B192" s="58" t="s">
        <v>4831</v>
      </c>
      <c r="C192" s="58" t="s">
        <v>243</v>
      </c>
      <c r="D192" s="58" t="s">
        <v>5770</v>
      </c>
      <c r="E192" s="58" t="s">
        <v>4826</v>
      </c>
      <c r="F192" s="58" t="s">
        <v>4821</v>
      </c>
      <c r="G192" s="59">
        <v>46114.0</v>
      </c>
      <c r="H192" s="85">
        <f t="shared" si="1"/>
        <v>44</v>
      </c>
      <c r="I192" s="58" t="s">
        <v>5952</v>
      </c>
    </row>
    <row r="193" ht="15.75" customHeight="1">
      <c r="A193" s="25" t="s">
        <v>6041</v>
      </c>
      <c r="B193" s="25" t="s">
        <v>4831</v>
      </c>
      <c r="C193" s="25" t="s">
        <v>1032</v>
      </c>
      <c r="D193" s="25" t="s">
        <v>5770</v>
      </c>
      <c r="E193" s="25" t="s">
        <v>4826</v>
      </c>
      <c r="F193" s="25" t="s">
        <v>4816</v>
      </c>
      <c r="G193" s="26">
        <v>46115.0</v>
      </c>
      <c r="H193" s="29">
        <f t="shared" si="1"/>
        <v>43</v>
      </c>
      <c r="I193" s="25" t="s">
        <v>5952</v>
      </c>
    </row>
    <row r="194" ht="15.75" customHeight="1">
      <c r="A194" s="58" t="s">
        <v>6042</v>
      </c>
      <c r="B194" s="58" t="s">
        <v>4831</v>
      </c>
      <c r="C194" s="58" t="s">
        <v>389</v>
      </c>
      <c r="D194" s="58" t="s">
        <v>5770</v>
      </c>
      <c r="E194" s="58" t="s">
        <v>4826</v>
      </c>
      <c r="F194" s="58" t="s">
        <v>4816</v>
      </c>
      <c r="G194" s="59">
        <v>46079.0</v>
      </c>
      <c r="H194" s="85">
        <f t="shared" si="1"/>
        <v>79</v>
      </c>
      <c r="I194" s="58" t="s">
        <v>5952</v>
      </c>
    </row>
    <row r="195" ht="15.75" customHeight="1">
      <c r="A195" s="25" t="s">
        <v>6043</v>
      </c>
      <c r="B195" s="25" t="s">
        <v>4831</v>
      </c>
      <c r="C195" s="25" t="s">
        <v>922</v>
      </c>
      <c r="D195" s="25" t="s">
        <v>5770</v>
      </c>
      <c r="E195" s="25" t="s">
        <v>4826</v>
      </c>
      <c r="F195" s="25" t="s">
        <v>4821</v>
      </c>
      <c r="G195" s="26">
        <v>46088.0</v>
      </c>
      <c r="H195" s="29">
        <f t="shared" si="1"/>
        <v>70</v>
      </c>
      <c r="I195" s="25" t="s">
        <v>5952</v>
      </c>
    </row>
    <row r="196" ht="15.75" customHeight="1">
      <c r="A196" s="58" t="s">
        <v>6044</v>
      </c>
      <c r="B196" s="58" t="s">
        <v>4831</v>
      </c>
      <c r="C196" s="58" t="s">
        <v>393</v>
      </c>
      <c r="D196" s="58" t="s">
        <v>5770</v>
      </c>
      <c r="E196" s="58" t="s">
        <v>4826</v>
      </c>
      <c r="F196" s="58" t="s">
        <v>4812</v>
      </c>
      <c r="G196" s="59">
        <v>46132.0</v>
      </c>
      <c r="H196" s="85">
        <f t="shared" si="1"/>
        <v>26</v>
      </c>
      <c r="I196" s="58" t="s">
        <v>5952</v>
      </c>
    </row>
    <row r="197" ht="15.75" customHeight="1">
      <c r="A197" s="25" t="s">
        <v>6045</v>
      </c>
      <c r="B197" s="25" t="s">
        <v>4831</v>
      </c>
      <c r="C197" s="25" t="s">
        <v>812</v>
      </c>
      <c r="D197" s="25" t="s">
        <v>5770</v>
      </c>
      <c r="E197" s="25" t="s">
        <v>4826</v>
      </c>
      <c r="F197" s="25" t="s">
        <v>4812</v>
      </c>
      <c r="G197" s="26">
        <v>46123.0</v>
      </c>
      <c r="H197" s="29">
        <f t="shared" si="1"/>
        <v>35</v>
      </c>
      <c r="I197" s="25" t="s">
        <v>5952</v>
      </c>
    </row>
    <row r="198" ht="15.75" customHeight="1">
      <c r="A198" s="58" t="s">
        <v>6046</v>
      </c>
      <c r="B198" s="58" t="s">
        <v>4831</v>
      </c>
      <c r="C198" s="58" t="s">
        <v>926</v>
      </c>
      <c r="D198" s="58" t="s">
        <v>5770</v>
      </c>
      <c r="E198" s="58" t="s">
        <v>4826</v>
      </c>
      <c r="F198" s="58" t="s">
        <v>4816</v>
      </c>
      <c r="G198" s="59">
        <v>46039.0</v>
      </c>
      <c r="H198" s="85">
        <f t="shared" si="1"/>
        <v>119</v>
      </c>
      <c r="I198" s="58" t="s">
        <v>5952</v>
      </c>
    </row>
    <row r="199" ht="15.75" customHeight="1">
      <c r="A199" s="25" t="s">
        <v>6047</v>
      </c>
      <c r="B199" s="25" t="s">
        <v>4831</v>
      </c>
      <c r="C199" s="25" t="s">
        <v>510</v>
      </c>
      <c r="D199" s="25" t="s">
        <v>5770</v>
      </c>
      <c r="E199" s="25" t="s">
        <v>4826</v>
      </c>
      <c r="F199" s="25" t="s">
        <v>4821</v>
      </c>
      <c r="G199" s="26">
        <v>46072.0</v>
      </c>
      <c r="H199" s="29">
        <f t="shared" si="1"/>
        <v>86</v>
      </c>
      <c r="I199" s="25" t="s">
        <v>5952</v>
      </c>
    </row>
    <row r="200" ht="15.75" customHeight="1">
      <c r="A200" s="58" t="s">
        <v>6048</v>
      </c>
      <c r="B200" s="58" t="s">
        <v>4831</v>
      </c>
      <c r="C200" s="58" t="s">
        <v>1038</v>
      </c>
      <c r="D200" s="58" t="s">
        <v>5770</v>
      </c>
      <c r="E200" s="58" t="s">
        <v>4826</v>
      </c>
      <c r="F200" s="58" t="s">
        <v>4812</v>
      </c>
      <c r="G200" s="59">
        <v>46060.0</v>
      </c>
      <c r="H200" s="85">
        <f t="shared" si="1"/>
        <v>98</v>
      </c>
      <c r="I200" s="58" t="s">
        <v>5952</v>
      </c>
    </row>
    <row r="201" ht="15.75" customHeight="1">
      <c r="A201" s="25" t="s">
        <v>6049</v>
      </c>
      <c r="B201" s="25" t="s">
        <v>4831</v>
      </c>
      <c r="C201" s="25" t="s">
        <v>648</v>
      </c>
      <c r="D201" s="25" t="s">
        <v>5770</v>
      </c>
      <c r="E201" s="25" t="s">
        <v>4826</v>
      </c>
      <c r="F201" s="25" t="s">
        <v>4812</v>
      </c>
      <c r="G201" s="26">
        <v>46102.0</v>
      </c>
      <c r="H201" s="29">
        <f t="shared" si="1"/>
        <v>56</v>
      </c>
      <c r="I201" s="25" t="s">
        <v>5952</v>
      </c>
    </row>
    <row r="202" ht="15.75" customHeight="1">
      <c r="A202" s="58" t="s">
        <v>6050</v>
      </c>
      <c r="B202" s="58" t="s">
        <v>4831</v>
      </c>
      <c r="C202" s="58" t="s">
        <v>249</v>
      </c>
      <c r="D202" s="58" t="s">
        <v>5770</v>
      </c>
      <c r="E202" s="58" t="s">
        <v>4826</v>
      </c>
      <c r="F202" s="58" t="s">
        <v>4821</v>
      </c>
      <c r="G202" s="59">
        <v>46061.0</v>
      </c>
      <c r="H202" s="85">
        <f t="shared" si="1"/>
        <v>97</v>
      </c>
      <c r="I202" s="58" t="s">
        <v>5952</v>
      </c>
    </row>
    <row r="203" ht="15.75" customHeight="1">
      <c r="A203" s="25" t="s">
        <v>6051</v>
      </c>
      <c r="B203" s="25" t="s">
        <v>4831</v>
      </c>
      <c r="C203" s="25" t="s">
        <v>1041</v>
      </c>
      <c r="D203" s="25" t="s">
        <v>5770</v>
      </c>
      <c r="E203" s="25" t="s">
        <v>4826</v>
      </c>
      <c r="F203" s="25" t="s">
        <v>4821</v>
      </c>
      <c r="G203" s="26">
        <v>46119.0</v>
      </c>
      <c r="H203" s="29">
        <f t="shared" si="1"/>
        <v>39</v>
      </c>
      <c r="I203" s="25" t="s">
        <v>5952</v>
      </c>
    </row>
    <row r="204" ht="15.75" customHeight="1">
      <c r="A204" s="58" t="s">
        <v>6052</v>
      </c>
      <c r="B204" s="58" t="s">
        <v>4831</v>
      </c>
      <c r="C204" s="58" t="s">
        <v>139</v>
      </c>
      <c r="D204" s="58" t="s">
        <v>5770</v>
      </c>
      <c r="E204" s="58" t="s">
        <v>4826</v>
      </c>
      <c r="F204" s="58" t="s">
        <v>4812</v>
      </c>
      <c r="G204" s="59">
        <v>46121.0</v>
      </c>
      <c r="H204" s="85">
        <f t="shared" si="1"/>
        <v>37</v>
      </c>
      <c r="I204" s="58" t="s">
        <v>5952</v>
      </c>
    </row>
    <row r="205" ht="15.75" customHeight="1">
      <c r="A205" s="25" t="s">
        <v>6053</v>
      </c>
      <c r="B205" s="25" t="s">
        <v>4831</v>
      </c>
      <c r="C205" s="25" t="s">
        <v>401</v>
      </c>
      <c r="D205" s="25" t="s">
        <v>5770</v>
      </c>
      <c r="E205" s="25" t="s">
        <v>4826</v>
      </c>
      <c r="F205" s="25" t="s">
        <v>4812</v>
      </c>
      <c r="G205" s="26">
        <v>46093.0</v>
      </c>
      <c r="H205" s="29">
        <f t="shared" si="1"/>
        <v>65</v>
      </c>
      <c r="I205" s="25" t="s">
        <v>5952</v>
      </c>
    </row>
    <row r="206" ht="15.75" customHeight="1">
      <c r="A206" s="58" t="s">
        <v>6054</v>
      </c>
      <c r="B206" s="58" t="s">
        <v>4831</v>
      </c>
      <c r="C206" s="58" t="s">
        <v>1174</v>
      </c>
      <c r="D206" s="58" t="s">
        <v>5770</v>
      </c>
      <c r="E206" s="58" t="s">
        <v>4826</v>
      </c>
      <c r="F206" s="58" t="s">
        <v>4812</v>
      </c>
      <c r="G206" s="59">
        <v>46066.0</v>
      </c>
      <c r="H206" s="85">
        <f t="shared" si="1"/>
        <v>92</v>
      </c>
      <c r="I206" s="58" t="s">
        <v>5952</v>
      </c>
    </row>
    <row r="207" ht="15.75" customHeight="1">
      <c r="A207" s="25" t="s">
        <v>6055</v>
      </c>
      <c r="B207" s="25" t="s">
        <v>4831</v>
      </c>
      <c r="C207" s="25" t="s">
        <v>928</v>
      </c>
      <c r="D207" s="25" t="s">
        <v>5770</v>
      </c>
      <c r="E207" s="25" t="s">
        <v>4826</v>
      </c>
      <c r="F207" s="25" t="s">
        <v>4812</v>
      </c>
      <c r="G207" s="26">
        <v>46065.0</v>
      </c>
      <c r="H207" s="29">
        <f t="shared" si="1"/>
        <v>93</v>
      </c>
      <c r="I207" s="25" t="s">
        <v>5952</v>
      </c>
    </row>
    <row r="208" ht="15.75" customHeight="1">
      <c r="A208" s="58" t="s">
        <v>6056</v>
      </c>
      <c r="B208" s="58" t="s">
        <v>4831</v>
      </c>
      <c r="C208" s="58" t="s">
        <v>250</v>
      </c>
      <c r="D208" s="58" t="s">
        <v>5770</v>
      </c>
      <c r="E208" s="58" t="s">
        <v>4826</v>
      </c>
      <c r="F208" s="58" t="s">
        <v>4821</v>
      </c>
      <c r="G208" s="59">
        <v>46115.0</v>
      </c>
      <c r="H208" s="85">
        <f t="shared" si="1"/>
        <v>43</v>
      </c>
      <c r="I208" s="58" t="s">
        <v>5952</v>
      </c>
    </row>
    <row r="209" ht="15.75" customHeight="1">
      <c r="A209" s="25" t="s">
        <v>6057</v>
      </c>
      <c r="B209" s="25" t="s">
        <v>4831</v>
      </c>
      <c r="C209" s="25" t="s">
        <v>252</v>
      </c>
      <c r="D209" s="25" t="s">
        <v>5770</v>
      </c>
      <c r="E209" s="25" t="s">
        <v>4826</v>
      </c>
      <c r="F209" s="25" t="s">
        <v>4816</v>
      </c>
      <c r="G209" s="26">
        <v>46133.0</v>
      </c>
      <c r="H209" s="29">
        <f t="shared" si="1"/>
        <v>25</v>
      </c>
      <c r="I209" s="25" t="s">
        <v>5952</v>
      </c>
    </row>
    <row r="210" ht="15.75" customHeight="1">
      <c r="A210" s="58" t="s">
        <v>6058</v>
      </c>
      <c r="B210" s="58" t="s">
        <v>4831</v>
      </c>
      <c r="C210" s="58" t="s">
        <v>66</v>
      </c>
      <c r="D210" s="58" t="s">
        <v>5770</v>
      </c>
      <c r="E210" s="58" t="s">
        <v>4826</v>
      </c>
      <c r="F210" s="58" t="s">
        <v>4812</v>
      </c>
      <c r="G210" s="59">
        <v>46103.0</v>
      </c>
      <c r="H210" s="85">
        <f t="shared" si="1"/>
        <v>55</v>
      </c>
      <c r="I210" s="58" t="s">
        <v>5952</v>
      </c>
    </row>
    <row r="211" ht="15.75" customHeight="1">
      <c r="A211" s="25" t="s">
        <v>6059</v>
      </c>
      <c r="B211" s="25" t="s">
        <v>4831</v>
      </c>
      <c r="C211" s="25" t="s">
        <v>1179</v>
      </c>
      <c r="D211" s="25" t="s">
        <v>5770</v>
      </c>
      <c r="E211" s="25" t="s">
        <v>4826</v>
      </c>
      <c r="F211" s="25" t="s">
        <v>4812</v>
      </c>
      <c r="G211" s="26">
        <v>46060.0</v>
      </c>
      <c r="H211" s="29">
        <f t="shared" si="1"/>
        <v>98</v>
      </c>
      <c r="I211" s="25" t="s">
        <v>5952</v>
      </c>
    </row>
    <row r="212" ht="15.75" customHeight="1">
      <c r="A212" s="58" t="s">
        <v>6060</v>
      </c>
      <c r="B212" s="58" t="s">
        <v>4831</v>
      </c>
      <c r="C212" s="58" t="s">
        <v>518</v>
      </c>
      <c r="D212" s="58" t="s">
        <v>5770</v>
      </c>
      <c r="E212" s="58" t="s">
        <v>4826</v>
      </c>
      <c r="F212" s="58" t="s">
        <v>4821</v>
      </c>
      <c r="G212" s="59">
        <v>46093.0</v>
      </c>
      <c r="H212" s="85">
        <f t="shared" si="1"/>
        <v>65</v>
      </c>
      <c r="I212" s="58" t="s">
        <v>5952</v>
      </c>
    </row>
    <row r="213" ht="15.75" customHeight="1">
      <c r="A213" s="25" t="s">
        <v>6061</v>
      </c>
      <c r="B213" s="25" t="s">
        <v>4831</v>
      </c>
      <c r="C213" s="25" t="s">
        <v>827</v>
      </c>
      <c r="D213" s="25" t="s">
        <v>5770</v>
      </c>
      <c r="E213" s="25" t="s">
        <v>4826</v>
      </c>
      <c r="F213" s="25" t="s">
        <v>4821</v>
      </c>
      <c r="G213" s="26">
        <v>46070.0</v>
      </c>
      <c r="H213" s="29">
        <f t="shared" si="1"/>
        <v>88</v>
      </c>
      <c r="I213" s="25" t="s">
        <v>5952</v>
      </c>
    </row>
    <row r="214" ht="15.75" customHeight="1">
      <c r="A214" s="58" t="s">
        <v>6062</v>
      </c>
      <c r="B214" s="58" t="s">
        <v>4831</v>
      </c>
      <c r="C214" s="58" t="s">
        <v>1047</v>
      </c>
      <c r="D214" s="58" t="s">
        <v>5770</v>
      </c>
      <c r="E214" s="58" t="s">
        <v>4826</v>
      </c>
      <c r="F214" s="58" t="s">
        <v>4821</v>
      </c>
      <c r="G214" s="59">
        <v>46140.0</v>
      </c>
      <c r="H214" s="85">
        <f t="shared" si="1"/>
        <v>18</v>
      </c>
      <c r="I214" s="58" t="s">
        <v>5952</v>
      </c>
    </row>
    <row r="215" ht="15.75" customHeight="1">
      <c r="A215" s="25" t="s">
        <v>6063</v>
      </c>
      <c r="B215" s="25" t="s">
        <v>4831</v>
      </c>
      <c r="C215" s="25" t="s">
        <v>664</v>
      </c>
      <c r="D215" s="25" t="s">
        <v>5770</v>
      </c>
      <c r="E215" s="25" t="s">
        <v>4826</v>
      </c>
      <c r="F215" s="25" t="s">
        <v>4816</v>
      </c>
      <c r="G215" s="26">
        <v>46073.0</v>
      </c>
      <c r="H215" s="29">
        <f t="shared" si="1"/>
        <v>85</v>
      </c>
      <c r="I215" s="25" t="s">
        <v>5952</v>
      </c>
    </row>
    <row r="216" ht="15.75" customHeight="1">
      <c r="A216" s="58" t="s">
        <v>6064</v>
      </c>
      <c r="B216" s="58" t="s">
        <v>4831</v>
      </c>
      <c r="C216" s="58" t="s">
        <v>262</v>
      </c>
      <c r="D216" s="58" t="s">
        <v>5770</v>
      </c>
      <c r="E216" s="58" t="s">
        <v>4826</v>
      </c>
      <c r="F216" s="58" t="s">
        <v>4812</v>
      </c>
      <c r="G216" s="59">
        <v>46151.0</v>
      </c>
      <c r="H216" s="85">
        <f t="shared" si="1"/>
        <v>7</v>
      </c>
      <c r="I216" s="58" t="s">
        <v>5952</v>
      </c>
    </row>
    <row r="217" ht="15.75" customHeight="1">
      <c r="A217" s="25" t="s">
        <v>6065</v>
      </c>
      <c r="B217" s="25" t="s">
        <v>4831</v>
      </c>
      <c r="C217" s="25" t="s">
        <v>146</v>
      </c>
      <c r="D217" s="25" t="s">
        <v>5770</v>
      </c>
      <c r="E217" s="25" t="s">
        <v>4826</v>
      </c>
      <c r="F217" s="25" t="s">
        <v>4816</v>
      </c>
      <c r="G217" s="26">
        <v>46116.0</v>
      </c>
      <c r="H217" s="29">
        <f t="shared" si="1"/>
        <v>42</v>
      </c>
      <c r="I217" s="25" t="s">
        <v>5952</v>
      </c>
    </row>
    <row r="218" ht="15.75" customHeight="1">
      <c r="A218" s="58" t="s">
        <v>6066</v>
      </c>
      <c r="B218" s="58" t="s">
        <v>4831</v>
      </c>
      <c r="C218" s="58" t="s">
        <v>829</v>
      </c>
      <c r="D218" s="58" t="s">
        <v>5770</v>
      </c>
      <c r="E218" s="58" t="s">
        <v>4826</v>
      </c>
      <c r="F218" s="58" t="s">
        <v>4821</v>
      </c>
      <c r="G218" s="59">
        <v>46045.0</v>
      </c>
      <c r="H218" s="85">
        <f t="shared" si="1"/>
        <v>113</v>
      </c>
      <c r="I218" s="58" t="s">
        <v>5952</v>
      </c>
    </row>
    <row r="219" ht="15.75" customHeight="1">
      <c r="A219" s="25" t="s">
        <v>6067</v>
      </c>
      <c r="B219" s="25" t="s">
        <v>4831</v>
      </c>
      <c r="C219" s="25" t="s">
        <v>668</v>
      </c>
      <c r="D219" s="25" t="s">
        <v>5770</v>
      </c>
      <c r="E219" s="25" t="s">
        <v>4826</v>
      </c>
      <c r="F219" s="25" t="s">
        <v>4821</v>
      </c>
      <c r="G219" s="26">
        <v>46067.0</v>
      </c>
      <c r="H219" s="29">
        <f t="shared" si="1"/>
        <v>91</v>
      </c>
      <c r="I219" s="25" t="s">
        <v>5952</v>
      </c>
    </row>
    <row r="220" ht="15.75" customHeight="1">
      <c r="A220" s="58" t="s">
        <v>6068</v>
      </c>
      <c r="B220" s="58" t="s">
        <v>4831</v>
      </c>
      <c r="C220" s="58" t="s">
        <v>417</v>
      </c>
      <c r="D220" s="58" t="s">
        <v>5770</v>
      </c>
      <c r="E220" s="58" t="s">
        <v>4826</v>
      </c>
      <c r="F220" s="58" t="s">
        <v>4821</v>
      </c>
      <c r="G220" s="59">
        <v>46028.0</v>
      </c>
      <c r="H220" s="85">
        <f t="shared" si="1"/>
        <v>130</v>
      </c>
      <c r="I220" s="58" t="s">
        <v>5952</v>
      </c>
    </row>
    <row r="221" ht="15.75" customHeight="1">
      <c r="A221" s="25" t="s">
        <v>6069</v>
      </c>
      <c r="B221" s="25" t="s">
        <v>4831</v>
      </c>
      <c r="C221" s="25" t="s">
        <v>1189</v>
      </c>
      <c r="D221" s="25" t="s">
        <v>5770</v>
      </c>
      <c r="E221" s="25" t="s">
        <v>4826</v>
      </c>
      <c r="F221" s="25" t="s">
        <v>4816</v>
      </c>
      <c r="G221" s="26">
        <v>46101.0</v>
      </c>
      <c r="H221" s="29">
        <f t="shared" si="1"/>
        <v>57</v>
      </c>
      <c r="I221" s="25" t="s">
        <v>5952</v>
      </c>
    </row>
    <row r="222" ht="15.75" customHeight="1">
      <c r="A222" s="58" t="s">
        <v>6070</v>
      </c>
      <c r="B222" s="58" t="s">
        <v>4831</v>
      </c>
      <c r="C222" s="58" t="s">
        <v>147</v>
      </c>
      <c r="D222" s="58" t="s">
        <v>5770</v>
      </c>
      <c r="E222" s="58" t="s">
        <v>4826</v>
      </c>
      <c r="F222" s="58" t="s">
        <v>4821</v>
      </c>
      <c r="G222" s="59">
        <v>46078.0</v>
      </c>
      <c r="H222" s="85">
        <f t="shared" si="1"/>
        <v>80</v>
      </c>
      <c r="I222" s="58" t="s">
        <v>5952</v>
      </c>
    </row>
    <row r="223" ht="15.75" customHeight="1">
      <c r="A223" s="25" t="s">
        <v>6071</v>
      </c>
      <c r="B223" s="25" t="s">
        <v>4831</v>
      </c>
      <c r="C223" s="25" t="s">
        <v>421</v>
      </c>
      <c r="D223" s="25" t="s">
        <v>5770</v>
      </c>
      <c r="E223" s="25" t="s">
        <v>4826</v>
      </c>
      <c r="F223" s="25" t="s">
        <v>4821</v>
      </c>
      <c r="G223" s="26">
        <v>46156.0</v>
      </c>
      <c r="H223" s="29">
        <f t="shared" si="1"/>
        <v>2</v>
      </c>
      <c r="I223" s="25" t="s">
        <v>5952</v>
      </c>
    </row>
    <row r="224" ht="15.75" customHeight="1">
      <c r="A224" s="58" t="s">
        <v>6072</v>
      </c>
      <c r="B224" s="58" t="s">
        <v>4831</v>
      </c>
      <c r="C224" s="58" t="s">
        <v>148</v>
      </c>
      <c r="D224" s="58" t="s">
        <v>5770</v>
      </c>
      <c r="E224" s="58" t="s">
        <v>4826</v>
      </c>
      <c r="F224" s="58" t="s">
        <v>4821</v>
      </c>
      <c r="G224" s="59">
        <v>46054.0</v>
      </c>
      <c r="H224" s="85">
        <f t="shared" si="1"/>
        <v>104</v>
      </c>
      <c r="I224" s="58" t="s">
        <v>5952</v>
      </c>
    </row>
    <row r="225" ht="15.75" customHeight="1">
      <c r="A225" s="25" t="s">
        <v>6073</v>
      </c>
      <c r="B225" s="25" t="s">
        <v>4831</v>
      </c>
      <c r="C225" s="25" t="s">
        <v>1057</v>
      </c>
      <c r="D225" s="25" t="s">
        <v>5770</v>
      </c>
      <c r="E225" s="25" t="s">
        <v>4826</v>
      </c>
      <c r="F225" s="25" t="s">
        <v>4816</v>
      </c>
      <c r="G225" s="26">
        <v>46078.0</v>
      </c>
      <c r="H225" s="29">
        <f t="shared" si="1"/>
        <v>80</v>
      </c>
      <c r="I225" s="25" t="s">
        <v>5952</v>
      </c>
    </row>
    <row r="226" ht="15.75" customHeight="1">
      <c r="A226" s="58" t="s">
        <v>6074</v>
      </c>
      <c r="B226" s="58" t="s">
        <v>4831</v>
      </c>
      <c r="C226" s="58" t="s">
        <v>149</v>
      </c>
      <c r="D226" s="58" t="s">
        <v>5770</v>
      </c>
      <c r="E226" s="58" t="s">
        <v>4826</v>
      </c>
      <c r="F226" s="58" t="s">
        <v>4812</v>
      </c>
      <c r="G226" s="59">
        <v>46058.0</v>
      </c>
      <c r="H226" s="85">
        <f t="shared" si="1"/>
        <v>100</v>
      </c>
      <c r="I226" s="58" t="s">
        <v>5952</v>
      </c>
    </row>
    <row r="227" ht="15.75" customHeight="1">
      <c r="A227" s="25" t="s">
        <v>6075</v>
      </c>
      <c r="B227" s="25" t="s">
        <v>4831</v>
      </c>
      <c r="C227" s="25" t="s">
        <v>523</v>
      </c>
      <c r="D227" s="25" t="s">
        <v>5770</v>
      </c>
      <c r="E227" s="25" t="s">
        <v>4826</v>
      </c>
      <c r="F227" s="25" t="s">
        <v>4821</v>
      </c>
      <c r="G227" s="26">
        <v>46080.0</v>
      </c>
      <c r="H227" s="29">
        <f t="shared" si="1"/>
        <v>78</v>
      </c>
      <c r="I227" s="25" t="s">
        <v>5952</v>
      </c>
    </row>
    <row r="228" ht="15.75" customHeight="1">
      <c r="A228" s="58" t="s">
        <v>6076</v>
      </c>
      <c r="B228" s="58" t="s">
        <v>4831</v>
      </c>
      <c r="C228" s="58" t="s">
        <v>835</v>
      </c>
      <c r="D228" s="58" t="s">
        <v>5770</v>
      </c>
      <c r="E228" s="58" t="s">
        <v>4826</v>
      </c>
      <c r="F228" s="58" t="s">
        <v>4816</v>
      </c>
      <c r="G228" s="59">
        <v>46041.0</v>
      </c>
      <c r="H228" s="85">
        <f t="shared" si="1"/>
        <v>117</v>
      </c>
      <c r="I228" s="58" t="s">
        <v>5952</v>
      </c>
    </row>
    <row r="229" ht="15.75" customHeight="1">
      <c r="A229" s="25" t="s">
        <v>6077</v>
      </c>
      <c r="B229" s="25" t="s">
        <v>4831</v>
      </c>
      <c r="C229" s="25" t="s">
        <v>675</v>
      </c>
      <c r="D229" s="25" t="s">
        <v>5770</v>
      </c>
      <c r="E229" s="25" t="s">
        <v>4826</v>
      </c>
      <c r="F229" s="25" t="s">
        <v>4812</v>
      </c>
      <c r="G229" s="26">
        <v>46130.0</v>
      </c>
      <c r="H229" s="29">
        <f t="shared" si="1"/>
        <v>28</v>
      </c>
      <c r="I229" s="25" t="s">
        <v>5952</v>
      </c>
    </row>
    <row r="230" ht="15.75" customHeight="1">
      <c r="A230" s="58" t="s">
        <v>6078</v>
      </c>
      <c r="B230" s="58" t="s">
        <v>4831</v>
      </c>
      <c r="C230" s="58" t="s">
        <v>270</v>
      </c>
      <c r="D230" s="58" t="s">
        <v>5770</v>
      </c>
      <c r="E230" s="58" t="s">
        <v>4826</v>
      </c>
      <c r="F230" s="58" t="s">
        <v>4821</v>
      </c>
      <c r="G230" s="59">
        <v>46130.0</v>
      </c>
      <c r="H230" s="85">
        <f t="shared" si="1"/>
        <v>28</v>
      </c>
      <c r="I230" s="58" t="s">
        <v>5952</v>
      </c>
    </row>
    <row r="231" ht="15.75" customHeight="1">
      <c r="A231" s="25" t="s">
        <v>6079</v>
      </c>
      <c r="B231" s="25" t="s">
        <v>4831</v>
      </c>
      <c r="C231" s="25" t="s">
        <v>840</v>
      </c>
      <c r="D231" s="25" t="s">
        <v>5770</v>
      </c>
      <c r="E231" s="25" t="s">
        <v>4826</v>
      </c>
      <c r="F231" s="25" t="s">
        <v>4816</v>
      </c>
      <c r="G231" s="26">
        <v>46120.0</v>
      </c>
      <c r="H231" s="29">
        <f t="shared" si="1"/>
        <v>38</v>
      </c>
      <c r="I231" s="25" t="s">
        <v>5952</v>
      </c>
    </row>
    <row r="232" ht="15.75" customHeight="1">
      <c r="A232" s="58" t="s">
        <v>6080</v>
      </c>
      <c r="B232" s="58" t="s">
        <v>4831</v>
      </c>
      <c r="C232" s="58" t="s">
        <v>1193</v>
      </c>
      <c r="D232" s="58" t="s">
        <v>5770</v>
      </c>
      <c r="E232" s="58" t="s">
        <v>4826</v>
      </c>
      <c r="F232" s="58" t="s">
        <v>4812</v>
      </c>
      <c r="G232" s="59">
        <v>46037.0</v>
      </c>
      <c r="H232" s="85">
        <f t="shared" si="1"/>
        <v>121</v>
      </c>
      <c r="I232" s="58" t="s">
        <v>5952</v>
      </c>
    </row>
    <row r="233" ht="15.75" customHeight="1">
      <c r="A233" s="25" t="s">
        <v>6081</v>
      </c>
      <c r="B233" s="25" t="s">
        <v>4831</v>
      </c>
      <c r="C233" s="25" t="s">
        <v>429</v>
      </c>
      <c r="D233" s="25" t="s">
        <v>5770</v>
      </c>
      <c r="E233" s="25" t="s">
        <v>4826</v>
      </c>
      <c r="F233" s="25" t="s">
        <v>4812</v>
      </c>
      <c r="G233" s="26">
        <v>46078.0</v>
      </c>
      <c r="H233" s="29">
        <f t="shared" si="1"/>
        <v>80</v>
      </c>
      <c r="I233" s="25" t="s">
        <v>5952</v>
      </c>
    </row>
    <row r="234" ht="15.75" customHeight="1">
      <c r="A234" s="58" t="s">
        <v>6082</v>
      </c>
      <c r="B234" s="58" t="s">
        <v>4831</v>
      </c>
      <c r="C234" s="58" t="s">
        <v>1059</v>
      </c>
      <c r="D234" s="58" t="s">
        <v>5770</v>
      </c>
      <c r="E234" s="58" t="s">
        <v>4826</v>
      </c>
      <c r="F234" s="58" t="s">
        <v>4812</v>
      </c>
      <c r="G234" s="59">
        <v>46127.0</v>
      </c>
      <c r="H234" s="85">
        <f t="shared" si="1"/>
        <v>31</v>
      </c>
      <c r="I234" s="58" t="s">
        <v>5952</v>
      </c>
    </row>
    <row r="235" ht="15.75" customHeight="1">
      <c r="A235" s="25" t="s">
        <v>6083</v>
      </c>
      <c r="B235" s="25" t="s">
        <v>4831</v>
      </c>
      <c r="C235" s="25" t="s">
        <v>1061</v>
      </c>
      <c r="D235" s="25" t="s">
        <v>5770</v>
      </c>
      <c r="E235" s="25" t="s">
        <v>4826</v>
      </c>
      <c r="F235" s="25" t="s">
        <v>4812</v>
      </c>
      <c r="G235" s="26">
        <v>46031.0</v>
      </c>
      <c r="H235" s="29">
        <f t="shared" si="1"/>
        <v>127</v>
      </c>
      <c r="I235" s="25" t="s">
        <v>5952</v>
      </c>
    </row>
    <row r="236" ht="15.75" customHeight="1">
      <c r="A236" s="58" t="s">
        <v>6084</v>
      </c>
      <c r="B236" s="58" t="s">
        <v>4831</v>
      </c>
      <c r="C236" s="58" t="s">
        <v>276</v>
      </c>
      <c r="D236" s="58" t="s">
        <v>5770</v>
      </c>
      <c r="E236" s="58" t="s">
        <v>4826</v>
      </c>
      <c r="F236" s="58" t="s">
        <v>4821</v>
      </c>
      <c r="G236" s="59">
        <v>46153.0</v>
      </c>
      <c r="H236" s="85">
        <f t="shared" si="1"/>
        <v>5</v>
      </c>
      <c r="I236" s="58" t="s">
        <v>5952</v>
      </c>
    </row>
    <row r="237" ht="15.75" customHeight="1">
      <c r="A237" s="25" t="s">
        <v>6085</v>
      </c>
      <c r="B237" s="25" t="s">
        <v>4831</v>
      </c>
      <c r="C237" s="25" t="s">
        <v>278</v>
      </c>
      <c r="D237" s="25" t="s">
        <v>5770</v>
      </c>
      <c r="E237" s="25" t="s">
        <v>4826</v>
      </c>
      <c r="F237" s="25" t="s">
        <v>4821</v>
      </c>
      <c r="G237" s="26">
        <v>46134.0</v>
      </c>
      <c r="H237" s="29">
        <f t="shared" si="1"/>
        <v>24</v>
      </c>
      <c r="I237" s="25" t="s">
        <v>5952</v>
      </c>
    </row>
    <row r="238" ht="15.75" customHeight="1">
      <c r="A238" s="58" t="s">
        <v>6086</v>
      </c>
      <c r="B238" s="58" t="s">
        <v>4831</v>
      </c>
      <c r="C238" s="58" t="s">
        <v>280</v>
      </c>
      <c r="D238" s="58" t="s">
        <v>5770</v>
      </c>
      <c r="E238" s="58" t="s">
        <v>4826</v>
      </c>
      <c r="F238" s="58" t="s">
        <v>4816</v>
      </c>
      <c r="G238" s="59">
        <v>46038.0</v>
      </c>
      <c r="H238" s="85">
        <f t="shared" si="1"/>
        <v>120</v>
      </c>
      <c r="I238" s="58" t="s">
        <v>5952</v>
      </c>
    </row>
    <row r="239" ht="15.75" customHeight="1">
      <c r="A239" s="25" t="s">
        <v>6087</v>
      </c>
      <c r="B239" s="25" t="s">
        <v>4831</v>
      </c>
      <c r="C239" s="25" t="s">
        <v>847</v>
      </c>
      <c r="D239" s="25" t="s">
        <v>5770</v>
      </c>
      <c r="E239" s="25" t="s">
        <v>4826</v>
      </c>
      <c r="F239" s="25" t="s">
        <v>4812</v>
      </c>
      <c r="G239" s="26">
        <v>46108.0</v>
      </c>
      <c r="H239" s="29">
        <f t="shared" si="1"/>
        <v>50</v>
      </c>
      <c r="I239" s="25" t="s">
        <v>5952</v>
      </c>
    </row>
    <row r="240" ht="15.75" customHeight="1">
      <c r="A240" s="58" t="s">
        <v>6088</v>
      </c>
      <c r="B240" s="58" t="s">
        <v>4831</v>
      </c>
      <c r="C240" s="58" t="s">
        <v>158</v>
      </c>
      <c r="D240" s="58" t="s">
        <v>5770</v>
      </c>
      <c r="E240" s="58" t="s">
        <v>4826</v>
      </c>
      <c r="F240" s="58" t="s">
        <v>4816</v>
      </c>
      <c r="G240" s="59">
        <v>46101.0</v>
      </c>
      <c r="H240" s="85">
        <f t="shared" si="1"/>
        <v>57</v>
      </c>
      <c r="I240" s="58" t="s">
        <v>5952</v>
      </c>
    </row>
    <row r="241" ht="15.75" customHeight="1">
      <c r="A241" s="25" t="s">
        <v>6089</v>
      </c>
      <c r="B241" s="25" t="s">
        <v>4831</v>
      </c>
      <c r="C241" s="25" t="s">
        <v>436</v>
      </c>
      <c r="D241" s="25" t="s">
        <v>5770</v>
      </c>
      <c r="E241" s="25" t="s">
        <v>4826</v>
      </c>
      <c r="F241" s="25" t="s">
        <v>4816</v>
      </c>
      <c r="G241" s="26">
        <v>46110.0</v>
      </c>
      <c r="H241" s="29">
        <f t="shared" si="1"/>
        <v>48</v>
      </c>
      <c r="I241" s="25" t="s">
        <v>5952</v>
      </c>
    </row>
    <row r="242" ht="15.75" customHeight="1">
      <c r="A242" s="58" t="s">
        <v>6090</v>
      </c>
      <c r="B242" s="58" t="s">
        <v>4831</v>
      </c>
      <c r="C242" s="58" t="s">
        <v>286</v>
      </c>
      <c r="D242" s="58" t="s">
        <v>5770</v>
      </c>
      <c r="E242" s="58" t="s">
        <v>4826</v>
      </c>
      <c r="F242" s="58" t="s">
        <v>4821</v>
      </c>
      <c r="G242" s="59">
        <v>46041.0</v>
      </c>
      <c r="H242" s="85">
        <f t="shared" si="1"/>
        <v>117</v>
      </c>
      <c r="I242" s="58" t="s">
        <v>5952</v>
      </c>
    </row>
    <row r="243" ht="15.75" customHeight="1">
      <c r="A243" s="25" t="s">
        <v>6091</v>
      </c>
      <c r="B243" s="25" t="s">
        <v>4831</v>
      </c>
      <c r="C243" s="25" t="s">
        <v>1070</v>
      </c>
      <c r="D243" s="25" t="s">
        <v>5770</v>
      </c>
      <c r="E243" s="25" t="s">
        <v>4826</v>
      </c>
      <c r="F243" s="25" t="s">
        <v>4812</v>
      </c>
      <c r="G243" s="26">
        <v>46050.0</v>
      </c>
      <c r="H243" s="29">
        <f t="shared" si="1"/>
        <v>108</v>
      </c>
      <c r="I243" s="25" t="s">
        <v>5952</v>
      </c>
    </row>
    <row r="244" ht="15.75" customHeight="1">
      <c r="A244" s="58" t="s">
        <v>6092</v>
      </c>
      <c r="B244" s="58" t="s">
        <v>4831</v>
      </c>
      <c r="C244" s="58" t="s">
        <v>288</v>
      </c>
      <c r="D244" s="58" t="s">
        <v>5770</v>
      </c>
      <c r="E244" s="58" t="s">
        <v>4826</v>
      </c>
      <c r="F244" s="58" t="s">
        <v>4812</v>
      </c>
      <c r="G244" s="59">
        <v>46071.0</v>
      </c>
      <c r="H244" s="85">
        <f t="shared" si="1"/>
        <v>87</v>
      </c>
      <c r="I244" s="58" t="s">
        <v>5952</v>
      </c>
    </row>
    <row r="245" ht="15.75" customHeight="1">
      <c r="A245" s="25" t="s">
        <v>6093</v>
      </c>
      <c r="B245" s="25" t="s">
        <v>4831</v>
      </c>
      <c r="C245" s="25" t="s">
        <v>849</v>
      </c>
      <c r="D245" s="25" t="s">
        <v>5770</v>
      </c>
      <c r="E245" s="25" t="s">
        <v>4826</v>
      </c>
      <c r="F245" s="25" t="s">
        <v>4812</v>
      </c>
      <c r="G245" s="26">
        <v>46154.0</v>
      </c>
      <c r="H245" s="29">
        <f t="shared" si="1"/>
        <v>4</v>
      </c>
      <c r="I245" s="25" t="s">
        <v>5952</v>
      </c>
    </row>
    <row r="246" ht="15.75" customHeight="1">
      <c r="A246" s="58" t="s">
        <v>6094</v>
      </c>
      <c r="B246" s="58" t="s">
        <v>4831</v>
      </c>
      <c r="C246" s="58" t="s">
        <v>1072</v>
      </c>
      <c r="D246" s="58" t="s">
        <v>5770</v>
      </c>
      <c r="E246" s="58" t="s">
        <v>4826</v>
      </c>
      <c r="F246" s="58" t="s">
        <v>4821</v>
      </c>
      <c r="G246" s="59">
        <v>46127.0</v>
      </c>
      <c r="H246" s="85">
        <f t="shared" si="1"/>
        <v>31</v>
      </c>
      <c r="I246" s="58" t="s">
        <v>5952</v>
      </c>
    </row>
    <row r="247" ht="15.75" customHeight="1">
      <c r="A247" s="25" t="s">
        <v>6095</v>
      </c>
      <c r="B247" s="25" t="s">
        <v>4831</v>
      </c>
      <c r="C247" s="25" t="s">
        <v>1073</v>
      </c>
      <c r="D247" s="25" t="s">
        <v>5770</v>
      </c>
      <c r="E247" s="25" t="s">
        <v>4826</v>
      </c>
      <c r="F247" s="25" t="s">
        <v>4812</v>
      </c>
      <c r="G247" s="26">
        <v>46126.0</v>
      </c>
      <c r="H247" s="29">
        <f t="shared" si="1"/>
        <v>32</v>
      </c>
      <c r="I247" s="25" t="s">
        <v>5952</v>
      </c>
    </row>
    <row r="248" ht="15.75" customHeight="1">
      <c r="A248" s="58" t="s">
        <v>6096</v>
      </c>
      <c r="B248" s="58" t="s">
        <v>4831</v>
      </c>
      <c r="C248" s="58" t="s">
        <v>536</v>
      </c>
      <c r="D248" s="58" t="s">
        <v>5770</v>
      </c>
      <c r="E248" s="58" t="s">
        <v>4826</v>
      </c>
      <c r="F248" s="58" t="s">
        <v>4816</v>
      </c>
      <c r="G248" s="59">
        <v>46071.0</v>
      </c>
      <c r="H248" s="85">
        <f t="shared" si="1"/>
        <v>87</v>
      </c>
      <c r="I248" s="58" t="s">
        <v>5952</v>
      </c>
    </row>
    <row r="249" ht="15.75" customHeight="1">
      <c r="A249" s="25" t="s">
        <v>6097</v>
      </c>
      <c r="B249" s="25" t="s">
        <v>4831</v>
      </c>
      <c r="C249" s="25" t="s">
        <v>947</v>
      </c>
      <c r="D249" s="25" t="s">
        <v>5770</v>
      </c>
      <c r="E249" s="25" t="s">
        <v>4826</v>
      </c>
      <c r="F249" s="25" t="s">
        <v>4812</v>
      </c>
      <c r="G249" s="26">
        <v>46117.0</v>
      </c>
      <c r="H249" s="29">
        <f t="shared" si="1"/>
        <v>41</v>
      </c>
      <c r="I249" s="25" t="s">
        <v>5952</v>
      </c>
    </row>
    <row r="250" ht="15.75" customHeight="1">
      <c r="A250" s="58" t="s">
        <v>6098</v>
      </c>
      <c r="B250" s="58" t="s">
        <v>4831</v>
      </c>
      <c r="C250" s="58" t="s">
        <v>442</v>
      </c>
      <c r="D250" s="58" t="s">
        <v>5770</v>
      </c>
      <c r="E250" s="58" t="s">
        <v>4826</v>
      </c>
      <c r="F250" s="58" t="s">
        <v>4812</v>
      </c>
      <c r="G250" s="59">
        <v>46096.0</v>
      </c>
      <c r="H250" s="85">
        <f t="shared" si="1"/>
        <v>62</v>
      </c>
      <c r="I250" s="58" t="s">
        <v>5952</v>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50">
    <sortState ref="A1:I250">
      <sortCondition ref="D1:D250"/>
    </sortState>
  </autoFilter>
  <conditionalFormatting sqref="D2:D250">
    <cfRule type="expression" dxfId="1" priority="1">
      <formula>D2="Critical"</formula>
    </cfRule>
  </conditionalFormatting>
  <conditionalFormatting sqref="D2:D250">
    <cfRule type="expression" dxfId="2" priority="2">
      <formula>D2="High"</formula>
    </cfRule>
  </conditionalFormatting>
  <conditionalFormatting sqref="F2:F250">
    <cfRule type="expression" dxfId="7" priority="3">
      <formula>F2="Open"</formula>
    </cfRule>
  </conditionalFormatting>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1.0"/>
    <col customWidth="1" min="3" max="3" width="10.0"/>
    <col customWidth="1" min="4" max="4" width="21.0"/>
    <col customWidth="1" min="5" max="26" width="8.71"/>
  </cols>
  <sheetData>
    <row r="1">
      <c r="A1" s="52" t="s">
        <v>50</v>
      </c>
      <c r="B1" s="52" t="s">
        <v>51</v>
      </c>
      <c r="C1" s="52" t="s">
        <v>6099</v>
      </c>
      <c r="D1" s="52" t="s">
        <v>6100</v>
      </c>
    </row>
    <row r="2">
      <c r="A2" s="53" t="s">
        <v>156</v>
      </c>
      <c r="B2" s="53" t="s">
        <v>6101</v>
      </c>
      <c r="C2" s="53" t="s">
        <v>6102</v>
      </c>
      <c r="D2" s="55">
        <v>10.0</v>
      </c>
    </row>
    <row r="3">
      <c r="A3" s="25" t="s">
        <v>95</v>
      </c>
      <c r="B3" s="25" t="s">
        <v>6103</v>
      </c>
      <c r="C3" s="25" t="s">
        <v>6102</v>
      </c>
      <c r="D3" s="30">
        <v>10.5</v>
      </c>
    </row>
    <row r="4">
      <c r="A4" s="53" t="s">
        <v>110</v>
      </c>
      <c r="B4" s="53" t="s">
        <v>6104</v>
      </c>
      <c r="C4" s="53" t="s">
        <v>6102</v>
      </c>
      <c r="D4" s="55">
        <v>11.0</v>
      </c>
    </row>
    <row r="5">
      <c r="A5" s="25" t="s">
        <v>78</v>
      </c>
      <c r="B5" s="25" t="s">
        <v>6105</v>
      </c>
      <c r="C5" s="25" t="s">
        <v>6102</v>
      </c>
      <c r="D5" s="30">
        <v>10.75</v>
      </c>
    </row>
    <row r="6">
      <c r="A6" s="53" t="s">
        <v>85</v>
      </c>
      <c r="B6" s="53" t="s">
        <v>6106</v>
      </c>
      <c r="C6" s="53" t="s">
        <v>6102</v>
      </c>
      <c r="D6" s="55">
        <v>10.25</v>
      </c>
    </row>
    <row r="7">
      <c r="A7" s="25" t="s">
        <v>154</v>
      </c>
      <c r="B7" s="25" t="s">
        <v>6107</v>
      </c>
      <c r="C7" s="25" t="s">
        <v>6102</v>
      </c>
      <c r="D7" s="30">
        <v>10.75</v>
      </c>
    </row>
    <row r="8">
      <c r="A8" s="53" t="s">
        <v>162</v>
      </c>
      <c r="B8" s="53" t="s">
        <v>6108</v>
      </c>
      <c r="C8" s="53" t="s">
        <v>6102</v>
      </c>
      <c r="D8" s="55">
        <v>10.25</v>
      </c>
    </row>
    <row r="9">
      <c r="A9" s="25" t="s">
        <v>123</v>
      </c>
      <c r="B9" s="25" t="s">
        <v>6109</v>
      </c>
      <c r="C9" s="25" t="s">
        <v>6102</v>
      </c>
      <c r="D9" s="30">
        <v>10.75</v>
      </c>
    </row>
    <row r="10">
      <c r="A10" s="53" t="s">
        <v>115</v>
      </c>
      <c r="B10" s="53" t="s">
        <v>6110</v>
      </c>
      <c r="C10" s="53" t="s">
        <v>6102</v>
      </c>
      <c r="D10" s="55">
        <v>11.25</v>
      </c>
    </row>
    <row r="11">
      <c r="A11" s="25" t="s">
        <v>102</v>
      </c>
      <c r="B11" s="25" t="s">
        <v>6111</v>
      </c>
      <c r="C11" s="25" t="s">
        <v>6102</v>
      </c>
      <c r="D11" s="30">
        <v>11.0</v>
      </c>
    </row>
    <row r="12">
      <c r="A12" s="53" t="s">
        <v>92</v>
      </c>
      <c r="B12" s="53" t="s">
        <v>6112</v>
      </c>
      <c r="C12" s="53" t="s">
        <v>6102</v>
      </c>
      <c r="D12" s="55">
        <v>10.5</v>
      </c>
    </row>
    <row r="13">
      <c r="A13" s="25" t="s">
        <v>68</v>
      </c>
      <c r="B13" s="25" t="s">
        <v>6113</v>
      </c>
      <c r="C13" s="25" t="s">
        <v>6102</v>
      </c>
      <c r="D13" s="30">
        <v>10.5</v>
      </c>
    </row>
    <row r="14">
      <c r="A14" s="53" t="s">
        <v>106</v>
      </c>
      <c r="B14" s="53" t="s">
        <v>6114</v>
      </c>
      <c r="C14" s="53" t="s">
        <v>6102</v>
      </c>
      <c r="D14" s="55">
        <v>10.75</v>
      </c>
    </row>
    <row r="15">
      <c r="A15" s="25" t="s">
        <v>108</v>
      </c>
      <c r="B15" s="25" t="s">
        <v>6115</v>
      </c>
      <c r="C15" s="25" t="s">
        <v>6102</v>
      </c>
      <c r="D15" s="30">
        <v>10.75</v>
      </c>
    </row>
    <row r="16">
      <c r="A16" s="53" t="s">
        <v>74</v>
      </c>
      <c r="B16" s="53" t="s">
        <v>6116</v>
      </c>
      <c r="C16" s="53" t="s">
        <v>6102</v>
      </c>
      <c r="D16" s="55">
        <v>11.5</v>
      </c>
    </row>
    <row r="17">
      <c r="A17" s="25" t="s">
        <v>90</v>
      </c>
      <c r="B17" s="25" t="s">
        <v>6117</v>
      </c>
      <c r="C17" s="25" t="s">
        <v>6118</v>
      </c>
      <c r="D17" s="30">
        <v>7.5</v>
      </c>
    </row>
    <row r="18">
      <c r="A18" s="53" t="s">
        <v>190</v>
      </c>
      <c r="B18" s="53" t="s">
        <v>6119</v>
      </c>
      <c r="C18" s="53" t="s">
        <v>6118</v>
      </c>
      <c r="D18" s="55">
        <v>7.5</v>
      </c>
    </row>
    <row r="19">
      <c r="A19" s="25" t="s">
        <v>81</v>
      </c>
      <c r="B19" s="25" t="s">
        <v>6120</v>
      </c>
      <c r="C19" s="25" t="s">
        <v>6118</v>
      </c>
      <c r="D19" s="30">
        <v>7.25</v>
      </c>
    </row>
    <row r="20">
      <c r="A20" s="53" t="s">
        <v>64</v>
      </c>
      <c r="B20" s="53" t="s">
        <v>6121</v>
      </c>
      <c r="C20" s="53" t="s">
        <v>6118</v>
      </c>
      <c r="D20" s="55">
        <v>7.75</v>
      </c>
    </row>
    <row r="21" ht="15.75" customHeight="1">
      <c r="A21" s="25" t="s">
        <v>71</v>
      </c>
      <c r="B21" s="25" t="s">
        <v>6122</v>
      </c>
      <c r="C21" s="25" t="s">
        <v>6118</v>
      </c>
      <c r="D21" s="30">
        <v>7.75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21"/>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7.0"/>
    <col customWidth="1" min="3" max="3" width="10.0"/>
    <col customWidth="1" min="4" max="4" width="17.0"/>
    <col customWidth="1" min="5" max="5" width="19.0"/>
    <col customWidth="1" min="6" max="26" width="8.71"/>
  </cols>
  <sheetData>
    <row r="1">
      <c r="A1" s="52" t="s">
        <v>45</v>
      </c>
      <c r="B1" s="52" t="s">
        <v>46</v>
      </c>
      <c r="C1" s="52" t="s">
        <v>47</v>
      </c>
      <c r="D1" s="52" t="s">
        <v>5349</v>
      </c>
      <c r="E1" s="52" t="s">
        <v>6123</v>
      </c>
    </row>
    <row r="2">
      <c r="A2" s="53" t="s">
        <v>87</v>
      </c>
      <c r="B2" s="53" t="s">
        <v>5480</v>
      </c>
      <c r="C2" s="53" t="s">
        <v>4020</v>
      </c>
      <c r="D2" s="53" t="s">
        <v>4820</v>
      </c>
      <c r="E2" s="53" t="s">
        <v>6124</v>
      </c>
    </row>
    <row r="3">
      <c r="A3" s="25" t="s">
        <v>77</v>
      </c>
      <c r="B3" s="25" t="s">
        <v>5540</v>
      </c>
      <c r="C3" s="25" t="s">
        <v>4559</v>
      </c>
      <c r="D3" s="25" t="s">
        <v>5360</v>
      </c>
      <c r="E3" s="25" t="s">
        <v>6124</v>
      </c>
    </row>
    <row r="4">
      <c r="A4" s="53" t="s">
        <v>83</v>
      </c>
      <c r="B4" s="53" t="s">
        <v>5549</v>
      </c>
      <c r="C4" s="53" t="s">
        <v>3934</v>
      </c>
      <c r="D4" s="53" t="s">
        <v>5360</v>
      </c>
      <c r="E4" s="53" t="s">
        <v>6124</v>
      </c>
    </row>
    <row r="5">
      <c r="A5" s="25" t="s">
        <v>73</v>
      </c>
      <c r="B5" s="25" t="s">
        <v>5552</v>
      </c>
      <c r="C5" s="25" t="s">
        <v>4020</v>
      </c>
      <c r="D5" s="25" t="s">
        <v>5355</v>
      </c>
      <c r="E5" s="25" t="s">
        <v>6124</v>
      </c>
    </row>
    <row r="6">
      <c r="A6" s="53" t="s">
        <v>80</v>
      </c>
      <c r="B6" s="53" t="s">
        <v>5585</v>
      </c>
      <c r="C6" s="53" t="s">
        <v>3934</v>
      </c>
      <c r="D6" s="53" t="s">
        <v>5378</v>
      </c>
      <c r="E6" s="53" t="s">
        <v>6124</v>
      </c>
    </row>
    <row r="7">
      <c r="A7" s="25" t="s">
        <v>70</v>
      </c>
      <c r="B7" s="25" t="s">
        <v>5594</v>
      </c>
      <c r="C7" s="25" t="s">
        <v>4390</v>
      </c>
      <c r="D7" s="25" t="s">
        <v>4820</v>
      </c>
      <c r="E7" s="25" t="s">
        <v>6124</v>
      </c>
    </row>
    <row r="8">
      <c r="A8" s="53" t="s">
        <v>104</v>
      </c>
      <c r="B8" s="53" t="s">
        <v>5642</v>
      </c>
      <c r="C8" s="53" t="s">
        <v>4323</v>
      </c>
      <c r="D8" s="53" t="s">
        <v>5360</v>
      </c>
      <c r="E8" s="53" t="s">
        <v>6124</v>
      </c>
    </row>
    <row r="9">
      <c r="A9" s="25" t="s">
        <v>114</v>
      </c>
      <c r="B9" s="25" t="s">
        <v>5648</v>
      </c>
      <c r="C9" s="25" t="s">
        <v>4559</v>
      </c>
      <c r="D9" s="25" t="s">
        <v>4820</v>
      </c>
      <c r="E9" s="25" t="s">
        <v>6124</v>
      </c>
    </row>
    <row r="10">
      <c r="A10" s="53" t="s">
        <v>207</v>
      </c>
      <c r="B10" s="53" t="s">
        <v>5371</v>
      </c>
      <c r="C10" s="53" t="s">
        <v>3849</v>
      </c>
      <c r="D10" s="53" t="s">
        <v>5355</v>
      </c>
      <c r="E10" s="53" t="s">
        <v>6125</v>
      </c>
    </row>
    <row r="11">
      <c r="A11" s="25" t="s">
        <v>174</v>
      </c>
      <c r="B11" s="25" t="s">
        <v>5391</v>
      </c>
      <c r="C11" s="25" t="s">
        <v>4465</v>
      </c>
      <c r="D11" s="25" t="s">
        <v>5360</v>
      </c>
      <c r="E11" s="25" t="s">
        <v>6125</v>
      </c>
    </row>
    <row r="12">
      <c r="A12" s="53" t="s">
        <v>189</v>
      </c>
      <c r="B12" s="53" t="s">
        <v>5394</v>
      </c>
      <c r="C12" s="53" t="s">
        <v>4559</v>
      </c>
      <c r="D12" s="53" t="s">
        <v>5360</v>
      </c>
      <c r="E12" s="53" t="s">
        <v>6125</v>
      </c>
    </row>
    <row r="13">
      <c r="A13" s="25" t="s">
        <v>166</v>
      </c>
      <c r="B13" s="25" t="s">
        <v>5492</v>
      </c>
      <c r="C13" s="25" t="s">
        <v>4186</v>
      </c>
      <c r="D13" s="25" t="s">
        <v>5355</v>
      </c>
      <c r="E13" s="25" t="s">
        <v>6125</v>
      </c>
    </row>
    <row r="14">
      <c r="A14" s="53" t="s">
        <v>170</v>
      </c>
      <c r="B14" s="53" t="s">
        <v>5525</v>
      </c>
      <c r="C14" s="53" t="s">
        <v>4097</v>
      </c>
      <c r="D14" s="53" t="s">
        <v>5355</v>
      </c>
      <c r="E14" s="53" t="s">
        <v>6125</v>
      </c>
    </row>
    <row r="15">
      <c r="A15" s="25" t="s">
        <v>164</v>
      </c>
      <c r="B15" s="25" t="s">
        <v>5576</v>
      </c>
      <c r="C15" s="25" t="s">
        <v>4559</v>
      </c>
      <c r="D15" s="25" t="s">
        <v>5355</v>
      </c>
      <c r="E15" s="25" t="s">
        <v>6125</v>
      </c>
    </row>
    <row r="16">
      <c r="A16" s="53" t="s">
        <v>168</v>
      </c>
      <c r="B16" s="53" t="s">
        <v>5603</v>
      </c>
      <c r="C16" s="53" t="s">
        <v>4261</v>
      </c>
      <c r="D16" s="53" t="s">
        <v>5355</v>
      </c>
      <c r="E16" s="53" t="s">
        <v>6125</v>
      </c>
    </row>
    <row r="17">
      <c r="A17" s="25" t="s">
        <v>184</v>
      </c>
      <c r="B17" s="25" t="s">
        <v>5612</v>
      </c>
      <c r="C17" s="25" t="s">
        <v>4559</v>
      </c>
      <c r="D17" s="25" t="s">
        <v>5360</v>
      </c>
      <c r="E17" s="25" t="s">
        <v>6125</v>
      </c>
    </row>
    <row r="18">
      <c r="A18" s="53" t="s">
        <v>198</v>
      </c>
      <c r="B18" s="53" t="s">
        <v>5639</v>
      </c>
      <c r="C18" s="53" t="s">
        <v>4261</v>
      </c>
      <c r="D18" s="53" t="s">
        <v>5360</v>
      </c>
      <c r="E18" s="53" t="s">
        <v>6125</v>
      </c>
    </row>
    <row r="19">
      <c r="A19" s="25" t="s">
        <v>226</v>
      </c>
      <c r="B19" s="25" t="s">
        <v>5651</v>
      </c>
      <c r="C19" s="25" t="s">
        <v>4618</v>
      </c>
      <c r="D19" s="25" t="s">
        <v>5360</v>
      </c>
      <c r="E19" s="25" t="s">
        <v>6125</v>
      </c>
    </row>
    <row r="20">
      <c r="A20" s="53" t="s">
        <v>181</v>
      </c>
      <c r="B20" s="53" t="s">
        <v>5657</v>
      </c>
      <c r="C20" s="53" t="s">
        <v>3934</v>
      </c>
      <c r="D20" s="53" t="s">
        <v>5360</v>
      </c>
      <c r="E20" s="53" t="s">
        <v>6125</v>
      </c>
    </row>
    <row r="21" ht="15.75" customHeight="1">
      <c r="A21" s="25" t="s">
        <v>177</v>
      </c>
      <c r="B21" s="25" t="s">
        <v>5669</v>
      </c>
      <c r="C21" s="25" t="s">
        <v>4097</v>
      </c>
      <c r="D21" s="25" t="s">
        <v>5378</v>
      </c>
      <c r="E21" s="25" t="s">
        <v>6125</v>
      </c>
    </row>
    <row r="22" ht="15.75" customHeight="1">
      <c r="A22" s="53" t="s">
        <v>179</v>
      </c>
      <c r="B22" s="53" t="s">
        <v>5702</v>
      </c>
      <c r="C22" s="53" t="s">
        <v>4390</v>
      </c>
      <c r="D22" s="53" t="s">
        <v>5360</v>
      </c>
      <c r="E22" s="53" t="s">
        <v>6125</v>
      </c>
    </row>
    <row r="23" ht="15.75" customHeight="1">
      <c r="A23" s="25" t="s">
        <v>195</v>
      </c>
      <c r="B23" s="25" t="s">
        <v>5711</v>
      </c>
      <c r="C23" s="25" t="s">
        <v>4261</v>
      </c>
      <c r="D23" s="25" t="s">
        <v>5360</v>
      </c>
      <c r="E23" s="25" t="s">
        <v>6125</v>
      </c>
    </row>
    <row r="24" ht="15.75" customHeight="1">
      <c r="A24" s="53" t="s">
        <v>330</v>
      </c>
      <c r="B24" s="53" t="s">
        <v>5359</v>
      </c>
      <c r="C24" s="53" t="s">
        <v>4705</v>
      </c>
      <c r="D24" s="53" t="s">
        <v>5360</v>
      </c>
      <c r="E24" s="53" t="s">
        <v>6126</v>
      </c>
    </row>
    <row r="25" ht="15.75" customHeight="1">
      <c r="A25" s="25" t="s">
        <v>305</v>
      </c>
      <c r="B25" s="25" t="s">
        <v>5410</v>
      </c>
      <c r="C25" s="25" t="s">
        <v>3849</v>
      </c>
      <c r="D25" s="25" t="s">
        <v>5360</v>
      </c>
      <c r="E25" s="25" t="s">
        <v>6126</v>
      </c>
    </row>
    <row r="26" ht="15.75" customHeight="1">
      <c r="A26" s="53" t="s">
        <v>299</v>
      </c>
      <c r="B26" s="53" t="s">
        <v>5441</v>
      </c>
      <c r="C26" s="53" t="s">
        <v>3934</v>
      </c>
      <c r="D26" s="53" t="s">
        <v>4820</v>
      </c>
      <c r="E26" s="53" t="s">
        <v>6126</v>
      </c>
    </row>
    <row r="27" ht="15.75" customHeight="1">
      <c r="A27" s="25" t="s">
        <v>339</v>
      </c>
      <c r="B27" s="25" t="s">
        <v>5462</v>
      </c>
      <c r="C27" s="25" t="s">
        <v>4323</v>
      </c>
      <c r="D27" s="25" t="s">
        <v>5378</v>
      </c>
      <c r="E27" s="25" t="s">
        <v>6126</v>
      </c>
    </row>
    <row r="28" ht="15.75" customHeight="1">
      <c r="A28" s="53" t="s">
        <v>293</v>
      </c>
      <c r="B28" s="53" t="s">
        <v>5474</v>
      </c>
      <c r="C28" s="53" t="s">
        <v>4705</v>
      </c>
      <c r="D28" s="53" t="s">
        <v>5355</v>
      </c>
      <c r="E28" s="53" t="s">
        <v>6126</v>
      </c>
    </row>
    <row r="29" ht="15.75" customHeight="1">
      <c r="A29" s="25" t="s">
        <v>326</v>
      </c>
      <c r="B29" s="25" t="s">
        <v>5489</v>
      </c>
      <c r="C29" s="25" t="s">
        <v>4097</v>
      </c>
      <c r="D29" s="25" t="s">
        <v>5378</v>
      </c>
      <c r="E29" s="25" t="s">
        <v>6126</v>
      </c>
    </row>
    <row r="30" ht="15.75" customHeight="1">
      <c r="A30" s="53" t="s">
        <v>291</v>
      </c>
      <c r="B30" s="53" t="s">
        <v>5504</v>
      </c>
      <c r="C30" s="53" t="s">
        <v>4559</v>
      </c>
      <c r="D30" s="53" t="s">
        <v>5378</v>
      </c>
      <c r="E30" s="53" t="s">
        <v>6126</v>
      </c>
    </row>
    <row r="31" ht="15.75" customHeight="1">
      <c r="A31" s="25" t="s">
        <v>297</v>
      </c>
      <c r="B31" s="25" t="s">
        <v>5519</v>
      </c>
      <c r="C31" s="25" t="s">
        <v>3849</v>
      </c>
      <c r="D31" s="25" t="s">
        <v>5360</v>
      </c>
      <c r="E31" s="25" t="s">
        <v>6126</v>
      </c>
    </row>
    <row r="32" ht="15.75" customHeight="1">
      <c r="A32" s="53" t="s">
        <v>303</v>
      </c>
      <c r="B32" s="53" t="s">
        <v>5528</v>
      </c>
      <c r="C32" s="53" t="s">
        <v>4186</v>
      </c>
      <c r="D32" s="53" t="s">
        <v>4820</v>
      </c>
      <c r="E32" s="53" t="s">
        <v>6126</v>
      </c>
    </row>
    <row r="33" ht="15.75" customHeight="1">
      <c r="A33" s="25" t="s">
        <v>320</v>
      </c>
      <c r="B33" s="25" t="s">
        <v>5567</v>
      </c>
      <c r="C33" s="25" t="s">
        <v>4261</v>
      </c>
      <c r="D33" s="25" t="s">
        <v>4820</v>
      </c>
      <c r="E33" s="25" t="s">
        <v>6126</v>
      </c>
    </row>
    <row r="34" ht="15.75" customHeight="1">
      <c r="A34" s="53" t="s">
        <v>312</v>
      </c>
      <c r="B34" s="53" t="s">
        <v>5582</v>
      </c>
      <c r="C34" s="53" t="s">
        <v>4705</v>
      </c>
      <c r="D34" s="53" t="s">
        <v>5360</v>
      </c>
      <c r="E34" s="53" t="s">
        <v>6126</v>
      </c>
    </row>
    <row r="35" ht="15.75" customHeight="1">
      <c r="A35" s="25" t="s">
        <v>295</v>
      </c>
      <c r="B35" s="25" t="s">
        <v>5591</v>
      </c>
      <c r="C35" s="25" t="s">
        <v>3849</v>
      </c>
      <c r="D35" s="25" t="s">
        <v>5355</v>
      </c>
      <c r="E35" s="25" t="s">
        <v>6126</v>
      </c>
    </row>
    <row r="36" ht="15.75" customHeight="1">
      <c r="A36" s="53" t="s">
        <v>301</v>
      </c>
      <c r="B36" s="53" t="s">
        <v>5600</v>
      </c>
      <c r="C36" s="53" t="s">
        <v>4186</v>
      </c>
      <c r="D36" s="53" t="s">
        <v>5355</v>
      </c>
      <c r="E36" s="53" t="s">
        <v>6126</v>
      </c>
    </row>
    <row r="37" ht="15.75" customHeight="1">
      <c r="A37" s="25" t="s">
        <v>310</v>
      </c>
      <c r="B37" s="25" t="s">
        <v>5663</v>
      </c>
      <c r="C37" s="25" t="s">
        <v>3849</v>
      </c>
      <c r="D37" s="25" t="s">
        <v>5355</v>
      </c>
      <c r="E37" s="25" t="s">
        <v>6126</v>
      </c>
    </row>
    <row r="38" ht="15.75" customHeight="1">
      <c r="A38" s="53" t="s">
        <v>314</v>
      </c>
      <c r="B38" s="53" t="s">
        <v>5705</v>
      </c>
      <c r="C38" s="53" t="s">
        <v>4097</v>
      </c>
      <c r="D38" s="53" t="s">
        <v>5360</v>
      </c>
      <c r="E38" s="53" t="s">
        <v>6126</v>
      </c>
    </row>
    <row r="39" ht="15.75" customHeight="1">
      <c r="A39" s="25" t="s">
        <v>466</v>
      </c>
      <c r="B39" s="25" t="s">
        <v>5374</v>
      </c>
      <c r="C39" s="25" t="s">
        <v>4390</v>
      </c>
      <c r="D39" s="25" t="s">
        <v>5360</v>
      </c>
      <c r="E39" s="25" t="s">
        <v>6127</v>
      </c>
    </row>
    <row r="40" ht="15.75" customHeight="1">
      <c r="A40" s="53" t="s">
        <v>457</v>
      </c>
      <c r="B40" s="53" t="s">
        <v>5388</v>
      </c>
      <c r="C40" s="53" t="s">
        <v>4323</v>
      </c>
      <c r="D40" s="53" t="s">
        <v>4820</v>
      </c>
      <c r="E40" s="53" t="s">
        <v>6127</v>
      </c>
    </row>
    <row r="41" ht="15.75" customHeight="1">
      <c r="A41" s="25" t="s">
        <v>464</v>
      </c>
      <c r="B41" s="25" t="s">
        <v>5401</v>
      </c>
      <c r="C41" s="25" t="s">
        <v>4705</v>
      </c>
      <c r="D41" s="25" t="s">
        <v>5378</v>
      </c>
      <c r="E41" s="25" t="s">
        <v>6127</v>
      </c>
    </row>
    <row r="42" ht="15.75" customHeight="1">
      <c r="A42" s="53" t="s">
        <v>459</v>
      </c>
      <c r="B42" s="53" t="s">
        <v>5425</v>
      </c>
      <c r="C42" s="53" t="s">
        <v>4323</v>
      </c>
      <c r="D42" s="53" t="s">
        <v>5360</v>
      </c>
      <c r="E42" s="53" t="s">
        <v>6127</v>
      </c>
    </row>
    <row r="43" ht="15.75" customHeight="1">
      <c r="A43" s="25" t="s">
        <v>446</v>
      </c>
      <c r="B43" s="25" t="s">
        <v>5444</v>
      </c>
      <c r="C43" s="25" t="s">
        <v>4020</v>
      </c>
      <c r="D43" s="25" t="s">
        <v>5355</v>
      </c>
      <c r="E43" s="25" t="s">
        <v>6127</v>
      </c>
    </row>
    <row r="44" ht="15.75" customHeight="1">
      <c r="A44" s="53" t="s">
        <v>452</v>
      </c>
      <c r="B44" s="53" t="s">
        <v>5447</v>
      </c>
      <c r="C44" s="53" t="s">
        <v>3849</v>
      </c>
      <c r="D44" s="53" t="s">
        <v>5360</v>
      </c>
      <c r="E44" s="53" t="s">
        <v>6127</v>
      </c>
    </row>
    <row r="45" ht="15.75" customHeight="1">
      <c r="A45" s="25" t="s">
        <v>444</v>
      </c>
      <c r="B45" s="25" t="s">
        <v>5531</v>
      </c>
      <c r="C45" s="25" t="s">
        <v>4261</v>
      </c>
      <c r="D45" s="25" t="s">
        <v>5355</v>
      </c>
      <c r="E45" s="25" t="s">
        <v>6127</v>
      </c>
    </row>
    <row r="46" ht="15.75" customHeight="1">
      <c r="A46" s="53" t="s">
        <v>469</v>
      </c>
      <c r="B46" s="53" t="s">
        <v>5534</v>
      </c>
      <c r="C46" s="53" t="s">
        <v>4323</v>
      </c>
      <c r="D46" s="53" t="s">
        <v>5378</v>
      </c>
      <c r="E46" s="53" t="s">
        <v>6127</v>
      </c>
    </row>
    <row r="47" ht="15.75" customHeight="1">
      <c r="A47" s="25" t="s">
        <v>448</v>
      </c>
      <c r="B47" s="25" t="s">
        <v>5681</v>
      </c>
      <c r="C47" s="25" t="s">
        <v>4465</v>
      </c>
      <c r="D47" s="25" t="s">
        <v>5360</v>
      </c>
      <c r="E47" s="25" t="s">
        <v>6127</v>
      </c>
    </row>
    <row r="48" ht="15.75" customHeight="1">
      <c r="A48" s="53" t="s">
        <v>454</v>
      </c>
      <c r="B48" s="53" t="s">
        <v>5714</v>
      </c>
      <c r="C48" s="53" t="s">
        <v>4323</v>
      </c>
      <c r="D48" s="53" t="s">
        <v>5360</v>
      </c>
      <c r="E48" s="53" t="s">
        <v>6127</v>
      </c>
    </row>
    <row r="49" ht="15.75" customHeight="1">
      <c r="A49" s="25" t="s">
        <v>547</v>
      </c>
      <c r="B49" s="25" t="s">
        <v>5354</v>
      </c>
      <c r="C49" s="25" t="s">
        <v>4618</v>
      </c>
      <c r="D49" s="25" t="s">
        <v>5355</v>
      </c>
      <c r="E49" s="25" t="s">
        <v>6128</v>
      </c>
    </row>
    <row r="50" ht="15.75" customHeight="1">
      <c r="A50" s="53" t="s">
        <v>540</v>
      </c>
      <c r="B50" s="53" t="s">
        <v>5368</v>
      </c>
      <c r="C50" s="53" t="s">
        <v>4020</v>
      </c>
      <c r="D50" s="53" t="s">
        <v>5360</v>
      </c>
      <c r="E50" s="53" t="s">
        <v>6128</v>
      </c>
    </row>
    <row r="51" ht="15.75" customHeight="1">
      <c r="A51" s="25" t="s">
        <v>575</v>
      </c>
      <c r="B51" s="25" t="s">
        <v>5381</v>
      </c>
      <c r="C51" s="25" t="s">
        <v>4186</v>
      </c>
      <c r="D51" s="25" t="s">
        <v>5360</v>
      </c>
      <c r="E51" s="25" t="s">
        <v>6128</v>
      </c>
    </row>
    <row r="52" ht="15.75" customHeight="1">
      <c r="A52" s="53" t="s">
        <v>566</v>
      </c>
      <c r="B52" s="53" t="s">
        <v>5416</v>
      </c>
      <c r="C52" s="53" t="s">
        <v>4097</v>
      </c>
      <c r="D52" s="53" t="s">
        <v>5360</v>
      </c>
      <c r="E52" s="53" t="s">
        <v>6128</v>
      </c>
    </row>
    <row r="53" ht="15.75" customHeight="1">
      <c r="A53" s="25" t="s">
        <v>542</v>
      </c>
      <c r="B53" s="25" t="s">
        <v>5434</v>
      </c>
      <c r="C53" s="25" t="s">
        <v>4618</v>
      </c>
      <c r="D53" s="25" t="s">
        <v>4820</v>
      </c>
      <c r="E53" s="25" t="s">
        <v>6128</v>
      </c>
    </row>
    <row r="54" ht="15.75" customHeight="1">
      <c r="A54" s="53" t="s">
        <v>593</v>
      </c>
      <c r="B54" s="53" t="s">
        <v>5437</v>
      </c>
      <c r="C54" s="53" t="s">
        <v>4705</v>
      </c>
      <c r="D54" s="53" t="s">
        <v>5378</v>
      </c>
      <c r="E54" s="53" t="s">
        <v>6128</v>
      </c>
    </row>
    <row r="55" ht="15.75" customHeight="1">
      <c r="A55" s="25" t="s">
        <v>561</v>
      </c>
      <c r="B55" s="25" t="s">
        <v>5450</v>
      </c>
      <c r="C55" s="25" t="s">
        <v>4390</v>
      </c>
      <c r="D55" s="25" t="s">
        <v>5360</v>
      </c>
      <c r="E55" s="25" t="s">
        <v>6128</v>
      </c>
    </row>
    <row r="56" ht="15.75" customHeight="1">
      <c r="A56" s="53" t="s">
        <v>573</v>
      </c>
      <c r="B56" s="53" t="s">
        <v>5456</v>
      </c>
      <c r="C56" s="53" t="s">
        <v>4186</v>
      </c>
      <c r="D56" s="53" t="s">
        <v>5360</v>
      </c>
      <c r="E56" s="53" t="s">
        <v>6128</v>
      </c>
    </row>
    <row r="57" ht="15.75" customHeight="1">
      <c r="A57" s="25" t="s">
        <v>582</v>
      </c>
      <c r="B57" s="25" t="s">
        <v>5459</v>
      </c>
      <c r="C57" s="25" t="s">
        <v>4261</v>
      </c>
      <c r="D57" s="25" t="s">
        <v>5360</v>
      </c>
      <c r="E57" s="25" t="s">
        <v>6128</v>
      </c>
    </row>
    <row r="58" ht="15.75" customHeight="1">
      <c r="A58" s="53" t="s">
        <v>570</v>
      </c>
      <c r="B58" s="53" t="s">
        <v>5477</v>
      </c>
      <c r="C58" s="53" t="s">
        <v>3934</v>
      </c>
      <c r="D58" s="53" t="s">
        <v>5355</v>
      </c>
      <c r="E58" s="53" t="s">
        <v>6128</v>
      </c>
    </row>
    <row r="59" ht="15.75" customHeight="1">
      <c r="A59" s="25" t="s">
        <v>559</v>
      </c>
      <c r="B59" s="25" t="s">
        <v>5558</v>
      </c>
      <c r="C59" s="25" t="s">
        <v>4390</v>
      </c>
      <c r="D59" s="25" t="s">
        <v>4820</v>
      </c>
      <c r="E59" s="25" t="s">
        <v>6128</v>
      </c>
    </row>
    <row r="60" ht="15.75" customHeight="1">
      <c r="A60" s="53" t="s">
        <v>544</v>
      </c>
      <c r="B60" s="53" t="s">
        <v>5573</v>
      </c>
      <c r="C60" s="53" t="s">
        <v>4465</v>
      </c>
      <c r="D60" s="53" t="s">
        <v>5355</v>
      </c>
      <c r="E60" s="53" t="s">
        <v>6128</v>
      </c>
    </row>
    <row r="61" ht="15.75" customHeight="1">
      <c r="A61" s="25" t="s">
        <v>550</v>
      </c>
      <c r="B61" s="25" t="s">
        <v>5597</v>
      </c>
      <c r="C61" s="25" t="s">
        <v>4097</v>
      </c>
      <c r="D61" s="25" t="s">
        <v>4820</v>
      </c>
      <c r="E61" s="25" t="s">
        <v>6128</v>
      </c>
    </row>
    <row r="62" ht="15.75" customHeight="1">
      <c r="A62" s="53" t="s">
        <v>553</v>
      </c>
      <c r="B62" s="53" t="s">
        <v>5633</v>
      </c>
      <c r="C62" s="53" t="s">
        <v>4097</v>
      </c>
      <c r="D62" s="53" t="s">
        <v>4820</v>
      </c>
      <c r="E62" s="53" t="s">
        <v>6128</v>
      </c>
    </row>
    <row r="63" ht="15.75" customHeight="1">
      <c r="A63" s="25" t="s">
        <v>588</v>
      </c>
      <c r="B63" s="25" t="s">
        <v>5672</v>
      </c>
      <c r="C63" s="25" t="s">
        <v>4186</v>
      </c>
      <c r="D63" s="25" t="s">
        <v>5378</v>
      </c>
      <c r="E63" s="25" t="s">
        <v>6128</v>
      </c>
    </row>
    <row r="64" ht="15.75" customHeight="1">
      <c r="A64" s="53" t="s">
        <v>557</v>
      </c>
      <c r="B64" s="53" t="s">
        <v>5690</v>
      </c>
      <c r="C64" s="53" t="s">
        <v>4705</v>
      </c>
      <c r="D64" s="53" t="s">
        <v>5360</v>
      </c>
      <c r="E64" s="53" t="s">
        <v>6128</v>
      </c>
    </row>
    <row r="65" ht="15.75" customHeight="1">
      <c r="A65" s="25" t="s">
        <v>555</v>
      </c>
      <c r="B65" s="25" t="s">
        <v>5696</v>
      </c>
      <c r="C65" s="25" t="s">
        <v>4020</v>
      </c>
      <c r="D65" s="25" t="s">
        <v>5360</v>
      </c>
      <c r="E65" s="25" t="s">
        <v>6128</v>
      </c>
    </row>
    <row r="66" ht="15.75" customHeight="1">
      <c r="A66" s="53" t="s">
        <v>700</v>
      </c>
      <c r="B66" s="53" t="s">
        <v>5365</v>
      </c>
      <c r="C66" s="53" t="s">
        <v>3934</v>
      </c>
      <c r="D66" s="53" t="s">
        <v>5360</v>
      </c>
      <c r="E66" s="53" t="s">
        <v>6129</v>
      </c>
    </row>
    <row r="67" ht="15.75" customHeight="1">
      <c r="A67" s="25" t="s">
        <v>710</v>
      </c>
      <c r="B67" s="25" t="s">
        <v>5384</v>
      </c>
      <c r="C67" s="25" t="s">
        <v>4261</v>
      </c>
      <c r="D67" s="25" t="s">
        <v>5360</v>
      </c>
      <c r="E67" s="25" t="s">
        <v>6129</v>
      </c>
    </row>
    <row r="68" ht="15.75" customHeight="1">
      <c r="A68" s="53" t="s">
        <v>712</v>
      </c>
      <c r="B68" s="53" t="s">
        <v>5397</v>
      </c>
      <c r="C68" s="53" t="s">
        <v>4618</v>
      </c>
      <c r="D68" s="53" t="s">
        <v>5378</v>
      </c>
      <c r="E68" s="53" t="s">
        <v>6129</v>
      </c>
    </row>
    <row r="69" ht="15.75" customHeight="1">
      <c r="A69" s="25" t="s">
        <v>723</v>
      </c>
      <c r="B69" s="25" t="s">
        <v>5413</v>
      </c>
      <c r="C69" s="25" t="s">
        <v>4390</v>
      </c>
      <c r="D69" s="25" t="s">
        <v>5360</v>
      </c>
      <c r="E69" s="25" t="s">
        <v>6129</v>
      </c>
    </row>
    <row r="70" ht="15.75" customHeight="1">
      <c r="A70" s="53" t="s">
        <v>741</v>
      </c>
      <c r="B70" s="53" t="s">
        <v>5453</v>
      </c>
      <c r="C70" s="53" t="s">
        <v>4097</v>
      </c>
      <c r="D70" s="53" t="s">
        <v>5360</v>
      </c>
      <c r="E70" s="53" t="s">
        <v>6129</v>
      </c>
    </row>
    <row r="71" ht="15.75" customHeight="1">
      <c r="A71" s="25" t="s">
        <v>706</v>
      </c>
      <c r="B71" s="25" t="s">
        <v>5471</v>
      </c>
      <c r="C71" s="25" t="s">
        <v>4618</v>
      </c>
      <c r="D71" s="25" t="s">
        <v>5360</v>
      </c>
      <c r="E71" s="25" t="s">
        <v>6129</v>
      </c>
    </row>
    <row r="72" ht="15.75" customHeight="1">
      <c r="A72" s="53" t="s">
        <v>733</v>
      </c>
      <c r="B72" s="53" t="s">
        <v>5483</v>
      </c>
      <c r="C72" s="53" t="s">
        <v>3849</v>
      </c>
      <c r="D72" s="53" t="s">
        <v>4820</v>
      </c>
      <c r="E72" s="53" t="s">
        <v>6129</v>
      </c>
    </row>
    <row r="73" ht="15.75" customHeight="1">
      <c r="A73" s="25" t="s">
        <v>720</v>
      </c>
      <c r="B73" s="25" t="s">
        <v>5498</v>
      </c>
      <c r="C73" s="25" t="s">
        <v>4323</v>
      </c>
      <c r="D73" s="25" t="s">
        <v>5360</v>
      </c>
      <c r="E73" s="25" t="s">
        <v>6129</v>
      </c>
    </row>
    <row r="74" ht="15.75" customHeight="1">
      <c r="A74" s="53" t="s">
        <v>735</v>
      </c>
      <c r="B74" s="53" t="s">
        <v>5507</v>
      </c>
      <c r="C74" s="53" t="s">
        <v>4618</v>
      </c>
      <c r="D74" s="53" t="s">
        <v>5360</v>
      </c>
      <c r="E74" s="53" t="s">
        <v>6129</v>
      </c>
    </row>
    <row r="75" ht="15.75" customHeight="1">
      <c r="A75" s="25" t="s">
        <v>729</v>
      </c>
      <c r="B75" s="25" t="s">
        <v>5522</v>
      </c>
      <c r="C75" s="25" t="s">
        <v>4390</v>
      </c>
      <c r="D75" s="25" t="s">
        <v>5360</v>
      </c>
      <c r="E75" s="25" t="s">
        <v>6129</v>
      </c>
    </row>
    <row r="76" ht="15.75" customHeight="1">
      <c r="A76" s="53" t="s">
        <v>702</v>
      </c>
      <c r="B76" s="53" t="s">
        <v>5606</v>
      </c>
      <c r="C76" s="53" t="s">
        <v>4323</v>
      </c>
      <c r="D76" s="53" t="s">
        <v>4820</v>
      </c>
      <c r="E76" s="53" t="s">
        <v>6129</v>
      </c>
    </row>
    <row r="77" ht="15.75" customHeight="1">
      <c r="A77" s="25" t="s">
        <v>698</v>
      </c>
      <c r="B77" s="25" t="s">
        <v>5627</v>
      </c>
      <c r="C77" s="25" t="s">
        <v>3849</v>
      </c>
      <c r="D77" s="25" t="s">
        <v>5360</v>
      </c>
      <c r="E77" s="25" t="s">
        <v>6129</v>
      </c>
    </row>
    <row r="78" ht="15.75" customHeight="1">
      <c r="A78" s="53" t="s">
        <v>714</v>
      </c>
      <c r="B78" s="53" t="s">
        <v>5630</v>
      </c>
      <c r="C78" s="53" t="s">
        <v>4390</v>
      </c>
      <c r="D78" s="53" t="s">
        <v>5360</v>
      </c>
      <c r="E78" s="53" t="s">
        <v>6129</v>
      </c>
    </row>
    <row r="79" ht="15.75" customHeight="1">
      <c r="A79" s="25" t="s">
        <v>704</v>
      </c>
      <c r="B79" s="25" t="s">
        <v>5660</v>
      </c>
      <c r="C79" s="25" t="s">
        <v>4020</v>
      </c>
      <c r="D79" s="25" t="s">
        <v>5355</v>
      </c>
      <c r="E79" s="25" t="s">
        <v>6129</v>
      </c>
    </row>
    <row r="80" ht="15.75" customHeight="1">
      <c r="A80" s="53" t="s">
        <v>708</v>
      </c>
      <c r="B80" s="53" t="s">
        <v>5675</v>
      </c>
      <c r="C80" s="53" t="s">
        <v>4261</v>
      </c>
      <c r="D80" s="53" t="s">
        <v>5360</v>
      </c>
      <c r="E80" s="53" t="s">
        <v>6129</v>
      </c>
    </row>
    <row r="81" ht="15.75" customHeight="1">
      <c r="A81" s="25" t="s">
        <v>727</v>
      </c>
      <c r="B81" s="25" t="s">
        <v>5684</v>
      </c>
      <c r="C81" s="25" t="s">
        <v>4559</v>
      </c>
      <c r="D81" s="25" t="s">
        <v>4820</v>
      </c>
      <c r="E81" s="25" t="s">
        <v>6129</v>
      </c>
    </row>
    <row r="82" ht="15.75" customHeight="1">
      <c r="A82" s="53" t="s">
        <v>717</v>
      </c>
      <c r="B82" s="53" t="s">
        <v>5687</v>
      </c>
      <c r="C82" s="53" t="s">
        <v>4618</v>
      </c>
      <c r="D82" s="53" t="s">
        <v>4820</v>
      </c>
      <c r="E82" s="53" t="s">
        <v>6129</v>
      </c>
    </row>
    <row r="83" ht="15.75" customHeight="1">
      <c r="A83" s="25" t="s">
        <v>879</v>
      </c>
      <c r="B83" s="25" t="s">
        <v>5431</v>
      </c>
      <c r="C83" s="25" t="s">
        <v>4559</v>
      </c>
      <c r="D83" s="25" t="s">
        <v>5355</v>
      </c>
      <c r="E83" s="25" t="s">
        <v>6130</v>
      </c>
    </row>
    <row r="84" ht="15.75" customHeight="1">
      <c r="A84" s="53" t="s">
        <v>853</v>
      </c>
      <c r="B84" s="53" t="s">
        <v>5486</v>
      </c>
      <c r="C84" s="53" t="s">
        <v>4390</v>
      </c>
      <c r="D84" s="53" t="s">
        <v>5360</v>
      </c>
      <c r="E84" s="53" t="s">
        <v>6130</v>
      </c>
    </row>
    <row r="85" ht="15.75" customHeight="1">
      <c r="A85" s="25" t="s">
        <v>859</v>
      </c>
      <c r="B85" s="25" t="s">
        <v>5513</v>
      </c>
      <c r="C85" s="25" t="s">
        <v>3934</v>
      </c>
      <c r="D85" s="25" t="s">
        <v>5360</v>
      </c>
      <c r="E85" s="25" t="s">
        <v>6130</v>
      </c>
    </row>
    <row r="86" ht="15.75" customHeight="1">
      <c r="A86" s="53" t="s">
        <v>882</v>
      </c>
      <c r="B86" s="53" t="s">
        <v>5516</v>
      </c>
      <c r="C86" s="53" t="s">
        <v>4020</v>
      </c>
      <c r="D86" s="53" t="s">
        <v>5378</v>
      </c>
      <c r="E86" s="53" t="s">
        <v>6130</v>
      </c>
    </row>
    <row r="87" ht="15.75" customHeight="1">
      <c r="A87" s="25" t="s">
        <v>855</v>
      </c>
      <c r="B87" s="25" t="s">
        <v>5543</v>
      </c>
      <c r="C87" s="25" t="s">
        <v>4618</v>
      </c>
      <c r="D87" s="25" t="s">
        <v>4820</v>
      </c>
      <c r="E87" s="25" t="s">
        <v>6130</v>
      </c>
    </row>
    <row r="88" ht="15.75" customHeight="1">
      <c r="A88" s="53" t="s">
        <v>857</v>
      </c>
      <c r="B88" s="53" t="s">
        <v>5564</v>
      </c>
      <c r="C88" s="53" t="s">
        <v>4186</v>
      </c>
      <c r="D88" s="53" t="s">
        <v>4820</v>
      </c>
      <c r="E88" s="53" t="s">
        <v>6130</v>
      </c>
    </row>
    <row r="89" ht="15.75" customHeight="1">
      <c r="A89" s="25" t="s">
        <v>866</v>
      </c>
      <c r="B89" s="25" t="s">
        <v>5636</v>
      </c>
      <c r="C89" s="25" t="s">
        <v>4186</v>
      </c>
      <c r="D89" s="25" t="s">
        <v>5360</v>
      </c>
      <c r="E89" s="25" t="s">
        <v>6130</v>
      </c>
    </row>
    <row r="90" ht="15.75" customHeight="1">
      <c r="A90" s="53" t="s">
        <v>864</v>
      </c>
      <c r="B90" s="53" t="s">
        <v>5645</v>
      </c>
      <c r="C90" s="53" t="s">
        <v>4465</v>
      </c>
      <c r="D90" s="53" t="s">
        <v>5355</v>
      </c>
      <c r="E90" s="53" t="s">
        <v>6130</v>
      </c>
    </row>
    <row r="91" ht="15.75" customHeight="1">
      <c r="A91" s="25" t="s">
        <v>861</v>
      </c>
      <c r="B91" s="25" t="s">
        <v>5708</v>
      </c>
      <c r="C91" s="25" t="s">
        <v>4186</v>
      </c>
      <c r="D91" s="25" t="s">
        <v>5355</v>
      </c>
      <c r="E91" s="25" t="s">
        <v>6130</v>
      </c>
    </row>
    <row r="92" ht="15.75" customHeight="1">
      <c r="A92" s="53" t="s">
        <v>873</v>
      </c>
      <c r="B92" s="53" t="s">
        <v>5717</v>
      </c>
      <c r="C92" s="53" t="s">
        <v>4465</v>
      </c>
      <c r="D92" s="53" t="s">
        <v>4820</v>
      </c>
      <c r="E92" s="53" t="s">
        <v>6130</v>
      </c>
    </row>
    <row r="93" ht="15.75" customHeight="1">
      <c r="A93" s="25" t="s">
        <v>868</v>
      </c>
      <c r="B93" s="25" t="s">
        <v>5720</v>
      </c>
      <c r="C93" s="25" t="s">
        <v>4559</v>
      </c>
      <c r="D93" s="25" t="s">
        <v>5360</v>
      </c>
      <c r="E93" s="25" t="s">
        <v>6130</v>
      </c>
    </row>
    <row r="94" ht="15.75" customHeight="1">
      <c r="A94" s="53" t="s">
        <v>988</v>
      </c>
      <c r="B94" s="53" t="s">
        <v>5422</v>
      </c>
      <c r="C94" s="53" t="s">
        <v>4261</v>
      </c>
      <c r="D94" s="53" t="s">
        <v>5360</v>
      </c>
      <c r="E94" s="53" t="s">
        <v>6131</v>
      </c>
    </row>
    <row r="95" ht="15.75" customHeight="1">
      <c r="A95" s="25" t="s">
        <v>980</v>
      </c>
      <c r="B95" s="25" t="s">
        <v>5465</v>
      </c>
      <c r="C95" s="25" t="s">
        <v>4465</v>
      </c>
      <c r="D95" s="25" t="s">
        <v>5378</v>
      </c>
      <c r="E95" s="25" t="s">
        <v>6131</v>
      </c>
    </row>
    <row r="96" ht="15.75" customHeight="1">
      <c r="A96" s="53" t="s">
        <v>999</v>
      </c>
      <c r="B96" s="53" t="s">
        <v>5468</v>
      </c>
      <c r="C96" s="53" t="s">
        <v>4559</v>
      </c>
      <c r="D96" s="53" t="s">
        <v>5360</v>
      </c>
      <c r="E96" s="53" t="s">
        <v>6131</v>
      </c>
    </row>
    <row r="97" ht="15.75" customHeight="1">
      <c r="A97" s="25" t="s">
        <v>963</v>
      </c>
      <c r="B97" s="25" t="s">
        <v>5495</v>
      </c>
      <c r="C97" s="25" t="s">
        <v>4261</v>
      </c>
      <c r="D97" s="25" t="s">
        <v>5360</v>
      </c>
      <c r="E97" s="25" t="s">
        <v>6131</v>
      </c>
    </row>
    <row r="98" ht="15.75" customHeight="1">
      <c r="A98" s="53" t="s">
        <v>965</v>
      </c>
      <c r="B98" s="53" t="s">
        <v>5501</v>
      </c>
      <c r="C98" s="53" t="s">
        <v>4465</v>
      </c>
      <c r="D98" s="53" t="s">
        <v>5360</v>
      </c>
      <c r="E98" s="53" t="s">
        <v>6131</v>
      </c>
    </row>
    <row r="99" ht="15.75" customHeight="1">
      <c r="A99" s="25" t="s">
        <v>950</v>
      </c>
      <c r="B99" s="25" t="s">
        <v>5510</v>
      </c>
      <c r="C99" s="25" t="s">
        <v>4705</v>
      </c>
      <c r="D99" s="25" t="s">
        <v>4820</v>
      </c>
      <c r="E99" s="25" t="s">
        <v>6131</v>
      </c>
    </row>
    <row r="100" ht="15.75" customHeight="1">
      <c r="A100" s="53" t="s">
        <v>961</v>
      </c>
      <c r="B100" s="53" t="s">
        <v>5537</v>
      </c>
      <c r="C100" s="53" t="s">
        <v>4465</v>
      </c>
      <c r="D100" s="53" t="s">
        <v>5378</v>
      </c>
      <c r="E100" s="53" t="s">
        <v>6131</v>
      </c>
    </row>
    <row r="101" ht="15.75" customHeight="1">
      <c r="A101" s="25" t="s">
        <v>953</v>
      </c>
      <c r="B101" s="25" t="s">
        <v>5579</v>
      </c>
      <c r="C101" s="25" t="s">
        <v>4618</v>
      </c>
      <c r="D101" s="25" t="s">
        <v>5360</v>
      </c>
      <c r="E101" s="25" t="s">
        <v>6131</v>
      </c>
    </row>
    <row r="102" ht="15.75" customHeight="1">
      <c r="A102" s="53" t="s">
        <v>968</v>
      </c>
      <c r="B102" s="53" t="s">
        <v>5609</v>
      </c>
      <c r="C102" s="53" t="s">
        <v>4465</v>
      </c>
      <c r="D102" s="53" t="s">
        <v>5360</v>
      </c>
      <c r="E102" s="53" t="s">
        <v>6131</v>
      </c>
    </row>
    <row r="103" ht="15.75" customHeight="1">
      <c r="A103" s="25" t="s">
        <v>984</v>
      </c>
      <c r="B103" s="25" t="s">
        <v>5618</v>
      </c>
      <c r="C103" s="25" t="s">
        <v>4705</v>
      </c>
      <c r="D103" s="25" t="s">
        <v>4820</v>
      </c>
      <c r="E103" s="25" t="s">
        <v>6131</v>
      </c>
    </row>
    <row r="104" ht="15.75" customHeight="1">
      <c r="A104" s="53" t="s">
        <v>974</v>
      </c>
      <c r="B104" s="53" t="s">
        <v>5624</v>
      </c>
      <c r="C104" s="53" t="s">
        <v>4020</v>
      </c>
      <c r="D104" s="53" t="s">
        <v>5360</v>
      </c>
      <c r="E104" s="53" t="s">
        <v>6131</v>
      </c>
    </row>
    <row r="105" ht="15.75" customHeight="1">
      <c r="A105" s="25" t="s">
        <v>957</v>
      </c>
      <c r="B105" s="25" t="s">
        <v>5666</v>
      </c>
      <c r="C105" s="25" t="s">
        <v>4390</v>
      </c>
      <c r="D105" s="25" t="s">
        <v>5378</v>
      </c>
      <c r="E105" s="25" t="s">
        <v>6131</v>
      </c>
    </row>
    <row r="106" ht="15.75" customHeight="1">
      <c r="A106" s="53" t="s">
        <v>1039</v>
      </c>
      <c r="B106" s="53" t="s">
        <v>5678</v>
      </c>
      <c r="C106" s="53" t="s">
        <v>4323</v>
      </c>
      <c r="D106" s="53" t="s">
        <v>5360</v>
      </c>
      <c r="E106" s="53" t="s">
        <v>6131</v>
      </c>
    </row>
    <row r="107" ht="15.75" customHeight="1">
      <c r="A107" s="25" t="s">
        <v>955</v>
      </c>
      <c r="B107" s="25" t="s">
        <v>5699</v>
      </c>
      <c r="C107" s="25" t="s">
        <v>3849</v>
      </c>
      <c r="D107" s="25" t="s">
        <v>5360</v>
      </c>
      <c r="E107" s="25" t="s">
        <v>6131</v>
      </c>
    </row>
    <row r="108" ht="15.75" customHeight="1">
      <c r="A108" s="53" t="s">
        <v>1083</v>
      </c>
      <c r="B108" s="53" t="s">
        <v>5407</v>
      </c>
      <c r="C108" s="53" t="s">
        <v>4020</v>
      </c>
      <c r="D108" s="53" t="s">
        <v>5360</v>
      </c>
      <c r="E108" s="53" t="s">
        <v>6132</v>
      </c>
    </row>
    <row r="109" ht="15.75" customHeight="1">
      <c r="A109" s="25" t="s">
        <v>1081</v>
      </c>
      <c r="B109" s="25" t="s">
        <v>5419</v>
      </c>
      <c r="C109" s="25" t="s">
        <v>4186</v>
      </c>
      <c r="D109" s="25" t="s">
        <v>5360</v>
      </c>
      <c r="E109" s="25" t="s">
        <v>6132</v>
      </c>
    </row>
    <row r="110" ht="15.75" customHeight="1">
      <c r="A110" s="53" t="s">
        <v>1079</v>
      </c>
      <c r="B110" s="53" t="s">
        <v>5555</v>
      </c>
      <c r="C110" s="53" t="s">
        <v>3849</v>
      </c>
      <c r="D110" s="53" t="s">
        <v>5355</v>
      </c>
      <c r="E110" s="53" t="s">
        <v>6132</v>
      </c>
    </row>
    <row r="111" ht="15.75" customHeight="1">
      <c r="A111" s="25" t="s">
        <v>1077</v>
      </c>
      <c r="B111" s="25" t="s">
        <v>5561</v>
      </c>
      <c r="C111" s="25" t="s">
        <v>4097</v>
      </c>
      <c r="D111" s="25" t="s">
        <v>5378</v>
      </c>
      <c r="E111" s="25" t="s">
        <v>6132</v>
      </c>
    </row>
    <row r="112" ht="15.75" customHeight="1">
      <c r="A112" s="53" t="s">
        <v>1075</v>
      </c>
      <c r="B112" s="53" t="s">
        <v>5654</v>
      </c>
      <c r="C112" s="53" t="s">
        <v>4705</v>
      </c>
      <c r="D112" s="53" t="s">
        <v>4820</v>
      </c>
      <c r="E112" s="53" t="s">
        <v>6132</v>
      </c>
    </row>
    <row r="113" ht="15.75" customHeight="1">
      <c r="A113" s="25" t="s">
        <v>1124</v>
      </c>
      <c r="B113" s="25" t="s">
        <v>5377</v>
      </c>
      <c r="C113" s="25" t="s">
        <v>4097</v>
      </c>
      <c r="D113" s="25" t="s">
        <v>5378</v>
      </c>
      <c r="E113" s="25" t="s">
        <v>6133</v>
      </c>
    </row>
    <row r="114" ht="15.75" customHeight="1">
      <c r="A114" s="53" t="s">
        <v>1133</v>
      </c>
      <c r="B114" s="53" t="s">
        <v>5404</v>
      </c>
      <c r="C114" s="53" t="s">
        <v>3934</v>
      </c>
      <c r="D114" s="53" t="s">
        <v>5360</v>
      </c>
      <c r="E114" s="53" t="s">
        <v>6133</v>
      </c>
    </row>
    <row r="115" ht="15.75" customHeight="1">
      <c r="A115" s="25" t="s">
        <v>1129</v>
      </c>
      <c r="B115" s="25" t="s">
        <v>5428</v>
      </c>
      <c r="C115" s="25" t="s">
        <v>4465</v>
      </c>
      <c r="D115" s="25" t="s">
        <v>5360</v>
      </c>
      <c r="E115" s="25" t="s">
        <v>6133</v>
      </c>
    </row>
    <row r="116" ht="15.75" customHeight="1">
      <c r="A116" s="53" t="s">
        <v>1131</v>
      </c>
      <c r="B116" s="53" t="s">
        <v>5546</v>
      </c>
      <c r="C116" s="53" t="s">
        <v>4705</v>
      </c>
      <c r="D116" s="53" t="s">
        <v>5360</v>
      </c>
      <c r="E116" s="53" t="s">
        <v>6133</v>
      </c>
    </row>
    <row r="117" ht="15.75" customHeight="1">
      <c r="A117" s="25" t="s">
        <v>1139</v>
      </c>
      <c r="B117" s="25" t="s">
        <v>5570</v>
      </c>
      <c r="C117" s="25" t="s">
        <v>4323</v>
      </c>
      <c r="D117" s="25" t="s">
        <v>4820</v>
      </c>
      <c r="E117" s="25" t="s">
        <v>6133</v>
      </c>
    </row>
    <row r="118" ht="15.75" customHeight="1">
      <c r="A118" s="53" t="s">
        <v>1136</v>
      </c>
      <c r="B118" s="53" t="s">
        <v>5588</v>
      </c>
      <c r="C118" s="53" t="s">
        <v>4020</v>
      </c>
      <c r="D118" s="53" t="s">
        <v>5378</v>
      </c>
      <c r="E118" s="53" t="s">
        <v>6133</v>
      </c>
    </row>
    <row r="119" ht="15.75" customHeight="1">
      <c r="A119" s="25" t="s">
        <v>1154</v>
      </c>
      <c r="B119" s="25" t="s">
        <v>5615</v>
      </c>
      <c r="C119" s="25" t="s">
        <v>4618</v>
      </c>
      <c r="D119" s="25" t="s">
        <v>4820</v>
      </c>
      <c r="E119" s="25" t="s">
        <v>6133</v>
      </c>
    </row>
    <row r="120" ht="15.75" customHeight="1">
      <c r="A120" s="53" t="s">
        <v>1126</v>
      </c>
      <c r="B120" s="53" t="s">
        <v>5621</v>
      </c>
      <c r="C120" s="53" t="s">
        <v>3934</v>
      </c>
      <c r="D120" s="53" t="s">
        <v>5378</v>
      </c>
      <c r="E120" s="53" t="s">
        <v>6133</v>
      </c>
    </row>
    <row r="121" ht="15.75" customHeight="1">
      <c r="A121" s="25" t="s">
        <v>1122</v>
      </c>
      <c r="B121" s="25" t="s">
        <v>5693</v>
      </c>
      <c r="C121" s="25" t="s">
        <v>3934</v>
      </c>
      <c r="D121" s="25" t="s">
        <v>5355</v>
      </c>
      <c r="E121" s="25" t="s">
        <v>6133</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21">
    <sortState ref="A1:E121">
      <sortCondition ref="E1:E121"/>
    </sortState>
  </autoFilter>
  <dataValidations>
    <dataValidation type="list" allowBlank="1" showErrorMessage="1" sqref="E2:E121">
      <formula1>"Alex,Avery,Casey,Drew,Jordan,Morgan,Quinn,Riley,Sam,Taylor"</formula1>
    </dataValidation>
    <dataValidation type="list" allowBlank="1" showErrorMessage="1" sqref="D2:D121">
      <formula1>"Compliance Hold,Active,Inactive,Credit Hold"</formula1>
    </dataValidation>
    <dataValidation type="list" allowBlank="1" showErrorMessage="1" sqref="C2:C121">
      <formula1>"CO,OK,CA,NV,NM,AZ,NY,MI,IL,MO,OR,WA"</formula1>
    </dataValidation>
  </dataValidation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2.0"/>
    <col customWidth="1" min="3" max="3" width="32.0"/>
    <col customWidth="1" min="4" max="6" width="10.0"/>
    <col customWidth="1" min="7" max="26" width="8.71"/>
  </cols>
  <sheetData>
    <row r="1">
      <c r="A1" s="1" t="s">
        <v>6134</v>
      </c>
      <c r="B1" s="2"/>
      <c r="C1" s="2"/>
      <c r="D1" s="2"/>
      <c r="E1" s="2"/>
      <c r="F1" s="3"/>
    </row>
    <row r="2">
      <c r="A2" s="33" t="s">
        <v>6135</v>
      </c>
    </row>
    <row r="3">
      <c r="A3" s="86"/>
      <c r="B3" s="87"/>
    </row>
    <row r="4">
      <c r="A4" s="88" t="s">
        <v>6136</v>
      </c>
    </row>
    <row r="5">
      <c r="A5" s="8" t="s">
        <v>6137</v>
      </c>
      <c r="B5" s="8" t="s">
        <v>5</v>
      </c>
      <c r="C5" s="8" t="s">
        <v>6138</v>
      </c>
    </row>
    <row r="6">
      <c r="A6" s="8" t="s">
        <v>4618</v>
      </c>
      <c r="B6" s="8">
        <f>SUMIF(crm_orders!$E:$E,A6,crm_orders!$L:$L)</f>
        <v>45535.74</v>
      </c>
      <c r="C6" s="8">
        <f>COUNTIF(crm_orders!$E:$E,A6)</f>
        <v>91</v>
      </c>
    </row>
    <row r="7">
      <c r="A7" s="8" t="s">
        <v>4705</v>
      </c>
      <c r="B7" s="8">
        <f>SUMIF(crm_orders!$E:$E,A7,crm_orders!$L:$L)</f>
        <v>43595.82</v>
      </c>
      <c r="C7" s="8">
        <f>COUNTIF(crm_orders!$E:$E,A7)</f>
        <v>95</v>
      </c>
    </row>
    <row r="8">
      <c r="A8" s="8" t="s">
        <v>3934</v>
      </c>
      <c r="B8" s="8">
        <f>SUMIF(crm_orders!$E:$E,A8,crm_orders!$L:$L)</f>
        <v>38299.38</v>
      </c>
      <c r="C8" s="8">
        <f>COUNTIF(crm_orders!$E:$E,A8)</f>
        <v>93</v>
      </c>
    </row>
    <row r="9">
      <c r="A9" s="8" t="s">
        <v>4020</v>
      </c>
      <c r="B9" s="8">
        <f>SUMIF(crm_orders!$E:$E,A9,crm_orders!$L:$L)</f>
        <v>45658.44</v>
      </c>
      <c r="C9" s="8">
        <f>COUNTIF(crm_orders!$E:$E,A9)</f>
        <v>83</v>
      </c>
    </row>
    <row r="10">
      <c r="A10" s="8" t="s">
        <v>3849</v>
      </c>
      <c r="B10" s="8">
        <f>SUMIF(crm_orders!$E:$E,A10,crm_orders!$L:$L)</f>
        <v>32817</v>
      </c>
      <c r="C10" s="8">
        <f>COUNTIF(crm_orders!$E:$E,A10)</f>
        <v>77</v>
      </c>
    </row>
    <row r="11">
      <c r="A11" s="8" t="s">
        <v>4390</v>
      </c>
      <c r="B11" s="8">
        <f>SUMIF(crm_orders!$E:$E,A11,crm_orders!$L:$L)</f>
        <v>37552.56</v>
      </c>
      <c r="C11" s="8">
        <f>COUNTIF(crm_orders!$E:$E,A11)</f>
        <v>77</v>
      </c>
    </row>
    <row r="12">
      <c r="A12" s="8" t="s">
        <v>4097</v>
      </c>
      <c r="B12" s="8">
        <f>SUMIF(crm_orders!$E:$E,A12,crm_orders!$L:$L)</f>
        <v>40055.82</v>
      </c>
      <c r="C12" s="8">
        <f>COUNTIF(crm_orders!$E:$E,A12)</f>
        <v>96</v>
      </c>
    </row>
    <row r="13">
      <c r="A13" s="8" t="s">
        <v>4186</v>
      </c>
      <c r="B13" s="8">
        <f>SUMIF(crm_orders!$E:$E,A13,crm_orders!$L:$L)</f>
        <v>45680.88</v>
      </c>
      <c r="C13" s="8">
        <f>COUNTIF(crm_orders!$E:$E,A13)</f>
        <v>80</v>
      </c>
    </row>
    <row r="14">
      <c r="A14" s="8" t="s">
        <v>4261</v>
      </c>
      <c r="B14" s="8">
        <f>SUMIF(crm_orders!$E:$E,A14,crm_orders!$L:$L)</f>
        <v>28381.14</v>
      </c>
      <c r="C14" s="8">
        <f>COUNTIF(crm_orders!$E:$E,A14)</f>
        <v>67</v>
      </c>
    </row>
    <row r="15">
      <c r="A15" s="8" t="s">
        <v>4323</v>
      </c>
      <c r="B15" s="8">
        <f>SUMIF(crm_orders!$E:$E,A15,crm_orders!$L:$L)</f>
        <v>31870.02</v>
      </c>
      <c r="C15" s="8">
        <f>COUNTIF(crm_orders!$E:$E,A15)</f>
        <v>76</v>
      </c>
    </row>
    <row r="16">
      <c r="A16" s="8" t="s">
        <v>4465</v>
      </c>
      <c r="B16" s="8">
        <f>SUMIF(crm_orders!$E:$E,A16,crm_orders!$L:$L)</f>
        <v>48070.62</v>
      </c>
      <c r="C16" s="8">
        <f>COUNTIF(crm_orders!$E:$E,A16)</f>
        <v>99</v>
      </c>
    </row>
    <row r="17">
      <c r="A17" s="8" t="s">
        <v>4559</v>
      </c>
      <c r="B17" s="8">
        <f>SUMIF(crm_orders!$E:$E,A17,crm_orders!$L:$L)</f>
        <v>32972.7</v>
      </c>
      <c r="C17" s="8">
        <f>COUNTIF(crm_orders!$E:$E,A17)</f>
        <v>64</v>
      </c>
    </row>
    <row r="20">
      <c r="A20" s="88" t="s">
        <v>6139</v>
      </c>
    </row>
    <row r="21" ht="15.75" customHeight="1">
      <c r="A21" s="89" t="s">
        <v>6140</v>
      </c>
      <c r="B21" s="89" t="s">
        <v>5</v>
      </c>
      <c r="C21" s="89" t="s">
        <v>6138</v>
      </c>
      <c r="D21" s="89"/>
      <c r="E21" s="89"/>
      <c r="F21" s="89"/>
    </row>
    <row r="22" ht="15.75" customHeight="1">
      <c r="A22" s="8" t="s">
        <v>63</v>
      </c>
      <c r="B22" s="8">
        <f>SUMIF(crm_orders!$G:$G,A22,crm_orders!$L:$L)</f>
        <v>305021.1</v>
      </c>
      <c r="C22" s="8">
        <f>COUNTIF(crm_orders!$G:$G,A22)</f>
        <v>663</v>
      </c>
    </row>
    <row r="23" ht="15.75" customHeight="1">
      <c r="A23" s="8" t="s">
        <v>67</v>
      </c>
      <c r="B23" s="8">
        <f>SUMIF(crm_orders!$G:$G,A23,crm_orders!$L:$L)</f>
        <v>73396.8</v>
      </c>
      <c r="C23" s="8">
        <f>COUNTIF(crm_orders!$G:$G,A23)</f>
        <v>151</v>
      </c>
    </row>
    <row r="24" ht="15.75" customHeight="1">
      <c r="A24" s="8" t="s">
        <v>89</v>
      </c>
      <c r="B24" s="8">
        <f>SUMIF(crm_orders!$G:$G,A24,crm_orders!$L:$L)</f>
        <v>93910.62</v>
      </c>
      <c r="C24" s="8">
        <f>COUNTIF(crm_orders!$G:$G,A24)</f>
        <v>186</v>
      </c>
    </row>
    <row r="25" ht="15.75" customHeight="1"/>
    <row r="26" ht="15.75" customHeight="1"/>
    <row r="27" ht="15.75" customHeight="1">
      <c r="A27" s="88" t="s">
        <v>6141</v>
      </c>
    </row>
    <row r="28" ht="15.75" customHeight="1">
      <c r="A28" s="89" t="s">
        <v>6142</v>
      </c>
      <c r="B28" s="89" t="s">
        <v>6143</v>
      </c>
      <c r="C28" s="89"/>
      <c r="D28" s="89"/>
      <c r="E28" s="89"/>
      <c r="F28" s="89"/>
    </row>
    <row r="29" ht="15.75" customHeight="1">
      <c r="A29" s="8" t="s">
        <v>5765</v>
      </c>
      <c r="B29" s="8">
        <f>COUNTIF(exception_log!$D:$D,A29)</f>
        <v>24</v>
      </c>
    </row>
    <row r="30" ht="15.75" customHeight="1">
      <c r="A30" s="8" t="s">
        <v>5770</v>
      </c>
      <c r="B30" s="8">
        <f>COUNTIF(exception_log!$D:$D,A30)</f>
        <v>225</v>
      </c>
    </row>
    <row r="31" ht="15.75" customHeight="1">
      <c r="A31" s="8" t="s">
        <v>6144</v>
      </c>
      <c r="B31" s="8">
        <f>COUNTIF(exception_log!$D:$D,A31)</f>
        <v>0</v>
      </c>
    </row>
    <row r="32" ht="15.75" customHeight="1">
      <c r="A32" s="8" t="s">
        <v>6145</v>
      </c>
      <c r="B32" s="8">
        <f>COUNTIF(exception_log!$D:$D,A32)</f>
        <v>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55.0"/>
    <col customWidth="1" min="4" max="4" width="42.0"/>
    <col customWidth="1" min="5" max="26" width="8.71"/>
  </cols>
  <sheetData>
    <row r="1">
      <c r="A1" s="60" t="s">
        <v>6146</v>
      </c>
      <c r="B1" s="60" t="s">
        <v>6147</v>
      </c>
      <c r="C1" s="60" t="s">
        <v>6148</v>
      </c>
      <c r="D1" s="60" t="s">
        <v>6149</v>
      </c>
    </row>
    <row r="2">
      <c r="A2" s="61">
        <v>1.0</v>
      </c>
      <c r="B2" s="61" t="s">
        <v>6150</v>
      </c>
      <c r="C2" s="61" t="s">
        <v>6151</v>
      </c>
      <c r="D2" s="61" t="s">
        <v>6152</v>
      </c>
    </row>
    <row r="3">
      <c r="A3" s="25">
        <v>2.0</v>
      </c>
      <c r="B3" s="25" t="s">
        <v>6153</v>
      </c>
      <c r="C3" s="25" t="s">
        <v>6154</v>
      </c>
      <c r="D3" s="25" t="s">
        <v>6155</v>
      </c>
    </row>
    <row r="4">
      <c r="A4" s="61">
        <v>3.0</v>
      </c>
      <c r="B4" s="61" t="s">
        <v>6156</v>
      </c>
      <c r="C4" s="61" t="s">
        <v>6157</v>
      </c>
      <c r="D4" s="61" t="s">
        <v>6158</v>
      </c>
    </row>
    <row r="5">
      <c r="A5" s="25">
        <v>4.0</v>
      </c>
      <c r="B5" s="25" t="s">
        <v>6156</v>
      </c>
      <c r="C5" s="25" t="s">
        <v>6159</v>
      </c>
      <c r="D5" s="25" t="s">
        <v>6160</v>
      </c>
    </row>
    <row r="6">
      <c r="A6" s="61">
        <v>5.0</v>
      </c>
      <c r="B6" s="61" t="s">
        <v>6161</v>
      </c>
      <c r="C6" s="61" t="s">
        <v>6162</v>
      </c>
      <c r="D6" s="61" t="s">
        <v>6163</v>
      </c>
    </row>
    <row r="7">
      <c r="A7" s="25">
        <v>6.0</v>
      </c>
      <c r="B7" s="25" t="s">
        <v>6164</v>
      </c>
      <c r="C7" s="25" t="s">
        <v>6165</v>
      </c>
      <c r="D7" s="25" t="s">
        <v>6166</v>
      </c>
    </row>
    <row r="8">
      <c r="A8" s="61">
        <v>7.0</v>
      </c>
      <c r="B8" s="61" t="s">
        <v>6167</v>
      </c>
      <c r="C8" s="61" t="s">
        <v>6168</v>
      </c>
      <c r="D8" s="61" t="s">
        <v>6169</v>
      </c>
    </row>
    <row r="9">
      <c r="A9" s="25">
        <v>8.0</v>
      </c>
      <c r="B9" s="25" t="s">
        <v>6170</v>
      </c>
      <c r="C9" s="25" t="s">
        <v>6171</v>
      </c>
      <c r="D9" s="25" t="s">
        <v>6172</v>
      </c>
    </row>
    <row r="10">
      <c r="A10" s="61">
        <v>9.0</v>
      </c>
      <c r="B10" s="61" t="s">
        <v>6173</v>
      </c>
      <c r="C10" s="61" t="s">
        <v>6174</v>
      </c>
      <c r="D10" s="61" t="s">
        <v>6175</v>
      </c>
    </row>
    <row r="11">
      <c r="A11" s="25">
        <v>10.0</v>
      </c>
      <c r="B11" s="25" t="s">
        <v>6176</v>
      </c>
      <c r="C11" s="25" t="s">
        <v>6177</v>
      </c>
      <c r="D11" s="25" t="s">
        <v>6178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1"/>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0.43"/>
  </cols>
  <sheetData>
    <row r="1">
      <c r="A1" s="90" t="s">
        <v>6179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0" t="s">
        <v>6180</v>
      </c>
    </row>
    <row r="2">
      <c r="A2" s="90" t="s">
        <v>6181</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57"/>
    <col customWidth="1" min="2" max="2" width="80.0"/>
    <col customWidth="1" min="3" max="6" width="10.0"/>
    <col customWidth="1" min="7" max="26" width="8.71"/>
  </cols>
  <sheetData>
    <row r="1">
      <c r="A1" s="1" t="s">
        <v>6182</v>
      </c>
      <c r="B1" s="2"/>
      <c r="C1" s="2"/>
      <c r="D1" s="2"/>
      <c r="E1" s="2"/>
      <c r="F1" s="3"/>
    </row>
    <row r="2">
      <c r="A2" s="91" t="s">
        <v>6183</v>
      </c>
    </row>
    <row r="3">
      <c r="A3" s="6" t="s">
        <v>6184</v>
      </c>
      <c r="B3" s="8" t="s">
        <v>6185</v>
      </c>
    </row>
    <row r="4">
      <c r="A4" s="6" t="s">
        <v>6186</v>
      </c>
      <c r="B4" s="8" t="s">
        <v>6187</v>
      </c>
    </row>
    <row r="5">
      <c r="A5" s="6" t="s">
        <v>6188</v>
      </c>
      <c r="B5" s="8" t="s">
        <v>6189</v>
      </c>
    </row>
    <row r="6">
      <c r="A6" s="6"/>
    </row>
    <row r="7">
      <c r="A7" s="6"/>
    </row>
    <row r="8">
      <c r="A8" s="6" t="s">
        <v>6190</v>
      </c>
    </row>
    <row r="9">
      <c r="A9" s="6" t="s">
        <v>6191</v>
      </c>
      <c r="B9" s="8" t="s">
        <v>6192</v>
      </c>
    </row>
    <row r="10">
      <c r="A10" s="6" t="s">
        <v>6193</v>
      </c>
      <c r="B10" s="8" t="s">
        <v>6194</v>
      </c>
    </row>
    <row r="11">
      <c r="A11" s="6" t="s">
        <v>6195</v>
      </c>
      <c r="B11" s="8" t="s">
        <v>6196</v>
      </c>
    </row>
    <row r="12">
      <c r="A12" s="6" t="s">
        <v>6197</v>
      </c>
      <c r="B12" s="8" t="s">
        <v>6198</v>
      </c>
    </row>
    <row r="13">
      <c r="A13" s="6"/>
    </row>
    <row r="14">
      <c r="A14" s="6" t="s">
        <v>6199</v>
      </c>
      <c r="B14" s="8" t="s">
        <v>6200</v>
      </c>
    </row>
    <row r="16">
      <c r="A16" s="6" t="s">
        <v>6201</v>
      </c>
      <c r="B16" s="90" t="s">
        <v>6202</v>
      </c>
    </row>
    <row r="17">
      <c r="A17" s="6" t="s">
        <v>6203</v>
      </c>
      <c r="B17" s="8" t="s">
        <v>6204</v>
      </c>
    </row>
    <row r="18">
      <c r="A18" s="6" t="s">
        <v>6205</v>
      </c>
      <c r="B18" s="8" t="s">
        <v>6206</v>
      </c>
    </row>
    <row r="21" ht="15.75" customHeight="1"/>
    <row r="22" ht="15.75" customHeight="1"/>
    <row r="23" ht="15.75" customHeight="1">
      <c r="A23" s="92" t="s">
        <v>6207</v>
      </c>
    </row>
    <row r="24" ht="15.75" customHeight="1">
      <c r="A24" s="93" t="s">
        <v>6208</v>
      </c>
    </row>
    <row r="25" ht="15.75" customHeight="1">
      <c r="A25" s="94" t="s">
        <v>6209</v>
      </c>
    </row>
    <row r="26" ht="15.75" customHeight="1">
      <c r="A26" s="95"/>
    </row>
    <row r="27" ht="15.75" customHeight="1">
      <c r="A27" s="96" t="s">
        <v>6210</v>
      </c>
    </row>
    <row r="28" ht="15.75" customHeight="1">
      <c r="A28" s="97" t="s">
        <v>6211</v>
      </c>
    </row>
    <row r="29" ht="15.75" customHeight="1">
      <c r="A29" s="94" t="s">
        <v>6212</v>
      </c>
    </row>
    <row r="30" ht="15.75" customHeight="1"/>
    <row r="31" ht="15.75" customHeight="1"/>
    <row r="32" ht="15.75" customHeight="1">
      <c r="A32" s="98" t="s">
        <v>6213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